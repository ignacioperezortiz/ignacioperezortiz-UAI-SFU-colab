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hc22\SFU-Courses\Tese\Tese_Organization_July22_26\TR1_analysis\03_PV_ALLOCATION\"/>
    </mc:Choice>
  </mc:AlternateContent>
  <xr:revisionPtr revIDLastSave="0" documentId="8_{2F634A03-FE4E-4327-87C8-28435237718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1. Overview" sheetId="1" r:id="rId1"/>
    <sheet name="2. Load classification" sheetId="2" r:id="rId2"/>
    <sheet name="3. Raw PV per load" sheetId="3" r:id="rId3"/>
    <sheet name="4. Raw load per load" sheetId="4" r:id="rId4"/>
    <sheet name="5. Raw batt charge" sheetId="5" r:id="rId5"/>
    <sheet name="6. Raw batt discharge" sheetId="6" r:id="rId6"/>
    <sheet name="7. PV allocation (per period)" sheetId="7" r:id="rId7"/>
    <sheet name="8. Results &amp; charts" sheetId="8" r:id="rId8"/>
  </sheets>
  <definedNames>
    <definedName name="_xlnm._FilterDatabase" localSheetId="1" hidden="1">'2. Load classification'!$A$4:$F$136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2" i="7" l="1"/>
  <c r="G52" i="7"/>
  <c r="F52" i="7"/>
  <c r="E52" i="7"/>
  <c r="D52" i="7"/>
  <c r="I52" i="7" s="1"/>
  <c r="C52" i="7"/>
  <c r="G51" i="7"/>
  <c r="F51" i="7"/>
  <c r="H51" i="7" s="1"/>
  <c r="E51" i="7"/>
  <c r="D51" i="7"/>
  <c r="C51" i="7"/>
  <c r="H50" i="7"/>
  <c r="G50" i="7"/>
  <c r="F50" i="7"/>
  <c r="E50" i="7"/>
  <c r="D50" i="7"/>
  <c r="C50" i="7"/>
  <c r="G49" i="7"/>
  <c r="F49" i="7"/>
  <c r="H49" i="7" s="1"/>
  <c r="E49" i="7"/>
  <c r="D49" i="7"/>
  <c r="I49" i="7" s="1"/>
  <c r="C49" i="7"/>
  <c r="G48" i="7"/>
  <c r="F48" i="7"/>
  <c r="H48" i="7" s="1"/>
  <c r="E48" i="7"/>
  <c r="D48" i="7"/>
  <c r="I48" i="7" s="1"/>
  <c r="C48" i="7"/>
  <c r="G47" i="7"/>
  <c r="F47" i="7"/>
  <c r="H47" i="7" s="1"/>
  <c r="E47" i="7"/>
  <c r="D47" i="7"/>
  <c r="C47" i="7"/>
  <c r="G46" i="7"/>
  <c r="F46" i="7"/>
  <c r="H46" i="7" s="1"/>
  <c r="E46" i="7"/>
  <c r="D46" i="7"/>
  <c r="I46" i="7" s="1"/>
  <c r="C46" i="7"/>
  <c r="G45" i="7"/>
  <c r="F45" i="7"/>
  <c r="H45" i="7" s="1"/>
  <c r="E45" i="7"/>
  <c r="D45" i="7"/>
  <c r="C45" i="7"/>
  <c r="G44" i="7"/>
  <c r="F44" i="7"/>
  <c r="H44" i="7" s="1"/>
  <c r="E44" i="7"/>
  <c r="D44" i="7"/>
  <c r="C44" i="7"/>
  <c r="G43" i="7"/>
  <c r="H43" i="7" s="1"/>
  <c r="F43" i="7"/>
  <c r="E43" i="7"/>
  <c r="D43" i="7"/>
  <c r="C43" i="7"/>
  <c r="I43" i="7" s="1"/>
  <c r="G42" i="7"/>
  <c r="F42" i="7"/>
  <c r="H42" i="7" s="1"/>
  <c r="E42" i="7"/>
  <c r="D42" i="7"/>
  <c r="I42" i="7" s="1"/>
  <c r="C42" i="7"/>
  <c r="G41" i="7"/>
  <c r="H41" i="7" s="1"/>
  <c r="F41" i="7"/>
  <c r="E41" i="7"/>
  <c r="D41" i="7"/>
  <c r="C41" i="7"/>
  <c r="I40" i="7"/>
  <c r="J40" i="7" s="1"/>
  <c r="H40" i="7"/>
  <c r="G40" i="7"/>
  <c r="F40" i="7"/>
  <c r="E40" i="7"/>
  <c r="D40" i="7"/>
  <c r="C40" i="7"/>
  <c r="G39" i="7"/>
  <c r="F39" i="7"/>
  <c r="H39" i="7" s="1"/>
  <c r="E39" i="7"/>
  <c r="D39" i="7"/>
  <c r="I39" i="7" s="1"/>
  <c r="J39" i="7" s="1"/>
  <c r="C39" i="7"/>
  <c r="I38" i="7"/>
  <c r="H38" i="7"/>
  <c r="G38" i="7"/>
  <c r="F38" i="7"/>
  <c r="E38" i="7"/>
  <c r="D38" i="7"/>
  <c r="C38" i="7"/>
  <c r="G37" i="7"/>
  <c r="F37" i="7"/>
  <c r="H37" i="7" s="1"/>
  <c r="E37" i="7"/>
  <c r="D37" i="7"/>
  <c r="I37" i="7" s="1"/>
  <c r="C37" i="7"/>
  <c r="G36" i="7"/>
  <c r="F36" i="7"/>
  <c r="H36" i="7" s="1"/>
  <c r="E36" i="7"/>
  <c r="D36" i="7"/>
  <c r="I36" i="7" s="1"/>
  <c r="J36" i="7" s="1"/>
  <c r="C36" i="7"/>
  <c r="G35" i="7"/>
  <c r="F35" i="7"/>
  <c r="H35" i="7" s="1"/>
  <c r="E35" i="7"/>
  <c r="D35" i="7"/>
  <c r="I35" i="7" s="1"/>
  <c r="J35" i="7" s="1"/>
  <c r="C35" i="7"/>
  <c r="H34" i="7"/>
  <c r="G34" i="7"/>
  <c r="F34" i="7"/>
  <c r="E34" i="7"/>
  <c r="D34" i="7"/>
  <c r="I34" i="7" s="1"/>
  <c r="C34" i="7"/>
  <c r="G33" i="7"/>
  <c r="F33" i="7"/>
  <c r="H33" i="7" s="1"/>
  <c r="E33" i="7"/>
  <c r="D33" i="7"/>
  <c r="I33" i="7" s="1"/>
  <c r="C33" i="7"/>
  <c r="G32" i="7"/>
  <c r="H32" i="7" s="1"/>
  <c r="F32" i="7"/>
  <c r="E32" i="7"/>
  <c r="D32" i="7"/>
  <c r="I32" i="7" s="1"/>
  <c r="C32" i="7"/>
  <c r="G31" i="7"/>
  <c r="F31" i="7"/>
  <c r="H31" i="7" s="1"/>
  <c r="E31" i="7"/>
  <c r="D31" i="7"/>
  <c r="I31" i="7" s="1"/>
  <c r="C31" i="7"/>
  <c r="G30" i="7"/>
  <c r="F30" i="7"/>
  <c r="H30" i="7" s="1"/>
  <c r="E30" i="7"/>
  <c r="D30" i="7"/>
  <c r="I30" i="7" s="1"/>
  <c r="C30" i="7"/>
  <c r="H29" i="7"/>
  <c r="G29" i="7"/>
  <c r="F29" i="7"/>
  <c r="E29" i="7"/>
  <c r="D29" i="7"/>
  <c r="I29" i="7" s="1"/>
  <c r="C29" i="7"/>
  <c r="G28" i="7"/>
  <c r="F28" i="7"/>
  <c r="H28" i="7" s="1"/>
  <c r="E28" i="7"/>
  <c r="D28" i="7"/>
  <c r="I28" i="7" s="1"/>
  <c r="C28" i="7"/>
  <c r="G27" i="7"/>
  <c r="F27" i="7"/>
  <c r="H27" i="7" s="1"/>
  <c r="E27" i="7"/>
  <c r="D27" i="7"/>
  <c r="I27" i="7" s="1"/>
  <c r="C27" i="7"/>
  <c r="G26" i="7"/>
  <c r="F26" i="7"/>
  <c r="H26" i="7" s="1"/>
  <c r="E26" i="7"/>
  <c r="D26" i="7"/>
  <c r="C26" i="7"/>
  <c r="G25" i="7"/>
  <c r="F25" i="7"/>
  <c r="H25" i="7" s="1"/>
  <c r="E25" i="7"/>
  <c r="D25" i="7"/>
  <c r="C25" i="7"/>
  <c r="G24" i="7"/>
  <c r="F24" i="7"/>
  <c r="H24" i="7" s="1"/>
  <c r="E24" i="7"/>
  <c r="D24" i="7"/>
  <c r="C24" i="7"/>
  <c r="I24" i="7" s="1"/>
  <c r="G23" i="7"/>
  <c r="F23" i="7"/>
  <c r="H23" i="7" s="1"/>
  <c r="E23" i="7"/>
  <c r="D23" i="7"/>
  <c r="C23" i="7"/>
  <c r="G22" i="7"/>
  <c r="F22" i="7"/>
  <c r="H22" i="7" s="1"/>
  <c r="E22" i="7"/>
  <c r="D22" i="7"/>
  <c r="C22" i="7"/>
  <c r="G21" i="7"/>
  <c r="F21" i="7"/>
  <c r="H21" i="7" s="1"/>
  <c r="E21" i="7"/>
  <c r="D21" i="7"/>
  <c r="C21" i="7"/>
  <c r="I21" i="7" s="1"/>
  <c r="G20" i="7"/>
  <c r="F20" i="7"/>
  <c r="H20" i="7" s="1"/>
  <c r="E20" i="7"/>
  <c r="D20" i="7"/>
  <c r="I20" i="7" s="1"/>
  <c r="C20" i="7"/>
  <c r="G19" i="7"/>
  <c r="F19" i="7"/>
  <c r="H19" i="7" s="1"/>
  <c r="E19" i="7"/>
  <c r="D19" i="7"/>
  <c r="C19" i="7"/>
  <c r="G18" i="7"/>
  <c r="F18" i="7"/>
  <c r="H18" i="7" s="1"/>
  <c r="E18" i="7"/>
  <c r="D18" i="7"/>
  <c r="I18" i="7" s="1"/>
  <c r="C18" i="7"/>
  <c r="I17" i="7"/>
  <c r="G17" i="7"/>
  <c r="F17" i="7"/>
  <c r="H17" i="7" s="1"/>
  <c r="E17" i="7"/>
  <c r="D17" i="7"/>
  <c r="C17" i="7"/>
  <c r="G16" i="7"/>
  <c r="F16" i="7"/>
  <c r="H16" i="7" s="1"/>
  <c r="E16" i="7"/>
  <c r="D16" i="7"/>
  <c r="C16" i="7"/>
  <c r="I15" i="7"/>
  <c r="G15" i="7"/>
  <c r="F15" i="7"/>
  <c r="H15" i="7" s="1"/>
  <c r="E15" i="7"/>
  <c r="D15" i="7"/>
  <c r="C15" i="7"/>
  <c r="I14" i="7"/>
  <c r="G14" i="7"/>
  <c r="F14" i="7"/>
  <c r="H14" i="7" s="1"/>
  <c r="E14" i="7"/>
  <c r="D14" i="7"/>
  <c r="C14" i="7"/>
  <c r="G13" i="7"/>
  <c r="F13" i="7"/>
  <c r="H13" i="7" s="1"/>
  <c r="E13" i="7"/>
  <c r="D13" i="7"/>
  <c r="C13" i="7"/>
  <c r="I12" i="7"/>
  <c r="G12" i="7"/>
  <c r="F12" i="7"/>
  <c r="H12" i="7" s="1"/>
  <c r="E12" i="7"/>
  <c r="D12" i="7"/>
  <c r="C12" i="7"/>
  <c r="I11" i="7"/>
  <c r="G11" i="7"/>
  <c r="H11" i="7" s="1"/>
  <c r="F11" i="7"/>
  <c r="E11" i="7"/>
  <c r="D11" i="7"/>
  <c r="C11" i="7"/>
  <c r="G10" i="7"/>
  <c r="F10" i="7"/>
  <c r="H10" i="7" s="1"/>
  <c r="E10" i="7"/>
  <c r="D10" i="7"/>
  <c r="C10" i="7"/>
  <c r="I9" i="7"/>
  <c r="G9" i="7"/>
  <c r="H9" i="7" s="1"/>
  <c r="F9" i="7"/>
  <c r="E9" i="7"/>
  <c r="D9" i="7"/>
  <c r="C9" i="7"/>
  <c r="I8" i="7"/>
  <c r="H8" i="7"/>
  <c r="G8" i="7"/>
  <c r="F8" i="7"/>
  <c r="E8" i="7"/>
  <c r="D8" i="7"/>
  <c r="C8" i="7"/>
  <c r="G7" i="7"/>
  <c r="F7" i="7"/>
  <c r="H7" i="7" s="1"/>
  <c r="E7" i="7"/>
  <c r="D7" i="7"/>
  <c r="C7" i="7"/>
  <c r="I6" i="7"/>
  <c r="H6" i="7"/>
  <c r="G6" i="7"/>
  <c r="F6" i="7"/>
  <c r="E6" i="7"/>
  <c r="D6" i="7"/>
  <c r="C6" i="7"/>
  <c r="I5" i="7"/>
  <c r="G5" i="7"/>
  <c r="G53" i="7" s="1"/>
  <c r="F5" i="7"/>
  <c r="H5" i="7" s="1"/>
  <c r="H53" i="7" s="1"/>
  <c r="E5" i="7"/>
  <c r="E53" i="7" s="1"/>
  <c r="F7" i="8" s="1"/>
  <c r="D5" i="7"/>
  <c r="D53" i="7" s="1"/>
  <c r="C5" i="7"/>
  <c r="C53" i="7" s="1"/>
  <c r="J43" i="7" l="1"/>
  <c r="K43" i="7" s="1"/>
  <c r="M43" i="7" s="1"/>
  <c r="J29" i="7"/>
  <c r="L50" i="7"/>
  <c r="J32" i="7"/>
  <c r="J34" i="7"/>
  <c r="J52" i="7"/>
  <c r="M35" i="7"/>
  <c r="L36" i="7"/>
  <c r="J11" i="7"/>
  <c r="K11" i="7" s="1"/>
  <c r="M11" i="7" s="1"/>
  <c r="J31" i="7"/>
  <c r="K31" i="7"/>
  <c r="L31" i="7"/>
  <c r="J33" i="7"/>
  <c r="K33" i="7" s="1"/>
  <c r="M33" i="7" s="1"/>
  <c r="L45" i="7"/>
  <c r="M45" i="7"/>
  <c r="M15" i="7"/>
  <c r="J28" i="7"/>
  <c r="K28" i="7" s="1"/>
  <c r="J46" i="7"/>
  <c r="K46" i="7" s="1"/>
  <c r="M46" i="7" s="1"/>
  <c r="M17" i="7"/>
  <c r="K48" i="7"/>
  <c r="M48" i="7" s="1"/>
  <c r="J37" i="7"/>
  <c r="K37" i="7" s="1"/>
  <c r="M31" i="7"/>
  <c r="M50" i="7"/>
  <c r="K20" i="7"/>
  <c r="M20" i="7" s="1"/>
  <c r="L39" i="7"/>
  <c r="K14" i="7"/>
  <c r="M14" i="7" s="1"/>
  <c r="B9" i="8"/>
  <c r="C29" i="1"/>
  <c r="L15" i="7"/>
  <c r="J30" i="7"/>
  <c r="K42" i="7"/>
  <c r="M42" i="7" s="1"/>
  <c r="K6" i="7"/>
  <c r="M6" i="7" s="1"/>
  <c r="J18" i="7"/>
  <c r="K18" i="7" s="1"/>
  <c r="J49" i="7"/>
  <c r="J27" i="7"/>
  <c r="M39" i="7"/>
  <c r="J16" i="7"/>
  <c r="K16" i="7" s="1"/>
  <c r="K40" i="7"/>
  <c r="M40" i="7" s="1"/>
  <c r="L40" i="7"/>
  <c r="J12" i="7"/>
  <c r="K12" i="7" s="1"/>
  <c r="M12" i="7" s="1"/>
  <c r="K21" i="7"/>
  <c r="L21" i="7" s="1"/>
  <c r="J24" i="7"/>
  <c r="L24" i="7" s="1"/>
  <c r="K24" i="7"/>
  <c r="M24" i="7" s="1"/>
  <c r="J5" i="7"/>
  <c r="J14" i="7"/>
  <c r="J17" i="7"/>
  <c r="L17" i="7" s="1"/>
  <c r="K17" i="7"/>
  <c r="J20" i="7"/>
  <c r="I23" i="7"/>
  <c r="J6" i="7"/>
  <c r="J15" i="7"/>
  <c r="J21" i="7"/>
  <c r="J23" i="7"/>
  <c r="L23" i="7" s="1"/>
  <c r="K23" i="7"/>
  <c r="M23" i="7" s="1"/>
  <c r="J9" i="7"/>
  <c r="K9" i="7" s="1"/>
  <c r="I7" i="7"/>
  <c r="J7" i="7" s="1"/>
  <c r="J8" i="7"/>
  <c r="I26" i="7"/>
  <c r="K35" i="7"/>
  <c r="L35" i="7" s="1"/>
  <c r="J38" i="7"/>
  <c r="L38" i="7" s="1"/>
  <c r="I41" i="7"/>
  <c r="K38" i="7"/>
  <c r="M38" i="7" s="1"/>
  <c r="J41" i="7"/>
  <c r="I44" i="7"/>
  <c r="L44" i="7" s="1"/>
  <c r="F53" i="7"/>
  <c r="K41" i="7"/>
  <c r="M41" i="7" s="1"/>
  <c r="J44" i="7"/>
  <c r="I47" i="7"/>
  <c r="J47" i="7" s="1"/>
  <c r="K44" i="7"/>
  <c r="M44" i="7" s="1"/>
  <c r="I50" i="7"/>
  <c r="J50" i="7"/>
  <c r="K50" i="7"/>
  <c r="K36" i="7"/>
  <c r="M36" i="7" s="1"/>
  <c r="K39" i="7"/>
  <c r="J42" i="7"/>
  <c r="L42" i="7" s="1"/>
  <c r="I45" i="7"/>
  <c r="J45" i="7" s="1"/>
  <c r="K45" i="7"/>
  <c r="J48" i="7"/>
  <c r="L48" i="7" s="1"/>
  <c r="I51" i="7"/>
  <c r="J51" i="7"/>
  <c r="K15" i="7"/>
  <c r="I10" i="7"/>
  <c r="J10" i="7" s="1"/>
  <c r="J13" i="7"/>
  <c r="K13" i="7" s="1"/>
  <c r="I22" i="7"/>
  <c r="L22" i="7" s="1"/>
  <c r="J22" i="7"/>
  <c r="I25" i="7"/>
  <c r="K25" i="7" s="1"/>
  <c r="M25" i="7" s="1"/>
  <c r="K51" i="7"/>
  <c r="M51" i="7" s="1"/>
  <c r="I19" i="7"/>
  <c r="J19" i="7" s="1"/>
  <c r="K22" i="7"/>
  <c r="M22" i="7" s="1"/>
  <c r="J25" i="7"/>
  <c r="I13" i="7"/>
  <c r="I16" i="7"/>
  <c r="L13" i="7" l="1"/>
  <c r="M13" i="7"/>
  <c r="L37" i="7"/>
  <c r="M37" i="7"/>
  <c r="L28" i="7"/>
  <c r="M28" i="7"/>
  <c r="L30" i="7"/>
  <c r="M9" i="7"/>
  <c r="L9" i="7"/>
  <c r="L16" i="7"/>
  <c r="M16" i="7"/>
  <c r="L34" i="7"/>
  <c r="L29" i="7"/>
  <c r="L18" i="7"/>
  <c r="M18" i="7"/>
  <c r="L46" i="7"/>
  <c r="L51" i="7"/>
  <c r="K32" i="7"/>
  <c r="M32" i="7" s="1"/>
  <c r="J53" i="7"/>
  <c r="K52" i="7"/>
  <c r="M52" i="7" s="1"/>
  <c r="L33" i="7"/>
  <c r="L14" i="7"/>
  <c r="K8" i="7"/>
  <c r="M8" i="7" s="1"/>
  <c r="L19" i="7"/>
  <c r="L25" i="7"/>
  <c r="K49" i="7"/>
  <c r="M49" i="7" s="1"/>
  <c r="K30" i="7"/>
  <c r="M30" i="7" s="1"/>
  <c r="I53" i="7"/>
  <c r="L41" i="7"/>
  <c r="K34" i="7"/>
  <c r="M34" i="7" s="1"/>
  <c r="M21" i="7"/>
  <c r="L12" i="7"/>
  <c r="K27" i="7"/>
  <c r="M27" i="7" s="1"/>
  <c r="L20" i="7"/>
  <c r="K29" i="7"/>
  <c r="M29" i="7" s="1"/>
  <c r="L43" i="7"/>
  <c r="L11" i="7"/>
  <c r="L6" i="7"/>
  <c r="K19" i="7"/>
  <c r="M19" i="7" s="1"/>
  <c r="K10" i="7"/>
  <c r="M10" i="7" s="1"/>
  <c r="K47" i="7"/>
  <c r="M47" i="7" s="1"/>
  <c r="K7" i="7"/>
  <c r="M7" i="7" s="1"/>
  <c r="L10" i="7"/>
  <c r="J26" i="7"/>
  <c r="K26" i="7" s="1"/>
  <c r="K5" i="7"/>
  <c r="L5" i="7" s="1"/>
  <c r="M26" i="7" l="1"/>
  <c r="L26" i="7"/>
  <c r="C31" i="1"/>
  <c r="C6" i="8"/>
  <c r="B6" i="8"/>
  <c r="L52" i="7"/>
  <c r="L32" i="7"/>
  <c r="L27" i="7"/>
  <c r="K53" i="7"/>
  <c r="M5" i="7"/>
  <c r="M53" i="7" s="1"/>
  <c r="L49" i="7"/>
  <c r="L47" i="7"/>
  <c r="L7" i="7"/>
  <c r="L53" i="7" s="1"/>
  <c r="C30" i="1"/>
  <c r="C5" i="8"/>
  <c r="B5" i="8"/>
  <c r="L8" i="7"/>
  <c r="C8" i="8" l="1"/>
  <c r="B8" i="8"/>
  <c r="C33" i="1"/>
  <c r="C35" i="1"/>
  <c r="C7" i="8"/>
  <c r="B7" i="8"/>
  <c r="C34" i="1"/>
  <c r="C32" i="1"/>
  <c r="G5" i="8"/>
  <c r="F5" i="8"/>
  <c r="C36" i="1"/>
  <c r="G6" i="8"/>
  <c r="F6" i="8"/>
</calcChain>
</file>

<file path=xl/sharedStrings.xml><?xml version="1.0" encoding="utf-8"?>
<sst xmlns="http://schemas.openxmlformats.org/spreadsheetml/2006/main" count="1287" uniqueCount="484">
  <si>
    <t>TR1 — Where does the PV energy go?</t>
  </si>
  <si>
    <t>Prosumers vs. pure customers — every kWh traced from the raw model inputs</t>
  </si>
  <si>
    <t>Purpose</t>
  </si>
  <si>
    <t>This workbook accounts for every kWh of PV generated on transformer TR1 over one representative day, and it is fully auditable: nothing is hand-typed except the raw model outputs. Follow the data chain below — each step is a live formula, so changing any raw number updates everything.</t>
  </si>
  <si>
    <t>The data chain (how each number is built)</t>
  </si>
  <si>
    <t>Sheet 3 · Raw PV per load</t>
  </si>
  <si>
    <t>The PV profile of every connection, 48 half-hours. Copied verbatim from TR1_load_PV_48periods.xlsx (sheet PV_generation_kW). Customers = 0.</t>
  </si>
  <si>
    <t>Sheet 4 · Raw load per load</t>
  </si>
  <si>
    <t>The load profile of every connection, 48 half-hours, tagged prosumer / customer. Copied from TR1_load_PV_48periods.xlsx (sheet Load_P_kW).</t>
  </si>
  <si>
    <t>Sheet 5 · Raw batt charge</t>
  </si>
  <si>
    <t>Charging power of every battery, 48 half-hours. Copied from the rolling dispatch TR1_analysis_data.xlsx (sheet Charge_kW).</t>
  </si>
  <si>
    <t>Sheet 6 · Raw batt discharge</t>
  </si>
  <si>
    <t>Discharging power of every battery. Copied from the same run (Discharge_kW).</t>
  </si>
  <si>
    <t>Sheet 7 · PV allocation</t>
  </si>
  <si>
    <t>Per half-hour: the five blue inputs are AGGREGATED from sheets 3–6 by SUM / SUMIF; the amber columns then split the PV by the priority rule.</t>
  </si>
  <si>
    <t>Sheets 1 &amp; 8 · Results</t>
  </si>
  <si>
    <t>Daily totals (Σ×0.5 h) and shares. Every headline cell links to sheet 7.</t>
  </si>
  <si>
    <t>The aggregation formulas (sheet 7, per half-hour)</t>
  </si>
  <si>
    <t>PV (all)</t>
  </si>
  <si>
    <t>prosumer load</t>
  </si>
  <si>
    <t>customer load</t>
  </si>
  <si>
    <t>battery charge</t>
  </si>
  <si>
    <t>battery discharge</t>
  </si>
  <si>
    <t>Headline results (all linked live to sheet 7)</t>
  </si>
  <si>
    <t>Quantity</t>
  </si>
  <si>
    <t>Value</t>
  </si>
  <si>
    <t>Unit</t>
  </si>
  <si>
    <t>Prosumers (PV + battery)</t>
  </si>
  <si>
    <t>connections</t>
  </si>
  <si>
    <t>Pure customers (load only)</t>
  </si>
  <si>
    <t>PV generated</t>
  </si>
  <si>
    <t>kWh/day</t>
  </si>
  <si>
    <t>PV → prosumers' own load (direct)</t>
  </si>
  <si>
    <t>PV → battery storage</t>
  </si>
  <si>
    <t>PV → customers</t>
  </si>
  <si>
    <t>PV → export to grid</t>
  </si>
  <si>
    <t>PV share reaching customers</t>
  </si>
  <si>
    <t>% of PV</t>
  </si>
  <si>
    <t>Customer load covered by PV</t>
  </si>
  <si>
    <t>% of customer load</t>
  </si>
  <si>
    <t>Customer load covered by grid</t>
  </si>
  <si>
    <t>Colour key &amp; provenance</t>
  </si>
  <si>
    <t>• LIGHT-BLUE cell = data belonging to a prosumer (its rooftop PV, load, or battery).  WHITE = a pure customer (load only).  On sheet 7:  VIOLET = value aggregated live from the raw sheets (SUM/SUMIF);  AMBER = allocation formula;  GREEN = daily total (Σ × 0.5 h).</t>
  </si>
  <si>
    <t>• Per-load PV &amp; load profiles:  results/tables/TR1_load_PV_48periods.xlsx  (built from OpData.xls).</t>
  </si>
  <si>
    <t>• Per-battery charge/discharge:  TR1_analysis/01_DAILY_ROLLING_DISPATCH/TR1_analysis_data.xlsx (exact-QCP rolling dispatch, RunFOR_Rolling, CPLEX).</t>
  </si>
  <si>
    <t>• Load classification (PV size &gt; 0 = prosumer):  sheet 'Customers' of the load/PV workbook.</t>
  </si>
  <si>
    <t>• Method note: priority energy allocation per half-hour; downstream network + battery round-trip losses (~3–4% of PV) are not separated out in the per-period disposition.</t>
  </si>
  <si>
    <t>TR1 load classification — 132 connections</t>
  </si>
  <si>
    <t>77 prosumers (PV + battery)  ·  55 pure customers (load only)</t>
  </si>
  <si>
    <t>ID</t>
  </si>
  <si>
    <t>Load name</t>
  </si>
  <si>
    <t>Bus</t>
  </si>
  <si>
    <t>Phase</t>
  </si>
  <si>
    <t>PV size (kW)</t>
  </si>
  <si>
    <t>Type</t>
  </si>
  <si>
    <t>Load_TR1_F1_1</t>
  </si>
  <si>
    <t>TR1_one38</t>
  </si>
  <si>
    <t>customer</t>
  </si>
  <si>
    <t>Load_TR1_F1_10</t>
  </si>
  <si>
    <t>TR1_one195</t>
  </si>
  <si>
    <t>Load_TR1_F1_12</t>
  </si>
  <si>
    <t>TR1_one235</t>
  </si>
  <si>
    <t>Load_TR1_F1_13</t>
  </si>
  <si>
    <t>TR1_one242</t>
  </si>
  <si>
    <t>Load_TR1_F1_14</t>
  </si>
  <si>
    <t>TR1_one252</t>
  </si>
  <si>
    <t>Load_TR1_F1_15</t>
  </si>
  <si>
    <t>TR1_one260</t>
  </si>
  <si>
    <t>Load_TR1_F1_16</t>
  </si>
  <si>
    <t>TR1_one280</t>
  </si>
  <si>
    <t>Load_TR1_F1_17</t>
  </si>
  <si>
    <t>TR1_one287</t>
  </si>
  <si>
    <t>Load_TR1_F1_18</t>
  </si>
  <si>
    <t>TR1_one299</t>
  </si>
  <si>
    <t>Load_TR1_F1_2</t>
  </si>
  <si>
    <t>TR1_one42</t>
  </si>
  <si>
    <t>Load_TR1_F1_22</t>
  </si>
  <si>
    <t>TR1_one328</t>
  </si>
  <si>
    <t>Load_TR1_F1_23</t>
  </si>
  <si>
    <t>TR1_one345</t>
  </si>
  <si>
    <t>Load_TR1_F1_25</t>
  </si>
  <si>
    <t>TR1_one363</t>
  </si>
  <si>
    <t>Load_TR1_F1_27</t>
  </si>
  <si>
    <t>TR1_one371</t>
  </si>
  <si>
    <t>Load_TR1_F1_30</t>
  </si>
  <si>
    <t>TR1_one416</t>
  </si>
  <si>
    <t>Load_TR1_F1_32</t>
  </si>
  <si>
    <t>TR1_one446</t>
  </si>
  <si>
    <t>Load_TR1_F1_34</t>
  </si>
  <si>
    <t>TR1_one477</t>
  </si>
  <si>
    <t>Load_TR1_F1_44</t>
  </si>
  <si>
    <t>TR1_one570</t>
  </si>
  <si>
    <t>Load_TR1_F1_45</t>
  </si>
  <si>
    <t>TR1_one585</t>
  </si>
  <si>
    <t>Load_TR1_F1_46</t>
  </si>
  <si>
    <t>TR1_one590</t>
  </si>
  <si>
    <t>Load_TR1_F1_48</t>
  </si>
  <si>
    <t>TR1_one614</t>
  </si>
  <si>
    <t>Load_TR1_F1_7</t>
  </si>
  <si>
    <t>TR1_one133</t>
  </si>
  <si>
    <t>Load_TR1_F1_8</t>
  </si>
  <si>
    <t>TR1_one137</t>
  </si>
  <si>
    <t>Load_TR1_F1_9</t>
  </si>
  <si>
    <t>TR1_one176</t>
  </si>
  <si>
    <t>Load_TR1_F6_14</t>
  </si>
  <si>
    <t>TR1_six203</t>
  </si>
  <si>
    <t>Load_TR1_F6_15</t>
  </si>
  <si>
    <t>TR1_six232</t>
  </si>
  <si>
    <t>Load_TR1_F6_16</t>
  </si>
  <si>
    <t>TR1_six238</t>
  </si>
  <si>
    <t>Load_TR1_F6_27</t>
  </si>
  <si>
    <t>TR1_six362</t>
  </si>
  <si>
    <t>Load_TR1_F6_28</t>
  </si>
  <si>
    <t>TR1_six365</t>
  </si>
  <si>
    <t>Load_TR1_F6_32</t>
  </si>
  <si>
    <t>TR1_six392</t>
  </si>
  <si>
    <t>Load_TR1_F6_4</t>
  </si>
  <si>
    <t>TR1_six82</t>
  </si>
  <si>
    <t>Load_TR1_F6_40</t>
  </si>
  <si>
    <t>TR1_six523</t>
  </si>
  <si>
    <t>Load_TR1_F6_41</t>
  </si>
  <si>
    <t>TR1_six534</t>
  </si>
  <si>
    <t>Load_TR1_F6_42</t>
  </si>
  <si>
    <t>TR1_six571</t>
  </si>
  <si>
    <t>Load_TR1_F6_43</t>
  </si>
  <si>
    <t>TR1_six583</t>
  </si>
  <si>
    <t>Load_TR1_F6_44</t>
  </si>
  <si>
    <t>TR1_six591</t>
  </si>
  <si>
    <t>Load_TR1_F6_46</t>
  </si>
  <si>
    <t>TR1_six625</t>
  </si>
  <si>
    <t>Load_TR1_F6_47</t>
  </si>
  <si>
    <t>TR1_six643</t>
  </si>
  <si>
    <t>Load_TR1_F6_49</t>
  </si>
  <si>
    <t>TR1_six651</t>
  </si>
  <si>
    <t>Load_TR1_F6_5</t>
  </si>
  <si>
    <t>TR1_six87</t>
  </si>
  <si>
    <t>Load_TR1_F6_50</t>
  </si>
  <si>
    <t>TR1_six652</t>
  </si>
  <si>
    <t>Load_TR1_F6_51</t>
  </si>
  <si>
    <t>TR1_six665</t>
  </si>
  <si>
    <t>Load_TR1_F6_52</t>
  </si>
  <si>
    <t>TR1_six667</t>
  </si>
  <si>
    <t>Load_TR1_F6_57</t>
  </si>
  <si>
    <t>TR1_six740</t>
  </si>
  <si>
    <t>Load_TR1_F6_58</t>
  </si>
  <si>
    <t>TR1_six758</t>
  </si>
  <si>
    <t>Load_TR1_F6_60</t>
  </si>
  <si>
    <t>TR1_six799</t>
  </si>
  <si>
    <t>Load_TR1_F6_61</t>
  </si>
  <si>
    <t>TR1_six801</t>
  </si>
  <si>
    <t>Load_TR1_F6_63</t>
  </si>
  <si>
    <t>TR1_six844</t>
  </si>
  <si>
    <t>Load_TR1_F6_68</t>
  </si>
  <si>
    <t>TR1_six894</t>
  </si>
  <si>
    <t>Load_TR1_F6_71</t>
  </si>
  <si>
    <t>TR1_six921</t>
  </si>
  <si>
    <t>Load_TR1_F6_72</t>
  </si>
  <si>
    <t>TR1_six929</t>
  </si>
  <si>
    <t>Load_TR1_F6_73</t>
  </si>
  <si>
    <t>TR1_six938</t>
  </si>
  <si>
    <t>Load_TR1_F6_77</t>
  </si>
  <si>
    <t>TR1_six974</t>
  </si>
  <si>
    <t>Load_TR1_F6_78</t>
  </si>
  <si>
    <t>TR1_six979</t>
  </si>
  <si>
    <t>Load_TR1_F6_8</t>
  </si>
  <si>
    <t>TR1_six111</t>
  </si>
  <si>
    <t>Load_TR1_F1_11</t>
  </si>
  <si>
    <t>TR1_one223</t>
  </si>
  <si>
    <t>prosumer</t>
  </si>
  <si>
    <t>Load_TR1_F1_19</t>
  </si>
  <si>
    <t>TR1_one313</t>
  </si>
  <si>
    <t>Load_TR1_F1_20</t>
  </si>
  <si>
    <t>TR1_one320</t>
  </si>
  <si>
    <t>Load_TR1_F1_21</t>
  </si>
  <si>
    <t>TR1_one321</t>
  </si>
  <si>
    <t>Load_TR1_F1_24</t>
  </si>
  <si>
    <t>TR1_one346</t>
  </si>
  <si>
    <t>Load_TR1_F1_26</t>
  </si>
  <si>
    <t>TR1_one366</t>
  </si>
  <si>
    <t>Load_TR1_F1_28</t>
  </si>
  <si>
    <t>TR1_one375</t>
  </si>
  <si>
    <t>Load_TR1_F1_29</t>
  </si>
  <si>
    <t>TR1_one410</t>
  </si>
  <si>
    <t>Load_TR1_F1_3</t>
  </si>
  <si>
    <t>TR1_one50</t>
  </si>
  <si>
    <t>Load_TR1_F1_31</t>
  </si>
  <si>
    <t>TR1_one423</t>
  </si>
  <si>
    <t>Load_TR1_F1_33</t>
  </si>
  <si>
    <t>TR1_one469</t>
  </si>
  <si>
    <t>Load_TR1_F1_35</t>
  </si>
  <si>
    <t>TR1_one480</t>
  </si>
  <si>
    <t>Load_TR1_F1_36</t>
  </si>
  <si>
    <t>TR1_one482</t>
  </si>
  <si>
    <t>Load_TR1_F1_37</t>
  </si>
  <si>
    <t>TR1_one521</t>
  </si>
  <si>
    <t>Load_TR1_F1_38</t>
  </si>
  <si>
    <t>TR1_one528</t>
  </si>
  <si>
    <t>Load_TR1_F1_39</t>
  </si>
  <si>
    <t>TR1_one537</t>
  </si>
  <si>
    <t>Load_TR1_F1_4</t>
  </si>
  <si>
    <t>TR1_one61</t>
  </si>
  <si>
    <t>Load_TR1_F1_40</t>
  </si>
  <si>
    <t>TR1_one544</t>
  </si>
  <si>
    <t>Load_TR1_F1_41</t>
  </si>
  <si>
    <t>TR1_one552</t>
  </si>
  <si>
    <t>Load_TR1_F1_42</t>
  </si>
  <si>
    <t>TR1_one559</t>
  </si>
  <si>
    <t>Load_TR1_F1_43</t>
  </si>
  <si>
    <t>TR1_one560</t>
  </si>
  <si>
    <t>Load_TR1_F1_47</t>
  </si>
  <si>
    <t>TR1_one605</t>
  </si>
  <si>
    <t>Load_TR1_F1_49</t>
  </si>
  <si>
    <t>TR1_one617</t>
  </si>
  <si>
    <t>Load_TR1_F1_5</t>
  </si>
  <si>
    <t>TR1_one73</t>
  </si>
  <si>
    <t>Load_TR1_F1_6</t>
  </si>
  <si>
    <t>TR1_one76</t>
  </si>
  <si>
    <t>Load_TR1_F6_1</t>
  </si>
  <si>
    <t>TR1_six64</t>
  </si>
  <si>
    <t>Load_TR1_F6_10</t>
  </si>
  <si>
    <t>TR1_six154</t>
  </si>
  <si>
    <t>Load_TR1_F6_11</t>
  </si>
  <si>
    <t>TR1_six173</t>
  </si>
  <si>
    <t>Load_TR1_F6_12</t>
  </si>
  <si>
    <t>TR1_six186</t>
  </si>
  <si>
    <t>Load_TR1_F6_13</t>
  </si>
  <si>
    <t>TR1_six191</t>
  </si>
  <si>
    <t>Load_TR1_F6_17</t>
  </si>
  <si>
    <t>TR1_six249</t>
  </si>
  <si>
    <t>Load_TR1_F6_18</t>
  </si>
  <si>
    <t>TR1_six254</t>
  </si>
  <si>
    <t>Load_TR1_F6_19</t>
  </si>
  <si>
    <t>TR1_six269</t>
  </si>
  <si>
    <t>Load_TR1_F6_2</t>
  </si>
  <si>
    <t>TR1_six68</t>
  </si>
  <si>
    <t>Load_TR1_F6_20</t>
  </si>
  <si>
    <t>TR1_six289</t>
  </si>
  <si>
    <t>Load_TR1_F6_21</t>
  </si>
  <si>
    <t>TR1_six317</t>
  </si>
  <si>
    <t>Load_TR1_F6_22</t>
  </si>
  <si>
    <t>TR1_six326</t>
  </si>
  <si>
    <t>Load_TR1_F6_23</t>
  </si>
  <si>
    <t>TR1_six329</t>
  </si>
  <si>
    <t>Load_TR1_F6_24</t>
  </si>
  <si>
    <t>TR1_six342</t>
  </si>
  <si>
    <t>Load_TR1_F6_25</t>
  </si>
  <si>
    <t>TR1_six349</t>
  </si>
  <si>
    <t>Load_TR1_F6_26</t>
  </si>
  <si>
    <t>TR1_six350</t>
  </si>
  <si>
    <t>Load_TR1_F6_29</t>
  </si>
  <si>
    <t>TR1_six378</t>
  </si>
  <si>
    <t>Load_TR1_F6_3</t>
  </si>
  <si>
    <t>TR1_six75</t>
  </si>
  <si>
    <t>Load_TR1_F6_30</t>
  </si>
  <si>
    <t>TR1_six385</t>
  </si>
  <si>
    <t>Load_TR1_F6_31</t>
  </si>
  <si>
    <t>TR1_six387</t>
  </si>
  <si>
    <t>Load_TR1_F6_33</t>
  </si>
  <si>
    <t>TR1_six410</t>
  </si>
  <si>
    <t>Load_TR1_F6_34</t>
  </si>
  <si>
    <t>TR1_six431</t>
  </si>
  <si>
    <t>Load_TR1_F6_35</t>
  </si>
  <si>
    <t>TR1_six441</t>
  </si>
  <si>
    <t>Load_TR1_F6_36</t>
  </si>
  <si>
    <t>TR1_six484</t>
  </si>
  <si>
    <t>Load_TR1_F6_37</t>
  </si>
  <si>
    <t>TR1_six501</t>
  </si>
  <si>
    <t>Load_TR1_F6_38</t>
  </si>
  <si>
    <t>TR1_six512</t>
  </si>
  <si>
    <t>Load_TR1_F6_39</t>
  </si>
  <si>
    <t>TR1_six518</t>
  </si>
  <si>
    <t>Load_TR1_F6_45</t>
  </si>
  <si>
    <t>TR1_six595</t>
  </si>
  <si>
    <t>Load_TR1_F6_48</t>
  </si>
  <si>
    <t>TR1_six646</t>
  </si>
  <si>
    <t>Load_TR1_F6_53</t>
  </si>
  <si>
    <t>TR1_six699</t>
  </si>
  <si>
    <t>Load_TR1_F6_54</t>
  </si>
  <si>
    <t>TR1_six718</t>
  </si>
  <si>
    <t>Load_TR1_F6_55</t>
  </si>
  <si>
    <t>TR1_six721</t>
  </si>
  <si>
    <t>Load_TR1_F6_56</t>
  </si>
  <si>
    <t>TR1_six723</t>
  </si>
  <si>
    <t>Load_TR1_F6_59</t>
  </si>
  <si>
    <t>TR1_six784</t>
  </si>
  <si>
    <t>Load_TR1_F6_6</t>
  </si>
  <si>
    <t>TR1_six90</t>
  </si>
  <si>
    <t>Load_TR1_F6_62</t>
  </si>
  <si>
    <t>TR1_six807</t>
  </si>
  <si>
    <t>Load_TR1_F6_64</t>
  </si>
  <si>
    <t>TR1_six852</t>
  </si>
  <si>
    <t>Load_TR1_F6_65</t>
  </si>
  <si>
    <t>TR1_six860</t>
  </si>
  <si>
    <t>Load_TR1_F6_66</t>
  </si>
  <si>
    <t>TR1_six869</t>
  </si>
  <si>
    <t>Load_TR1_F6_67</t>
  </si>
  <si>
    <t>TR1_six885</t>
  </si>
  <si>
    <t>Load_TR1_F6_69</t>
  </si>
  <si>
    <t>TR1_six909</t>
  </si>
  <si>
    <t>Load_TR1_F6_7</t>
  </si>
  <si>
    <t>TR1_six105</t>
  </si>
  <si>
    <t>Load_TR1_F6_70</t>
  </si>
  <si>
    <t>TR1_six914</t>
  </si>
  <si>
    <t>Load_TR1_F6_74</t>
  </si>
  <si>
    <t>TR1_six945</t>
  </si>
  <si>
    <t>Load_TR1_F6_75</t>
  </si>
  <si>
    <t>TR1_six952</t>
  </si>
  <si>
    <t>Load_TR1_F6_76</t>
  </si>
  <si>
    <t>TR1_six967</t>
  </si>
  <si>
    <t>Load_TR1_F6_79</t>
  </si>
  <si>
    <t>TR1_six990</t>
  </si>
  <si>
    <t>Load_TR1_F6_80</t>
  </si>
  <si>
    <t>TR1_six1006</t>
  </si>
  <si>
    <t>Load_TR1_F6_81</t>
  </si>
  <si>
    <t>TR1_six1020</t>
  </si>
  <si>
    <t>Load_TR1_F6_82</t>
  </si>
  <si>
    <t>TR1_six1025</t>
  </si>
  <si>
    <t>Load_TR1_F6_83</t>
  </si>
  <si>
    <t>TR1_six1064</t>
  </si>
  <si>
    <t>Load_TR1_F6_9</t>
  </si>
  <si>
    <t>TR1_six128</t>
  </si>
  <si>
    <t>Raw PV per load</t>
  </si>
  <si>
    <t>Verbatim copy of PV_generation_kW (TR1_load_PV_48periods.xlsx). One row per connection, 48 half-hours (kW).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</si>
  <si>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</si>
  <si>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</si>
  <si>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</si>
  <si>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</si>
  <si>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</si>
  <si>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</si>
  <si>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</si>
  <si>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</si>
  <si>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</si>
  <si>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</si>
  <si>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</si>
  <si>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</si>
  <si>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</si>
  <si>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</si>
  <si>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</si>
  <si>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</si>
  <si>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</si>
  <si>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</si>
  <si>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</si>
  <si>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</si>
  <si>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</si>
  <si>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</si>
  <si>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</si>
  <si>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</si>
  <si>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</si>
  <si>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</si>
  <si>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</si>
  <si>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</si>
  <si>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</si>
  <si>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</si>
  <si>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</si>
  <si>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</si>
  <si>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</si>
  <si>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</si>
  <si>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</si>
  <si>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</si>
  <si>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</si>
  <si>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</si>
  <si>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</si>
  <si>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</si>
  <si>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</si>
  <si>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</si>
  <si>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</si>
  <si>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</si>
  <si>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</si>
  <si>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</si>
  <si>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</si>
  <si>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</si>
  <si>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Raw load per load</t>
  </si>
  <si>
    <t>Verbatim copy of Load_P_kW (TR1_load_PV_48periods.xlsx), tagged by type. One row per connection, 48 half-hours (kW).</t>
  </si>
  <si>
    <t>Raw batt charge</t>
  </si>
  <si>
    <t>Verbatim copy of Charge_kW (TR1_analysis_data.xlsx). One row per half-hour, one column per battery (kW).</t>
  </si>
  <si>
    <t>period</t>
  </si>
  <si>
    <t>hour</t>
  </si>
  <si>
    <t>BES_TR1_one223_B</t>
  </si>
  <si>
    <t>BES_TR1_one313_A</t>
  </si>
  <si>
    <t>BES_TR1_one320_B</t>
  </si>
  <si>
    <t>BES_TR1_one321_C</t>
  </si>
  <si>
    <t>BES_TR1_one346_C</t>
  </si>
  <si>
    <t>BES_TR1_one366_B</t>
  </si>
  <si>
    <t>BES_TR1_one375_C</t>
  </si>
  <si>
    <t>BES_TR1_one410_B</t>
  </si>
  <si>
    <t>BES_TR1_one50_A</t>
  </si>
  <si>
    <t>BES_TR1_one423_B</t>
  </si>
  <si>
    <t>BES_TR1_one469_A</t>
  </si>
  <si>
    <t>BES_TR1_one480_A</t>
  </si>
  <si>
    <t>BES_TR1_one482_B</t>
  </si>
  <si>
    <t>BES_TR1_one521_C</t>
  </si>
  <si>
    <t>BES_TR1_one528_C</t>
  </si>
  <si>
    <t>BES_TR1_one537_A</t>
  </si>
  <si>
    <t>BES_TR1_one61_A</t>
  </si>
  <si>
    <t>BES_TR1_one544_A</t>
  </si>
  <si>
    <t>BES_TR1_one552_B</t>
  </si>
  <si>
    <t>BES_TR1_one559_C</t>
  </si>
  <si>
    <t>BES_TR1_one560_C</t>
  </si>
  <si>
    <t>BES_TR1_one605_A</t>
  </si>
  <si>
    <t>BES_TR1_one617_A</t>
  </si>
  <si>
    <t>BES_TR1_one73_A</t>
  </si>
  <si>
    <t>BES_TR1_one76_A</t>
  </si>
  <si>
    <t>BES_TR1_six64_A</t>
  </si>
  <si>
    <t>BES_TR1_six154_C</t>
  </si>
  <si>
    <t>BES_TR1_six173_C</t>
  </si>
  <si>
    <t>BES_TR1_six186_A</t>
  </si>
  <si>
    <t>BES_TR1_six191_B</t>
  </si>
  <si>
    <t>BES_TR1_six249_B</t>
  </si>
  <si>
    <t>BES_TR1_six254_B</t>
  </si>
  <si>
    <t>BES_TR1_six269_C</t>
  </si>
  <si>
    <t>BES_TR1_six68_C</t>
  </si>
  <si>
    <t>BES_TR1_six289_C</t>
  </si>
  <si>
    <t>BES_TR1_six317_C</t>
  </si>
  <si>
    <t>BES_TR1_six326_A</t>
  </si>
  <si>
    <t>BES_TR1_six329_A</t>
  </si>
  <si>
    <t>BES_TR1_six342_A</t>
  </si>
  <si>
    <t>BES_TR1_six349_A</t>
  </si>
  <si>
    <t>BES_TR1_six350_B</t>
  </si>
  <si>
    <t>BES_TR1_six378_A</t>
  </si>
  <si>
    <t>BES_TR1_six75_A</t>
  </si>
  <si>
    <t>BES_TR1_six385_B</t>
  </si>
  <si>
    <t>BES_TR1_six387_A</t>
  </si>
  <si>
    <t>BES_TR1_six410_A</t>
  </si>
  <si>
    <t>BES_TR1_six431_C</t>
  </si>
  <si>
    <t>BES_TR1_six441_A</t>
  </si>
  <si>
    <t>BES_TR1_six484_B</t>
  </si>
  <si>
    <t>BES_TR1_six501_A</t>
  </si>
  <si>
    <t>BES_TR1_six512_B</t>
  </si>
  <si>
    <t>BES_TR1_six518_B</t>
  </si>
  <si>
    <t>BES_TR1_six595_B</t>
  </si>
  <si>
    <t>BES_TR1_six646_B</t>
  </si>
  <si>
    <t>BES_TR1_six699_C</t>
  </si>
  <si>
    <t>BES_TR1_six718_C</t>
  </si>
  <si>
    <t>BES_TR1_six721_A</t>
  </si>
  <si>
    <t>BES_TR1_six723_B</t>
  </si>
  <si>
    <t>BES_TR1_six784_B</t>
  </si>
  <si>
    <t>BES_TR1_six90_B</t>
  </si>
  <si>
    <t>BES_TR1_six807_A</t>
  </si>
  <si>
    <t>BES_TR1_six852_B</t>
  </si>
  <si>
    <t>BES_TR1_six860_C</t>
  </si>
  <si>
    <t>BES_TR1_six869_C</t>
  </si>
  <si>
    <t>BES_TR1_six885_A</t>
  </si>
  <si>
    <t>BES_TR1_six909_C</t>
  </si>
  <si>
    <t>BES_TR1_six105_A</t>
  </si>
  <si>
    <t>BES_TR1_six914_A</t>
  </si>
  <si>
    <t>BES_TR1_six945_C</t>
  </si>
  <si>
    <t>BES_TR1_six952_A</t>
  </si>
  <si>
    <t>BES_TR1_six967_B</t>
  </si>
  <si>
    <t>BES_TR1_six990_B</t>
  </si>
  <si>
    <t>BES_TR1_six1006_C</t>
  </si>
  <si>
    <t>BES_TR1_six1020_A</t>
  </si>
  <si>
    <t>BES_TR1_six1025_B</t>
  </si>
  <si>
    <t>BES_TR1_six1064_C</t>
  </si>
  <si>
    <t>BES_TR1_six128_B</t>
  </si>
  <si>
    <t>Raw batt discharge</t>
  </si>
  <si>
    <t>Verbatim copy of Discharge_kW (TR1_analysis_data.xlsx). One row per half-hour, one column per battery (kW).</t>
  </si>
  <si>
    <t>TR1 PV allocation — per half-hour</t>
  </si>
  <si>
    <t>VIOLET = aggregated live from the raw sheets 3–6 (SUM / SUMIF).  AMBER = priority split (MIN formulas): PV → prosumer load → battery → customer load → export.</t>
  </si>
  <si>
    <t>hour
(h)</t>
  </si>
  <si>
    <t>PV
(kW)</t>
  </si>
  <si>
    <t>prosumer
load (kW)</t>
  </si>
  <si>
    <t>customer
load (kW)</t>
  </si>
  <si>
    <t>batt
charge (kW)</t>
  </si>
  <si>
    <t>batt
discharge (kW)</t>
  </si>
  <si>
    <t>batt net
=chg−dis</t>
  </si>
  <si>
    <t>PV→
prosumer</t>
  </si>
  <si>
    <t>PV→
battery</t>
  </si>
  <si>
    <t>PV→
customer</t>
  </si>
  <si>
    <t>PV→
export</t>
  </si>
  <si>
    <t>customer
←grid</t>
  </si>
  <si>
    <t>TOTAL</t>
  </si>
  <si>
    <t>Each half-hour is 0.5 h, so daily energy (kWh) = Σ(power in kW) × 0.5.</t>
  </si>
  <si>
    <t>TR1 PV allocation — results</t>
  </si>
  <si>
    <t>Where the day's PV goes</t>
  </si>
  <si>
    <t>How the customers (55) are supplied</t>
  </si>
  <si>
    <t>Destination</t>
  </si>
  <si>
    <t>Source</t>
  </si>
  <si>
    <t>% of cust. load</t>
  </si>
  <si>
    <t>PV → prosumers' own load</t>
  </si>
  <si>
    <t>From prosumer PV (day)</t>
  </si>
  <si>
    <t>From grid import (night)</t>
  </si>
  <si>
    <t>TOTAL customer load</t>
  </si>
  <si>
    <t>TOTAL (= PV)</t>
  </si>
  <si>
    <t>Trace any input: e.g. cell C5 = SUM of column C on sheet 3 (PV of all 132 connections at 00:00).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</si>
</sst>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15"/>
      <color rgb="FF1F3864"/>
      <name val="Calibri"/>
    </font>
    <font>
      <b/>
      <sz val="11"/>
      <color rgb="FF2E5496"/>
      <name val="Calibri"/>
    </font>
    <font>
      <b/>
      <sz val="11"/>
      <name val="Calibri"/>
    </font>
    <font>
      <sz val="9"/>
      <name val="Consolas"/>
    </font>
    <font>
      <b/>
      <sz val="10"/>
      <color rgb="FFFFFFFF"/>
      <name val="Calibri"/>
    </font>
    <font>
      <i/>
      <sz val="9"/>
      <color rgb="FF66666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4DFE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 wrapText="1"/>
    </xf>
    <xf numFmtId="0" fontId="0" fillId="0" borderId="1" xfId="0" applyBorder="1"/>
    <xf numFmtId="164" fontId="0" fillId="4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0" fillId="4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/>
    </xf>
    <xf numFmtId="0" fontId="6" fillId="0" borderId="0" xfId="0" applyFont="1"/>
    <xf numFmtId="166" fontId="0" fillId="0" borderId="0" xfId="0" applyNumberFormat="1"/>
    <xf numFmtId="0" fontId="0" fillId="5" borderId="1" xfId="0" applyFill="1" applyBorder="1"/>
    <xf numFmtId="166" fontId="0" fillId="5" borderId="0" xfId="0" applyNumberFormat="1" applyFill="1"/>
    <xf numFmtId="164" fontId="0" fillId="0" borderId="1" xfId="0" applyNumberFormat="1" applyBorder="1"/>
    <xf numFmtId="164" fontId="0" fillId="6" borderId="1" xfId="0" applyNumberFormat="1" applyFill="1" applyBorder="1"/>
    <xf numFmtId="164" fontId="0" fillId="4" borderId="1" xfId="0" applyNumberFormat="1" applyFill="1" applyBorder="1"/>
    <xf numFmtId="0" fontId="3" fillId="7" borderId="1" xfId="0" applyFont="1" applyFill="1" applyBorder="1"/>
    <xf numFmtId="164" fontId="3" fillId="7" borderId="1" xfId="0" applyNumberFormat="1" applyFont="1" applyFill="1" applyBorder="1"/>
    <xf numFmtId="165" fontId="0" fillId="4" borderId="1" xfId="0" applyNumberFormat="1" applyFill="1" applyBorder="1"/>
    <xf numFmtId="165" fontId="3" fillId="7" borderId="1" xfId="0" applyNumberFormat="1" applyFont="1" applyFill="1" applyBorder="1"/>
    <xf numFmtId="0" fontId="0" fillId="0" borderId="0" xfId="0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</a:rPr>
              <a:t>Where the PV goes across the day (stacked, kW)</a:t>
            </a:r>
            <a:endParaRPr lang="en-US" sz="700">
              <a:effectLst/>
            </a:endParaRP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'7. PV allocation (per period)'!$I$4</c:f>
              <c:strCache>
                <c:ptCount val="1"/>
                <c:pt idx="0">
                  <c:v>PV→
prosumer</c:v>
                </c:pt>
              </c:strCache>
            </c:strRef>
          </c:tx>
          <c:spPr>
            <a:ln>
              <a:prstDash val="solid"/>
            </a:ln>
          </c:spPr>
          <c:cat>
            <c:numRef>
              <c:f>'7. PV allocation (per period)'!$B$5:$B$52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'7. PV allocation (per period)'!$I$5:$I$52</c:f>
              <c:numCache>
                <c:formatCode>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0.19129999999999989</c:v>
                </c:pt>
                <c:pt idx="8">
                  <c:v>2.7665000000000002</c:v>
                </c:pt>
                <c:pt idx="9">
                  <c:v>8.9886999999999997</c:v>
                </c:pt>
                <c:pt idx="10">
                  <c:v>8.3603999999999967</c:v>
                </c:pt>
                <c:pt idx="11">
                  <c:v>9.6715999999999962</c:v>
                </c:pt>
                <c:pt idx="12">
                  <c:v>9.6460999999999988</c:v>
                </c:pt>
                <c:pt idx="13">
                  <c:v>13.653999999999998</c:v>
                </c:pt>
                <c:pt idx="14">
                  <c:v>11.759800000000002</c:v>
                </c:pt>
                <c:pt idx="15">
                  <c:v>15.640700000000006</c:v>
                </c:pt>
                <c:pt idx="16">
                  <c:v>18.510800000000007</c:v>
                </c:pt>
                <c:pt idx="17">
                  <c:v>32.906600000000019</c:v>
                </c:pt>
                <c:pt idx="18">
                  <c:v>29.688300000000002</c:v>
                </c:pt>
                <c:pt idx="19">
                  <c:v>28.467000000000002</c:v>
                </c:pt>
                <c:pt idx="20">
                  <c:v>30.751899999999999</c:v>
                </c:pt>
                <c:pt idx="21">
                  <c:v>29.534500000000008</c:v>
                </c:pt>
                <c:pt idx="22">
                  <c:v>29.767500000000002</c:v>
                </c:pt>
                <c:pt idx="23">
                  <c:v>34.921699999999987</c:v>
                </c:pt>
                <c:pt idx="24">
                  <c:v>29.943799999999996</c:v>
                </c:pt>
                <c:pt idx="25">
                  <c:v>27.560199999999998</c:v>
                </c:pt>
                <c:pt idx="26">
                  <c:v>23.545699999999993</c:v>
                </c:pt>
                <c:pt idx="27">
                  <c:v>21.435000000000006</c:v>
                </c:pt>
                <c:pt idx="28">
                  <c:v>26.250499999999995</c:v>
                </c:pt>
                <c:pt idx="29">
                  <c:v>25.221299999999992</c:v>
                </c:pt>
                <c:pt idx="30">
                  <c:v>20.8413</c:v>
                </c:pt>
                <c:pt idx="31">
                  <c:v>23.325900000000001</c:v>
                </c:pt>
                <c:pt idx="32">
                  <c:v>24.146799999999999</c:v>
                </c:pt>
                <c:pt idx="33">
                  <c:v>26.504900000000003</c:v>
                </c:pt>
                <c:pt idx="34">
                  <c:v>31.830900000000007</c:v>
                </c:pt>
                <c:pt idx="35">
                  <c:v>28.8887</c:v>
                </c:pt>
                <c:pt idx="36">
                  <c:v>34.964599999999997</c:v>
                </c:pt>
                <c:pt idx="37">
                  <c:v>28.412000000000003</c:v>
                </c:pt>
                <c:pt idx="38">
                  <c:v>20.487499999999997</c:v>
                </c:pt>
                <c:pt idx="39">
                  <c:v>5.9630000000000001</c:v>
                </c:pt>
                <c:pt idx="40">
                  <c:v>1.1007999999999998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C1-4101-86B6-AE2FE821E45F}"/>
            </c:ext>
          </c:extLst>
        </c:ser>
        <c:ser>
          <c:idx val="1"/>
          <c:order val="1"/>
          <c:tx>
            <c:strRef>
              <c:f>'7. PV allocation (per period)'!$J$4</c:f>
              <c:strCache>
                <c:ptCount val="1"/>
                <c:pt idx="0">
                  <c:v>PV→
battery</c:v>
                </c:pt>
              </c:strCache>
            </c:strRef>
          </c:tx>
          <c:spPr>
            <a:ln>
              <a:prstDash val="solid"/>
            </a:ln>
          </c:spPr>
          <c:cat>
            <c:numRef>
              <c:f>'7. PV allocation (per period)'!$B$5:$B$52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'7. PV allocation (per period)'!$J$5:$J$52</c:f>
              <c:numCache>
                <c:formatCode>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3.9459999999999971</c:v>
                </c:pt>
                <c:pt idx="10">
                  <c:v>17.300600000000003</c:v>
                </c:pt>
                <c:pt idx="11">
                  <c:v>31.595399999999998</c:v>
                </c:pt>
                <c:pt idx="12">
                  <c:v>48.643299999999975</c:v>
                </c:pt>
                <c:pt idx="13">
                  <c:v>61.869999999999962</c:v>
                </c:pt>
                <c:pt idx="14">
                  <c:v>80.910099999999957</c:v>
                </c:pt>
                <c:pt idx="15">
                  <c:v>88.695000000000007</c:v>
                </c:pt>
                <c:pt idx="16">
                  <c:v>63.118000000000016</c:v>
                </c:pt>
                <c:pt idx="17">
                  <c:v>36.257999999999996</c:v>
                </c:pt>
                <c:pt idx="18">
                  <c:v>25.728000000000002</c:v>
                </c:pt>
                <c:pt idx="19">
                  <c:v>17.544999999999998</c:v>
                </c:pt>
                <c:pt idx="20">
                  <c:v>10.014999999999999</c:v>
                </c:pt>
                <c:pt idx="21">
                  <c:v>7.7789999999999981</c:v>
                </c:pt>
                <c:pt idx="22">
                  <c:v>8.8680000000000003</c:v>
                </c:pt>
                <c:pt idx="23">
                  <c:v>1.9080000000000004</c:v>
                </c:pt>
                <c:pt idx="24">
                  <c:v>1.2210000000000001</c:v>
                </c:pt>
                <c:pt idx="25">
                  <c:v>3.7000000000000144E-2</c:v>
                </c:pt>
                <c:pt idx="26">
                  <c:v>0</c:v>
                </c:pt>
                <c:pt idx="27">
                  <c:v>3.2620000000000005</c:v>
                </c:pt>
                <c:pt idx="28">
                  <c:v>4.754999999999999</c:v>
                </c:pt>
                <c:pt idx="29">
                  <c:v>4.1130000000000004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C1-4101-86B6-AE2FE821E45F}"/>
            </c:ext>
          </c:extLst>
        </c:ser>
        <c:ser>
          <c:idx val="2"/>
          <c:order val="2"/>
          <c:tx>
            <c:strRef>
              <c:f>'7. PV allocation (per period)'!$K$4</c:f>
              <c:strCache>
                <c:ptCount val="1"/>
                <c:pt idx="0">
                  <c:v>PV→
customer</c:v>
                </c:pt>
              </c:strCache>
            </c:strRef>
          </c:tx>
          <c:spPr>
            <a:ln>
              <a:prstDash val="solid"/>
            </a:ln>
          </c:spPr>
          <c:cat>
            <c:numRef>
              <c:f>'7. PV allocation (per period)'!$B$5:$B$52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'7. PV allocation (per period)'!$K$5:$K$52</c:f>
              <c:numCache>
                <c:formatCode>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3.1000000000060979E-3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5.5019999999999385</c:v>
                </c:pt>
                <c:pt idx="16">
                  <c:v>13.552099999999996</c:v>
                </c:pt>
                <c:pt idx="17">
                  <c:v>12.729100000000001</c:v>
                </c:pt>
                <c:pt idx="18">
                  <c:v>15.587800000000001</c:v>
                </c:pt>
                <c:pt idx="19">
                  <c:v>15.718899999999993</c:v>
                </c:pt>
                <c:pt idx="20">
                  <c:v>19.276999999999994</c:v>
                </c:pt>
                <c:pt idx="21">
                  <c:v>23.982899999999997</c:v>
                </c:pt>
                <c:pt idx="22">
                  <c:v>15.315300000000002</c:v>
                </c:pt>
                <c:pt idx="23">
                  <c:v>15.778199999999995</c:v>
                </c:pt>
                <c:pt idx="24">
                  <c:v>22.0519</c:v>
                </c:pt>
                <c:pt idx="25">
                  <c:v>16.921499999999995</c:v>
                </c:pt>
                <c:pt idx="26">
                  <c:v>16.8689</c:v>
                </c:pt>
                <c:pt idx="27">
                  <c:v>12.851900000000001</c:v>
                </c:pt>
                <c:pt idx="28">
                  <c:v>17.966200000000001</c:v>
                </c:pt>
                <c:pt idx="29">
                  <c:v>22.189299999999992</c:v>
                </c:pt>
                <c:pt idx="30">
                  <c:v>26.42260000000001</c:v>
                </c:pt>
                <c:pt idx="31">
                  <c:v>15.877399999999996</c:v>
                </c:pt>
                <c:pt idx="32">
                  <c:v>15.532700000000006</c:v>
                </c:pt>
                <c:pt idx="33">
                  <c:v>14.291500000000001</c:v>
                </c:pt>
                <c:pt idx="34">
                  <c:v>20.686899999999994</c:v>
                </c:pt>
                <c:pt idx="35">
                  <c:v>25.382400000000001</c:v>
                </c:pt>
                <c:pt idx="36">
                  <c:v>16.37289999999998</c:v>
                </c:pt>
                <c:pt idx="37">
                  <c:v>6.6749000000000187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C1-4101-86B6-AE2FE821E45F}"/>
            </c:ext>
          </c:extLst>
        </c:ser>
        <c:ser>
          <c:idx val="3"/>
          <c:order val="3"/>
          <c:tx>
            <c:strRef>
              <c:f>'7. PV allocation (per period)'!$L$4</c:f>
              <c:strCache>
                <c:ptCount val="1"/>
                <c:pt idx="0">
                  <c:v>PV→
export</c:v>
                </c:pt>
              </c:strCache>
            </c:strRef>
          </c:tx>
          <c:spPr>
            <a:ln>
              <a:prstDash val="solid"/>
            </a:ln>
          </c:spPr>
          <c:cat>
            <c:numRef>
              <c:f>'7. PV allocation (per period)'!$B$5:$B$52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'7. PV allocation (per period)'!$L$5:$L$52</c:f>
              <c:numCache>
                <c:formatCode>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30.771600000000028</c:v>
                </c:pt>
                <c:pt idx="17">
                  <c:v>59.208299999999923</c:v>
                </c:pt>
                <c:pt idx="18">
                  <c:v>82.998700000000142</c:v>
                </c:pt>
                <c:pt idx="19">
                  <c:v>103.27509999999997</c:v>
                </c:pt>
                <c:pt idx="20">
                  <c:v>114.6185999999999</c:v>
                </c:pt>
                <c:pt idx="21">
                  <c:v>121.33859999999987</c:v>
                </c:pt>
                <c:pt idx="22">
                  <c:v>134.339</c:v>
                </c:pt>
                <c:pt idx="23">
                  <c:v>138.16359999999995</c:v>
                </c:pt>
                <c:pt idx="24">
                  <c:v>138.2724</c:v>
                </c:pt>
                <c:pt idx="25">
                  <c:v>145.62580000000003</c:v>
                </c:pt>
                <c:pt idx="26">
                  <c:v>145.21579999999997</c:v>
                </c:pt>
                <c:pt idx="27">
                  <c:v>141.19210000000004</c:v>
                </c:pt>
                <c:pt idx="28">
                  <c:v>121.54669999999997</c:v>
                </c:pt>
                <c:pt idx="29">
                  <c:v>108.57570000000014</c:v>
                </c:pt>
                <c:pt idx="30">
                  <c:v>101.76260000000002</c:v>
                </c:pt>
                <c:pt idx="31">
                  <c:v>96.498100000000036</c:v>
                </c:pt>
                <c:pt idx="32">
                  <c:v>81.016199999999927</c:v>
                </c:pt>
                <c:pt idx="33">
                  <c:v>61.78009999999999</c:v>
                </c:pt>
                <c:pt idx="34">
                  <c:v>33.100199999999965</c:v>
                </c:pt>
                <c:pt idx="35">
                  <c:v>13.921599999999973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C1-4101-86B6-AE2FE821E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 b="1" i="0" baseline="0">
                    <a:effectLst/>
                  </a:rPr>
                  <a:t>hour of day</a:t>
                </a:r>
                <a:endParaRPr lang="en-US" sz="700">
                  <a:effectLst/>
                </a:endParaRP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kW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</a:rPr>
              <a:t>Daily PV destination (kWh)</a:t>
            </a:r>
            <a:endParaRPr lang="en-US" sz="700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Results &amp; charts'!$A$5:$A$8</c:f>
              <c:strCache>
                <c:ptCount val="4"/>
                <c:pt idx="0">
                  <c:v>PV → prosumers' own load</c:v>
                </c:pt>
                <c:pt idx="1">
                  <c:v>PV → battery storage</c:v>
                </c:pt>
                <c:pt idx="2">
                  <c:v>PV → customers</c:v>
                </c:pt>
                <c:pt idx="3">
                  <c:v>PV → export to grid</c:v>
                </c:pt>
              </c:strCache>
            </c:strRef>
          </c:cat>
          <c:val>
            <c:numRef>
              <c:f>'8. Results &amp; charts'!$B$5:$B$8</c:f>
              <c:numCache>
                <c:formatCode>0.0</c:formatCode>
                <c:ptCount val="4"/>
                <c:pt idx="0">
                  <c:v>357.82515000000006</c:v>
                </c:pt>
                <c:pt idx="1">
                  <c:v>258.78369999999995</c:v>
                </c:pt>
                <c:pt idx="2">
                  <c:v>193.76869999999997</c:v>
                </c:pt>
                <c:pt idx="3">
                  <c:v>986.61039999999969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A6-4CA4-9A6E-E50A3D00E4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 b="1" i="0" baseline="0">
                    <a:effectLst/>
                  </a:rPr>
                  <a:t>kWh/day</a:t>
                </a:r>
                <a:endParaRPr lang="en-US" sz="700">
                  <a:effectLst/>
                </a:endParaRP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</a:rPr>
              <a:t>Customer load: PV vs grid (kWh)</a:t>
            </a:r>
            <a:endParaRPr lang="en-US" sz="700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/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AAAF-472E-9C58-3F96062B78ED}"/>
                </c:ext>
              </c:extLst>
            </c:dLbl>
            <c:dLbl>
              <c:idx val="1"/>
              <c:layout>
                <c:manualLayout>
                  <c:x val="0"/>
                  <c:y val="-3.968750000000008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/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AAF-472E-9C58-3F96062B78ED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Results &amp; charts'!$E$5:$E$6</c:f>
              <c:strCache>
                <c:ptCount val="2"/>
                <c:pt idx="0">
                  <c:v>From prosumer PV (day)</c:v>
                </c:pt>
                <c:pt idx="1">
                  <c:v>From grid import (night)</c:v>
                </c:pt>
              </c:strCache>
            </c:strRef>
          </c:cat>
          <c:val>
            <c:numRef>
              <c:f>'8. Results &amp; charts'!$F$5:$F$6</c:f>
              <c:numCache>
                <c:formatCode>0.0</c:formatCode>
                <c:ptCount val="2"/>
                <c:pt idx="0">
                  <c:v>193.76869999999997</c:v>
                </c:pt>
                <c:pt idx="1">
                  <c:v>166.52505000000008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F-472E-9C58-3F96062B7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 b="1" i="0" baseline="0">
                    <a:effectLst/>
                  </a:rPr>
                  <a:t>kWh/day</a:t>
                </a:r>
                <a:endParaRPr lang="en-US" sz="700">
                  <a:effectLst/>
                </a:endParaRP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8029574" cy="3695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39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85725</xdr:colOff>
      <xdr:row>32</xdr:row>
      <xdr:rowOff>0</xdr:rowOff>
    </xdr:from>
    <xdr:ext cx="396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44"/>
  <sheetViews>
    <sheetView showGridLines="0" tabSelected="1" workbookViewId="0">
      <selection activeCell="H13" sqref="H13"/>
    </sheetView>
  </sheetViews>
  <sheetFormatPr defaultRowHeight="15" x14ac:dyDescent="0.25"/>
  <cols>
    <col min="1" max="1" width="2" customWidth="1"/>
    <col min="2" max="2" width="32" customWidth="1"/>
    <col min="3" max="3" width="16" customWidth="1"/>
    <col min="4" max="4" width="19.28515625" customWidth="1"/>
    <col min="5" max="5" width="40" customWidth="1"/>
  </cols>
  <sheetData>
    <row r="2" spans="2:5" ht="19.5" x14ac:dyDescent="0.3">
      <c r="B2" s="1" t="s">
        <v>0</v>
      </c>
    </row>
    <row r="3" spans="2:5" x14ac:dyDescent="0.25">
      <c r="B3" s="2" t="s">
        <v>1</v>
      </c>
    </row>
    <row r="5" spans="2:5" x14ac:dyDescent="0.25">
      <c r="B5" s="2" t="s">
        <v>2</v>
      </c>
    </row>
    <row r="6" spans="2:5" x14ac:dyDescent="0.25">
      <c r="B6" s="26" t="s">
        <v>3</v>
      </c>
      <c r="C6" s="27"/>
      <c r="D6" s="27"/>
      <c r="E6" s="27"/>
    </row>
    <row r="7" spans="2:5" x14ac:dyDescent="0.25">
      <c r="B7" s="27"/>
      <c r="C7" s="27"/>
      <c r="D7" s="27"/>
      <c r="E7" s="27"/>
    </row>
    <row r="8" spans="2:5" x14ac:dyDescent="0.25">
      <c r="B8" s="27"/>
      <c r="C8" s="27"/>
      <c r="D8" s="27"/>
      <c r="E8" s="27"/>
    </row>
    <row r="10" spans="2:5" x14ac:dyDescent="0.25">
      <c r="B10" s="2" t="s">
        <v>4</v>
      </c>
    </row>
    <row r="11" spans="2:5" ht="39.950000000000003" customHeight="1" x14ac:dyDescent="0.25">
      <c r="B11" s="3" t="s">
        <v>5</v>
      </c>
      <c r="C11" s="26" t="s">
        <v>6</v>
      </c>
      <c r="D11" s="27"/>
      <c r="E11" s="27"/>
    </row>
    <row r="12" spans="2:5" ht="39.950000000000003" customHeight="1" x14ac:dyDescent="0.25">
      <c r="B12" s="3" t="s">
        <v>7</v>
      </c>
      <c r="C12" s="26" t="s">
        <v>8</v>
      </c>
      <c r="D12" s="27"/>
      <c r="E12" s="27"/>
    </row>
    <row r="13" spans="2:5" ht="39.950000000000003" customHeight="1" x14ac:dyDescent="0.25">
      <c r="B13" s="3" t="s">
        <v>9</v>
      </c>
      <c r="C13" s="26" t="s">
        <v>10</v>
      </c>
      <c r="D13" s="27"/>
      <c r="E13" s="27"/>
    </row>
    <row r="14" spans="2:5" ht="39.950000000000003" customHeight="1" x14ac:dyDescent="0.25">
      <c r="B14" s="3" t="s">
        <v>11</v>
      </c>
      <c r="C14" s="26" t="s">
        <v>12</v>
      </c>
      <c r="D14" s="27"/>
      <c r="E14" s="27"/>
    </row>
    <row r="15" spans="2:5" ht="39.950000000000003" customHeight="1" x14ac:dyDescent="0.25">
      <c r="B15" s="3" t="s">
        <v>13</v>
      </c>
      <c r="C15" s="26" t="s">
        <v>14</v>
      </c>
      <c r="D15" s="27"/>
      <c r="E15" s="27"/>
    </row>
    <row r="16" spans="2:5" ht="39.950000000000003" customHeight="1" x14ac:dyDescent="0.25">
      <c r="B16" s="3" t="s">
        <v>15</v>
      </c>
      <c r="C16" s="26" t="s">
        <v>16</v>
      </c>
      <c r="D16" s="27"/>
      <c r="E16" s="27"/>
    </row>
    <row r="18" spans="2:5" x14ac:dyDescent="0.25">
      <c r="B18" s="2" t="s">
        <v>17</v>
      </c>
    </row>
    <row r="19" spans="2:5" x14ac:dyDescent="0.25">
      <c r="B19" s="4" t="s">
        <v>18</v>
      </c>
      <c r="C19" s="28"/>
      <c r="D19" s="27"/>
      <c r="E19" s="27"/>
    </row>
    <row r="20" spans="2:5" x14ac:dyDescent="0.25">
      <c r="B20" s="4" t="s">
        <v>19</v>
      </c>
      <c r="C20" s="28"/>
      <c r="D20" s="27"/>
      <c r="E20" s="27"/>
    </row>
    <row r="21" spans="2:5" x14ac:dyDescent="0.25">
      <c r="B21" s="4" t="s">
        <v>20</v>
      </c>
      <c r="C21" s="28"/>
      <c r="D21" s="27"/>
      <c r="E21" s="27"/>
    </row>
    <row r="22" spans="2:5" x14ac:dyDescent="0.25">
      <c r="B22" s="4" t="s">
        <v>21</v>
      </c>
      <c r="C22" s="28"/>
      <c r="D22" s="27"/>
      <c r="E22" s="27"/>
    </row>
    <row r="23" spans="2:5" x14ac:dyDescent="0.25">
      <c r="B23" s="4" t="s">
        <v>22</v>
      </c>
      <c r="C23" s="28"/>
      <c r="D23" s="27"/>
      <c r="E23" s="27"/>
    </row>
    <row r="25" spans="2:5" x14ac:dyDescent="0.25">
      <c r="B25" s="2" t="s">
        <v>23</v>
      </c>
    </row>
    <row r="26" spans="2:5" x14ac:dyDescent="0.25">
      <c r="B26" s="5" t="s">
        <v>24</v>
      </c>
      <c r="C26" s="5" t="s">
        <v>25</v>
      </c>
      <c r="D26" s="5" t="s">
        <v>26</v>
      </c>
    </row>
    <row r="27" spans="2:5" x14ac:dyDescent="0.25">
      <c r="B27" s="6" t="s">
        <v>27</v>
      </c>
      <c r="C27" s="7">
        <v>77</v>
      </c>
      <c r="D27" s="7" t="s">
        <v>28</v>
      </c>
    </row>
    <row r="28" spans="2:5" x14ac:dyDescent="0.25">
      <c r="B28" s="6" t="s">
        <v>29</v>
      </c>
      <c r="C28" s="7">
        <v>55</v>
      </c>
      <c r="D28" s="7" t="s">
        <v>28</v>
      </c>
    </row>
    <row r="29" spans="2:5" x14ac:dyDescent="0.25">
      <c r="B29" s="8" t="s">
        <v>30</v>
      </c>
      <c r="C29" s="9">
        <f>'7. PV allocation (per period)'!C53</f>
        <v>1796.9879500000002</v>
      </c>
      <c r="D29" s="10" t="s">
        <v>31</v>
      </c>
    </row>
    <row r="30" spans="2:5" x14ac:dyDescent="0.25">
      <c r="B30" s="8" t="s">
        <v>32</v>
      </c>
      <c r="C30" s="9">
        <f>'7. PV allocation (per period)'!I53</f>
        <v>357.82515000000006</v>
      </c>
      <c r="D30" s="10" t="s">
        <v>31</v>
      </c>
    </row>
    <row r="31" spans="2:5" x14ac:dyDescent="0.25">
      <c r="B31" s="8" t="s">
        <v>33</v>
      </c>
      <c r="C31" s="9">
        <f>'7. PV allocation (per period)'!J53</f>
        <v>258.78369999999995</v>
      </c>
      <c r="D31" s="10" t="s">
        <v>31</v>
      </c>
    </row>
    <row r="32" spans="2:5" x14ac:dyDescent="0.25">
      <c r="B32" s="8" t="s">
        <v>34</v>
      </c>
      <c r="C32" s="9">
        <f>'7. PV allocation (per period)'!K53</f>
        <v>193.76869999999997</v>
      </c>
      <c r="D32" s="10" t="s">
        <v>31</v>
      </c>
    </row>
    <row r="33" spans="2:5" x14ac:dyDescent="0.25">
      <c r="B33" s="8" t="s">
        <v>35</v>
      </c>
      <c r="C33" s="9">
        <f>'7. PV allocation (per period)'!L53</f>
        <v>986.61039999999969</v>
      </c>
      <c r="D33" s="10" t="s">
        <v>31</v>
      </c>
    </row>
    <row r="34" spans="2:5" x14ac:dyDescent="0.25">
      <c r="B34" s="8" t="s">
        <v>36</v>
      </c>
      <c r="C34" s="11">
        <f>'7. PV allocation (per period)'!K53/'7. PV allocation (per period)'!C53</f>
        <v>0.10782971583087129</v>
      </c>
      <c r="D34" s="10" t="s">
        <v>37</v>
      </c>
    </row>
    <row r="35" spans="2:5" x14ac:dyDescent="0.25">
      <c r="B35" s="8" t="s">
        <v>38</v>
      </c>
      <c r="C35" s="11">
        <f>'7. PV allocation (per period)'!K53/'7. PV allocation (per period)'!E53</f>
        <v>0.53780755286484982</v>
      </c>
      <c r="D35" s="10" t="s">
        <v>39</v>
      </c>
    </row>
    <row r="36" spans="2:5" x14ac:dyDescent="0.25">
      <c r="B36" s="8" t="s">
        <v>40</v>
      </c>
      <c r="C36" s="11">
        <f>'7. PV allocation (per period)'!M53/'7. PV allocation (per period)'!E53</f>
        <v>0.4621924471351504</v>
      </c>
      <c r="D36" s="10" t="s">
        <v>39</v>
      </c>
    </row>
    <row r="39" spans="2:5" x14ac:dyDescent="0.25">
      <c r="B39" s="2" t="s">
        <v>41</v>
      </c>
    </row>
    <row r="40" spans="2:5" x14ac:dyDescent="0.25">
      <c r="B40" s="26" t="s">
        <v>42</v>
      </c>
      <c r="C40" s="27"/>
      <c r="D40" s="27"/>
      <c r="E40" s="27"/>
    </row>
    <row r="41" spans="2:5" x14ac:dyDescent="0.25">
      <c r="B41" s="26" t="s">
        <v>43</v>
      </c>
      <c r="C41" s="27"/>
      <c r="D41" s="27"/>
      <c r="E41" s="27"/>
    </row>
    <row r="42" spans="2:5" x14ac:dyDescent="0.25">
      <c r="B42" s="26" t="s">
        <v>44</v>
      </c>
      <c r="C42" s="27"/>
      <c r="D42" s="27"/>
      <c r="E42" s="27"/>
    </row>
    <row r="43" spans="2:5" x14ac:dyDescent="0.25">
      <c r="B43" s="26" t="s">
        <v>45</v>
      </c>
      <c r="C43" s="27"/>
      <c r="D43" s="27"/>
      <c r="E43" s="27"/>
    </row>
    <row r="44" spans="2:5" x14ac:dyDescent="0.25">
      <c r="B44" s="26" t="s">
        <v>46</v>
      </c>
      <c r="C44" s="27"/>
      <c r="D44" s="27"/>
      <c r="E44" s="27"/>
    </row>
  </sheetData>
  <mergeCells count="17">
    <mergeCell ref="B44:E44"/>
    <mergeCell ref="C21:E21"/>
    <mergeCell ref="C20:E20"/>
    <mergeCell ref="C12:E12"/>
    <mergeCell ref="B43:E43"/>
    <mergeCell ref="C23:E23"/>
    <mergeCell ref="B42:E42"/>
    <mergeCell ref="C15:E15"/>
    <mergeCell ref="C22:E22"/>
    <mergeCell ref="C16:E16"/>
    <mergeCell ref="B6:E8"/>
    <mergeCell ref="B40:E40"/>
    <mergeCell ref="B41:E41"/>
    <mergeCell ref="C14:E14"/>
    <mergeCell ref="C11:E11"/>
    <mergeCell ref="C13:E13"/>
    <mergeCell ref="C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6"/>
  <sheetViews>
    <sheetView showGridLines="0" workbookViewId="0">
      <pane ySplit="4" topLeftCell="A59" activePane="bottomLeft" state="frozen"/>
      <selection pane="bottomLeft"/>
    </sheetView>
  </sheetViews>
  <sheetFormatPr defaultRowHeight="15" x14ac:dyDescent="0.25"/>
  <cols>
    <col min="1" max="1" width="7" customWidth="1"/>
    <col min="2" max="2" width="26" customWidth="1"/>
    <col min="3" max="3" width="16" customWidth="1"/>
    <col min="4" max="4" width="7" customWidth="1"/>
    <col min="5" max="6" width="13" customWidth="1"/>
  </cols>
  <sheetData>
    <row r="1" spans="1:6" ht="19.5" x14ac:dyDescent="0.3">
      <c r="A1" s="1" t="s">
        <v>47</v>
      </c>
    </row>
    <row r="2" spans="1:6" x14ac:dyDescent="0.25">
      <c r="A2" s="2" t="s">
        <v>48</v>
      </c>
    </row>
    <row r="4" spans="1:6" x14ac:dyDescent="0.25">
      <c r="A4" s="5" t="s">
        <v>49</v>
      </c>
      <c r="B4" s="5" t="s">
        <v>50</v>
      </c>
      <c r="C4" s="5" t="s">
        <v>51</v>
      </c>
      <c r="D4" s="5" t="s">
        <v>52</v>
      </c>
      <c r="E4" s="5" t="s">
        <v>53</v>
      </c>
      <c r="F4" s="5" t="s">
        <v>54</v>
      </c>
    </row>
    <row r="5" spans="1:6" x14ac:dyDescent="0.25">
      <c r="A5" s="10">
        <v>1</v>
      </c>
      <c r="B5" s="12" t="s">
        <v>55</v>
      </c>
      <c r="C5" s="10" t="s">
        <v>56</v>
      </c>
      <c r="D5" s="10">
        <v>2</v>
      </c>
      <c r="E5" s="10">
        <v>0</v>
      </c>
      <c r="F5" s="10" t="s">
        <v>57</v>
      </c>
    </row>
    <row r="6" spans="1:6" x14ac:dyDescent="0.25">
      <c r="A6" s="10">
        <v>2</v>
      </c>
      <c r="B6" s="12" t="s">
        <v>58</v>
      </c>
      <c r="C6" s="10" t="s">
        <v>59</v>
      </c>
      <c r="D6" s="10">
        <v>3</v>
      </c>
      <c r="E6" s="10">
        <v>0</v>
      </c>
      <c r="F6" s="10" t="s">
        <v>57</v>
      </c>
    </row>
    <row r="7" spans="1:6" x14ac:dyDescent="0.25">
      <c r="A7" s="10">
        <v>4</v>
      </c>
      <c r="B7" s="12" t="s">
        <v>60</v>
      </c>
      <c r="C7" s="10" t="s">
        <v>61</v>
      </c>
      <c r="D7" s="10">
        <v>1</v>
      </c>
      <c r="E7" s="10">
        <v>0</v>
      </c>
      <c r="F7" s="10" t="s">
        <v>57</v>
      </c>
    </row>
    <row r="8" spans="1:6" x14ac:dyDescent="0.25">
      <c r="A8" s="10">
        <v>5</v>
      </c>
      <c r="B8" s="12" t="s">
        <v>62</v>
      </c>
      <c r="C8" s="10" t="s">
        <v>63</v>
      </c>
      <c r="D8" s="10">
        <v>2</v>
      </c>
      <c r="E8" s="10">
        <v>0</v>
      </c>
      <c r="F8" s="10" t="s">
        <v>57</v>
      </c>
    </row>
    <row r="9" spans="1:6" x14ac:dyDescent="0.25">
      <c r="A9" s="10">
        <v>6</v>
      </c>
      <c r="B9" s="12" t="s">
        <v>64</v>
      </c>
      <c r="C9" s="10" t="s">
        <v>65</v>
      </c>
      <c r="D9" s="10">
        <v>3</v>
      </c>
      <c r="E9" s="10">
        <v>0</v>
      </c>
      <c r="F9" s="10" t="s">
        <v>57</v>
      </c>
    </row>
    <row r="10" spans="1:6" x14ac:dyDescent="0.25">
      <c r="A10" s="10">
        <v>7</v>
      </c>
      <c r="B10" s="12" t="s">
        <v>66</v>
      </c>
      <c r="C10" s="10" t="s">
        <v>67</v>
      </c>
      <c r="D10" s="10">
        <v>3</v>
      </c>
      <c r="E10" s="10">
        <v>0</v>
      </c>
      <c r="F10" s="10" t="s">
        <v>57</v>
      </c>
    </row>
    <row r="11" spans="1:6" x14ac:dyDescent="0.25">
      <c r="A11" s="10">
        <v>8</v>
      </c>
      <c r="B11" s="12" t="s">
        <v>68</v>
      </c>
      <c r="C11" s="10" t="s">
        <v>69</v>
      </c>
      <c r="D11" s="10">
        <v>1</v>
      </c>
      <c r="E11" s="10">
        <v>0</v>
      </c>
      <c r="F11" s="10" t="s">
        <v>57</v>
      </c>
    </row>
    <row r="12" spans="1:6" x14ac:dyDescent="0.25">
      <c r="A12" s="10">
        <v>9</v>
      </c>
      <c r="B12" s="12" t="s">
        <v>70</v>
      </c>
      <c r="C12" s="10" t="s">
        <v>71</v>
      </c>
      <c r="D12" s="10">
        <v>2</v>
      </c>
      <c r="E12" s="10">
        <v>0</v>
      </c>
      <c r="F12" s="10" t="s">
        <v>57</v>
      </c>
    </row>
    <row r="13" spans="1:6" x14ac:dyDescent="0.25">
      <c r="A13" s="10">
        <v>10</v>
      </c>
      <c r="B13" s="12" t="s">
        <v>72</v>
      </c>
      <c r="C13" s="10" t="s">
        <v>73</v>
      </c>
      <c r="D13" s="10">
        <v>2</v>
      </c>
      <c r="E13" s="10">
        <v>0</v>
      </c>
      <c r="F13" s="10" t="s">
        <v>57</v>
      </c>
    </row>
    <row r="14" spans="1:6" x14ac:dyDescent="0.25">
      <c r="A14" s="10">
        <v>12</v>
      </c>
      <c r="B14" s="12" t="s">
        <v>74</v>
      </c>
      <c r="C14" s="10" t="s">
        <v>75</v>
      </c>
      <c r="D14" s="10">
        <v>2</v>
      </c>
      <c r="E14" s="10">
        <v>0</v>
      </c>
      <c r="F14" s="10" t="s">
        <v>57</v>
      </c>
    </row>
    <row r="15" spans="1:6" x14ac:dyDescent="0.25">
      <c r="A15" s="10">
        <v>15</v>
      </c>
      <c r="B15" s="12" t="s">
        <v>76</v>
      </c>
      <c r="C15" s="10" t="s">
        <v>77</v>
      </c>
      <c r="D15" s="10">
        <v>1</v>
      </c>
      <c r="E15" s="10">
        <v>0</v>
      </c>
      <c r="F15" s="10" t="s">
        <v>57</v>
      </c>
    </row>
    <row r="16" spans="1:6" x14ac:dyDescent="0.25">
      <c r="A16" s="10">
        <v>16</v>
      </c>
      <c r="B16" s="12" t="s">
        <v>78</v>
      </c>
      <c r="C16" s="10" t="s">
        <v>79</v>
      </c>
      <c r="D16" s="10">
        <v>1</v>
      </c>
      <c r="E16" s="10">
        <v>0</v>
      </c>
      <c r="F16" s="10" t="s">
        <v>57</v>
      </c>
    </row>
    <row r="17" spans="1:6" x14ac:dyDescent="0.25">
      <c r="A17" s="10">
        <v>18</v>
      </c>
      <c r="B17" s="12" t="s">
        <v>80</v>
      </c>
      <c r="C17" s="10" t="s">
        <v>81</v>
      </c>
      <c r="D17" s="10">
        <v>3</v>
      </c>
      <c r="E17" s="10">
        <v>0</v>
      </c>
      <c r="F17" s="10" t="s">
        <v>57</v>
      </c>
    </row>
    <row r="18" spans="1:6" x14ac:dyDescent="0.25">
      <c r="A18" s="10">
        <v>20</v>
      </c>
      <c r="B18" s="12" t="s">
        <v>82</v>
      </c>
      <c r="C18" s="10" t="s">
        <v>83</v>
      </c>
      <c r="D18" s="10">
        <v>3</v>
      </c>
      <c r="E18" s="10">
        <v>0</v>
      </c>
      <c r="F18" s="10" t="s">
        <v>57</v>
      </c>
    </row>
    <row r="19" spans="1:6" x14ac:dyDescent="0.25">
      <c r="A19" s="10">
        <v>24</v>
      </c>
      <c r="B19" s="12" t="s">
        <v>84</v>
      </c>
      <c r="C19" s="10" t="s">
        <v>85</v>
      </c>
      <c r="D19" s="10">
        <v>3</v>
      </c>
      <c r="E19" s="10">
        <v>0</v>
      </c>
      <c r="F19" s="10" t="s">
        <v>57</v>
      </c>
    </row>
    <row r="20" spans="1:6" x14ac:dyDescent="0.25">
      <c r="A20" s="10">
        <v>26</v>
      </c>
      <c r="B20" s="12" t="s">
        <v>86</v>
      </c>
      <c r="C20" s="10" t="s">
        <v>87</v>
      </c>
      <c r="D20" s="10">
        <v>2</v>
      </c>
      <c r="E20" s="10">
        <v>0</v>
      </c>
      <c r="F20" s="10" t="s">
        <v>57</v>
      </c>
    </row>
    <row r="21" spans="1:6" x14ac:dyDescent="0.25">
      <c r="A21" s="10">
        <v>28</v>
      </c>
      <c r="B21" s="12" t="s">
        <v>88</v>
      </c>
      <c r="C21" s="10" t="s">
        <v>89</v>
      </c>
      <c r="D21" s="10">
        <v>1</v>
      </c>
      <c r="E21" s="10">
        <v>0</v>
      </c>
      <c r="F21" s="10" t="s">
        <v>57</v>
      </c>
    </row>
    <row r="22" spans="1:6" x14ac:dyDescent="0.25">
      <c r="A22" s="10">
        <v>39</v>
      </c>
      <c r="B22" s="12" t="s">
        <v>90</v>
      </c>
      <c r="C22" s="10" t="s">
        <v>91</v>
      </c>
      <c r="D22" s="10">
        <v>2</v>
      </c>
      <c r="E22" s="10">
        <v>0</v>
      </c>
      <c r="F22" s="10" t="s">
        <v>57</v>
      </c>
    </row>
    <row r="23" spans="1:6" x14ac:dyDescent="0.25">
      <c r="A23" s="10">
        <v>40</v>
      </c>
      <c r="B23" s="12" t="s">
        <v>92</v>
      </c>
      <c r="C23" s="10" t="s">
        <v>93</v>
      </c>
      <c r="D23" s="10">
        <v>1</v>
      </c>
      <c r="E23" s="10">
        <v>0</v>
      </c>
      <c r="F23" s="10" t="s">
        <v>57</v>
      </c>
    </row>
    <row r="24" spans="1:6" x14ac:dyDescent="0.25">
      <c r="A24" s="10">
        <v>41</v>
      </c>
      <c r="B24" s="12" t="s">
        <v>94</v>
      </c>
      <c r="C24" s="10" t="s">
        <v>95</v>
      </c>
      <c r="D24" s="10">
        <v>1</v>
      </c>
      <c r="E24" s="10">
        <v>0</v>
      </c>
      <c r="F24" s="10" t="s">
        <v>57</v>
      </c>
    </row>
    <row r="25" spans="1:6" x14ac:dyDescent="0.25">
      <c r="A25" s="10">
        <v>43</v>
      </c>
      <c r="B25" s="12" t="s">
        <v>96</v>
      </c>
      <c r="C25" s="10" t="s">
        <v>97</v>
      </c>
      <c r="D25" s="10">
        <v>2</v>
      </c>
      <c r="E25" s="10">
        <v>0</v>
      </c>
      <c r="F25" s="10" t="s">
        <v>57</v>
      </c>
    </row>
    <row r="26" spans="1:6" x14ac:dyDescent="0.25">
      <c r="A26" s="10">
        <v>47</v>
      </c>
      <c r="B26" s="12" t="s">
        <v>98</v>
      </c>
      <c r="C26" s="10" t="s">
        <v>99</v>
      </c>
      <c r="D26" s="10">
        <v>1</v>
      </c>
      <c r="E26" s="10">
        <v>0</v>
      </c>
      <c r="F26" s="10" t="s">
        <v>57</v>
      </c>
    </row>
    <row r="27" spans="1:6" x14ac:dyDescent="0.25">
      <c r="A27" s="10">
        <v>48</v>
      </c>
      <c r="B27" s="12" t="s">
        <v>100</v>
      </c>
      <c r="C27" s="10" t="s">
        <v>101</v>
      </c>
      <c r="D27" s="10">
        <v>1</v>
      </c>
      <c r="E27" s="10">
        <v>0</v>
      </c>
      <c r="F27" s="10" t="s">
        <v>57</v>
      </c>
    </row>
    <row r="28" spans="1:6" x14ac:dyDescent="0.25">
      <c r="A28" s="10">
        <v>49</v>
      </c>
      <c r="B28" s="12" t="s">
        <v>102</v>
      </c>
      <c r="C28" s="10" t="s">
        <v>103</v>
      </c>
      <c r="D28" s="10">
        <v>1</v>
      </c>
      <c r="E28" s="10">
        <v>0</v>
      </c>
      <c r="F28" s="10" t="s">
        <v>57</v>
      </c>
    </row>
    <row r="29" spans="1:6" x14ac:dyDescent="0.25">
      <c r="A29" s="10">
        <v>55</v>
      </c>
      <c r="B29" s="12" t="s">
        <v>104</v>
      </c>
      <c r="C29" s="10" t="s">
        <v>105</v>
      </c>
      <c r="D29" s="10">
        <v>1</v>
      </c>
      <c r="E29" s="10">
        <v>0</v>
      </c>
      <c r="F29" s="10" t="s">
        <v>57</v>
      </c>
    </row>
    <row r="30" spans="1:6" x14ac:dyDescent="0.25">
      <c r="A30" s="10">
        <v>56</v>
      </c>
      <c r="B30" s="12" t="s">
        <v>106</v>
      </c>
      <c r="C30" s="10" t="s">
        <v>107</v>
      </c>
      <c r="D30" s="10">
        <v>3</v>
      </c>
      <c r="E30" s="10">
        <v>0</v>
      </c>
      <c r="F30" s="10" t="s">
        <v>57</v>
      </c>
    </row>
    <row r="31" spans="1:6" x14ac:dyDescent="0.25">
      <c r="A31" s="10">
        <v>57</v>
      </c>
      <c r="B31" s="12" t="s">
        <v>108</v>
      </c>
      <c r="C31" s="10" t="s">
        <v>109</v>
      </c>
      <c r="D31" s="10">
        <v>1</v>
      </c>
      <c r="E31" s="10">
        <v>0</v>
      </c>
      <c r="F31" s="10" t="s">
        <v>57</v>
      </c>
    </row>
    <row r="32" spans="1:6" x14ac:dyDescent="0.25">
      <c r="A32" s="10">
        <v>69</v>
      </c>
      <c r="B32" s="12" t="s">
        <v>110</v>
      </c>
      <c r="C32" s="10" t="s">
        <v>111</v>
      </c>
      <c r="D32" s="10">
        <v>3</v>
      </c>
      <c r="E32" s="10">
        <v>0</v>
      </c>
      <c r="F32" s="10" t="s">
        <v>57</v>
      </c>
    </row>
    <row r="33" spans="1:6" x14ac:dyDescent="0.25">
      <c r="A33" s="10">
        <v>70</v>
      </c>
      <c r="B33" s="12" t="s">
        <v>112</v>
      </c>
      <c r="C33" s="10" t="s">
        <v>113</v>
      </c>
      <c r="D33" s="10">
        <v>3</v>
      </c>
      <c r="E33" s="10">
        <v>0</v>
      </c>
      <c r="F33" s="10" t="s">
        <v>57</v>
      </c>
    </row>
    <row r="34" spans="1:6" x14ac:dyDescent="0.25">
      <c r="A34" s="10">
        <v>75</v>
      </c>
      <c r="B34" s="12" t="s">
        <v>114</v>
      </c>
      <c r="C34" s="10" t="s">
        <v>115</v>
      </c>
      <c r="D34" s="10">
        <v>3</v>
      </c>
      <c r="E34" s="10">
        <v>0</v>
      </c>
      <c r="F34" s="10" t="s">
        <v>57</v>
      </c>
    </row>
    <row r="35" spans="1:6" x14ac:dyDescent="0.25">
      <c r="A35" s="10">
        <v>83</v>
      </c>
      <c r="B35" s="12" t="s">
        <v>116</v>
      </c>
      <c r="C35" s="10" t="s">
        <v>117</v>
      </c>
      <c r="D35" s="10">
        <v>1</v>
      </c>
      <c r="E35" s="10">
        <v>0</v>
      </c>
      <c r="F35" s="10" t="s">
        <v>57</v>
      </c>
    </row>
    <row r="36" spans="1:6" x14ac:dyDescent="0.25">
      <c r="A36" s="10">
        <v>84</v>
      </c>
      <c r="B36" s="12" t="s">
        <v>118</v>
      </c>
      <c r="C36" s="10" t="s">
        <v>119</v>
      </c>
      <c r="D36" s="10">
        <v>3</v>
      </c>
      <c r="E36" s="10">
        <v>0</v>
      </c>
      <c r="F36" s="10" t="s">
        <v>57</v>
      </c>
    </row>
    <row r="37" spans="1:6" x14ac:dyDescent="0.25">
      <c r="A37" s="10">
        <v>85</v>
      </c>
      <c r="B37" s="12" t="s">
        <v>120</v>
      </c>
      <c r="C37" s="10" t="s">
        <v>121</v>
      </c>
      <c r="D37" s="10">
        <v>2</v>
      </c>
      <c r="E37" s="10">
        <v>0</v>
      </c>
      <c r="F37" s="10" t="s">
        <v>57</v>
      </c>
    </row>
    <row r="38" spans="1:6" x14ac:dyDescent="0.25">
      <c r="A38" s="10">
        <v>86</v>
      </c>
      <c r="B38" s="12" t="s">
        <v>122</v>
      </c>
      <c r="C38" s="10" t="s">
        <v>123</v>
      </c>
      <c r="D38" s="10">
        <v>3</v>
      </c>
      <c r="E38" s="10">
        <v>0</v>
      </c>
      <c r="F38" s="10" t="s">
        <v>57</v>
      </c>
    </row>
    <row r="39" spans="1:6" x14ac:dyDescent="0.25">
      <c r="A39" s="10">
        <v>87</v>
      </c>
      <c r="B39" s="12" t="s">
        <v>124</v>
      </c>
      <c r="C39" s="10" t="s">
        <v>125</v>
      </c>
      <c r="D39" s="10">
        <v>1</v>
      </c>
      <c r="E39" s="10">
        <v>0</v>
      </c>
      <c r="F39" s="10" t="s">
        <v>57</v>
      </c>
    </row>
    <row r="40" spans="1:6" x14ac:dyDescent="0.25">
      <c r="A40" s="10">
        <v>88</v>
      </c>
      <c r="B40" s="12" t="s">
        <v>126</v>
      </c>
      <c r="C40" s="10" t="s">
        <v>127</v>
      </c>
      <c r="D40" s="10">
        <v>3</v>
      </c>
      <c r="E40" s="10">
        <v>0</v>
      </c>
      <c r="F40" s="10" t="s">
        <v>57</v>
      </c>
    </row>
    <row r="41" spans="1:6" x14ac:dyDescent="0.25">
      <c r="A41" s="10">
        <v>90</v>
      </c>
      <c r="B41" s="12" t="s">
        <v>128</v>
      </c>
      <c r="C41" s="10" t="s">
        <v>129</v>
      </c>
      <c r="D41" s="10">
        <v>1</v>
      </c>
      <c r="E41" s="10">
        <v>0</v>
      </c>
      <c r="F41" s="10" t="s">
        <v>57</v>
      </c>
    </row>
    <row r="42" spans="1:6" x14ac:dyDescent="0.25">
      <c r="A42" s="10">
        <v>91</v>
      </c>
      <c r="B42" s="12" t="s">
        <v>130</v>
      </c>
      <c r="C42" s="10" t="s">
        <v>131</v>
      </c>
      <c r="D42" s="10">
        <v>1</v>
      </c>
      <c r="E42" s="10">
        <v>0</v>
      </c>
      <c r="F42" s="10" t="s">
        <v>57</v>
      </c>
    </row>
    <row r="43" spans="1:6" x14ac:dyDescent="0.25">
      <c r="A43" s="10">
        <v>93</v>
      </c>
      <c r="B43" s="12" t="s">
        <v>132</v>
      </c>
      <c r="C43" s="10" t="s">
        <v>133</v>
      </c>
      <c r="D43" s="10">
        <v>3</v>
      </c>
      <c r="E43" s="10">
        <v>0</v>
      </c>
      <c r="F43" s="10" t="s">
        <v>57</v>
      </c>
    </row>
    <row r="44" spans="1:6" x14ac:dyDescent="0.25">
      <c r="A44" s="10">
        <v>94</v>
      </c>
      <c r="B44" s="12" t="s">
        <v>134</v>
      </c>
      <c r="C44" s="10" t="s">
        <v>135</v>
      </c>
      <c r="D44" s="10">
        <v>1</v>
      </c>
      <c r="E44" s="10">
        <v>0</v>
      </c>
      <c r="F44" s="10" t="s">
        <v>57</v>
      </c>
    </row>
    <row r="45" spans="1:6" x14ac:dyDescent="0.25">
      <c r="A45" s="10">
        <v>95</v>
      </c>
      <c r="B45" s="12" t="s">
        <v>136</v>
      </c>
      <c r="C45" s="10" t="s">
        <v>137</v>
      </c>
      <c r="D45" s="10">
        <v>1</v>
      </c>
      <c r="E45" s="10">
        <v>0</v>
      </c>
      <c r="F45" s="10" t="s">
        <v>57</v>
      </c>
    </row>
    <row r="46" spans="1:6" x14ac:dyDescent="0.25">
      <c r="A46" s="10">
        <v>96</v>
      </c>
      <c r="B46" s="12" t="s">
        <v>138</v>
      </c>
      <c r="C46" s="10" t="s">
        <v>139</v>
      </c>
      <c r="D46" s="10">
        <v>2</v>
      </c>
      <c r="E46" s="10">
        <v>0</v>
      </c>
      <c r="F46" s="10" t="s">
        <v>57</v>
      </c>
    </row>
    <row r="47" spans="1:6" x14ac:dyDescent="0.25">
      <c r="A47" s="10">
        <v>97</v>
      </c>
      <c r="B47" s="12" t="s">
        <v>140</v>
      </c>
      <c r="C47" s="10" t="s">
        <v>141</v>
      </c>
      <c r="D47" s="10">
        <v>1</v>
      </c>
      <c r="E47" s="10">
        <v>0</v>
      </c>
      <c r="F47" s="10" t="s">
        <v>57</v>
      </c>
    </row>
    <row r="48" spans="1:6" x14ac:dyDescent="0.25">
      <c r="A48" s="10">
        <v>102</v>
      </c>
      <c r="B48" s="12" t="s">
        <v>142</v>
      </c>
      <c r="C48" s="10" t="s">
        <v>143</v>
      </c>
      <c r="D48" s="10">
        <v>1</v>
      </c>
      <c r="E48" s="10">
        <v>0</v>
      </c>
      <c r="F48" s="10" t="s">
        <v>57</v>
      </c>
    </row>
    <row r="49" spans="1:6" x14ac:dyDescent="0.25">
      <c r="A49" s="10">
        <v>103</v>
      </c>
      <c r="B49" s="12" t="s">
        <v>144</v>
      </c>
      <c r="C49" s="10" t="s">
        <v>145</v>
      </c>
      <c r="D49" s="10">
        <v>2</v>
      </c>
      <c r="E49" s="10">
        <v>0</v>
      </c>
      <c r="F49" s="10" t="s">
        <v>57</v>
      </c>
    </row>
    <row r="50" spans="1:6" x14ac:dyDescent="0.25">
      <c r="A50" s="10">
        <v>106</v>
      </c>
      <c r="B50" s="12" t="s">
        <v>146</v>
      </c>
      <c r="C50" s="10" t="s">
        <v>147</v>
      </c>
      <c r="D50" s="10">
        <v>2</v>
      </c>
      <c r="E50" s="10">
        <v>0</v>
      </c>
      <c r="F50" s="10" t="s">
        <v>57</v>
      </c>
    </row>
    <row r="51" spans="1:6" x14ac:dyDescent="0.25">
      <c r="A51" s="10">
        <v>107</v>
      </c>
      <c r="B51" s="12" t="s">
        <v>148</v>
      </c>
      <c r="C51" s="10" t="s">
        <v>149</v>
      </c>
      <c r="D51" s="10">
        <v>3</v>
      </c>
      <c r="E51" s="10">
        <v>0</v>
      </c>
      <c r="F51" s="10" t="s">
        <v>57</v>
      </c>
    </row>
    <row r="52" spans="1:6" x14ac:dyDescent="0.25">
      <c r="A52" s="10">
        <v>109</v>
      </c>
      <c r="B52" s="12" t="s">
        <v>150</v>
      </c>
      <c r="C52" s="10" t="s">
        <v>151</v>
      </c>
      <c r="D52" s="10">
        <v>3</v>
      </c>
      <c r="E52" s="10">
        <v>0</v>
      </c>
      <c r="F52" s="10" t="s">
        <v>57</v>
      </c>
    </row>
    <row r="53" spans="1:6" x14ac:dyDescent="0.25">
      <c r="A53" s="10">
        <v>114</v>
      </c>
      <c r="B53" s="12" t="s">
        <v>152</v>
      </c>
      <c r="C53" s="10" t="s">
        <v>153</v>
      </c>
      <c r="D53" s="10">
        <v>2</v>
      </c>
      <c r="E53" s="10">
        <v>0</v>
      </c>
      <c r="F53" s="10" t="s">
        <v>57</v>
      </c>
    </row>
    <row r="54" spans="1:6" x14ac:dyDescent="0.25">
      <c r="A54" s="10">
        <v>118</v>
      </c>
      <c r="B54" s="12" t="s">
        <v>154</v>
      </c>
      <c r="C54" s="10" t="s">
        <v>155</v>
      </c>
      <c r="D54" s="10">
        <v>2</v>
      </c>
      <c r="E54" s="10">
        <v>0</v>
      </c>
      <c r="F54" s="10" t="s">
        <v>57</v>
      </c>
    </row>
    <row r="55" spans="1:6" x14ac:dyDescent="0.25">
      <c r="A55" s="10">
        <v>119</v>
      </c>
      <c r="B55" s="12" t="s">
        <v>156</v>
      </c>
      <c r="C55" s="10" t="s">
        <v>157</v>
      </c>
      <c r="D55" s="10">
        <v>1</v>
      </c>
      <c r="E55" s="10">
        <v>0</v>
      </c>
      <c r="F55" s="10" t="s">
        <v>57</v>
      </c>
    </row>
    <row r="56" spans="1:6" x14ac:dyDescent="0.25">
      <c r="A56" s="10">
        <v>120</v>
      </c>
      <c r="B56" s="12" t="s">
        <v>158</v>
      </c>
      <c r="C56" s="10" t="s">
        <v>159</v>
      </c>
      <c r="D56" s="10">
        <v>1</v>
      </c>
      <c r="E56" s="10">
        <v>0</v>
      </c>
      <c r="F56" s="10" t="s">
        <v>57</v>
      </c>
    </row>
    <row r="57" spans="1:6" x14ac:dyDescent="0.25">
      <c r="A57" s="10">
        <v>124</v>
      </c>
      <c r="B57" s="12" t="s">
        <v>160</v>
      </c>
      <c r="C57" s="10" t="s">
        <v>161</v>
      </c>
      <c r="D57" s="10">
        <v>3</v>
      </c>
      <c r="E57" s="10">
        <v>0</v>
      </c>
      <c r="F57" s="10" t="s">
        <v>57</v>
      </c>
    </row>
    <row r="58" spans="1:6" x14ac:dyDescent="0.25">
      <c r="A58" s="10">
        <v>125</v>
      </c>
      <c r="B58" s="12" t="s">
        <v>162</v>
      </c>
      <c r="C58" s="10" t="s">
        <v>163</v>
      </c>
      <c r="D58" s="10">
        <v>1</v>
      </c>
      <c r="E58" s="10">
        <v>0</v>
      </c>
      <c r="F58" s="10" t="s">
        <v>57</v>
      </c>
    </row>
    <row r="59" spans="1:6" x14ac:dyDescent="0.25">
      <c r="A59" s="10">
        <v>127</v>
      </c>
      <c r="B59" s="12" t="s">
        <v>164</v>
      </c>
      <c r="C59" s="10" t="s">
        <v>165</v>
      </c>
      <c r="D59" s="10">
        <v>3</v>
      </c>
      <c r="E59" s="10">
        <v>0</v>
      </c>
      <c r="F59" s="10" t="s">
        <v>57</v>
      </c>
    </row>
    <row r="60" spans="1:6" x14ac:dyDescent="0.25">
      <c r="A60" s="13">
        <v>3</v>
      </c>
      <c r="B60" s="14" t="s">
        <v>166</v>
      </c>
      <c r="C60" s="13" t="s">
        <v>167</v>
      </c>
      <c r="D60" s="13">
        <v>2</v>
      </c>
      <c r="E60" s="13">
        <v>4</v>
      </c>
      <c r="F60" s="13" t="s">
        <v>168</v>
      </c>
    </row>
    <row r="61" spans="1:6" x14ac:dyDescent="0.25">
      <c r="A61" s="13">
        <v>11</v>
      </c>
      <c r="B61" s="14" t="s">
        <v>169</v>
      </c>
      <c r="C61" s="13" t="s">
        <v>170</v>
      </c>
      <c r="D61" s="13">
        <v>1</v>
      </c>
      <c r="E61" s="13">
        <v>4</v>
      </c>
      <c r="F61" s="13" t="s">
        <v>168</v>
      </c>
    </row>
    <row r="62" spans="1:6" x14ac:dyDescent="0.25">
      <c r="A62" s="13">
        <v>13</v>
      </c>
      <c r="B62" s="14" t="s">
        <v>171</v>
      </c>
      <c r="C62" s="13" t="s">
        <v>172</v>
      </c>
      <c r="D62" s="13">
        <v>2</v>
      </c>
      <c r="E62" s="13">
        <v>2</v>
      </c>
      <c r="F62" s="13" t="s">
        <v>168</v>
      </c>
    </row>
    <row r="63" spans="1:6" x14ac:dyDescent="0.25">
      <c r="A63" s="13">
        <v>14</v>
      </c>
      <c r="B63" s="14" t="s">
        <v>173</v>
      </c>
      <c r="C63" s="13" t="s">
        <v>174</v>
      </c>
      <c r="D63" s="13">
        <v>3</v>
      </c>
      <c r="E63" s="13">
        <v>4</v>
      </c>
      <c r="F63" s="13" t="s">
        <v>168</v>
      </c>
    </row>
    <row r="64" spans="1:6" x14ac:dyDescent="0.25">
      <c r="A64" s="13">
        <v>17</v>
      </c>
      <c r="B64" s="14" t="s">
        <v>175</v>
      </c>
      <c r="C64" s="13" t="s">
        <v>176</v>
      </c>
      <c r="D64" s="13">
        <v>3</v>
      </c>
      <c r="E64" s="13">
        <v>3</v>
      </c>
      <c r="F64" s="13" t="s">
        <v>168</v>
      </c>
    </row>
    <row r="65" spans="1:6" x14ac:dyDescent="0.25">
      <c r="A65" s="13">
        <v>19</v>
      </c>
      <c r="B65" s="14" t="s">
        <v>177</v>
      </c>
      <c r="C65" s="13" t="s">
        <v>178</v>
      </c>
      <c r="D65" s="13">
        <v>2</v>
      </c>
      <c r="E65" s="13">
        <v>2</v>
      </c>
      <c r="F65" s="13" t="s">
        <v>168</v>
      </c>
    </row>
    <row r="66" spans="1:6" x14ac:dyDescent="0.25">
      <c r="A66" s="13">
        <v>21</v>
      </c>
      <c r="B66" s="14" t="s">
        <v>179</v>
      </c>
      <c r="C66" s="13" t="s">
        <v>180</v>
      </c>
      <c r="D66" s="13">
        <v>3</v>
      </c>
      <c r="E66" s="13">
        <v>2.5</v>
      </c>
      <c r="F66" s="13" t="s">
        <v>168</v>
      </c>
    </row>
    <row r="67" spans="1:6" x14ac:dyDescent="0.25">
      <c r="A67" s="13">
        <v>22</v>
      </c>
      <c r="B67" s="14" t="s">
        <v>181</v>
      </c>
      <c r="C67" s="13" t="s">
        <v>182</v>
      </c>
      <c r="D67" s="13">
        <v>2</v>
      </c>
      <c r="E67" s="13">
        <v>2.5</v>
      </c>
      <c r="F67" s="13" t="s">
        <v>168</v>
      </c>
    </row>
    <row r="68" spans="1:6" x14ac:dyDescent="0.25">
      <c r="A68" s="13">
        <v>23</v>
      </c>
      <c r="B68" s="14" t="s">
        <v>183</v>
      </c>
      <c r="C68" s="13" t="s">
        <v>184</v>
      </c>
      <c r="D68" s="13">
        <v>1</v>
      </c>
      <c r="E68" s="13">
        <v>2</v>
      </c>
      <c r="F68" s="13" t="s">
        <v>168</v>
      </c>
    </row>
    <row r="69" spans="1:6" x14ac:dyDescent="0.25">
      <c r="A69" s="13">
        <v>25</v>
      </c>
      <c r="B69" s="14" t="s">
        <v>185</v>
      </c>
      <c r="C69" s="13" t="s">
        <v>186</v>
      </c>
      <c r="D69" s="13">
        <v>2</v>
      </c>
      <c r="E69" s="13">
        <v>2</v>
      </c>
      <c r="F69" s="13" t="s">
        <v>168</v>
      </c>
    </row>
    <row r="70" spans="1:6" x14ac:dyDescent="0.25">
      <c r="A70" s="13">
        <v>27</v>
      </c>
      <c r="B70" s="14" t="s">
        <v>187</v>
      </c>
      <c r="C70" s="13" t="s">
        <v>188</v>
      </c>
      <c r="D70" s="13">
        <v>1</v>
      </c>
      <c r="E70" s="13">
        <v>3</v>
      </c>
      <c r="F70" s="13" t="s">
        <v>168</v>
      </c>
    </row>
    <row r="71" spans="1:6" x14ac:dyDescent="0.25">
      <c r="A71" s="13">
        <v>29</v>
      </c>
      <c r="B71" s="14" t="s">
        <v>189</v>
      </c>
      <c r="C71" s="13" t="s">
        <v>190</v>
      </c>
      <c r="D71" s="13">
        <v>1</v>
      </c>
      <c r="E71" s="13">
        <v>2</v>
      </c>
      <c r="F71" s="13" t="s">
        <v>168</v>
      </c>
    </row>
    <row r="72" spans="1:6" x14ac:dyDescent="0.25">
      <c r="A72" s="13">
        <v>30</v>
      </c>
      <c r="B72" s="14" t="s">
        <v>191</v>
      </c>
      <c r="C72" s="13" t="s">
        <v>192</v>
      </c>
      <c r="D72" s="13">
        <v>2</v>
      </c>
      <c r="E72" s="13">
        <v>4</v>
      </c>
      <c r="F72" s="13" t="s">
        <v>168</v>
      </c>
    </row>
    <row r="73" spans="1:6" x14ac:dyDescent="0.25">
      <c r="A73" s="13">
        <v>31</v>
      </c>
      <c r="B73" s="14" t="s">
        <v>193</v>
      </c>
      <c r="C73" s="13" t="s">
        <v>194</v>
      </c>
      <c r="D73" s="13">
        <v>3</v>
      </c>
      <c r="E73" s="13">
        <v>2.5</v>
      </c>
      <c r="F73" s="13" t="s">
        <v>168</v>
      </c>
    </row>
    <row r="74" spans="1:6" x14ac:dyDescent="0.25">
      <c r="A74" s="13">
        <v>32</v>
      </c>
      <c r="B74" s="14" t="s">
        <v>195</v>
      </c>
      <c r="C74" s="13" t="s">
        <v>196</v>
      </c>
      <c r="D74" s="13">
        <v>3</v>
      </c>
      <c r="E74" s="13">
        <v>2.5</v>
      </c>
      <c r="F74" s="13" t="s">
        <v>168</v>
      </c>
    </row>
    <row r="75" spans="1:6" x14ac:dyDescent="0.25">
      <c r="A75" s="13">
        <v>33</v>
      </c>
      <c r="B75" s="14" t="s">
        <v>197</v>
      </c>
      <c r="C75" s="13" t="s">
        <v>198</v>
      </c>
      <c r="D75" s="13">
        <v>1</v>
      </c>
      <c r="E75" s="13">
        <v>2.5</v>
      </c>
      <c r="F75" s="13" t="s">
        <v>168</v>
      </c>
    </row>
    <row r="76" spans="1:6" x14ac:dyDescent="0.25">
      <c r="A76" s="13">
        <v>34</v>
      </c>
      <c r="B76" s="14" t="s">
        <v>199</v>
      </c>
      <c r="C76" s="13" t="s">
        <v>200</v>
      </c>
      <c r="D76" s="13">
        <v>1</v>
      </c>
      <c r="E76" s="13">
        <v>4</v>
      </c>
      <c r="F76" s="13" t="s">
        <v>168</v>
      </c>
    </row>
    <row r="77" spans="1:6" x14ac:dyDescent="0.25">
      <c r="A77" s="13">
        <v>35</v>
      </c>
      <c r="B77" s="14" t="s">
        <v>201</v>
      </c>
      <c r="C77" s="13" t="s">
        <v>202</v>
      </c>
      <c r="D77" s="13">
        <v>1</v>
      </c>
      <c r="E77" s="13">
        <v>4</v>
      </c>
      <c r="F77" s="13" t="s">
        <v>168</v>
      </c>
    </row>
    <row r="78" spans="1:6" x14ac:dyDescent="0.25">
      <c r="A78" s="13">
        <v>36</v>
      </c>
      <c r="B78" s="14" t="s">
        <v>203</v>
      </c>
      <c r="C78" s="13" t="s">
        <v>204</v>
      </c>
      <c r="D78" s="13">
        <v>2</v>
      </c>
      <c r="E78" s="13">
        <v>3.5</v>
      </c>
      <c r="F78" s="13" t="s">
        <v>168</v>
      </c>
    </row>
    <row r="79" spans="1:6" x14ac:dyDescent="0.25">
      <c r="A79" s="13">
        <v>37</v>
      </c>
      <c r="B79" s="14" t="s">
        <v>205</v>
      </c>
      <c r="C79" s="13" t="s">
        <v>206</v>
      </c>
      <c r="D79" s="13">
        <v>3</v>
      </c>
      <c r="E79" s="13">
        <v>2</v>
      </c>
      <c r="F79" s="13" t="s">
        <v>168</v>
      </c>
    </row>
    <row r="80" spans="1:6" x14ac:dyDescent="0.25">
      <c r="A80" s="13">
        <v>38</v>
      </c>
      <c r="B80" s="14" t="s">
        <v>207</v>
      </c>
      <c r="C80" s="13" t="s">
        <v>208</v>
      </c>
      <c r="D80" s="13">
        <v>3</v>
      </c>
      <c r="E80" s="13">
        <v>4</v>
      </c>
      <c r="F80" s="13" t="s">
        <v>168</v>
      </c>
    </row>
    <row r="81" spans="1:6" x14ac:dyDescent="0.25">
      <c r="A81" s="13">
        <v>42</v>
      </c>
      <c r="B81" s="14" t="s">
        <v>209</v>
      </c>
      <c r="C81" s="13" t="s">
        <v>210</v>
      </c>
      <c r="D81" s="13">
        <v>1</v>
      </c>
      <c r="E81" s="13">
        <v>2.5</v>
      </c>
      <c r="F81" s="13" t="s">
        <v>168</v>
      </c>
    </row>
    <row r="82" spans="1:6" x14ac:dyDescent="0.25">
      <c r="A82" s="13">
        <v>44</v>
      </c>
      <c r="B82" s="14" t="s">
        <v>211</v>
      </c>
      <c r="C82" s="13" t="s">
        <v>212</v>
      </c>
      <c r="D82" s="13">
        <v>1</v>
      </c>
      <c r="E82" s="13">
        <v>3</v>
      </c>
      <c r="F82" s="13" t="s">
        <v>168</v>
      </c>
    </row>
    <row r="83" spans="1:6" x14ac:dyDescent="0.25">
      <c r="A83" s="13">
        <v>45</v>
      </c>
      <c r="B83" s="14" t="s">
        <v>213</v>
      </c>
      <c r="C83" s="13" t="s">
        <v>214</v>
      </c>
      <c r="D83" s="13">
        <v>1</v>
      </c>
      <c r="E83" s="13">
        <v>3</v>
      </c>
      <c r="F83" s="13" t="s">
        <v>168</v>
      </c>
    </row>
    <row r="84" spans="1:6" x14ac:dyDescent="0.25">
      <c r="A84" s="13">
        <v>46</v>
      </c>
      <c r="B84" s="14" t="s">
        <v>215</v>
      </c>
      <c r="C84" s="13" t="s">
        <v>216</v>
      </c>
      <c r="D84" s="13">
        <v>1</v>
      </c>
      <c r="E84" s="13">
        <v>3.5</v>
      </c>
      <c r="F84" s="13" t="s">
        <v>168</v>
      </c>
    </row>
    <row r="85" spans="1:6" x14ac:dyDescent="0.25">
      <c r="A85" s="13">
        <v>50</v>
      </c>
      <c r="B85" s="14" t="s">
        <v>217</v>
      </c>
      <c r="C85" s="13" t="s">
        <v>218</v>
      </c>
      <c r="D85" s="13">
        <v>1</v>
      </c>
      <c r="E85" s="13">
        <v>2.5</v>
      </c>
      <c r="F85" s="13" t="s">
        <v>168</v>
      </c>
    </row>
    <row r="86" spans="1:6" x14ac:dyDescent="0.25">
      <c r="A86" s="13">
        <v>51</v>
      </c>
      <c r="B86" s="14" t="s">
        <v>219</v>
      </c>
      <c r="C86" s="13" t="s">
        <v>220</v>
      </c>
      <c r="D86" s="13">
        <v>3</v>
      </c>
      <c r="E86" s="13">
        <v>4</v>
      </c>
      <c r="F86" s="13" t="s">
        <v>168</v>
      </c>
    </row>
    <row r="87" spans="1:6" x14ac:dyDescent="0.25">
      <c r="A87" s="13">
        <v>52</v>
      </c>
      <c r="B87" s="14" t="s">
        <v>221</v>
      </c>
      <c r="C87" s="13" t="s">
        <v>222</v>
      </c>
      <c r="D87" s="13">
        <v>3</v>
      </c>
      <c r="E87" s="13">
        <v>4</v>
      </c>
      <c r="F87" s="13" t="s">
        <v>168</v>
      </c>
    </row>
    <row r="88" spans="1:6" x14ac:dyDescent="0.25">
      <c r="A88" s="13">
        <v>53</v>
      </c>
      <c r="B88" s="14" t="s">
        <v>223</v>
      </c>
      <c r="C88" s="13" t="s">
        <v>224</v>
      </c>
      <c r="D88" s="13">
        <v>1</v>
      </c>
      <c r="E88" s="13">
        <v>2</v>
      </c>
      <c r="F88" s="13" t="s">
        <v>168</v>
      </c>
    </row>
    <row r="89" spans="1:6" x14ac:dyDescent="0.25">
      <c r="A89" s="13">
        <v>54</v>
      </c>
      <c r="B89" s="14" t="s">
        <v>225</v>
      </c>
      <c r="C89" s="13" t="s">
        <v>226</v>
      </c>
      <c r="D89" s="13">
        <v>2</v>
      </c>
      <c r="E89" s="13">
        <v>4</v>
      </c>
      <c r="F89" s="13" t="s">
        <v>168</v>
      </c>
    </row>
    <row r="90" spans="1:6" x14ac:dyDescent="0.25">
      <c r="A90" s="13">
        <v>58</v>
      </c>
      <c r="B90" s="14" t="s">
        <v>227</v>
      </c>
      <c r="C90" s="13" t="s">
        <v>228</v>
      </c>
      <c r="D90" s="13">
        <v>2</v>
      </c>
      <c r="E90" s="13">
        <v>4</v>
      </c>
      <c r="F90" s="13" t="s">
        <v>168</v>
      </c>
    </row>
    <row r="91" spans="1:6" x14ac:dyDescent="0.25">
      <c r="A91" s="13">
        <v>59</v>
      </c>
      <c r="B91" s="14" t="s">
        <v>229</v>
      </c>
      <c r="C91" s="13" t="s">
        <v>230</v>
      </c>
      <c r="D91" s="13">
        <v>2</v>
      </c>
      <c r="E91" s="13">
        <v>2</v>
      </c>
      <c r="F91" s="13" t="s">
        <v>168</v>
      </c>
    </row>
    <row r="92" spans="1:6" x14ac:dyDescent="0.25">
      <c r="A92" s="13">
        <v>60</v>
      </c>
      <c r="B92" s="14" t="s">
        <v>231</v>
      </c>
      <c r="C92" s="13" t="s">
        <v>232</v>
      </c>
      <c r="D92" s="13">
        <v>3</v>
      </c>
      <c r="E92" s="13">
        <v>3</v>
      </c>
      <c r="F92" s="13" t="s">
        <v>168</v>
      </c>
    </row>
    <row r="93" spans="1:6" x14ac:dyDescent="0.25">
      <c r="A93" s="13">
        <v>61</v>
      </c>
      <c r="B93" s="14" t="s">
        <v>233</v>
      </c>
      <c r="C93" s="13" t="s">
        <v>234</v>
      </c>
      <c r="D93" s="13">
        <v>3</v>
      </c>
      <c r="E93" s="13">
        <v>1.5</v>
      </c>
      <c r="F93" s="13" t="s">
        <v>168</v>
      </c>
    </row>
    <row r="94" spans="1:6" x14ac:dyDescent="0.25">
      <c r="A94" s="13">
        <v>62</v>
      </c>
      <c r="B94" s="14" t="s">
        <v>235</v>
      </c>
      <c r="C94" s="13" t="s">
        <v>236</v>
      </c>
      <c r="D94" s="13">
        <v>3</v>
      </c>
      <c r="E94" s="13">
        <v>2</v>
      </c>
      <c r="F94" s="13" t="s">
        <v>168</v>
      </c>
    </row>
    <row r="95" spans="1:6" x14ac:dyDescent="0.25">
      <c r="A95" s="13">
        <v>63</v>
      </c>
      <c r="B95" s="14" t="s">
        <v>237</v>
      </c>
      <c r="C95" s="13" t="s">
        <v>238</v>
      </c>
      <c r="D95" s="13">
        <v>3</v>
      </c>
      <c r="E95" s="13">
        <v>2.5</v>
      </c>
      <c r="F95" s="13" t="s">
        <v>168</v>
      </c>
    </row>
    <row r="96" spans="1:6" x14ac:dyDescent="0.25">
      <c r="A96" s="13">
        <v>64</v>
      </c>
      <c r="B96" s="14" t="s">
        <v>239</v>
      </c>
      <c r="C96" s="13" t="s">
        <v>240</v>
      </c>
      <c r="D96" s="13">
        <v>1</v>
      </c>
      <c r="E96" s="13">
        <v>2.5</v>
      </c>
      <c r="F96" s="13" t="s">
        <v>168</v>
      </c>
    </row>
    <row r="97" spans="1:6" x14ac:dyDescent="0.25">
      <c r="A97" s="13">
        <v>65</v>
      </c>
      <c r="B97" s="14" t="s">
        <v>241</v>
      </c>
      <c r="C97" s="13" t="s">
        <v>242</v>
      </c>
      <c r="D97" s="13">
        <v>1</v>
      </c>
      <c r="E97" s="13">
        <v>2.5</v>
      </c>
      <c r="F97" s="13" t="s">
        <v>168</v>
      </c>
    </row>
    <row r="98" spans="1:6" x14ac:dyDescent="0.25">
      <c r="A98" s="13">
        <v>66</v>
      </c>
      <c r="B98" s="14" t="s">
        <v>243</v>
      </c>
      <c r="C98" s="13" t="s">
        <v>244</v>
      </c>
      <c r="D98" s="13">
        <v>1</v>
      </c>
      <c r="E98" s="13">
        <v>3</v>
      </c>
      <c r="F98" s="13" t="s">
        <v>168</v>
      </c>
    </row>
    <row r="99" spans="1:6" x14ac:dyDescent="0.25">
      <c r="A99" s="13">
        <v>67</v>
      </c>
      <c r="B99" s="14" t="s">
        <v>245</v>
      </c>
      <c r="C99" s="13" t="s">
        <v>246</v>
      </c>
      <c r="D99" s="13">
        <v>1</v>
      </c>
      <c r="E99" s="13">
        <v>2.5</v>
      </c>
      <c r="F99" s="13" t="s">
        <v>168</v>
      </c>
    </row>
    <row r="100" spans="1:6" x14ac:dyDescent="0.25">
      <c r="A100" s="13">
        <v>68</v>
      </c>
      <c r="B100" s="14" t="s">
        <v>247</v>
      </c>
      <c r="C100" s="13" t="s">
        <v>248</v>
      </c>
      <c r="D100" s="13">
        <v>2</v>
      </c>
      <c r="E100" s="13">
        <v>4</v>
      </c>
      <c r="F100" s="13" t="s">
        <v>168</v>
      </c>
    </row>
    <row r="101" spans="1:6" x14ac:dyDescent="0.25">
      <c r="A101" s="13">
        <v>71</v>
      </c>
      <c r="B101" s="14" t="s">
        <v>249</v>
      </c>
      <c r="C101" s="13" t="s">
        <v>250</v>
      </c>
      <c r="D101" s="13">
        <v>1</v>
      </c>
      <c r="E101" s="13">
        <v>4</v>
      </c>
      <c r="F101" s="13" t="s">
        <v>168</v>
      </c>
    </row>
    <row r="102" spans="1:6" x14ac:dyDescent="0.25">
      <c r="A102" s="13">
        <v>72</v>
      </c>
      <c r="B102" s="14" t="s">
        <v>251</v>
      </c>
      <c r="C102" s="13" t="s">
        <v>252</v>
      </c>
      <c r="D102" s="13">
        <v>1</v>
      </c>
      <c r="E102" s="13">
        <v>3</v>
      </c>
      <c r="F102" s="13" t="s">
        <v>168</v>
      </c>
    </row>
    <row r="103" spans="1:6" x14ac:dyDescent="0.25">
      <c r="A103" s="13">
        <v>73</v>
      </c>
      <c r="B103" s="14" t="s">
        <v>253</v>
      </c>
      <c r="C103" s="13" t="s">
        <v>254</v>
      </c>
      <c r="D103" s="13">
        <v>2</v>
      </c>
      <c r="E103" s="13">
        <v>1.5</v>
      </c>
      <c r="F103" s="13" t="s">
        <v>168</v>
      </c>
    </row>
    <row r="104" spans="1:6" x14ac:dyDescent="0.25">
      <c r="A104" s="13">
        <v>74</v>
      </c>
      <c r="B104" s="14" t="s">
        <v>255</v>
      </c>
      <c r="C104" s="13" t="s">
        <v>256</v>
      </c>
      <c r="D104" s="13">
        <v>1</v>
      </c>
      <c r="E104" s="13">
        <v>1.5</v>
      </c>
      <c r="F104" s="13" t="s">
        <v>168</v>
      </c>
    </row>
    <row r="105" spans="1:6" x14ac:dyDescent="0.25">
      <c r="A105" s="13">
        <v>76</v>
      </c>
      <c r="B105" s="14" t="s">
        <v>257</v>
      </c>
      <c r="C105" s="13" t="s">
        <v>258</v>
      </c>
      <c r="D105" s="13">
        <v>1</v>
      </c>
      <c r="E105" s="13">
        <v>2</v>
      </c>
      <c r="F105" s="13" t="s">
        <v>168</v>
      </c>
    </row>
    <row r="106" spans="1:6" x14ac:dyDescent="0.25">
      <c r="A106" s="13">
        <v>77</v>
      </c>
      <c r="B106" s="14" t="s">
        <v>259</v>
      </c>
      <c r="C106" s="13" t="s">
        <v>260</v>
      </c>
      <c r="D106" s="13">
        <v>3</v>
      </c>
      <c r="E106" s="13">
        <v>2.5</v>
      </c>
      <c r="F106" s="13" t="s">
        <v>168</v>
      </c>
    </row>
    <row r="107" spans="1:6" x14ac:dyDescent="0.25">
      <c r="A107" s="13">
        <v>78</v>
      </c>
      <c r="B107" s="14" t="s">
        <v>261</v>
      </c>
      <c r="C107" s="13" t="s">
        <v>262</v>
      </c>
      <c r="D107" s="13">
        <v>1</v>
      </c>
      <c r="E107" s="13">
        <v>4</v>
      </c>
      <c r="F107" s="13" t="s">
        <v>168</v>
      </c>
    </row>
    <row r="108" spans="1:6" x14ac:dyDescent="0.25">
      <c r="A108" s="13">
        <v>79</v>
      </c>
      <c r="B108" s="14" t="s">
        <v>263</v>
      </c>
      <c r="C108" s="13" t="s">
        <v>264</v>
      </c>
      <c r="D108" s="13">
        <v>2</v>
      </c>
      <c r="E108" s="13">
        <v>3</v>
      </c>
      <c r="F108" s="13" t="s">
        <v>168</v>
      </c>
    </row>
    <row r="109" spans="1:6" x14ac:dyDescent="0.25">
      <c r="A109" s="13">
        <v>80</v>
      </c>
      <c r="B109" s="14" t="s">
        <v>265</v>
      </c>
      <c r="C109" s="13" t="s">
        <v>266</v>
      </c>
      <c r="D109" s="13">
        <v>1</v>
      </c>
      <c r="E109" s="13">
        <v>3</v>
      </c>
      <c r="F109" s="13" t="s">
        <v>168</v>
      </c>
    </row>
    <row r="110" spans="1:6" x14ac:dyDescent="0.25">
      <c r="A110" s="13">
        <v>81</v>
      </c>
      <c r="B110" s="14" t="s">
        <v>267</v>
      </c>
      <c r="C110" s="13" t="s">
        <v>268</v>
      </c>
      <c r="D110" s="13">
        <v>2</v>
      </c>
      <c r="E110" s="13">
        <v>3.5</v>
      </c>
      <c r="F110" s="13" t="s">
        <v>168</v>
      </c>
    </row>
    <row r="111" spans="1:6" x14ac:dyDescent="0.25">
      <c r="A111" s="13">
        <v>82</v>
      </c>
      <c r="B111" s="14" t="s">
        <v>269</v>
      </c>
      <c r="C111" s="13" t="s">
        <v>270</v>
      </c>
      <c r="D111" s="13">
        <v>2</v>
      </c>
      <c r="E111" s="13">
        <v>4</v>
      </c>
      <c r="F111" s="13" t="s">
        <v>168</v>
      </c>
    </row>
    <row r="112" spans="1:6" x14ac:dyDescent="0.25">
      <c r="A112" s="13">
        <v>89</v>
      </c>
      <c r="B112" s="14" t="s">
        <v>271</v>
      </c>
      <c r="C112" s="13" t="s">
        <v>272</v>
      </c>
      <c r="D112" s="13">
        <v>2</v>
      </c>
      <c r="E112" s="13">
        <v>2.5</v>
      </c>
      <c r="F112" s="13" t="s">
        <v>168</v>
      </c>
    </row>
    <row r="113" spans="1:6" x14ac:dyDescent="0.25">
      <c r="A113" s="13">
        <v>92</v>
      </c>
      <c r="B113" s="14" t="s">
        <v>273</v>
      </c>
      <c r="C113" s="13" t="s">
        <v>274</v>
      </c>
      <c r="D113" s="13">
        <v>2</v>
      </c>
      <c r="E113" s="13">
        <v>2.5</v>
      </c>
      <c r="F113" s="13" t="s">
        <v>168</v>
      </c>
    </row>
    <row r="114" spans="1:6" x14ac:dyDescent="0.25">
      <c r="A114" s="13">
        <v>98</v>
      </c>
      <c r="B114" s="14" t="s">
        <v>275</v>
      </c>
      <c r="C114" s="13" t="s">
        <v>276</v>
      </c>
      <c r="D114" s="13">
        <v>3</v>
      </c>
      <c r="E114" s="13">
        <v>3.5</v>
      </c>
      <c r="F114" s="13" t="s">
        <v>168</v>
      </c>
    </row>
    <row r="115" spans="1:6" x14ac:dyDescent="0.25">
      <c r="A115" s="13">
        <v>99</v>
      </c>
      <c r="B115" s="14" t="s">
        <v>277</v>
      </c>
      <c r="C115" s="13" t="s">
        <v>278</v>
      </c>
      <c r="D115" s="13">
        <v>3</v>
      </c>
      <c r="E115" s="13">
        <v>1.5</v>
      </c>
      <c r="F115" s="13" t="s">
        <v>168</v>
      </c>
    </row>
    <row r="116" spans="1:6" x14ac:dyDescent="0.25">
      <c r="A116" s="13">
        <v>100</v>
      </c>
      <c r="B116" s="14" t="s">
        <v>279</v>
      </c>
      <c r="C116" s="13" t="s">
        <v>280</v>
      </c>
      <c r="D116" s="13">
        <v>1</v>
      </c>
      <c r="E116" s="13">
        <v>1.5</v>
      </c>
      <c r="F116" s="13" t="s">
        <v>168</v>
      </c>
    </row>
    <row r="117" spans="1:6" x14ac:dyDescent="0.25">
      <c r="A117" s="13">
        <v>101</v>
      </c>
      <c r="B117" s="14" t="s">
        <v>281</v>
      </c>
      <c r="C117" s="13" t="s">
        <v>282</v>
      </c>
      <c r="D117" s="13">
        <v>2</v>
      </c>
      <c r="E117" s="13">
        <v>4</v>
      </c>
      <c r="F117" s="13" t="s">
        <v>168</v>
      </c>
    </row>
    <row r="118" spans="1:6" x14ac:dyDescent="0.25">
      <c r="A118" s="13">
        <v>104</v>
      </c>
      <c r="B118" s="14" t="s">
        <v>283</v>
      </c>
      <c r="C118" s="13" t="s">
        <v>284</v>
      </c>
      <c r="D118" s="13">
        <v>2</v>
      </c>
      <c r="E118" s="13">
        <v>3</v>
      </c>
      <c r="F118" s="13" t="s">
        <v>168</v>
      </c>
    </row>
    <row r="119" spans="1:6" x14ac:dyDescent="0.25">
      <c r="A119" s="13">
        <v>105</v>
      </c>
      <c r="B119" s="14" t="s">
        <v>285</v>
      </c>
      <c r="C119" s="13" t="s">
        <v>286</v>
      </c>
      <c r="D119" s="13">
        <v>2</v>
      </c>
      <c r="E119" s="13">
        <v>2</v>
      </c>
      <c r="F119" s="13" t="s">
        <v>168</v>
      </c>
    </row>
    <row r="120" spans="1:6" x14ac:dyDescent="0.25">
      <c r="A120" s="13">
        <v>108</v>
      </c>
      <c r="B120" s="14" t="s">
        <v>287</v>
      </c>
      <c r="C120" s="13" t="s">
        <v>288</v>
      </c>
      <c r="D120" s="13">
        <v>1</v>
      </c>
      <c r="E120" s="13">
        <v>2</v>
      </c>
      <c r="F120" s="13" t="s">
        <v>168</v>
      </c>
    </row>
    <row r="121" spans="1:6" x14ac:dyDescent="0.25">
      <c r="A121" s="13">
        <v>110</v>
      </c>
      <c r="B121" s="14" t="s">
        <v>289</v>
      </c>
      <c r="C121" s="13" t="s">
        <v>290</v>
      </c>
      <c r="D121" s="13">
        <v>2</v>
      </c>
      <c r="E121" s="13">
        <v>4</v>
      </c>
      <c r="F121" s="13" t="s">
        <v>168</v>
      </c>
    </row>
    <row r="122" spans="1:6" x14ac:dyDescent="0.25">
      <c r="A122" s="13">
        <v>111</v>
      </c>
      <c r="B122" s="14" t="s">
        <v>291</v>
      </c>
      <c r="C122" s="13" t="s">
        <v>292</v>
      </c>
      <c r="D122" s="13">
        <v>3</v>
      </c>
      <c r="E122" s="13">
        <v>4</v>
      </c>
      <c r="F122" s="13" t="s">
        <v>168</v>
      </c>
    </row>
    <row r="123" spans="1:6" x14ac:dyDescent="0.25">
      <c r="A123" s="13">
        <v>112</v>
      </c>
      <c r="B123" s="14" t="s">
        <v>293</v>
      </c>
      <c r="C123" s="13" t="s">
        <v>294</v>
      </c>
      <c r="D123" s="13">
        <v>3</v>
      </c>
      <c r="E123" s="13">
        <v>4</v>
      </c>
      <c r="F123" s="13" t="s">
        <v>168</v>
      </c>
    </row>
    <row r="124" spans="1:6" x14ac:dyDescent="0.25">
      <c r="A124" s="13">
        <v>113</v>
      </c>
      <c r="B124" s="14" t="s">
        <v>295</v>
      </c>
      <c r="C124" s="13" t="s">
        <v>296</v>
      </c>
      <c r="D124" s="13">
        <v>1</v>
      </c>
      <c r="E124" s="13">
        <v>2</v>
      </c>
      <c r="F124" s="13" t="s">
        <v>168</v>
      </c>
    </row>
    <row r="125" spans="1:6" x14ac:dyDescent="0.25">
      <c r="A125" s="13">
        <v>115</v>
      </c>
      <c r="B125" s="14" t="s">
        <v>297</v>
      </c>
      <c r="C125" s="13" t="s">
        <v>298</v>
      </c>
      <c r="D125" s="13">
        <v>3</v>
      </c>
      <c r="E125" s="13">
        <v>2.5</v>
      </c>
      <c r="F125" s="13" t="s">
        <v>168</v>
      </c>
    </row>
    <row r="126" spans="1:6" x14ac:dyDescent="0.25">
      <c r="A126" s="13">
        <v>116</v>
      </c>
      <c r="B126" s="14" t="s">
        <v>299</v>
      </c>
      <c r="C126" s="13" t="s">
        <v>300</v>
      </c>
      <c r="D126" s="13">
        <v>1</v>
      </c>
      <c r="E126" s="13">
        <v>2.5</v>
      </c>
      <c r="F126" s="13" t="s">
        <v>168</v>
      </c>
    </row>
    <row r="127" spans="1:6" x14ac:dyDescent="0.25">
      <c r="A127" s="13">
        <v>117</v>
      </c>
      <c r="B127" s="14" t="s">
        <v>301</v>
      </c>
      <c r="C127" s="13" t="s">
        <v>302</v>
      </c>
      <c r="D127" s="13">
        <v>1</v>
      </c>
      <c r="E127" s="13">
        <v>3.5</v>
      </c>
      <c r="F127" s="13" t="s">
        <v>168</v>
      </c>
    </row>
    <row r="128" spans="1:6" x14ac:dyDescent="0.25">
      <c r="A128" s="13">
        <v>121</v>
      </c>
      <c r="B128" s="14" t="s">
        <v>303</v>
      </c>
      <c r="C128" s="13" t="s">
        <v>304</v>
      </c>
      <c r="D128" s="13">
        <v>3</v>
      </c>
      <c r="E128" s="13">
        <v>4</v>
      </c>
      <c r="F128" s="13" t="s">
        <v>168</v>
      </c>
    </row>
    <row r="129" spans="1:6" x14ac:dyDescent="0.25">
      <c r="A129" s="13">
        <v>122</v>
      </c>
      <c r="B129" s="14" t="s">
        <v>305</v>
      </c>
      <c r="C129" s="13" t="s">
        <v>306</v>
      </c>
      <c r="D129" s="13">
        <v>1</v>
      </c>
      <c r="E129" s="13">
        <v>2</v>
      </c>
      <c r="F129" s="13" t="s">
        <v>168</v>
      </c>
    </row>
    <row r="130" spans="1:6" x14ac:dyDescent="0.25">
      <c r="A130" s="13">
        <v>123</v>
      </c>
      <c r="B130" s="14" t="s">
        <v>307</v>
      </c>
      <c r="C130" s="13" t="s">
        <v>308</v>
      </c>
      <c r="D130" s="13">
        <v>2</v>
      </c>
      <c r="E130" s="13">
        <v>1</v>
      </c>
      <c r="F130" s="13" t="s">
        <v>168</v>
      </c>
    </row>
    <row r="131" spans="1:6" x14ac:dyDescent="0.25">
      <c r="A131" s="13">
        <v>126</v>
      </c>
      <c r="B131" s="14" t="s">
        <v>309</v>
      </c>
      <c r="C131" s="13" t="s">
        <v>310</v>
      </c>
      <c r="D131" s="13">
        <v>2</v>
      </c>
      <c r="E131" s="13">
        <v>4</v>
      </c>
      <c r="F131" s="13" t="s">
        <v>168</v>
      </c>
    </row>
    <row r="132" spans="1:6" x14ac:dyDescent="0.25">
      <c r="A132" s="13">
        <v>128</v>
      </c>
      <c r="B132" s="14" t="s">
        <v>311</v>
      </c>
      <c r="C132" s="13" t="s">
        <v>312</v>
      </c>
      <c r="D132" s="13">
        <v>3</v>
      </c>
      <c r="E132" s="13">
        <v>3.5</v>
      </c>
      <c r="F132" s="13" t="s">
        <v>168</v>
      </c>
    </row>
    <row r="133" spans="1:6" x14ac:dyDescent="0.25">
      <c r="A133" s="13">
        <v>129</v>
      </c>
      <c r="B133" s="14" t="s">
        <v>313</v>
      </c>
      <c r="C133" s="13" t="s">
        <v>314</v>
      </c>
      <c r="D133" s="13">
        <v>1</v>
      </c>
      <c r="E133" s="13">
        <v>4</v>
      </c>
      <c r="F133" s="13" t="s">
        <v>168</v>
      </c>
    </row>
    <row r="134" spans="1:6" x14ac:dyDescent="0.25">
      <c r="A134" s="13">
        <v>130</v>
      </c>
      <c r="B134" s="14" t="s">
        <v>315</v>
      </c>
      <c r="C134" s="13" t="s">
        <v>316</v>
      </c>
      <c r="D134" s="13">
        <v>2</v>
      </c>
      <c r="E134" s="13">
        <v>3</v>
      </c>
      <c r="F134" s="13" t="s">
        <v>168</v>
      </c>
    </row>
    <row r="135" spans="1:6" x14ac:dyDescent="0.25">
      <c r="A135" s="13">
        <v>131</v>
      </c>
      <c r="B135" s="14" t="s">
        <v>317</v>
      </c>
      <c r="C135" s="13" t="s">
        <v>318</v>
      </c>
      <c r="D135" s="13">
        <v>3</v>
      </c>
      <c r="E135" s="13">
        <v>1</v>
      </c>
      <c r="F135" s="13" t="s">
        <v>168</v>
      </c>
    </row>
    <row r="136" spans="1:6" x14ac:dyDescent="0.25">
      <c r="A136" s="13">
        <v>132</v>
      </c>
      <c r="B136" s="14" t="s">
        <v>319</v>
      </c>
      <c r="C136" s="13" t="s">
        <v>320</v>
      </c>
      <c r="D136" s="13">
        <v>2</v>
      </c>
      <c r="E136" s="13">
        <v>3</v>
      </c>
      <c r="F136" s="13" t="s">
        <v>168</v>
      </c>
    </row>
  </sheetData>
  <autoFilter ref="A4:F13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136"/>
  <sheetViews>
    <sheetView showGridLines="0" workbookViewId="0">
      <pane xSplit="2" ySplit="4" topLeftCell="C7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4" customWidth="1"/>
    <col min="2" max="2" width="11" customWidth="1"/>
    <col min="3" max="50" width="7" customWidth="1"/>
  </cols>
  <sheetData>
    <row r="1" spans="1:50" ht="19.5" x14ac:dyDescent="0.3">
      <c r="A1" s="1" t="s">
        <v>321</v>
      </c>
    </row>
    <row r="2" spans="1:50" x14ac:dyDescent="0.25">
      <c r="A2" s="29" t="s">
        <v>322</v>
      </c>
      <c r="B2" s="27"/>
      <c r="C2" s="27"/>
      <c r="D2" s="27"/>
      <c r="E2" s="27"/>
      <c r="F2" s="27"/>
    </row>
    <row r="4" spans="1:50" x14ac:dyDescent="0.25">
      <c r="A4" s="5" t="s">
        <v>50</v>
      </c>
      <c r="B4" s="5" t="s">
        <v>54</v>
      </c>
      <c r="C4" s="5" t="s">
        <v>323</v>
      </c>
      <c r="D4" s="5" t="s">
        <v>324</v>
      </c>
      <c r="E4" s="5" t="s">
        <v>325</v>
      </c>
      <c r="F4" s="5" t="s">
        <v>326</v>
      </c>
      <c r="G4" s="5" t="s">
        <v>327</v>
      </c>
      <c r="H4" s="5" t="s">
        <v>328</v>
      </c>
      <c r="I4" s="5" t="s">
        <v>329</v>
      </c>
      <c r="J4" s="5" t="s">
        <v>330</v>
      </c>
      <c r="K4" s="5" t="s">
        <v>331</v>
      </c>
      <c r="L4" s="5" t="s">
        <v>332</v>
      </c>
      <c r="M4" s="5" t="s">
        <v>333</v>
      </c>
      <c r="N4" s="5" t="s">
        <v>334</v>
      </c>
      <c r="O4" s="5" t="s">
        <v>335</v>
      </c>
      <c r="P4" s="5" t="s">
        <v>336</v>
      </c>
      <c r="Q4" s="5" t="s">
        <v>337</v>
      </c>
      <c r="R4" s="5" t="s">
        <v>338</v>
      </c>
      <c r="S4" s="5" t="s">
        <v>339</v>
      </c>
      <c r="T4" s="5" t="s">
        <v>340</v>
      </c>
      <c r="U4" s="5" t="s">
        <v>341</v>
      </c>
      <c r="V4" s="5" t="s">
        <v>342</v>
      </c>
      <c r="W4" s="5" t="s">
        <v>343</v>
      </c>
      <c r="X4" s="5" t="s">
        <v>344</v>
      </c>
      <c r="Y4" s="5" t="s">
        <v>345</v>
      </c>
      <c r="Z4" s="5" t="s">
        <v>346</v>
      </c>
      <c r="AA4" s="5" t="s">
        <v>347</v>
      </c>
      <c r="AB4" s="5" t="s">
        <v>348</v>
      </c>
      <c r="AC4" s="5" t="s">
        <v>349</v>
      </c>
      <c r="AD4" s="5" t="s">
        <v>350</v>
      </c>
      <c r="AE4" s="5" t="s">
        <v>351</v>
      </c>
      <c r="AF4" s="5" t="s">
        <v>352</v>
      </c>
      <c r="AG4" s="5" t="s">
        <v>353</v>
      </c>
      <c r="AH4" s="5" t="s">
        <v>354</v>
      </c>
      <c r="AI4" s="5" t="s">
        <v>355</v>
      </c>
      <c r="AJ4" s="5" t="s">
        <v>356</v>
      </c>
      <c r="AK4" s="5" t="s">
        <v>357</v>
      </c>
      <c r="AL4" s="5" t="s">
        <v>358</v>
      </c>
      <c r="AM4" s="5" t="s">
        <v>359</v>
      </c>
      <c r="AN4" s="5" t="s">
        <v>360</v>
      </c>
      <c r="AO4" s="5" t="s">
        <v>361</v>
      </c>
      <c r="AP4" s="5" t="s">
        <v>362</v>
      </c>
      <c r="AQ4" s="5" t="s">
        <v>363</v>
      </c>
      <c r="AR4" s="5" t="s">
        <v>364</v>
      </c>
      <c r="AS4" s="5" t="s">
        <v>365</v>
      </c>
      <c r="AT4" s="5" t="s">
        <v>366</v>
      </c>
      <c r="AU4" s="5" t="s">
        <v>367</v>
      </c>
      <c r="AV4" s="5" t="s">
        <v>368</v>
      </c>
      <c r="AW4" s="5" t="s">
        <v>369</v>
      </c>
      <c r="AX4" s="5" t="s">
        <v>370</v>
      </c>
    </row>
    <row r="5" spans="1:50" x14ac:dyDescent="0.25">
      <c r="A5" s="8" t="s">
        <v>55</v>
      </c>
      <c r="B5" s="10" t="s">
        <v>57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0</v>
      </c>
      <c r="AL5" s="16">
        <v>0</v>
      </c>
      <c r="AM5" s="16">
        <v>0</v>
      </c>
      <c r="AN5" s="16">
        <v>0</v>
      </c>
      <c r="AO5" s="16">
        <v>0</v>
      </c>
      <c r="AP5" s="16">
        <v>0</v>
      </c>
      <c r="AQ5" s="16">
        <v>0</v>
      </c>
      <c r="AR5" s="16">
        <v>0</v>
      </c>
      <c r="AS5" s="16">
        <v>0</v>
      </c>
      <c r="AT5" s="16">
        <v>0</v>
      </c>
      <c r="AU5" s="16">
        <v>0</v>
      </c>
      <c r="AV5" s="16">
        <v>0</v>
      </c>
      <c r="AW5" s="16">
        <v>0</v>
      </c>
      <c r="AX5" s="16">
        <v>0</v>
      </c>
    </row>
    <row r="6" spans="1:50" x14ac:dyDescent="0.25">
      <c r="A6" s="8" t="s">
        <v>58</v>
      </c>
      <c r="B6" s="10" t="s">
        <v>57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</row>
    <row r="7" spans="1:50" x14ac:dyDescent="0.25">
      <c r="A7" s="17" t="s">
        <v>166</v>
      </c>
      <c r="B7" s="13" t="s">
        <v>168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3.3999999999999998E-3</v>
      </c>
      <c r="K7" s="18">
        <v>4.9700000000000001E-2</v>
      </c>
      <c r="L7" s="18">
        <v>0.2326</v>
      </c>
      <c r="M7" s="18">
        <v>0.46129999999999999</v>
      </c>
      <c r="N7" s="18">
        <v>0.7419</v>
      </c>
      <c r="O7" s="18">
        <v>1.0479000000000001</v>
      </c>
      <c r="P7" s="18">
        <v>1.3576999999999999</v>
      </c>
      <c r="Q7" s="18">
        <v>1.6659999999999999</v>
      </c>
      <c r="R7" s="18">
        <v>1.9745999999999999</v>
      </c>
      <c r="S7" s="18">
        <v>2.2643</v>
      </c>
      <c r="T7" s="18">
        <v>2.5367000000000002</v>
      </c>
      <c r="U7" s="18">
        <v>2.7686000000000002</v>
      </c>
      <c r="V7" s="18">
        <v>2.9664000000000001</v>
      </c>
      <c r="W7" s="18">
        <v>3.14</v>
      </c>
      <c r="X7" s="18">
        <v>3.2833000000000001</v>
      </c>
      <c r="Y7" s="18">
        <v>3.3849999999999998</v>
      </c>
      <c r="Z7" s="18">
        <v>3.4296000000000002</v>
      </c>
      <c r="AA7" s="18">
        <v>3.4424999999999999</v>
      </c>
      <c r="AB7" s="18">
        <v>3.4182999999999999</v>
      </c>
      <c r="AC7" s="18">
        <v>3.3372000000000002</v>
      </c>
      <c r="AD7" s="18">
        <v>3.2132999999999998</v>
      </c>
      <c r="AE7" s="18">
        <v>3.0655000000000001</v>
      </c>
      <c r="AF7" s="18">
        <v>2.8782000000000001</v>
      </c>
      <c r="AG7" s="18">
        <v>2.6791</v>
      </c>
      <c r="AH7" s="18">
        <v>2.4396</v>
      </c>
      <c r="AI7" s="18">
        <v>2.1698</v>
      </c>
      <c r="AJ7" s="18">
        <v>1.8441000000000001</v>
      </c>
      <c r="AK7" s="18">
        <v>1.5391999999999999</v>
      </c>
      <c r="AL7" s="18">
        <v>1.2259</v>
      </c>
      <c r="AM7" s="18">
        <v>0.92290000000000005</v>
      </c>
      <c r="AN7" s="18">
        <v>0.63080000000000003</v>
      </c>
      <c r="AO7" s="18">
        <v>0.36830000000000002</v>
      </c>
      <c r="AP7" s="18">
        <v>0.1072</v>
      </c>
      <c r="AQ7" s="18">
        <v>1.9800000000000002E-2</v>
      </c>
      <c r="AR7" s="18">
        <v>0</v>
      </c>
      <c r="AS7" s="18">
        <v>0</v>
      </c>
      <c r="AT7" s="18">
        <v>0</v>
      </c>
      <c r="AU7" s="18">
        <v>0</v>
      </c>
      <c r="AV7" s="18">
        <v>0</v>
      </c>
      <c r="AW7" s="18">
        <v>0</v>
      </c>
      <c r="AX7" s="18">
        <v>0</v>
      </c>
    </row>
    <row r="8" spans="1:50" x14ac:dyDescent="0.25">
      <c r="A8" s="8" t="s">
        <v>60</v>
      </c>
      <c r="B8" s="10" t="s">
        <v>57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</row>
    <row r="9" spans="1:50" x14ac:dyDescent="0.25">
      <c r="A9" s="8" t="s">
        <v>62</v>
      </c>
      <c r="B9" s="10" t="s">
        <v>57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</row>
    <row r="10" spans="1:50" x14ac:dyDescent="0.25">
      <c r="A10" s="8" t="s">
        <v>64</v>
      </c>
      <c r="B10" s="10" t="s">
        <v>57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</row>
    <row r="11" spans="1:50" x14ac:dyDescent="0.25">
      <c r="A11" s="8" t="s">
        <v>66</v>
      </c>
      <c r="B11" s="10" t="s">
        <v>57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</row>
    <row r="12" spans="1:50" x14ac:dyDescent="0.25">
      <c r="A12" s="8" t="s">
        <v>68</v>
      </c>
      <c r="B12" s="10" t="s">
        <v>57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</row>
    <row r="13" spans="1:50" x14ac:dyDescent="0.25">
      <c r="A13" s="8" t="s">
        <v>70</v>
      </c>
      <c r="B13" s="10" t="s">
        <v>57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</row>
    <row r="14" spans="1:50" x14ac:dyDescent="0.25">
      <c r="A14" s="8" t="s">
        <v>72</v>
      </c>
      <c r="B14" s="10" t="s">
        <v>57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</row>
    <row r="15" spans="1:50" x14ac:dyDescent="0.25">
      <c r="A15" s="17" t="s">
        <v>169</v>
      </c>
      <c r="B15" s="13" t="s">
        <v>168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3.3999999999999998E-3</v>
      </c>
      <c r="K15" s="18">
        <v>4.9700000000000001E-2</v>
      </c>
      <c r="L15" s="18">
        <v>0.2326</v>
      </c>
      <c r="M15" s="18">
        <v>0.46129999999999999</v>
      </c>
      <c r="N15" s="18">
        <v>0.7419</v>
      </c>
      <c r="O15" s="18">
        <v>1.0479000000000001</v>
      </c>
      <c r="P15" s="18">
        <v>1.3576999999999999</v>
      </c>
      <c r="Q15" s="18">
        <v>1.6659999999999999</v>
      </c>
      <c r="R15" s="18">
        <v>1.9745999999999999</v>
      </c>
      <c r="S15" s="18">
        <v>2.2643</v>
      </c>
      <c r="T15" s="18">
        <v>2.5367000000000002</v>
      </c>
      <c r="U15" s="18">
        <v>2.7686000000000002</v>
      </c>
      <c r="V15" s="18">
        <v>2.9664000000000001</v>
      </c>
      <c r="W15" s="18">
        <v>3.14</v>
      </c>
      <c r="X15" s="18">
        <v>3.2833000000000001</v>
      </c>
      <c r="Y15" s="18">
        <v>3.3849999999999998</v>
      </c>
      <c r="Z15" s="18">
        <v>3.4296000000000002</v>
      </c>
      <c r="AA15" s="18">
        <v>3.4424999999999999</v>
      </c>
      <c r="AB15" s="18">
        <v>3.4182999999999999</v>
      </c>
      <c r="AC15" s="18">
        <v>3.3372000000000002</v>
      </c>
      <c r="AD15" s="18">
        <v>3.2132999999999998</v>
      </c>
      <c r="AE15" s="18">
        <v>3.0655000000000001</v>
      </c>
      <c r="AF15" s="18">
        <v>2.8782000000000001</v>
      </c>
      <c r="AG15" s="18">
        <v>2.6791</v>
      </c>
      <c r="AH15" s="18">
        <v>2.4396</v>
      </c>
      <c r="AI15" s="18">
        <v>2.1698</v>
      </c>
      <c r="AJ15" s="18">
        <v>1.8441000000000001</v>
      </c>
      <c r="AK15" s="18">
        <v>1.5391999999999999</v>
      </c>
      <c r="AL15" s="18">
        <v>1.2259</v>
      </c>
      <c r="AM15" s="18">
        <v>0.92290000000000005</v>
      </c>
      <c r="AN15" s="18">
        <v>0.63080000000000003</v>
      </c>
      <c r="AO15" s="18">
        <v>0.36830000000000002</v>
      </c>
      <c r="AP15" s="18">
        <v>0.1072</v>
      </c>
      <c r="AQ15" s="18">
        <v>1.9800000000000002E-2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</row>
    <row r="16" spans="1:50" x14ac:dyDescent="0.25">
      <c r="A16" s="8" t="s">
        <v>74</v>
      </c>
      <c r="B16" s="10" t="s">
        <v>57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</row>
    <row r="17" spans="1:50" x14ac:dyDescent="0.25">
      <c r="A17" s="17" t="s">
        <v>171</v>
      </c>
      <c r="B17" s="13" t="s">
        <v>168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1.6999999999999999E-3</v>
      </c>
      <c r="K17" s="18">
        <v>2.4899999999999999E-2</v>
      </c>
      <c r="L17" s="18">
        <v>0.1163</v>
      </c>
      <c r="M17" s="18">
        <v>0.23069999999999999</v>
      </c>
      <c r="N17" s="18">
        <v>0.37090000000000001</v>
      </c>
      <c r="O17" s="18">
        <v>0.52400000000000002</v>
      </c>
      <c r="P17" s="18">
        <v>0.67889999999999995</v>
      </c>
      <c r="Q17" s="18">
        <v>0.83299999999999996</v>
      </c>
      <c r="R17" s="18">
        <v>0.98729999999999996</v>
      </c>
      <c r="S17" s="18">
        <v>1.1322000000000001</v>
      </c>
      <c r="T17" s="18">
        <v>1.2683</v>
      </c>
      <c r="U17" s="18">
        <v>1.3843000000000001</v>
      </c>
      <c r="V17" s="18">
        <v>1.4832000000000001</v>
      </c>
      <c r="W17" s="18">
        <v>1.57</v>
      </c>
      <c r="X17" s="18">
        <v>1.6416999999999999</v>
      </c>
      <c r="Y17" s="18">
        <v>1.6924999999999999</v>
      </c>
      <c r="Z17" s="18">
        <v>1.7148000000000001</v>
      </c>
      <c r="AA17" s="18">
        <v>1.7212000000000001</v>
      </c>
      <c r="AB17" s="18">
        <v>1.7092000000000001</v>
      </c>
      <c r="AC17" s="18">
        <v>1.6686000000000001</v>
      </c>
      <c r="AD17" s="18">
        <v>1.6067</v>
      </c>
      <c r="AE17" s="18">
        <v>1.5327999999999999</v>
      </c>
      <c r="AF17" s="18">
        <v>1.4391</v>
      </c>
      <c r="AG17" s="18">
        <v>1.3395999999999999</v>
      </c>
      <c r="AH17" s="18">
        <v>1.2198</v>
      </c>
      <c r="AI17" s="18">
        <v>1.0849</v>
      </c>
      <c r="AJ17" s="18">
        <v>0.92200000000000004</v>
      </c>
      <c r="AK17" s="18">
        <v>0.76959999999999995</v>
      </c>
      <c r="AL17" s="18">
        <v>0.61299999999999999</v>
      </c>
      <c r="AM17" s="18">
        <v>0.46150000000000002</v>
      </c>
      <c r="AN17" s="18">
        <v>0.31540000000000001</v>
      </c>
      <c r="AO17" s="18">
        <v>0.1842</v>
      </c>
      <c r="AP17" s="18">
        <v>5.3600000000000002E-2</v>
      </c>
      <c r="AQ17" s="18">
        <v>9.9000000000000008E-3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</row>
    <row r="18" spans="1:50" x14ac:dyDescent="0.25">
      <c r="A18" s="17" t="s">
        <v>173</v>
      </c>
      <c r="B18" s="13" t="s">
        <v>168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3.3999999999999998E-3</v>
      </c>
      <c r="K18" s="18">
        <v>4.9700000000000001E-2</v>
      </c>
      <c r="L18" s="18">
        <v>0.2326</v>
      </c>
      <c r="M18" s="18">
        <v>0.46129999999999999</v>
      </c>
      <c r="N18" s="18">
        <v>0.7419</v>
      </c>
      <c r="O18" s="18">
        <v>1.0479000000000001</v>
      </c>
      <c r="P18" s="18">
        <v>1.3576999999999999</v>
      </c>
      <c r="Q18" s="18">
        <v>1.6659999999999999</v>
      </c>
      <c r="R18" s="18">
        <v>1.9745999999999999</v>
      </c>
      <c r="S18" s="18">
        <v>2.2643</v>
      </c>
      <c r="T18" s="18">
        <v>2.5367000000000002</v>
      </c>
      <c r="U18" s="18">
        <v>2.7686000000000002</v>
      </c>
      <c r="V18" s="18">
        <v>2.9664000000000001</v>
      </c>
      <c r="W18" s="18">
        <v>3.14</v>
      </c>
      <c r="X18" s="18">
        <v>3.2833000000000001</v>
      </c>
      <c r="Y18" s="18">
        <v>3.3849999999999998</v>
      </c>
      <c r="Z18" s="18">
        <v>3.4296000000000002</v>
      </c>
      <c r="AA18" s="18">
        <v>3.4424999999999999</v>
      </c>
      <c r="AB18" s="18">
        <v>3.4182999999999999</v>
      </c>
      <c r="AC18" s="18">
        <v>3.3372000000000002</v>
      </c>
      <c r="AD18" s="18">
        <v>3.2132999999999998</v>
      </c>
      <c r="AE18" s="18">
        <v>3.0655000000000001</v>
      </c>
      <c r="AF18" s="18">
        <v>2.8782000000000001</v>
      </c>
      <c r="AG18" s="18">
        <v>2.6791</v>
      </c>
      <c r="AH18" s="18">
        <v>2.4396</v>
      </c>
      <c r="AI18" s="18">
        <v>2.1698</v>
      </c>
      <c r="AJ18" s="18">
        <v>1.8441000000000001</v>
      </c>
      <c r="AK18" s="18">
        <v>1.5391999999999999</v>
      </c>
      <c r="AL18" s="18">
        <v>1.2259</v>
      </c>
      <c r="AM18" s="18">
        <v>0.92290000000000005</v>
      </c>
      <c r="AN18" s="18">
        <v>0.63080000000000003</v>
      </c>
      <c r="AO18" s="18">
        <v>0.36830000000000002</v>
      </c>
      <c r="AP18" s="18">
        <v>0.1072</v>
      </c>
      <c r="AQ18" s="18">
        <v>1.9800000000000002E-2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</row>
    <row r="19" spans="1:50" x14ac:dyDescent="0.25">
      <c r="A19" s="8" t="s">
        <v>76</v>
      </c>
      <c r="B19" s="10" t="s">
        <v>57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</row>
    <row r="20" spans="1:50" x14ac:dyDescent="0.25">
      <c r="A20" s="8" t="s">
        <v>78</v>
      </c>
      <c r="B20" s="10" t="s">
        <v>57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</row>
    <row r="21" spans="1:50" x14ac:dyDescent="0.25">
      <c r="A21" s="17" t="s">
        <v>175</v>
      </c>
      <c r="B21" s="13" t="s">
        <v>168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2.5999999999999999E-3</v>
      </c>
      <c r="K21" s="18">
        <v>3.73E-2</v>
      </c>
      <c r="L21" s="18">
        <v>0.1744</v>
      </c>
      <c r="M21" s="18">
        <v>0.34599999999999997</v>
      </c>
      <c r="N21" s="18">
        <v>0.55640000000000001</v>
      </c>
      <c r="O21" s="18">
        <v>0.78590000000000004</v>
      </c>
      <c r="P21" s="18">
        <v>1.0183</v>
      </c>
      <c r="Q21" s="18">
        <v>1.2495000000000001</v>
      </c>
      <c r="R21" s="18">
        <v>1.4810000000000001</v>
      </c>
      <c r="S21" s="18">
        <v>1.6981999999999999</v>
      </c>
      <c r="T21" s="18">
        <v>1.9025000000000001</v>
      </c>
      <c r="U21" s="18">
        <v>2.0764</v>
      </c>
      <c r="V21" s="18">
        <v>2.2248000000000001</v>
      </c>
      <c r="W21" s="18">
        <v>2.355</v>
      </c>
      <c r="X21" s="18">
        <v>2.4624999999999999</v>
      </c>
      <c r="Y21" s="18">
        <v>2.5387</v>
      </c>
      <c r="Z21" s="18">
        <v>2.5722</v>
      </c>
      <c r="AA21" s="18">
        <v>2.5819000000000001</v>
      </c>
      <c r="AB21" s="18">
        <v>2.5636999999999999</v>
      </c>
      <c r="AC21" s="18">
        <v>2.5028999999999999</v>
      </c>
      <c r="AD21" s="18">
        <v>2.41</v>
      </c>
      <c r="AE21" s="18">
        <v>2.2991000000000001</v>
      </c>
      <c r="AF21" s="18">
        <v>2.1585999999999999</v>
      </c>
      <c r="AG21" s="18">
        <v>2.0093000000000001</v>
      </c>
      <c r="AH21" s="18">
        <v>1.8297000000000001</v>
      </c>
      <c r="AI21" s="18">
        <v>1.6274</v>
      </c>
      <c r="AJ21" s="18">
        <v>1.3831</v>
      </c>
      <c r="AK21" s="18">
        <v>1.1544000000000001</v>
      </c>
      <c r="AL21" s="18">
        <v>0.91949999999999998</v>
      </c>
      <c r="AM21" s="18">
        <v>0.69220000000000004</v>
      </c>
      <c r="AN21" s="18">
        <v>0.47310000000000002</v>
      </c>
      <c r="AO21" s="18">
        <v>0.2762</v>
      </c>
      <c r="AP21" s="18">
        <v>8.0399999999999999E-2</v>
      </c>
      <c r="AQ21" s="18">
        <v>1.4800000000000001E-2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</row>
    <row r="22" spans="1:50" x14ac:dyDescent="0.25">
      <c r="A22" s="8" t="s">
        <v>80</v>
      </c>
      <c r="B22" s="10" t="s">
        <v>57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</row>
    <row r="23" spans="1:50" x14ac:dyDescent="0.25">
      <c r="A23" s="17" t="s">
        <v>177</v>
      </c>
      <c r="B23" s="13" t="s">
        <v>168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1.6999999999999999E-3</v>
      </c>
      <c r="K23" s="18">
        <v>2.4899999999999999E-2</v>
      </c>
      <c r="L23" s="18">
        <v>0.1163</v>
      </c>
      <c r="M23" s="18">
        <v>0.23069999999999999</v>
      </c>
      <c r="N23" s="18">
        <v>0.37090000000000001</v>
      </c>
      <c r="O23" s="18">
        <v>0.52400000000000002</v>
      </c>
      <c r="P23" s="18">
        <v>0.67889999999999995</v>
      </c>
      <c r="Q23" s="18">
        <v>0.83299999999999996</v>
      </c>
      <c r="R23" s="18">
        <v>0.98729999999999996</v>
      </c>
      <c r="S23" s="18">
        <v>1.1322000000000001</v>
      </c>
      <c r="T23" s="18">
        <v>1.2683</v>
      </c>
      <c r="U23" s="18">
        <v>1.3843000000000001</v>
      </c>
      <c r="V23" s="18">
        <v>1.4832000000000001</v>
      </c>
      <c r="W23" s="18">
        <v>1.57</v>
      </c>
      <c r="X23" s="18">
        <v>1.6416999999999999</v>
      </c>
      <c r="Y23" s="18">
        <v>1.6924999999999999</v>
      </c>
      <c r="Z23" s="18">
        <v>1.7148000000000001</v>
      </c>
      <c r="AA23" s="18">
        <v>1.7212000000000001</v>
      </c>
      <c r="AB23" s="18">
        <v>1.7092000000000001</v>
      </c>
      <c r="AC23" s="18">
        <v>1.6686000000000001</v>
      </c>
      <c r="AD23" s="18">
        <v>1.6067</v>
      </c>
      <c r="AE23" s="18">
        <v>1.5327999999999999</v>
      </c>
      <c r="AF23" s="18">
        <v>1.4391</v>
      </c>
      <c r="AG23" s="18">
        <v>1.3395999999999999</v>
      </c>
      <c r="AH23" s="18">
        <v>1.2198</v>
      </c>
      <c r="AI23" s="18">
        <v>1.0849</v>
      </c>
      <c r="AJ23" s="18">
        <v>0.92200000000000004</v>
      </c>
      <c r="AK23" s="18">
        <v>0.76959999999999995</v>
      </c>
      <c r="AL23" s="18">
        <v>0.61299999999999999</v>
      </c>
      <c r="AM23" s="18">
        <v>0.46150000000000002</v>
      </c>
      <c r="AN23" s="18">
        <v>0.31540000000000001</v>
      </c>
      <c r="AO23" s="18">
        <v>0.1842</v>
      </c>
      <c r="AP23" s="18">
        <v>5.3600000000000002E-2</v>
      </c>
      <c r="AQ23" s="18">
        <v>9.9000000000000008E-3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</row>
    <row r="24" spans="1:50" x14ac:dyDescent="0.25">
      <c r="A24" s="8" t="s">
        <v>82</v>
      </c>
      <c r="B24" s="10" t="s">
        <v>57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</row>
    <row r="25" spans="1:50" x14ac:dyDescent="0.25">
      <c r="A25" s="17" t="s">
        <v>179</v>
      </c>
      <c r="B25" s="13" t="s">
        <v>168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2.2000000000000001E-3</v>
      </c>
      <c r="K25" s="18">
        <v>3.1099999999999999E-2</v>
      </c>
      <c r="L25" s="18">
        <v>0.1454</v>
      </c>
      <c r="M25" s="18">
        <v>0.2883</v>
      </c>
      <c r="N25" s="18">
        <v>0.4637</v>
      </c>
      <c r="O25" s="18">
        <v>0.65490000000000004</v>
      </c>
      <c r="P25" s="18">
        <v>0.84860000000000002</v>
      </c>
      <c r="Q25" s="18">
        <v>1.0411999999999999</v>
      </c>
      <c r="R25" s="18">
        <v>1.2341</v>
      </c>
      <c r="S25" s="18">
        <v>1.4152</v>
      </c>
      <c r="T25" s="18">
        <v>1.5853999999999999</v>
      </c>
      <c r="U25" s="18">
        <v>1.7303999999999999</v>
      </c>
      <c r="V25" s="18">
        <v>1.8540000000000001</v>
      </c>
      <c r="W25" s="18">
        <v>1.9624999999999999</v>
      </c>
      <c r="X25" s="18">
        <v>2.0520999999999998</v>
      </c>
      <c r="Y25" s="18">
        <v>2.1156000000000001</v>
      </c>
      <c r="Z25" s="18">
        <v>2.1435</v>
      </c>
      <c r="AA25" s="18">
        <v>2.1516000000000002</v>
      </c>
      <c r="AB25" s="18">
        <v>2.1364999999999998</v>
      </c>
      <c r="AC25" s="18">
        <v>2.0857000000000001</v>
      </c>
      <c r="AD25" s="18">
        <v>2.0083000000000002</v>
      </c>
      <c r="AE25" s="18">
        <v>1.9158999999999999</v>
      </c>
      <c r="AF25" s="18">
        <v>1.7988999999999999</v>
      </c>
      <c r="AG25" s="18">
        <v>1.6745000000000001</v>
      </c>
      <c r="AH25" s="18">
        <v>1.5246999999999999</v>
      </c>
      <c r="AI25" s="18">
        <v>1.3561000000000001</v>
      </c>
      <c r="AJ25" s="18">
        <v>1.1525000000000001</v>
      </c>
      <c r="AK25" s="18">
        <v>0.96199999999999997</v>
      </c>
      <c r="AL25" s="18">
        <v>0.76619999999999999</v>
      </c>
      <c r="AM25" s="18">
        <v>0.57679999999999998</v>
      </c>
      <c r="AN25" s="18">
        <v>0.39419999999999999</v>
      </c>
      <c r="AO25" s="18">
        <v>0.23019999999999999</v>
      </c>
      <c r="AP25" s="18">
        <v>6.7000000000000004E-2</v>
      </c>
      <c r="AQ25" s="18">
        <v>1.24E-2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</row>
    <row r="26" spans="1:50" x14ac:dyDescent="0.25">
      <c r="A26" s="17" t="s">
        <v>181</v>
      </c>
      <c r="B26" s="13" t="s">
        <v>168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2.2000000000000001E-3</v>
      </c>
      <c r="K26" s="18">
        <v>3.1099999999999999E-2</v>
      </c>
      <c r="L26" s="18">
        <v>0.1454</v>
      </c>
      <c r="M26" s="18">
        <v>0.2883</v>
      </c>
      <c r="N26" s="18">
        <v>0.4637</v>
      </c>
      <c r="O26" s="18">
        <v>0.65490000000000004</v>
      </c>
      <c r="P26" s="18">
        <v>0.84860000000000002</v>
      </c>
      <c r="Q26" s="18">
        <v>1.0411999999999999</v>
      </c>
      <c r="R26" s="18">
        <v>1.2341</v>
      </c>
      <c r="S26" s="18">
        <v>1.4152</v>
      </c>
      <c r="T26" s="18">
        <v>1.5853999999999999</v>
      </c>
      <c r="U26" s="18">
        <v>1.7303999999999999</v>
      </c>
      <c r="V26" s="18">
        <v>1.8540000000000001</v>
      </c>
      <c r="W26" s="18">
        <v>1.9624999999999999</v>
      </c>
      <c r="X26" s="18">
        <v>2.0520999999999998</v>
      </c>
      <c r="Y26" s="18">
        <v>2.1156000000000001</v>
      </c>
      <c r="Z26" s="18">
        <v>2.1435</v>
      </c>
      <c r="AA26" s="18">
        <v>2.1516000000000002</v>
      </c>
      <c r="AB26" s="18">
        <v>2.1364999999999998</v>
      </c>
      <c r="AC26" s="18">
        <v>2.0857000000000001</v>
      </c>
      <c r="AD26" s="18">
        <v>2.0083000000000002</v>
      </c>
      <c r="AE26" s="18">
        <v>1.9158999999999999</v>
      </c>
      <c r="AF26" s="18">
        <v>1.7988999999999999</v>
      </c>
      <c r="AG26" s="18">
        <v>1.6745000000000001</v>
      </c>
      <c r="AH26" s="18">
        <v>1.5246999999999999</v>
      </c>
      <c r="AI26" s="18">
        <v>1.3561000000000001</v>
      </c>
      <c r="AJ26" s="18">
        <v>1.1525000000000001</v>
      </c>
      <c r="AK26" s="18">
        <v>0.96199999999999997</v>
      </c>
      <c r="AL26" s="18">
        <v>0.76619999999999999</v>
      </c>
      <c r="AM26" s="18">
        <v>0.57679999999999998</v>
      </c>
      <c r="AN26" s="18">
        <v>0.39419999999999999</v>
      </c>
      <c r="AO26" s="18">
        <v>0.23019999999999999</v>
      </c>
      <c r="AP26" s="18">
        <v>6.7000000000000004E-2</v>
      </c>
      <c r="AQ26" s="18">
        <v>1.24E-2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</row>
    <row r="27" spans="1:50" x14ac:dyDescent="0.25">
      <c r="A27" s="17" t="s">
        <v>183</v>
      </c>
      <c r="B27" s="13" t="s">
        <v>168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1.6999999999999999E-3</v>
      </c>
      <c r="K27" s="18">
        <v>2.4899999999999999E-2</v>
      </c>
      <c r="L27" s="18">
        <v>0.1163</v>
      </c>
      <c r="M27" s="18">
        <v>0.23069999999999999</v>
      </c>
      <c r="N27" s="18">
        <v>0.37090000000000001</v>
      </c>
      <c r="O27" s="18">
        <v>0.52400000000000002</v>
      </c>
      <c r="P27" s="18">
        <v>0.67889999999999995</v>
      </c>
      <c r="Q27" s="18">
        <v>0.83299999999999996</v>
      </c>
      <c r="R27" s="18">
        <v>0.98729999999999996</v>
      </c>
      <c r="S27" s="18">
        <v>1.1322000000000001</v>
      </c>
      <c r="T27" s="18">
        <v>1.2683</v>
      </c>
      <c r="U27" s="18">
        <v>1.3843000000000001</v>
      </c>
      <c r="V27" s="18">
        <v>1.4832000000000001</v>
      </c>
      <c r="W27" s="18">
        <v>1.57</v>
      </c>
      <c r="X27" s="18">
        <v>1.6416999999999999</v>
      </c>
      <c r="Y27" s="18">
        <v>1.6924999999999999</v>
      </c>
      <c r="Z27" s="18">
        <v>1.7148000000000001</v>
      </c>
      <c r="AA27" s="18">
        <v>1.7212000000000001</v>
      </c>
      <c r="AB27" s="18">
        <v>1.7092000000000001</v>
      </c>
      <c r="AC27" s="18">
        <v>1.6686000000000001</v>
      </c>
      <c r="AD27" s="18">
        <v>1.6067</v>
      </c>
      <c r="AE27" s="18">
        <v>1.5327999999999999</v>
      </c>
      <c r="AF27" s="18">
        <v>1.4391</v>
      </c>
      <c r="AG27" s="18">
        <v>1.3395999999999999</v>
      </c>
      <c r="AH27" s="18">
        <v>1.2198</v>
      </c>
      <c r="AI27" s="18">
        <v>1.0849</v>
      </c>
      <c r="AJ27" s="18">
        <v>0.92200000000000004</v>
      </c>
      <c r="AK27" s="18">
        <v>0.76959999999999995</v>
      </c>
      <c r="AL27" s="18">
        <v>0.61299999999999999</v>
      </c>
      <c r="AM27" s="18">
        <v>0.46150000000000002</v>
      </c>
      <c r="AN27" s="18">
        <v>0.31540000000000001</v>
      </c>
      <c r="AO27" s="18">
        <v>0.1842</v>
      </c>
      <c r="AP27" s="18">
        <v>5.3600000000000002E-2</v>
      </c>
      <c r="AQ27" s="18">
        <v>9.9000000000000008E-3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</row>
    <row r="28" spans="1:50" x14ac:dyDescent="0.25">
      <c r="A28" s="8" t="s">
        <v>84</v>
      </c>
      <c r="B28" s="10" t="s">
        <v>57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</row>
    <row r="29" spans="1:50" x14ac:dyDescent="0.25">
      <c r="A29" s="17" t="s">
        <v>185</v>
      </c>
      <c r="B29" s="13" t="s">
        <v>168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1.6999999999999999E-3</v>
      </c>
      <c r="K29" s="18">
        <v>2.4899999999999999E-2</v>
      </c>
      <c r="L29" s="18">
        <v>0.1163</v>
      </c>
      <c r="M29" s="18">
        <v>0.23069999999999999</v>
      </c>
      <c r="N29" s="18">
        <v>0.37090000000000001</v>
      </c>
      <c r="O29" s="18">
        <v>0.52400000000000002</v>
      </c>
      <c r="P29" s="18">
        <v>0.67889999999999995</v>
      </c>
      <c r="Q29" s="18">
        <v>0.83299999999999996</v>
      </c>
      <c r="R29" s="18">
        <v>0.98729999999999996</v>
      </c>
      <c r="S29" s="18">
        <v>1.1322000000000001</v>
      </c>
      <c r="T29" s="18">
        <v>1.2683</v>
      </c>
      <c r="U29" s="18">
        <v>1.3843000000000001</v>
      </c>
      <c r="V29" s="18">
        <v>1.4832000000000001</v>
      </c>
      <c r="W29" s="18">
        <v>1.57</v>
      </c>
      <c r="X29" s="18">
        <v>1.6416999999999999</v>
      </c>
      <c r="Y29" s="18">
        <v>1.6924999999999999</v>
      </c>
      <c r="Z29" s="18">
        <v>1.7148000000000001</v>
      </c>
      <c r="AA29" s="18">
        <v>1.7212000000000001</v>
      </c>
      <c r="AB29" s="18">
        <v>1.7092000000000001</v>
      </c>
      <c r="AC29" s="18">
        <v>1.6686000000000001</v>
      </c>
      <c r="AD29" s="18">
        <v>1.6067</v>
      </c>
      <c r="AE29" s="18">
        <v>1.5327999999999999</v>
      </c>
      <c r="AF29" s="18">
        <v>1.4391</v>
      </c>
      <c r="AG29" s="18">
        <v>1.3395999999999999</v>
      </c>
      <c r="AH29" s="18">
        <v>1.2198</v>
      </c>
      <c r="AI29" s="18">
        <v>1.0849</v>
      </c>
      <c r="AJ29" s="18">
        <v>0.92200000000000004</v>
      </c>
      <c r="AK29" s="18">
        <v>0.76959999999999995</v>
      </c>
      <c r="AL29" s="18">
        <v>0.61299999999999999</v>
      </c>
      <c r="AM29" s="18">
        <v>0.46150000000000002</v>
      </c>
      <c r="AN29" s="18">
        <v>0.31540000000000001</v>
      </c>
      <c r="AO29" s="18">
        <v>0.1842</v>
      </c>
      <c r="AP29" s="18">
        <v>5.3600000000000002E-2</v>
      </c>
      <c r="AQ29" s="18">
        <v>9.9000000000000008E-3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</row>
    <row r="30" spans="1:50" x14ac:dyDescent="0.25">
      <c r="A30" s="8" t="s">
        <v>86</v>
      </c>
      <c r="B30" s="10" t="s">
        <v>57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</row>
    <row r="31" spans="1:50" x14ac:dyDescent="0.25">
      <c r="A31" s="17" t="s">
        <v>187</v>
      </c>
      <c r="B31" s="13" t="s">
        <v>168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2.5999999999999999E-3</v>
      </c>
      <c r="K31" s="18">
        <v>3.73E-2</v>
      </c>
      <c r="L31" s="18">
        <v>0.1744</v>
      </c>
      <c r="M31" s="18">
        <v>0.34599999999999997</v>
      </c>
      <c r="N31" s="18">
        <v>0.55640000000000001</v>
      </c>
      <c r="O31" s="18">
        <v>0.78590000000000004</v>
      </c>
      <c r="P31" s="18">
        <v>1.0183</v>
      </c>
      <c r="Q31" s="18">
        <v>1.2495000000000001</v>
      </c>
      <c r="R31" s="18">
        <v>1.4810000000000001</v>
      </c>
      <c r="S31" s="18">
        <v>1.6981999999999999</v>
      </c>
      <c r="T31" s="18">
        <v>1.9025000000000001</v>
      </c>
      <c r="U31" s="18">
        <v>2.0764</v>
      </c>
      <c r="V31" s="18">
        <v>2.2248000000000001</v>
      </c>
      <c r="W31" s="18">
        <v>2.355</v>
      </c>
      <c r="X31" s="18">
        <v>2.4624999999999999</v>
      </c>
      <c r="Y31" s="18">
        <v>2.5387</v>
      </c>
      <c r="Z31" s="18">
        <v>2.5722</v>
      </c>
      <c r="AA31" s="18">
        <v>2.5819000000000001</v>
      </c>
      <c r="AB31" s="18">
        <v>2.5636999999999999</v>
      </c>
      <c r="AC31" s="18">
        <v>2.5028999999999999</v>
      </c>
      <c r="AD31" s="18">
        <v>2.41</v>
      </c>
      <c r="AE31" s="18">
        <v>2.2991000000000001</v>
      </c>
      <c r="AF31" s="18">
        <v>2.1585999999999999</v>
      </c>
      <c r="AG31" s="18">
        <v>2.0093000000000001</v>
      </c>
      <c r="AH31" s="18">
        <v>1.8297000000000001</v>
      </c>
      <c r="AI31" s="18">
        <v>1.6274</v>
      </c>
      <c r="AJ31" s="18">
        <v>1.3831</v>
      </c>
      <c r="AK31" s="18">
        <v>1.1544000000000001</v>
      </c>
      <c r="AL31" s="18">
        <v>0.91949999999999998</v>
      </c>
      <c r="AM31" s="18">
        <v>0.69220000000000004</v>
      </c>
      <c r="AN31" s="18">
        <v>0.47310000000000002</v>
      </c>
      <c r="AO31" s="18">
        <v>0.2762</v>
      </c>
      <c r="AP31" s="18">
        <v>8.0399999999999999E-2</v>
      </c>
      <c r="AQ31" s="18">
        <v>1.4800000000000001E-2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</row>
    <row r="32" spans="1:50" x14ac:dyDescent="0.25">
      <c r="A32" s="8" t="s">
        <v>88</v>
      </c>
      <c r="B32" s="10" t="s">
        <v>57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</row>
    <row r="33" spans="1:50" x14ac:dyDescent="0.25">
      <c r="A33" s="17" t="s">
        <v>189</v>
      </c>
      <c r="B33" s="13" t="s">
        <v>168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1.6999999999999999E-3</v>
      </c>
      <c r="K33" s="18">
        <v>2.4899999999999999E-2</v>
      </c>
      <c r="L33" s="18">
        <v>0.1163</v>
      </c>
      <c r="M33" s="18">
        <v>0.23069999999999999</v>
      </c>
      <c r="N33" s="18">
        <v>0.37090000000000001</v>
      </c>
      <c r="O33" s="18">
        <v>0.52400000000000002</v>
      </c>
      <c r="P33" s="18">
        <v>0.67889999999999995</v>
      </c>
      <c r="Q33" s="18">
        <v>0.83299999999999996</v>
      </c>
      <c r="R33" s="18">
        <v>0.98729999999999996</v>
      </c>
      <c r="S33" s="18">
        <v>1.1322000000000001</v>
      </c>
      <c r="T33" s="18">
        <v>1.2683</v>
      </c>
      <c r="U33" s="18">
        <v>1.3843000000000001</v>
      </c>
      <c r="V33" s="18">
        <v>1.4832000000000001</v>
      </c>
      <c r="W33" s="18">
        <v>1.57</v>
      </c>
      <c r="X33" s="18">
        <v>1.6416999999999999</v>
      </c>
      <c r="Y33" s="18">
        <v>1.6924999999999999</v>
      </c>
      <c r="Z33" s="18">
        <v>1.7148000000000001</v>
      </c>
      <c r="AA33" s="18">
        <v>1.7212000000000001</v>
      </c>
      <c r="AB33" s="18">
        <v>1.7092000000000001</v>
      </c>
      <c r="AC33" s="18">
        <v>1.6686000000000001</v>
      </c>
      <c r="AD33" s="18">
        <v>1.6067</v>
      </c>
      <c r="AE33" s="18">
        <v>1.5327999999999999</v>
      </c>
      <c r="AF33" s="18">
        <v>1.4391</v>
      </c>
      <c r="AG33" s="18">
        <v>1.3395999999999999</v>
      </c>
      <c r="AH33" s="18">
        <v>1.2198</v>
      </c>
      <c r="AI33" s="18">
        <v>1.0849</v>
      </c>
      <c r="AJ33" s="18">
        <v>0.92200000000000004</v>
      </c>
      <c r="AK33" s="18">
        <v>0.76959999999999995</v>
      </c>
      <c r="AL33" s="18">
        <v>0.61299999999999999</v>
      </c>
      <c r="AM33" s="18">
        <v>0.46150000000000002</v>
      </c>
      <c r="AN33" s="18">
        <v>0.31540000000000001</v>
      </c>
      <c r="AO33" s="18">
        <v>0.1842</v>
      </c>
      <c r="AP33" s="18">
        <v>5.3600000000000002E-2</v>
      </c>
      <c r="AQ33" s="18">
        <v>9.9000000000000008E-3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</row>
    <row r="34" spans="1:50" x14ac:dyDescent="0.25">
      <c r="A34" s="17" t="s">
        <v>191</v>
      </c>
      <c r="B34" s="13" t="s">
        <v>168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3.3999999999999998E-3</v>
      </c>
      <c r="K34" s="18">
        <v>4.9700000000000001E-2</v>
      </c>
      <c r="L34" s="18">
        <v>0.2326</v>
      </c>
      <c r="M34" s="18">
        <v>0.46129999999999999</v>
      </c>
      <c r="N34" s="18">
        <v>0.7419</v>
      </c>
      <c r="O34" s="18">
        <v>1.0479000000000001</v>
      </c>
      <c r="P34" s="18">
        <v>1.3576999999999999</v>
      </c>
      <c r="Q34" s="18">
        <v>1.6659999999999999</v>
      </c>
      <c r="R34" s="18">
        <v>1.9745999999999999</v>
      </c>
      <c r="S34" s="18">
        <v>2.2643</v>
      </c>
      <c r="T34" s="18">
        <v>2.5367000000000002</v>
      </c>
      <c r="U34" s="18">
        <v>2.7686000000000002</v>
      </c>
      <c r="V34" s="18">
        <v>2.9664000000000001</v>
      </c>
      <c r="W34" s="18">
        <v>3.14</v>
      </c>
      <c r="X34" s="18">
        <v>3.2833000000000001</v>
      </c>
      <c r="Y34" s="18">
        <v>3.3849999999999998</v>
      </c>
      <c r="Z34" s="18">
        <v>3.4296000000000002</v>
      </c>
      <c r="AA34" s="18">
        <v>3.4424999999999999</v>
      </c>
      <c r="AB34" s="18">
        <v>3.4182999999999999</v>
      </c>
      <c r="AC34" s="18">
        <v>3.3372000000000002</v>
      </c>
      <c r="AD34" s="18">
        <v>3.2132999999999998</v>
      </c>
      <c r="AE34" s="18">
        <v>3.0655000000000001</v>
      </c>
      <c r="AF34" s="18">
        <v>2.8782000000000001</v>
      </c>
      <c r="AG34" s="18">
        <v>2.6791</v>
      </c>
      <c r="AH34" s="18">
        <v>2.4396</v>
      </c>
      <c r="AI34" s="18">
        <v>2.1698</v>
      </c>
      <c r="AJ34" s="18">
        <v>1.8441000000000001</v>
      </c>
      <c r="AK34" s="18">
        <v>1.5391999999999999</v>
      </c>
      <c r="AL34" s="18">
        <v>1.2259</v>
      </c>
      <c r="AM34" s="18">
        <v>0.92290000000000005</v>
      </c>
      <c r="AN34" s="18">
        <v>0.63080000000000003</v>
      </c>
      <c r="AO34" s="18">
        <v>0.36830000000000002</v>
      </c>
      <c r="AP34" s="18">
        <v>0.1072</v>
      </c>
      <c r="AQ34" s="18">
        <v>1.9800000000000002E-2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</row>
    <row r="35" spans="1:50" x14ac:dyDescent="0.25">
      <c r="A35" s="17" t="s">
        <v>193</v>
      </c>
      <c r="B35" s="13" t="s">
        <v>168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2.2000000000000001E-3</v>
      </c>
      <c r="K35" s="18">
        <v>3.1099999999999999E-2</v>
      </c>
      <c r="L35" s="18">
        <v>0.1454</v>
      </c>
      <c r="M35" s="18">
        <v>0.2883</v>
      </c>
      <c r="N35" s="18">
        <v>0.4637</v>
      </c>
      <c r="O35" s="18">
        <v>0.65490000000000004</v>
      </c>
      <c r="P35" s="18">
        <v>0.84860000000000002</v>
      </c>
      <c r="Q35" s="18">
        <v>1.0411999999999999</v>
      </c>
      <c r="R35" s="18">
        <v>1.2341</v>
      </c>
      <c r="S35" s="18">
        <v>1.4152</v>
      </c>
      <c r="T35" s="18">
        <v>1.5853999999999999</v>
      </c>
      <c r="U35" s="18">
        <v>1.7303999999999999</v>
      </c>
      <c r="V35" s="18">
        <v>1.8540000000000001</v>
      </c>
      <c r="W35" s="18">
        <v>1.9624999999999999</v>
      </c>
      <c r="X35" s="18">
        <v>2.0520999999999998</v>
      </c>
      <c r="Y35" s="18">
        <v>2.1156000000000001</v>
      </c>
      <c r="Z35" s="18">
        <v>2.1435</v>
      </c>
      <c r="AA35" s="18">
        <v>2.1516000000000002</v>
      </c>
      <c r="AB35" s="18">
        <v>2.1364999999999998</v>
      </c>
      <c r="AC35" s="18">
        <v>2.0857000000000001</v>
      </c>
      <c r="AD35" s="18">
        <v>2.0083000000000002</v>
      </c>
      <c r="AE35" s="18">
        <v>1.9158999999999999</v>
      </c>
      <c r="AF35" s="18">
        <v>1.7988999999999999</v>
      </c>
      <c r="AG35" s="18">
        <v>1.6745000000000001</v>
      </c>
      <c r="AH35" s="18">
        <v>1.5246999999999999</v>
      </c>
      <c r="AI35" s="18">
        <v>1.3561000000000001</v>
      </c>
      <c r="AJ35" s="18">
        <v>1.1525000000000001</v>
      </c>
      <c r="AK35" s="18">
        <v>0.96199999999999997</v>
      </c>
      <c r="AL35" s="18">
        <v>0.76619999999999999</v>
      </c>
      <c r="AM35" s="18">
        <v>0.57679999999999998</v>
      </c>
      <c r="AN35" s="18">
        <v>0.39419999999999999</v>
      </c>
      <c r="AO35" s="18">
        <v>0.23019999999999999</v>
      </c>
      <c r="AP35" s="18">
        <v>6.7000000000000004E-2</v>
      </c>
      <c r="AQ35" s="18">
        <v>1.24E-2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</row>
    <row r="36" spans="1:50" x14ac:dyDescent="0.25">
      <c r="A36" s="17" t="s">
        <v>195</v>
      </c>
      <c r="B36" s="13" t="s">
        <v>168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2.2000000000000001E-3</v>
      </c>
      <c r="K36" s="18">
        <v>3.1099999999999999E-2</v>
      </c>
      <c r="L36" s="18">
        <v>0.1454</v>
      </c>
      <c r="M36" s="18">
        <v>0.2883</v>
      </c>
      <c r="N36" s="18">
        <v>0.4637</v>
      </c>
      <c r="O36" s="18">
        <v>0.65490000000000004</v>
      </c>
      <c r="P36" s="18">
        <v>0.84860000000000002</v>
      </c>
      <c r="Q36" s="18">
        <v>1.0411999999999999</v>
      </c>
      <c r="R36" s="18">
        <v>1.2341</v>
      </c>
      <c r="S36" s="18">
        <v>1.4152</v>
      </c>
      <c r="T36" s="18">
        <v>1.5853999999999999</v>
      </c>
      <c r="U36" s="18">
        <v>1.7303999999999999</v>
      </c>
      <c r="V36" s="18">
        <v>1.8540000000000001</v>
      </c>
      <c r="W36" s="18">
        <v>1.9624999999999999</v>
      </c>
      <c r="X36" s="18">
        <v>2.0520999999999998</v>
      </c>
      <c r="Y36" s="18">
        <v>2.1156000000000001</v>
      </c>
      <c r="Z36" s="18">
        <v>2.1435</v>
      </c>
      <c r="AA36" s="18">
        <v>2.1516000000000002</v>
      </c>
      <c r="AB36" s="18">
        <v>2.1364999999999998</v>
      </c>
      <c r="AC36" s="18">
        <v>2.0857000000000001</v>
      </c>
      <c r="AD36" s="18">
        <v>2.0083000000000002</v>
      </c>
      <c r="AE36" s="18">
        <v>1.9158999999999999</v>
      </c>
      <c r="AF36" s="18">
        <v>1.7988999999999999</v>
      </c>
      <c r="AG36" s="18">
        <v>1.6745000000000001</v>
      </c>
      <c r="AH36" s="18">
        <v>1.5246999999999999</v>
      </c>
      <c r="AI36" s="18">
        <v>1.3561000000000001</v>
      </c>
      <c r="AJ36" s="18">
        <v>1.1525000000000001</v>
      </c>
      <c r="AK36" s="18">
        <v>0.96199999999999997</v>
      </c>
      <c r="AL36" s="18">
        <v>0.76619999999999999</v>
      </c>
      <c r="AM36" s="18">
        <v>0.57679999999999998</v>
      </c>
      <c r="AN36" s="18">
        <v>0.39419999999999999</v>
      </c>
      <c r="AO36" s="18">
        <v>0.23019999999999999</v>
      </c>
      <c r="AP36" s="18">
        <v>6.7000000000000004E-2</v>
      </c>
      <c r="AQ36" s="18">
        <v>1.24E-2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</row>
    <row r="37" spans="1:50" x14ac:dyDescent="0.25">
      <c r="A37" s="17" t="s">
        <v>197</v>
      </c>
      <c r="B37" s="13" t="s">
        <v>168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2.2000000000000001E-3</v>
      </c>
      <c r="K37" s="18">
        <v>3.1099999999999999E-2</v>
      </c>
      <c r="L37" s="18">
        <v>0.1454</v>
      </c>
      <c r="M37" s="18">
        <v>0.2883</v>
      </c>
      <c r="N37" s="18">
        <v>0.4637</v>
      </c>
      <c r="O37" s="18">
        <v>0.65490000000000004</v>
      </c>
      <c r="P37" s="18">
        <v>0.84860000000000002</v>
      </c>
      <c r="Q37" s="18">
        <v>1.0411999999999999</v>
      </c>
      <c r="R37" s="18">
        <v>1.2341</v>
      </c>
      <c r="S37" s="18">
        <v>1.4152</v>
      </c>
      <c r="T37" s="18">
        <v>1.5853999999999999</v>
      </c>
      <c r="U37" s="18">
        <v>1.7303999999999999</v>
      </c>
      <c r="V37" s="18">
        <v>1.8540000000000001</v>
      </c>
      <c r="W37" s="18">
        <v>1.9624999999999999</v>
      </c>
      <c r="X37" s="18">
        <v>2.0520999999999998</v>
      </c>
      <c r="Y37" s="18">
        <v>2.1156000000000001</v>
      </c>
      <c r="Z37" s="18">
        <v>2.1435</v>
      </c>
      <c r="AA37" s="18">
        <v>2.1516000000000002</v>
      </c>
      <c r="AB37" s="18">
        <v>2.1364999999999998</v>
      </c>
      <c r="AC37" s="18">
        <v>2.0857000000000001</v>
      </c>
      <c r="AD37" s="18">
        <v>2.0083000000000002</v>
      </c>
      <c r="AE37" s="18">
        <v>1.9158999999999999</v>
      </c>
      <c r="AF37" s="18">
        <v>1.7988999999999999</v>
      </c>
      <c r="AG37" s="18">
        <v>1.6745000000000001</v>
      </c>
      <c r="AH37" s="18">
        <v>1.5246999999999999</v>
      </c>
      <c r="AI37" s="18">
        <v>1.3561000000000001</v>
      </c>
      <c r="AJ37" s="18">
        <v>1.1525000000000001</v>
      </c>
      <c r="AK37" s="18">
        <v>0.96199999999999997</v>
      </c>
      <c r="AL37" s="18">
        <v>0.76619999999999999</v>
      </c>
      <c r="AM37" s="18">
        <v>0.57679999999999998</v>
      </c>
      <c r="AN37" s="18">
        <v>0.39419999999999999</v>
      </c>
      <c r="AO37" s="18">
        <v>0.23019999999999999</v>
      </c>
      <c r="AP37" s="18">
        <v>6.7000000000000004E-2</v>
      </c>
      <c r="AQ37" s="18">
        <v>1.24E-2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</row>
    <row r="38" spans="1:50" x14ac:dyDescent="0.25">
      <c r="A38" s="17" t="s">
        <v>199</v>
      </c>
      <c r="B38" s="13" t="s">
        <v>168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3.3999999999999998E-3</v>
      </c>
      <c r="K38" s="18">
        <v>4.9700000000000001E-2</v>
      </c>
      <c r="L38" s="18">
        <v>0.2326</v>
      </c>
      <c r="M38" s="18">
        <v>0.46129999999999999</v>
      </c>
      <c r="N38" s="18">
        <v>0.7419</v>
      </c>
      <c r="O38" s="18">
        <v>1.0479000000000001</v>
      </c>
      <c r="P38" s="18">
        <v>1.3576999999999999</v>
      </c>
      <c r="Q38" s="18">
        <v>1.6659999999999999</v>
      </c>
      <c r="R38" s="18">
        <v>1.9745999999999999</v>
      </c>
      <c r="S38" s="18">
        <v>2.2643</v>
      </c>
      <c r="T38" s="18">
        <v>2.5367000000000002</v>
      </c>
      <c r="U38" s="18">
        <v>2.7686000000000002</v>
      </c>
      <c r="V38" s="18">
        <v>2.9664000000000001</v>
      </c>
      <c r="W38" s="18">
        <v>3.14</v>
      </c>
      <c r="X38" s="18">
        <v>3.2833000000000001</v>
      </c>
      <c r="Y38" s="18">
        <v>3.3849999999999998</v>
      </c>
      <c r="Z38" s="18">
        <v>3.4296000000000002</v>
      </c>
      <c r="AA38" s="18">
        <v>3.4424999999999999</v>
      </c>
      <c r="AB38" s="18">
        <v>3.4182999999999999</v>
      </c>
      <c r="AC38" s="18">
        <v>3.3372000000000002</v>
      </c>
      <c r="AD38" s="18">
        <v>3.2132999999999998</v>
      </c>
      <c r="AE38" s="18">
        <v>3.0655000000000001</v>
      </c>
      <c r="AF38" s="18">
        <v>2.8782000000000001</v>
      </c>
      <c r="AG38" s="18">
        <v>2.6791</v>
      </c>
      <c r="AH38" s="18">
        <v>2.4396</v>
      </c>
      <c r="AI38" s="18">
        <v>2.1698</v>
      </c>
      <c r="AJ38" s="18">
        <v>1.8441000000000001</v>
      </c>
      <c r="AK38" s="18">
        <v>1.5391999999999999</v>
      </c>
      <c r="AL38" s="18">
        <v>1.2259</v>
      </c>
      <c r="AM38" s="18">
        <v>0.92290000000000005</v>
      </c>
      <c r="AN38" s="18">
        <v>0.63080000000000003</v>
      </c>
      <c r="AO38" s="18">
        <v>0.36830000000000002</v>
      </c>
      <c r="AP38" s="18">
        <v>0.1072</v>
      </c>
      <c r="AQ38" s="18">
        <v>1.9800000000000002E-2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</row>
    <row r="39" spans="1:50" x14ac:dyDescent="0.25">
      <c r="A39" s="17" t="s">
        <v>201</v>
      </c>
      <c r="B39" s="13" t="s">
        <v>168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3.3999999999999998E-3</v>
      </c>
      <c r="K39" s="18">
        <v>4.9700000000000001E-2</v>
      </c>
      <c r="L39" s="18">
        <v>0.2326</v>
      </c>
      <c r="M39" s="18">
        <v>0.46129999999999999</v>
      </c>
      <c r="N39" s="18">
        <v>0.7419</v>
      </c>
      <c r="O39" s="18">
        <v>1.0479000000000001</v>
      </c>
      <c r="P39" s="18">
        <v>1.3576999999999999</v>
      </c>
      <c r="Q39" s="18">
        <v>1.6659999999999999</v>
      </c>
      <c r="R39" s="18">
        <v>1.9745999999999999</v>
      </c>
      <c r="S39" s="18">
        <v>2.2643</v>
      </c>
      <c r="T39" s="18">
        <v>2.5367000000000002</v>
      </c>
      <c r="U39" s="18">
        <v>2.7686000000000002</v>
      </c>
      <c r="V39" s="18">
        <v>2.9664000000000001</v>
      </c>
      <c r="W39" s="18">
        <v>3.14</v>
      </c>
      <c r="X39" s="18">
        <v>3.2833000000000001</v>
      </c>
      <c r="Y39" s="18">
        <v>3.3849999999999998</v>
      </c>
      <c r="Z39" s="18">
        <v>3.4296000000000002</v>
      </c>
      <c r="AA39" s="18">
        <v>3.4424999999999999</v>
      </c>
      <c r="AB39" s="18">
        <v>3.4182999999999999</v>
      </c>
      <c r="AC39" s="18">
        <v>3.3372000000000002</v>
      </c>
      <c r="AD39" s="18">
        <v>3.2132999999999998</v>
      </c>
      <c r="AE39" s="18">
        <v>3.0655000000000001</v>
      </c>
      <c r="AF39" s="18">
        <v>2.8782000000000001</v>
      </c>
      <c r="AG39" s="18">
        <v>2.6791</v>
      </c>
      <c r="AH39" s="18">
        <v>2.4396</v>
      </c>
      <c r="AI39" s="18">
        <v>2.1698</v>
      </c>
      <c r="AJ39" s="18">
        <v>1.8441000000000001</v>
      </c>
      <c r="AK39" s="18">
        <v>1.5391999999999999</v>
      </c>
      <c r="AL39" s="18">
        <v>1.2259</v>
      </c>
      <c r="AM39" s="18">
        <v>0.92290000000000005</v>
      </c>
      <c r="AN39" s="18">
        <v>0.63080000000000003</v>
      </c>
      <c r="AO39" s="18">
        <v>0.36830000000000002</v>
      </c>
      <c r="AP39" s="18">
        <v>0.1072</v>
      </c>
      <c r="AQ39" s="18">
        <v>1.9800000000000002E-2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</row>
    <row r="40" spans="1:50" x14ac:dyDescent="0.25">
      <c r="A40" s="17" t="s">
        <v>203</v>
      </c>
      <c r="B40" s="13" t="s">
        <v>168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3.0000000000000001E-3</v>
      </c>
      <c r="K40" s="18">
        <v>4.3499999999999997E-2</v>
      </c>
      <c r="L40" s="18">
        <v>0.20349999999999999</v>
      </c>
      <c r="M40" s="18">
        <v>0.4037</v>
      </c>
      <c r="N40" s="18">
        <v>0.64910000000000001</v>
      </c>
      <c r="O40" s="18">
        <v>0.91690000000000005</v>
      </c>
      <c r="P40" s="18">
        <v>1.1879999999999999</v>
      </c>
      <c r="Q40" s="18">
        <v>1.4577</v>
      </c>
      <c r="R40" s="18">
        <v>1.7278</v>
      </c>
      <c r="S40" s="18">
        <v>1.9813000000000001</v>
      </c>
      <c r="T40" s="18">
        <v>2.2195999999999998</v>
      </c>
      <c r="U40" s="18">
        <v>2.4224999999999999</v>
      </c>
      <c r="V40" s="18">
        <v>2.5956000000000001</v>
      </c>
      <c r="W40" s="18">
        <v>2.7475000000000001</v>
      </c>
      <c r="X40" s="18">
        <v>2.8729</v>
      </c>
      <c r="Y40" s="18">
        <v>2.9619</v>
      </c>
      <c r="Z40" s="18">
        <v>3.0009000000000001</v>
      </c>
      <c r="AA40" s="18">
        <v>3.0122</v>
      </c>
      <c r="AB40" s="18">
        <v>2.9910000000000001</v>
      </c>
      <c r="AC40" s="18">
        <v>2.92</v>
      </c>
      <c r="AD40" s="18">
        <v>2.8117000000000001</v>
      </c>
      <c r="AE40" s="18">
        <v>2.6823000000000001</v>
      </c>
      <c r="AF40" s="18">
        <v>2.5184000000000002</v>
      </c>
      <c r="AG40" s="18">
        <v>2.3441999999999998</v>
      </c>
      <c r="AH40" s="18">
        <v>2.1345999999999998</v>
      </c>
      <c r="AI40" s="18">
        <v>1.8986000000000001</v>
      </c>
      <c r="AJ40" s="18">
        <v>1.6135999999999999</v>
      </c>
      <c r="AK40" s="18">
        <v>1.3468</v>
      </c>
      <c r="AL40" s="18">
        <v>1.0727</v>
      </c>
      <c r="AM40" s="18">
        <v>0.80759999999999998</v>
      </c>
      <c r="AN40" s="18">
        <v>0.55189999999999995</v>
      </c>
      <c r="AO40" s="18">
        <v>0.32229999999999998</v>
      </c>
      <c r="AP40" s="18">
        <v>9.3799999999999994E-2</v>
      </c>
      <c r="AQ40" s="18">
        <v>1.7299999999999999E-2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</row>
    <row r="41" spans="1:50" x14ac:dyDescent="0.25">
      <c r="A41" s="17" t="s">
        <v>205</v>
      </c>
      <c r="B41" s="13" t="s">
        <v>168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1.6999999999999999E-3</v>
      </c>
      <c r="K41" s="18">
        <v>2.4899999999999999E-2</v>
      </c>
      <c r="L41" s="18">
        <v>0.1163</v>
      </c>
      <c r="M41" s="18">
        <v>0.23069999999999999</v>
      </c>
      <c r="N41" s="18">
        <v>0.37090000000000001</v>
      </c>
      <c r="O41" s="18">
        <v>0.52400000000000002</v>
      </c>
      <c r="P41" s="18">
        <v>0.67889999999999995</v>
      </c>
      <c r="Q41" s="18">
        <v>0.83299999999999996</v>
      </c>
      <c r="R41" s="18">
        <v>0.98729999999999996</v>
      </c>
      <c r="S41" s="18">
        <v>1.1322000000000001</v>
      </c>
      <c r="T41" s="18">
        <v>1.2683</v>
      </c>
      <c r="U41" s="18">
        <v>1.3843000000000001</v>
      </c>
      <c r="V41" s="18">
        <v>1.4832000000000001</v>
      </c>
      <c r="W41" s="18">
        <v>1.57</v>
      </c>
      <c r="X41" s="18">
        <v>1.6416999999999999</v>
      </c>
      <c r="Y41" s="18">
        <v>1.6924999999999999</v>
      </c>
      <c r="Z41" s="18">
        <v>1.7148000000000001</v>
      </c>
      <c r="AA41" s="18">
        <v>1.7212000000000001</v>
      </c>
      <c r="AB41" s="18">
        <v>1.7092000000000001</v>
      </c>
      <c r="AC41" s="18">
        <v>1.6686000000000001</v>
      </c>
      <c r="AD41" s="18">
        <v>1.6067</v>
      </c>
      <c r="AE41" s="18">
        <v>1.5327999999999999</v>
      </c>
      <c r="AF41" s="18">
        <v>1.4391</v>
      </c>
      <c r="AG41" s="18">
        <v>1.3395999999999999</v>
      </c>
      <c r="AH41" s="18">
        <v>1.2198</v>
      </c>
      <c r="AI41" s="18">
        <v>1.0849</v>
      </c>
      <c r="AJ41" s="18">
        <v>0.92200000000000004</v>
      </c>
      <c r="AK41" s="18">
        <v>0.76959999999999995</v>
      </c>
      <c r="AL41" s="18">
        <v>0.61299999999999999</v>
      </c>
      <c r="AM41" s="18">
        <v>0.46150000000000002</v>
      </c>
      <c r="AN41" s="18">
        <v>0.31540000000000001</v>
      </c>
      <c r="AO41" s="18">
        <v>0.1842</v>
      </c>
      <c r="AP41" s="18">
        <v>5.3600000000000002E-2</v>
      </c>
      <c r="AQ41" s="18">
        <v>9.9000000000000008E-3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</row>
    <row r="42" spans="1:50" x14ac:dyDescent="0.25">
      <c r="A42" s="17" t="s">
        <v>207</v>
      </c>
      <c r="B42" s="13" t="s">
        <v>168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3.3999999999999998E-3</v>
      </c>
      <c r="K42" s="18">
        <v>4.9700000000000001E-2</v>
      </c>
      <c r="L42" s="18">
        <v>0.2326</v>
      </c>
      <c r="M42" s="18">
        <v>0.46129999999999999</v>
      </c>
      <c r="N42" s="18">
        <v>0.7419</v>
      </c>
      <c r="O42" s="18">
        <v>1.0479000000000001</v>
      </c>
      <c r="P42" s="18">
        <v>1.3576999999999999</v>
      </c>
      <c r="Q42" s="18">
        <v>1.6659999999999999</v>
      </c>
      <c r="R42" s="18">
        <v>1.9745999999999999</v>
      </c>
      <c r="S42" s="18">
        <v>2.2643</v>
      </c>
      <c r="T42" s="18">
        <v>2.5367000000000002</v>
      </c>
      <c r="U42" s="18">
        <v>2.7686000000000002</v>
      </c>
      <c r="V42" s="18">
        <v>2.9664000000000001</v>
      </c>
      <c r="W42" s="18">
        <v>3.14</v>
      </c>
      <c r="X42" s="18">
        <v>3.2833000000000001</v>
      </c>
      <c r="Y42" s="18">
        <v>3.3849999999999998</v>
      </c>
      <c r="Z42" s="18">
        <v>3.4296000000000002</v>
      </c>
      <c r="AA42" s="18">
        <v>3.4424999999999999</v>
      </c>
      <c r="AB42" s="18">
        <v>3.4182999999999999</v>
      </c>
      <c r="AC42" s="18">
        <v>3.3372000000000002</v>
      </c>
      <c r="AD42" s="18">
        <v>3.2132999999999998</v>
      </c>
      <c r="AE42" s="18">
        <v>3.0655000000000001</v>
      </c>
      <c r="AF42" s="18">
        <v>2.8782000000000001</v>
      </c>
      <c r="AG42" s="18">
        <v>2.6791</v>
      </c>
      <c r="AH42" s="18">
        <v>2.4396</v>
      </c>
      <c r="AI42" s="18">
        <v>2.1698</v>
      </c>
      <c r="AJ42" s="18">
        <v>1.8441000000000001</v>
      </c>
      <c r="AK42" s="18">
        <v>1.5391999999999999</v>
      </c>
      <c r="AL42" s="18">
        <v>1.2259</v>
      </c>
      <c r="AM42" s="18">
        <v>0.92290000000000005</v>
      </c>
      <c r="AN42" s="18">
        <v>0.63080000000000003</v>
      </c>
      <c r="AO42" s="18">
        <v>0.36830000000000002</v>
      </c>
      <c r="AP42" s="18">
        <v>0.1072</v>
      </c>
      <c r="AQ42" s="18">
        <v>1.9800000000000002E-2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</row>
    <row r="43" spans="1:50" x14ac:dyDescent="0.25">
      <c r="A43" s="8" t="s">
        <v>90</v>
      </c>
      <c r="B43" s="10" t="s">
        <v>57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</row>
    <row r="44" spans="1:50" x14ac:dyDescent="0.25">
      <c r="A44" s="8" t="s">
        <v>92</v>
      </c>
      <c r="B44" s="10" t="s">
        <v>57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</row>
    <row r="45" spans="1:50" x14ac:dyDescent="0.25">
      <c r="A45" s="8" t="s">
        <v>94</v>
      </c>
      <c r="B45" s="10" t="s">
        <v>57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</row>
    <row r="46" spans="1:50" x14ac:dyDescent="0.25">
      <c r="A46" s="17" t="s">
        <v>209</v>
      </c>
      <c r="B46" s="13" t="s">
        <v>168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2.2000000000000001E-3</v>
      </c>
      <c r="K46" s="18">
        <v>3.1099999999999999E-2</v>
      </c>
      <c r="L46" s="18">
        <v>0.1454</v>
      </c>
      <c r="M46" s="18">
        <v>0.2883</v>
      </c>
      <c r="N46" s="18">
        <v>0.4637</v>
      </c>
      <c r="O46" s="18">
        <v>0.65490000000000004</v>
      </c>
      <c r="P46" s="18">
        <v>0.84860000000000002</v>
      </c>
      <c r="Q46" s="18">
        <v>1.0411999999999999</v>
      </c>
      <c r="R46" s="18">
        <v>1.2341</v>
      </c>
      <c r="S46" s="18">
        <v>1.4152</v>
      </c>
      <c r="T46" s="18">
        <v>1.5853999999999999</v>
      </c>
      <c r="U46" s="18">
        <v>1.7303999999999999</v>
      </c>
      <c r="V46" s="18">
        <v>1.8540000000000001</v>
      </c>
      <c r="W46" s="18">
        <v>1.9624999999999999</v>
      </c>
      <c r="X46" s="18">
        <v>2.0520999999999998</v>
      </c>
      <c r="Y46" s="18">
        <v>2.1156000000000001</v>
      </c>
      <c r="Z46" s="18">
        <v>2.1435</v>
      </c>
      <c r="AA46" s="18">
        <v>2.1516000000000002</v>
      </c>
      <c r="AB46" s="18">
        <v>2.1364999999999998</v>
      </c>
      <c r="AC46" s="18">
        <v>2.0857000000000001</v>
      </c>
      <c r="AD46" s="18">
        <v>2.0083000000000002</v>
      </c>
      <c r="AE46" s="18">
        <v>1.9158999999999999</v>
      </c>
      <c r="AF46" s="18">
        <v>1.7988999999999999</v>
      </c>
      <c r="AG46" s="18">
        <v>1.6745000000000001</v>
      </c>
      <c r="AH46" s="18">
        <v>1.5246999999999999</v>
      </c>
      <c r="AI46" s="18">
        <v>1.3561000000000001</v>
      </c>
      <c r="AJ46" s="18">
        <v>1.1525000000000001</v>
      </c>
      <c r="AK46" s="18">
        <v>0.96199999999999997</v>
      </c>
      <c r="AL46" s="18">
        <v>0.76619999999999999</v>
      </c>
      <c r="AM46" s="18">
        <v>0.57679999999999998</v>
      </c>
      <c r="AN46" s="18">
        <v>0.39419999999999999</v>
      </c>
      <c r="AO46" s="18">
        <v>0.23019999999999999</v>
      </c>
      <c r="AP46" s="18">
        <v>6.7000000000000004E-2</v>
      </c>
      <c r="AQ46" s="18">
        <v>1.24E-2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</row>
    <row r="47" spans="1:50" x14ac:dyDescent="0.25">
      <c r="A47" s="8" t="s">
        <v>96</v>
      </c>
      <c r="B47" s="10" t="s">
        <v>57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</row>
    <row r="48" spans="1:50" x14ac:dyDescent="0.25">
      <c r="A48" s="17" t="s">
        <v>211</v>
      </c>
      <c r="B48" s="13" t="s">
        <v>168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2.5999999999999999E-3</v>
      </c>
      <c r="K48" s="18">
        <v>3.73E-2</v>
      </c>
      <c r="L48" s="18">
        <v>0.1744</v>
      </c>
      <c r="M48" s="18">
        <v>0.34599999999999997</v>
      </c>
      <c r="N48" s="18">
        <v>0.55640000000000001</v>
      </c>
      <c r="O48" s="18">
        <v>0.78590000000000004</v>
      </c>
      <c r="P48" s="18">
        <v>1.0183</v>
      </c>
      <c r="Q48" s="18">
        <v>1.2495000000000001</v>
      </c>
      <c r="R48" s="18">
        <v>1.4810000000000001</v>
      </c>
      <c r="S48" s="18">
        <v>1.6981999999999999</v>
      </c>
      <c r="T48" s="18">
        <v>1.9025000000000001</v>
      </c>
      <c r="U48" s="18">
        <v>2.0764</v>
      </c>
      <c r="V48" s="18">
        <v>2.2248000000000001</v>
      </c>
      <c r="W48" s="18">
        <v>2.355</v>
      </c>
      <c r="X48" s="18">
        <v>2.4624999999999999</v>
      </c>
      <c r="Y48" s="18">
        <v>2.5387</v>
      </c>
      <c r="Z48" s="18">
        <v>2.5722</v>
      </c>
      <c r="AA48" s="18">
        <v>2.5819000000000001</v>
      </c>
      <c r="AB48" s="18">
        <v>2.5636999999999999</v>
      </c>
      <c r="AC48" s="18">
        <v>2.5028999999999999</v>
      </c>
      <c r="AD48" s="18">
        <v>2.41</v>
      </c>
      <c r="AE48" s="18">
        <v>2.2991000000000001</v>
      </c>
      <c r="AF48" s="18">
        <v>2.1585999999999999</v>
      </c>
      <c r="AG48" s="18">
        <v>2.0093000000000001</v>
      </c>
      <c r="AH48" s="18">
        <v>1.8297000000000001</v>
      </c>
      <c r="AI48" s="18">
        <v>1.6274</v>
      </c>
      <c r="AJ48" s="18">
        <v>1.3831</v>
      </c>
      <c r="AK48" s="18">
        <v>1.1544000000000001</v>
      </c>
      <c r="AL48" s="18">
        <v>0.91949999999999998</v>
      </c>
      <c r="AM48" s="18">
        <v>0.69220000000000004</v>
      </c>
      <c r="AN48" s="18">
        <v>0.47310000000000002</v>
      </c>
      <c r="AO48" s="18">
        <v>0.2762</v>
      </c>
      <c r="AP48" s="18">
        <v>8.0399999999999999E-2</v>
      </c>
      <c r="AQ48" s="18">
        <v>1.4800000000000001E-2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</row>
    <row r="49" spans="1:50" x14ac:dyDescent="0.25">
      <c r="A49" s="17" t="s">
        <v>213</v>
      </c>
      <c r="B49" s="13" t="s">
        <v>168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2.5999999999999999E-3</v>
      </c>
      <c r="K49" s="18">
        <v>3.73E-2</v>
      </c>
      <c r="L49" s="18">
        <v>0.1744</v>
      </c>
      <c r="M49" s="18">
        <v>0.34599999999999997</v>
      </c>
      <c r="N49" s="18">
        <v>0.55640000000000001</v>
      </c>
      <c r="O49" s="18">
        <v>0.78590000000000004</v>
      </c>
      <c r="P49" s="18">
        <v>1.0183</v>
      </c>
      <c r="Q49" s="18">
        <v>1.2495000000000001</v>
      </c>
      <c r="R49" s="18">
        <v>1.4810000000000001</v>
      </c>
      <c r="S49" s="18">
        <v>1.6981999999999999</v>
      </c>
      <c r="T49" s="18">
        <v>1.9025000000000001</v>
      </c>
      <c r="U49" s="18">
        <v>2.0764</v>
      </c>
      <c r="V49" s="18">
        <v>2.2248000000000001</v>
      </c>
      <c r="W49" s="18">
        <v>2.355</v>
      </c>
      <c r="X49" s="18">
        <v>2.4624999999999999</v>
      </c>
      <c r="Y49" s="18">
        <v>2.5387</v>
      </c>
      <c r="Z49" s="18">
        <v>2.5722</v>
      </c>
      <c r="AA49" s="18">
        <v>2.5819000000000001</v>
      </c>
      <c r="AB49" s="18">
        <v>2.5636999999999999</v>
      </c>
      <c r="AC49" s="18">
        <v>2.5028999999999999</v>
      </c>
      <c r="AD49" s="18">
        <v>2.41</v>
      </c>
      <c r="AE49" s="18">
        <v>2.2991000000000001</v>
      </c>
      <c r="AF49" s="18">
        <v>2.1585999999999999</v>
      </c>
      <c r="AG49" s="18">
        <v>2.0093000000000001</v>
      </c>
      <c r="AH49" s="18">
        <v>1.8297000000000001</v>
      </c>
      <c r="AI49" s="18">
        <v>1.6274</v>
      </c>
      <c r="AJ49" s="18">
        <v>1.3831</v>
      </c>
      <c r="AK49" s="18">
        <v>1.1544000000000001</v>
      </c>
      <c r="AL49" s="18">
        <v>0.91949999999999998</v>
      </c>
      <c r="AM49" s="18">
        <v>0.69220000000000004</v>
      </c>
      <c r="AN49" s="18">
        <v>0.47310000000000002</v>
      </c>
      <c r="AO49" s="18">
        <v>0.2762</v>
      </c>
      <c r="AP49" s="18">
        <v>8.0399999999999999E-2</v>
      </c>
      <c r="AQ49" s="18">
        <v>1.4800000000000001E-2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0</v>
      </c>
      <c r="AX49" s="18">
        <v>0</v>
      </c>
    </row>
    <row r="50" spans="1:50" x14ac:dyDescent="0.25">
      <c r="A50" s="17" t="s">
        <v>215</v>
      </c>
      <c r="B50" s="13" t="s">
        <v>168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3.0000000000000001E-3</v>
      </c>
      <c r="K50" s="18">
        <v>4.3499999999999997E-2</v>
      </c>
      <c r="L50" s="18">
        <v>0.20349999999999999</v>
      </c>
      <c r="M50" s="18">
        <v>0.4037</v>
      </c>
      <c r="N50" s="18">
        <v>0.64910000000000001</v>
      </c>
      <c r="O50" s="18">
        <v>0.91690000000000005</v>
      </c>
      <c r="P50" s="18">
        <v>1.1879999999999999</v>
      </c>
      <c r="Q50" s="18">
        <v>1.4577</v>
      </c>
      <c r="R50" s="18">
        <v>1.7278</v>
      </c>
      <c r="S50" s="18">
        <v>1.9813000000000001</v>
      </c>
      <c r="T50" s="18">
        <v>2.2195999999999998</v>
      </c>
      <c r="U50" s="18">
        <v>2.4224999999999999</v>
      </c>
      <c r="V50" s="18">
        <v>2.5956000000000001</v>
      </c>
      <c r="W50" s="18">
        <v>2.7475000000000001</v>
      </c>
      <c r="X50" s="18">
        <v>2.8729</v>
      </c>
      <c r="Y50" s="18">
        <v>2.9619</v>
      </c>
      <c r="Z50" s="18">
        <v>3.0009000000000001</v>
      </c>
      <c r="AA50" s="18">
        <v>3.0122</v>
      </c>
      <c r="AB50" s="18">
        <v>2.9910000000000001</v>
      </c>
      <c r="AC50" s="18">
        <v>2.92</v>
      </c>
      <c r="AD50" s="18">
        <v>2.8117000000000001</v>
      </c>
      <c r="AE50" s="18">
        <v>2.6823000000000001</v>
      </c>
      <c r="AF50" s="18">
        <v>2.5184000000000002</v>
      </c>
      <c r="AG50" s="18">
        <v>2.3441999999999998</v>
      </c>
      <c r="AH50" s="18">
        <v>2.1345999999999998</v>
      </c>
      <c r="AI50" s="18">
        <v>1.8986000000000001</v>
      </c>
      <c r="AJ50" s="18">
        <v>1.6135999999999999</v>
      </c>
      <c r="AK50" s="18">
        <v>1.3468</v>
      </c>
      <c r="AL50" s="18">
        <v>1.0727</v>
      </c>
      <c r="AM50" s="18">
        <v>0.80759999999999998</v>
      </c>
      <c r="AN50" s="18">
        <v>0.55189999999999995</v>
      </c>
      <c r="AO50" s="18">
        <v>0.32229999999999998</v>
      </c>
      <c r="AP50" s="18">
        <v>9.3799999999999994E-2</v>
      </c>
      <c r="AQ50" s="18">
        <v>1.7299999999999999E-2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</row>
    <row r="51" spans="1:50" x14ac:dyDescent="0.25">
      <c r="A51" s="8" t="s">
        <v>98</v>
      </c>
      <c r="B51" s="10" t="s">
        <v>57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</row>
    <row r="52" spans="1:50" x14ac:dyDescent="0.25">
      <c r="A52" s="8" t="s">
        <v>100</v>
      </c>
      <c r="B52" s="10" t="s">
        <v>57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</row>
    <row r="53" spans="1:50" x14ac:dyDescent="0.25">
      <c r="A53" s="8" t="s">
        <v>102</v>
      </c>
      <c r="B53" s="10" t="s">
        <v>57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</row>
    <row r="54" spans="1:50" x14ac:dyDescent="0.25">
      <c r="A54" s="17" t="s">
        <v>217</v>
      </c>
      <c r="B54" s="13" t="s">
        <v>168</v>
      </c>
      <c r="C54" s="18">
        <v>0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2.2000000000000001E-3</v>
      </c>
      <c r="K54" s="18">
        <v>3.1099999999999999E-2</v>
      </c>
      <c r="L54" s="18">
        <v>0.1454</v>
      </c>
      <c r="M54" s="18">
        <v>0.2883</v>
      </c>
      <c r="N54" s="18">
        <v>0.4637</v>
      </c>
      <c r="O54" s="18">
        <v>0.65490000000000004</v>
      </c>
      <c r="P54" s="18">
        <v>0.84860000000000002</v>
      </c>
      <c r="Q54" s="18">
        <v>1.0411999999999999</v>
      </c>
      <c r="R54" s="18">
        <v>1.2341</v>
      </c>
      <c r="S54" s="18">
        <v>1.4152</v>
      </c>
      <c r="T54" s="18">
        <v>1.5853999999999999</v>
      </c>
      <c r="U54" s="18">
        <v>1.7303999999999999</v>
      </c>
      <c r="V54" s="18">
        <v>1.8540000000000001</v>
      </c>
      <c r="W54" s="18">
        <v>1.9624999999999999</v>
      </c>
      <c r="X54" s="18">
        <v>2.0520999999999998</v>
      </c>
      <c r="Y54" s="18">
        <v>2.1156000000000001</v>
      </c>
      <c r="Z54" s="18">
        <v>2.1435</v>
      </c>
      <c r="AA54" s="18">
        <v>2.1516000000000002</v>
      </c>
      <c r="AB54" s="18">
        <v>2.1364999999999998</v>
      </c>
      <c r="AC54" s="18">
        <v>2.0857000000000001</v>
      </c>
      <c r="AD54" s="18">
        <v>2.0083000000000002</v>
      </c>
      <c r="AE54" s="18">
        <v>1.9158999999999999</v>
      </c>
      <c r="AF54" s="18">
        <v>1.7988999999999999</v>
      </c>
      <c r="AG54" s="18">
        <v>1.6745000000000001</v>
      </c>
      <c r="AH54" s="18">
        <v>1.5246999999999999</v>
      </c>
      <c r="AI54" s="18">
        <v>1.3561000000000001</v>
      </c>
      <c r="AJ54" s="18">
        <v>1.1525000000000001</v>
      </c>
      <c r="AK54" s="18">
        <v>0.96199999999999997</v>
      </c>
      <c r="AL54" s="18">
        <v>0.76619999999999999</v>
      </c>
      <c r="AM54" s="18">
        <v>0.57679999999999998</v>
      </c>
      <c r="AN54" s="18">
        <v>0.39419999999999999</v>
      </c>
      <c r="AO54" s="18">
        <v>0.23019999999999999</v>
      </c>
      <c r="AP54" s="18">
        <v>6.7000000000000004E-2</v>
      </c>
      <c r="AQ54" s="18">
        <v>1.24E-2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0</v>
      </c>
      <c r="AX54" s="18">
        <v>0</v>
      </c>
    </row>
    <row r="55" spans="1:50" x14ac:dyDescent="0.25">
      <c r="A55" s="17" t="s">
        <v>219</v>
      </c>
      <c r="B55" s="13" t="s">
        <v>168</v>
      </c>
      <c r="C55" s="18">
        <v>0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3.3999999999999998E-3</v>
      </c>
      <c r="K55" s="18">
        <v>4.9700000000000001E-2</v>
      </c>
      <c r="L55" s="18">
        <v>0.2326</v>
      </c>
      <c r="M55" s="18">
        <v>0.46129999999999999</v>
      </c>
      <c r="N55" s="18">
        <v>0.7419</v>
      </c>
      <c r="O55" s="18">
        <v>1.0479000000000001</v>
      </c>
      <c r="P55" s="18">
        <v>1.3576999999999999</v>
      </c>
      <c r="Q55" s="18">
        <v>1.6659999999999999</v>
      </c>
      <c r="R55" s="18">
        <v>1.9745999999999999</v>
      </c>
      <c r="S55" s="18">
        <v>2.2643</v>
      </c>
      <c r="T55" s="18">
        <v>2.5367000000000002</v>
      </c>
      <c r="U55" s="18">
        <v>2.7686000000000002</v>
      </c>
      <c r="V55" s="18">
        <v>2.9664000000000001</v>
      </c>
      <c r="W55" s="18">
        <v>3.14</v>
      </c>
      <c r="X55" s="18">
        <v>3.2833000000000001</v>
      </c>
      <c r="Y55" s="18">
        <v>3.3849999999999998</v>
      </c>
      <c r="Z55" s="18">
        <v>3.4296000000000002</v>
      </c>
      <c r="AA55" s="18">
        <v>3.4424999999999999</v>
      </c>
      <c r="AB55" s="18">
        <v>3.4182999999999999</v>
      </c>
      <c r="AC55" s="18">
        <v>3.3372000000000002</v>
      </c>
      <c r="AD55" s="18">
        <v>3.2132999999999998</v>
      </c>
      <c r="AE55" s="18">
        <v>3.0655000000000001</v>
      </c>
      <c r="AF55" s="18">
        <v>2.8782000000000001</v>
      </c>
      <c r="AG55" s="18">
        <v>2.6791</v>
      </c>
      <c r="AH55" s="18">
        <v>2.4396</v>
      </c>
      <c r="AI55" s="18">
        <v>2.1698</v>
      </c>
      <c r="AJ55" s="18">
        <v>1.8441000000000001</v>
      </c>
      <c r="AK55" s="18">
        <v>1.5391999999999999</v>
      </c>
      <c r="AL55" s="18">
        <v>1.2259</v>
      </c>
      <c r="AM55" s="18">
        <v>0.92290000000000005</v>
      </c>
      <c r="AN55" s="18">
        <v>0.63080000000000003</v>
      </c>
      <c r="AO55" s="18">
        <v>0.36830000000000002</v>
      </c>
      <c r="AP55" s="18">
        <v>0.1072</v>
      </c>
      <c r="AQ55" s="18">
        <v>1.9800000000000002E-2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0</v>
      </c>
      <c r="AX55" s="18">
        <v>0</v>
      </c>
    </row>
    <row r="56" spans="1:50" x14ac:dyDescent="0.25">
      <c r="A56" s="17" t="s">
        <v>221</v>
      </c>
      <c r="B56" s="13" t="s">
        <v>168</v>
      </c>
      <c r="C56" s="18">
        <v>0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3.3999999999999998E-3</v>
      </c>
      <c r="K56" s="18">
        <v>4.9700000000000001E-2</v>
      </c>
      <c r="L56" s="18">
        <v>0.2326</v>
      </c>
      <c r="M56" s="18">
        <v>0.46129999999999999</v>
      </c>
      <c r="N56" s="18">
        <v>0.7419</v>
      </c>
      <c r="O56" s="18">
        <v>1.0479000000000001</v>
      </c>
      <c r="P56" s="18">
        <v>1.3576999999999999</v>
      </c>
      <c r="Q56" s="18">
        <v>1.6659999999999999</v>
      </c>
      <c r="R56" s="18">
        <v>1.9745999999999999</v>
      </c>
      <c r="S56" s="18">
        <v>2.2643</v>
      </c>
      <c r="T56" s="18">
        <v>2.5367000000000002</v>
      </c>
      <c r="U56" s="18">
        <v>2.7686000000000002</v>
      </c>
      <c r="V56" s="18">
        <v>2.9664000000000001</v>
      </c>
      <c r="W56" s="18">
        <v>3.14</v>
      </c>
      <c r="X56" s="18">
        <v>3.2833000000000001</v>
      </c>
      <c r="Y56" s="18">
        <v>3.3849999999999998</v>
      </c>
      <c r="Z56" s="18">
        <v>3.4296000000000002</v>
      </c>
      <c r="AA56" s="18">
        <v>3.4424999999999999</v>
      </c>
      <c r="AB56" s="18">
        <v>3.4182999999999999</v>
      </c>
      <c r="AC56" s="18">
        <v>3.3372000000000002</v>
      </c>
      <c r="AD56" s="18">
        <v>3.2132999999999998</v>
      </c>
      <c r="AE56" s="18">
        <v>3.0655000000000001</v>
      </c>
      <c r="AF56" s="18">
        <v>2.8782000000000001</v>
      </c>
      <c r="AG56" s="18">
        <v>2.6791</v>
      </c>
      <c r="AH56" s="18">
        <v>2.4396</v>
      </c>
      <c r="AI56" s="18">
        <v>2.1698</v>
      </c>
      <c r="AJ56" s="18">
        <v>1.8441000000000001</v>
      </c>
      <c r="AK56" s="18">
        <v>1.5391999999999999</v>
      </c>
      <c r="AL56" s="18">
        <v>1.2259</v>
      </c>
      <c r="AM56" s="18">
        <v>0.92290000000000005</v>
      </c>
      <c r="AN56" s="18">
        <v>0.63080000000000003</v>
      </c>
      <c r="AO56" s="18">
        <v>0.36830000000000002</v>
      </c>
      <c r="AP56" s="18">
        <v>0.1072</v>
      </c>
      <c r="AQ56" s="18">
        <v>1.9800000000000002E-2</v>
      </c>
      <c r="AR56" s="18">
        <v>0</v>
      </c>
      <c r="AS56" s="18">
        <v>0</v>
      </c>
      <c r="AT56" s="18">
        <v>0</v>
      </c>
      <c r="AU56" s="18">
        <v>0</v>
      </c>
      <c r="AV56" s="18">
        <v>0</v>
      </c>
      <c r="AW56" s="18">
        <v>0</v>
      </c>
      <c r="AX56" s="18">
        <v>0</v>
      </c>
    </row>
    <row r="57" spans="1:50" x14ac:dyDescent="0.25">
      <c r="A57" s="17" t="s">
        <v>223</v>
      </c>
      <c r="B57" s="13" t="s">
        <v>168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1.6999999999999999E-3</v>
      </c>
      <c r="K57" s="18">
        <v>2.4899999999999999E-2</v>
      </c>
      <c r="L57" s="18">
        <v>0.1163</v>
      </c>
      <c r="M57" s="18">
        <v>0.23069999999999999</v>
      </c>
      <c r="N57" s="18">
        <v>0.37090000000000001</v>
      </c>
      <c r="O57" s="18">
        <v>0.52400000000000002</v>
      </c>
      <c r="P57" s="18">
        <v>0.67889999999999995</v>
      </c>
      <c r="Q57" s="18">
        <v>0.83299999999999996</v>
      </c>
      <c r="R57" s="18">
        <v>0.98729999999999996</v>
      </c>
      <c r="S57" s="18">
        <v>1.1322000000000001</v>
      </c>
      <c r="T57" s="18">
        <v>1.2683</v>
      </c>
      <c r="U57" s="18">
        <v>1.3843000000000001</v>
      </c>
      <c r="V57" s="18">
        <v>1.4832000000000001</v>
      </c>
      <c r="W57" s="18">
        <v>1.57</v>
      </c>
      <c r="X57" s="18">
        <v>1.6416999999999999</v>
      </c>
      <c r="Y57" s="18">
        <v>1.6924999999999999</v>
      </c>
      <c r="Z57" s="18">
        <v>1.7148000000000001</v>
      </c>
      <c r="AA57" s="18">
        <v>1.7212000000000001</v>
      </c>
      <c r="AB57" s="18">
        <v>1.7092000000000001</v>
      </c>
      <c r="AC57" s="18">
        <v>1.6686000000000001</v>
      </c>
      <c r="AD57" s="18">
        <v>1.6067</v>
      </c>
      <c r="AE57" s="18">
        <v>1.5327999999999999</v>
      </c>
      <c r="AF57" s="18">
        <v>1.4391</v>
      </c>
      <c r="AG57" s="18">
        <v>1.3395999999999999</v>
      </c>
      <c r="AH57" s="18">
        <v>1.2198</v>
      </c>
      <c r="AI57" s="18">
        <v>1.0849</v>
      </c>
      <c r="AJ57" s="18">
        <v>0.92200000000000004</v>
      </c>
      <c r="AK57" s="18">
        <v>0.76959999999999995</v>
      </c>
      <c r="AL57" s="18">
        <v>0.61299999999999999</v>
      </c>
      <c r="AM57" s="18">
        <v>0.46150000000000002</v>
      </c>
      <c r="AN57" s="18">
        <v>0.31540000000000001</v>
      </c>
      <c r="AO57" s="18">
        <v>0.1842</v>
      </c>
      <c r="AP57" s="18">
        <v>5.3600000000000002E-2</v>
      </c>
      <c r="AQ57" s="18">
        <v>9.9000000000000008E-3</v>
      </c>
      <c r="AR57" s="18">
        <v>0</v>
      </c>
      <c r="AS57" s="18">
        <v>0</v>
      </c>
      <c r="AT57" s="18">
        <v>0</v>
      </c>
      <c r="AU57" s="18">
        <v>0</v>
      </c>
      <c r="AV57" s="18">
        <v>0</v>
      </c>
      <c r="AW57" s="18">
        <v>0</v>
      </c>
      <c r="AX57" s="18">
        <v>0</v>
      </c>
    </row>
    <row r="58" spans="1:50" x14ac:dyDescent="0.25">
      <c r="A58" s="17" t="s">
        <v>225</v>
      </c>
      <c r="B58" s="13" t="s">
        <v>168</v>
      </c>
      <c r="C58" s="18">
        <v>0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3.3999999999999998E-3</v>
      </c>
      <c r="K58" s="18">
        <v>4.9700000000000001E-2</v>
      </c>
      <c r="L58" s="18">
        <v>0.2326</v>
      </c>
      <c r="M58" s="18">
        <v>0.46129999999999999</v>
      </c>
      <c r="N58" s="18">
        <v>0.7419</v>
      </c>
      <c r="O58" s="18">
        <v>1.0479000000000001</v>
      </c>
      <c r="P58" s="18">
        <v>1.3576999999999999</v>
      </c>
      <c r="Q58" s="18">
        <v>1.6659999999999999</v>
      </c>
      <c r="R58" s="18">
        <v>1.9745999999999999</v>
      </c>
      <c r="S58" s="18">
        <v>2.2643</v>
      </c>
      <c r="T58" s="18">
        <v>2.5367000000000002</v>
      </c>
      <c r="U58" s="18">
        <v>2.7686000000000002</v>
      </c>
      <c r="V58" s="18">
        <v>2.9664000000000001</v>
      </c>
      <c r="W58" s="18">
        <v>3.14</v>
      </c>
      <c r="X58" s="18">
        <v>3.2833000000000001</v>
      </c>
      <c r="Y58" s="18">
        <v>3.3849999999999998</v>
      </c>
      <c r="Z58" s="18">
        <v>3.4296000000000002</v>
      </c>
      <c r="AA58" s="18">
        <v>3.4424999999999999</v>
      </c>
      <c r="AB58" s="18">
        <v>3.4182999999999999</v>
      </c>
      <c r="AC58" s="18">
        <v>3.3372000000000002</v>
      </c>
      <c r="AD58" s="18">
        <v>3.2132999999999998</v>
      </c>
      <c r="AE58" s="18">
        <v>3.0655000000000001</v>
      </c>
      <c r="AF58" s="18">
        <v>2.8782000000000001</v>
      </c>
      <c r="AG58" s="18">
        <v>2.6791</v>
      </c>
      <c r="AH58" s="18">
        <v>2.4396</v>
      </c>
      <c r="AI58" s="18">
        <v>2.1698</v>
      </c>
      <c r="AJ58" s="18">
        <v>1.8441000000000001</v>
      </c>
      <c r="AK58" s="18">
        <v>1.5391999999999999</v>
      </c>
      <c r="AL58" s="18">
        <v>1.2259</v>
      </c>
      <c r="AM58" s="18">
        <v>0.92290000000000005</v>
      </c>
      <c r="AN58" s="18">
        <v>0.63080000000000003</v>
      </c>
      <c r="AO58" s="18">
        <v>0.36830000000000002</v>
      </c>
      <c r="AP58" s="18">
        <v>0.1072</v>
      </c>
      <c r="AQ58" s="18">
        <v>1.9800000000000002E-2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0</v>
      </c>
      <c r="AX58" s="18">
        <v>0</v>
      </c>
    </row>
    <row r="59" spans="1:50" x14ac:dyDescent="0.25">
      <c r="A59" s="8" t="s">
        <v>104</v>
      </c>
      <c r="B59" s="10" t="s">
        <v>57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</row>
    <row r="60" spans="1:50" x14ac:dyDescent="0.25">
      <c r="A60" s="8" t="s">
        <v>106</v>
      </c>
      <c r="B60" s="10" t="s">
        <v>57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</row>
    <row r="61" spans="1:50" x14ac:dyDescent="0.25">
      <c r="A61" s="8" t="s">
        <v>108</v>
      </c>
      <c r="B61" s="10" t="s">
        <v>57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</row>
    <row r="62" spans="1:50" x14ac:dyDescent="0.25">
      <c r="A62" s="17" t="s">
        <v>227</v>
      </c>
      <c r="B62" s="13" t="s">
        <v>168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3.3999999999999998E-3</v>
      </c>
      <c r="K62" s="18">
        <v>4.9700000000000001E-2</v>
      </c>
      <c r="L62" s="18">
        <v>0.2326</v>
      </c>
      <c r="M62" s="18">
        <v>0.46129999999999999</v>
      </c>
      <c r="N62" s="18">
        <v>0.7419</v>
      </c>
      <c r="O62" s="18">
        <v>1.0479000000000001</v>
      </c>
      <c r="P62" s="18">
        <v>1.3576999999999999</v>
      </c>
      <c r="Q62" s="18">
        <v>1.6659999999999999</v>
      </c>
      <c r="R62" s="18">
        <v>1.9745999999999999</v>
      </c>
      <c r="S62" s="18">
        <v>2.2643</v>
      </c>
      <c r="T62" s="18">
        <v>2.5367000000000002</v>
      </c>
      <c r="U62" s="18">
        <v>2.7686000000000002</v>
      </c>
      <c r="V62" s="18">
        <v>2.9664000000000001</v>
      </c>
      <c r="W62" s="18">
        <v>3.14</v>
      </c>
      <c r="X62" s="18">
        <v>3.2833000000000001</v>
      </c>
      <c r="Y62" s="18">
        <v>3.3849999999999998</v>
      </c>
      <c r="Z62" s="18">
        <v>3.4296000000000002</v>
      </c>
      <c r="AA62" s="18">
        <v>3.4424999999999999</v>
      </c>
      <c r="AB62" s="18">
        <v>3.4182999999999999</v>
      </c>
      <c r="AC62" s="18">
        <v>3.3372000000000002</v>
      </c>
      <c r="AD62" s="18">
        <v>3.2132999999999998</v>
      </c>
      <c r="AE62" s="18">
        <v>3.0655000000000001</v>
      </c>
      <c r="AF62" s="18">
        <v>2.8782000000000001</v>
      </c>
      <c r="AG62" s="18">
        <v>2.6791</v>
      </c>
      <c r="AH62" s="18">
        <v>2.4396</v>
      </c>
      <c r="AI62" s="18">
        <v>2.1698</v>
      </c>
      <c r="AJ62" s="18">
        <v>1.8441000000000001</v>
      </c>
      <c r="AK62" s="18">
        <v>1.5391999999999999</v>
      </c>
      <c r="AL62" s="18">
        <v>1.2259</v>
      </c>
      <c r="AM62" s="18">
        <v>0.92290000000000005</v>
      </c>
      <c r="AN62" s="18">
        <v>0.63080000000000003</v>
      </c>
      <c r="AO62" s="18">
        <v>0.36830000000000002</v>
      </c>
      <c r="AP62" s="18">
        <v>0.1072</v>
      </c>
      <c r="AQ62" s="18">
        <v>1.9800000000000002E-2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</row>
    <row r="63" spans="1:50" x14ac:dyDescent="0.25">
      <c r="A63" s="17" t="s">
        <v>229</v>
      </c>
      <c r="B63" s="13" t="s">
        <v>168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1.6999999999999999E-3</v>
      </c>
      <c r="K63" s="18">
        <v>2.4899999999999999E-2</v>
      </c>
      <c r="L63" s="18">
        <v>0.1163</v>
      </c>
      <c r="M63" s="18">
        <v>0.23069999999999999</v>
      </c>
      <c r="N63" s="18">
        <v>0.37090000000000001</v>
      </c>
      <c r="O63" s="18">
        <v>0.52400000000000002</v>
      </c>
      <c r="P63" s="18">
        <v>0.67889999999999995</v>
      </c>
      <c r="Q63" s="18">
        <v>0.83299999999999996</v>
      </c>
      <c r="R63" s="18">
        <v>0.98729999999999996</v>
      </c>
      <c r="S63" s="18">
        <v>1.1322000000000001</v>
      </c>
      <c r="T63" s="18">
        <v>1.2683</v>
      </c>
      <c r="U63" s="18">
        <v>1.3843000000000001</v>
      </c>
      <c r="V63" s="18">
        <v>1.4832000000000001</v>
      </c>
      <c r="W63" s="18">
        <v>1.57</v>
      </c>
      <c r="X63" s="18">
        <v>1.6416999999999999</v>
      </c>
      <c r="Y63" s="18">
        <v>1.6924999999999999</v>
      </c>
      <c r="Z63" s="18">
        <v>1.7148000000000001</v>
      </c>
      <c r="AA63" s="18">
        <v>1.7212000000000001</v>
      </c>
      <c r="AB63" s="18">
        <v>1.7092000000000001</v>
      </c>
      <c r="AC63" s="18">
        <v>1.6686000000000001</v>
      </c>
      <c r="AD63" s="18">
        <v>1.6067</v>
      </c>
      <c r="AE63" s="18">
        <v>1.5327999999999999</v>
      </c>
      <c r="AF63" s="18">
        <v>1.4391</v>
      </c>
      <c r="AG63" s="18">
        <v>1.3395999999999999</v>
      </c>
      <c r="AH63" s="18">
        <v>1.2198</v>
      </c>
      <c r="AI63" s="18">
        <v>1.0849</v>
      </c>
      <c r="AJ63" s="18">
        <v>0.92200000000000004</v>
      </c>
      <c r="AK63" s="18">
        <v>0.76959999999999995</v>
      </c>
      <c r="AL63" s="18">
        <v>0.61299999999999999</v>
      </c>
      <c r="AM63" s="18">
        <v>0.46150000000000002</v>
      </c>
      <c r="AN63" s="18">
        <v>0.31540000000000001</v>
      </c>
      <c r="AO63" s="18">
        <v>0.1842</v>
      </c>
      <c r="AP63" s="18">
        <v>5.3600000000000002E-2</v>
      </c>
      <c r="AQ63" s="18">
        <v>9.9000000000000008E-3</v>
      </c>
      <c r="AR63" s="18">
        <v>0</v>
      </c>
      <c r="AS63" s="18">
        <v>0</v>
      </c>
      <c r="AT63" s="18">
        <v>0</v>
      </c>
      <c r="AU63" s="18">
        <v>0</v>
      </c>
      <c r="AV63" s="18">
        <v>0</v>
      </c>
      <c r="AW63" s="18">
        <v>0</v>
      </c>
      <c r="AX63" s="18">
        <v>0</v>
      </c>
    </row>
    <row r="64" spans="1:50" x14ac:dyDescent="0.25">
      <c r="A64" s="17" t="s">
        <v>231</v>
      </c>
      <c r="B64" s="13" t="s">
        <v>168</v>
      </c>
      <c r="C64" s="18">
        <v>0</v>
      </c>
      <c r="D64" s="18">
        <v>0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2.5999999999999999E-3</v>
      </c>
      <c r="K64" s="18">
        <v>3.73E-2</v>
      </c>
      <c r="L64" s="18">
        <v>0.1744</v>
      </c>
      <c r="M64" s="18">
        <v>0.34599999999999997</v>
      </c>
      <c r="N64" s="18">
        <v>0.55640000000000001</v>
      </c>
      <c r="O64" s="18">
        <v>0.78590000000000004</v>
      </c>
      <c r="P64" s="18">
        <v>1.0183</v>
      </c>
      <c r="Q64" s="18">
        <v>1.2495000000000001</v>
      </c>
      <c r="R64" s="18">
        <v>1.4810000000000001</v>
      </c>
      <c r="S64" s="18">
        <v>1.6981999999999999</v>
      </c>
      <c r="T64" s="18">
        <v>1.9025000000000001</v>
      </c>
      <c r="U64" s="18">
        <v>2.0764</v>
      </c>
      <c r="V64" s="18">
        <v>2.2248000000000001</v>
      </c>
      <c r="W64" s="18">
        <v>2.355</v>
      </c>
      <c r="X64" s="18">
        <v>2.4624999999999999</v>
      </c>
      <c r="Y64" s="18">
        <v>2.5387</v>
      </c>
      <c r="Z64" s="18">
        <v>2.5722</v>
      </c>
      <c r="AA64" s="18">
        <v>2.5819000000000001</v>
      </c>
      <c r="AB64" s="18">
        <v>2.5636999999999999</v>
      </c>
      <c r="AC64" s="18">
        <v>2.5028999999999999</v>
      </c>
      <c r="AD64" s="18">
        <v>2.41</v>
      </c>
      <c r="AE64" s="18">
        <v>2.2991000000000001</v>
      </c>
      <c r="AF64" s="18">
        <v>2.1585999999999999</v>
      </c>
      <c r="AG64" s="18">
        <v>2.0093000000000001</v>
      </c>
      <c r="AH64" s="18">
        <v>1.8297000000000001</v>
      </c>
      <c r="AI64" s="18">
        <v>1.6274</v>
      </c>
      <c r="AJ64" s="18">
        <v>1.3831</v>
      </c>
      <c r="AK64" s="18">
        <v>1.1544000000000001</v>
      </c>
      <c r="AL64" s="18">
        <v>0.91949999999999998</v>
      </c>
      <c r="AM64" s="18">
        <v>0.69220000000000004</v>
      </c>
      <c r="AN64" s="18">
        <v>0.47310000000000002</v>
      </c>
      <c r="AO64" s="18">
        <v>0.2762</v>
      </c>
      <c r="AP64" s="18">
        <v>8.0399999999999999E-2</v>
      </c>
      <c r="AQ64" s="18">
        <v>1.4800000000000001E-2</v>
      </c>
      <c r="AR64" s="18">
        <v>0</v>
      </c>
      <c r="AS64" s="18">
        <v>0</v>
      </c>
      <c r="AT64" s="18">
        <v>0</v>
      </c>
      <c r="AU64" s="18">
        <v>0</v>
      </c>
      <c r="AV64" s="18">
        <v>0</v>
      </c>
      <c r="AW64" s="18">
        <v>0</v>
      </c>
      <c r="AX64" s="18">
        <v>0</v>
      </c>
    </row>
    <row r="65" spans="1:50" x14ac:dyDescent="0.25">
      <c r="A65" s="17" t="s">
        <v>233</v>
      </c>
      <c r="B65" s="13" t="s">
        <v>168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1.2999999999999999E-3</v>
      </c>
      <c r="K65" s="18">
        <v>1.8700000000000001E-2</v>
      </c>
      <c r="L65" s="18">
        <v>8.72E-2</v>
      </c>
      <c r="M65" s="18">
        <v>0.17299999999999999</v>
      </c>
      <c r="N65" s="18">
        <v>0.2782</v>
      </c>
      <c r="O65" s="18">
        <v>0.39300000000000002</v>
      </c>
      <c r="P65" s="18">
        <v>0.50919999999999999</v>
      </c>
      <c r="Q65" s="18">
        <v>0.62470000000000003</v>
      </c>
      <c r="R65" s="18">
        <v>0.74050000000000005</v>
      </c>
      <c r="S65" s="18">
        <v>0.84909999999999997</v>
      </c>
      <c r="T65" s="18">
        <v>0.95120000000000005</v>
      </c>
      <c r="U65" s="18">
        <v>1.0382</v>
      </c>
      <c r="V65" s="18">
        <v>1.1124000000000001</v>
      </c>
      <c r="W65" s="18">
        <v>1.1775</v>
      </c>
      <c r="X65" s="18">
        <v>1.2312000000000001</v>
      </c>
      <c r="Y65" s="18">
        <v>1.2694000000000001</v>
      </c>
      <c r="Z65" s="18">
        <v>1.2861</v>
      </c>
      <c r="AA65" s="18">
        <v>1.2908999999999999</v>
      </c>
      <c r="AB65" s="18">
        <v>1.2819</v>
      </c>
      <c r="AC65" s="18">
        <v>1.2514000000000001</v>
      </c>
      <c r="AD65" s="18">
        <v>1.2050000000000001</v>
      </c>
      <c r="AE65" s="18">
        <v>1.1496</v>
      </c>
      <c r="AF65" s="18">
        <v>1.0792999999999999</v>
      </c>
      <c r="AG65" s="18">
        <v>1.0046999999999999</v>
      </c>
      <c r="AH65" s="18">
        <v>0.91479999999999995</v>
      </c>
      <c r="AI65" s="18">
        <v>0.81369999999999998</v>
      </c>
      <c r="AJ65" s="18">
        <v>0.6915</v>
      </c>
      <c r="AK65" s="18">
        <v>0.57720000000000005</v>
      </c>
      <c r="AL65" s="18">
        <v>0.4597</v>
      </c>
      <c r="AM65" s="18">
        <v>0.34610000000000002</v>
      </c>
      <c r="AN65" s="18">
        <v>0.23649999999999999</v>
      </c>
      <c r="AO65" s="18">
        <v>0.1381</v>
      </c>
      <c r="AP65" s="18">
        <v>4.02E-2</v>
      </c>
      <c r="AQ65" s="18">
        <v>7.4000000000000003E-3</v>
      </c>
      <c r="AR65" s="18">
        <v>0</v>
      </c>
      <c r="AS65" s="18">
        <v>0</v>
      </c>
      <c r="AT65" s="18">
        <v>0</v>
      </c>
      <c r="AU65" s="18">
        <v>0</v>
      </c>
      <c r="AV65" s="18">
        <v>0</v>
      </c>
      <c r="AW65" s="18">
        <v>0</v>
      </c>
      <c r="AX65" s="18">
        <v>0</v>
      </c>
    </row>
    <row r="66" spans="1:50" x14ac:dyDescent="0.25">
      <c r="A66" s="17" t="s">
        <v>235</v>
      </c>
      <c r="B66" s="13" t="s">
        <v>168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1.6999999999999999E-3</v>
      </c>
      <c r="K66" s="18">
        <v>2.4899999999999999E-2</v>
      </c>
      <c r="L66" s="18">
        <v>0.1163</v>
      </c>
      <c r="M66" s="18">
        <v>0.23069999999999999</v>
      </c>
      <c r="N66" s="18">
        <v>0.37090000000000001</v>
      </c>
      <c r="O66" s="18">
        <v>0.52400000000000002</v>
      </c>
      <c r="P66" s="18">
        <v>0.67889999999999995</v>
      </c>
      <c r="Q66" s="18">
        <v>0.83299999999999996</v>
      </c>
      <c r="R66" s="18">
        <v>0.98729999999999996</v>
      </c>
      <c r="S66" s="18">
        <v>1.1322000000000001</v>
      </c>
      <c r="T66" s="18">
        <v>1.2683</v>
      </c>
      <c r="U66" s="18">
        <v>1.3843000000000001</v>
      </c>
      <c r="V66" s="18">
        <v>1.4832000000000001</v>
      </c>
      <c r="W66" s="18">
        <v>1.57</v>
      </c>
      <c r="X66" s="18">
        <v>1.6416999999999999</v>
      </c>
      <c r="Y66" s="18">
        <v>1.6924999999999999</v>
      </c>
      <c r="Z66" s="18">
        <v>1.7148000000000001</v>
      </c>
      <c r="AA66" s="18">
        <v>1.7212000000000001</v>
      </c>
      <c r="AB66" s="18">
        <v>1.7092000000000001</v>
      </c>
      <c r="AC66" s="18">
        <v>1.6686000000000001</v>
      </c>
      <c r="AD66" s="18">
        <v>1.6067</v>
      </c>
      <c r="AE66" s="18">
        <v>1.5327999999999999</v>
      </c>
      <c r="AF66" s="18">
        <v>1.4391</v>
      </c>
      <c r="AG66" s="18">
        <v>1.3395999999999999</v>
      </c>
      <c r="AH66" s="18">
        <v>1.2198</v>
      </c>
      <c r="AI66" s="18">
        <v>1.0849</v>
      </c>
      <c r="AJ66" s="18">
        <v>0.92200000000000004</v>
      </c>
      <c r="AK66" s="18">
        <v>0.76959999999999995</v>
      </c>
      <c r="AL66" s="18">
        <v>0.61299999999999999</v>
      </c>
      <c r="AM66" s="18">
        <v>0.46150000000000002</v>
      </c>
      <c r="AN66" s="18">
        <v>0.31540000000000001</v>
      </c>
      <c r="AO66" s="18">
        <v>0.1842</v>
      </c>
      <c r="AP66" s="18">
        <v>5.3600000000000002E-2</v>
      </c>
      <c r="AQ66" s="18">
        <v>9.9000000000000008E-3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</row>
    <row r="67" spans="1:50" x14ac:dyDescent="0.25">
      <c r="A67" s="17" t="s">
        <v>237</v>
      </c>
      <c r="B67" s="13" t="s">
        <v>168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2.2000000000000001E-3</v>
      </c>
      <c r="K67" s="18">
        <v>3.1099999999999999E-2</v>
      </c>
      <c r="L67" s="18">
        <v>0.1454</v>
      </c>
      <c r="M67" s="18">
        <v>0.2883</v>
      </c>
      <c r="N67" s="18">
        <v>0.4637</v>
      </c>
      <c r="O67" s="18">
        <v>0.65490000000000004</v>
      </c>
      <c r="P67" s="18">
        <v>0.84860000000000002</v>
      </c>
      <c r="Q67" s="18">
        <v>1.0411999999999999</v>
      </c>
      <c r="R67" s="18">
        <v>1.2341</v>
      </c>
      <c r="S67" s="18">
        <v>1.4152</v>
      </c>
      <c r="T67" s="18">
        <v>1.5853999999999999</v>
      </c>
      <c r="U67" s="18">
        <v>1.7303999999999999</v>
      </c>
      <c r="V67" s="18">
        <v>1.8540000000000001</v>
      </c>
      <c r="W67" s="18">
        <v>1.9624999999999999</v>
      </c>
      <c r="X67" s="18">
        <v>2.0520999999999998</v>
      </c>
      <c r="Y67" s="18">
        <v>2.1156000000000001</v>
      </c>
      <c r="Z67" s="18">
        <v>2.1435</v>
      </c>
      <c r="AA67" s="18">
        <v>2.1516000000000002</v>
      </c>
      <c r="AB67" s="18">
        <v>2.1364999999999998</v>
      </c>
      <c r="AC67" s="18">
        <v>2.0857000000000001</v>
      </c>
      <c r="AD67" s="18">
        <v>2.0083000000000002</v>
      </c>
      <c r="AE67" s="18">
        <v>1.9158999999999999</v>
      </c>
      <c r="AF67" s="18">
        <v>1.7988999999999999</v>
      </c>
      <c r="AG67" s="18">
        <v>1.6745000000000001</v>
      </c>
      <c r="AH67" s="18">
        <v>1.5246999999999999</v>
      </c>
      <c r="AI67" s="18">
        <v>1.3561000000000001</v>
      </c>
      <c r="AJ67" s="18">
        <v>1.1525000000000001</v>
      </c>
      <c r="AK67" s="18">
        <v>0.96199999999999997</v>
      </c>
      <c r="AL67" s="18">
        <v>0.76619999999999999</v>
      </c>
      <c r="AM67" s="18">
        <v>0.57679999999999998</v>
      </c>
      <c r="AN67" s="18">
        <v>0.39419999999999999</v>
      </c>
      <c r="AO67" s="18">
        <v>0.23019999999999999</v>
      </c>
      <c r="AP67" s="18">
        <v>6.7000000000000004E-2</v>
      </c>
      <c r="AQ67" s="18">
        <v>1.24E-2</v>
      </c>
      <c r="AR67" s="18">
        <v>0</v>
      </c>
      <c r="AS67" s="18">
        <v>0</v>
      </c>
      <c r="AT67" s="18">
        <v>0</v>
      </c>
      <c r="AU67" s="18">
        <v>0</v>
      </c>
      <c r="AV67" s="18">
        <v>0</v>
      </c>
      <c r="AW67" s="18">
        <v>0</v>
      </c>
      <c r="AX67" s="18">
        <v>0</v>
      </c>
    </row>
    <row r="68" spans="1:50" x14ac:dyDescent="0.25">
      <c r="A68" s="17" t="s">
        <v>239</v>
      </c>
      <c r="B68" s="13" t="s">
        <v>168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2.2000000000000001E-3</v>
      </c>
      <c r="K68" s="18">
        <v>3.1099999999999999E-2</v>
      </c>
      <c r="L68" s="18">
        <v>0.1454</v>
      </c>
      <c r="M68" s="18">
        <v>0.2883</v>
      </c>
      <c r="N68" s="18">
        <v>0.4637</v>
      </c>
      <c r="O68" s="18">
        <v>0.65490000000000004</v>
      </c>
      <c r="P68" s="18">
        <v>0.84860000000000002</v>
      </c>
      <c r="Q68" s="18">
        <v>1.0411999999999999</v>
      </c>
      <c r="R68" s="18">
        <v>1.2341</v>
      </c>
      <c r="S68" s="18">
        <v>1.4152</v>
      </c>
      <c r="T68" s="18">
        <v>1.5853999999999999</v>
      </c>
      <c r="U68" s="18">
        <v>1.7303999999999999</v>
      </c>
      <c r="V68" s="18">
        <v>1.8540000000000001</v>
      </c>
      <c r="W68" s="18">
        <v>1.9624999999999999</v>
      </c>
      <c r="X68" s="18">
        <v>2.0520999999999998</v>
      </c>
      <c r="Y68" s="18">
        <v>2.1156000000000001</v>
      </c>
      <c r="Z68" s="18">
        <v>2.1435</v>
      </c>
      <c r="AA68" s="18">
        <v>2.1516000000000002</v>
      </c>
      <c r="AB68" s="18">
        <v>2.1364999999999998</v>
      </c>
      <c r="AC68" s="18">
        <v>2.0857000000000001</v>
      </c>
      <c r="AD68" s="18">
        <v>2.0083000000000002</v>
      </c>
      <c r="AE68" s="18">
        <v>1.9158999999999999</v>
      </c>
      <c r="AF68" s="18">
        <v>1.7988999999999999</v>
      </c>
      <c r="AG68" s="18">
        <v>1.6745000000000001</v>
      </c>
      <c r="AH68" s="18">
        <v>1.5246999999999999</v>
      </c>
      <c r="AI68" s="18">
        <v>1.3561000000000001</v>
      </c>
      <c r="AJ68" s="18">
        <v>1.1525000000000001</v>
      </c>
      <c r="AK68" s="18">
        <v>0.96199999999999997</v>
      </c>
      <c r="AL68" s="18">
        <v>0.76619999999999999</v>
      </c>
      <c r="AM68" s="18">
        <v>0.57679999999999998</v>
      </c>
      <c r="AN68" s="18">
        <v>0.39419999999999999</v>
      </c>
      <c r="AO68" s="18">
        <v>0.23019999999999999</v>
      </c>
      <c r="AP68" s="18">
        <v>6.7000000000000004E-2</v>
      </c>
      <c r="AQ68" s="18">
        <v>1.24E-2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</row>
    <row r="69" spans="1:50" x14ac:dyDescent="0.25">
      <c r="A69" s="17" t="s">
        <v>241</v>
      </c>
      <c r="B69" s="13" t="s">
        <v>168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2.2000000000000001E-3</v>
      </c>
      <c r="K69" s="18">
        <v>3.1099999999999999E-2</v>
      </c>
      <c r="L69" s="18">
        <v>0.1454</v>
      </c>
      <c r="M69" s="18">
        <v>0.2883</v>
      </c>
      <c r="N69" s="18">
        <v>0.4637</v>
      </c>
      <c r="O69" s="18">
        <v>0.65490000000000004</v>
      </c>
      <c r="P69" s="18">
        <v>0.84860000000000002</v>
      </c>
      <c r="Q69" s="18">
        <v>1.0411999999999999</v>
      </c>
      <c r="R69" s="18">
        <v>1.2341</v>
      </c>
      <c r="S69" s="18">
        <v>1.4152</v>
      </c>
      <c r="T69" s="18">
        <v>1.5853999999999999</v>
      </c>
      <c r="U69" s="18">
        <v>1.7303999999999999</v>
      </c>
      <c r="V69" s="18">
        <v>1.8540000000000001</v>
      </c>
      <c r="W69" s="18">
        <v>1.9624999999999999</v>
      </c>
      <c r="X69" s="18">
        <v>2.0520999999999998</v>
      </c>
      <c r="Y69" s="18">
        <v>2.1156000000000001</v>
      </c>
      <c r="Z69" s="18">
        <v>2.1435</v>
      </c>
      <c r="AA69" s="18">
        <v>2.1516000000000002</v>
      </c>
      <c r="AB69" s="18">
        <v>2.1364999999999998</v>
      </c>
      <c r="AC69" s="18">
        <v>2.0857000000000001</v>
      </c>
      <c r="AD69" s="18">
        <v>2.0083000000000002</v>
      </c>
      <c r="AE69" s="18">
        <v>1.9158999999999999</v>
      </c>
      <c r="AF69" s="18">
        <v>1.7988999999999999</v>
      </c>
      <c r="AG69" s="18">
        <v>1.6745000000000001</v>
      </c>
      <c r="AH69" s="18">
        <v>1.5246999999999999</v>
      </c>
      <c r="AI69" s="18">
        <v>1.3561000000000001</v>
      </c>
      <c r="AJ69" s="18">
        <v>1.1525000000000001</v>
      </c>
      <c r="AK69" s="18">
        <v>0.96199999999999997</v>
      </c>
      <c r="AL69" s="18">
        <v>0.76619999999999999</v>
      </c>
      <c r="AM69" s="18">
        <v>0.57679999999999998</v>
      </c>
      <c r="AN69" s="18">
        <v>0.39419999999999999</v>
      </c>
      <c r="AO69" s="18">
        <v>0.23019999999999999</v>
      </c>
      <c r="AP69" s="18">
        <v>6.7000000000000004E-2</v>
      </c>
      <c r="AQ69" s="18">
        <v>1.24E-2</v>
      </c>
      <c r="AR69" s="18">
        <v>0</v>
      </c>
      <c r="AS69" s="18">
        <v>0</v>
      </c>
      <c r="AT69" s="18">
        <v>0</v>
      </c>
      <c r="AU69" s="18">
        <v>0</v>
      </c>
      <c r="AV69" s="18">
        <v>0</v>
      </c>
      <c r="AW69" s="18">
        <v>0</v>
      </c>
      <c r="AX69" s="18">
        <v>0</v>
      </c>
    </row>
    <row r="70" spans="1:50" x14ac:dyDescent="0.25">
      <c r="A70" s="17" t="s">
        <v>243</v>
      </c>
      <c r="B70" s="13" t="s">
        <v>168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2.5999999999999999E-3</v>
      </c>
      <c r="K70" s="18">
        <v>3.73E-2</v>
      </c>
      <c r="L70" s="18">
        <v>0.1744</v>
      </c>
      <c r="M70" s="18">
        <v>0.34599999999999997</v>
      </c>
      <c r="N70" s="18">
        <v>0.55640000000000001</v>
      </c>
      <c r="O70" s="18">
        <v>0.78590000000000004</v>
      </c>
      <c r="P70" s="18">
        <v>1.0183</v>
      </c>
      <c r="Q70" s="18">
        <v>1.2495000000000001</v>
      </c>
      <c r="R70" s="18">
        <v>1.4810000000000001</v>
      </c>
      <c r="S70" s="18">
        <v>1.6981999999999999</v>
      </c>
      <c r="T70" s="18">
        <v>1.9025000000000001</v>
      </c>
      <c r="U70" s="18">
        <v>2.0764</v>
      </c>
      <c r="V70" s="18">
        <v>2.2248000000000001</v>
      </c>
      <c r="W70" s="18">
        <v>2.355</v>
      </c>
      <c r="X70" s="18">
        <v>2.4624999999999999</v>
      </c>
      <c r="Y70" s="18">
        <v>2.5387</v>
      </c>
      <c r="Z70" s="18">
        <v>2.5722</v>
      </c>
      <c r="AA70" s="18">
        <v>2.5819000000000001</v>
      </c>
      <c r="AB70" s="18">
        <v>2.5636999999999999</v>
      </c>
      <c r="AC70" s="18">
        <v>2.5028999999999999</v>
      </c>
      <c r="AD70" s="18">
        <v>2.41</v>
      </c>
      <c r="AE70" s="18">
        <v>2.2991000000000001</v>
      </c>
      <c r="AF70" s="18">
        <v>2.1585999999999999</v>
      </c>
      <c r="AG70" s="18">
        <v>2.0093000000000001</v>
      </c>
      <c r="AH70" s="18">
        <v>1.8297000000000001</v>
      </c>
      <c r="AI70" s="18">
        <v>1.6274</v>
      </c>
      <c r="AJ70" s="18">
        <v>1.3831</v>
      </c>
      <c r="AK70" s="18">
        <v>1.1544000000000001</v>
      </c>
      <c r="AL70" s="18">
        <v>0.91949999999999998</v>
      </c>
      <c r="AM70" s="18">
        <v>0.69220000000000004</v>
      </c>
      <c r="AN70" s="18">
        <v>0.47310000000000002</v>
      </c>
      <c r="AO70" s="18">
        <v>0.2762</v>
      </c>
      <c r="AP70" s="18">
        <v>8.0399999999999999E-2</v>
      </c>
      <c r="AQ70" s="18">
        <v>1.4800000000000001E-2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</row>
    <row r="71" spans="1:50" x14ac:dyDescent="0.25">
      <c r="A71" s="17" t="s">
        <v>245</v>
      </c>
      <c r="B71" s="13" t="s">
        <v>168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2.2000000000000001E-3</v>
      </c>
      <c r="K71" s="18">
        <v>3.1099999999999999E-2</v>
      </c>
      <c r="L71" s="18">
        <v>0.1454</v>
      </c>
      <c r="M71" s="18">
        <v>0.2883</v>
      </c>
      <c r="N71" s="18">
        <v>0.4637</v>
      </c>
      <c r="O71" s="18">
        <v>0.65490000000000004</v>
      </c>
      <c r="P71" s="18">
        <v>0.84860000000000002</v>
      </c>
      <c r="Q71" s="18">
        <v>1.0411999999999999</v>
      </c>
      <c r="R71" s="18">
        <v>1.2341</v>
      </c>
      <c r="S71" s="18">
        <v>1.4152</v>
      </c>
      <c r="T71" s="18">
        <v>1.5853999999999999</v>
      </c>
      <c r="U71" s="18">
        <v>1.7303999999999999</v>
      </c>
      <c r="V71" s="18">
        <v>1.8540000000000001</v>
      </c>
      <c r="W71" s="18">
        <v>1.9624999999999999</v>
      </c>
      <c r="X71" s="18">
        <v>2.0520999999999998</v>
      </c>
      <c r="Y71" s="18">
        <v>2.1156000000000001</v>
      </c>
      <c r="Z71" s="18">
        <v>2.1435</v>
      </c>
      <c r="AA71" s="18">
        <v>2.1516000000000002</v>
      </c>
      <c r="AB71" s="18">
        <v>2.1364999999999998</v>
      </c>
      <c r="AC71" s="18">
        <v>2.0857000000000001</v>
      </c>
      <c r="AD71" s="18">
        <v>2.0083000000000002</v>
      </c>
      <c r="AE71" s="18">
        <v>1.9158999999999999</v>
      </c>
      <c r="AF71" s="18">
        <v>1.7988999999999999</v>
      </c>
      <c r="AG71" s="18">
        <v>1.6745000000000001</v>
      </c>
      <c r="AH71" s="18">
        <v>1.5246999999999999</v>
      </c>
      <c r="AI71" s="18">
        <v>1.3561000000000001</v>
      </c>
      <c r="AJ71" s="18">
        <v>1.1525000000000001</v>
      </c>
      <c r="AK71" s="18">
        <v>0.96199999999999997</v>
      </c>
      <c r="AL71" s="18">
        <v>0.76619999999999999</v>
      </c>
      <c r="AM71" s="18">
        <v>0.57679999999999998</v>
      </c>
      <c r="AN71" s="18">
        <v>0.39419999999999999</v>
      </c>
      <c r="AO71" s="18">
        <v>0.23019999999999999</v>
      </c>
      <c r="AP71" s="18">
        <v>6.7000000000000004E-2</v>
      </c>
      <c r="AQ71" s="18">
        <v>1.24E-2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</row>
    <row r="72" spans="1:50" x14ac:dyDescent="0.25">
      <c r="A72" s="17" t="s">
        <v>247</v>
      </c>
      <c r="B72" s="13" t="s">
        <v>168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3.3999999999999998E-3</v>
      </c>
      <c r="K72" s="18">
        <v>4.9700000000000001E-2</v>
      </c>
      <c r="L72" s="18">
        <v>0.2326</v>
      </c>
      <c r="M72" s="18">
        <v>0.46129999999999999</v>
      </c>
      <c r="N72" s="18">
        <v>0.7419</v>
      </c>
      <c r="O72" s="18">
        <v>1.0479000000000001</v>
      </c>
      <c r="P72" s="18">
        <v>1.3576999999999999</v>
      </c>
      <c r="Q72" s="18">
        <v>1.6659999999999999</v>
      </c>
      <c r="R72" s="18">
        <v>1.9745999999999999</v>
      </c>
      <c r="S72" s="18">
        <v>2.2643</v>
      </c>
      <c r="T72" s="18">
        <v>2.5367000000000002</v>
      </c>
      <c r="U72" s="18">
        <v>2.7686000000000002</v>
      </c>
      <c r="V72" s="18">
        <v>2.9664000000000001</v>
      </c>
      <c r="W72" s="18">
        <v>3.14</v>
      </c>
      <c r="X72" s="18">
        <v>3.2833000000000001</v>
      </c>
      <c r="Y72" s="18">
        <v>3.3849999999999998</v>
      </c>
      <c r="Z72" s="18">
        <v>3.4296000000000002</v>
      </c>
      <c r="AA72" s="18">
        <v>3.4424999999999999</v>
      </c>
      <c r="AB72" s="18">
        <v>3.4182999999999999</v>
      </c>
      <c r="AC72" s="18">
        <v>3.3372000000000002</v>
      </c>
      <c r="AD72" s="18">
        <v>3.2132999999999998</v>
      </c>
      <c r="AE72" s="18">
        <v>3.0655000000000001</v>
      </c>
      <c r="AF72" s="18">
        <v>2.8782000000000001</v>
      </c>
      <c r="AG72" s="18">
        <v>2.6791</v>
      </c>
      <c r="AH72" s="18">
        <v>2.4396</v>
      </c>
      <c r="AI72" s="18">
        <v>2.1698</v>
      </c>
      <c r="AJ72" s="18">
        <v>1.8441000000000001</v>
      </c>
      <c r="AK72" s="18">
        <v>1.5391999999999999</v>
      </c>
      <c r="AL72" s="18">
        <v>1.2259</v>
      </c>
      <c r="AM72" s="18">
        <v>0.92290000000000005</v>
      </c>
      <c r="AN72" s="18">
        <v>0.63080000000000003</v>
      </c>
      <c r="AO72" s="18">
        <v>0.36830000000000002</v>
      </c>
      <c r="AP72" s="18">
        <v>0.1072</v>
      </c>
      <c r="AQ72" s="18">
        <v>1.9800000000000002E-2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</row>
    <row r="73" spans="1:50" x14ac:dyDescent="0.25">
      <c r="A73" s="8" t="s">
        <v>110</v>
      </c>
      <c r="B73" s="10" t="s">
        <v>57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</row>
    <row r="74" spans="1:50" x14ac:dyDescent="0.25">
      <c r="A74" s="8" t="s">
        <v>112</v>
      </c>
      <c r="B74" s="10" t="s">
        <v>57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</row>
    <row r="75" spans="1:50" x14ac:dyDescent="0.25">
      <c r="A75" s="17" t="s">
        <v>249</v>
      </c>
      <c r="B75" s="13" t="s">
        <v>168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3.3999999999999998E-3</v>
      </c>
      <c r="K75" s="18">
        <v>4.9700000000000001E-2</v>
      </c>
      <c r="L75" s="18">
        <v>0.2326</v>
      </c>
      <c r="M75" s="18">
        <v>0.46129999999999999</v>
      </c>
      <c r="N75" s="18">
        <v>0.7419</v>
      </c>
      <c r="O75" s="18">
        <v>1.0479000000000001</v>
      </c>
      <c r="P75" s="18">
        <v>1.3576999999999999</v>
      </c>
      <c r="Q75" s="18">
        <v>1.6659999999999999</v>
      </c>
      <c r="R75" s="18">
        <v>1.9745999999999999</v>
      </c>
      <c r="S75" s="18">
        <v>2.2643</v>
      </c>
      <c r="T75" s="18">
        <v>2.5367000000000002</v>
      </c>
      <c r="U75" s="18">
        <v>2.7686000000000002</v>
      </c>
      <c r="V75" s="18">
        <v>2.9664000000000001</v>
      </c>
      <c r="W75" s="18">
        <v>3.14</v>
      </c>
      <c r="X75" s="18">
        <v>3.2833000000000001</v>
      </c>
      <c r="Y75" s="18">
        <v>3.3849999999999998</v>
      </c>
      <c r="Z75" s="18">
        <v>3.4296000000000002</v>
      </c>
      <c r="AA75" s="18">
        <v>3.4424999999999999</v>
      </c>
      <c r="AB75" s="18">
        <v>3.4182999999999999</v>
      </c>
      <c r="AC75" s="18">
        <v>3.3372000000000002</v>
      </c>
      <c r="AD75" s="18">
        <v>3.2132999999999998</v>
      </c>
      <c r="AE75" s="18">
        <v>3.0655000000000001</v>
      </c>
      <c r="AF75" s="18">
        <v>2.8782000000000001</v>
      </c>
      <c r="AG75" s="18">
        <v>2.6791</v>
      </c>
      <c r="AH75" s="18">
        <v>2.4396</v>
      </c>
      <c r="AI75" s="18">
        <v>2.1698</v>
      </c>
      <c r="AJ75" s="18">
        <v>1.8441000000000001</v>
      </c>
      <c r="AK75" s="18">
        <v>1.5391999999999999</v>
      </c>
      <c r="AL75" s="18">
        <v>1.2259</v>
      </c>
      <c r="AM75" s="18">
        <v>0.92290000000000005</v>
      </c>
      <c r="AN75" s="18">
        <v>0.63080000000000003</v>
      </c>
      <c r="AO75" s="18">
        <v>0.36830000000000002</v>
      </c>
      <c r="AP75" s="18">
        <v>0.1072</v>
      </c>
      <c r="AQ75" s="18">
        <v>1.9800000000000002E-2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</row>
    <row r="76" spans="1:50" x14ac:dyDescent="0.25">
      <c r="A76" s="17" t="s">
        <v>251</v>
      </c>
      <c r="B76" s="13" t="s">
        <v>168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2.5999999999999999E-3</v>
      </c>
      <c r="K76" s="18">
        <v>3.73E-2</v>
      </c>
      <c r="L76" s="18">
        <v>0.1744</v>
      </c>
      <c r="M76" s="18">
        <v>0.34599999999999997</v>
      </c>
      <c r="N76" s="18">
        <v>0.55640000000000001</v>
      </c>
      <c r="O76" s="18">
        <v>0.78590000000000004</v>
      </c>
      <c r="P76" s="18">
        <v>1.0183</v>
      </c>
      <c r="Q76" s="18">
        <v>1.2495000000000001</v>
      </c>
      <c r="R76" s="18">
        <v>1.4810000000000001</v>
      </c>
      <c r="S76" s="18">
        <v>1.6981999999999999</v>
      </c>
      <c r="T76" s="18">
        <v>1.9025000000000001</v>
      </c>
      <c r="U76" s="18">
        <v>2.0764</v>
      </c>
      <c r="V76" s="18">
        <v>2.2248000000000001</v>
      </c>
      <c r="W76" s="18">
        <v>2.355</v>
      </c>
      <c r="X76" s="18">
        <v>2.4624999999999999</v>
      </c>
      <c r="Y76" s="18">
        <v>2.5387</v>
      </c>
      <c r="Z76" s="18">
        <v>2.5722</v>
      </c>
      <c r="AA76" s="18">
        <v>2.5819000000000001</v>
      </c>
      <c r="AB76" s="18">
        <v>2.5636999999999999</v>
      </c>
      <c r="AC76" s="18">
        <v>2.5028999999999999</v>
      </c>
      <c r="AD76" s="18">
        <v>2.41</v>
      </c>
      <c r="AE76" s="18">
        <v>2.2991000000000001</v>
      </c>
      <c r="AF76" s="18">
        <v>2.1585999999999999</v>
      </c>
      <c r="AG76" s="18">
        <v>2.0093000000000001</v>
      </c>
      <c r="AH76" s="18">
        <v>1.8297000000000001</v>
      </c>
      <c r="AI76" s="18">
        <v>1.6274</v>
      </c>
      <c r="AJ76" s="18">
        <v>1.3831</v>
      </c>
      <c r="AK76" s="18">
        <v>1.1544000000000001</v>
      </c>
      <c r="AL76" s="18">
        <v>0.91949999999999998</v>
      </c>
      <c r="AM76" s="18">
        <v>0.69220000000000004</v>
      </c>
      <c r="AN76" s="18">
        <v>0.47310000000000002</v>
      </c>
      <c r="AO76" s="18">
        <v>0.2762</v>
      </c>
      <c r="AP76" s="18">
        <v>8.0399999999999999E-2</v>
      </c>
      <c r="AQ76" s="18">
        <v>1.4800000000000001E-2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</row>
    <row r="77" spans="1:50" x14ac:dyDescent="0.25">
      <c r="A77" s="17" t="s">
        <v>253</v>
      </c>
      <c r="B77" s="13" t="s">
        <v>168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1.2999999999999999E-3</v>
      </c>
      <c r="K77" s="18">
        <v>1.8700000000000001E-2</v>
      </c>
      <c r="L77" s="18">
        <v>8.72E-2</v>
      </c>
      <c r="M77" s="18">
        <v>0.17299999999999999</v>
      </c>
      <c r="N77" s="18">
        <v>0.2782</v>
      </c>
      <c r="O77" s="18">
        <v>0.39300000000000002</v>
      </c>
      <c r="P77" s="18">
        <v>0.50919999999999999</v>
      </c>
      <c r="Q77" s="18">
        <v>0.62470000000000003</v>
      </c>
      <c r="R77" s="18">
        <v>0.74050000000000005</v>
      </c>
      <c r="S77" s="18">
        <v>0.84909999999999997</v>
      </c>
      <c r="T77" s="18">
        <v>0.95120000000000005</v>
      </c>
      <c r="U77" s="18">
        <v>1.0382</v>
      </c>
      <c r="V77" s="18">
        <v>1.1124000000000001</v>
      </c>
      <c r="W77" s="18">
        <v>1.1775</v>
      </c>
      <c r="X77" s="18">
        <v>1.2312000000000001</v>
      </c>
      <c r="Y77" s="18">
        <v>1.2694000000000001</v>
      </c>
      <c r="Z77" s="18">
        <v>1.2861</v>
      </c>
      <c r="AA77" s="18">
        <v>1.2908999999999999</v>
      </c>
      <c r="AB77" s="18">
        <v>1.2819</v>
      </c>
      <c r="AC77" s="18">
        <v>1.2514000000000001</v>
      </c>
      <c r="AD77" s="18">
        <v>1.2050000000000001</v>
      </c>
      <c r="AE77" s="18">
        <v>1.1496</v>
      </c>
      <c r="AF77" s="18">
        <v>1.0792999999999999</v>
      </c>
      <c r="AG77" s="18">
        <v>1.0046999999999999</v>
      </c>
      <c r="AH77" s="18">
        <v>0.91479999999999995</v>
      </c>
      <c r="AI77" s="18">
        <v>0.81369999999999998</v>
      </c>
      <c r="AJ77" s="18">
        <v>0.6915</v>
      </c>
      <c r="AK77" s="18">
        <v>0.57720000000000005</v>
      </c>
      <c r="AL77" s="18">
        <v>0.4597</v>
      </c>
      <c r="AM77" s="18">
        <v>0.34610000000000002</v>
      </c>
      <c r="AN77" s="18">
        <v>0.23649999999999999</v>
      </c>
      <c r="AO77" s="18">
        <v>0.1381</v>
      </c>
      <c r="AP77" s="18">
        <v>4.02E-2</v>
      </c>
      <c r="AQ77" s="18">
        <v>7.4000000000000003E-3</v>
      </c>
      <c r="AR77" s="18">
        <v>0</v>
      </c>
      <c r="AS77" s="18">
        <v>0</v>
      </c>
      <c r="AT77" s="18">
        <v>0</v>
      </c>
      <c r="AU77" s="18">
        <v>0</v>
      </c>
      <c r="AV77" s="18">
        <v>0</v>
      </c>
      <c r="AW77" s="18">
        <v>0</v>
      </c>
      <c r="AX77" s="18">
        <v>0</v>
      </c>
    </row>
    <row r="78" spans="1:50" x14ac:dyDescent="0.25">
      <c r="A78" s="17" t="s">
        <v>255</v>
      </c>
      <c r="B78" s="13" t="s">
        <v>168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1.2999999999999999E-3</v>
      </c>
      <c r="K78" s="18">
        <v>1.8700000000000001E-2</v>
      </c>
      <c r="L78" s="18">
        <v>8.72E-2</v>
      </c>
      <c r="M78" s="18">
        <v>0.17299999999999999</v>
      </c>
      <c r="N78" s="18">
        <v>0.2782</v>
      </c>
      <c r="O78" s="18">
        <v>0.39300000000000002</v>
      </c>
      <c r="P78" s="18">
        <v>0.50919999999999999</v>
      </c>
      <c r="Q78" s="18">
        <v>0.62470000000000003</v>
      </c>
      <c r="R78" s="18">
        <v>0.74050000000000005</v>
      </c>
      <c r="S78" s="18">
        <v>0.84909999999999997</v>
      </c>
      <c r="T78" s="18">
        <v>0.95120000000000005</v>
      </c>
      <c r="U78" s="18">
        <v>1.0382</v>
      </c>
      <c r="V78" s="18">
        <v>1.1124000000000001</v>
      </c>
      <c r="W78" s="18">
        <v>1.1775</v>
      </c>
      <c r="X78" s="18">
        <v>1.2312000000000001</v>
      </c>
      <c r="Y78" s="18">
        <v>1.2694000000000001</v>
      </c>
      <c r="Z78" s="18">
        <v>1.2861</v>
      </c>
      <c r="AA78" s="18">
        <v>1.2908999999999999</v>
      </c>
      <c r="AB78" s="18">
        <v>1.2819</v>
      </c>
      <c r="AC78" s="18">
        <v>1.2514000000000001</v>
      </c>
      <c r="AD78" s="18">
        <v>1.2050000000000001</v>
      </c>
      <c r="AE78" s="18">
        <v>1.1496</v>
      </c>
      <c r="AF78" s="18">
        <v>1.0792999999999999</v>
      </c>
      <c r="AG78" s="18">
        <v>1.0046999999999999</v>
      </c>
      <c r="AH78" s="18">
        <v>0.91479999999999995</v>
      </c>
      <c r="AI78" s="18">
        <v>0.81369999999999998</v>
      </c>
      <c r="AJ78" s="18">
        <v>0.6915</v>
      </c>
      <c r="AK78" s="18">
        <v>0.57720000000000005</v>
      </c>
      <c r="AL78" s="18">
        <v>0.4597</v>
      </c>
      <c r="AM78" s="18">
        <v>0.34610000000000002</v>
      </c>
      <c r="AN78" s="18">
        <v>0.23649999999999999</v>
      </c>
      <c r="AO78" s="18">
        <v>0.1381</v>
      </c>
      <c r="AP78" s="18">
        <v>4.02E-2</v>
      </c>
      <c r="AQ78" s="18">
        <v>7.4000000000000003E-3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</row>
    <row r="79" spans="1:50" x14ac:dyDescent="0.25">
      <c r="A79" s="8" t="s">
        <v>114</v>
      </c>
      <c r="B79" s="10" t="s">
        <v>57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</row>
    <row r="80" spans="1:50" x14ac:dyDescent="0.25">
      <c r="A80" s="17" t="s">
        <v>257</v>
      </c>
      <c r="B80" s="13" t="s">
        <v>168</v>
      </c>
      <c r="C80" s="18">
        <v>0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1.6999999999999999E-3</v>
      </c>
      <c r="K80" s="18">
        <v>2.4899999999999999E-2</v>
      </c>
      <c r="L80" s="18">
        <v>0.1163</v>
      </c>
      <c r="M80" s="18">
        <v>0.23069999999999999</v>
      </c>
      <c r="N80" s="18">
        <v>0.37090000000000001</v>
      </c>
      <c r="O80" s="18">
        <v>0.52400000000000002</v>
      </c>
      <c r="P80" s="18">
        <v>0.67889999999999995</v>
      </c>
      <c r="Q80" s="18">
        <v>0.83299999999999996</v>
      </c>
      <c r="R80" s="18">
        <v>0.98729999999999996</v>
      </c>
      <c r="S80" s="18">
        <v>1.1322000000000001</v>
      </c>
      <c r="T80" s="18">
        <v>1.2683</v>
      </c>
      <c r="U80" s="18">
        <v>1.3843000000000001</v>
      </c>
      <c r="V80" s="18">
        <v>1.4832000000000001</v>
      </c>
      <c r="W80" s="18">
        <v>1.57</v>
      </c>
      <c r="X80" s="18">
        <v>1.6416999999999999</v>
      </c>
      <c r="Y80" s="18">
        <v>1.6924999999999999</v>
      </c>
      <c r="Z80" s="18">
        <v>1.7148000000000001</v>
      </c>
      <c r="AA80" s="18">
        <v>1.7212000000000001</v>
      </c>
      <c r="AB80" s="18">
        <v>1.7092000000000001</v>
      </c>
      <c r="AC80" s="18">
        <v>1.6686000000000001</v>
      </c>
      <c r="AD80" s="18">
        <v>1.6067</v>
      </c>
      <c r="AE80" s="18">
        <v>1.5327999999999999</v>
      </c>
      <c r="AF80" s="18">
        <v>1.4391</v>
      </c>
      <c r="AG80" s="18">
        <v>1.3395999999999999</v>
      </c>
      <c r="AH80" s="18">
        <v>1.2198</v>
      </c>
      <c r="AI80" s="18">
        <v>1.0849</v>
      </c>
      <c r="AJ80" s="18">
        <v>0.92200000000000004</v>
      </c>
      <c r="AK80" s="18">
        <v>0.76959999999999995</v>
      </c>
      <c r="AL80" s="18">
        <v>0.61299999999999999</v>
      </c>
      <c r="AM80" s="18">
        <v>0.46150000000000002</v>
      </c>
      <c r="AN80" s="18">
        <v>0.31540000000000001</v>
      </c>
      <c r="AO80" s="18">
        <v>0.1842</v>
      </c>
      <c r="AP80" s="18">
        <v>5.3600000000000002E-2</v>
      </c>
      <c r="AQ80" s="18">
        <v>9.9000000000000008E-3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0</v>
      </c>
      <c r="AX80" s="18">
        <v>0</v>
      </c>
    </row>
    <row r="81" spans="1:50" x14ac:dyDescent="0.25">
      <c r="A81" s="17" t="s">
        <v>259</v>
      </c>
      <c r="B81" s="13" t="s">
        <v>168</v>
      </c>
      <c r="C81" s="18">
        <v>0</v>
      </c>
      <c r="D81" s="18">
        <v>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2.2000000000000001E-3</v>
      </c>
      <c r="K81" s="18">
        <v>3.1099999999999999E-2</v>
      </c>
      <c r="L81" s="18">
        <v>0.1454</v>
      </c>
      <c r="M81" s="18">
        <v>0.2883</v>
      </c>
      <c r="N81" s="18">
        <v>0.4637</v>
      </c>
      <c r="O81" s="18">
        <v>0.65490000000000004</v>
      </c>
      <c r="P81" s="18">
        <v>0.84860000000000002</v>
      </c>
      <c r="Q81" s="18">
        <v>1.0411999999999999</v>
      </c>
      <c r="R81" s="18">
        <v>1.2341</v>
      </c>
      <c r="S81" s="18">
        <v>1.4152</v>
      </c>
      <c r="T81" s="18">
        <v>1.5853999999999999</v>
      </c>
      <c r="U81" s="18">
        <v>1.7303999999999999</v>
      </c>
      <c r="V81" s="18">
        <v>1.8540000000000001</v>
      </c>
      <c r="W81" s="18">
        <v>1.9624999999999999</v>
      </c>
      <c r="X81" s="18">
        <v>2.0520999999999998</v>
      </c>
      <c r="Y81" s="18">
        <v>2.1156000000000001</v>
      </c>
      <c r="Z81" s="18">
        <v>2.1435</v>
      </c>
      <c r="AA81" s="18">
        <v>2.1516000000000002</v>
      </c>
      <c r="AB81" s="18">
        <v>2.1364999999999998</v>
      </c>
      <c r="AC81" s="18">
        <v>2.0857000000000001</v>
      </c>
      <c r="AD81" s="18">
        <v>2.0083000000000002</v>
      </c>
      <c r="AE81" s="18">
        <v>1.9158999999999999</v>
      </c>
      <c r="AF81" s="18">
        <v>1.7988999999999999</v>
      </c>
      <c r="AG81" s="18">
        <v>1.6745000000000001</v>
      </c>
      <c r="AH81" s="18">
        <v>1.5246999999999999</v>
      </c>
      <c r="AI81" s="18">
        <v>1.3561000000000001</v>
      </c>
      <c r="AJ81" s="18">
        <v>1.1525000000000001</v>
      </c>
      <c r="AK81" s="18">
        <v>0.96199999999999997</v>
      </c>
      <c r="AL81" s="18">
        <v>0.76619999999999999</v>
      </c>
      <c r="AM81" s="18">
        <v>0.57679999999999998</v>
      </c>
      <c r="AN81" s="18">
        <v>0.39419999999999999</v>
      </c>
      <c r="AO81" s="18">
        <v>0.23019999999999999</v>
      </c>
      <c r="AP81" s="18">
        <v>6.7000000000000004E-2</v>
      </c>
      <c r="AQ81" s="18">
        <v>1.24E-2</v>
      </c>
      <c r="AR81" s="18">
        <v>0</v>
      </c>
      <c r="AS81" s="18">
        <v>0</v>
      </c>
      <c r="AT81" s="18">
        <v>0</v>
      </c>
      <c r="AU81" s="18">
        <v>0</v>
      </c>
      <c r="AV81" s="18">
        <v>0</v>
      </c>
      <c r="AW81" s="18">
        <v>0</v>
      </c>
      <c r="AX81" s="18">
        <v>0</v>
      </c>
    </row>
    <row r="82" spans="1:50" x14ac:dyDescent="0.25">
      <c r="A82" s="17" t="s">
        <v>261</v>
      </c>
      <c r="B82" s="13" t="s">
        <v>168</v>
      </c>
      <c r="C82" s="18">
        <v>0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3.3999999999999998E-3</v>
      </c>
      <c r="K82" s="18">
        <v>4.9700000000000001E-2</v>
      </c>
      <c r="L82" s="18">
        <v>0.2326</v>
      </c>
      <c r="M82" s="18">
        <v>0.46129999999999999</v>
      </c>
      <c r="N82" s="18">
        <v>0.7419</v>
      </c>
      <c r="O82" s="18">
        <v>1.0479000000000001</v>
      </c>
      <c r="P82" s="18">
        <v>1.3576999999999999</v>
      </c>
      <c r="Q82" s="18">
        <v>1.6659999999999999</v>
      </c>
      <c r="R82" s="18">
        <v>1.9745999999999999</v>
      </c>
      <c r="S82" s="18">
        <v>2.2643</v>
      </c>
      <c r="T82" s="18">
        <v>2.5367000000000002</v>
      </c>
      <c r="U82" s="18">
        <v>2.7686000000000002</v>
      </c>
      <c r="V82" s="18">
        <v>2.9664000000000001</v>
      </c>
      <c r="W82" s="18">
        <v>3.14</v>
      </c>
      <c r="X82" s="18">
        <v>3.2833000000000001</v>
      </c>
      <c r="Y82" s="18">
        <v>3.3849999999999998</v>
      </c>
      <c r="Z82" s="18">
        <v>3.4296000000000002</v>
      </c>
      <c r="AA82" s="18">
        <v>3.4424999999999999</v>
      </c>
      <c r="AB82" s="18">
        <v>3.4182999999999999</v>
      </c>
      <c r="AC82" s="18">
        <v>3.3372000000000002</v>
      </c>
      <c r="AD82" s="18">
        <v>3.2132999999999998</v>
      </c>
      <c r="AE82" s="18">
        <v>3.0655000000000001</v>
      </c>
      <c r="AF82" s="18">
        <v>2.8782000000000001</v>
      </c>
      <c r="AG82" s="18">
        <v>2.6791</v>
      </c>
      <c r="AH82" s="18">
        <v>2.4396</v>
      </c>
      <c r="AI82" s="18">
        <v>2.1698</v>
      </c>
      <c r="AJ82" s="18">
        <v>1.8441000000000001</v>
      </c>
      <c r="AK82" s="18">
        <v>1.5391999999999999</v>
      </c>
      <c r="AL82" s="18">
        <v>1.2259</v>
      </c>
      <c r="AM82" s="18">
        <v>0.92290000000000005</v>
      </c>
      <c r="AN82" s="18">
        <v>0.63080000000000003</v>
      </c>
      <c r="AO82" s="18">
        <v>0.36830000000000002</v>
      </c>
      <c r="AP82" s="18">
        <v>0.1072</v>
      </c>
      <c r="AQ82" s="18">
        <v>1.9800000000000002E-2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8">
        <v>0</v>
      </c>
      <c r="AX82" s="18">
        <v>0</v>
      </c>
    </row>
    <row r="83" spans="1:50" x14ac:dyDescent="0.25">
      <c r="A83" s="17" t="s">
        <v>263</v>
      </c>
      <c r="B83" s="13" t="s">
        <v>168</v>
      </c>
      <c r="C83" s="18">
        <v>0</v>
      </c>
      <c r="D83" s="18">
        <v>0</v>
      </c>
      <c r="E83" s="18">
        <v>0</v>
      </c>
      <c r="F83" s="18">
        <v>0</v>
      </c>
      <c r="G83" s="18">
        <v>0</v>
      </c>
      <c r="H83" s="18">
        <v>0</v>
      </c>
      <c r="I83" s="18">
        <v>0</v>
      </c>
      <c r="J83" s="18">
        <v>2.5999999999999999E-3</v>
      </c>
      <c r="K83" s="18">
        <v>3.73E-2</v>
      </c>
      <c r="L83" s="18">
        <v>0.1744</v>
      </c>
      <c r="M83" s="18">
        <v>0.34599999999999997</v>
      </c>
      <c r="N83" s="18">
        <v>0.55640000000000001</v>
      </c>
      <c r="O83" s="18">
        <v>0.78590000000000004</v>
      </c>
      <c r="P83" s="18">
        <v>1.0183</v>
      </c>
      <c r="Q83" s="18">
        <v>1.2495000000000001</v>
      </c>
      <c r="R83" s="18">
        <v>1.4810000000000001</v>
      </c>
      <c r="S83" s="18">
        <v>1.6981999999999999</v>
      </c>
      <c r="T83" s="18">
        <v>1.9025000000000001</v>
      </c>
      <c r="U83" s="18">
        <v>2.0764</v>
      </c>
      <c r="V83" s="18">
        <v>2.2248000000000001</v>
      </c>
      <c r="W83" s="18">
        <v>2.355</v>
      </c>
      <c r="X83" s="18">
        <v>2.4624999999999999</v>
      </c>
      <c r="Y83" s="18">
        <v>2.5387</v>
      </c>
      <c r="Z83" s="18">
        <v>2.5722</v>
      </c>
      <c r="AA83" s="18">
        <v>2.5819000000000001</v>
      </c>
      <c r="AB83" s="18">
        <v>2.5636999999999999</v>
      </c>
      <c r="AC83" s="18">
        <v>2.5028999999999999</v>
      </c>
      <c r="AD83" s="18">
        <v>2.41</v>
      </c>
      <c r="AE83" s="18">
        <v>2.2991000000000001</v>
      </c>
      <c r="AF83" s="18">
        <v>2.1585999999999999</v>
      </c>
      <c r="AG83" s="18">
        <v>2.0093000000000001</v>
      </c>
      <c r="AH83" s="18">
        <v>1.8297000000000001</v>
      </c>
      <c r="AI83" s="18">
        <v>1.6274</v>
      </c>
      <c r="AJ83" s="18">
        <v>1.3831</v>
      </c>
      <c r="AK83" s="18">
        <v>1.1544000000000001</v>
      </c>
      <c r="AL83" s="18">
        <v>0.91949999999999998</v>
      </c>
      <c r="AM83" s="18">
        <v>0.69220000000000004</v>
      </c>
      <c r="AN83" s="18">
        <v>0.47310000000000002</v>
      </c>
      <c r="AO83" s="18">
        <v>0.2762</v>
      </c>
      <c r="AP83" s="18">
        <v>8.0399999999999999E-2</v>
      </c>
      <c r="AQ83" s="18">
        <v>1.4800000000000001E-2</v>
      </c>
      <c r="AR83" s="18">
        <v>0</v>
      </c>
      <c r="AS83" s="18">
        <v>0</v>
      </c>
      <c r="AT83" s="18">
        <v>0</v>
      </c>
      <c r="AU83" s="18">
        <v>0</v>
      </c>
      <c r="AV83" s="18">
        <v>0</v>
      </c>
      <c r="AW83" s="18">
        <v>0</v>
      </c>
      <c r="AX83" s="18">
        <v>0</v>
      </c>
    </row>
    <row r="84" spans="1:50" x14ac:dyDescent="0.25">
      <c r="A84" s="17" t="s">
        <v>265</v>
      </c>
      <c r="B84" s="13" t="s">
        <v>168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2.5999999999999999E-3</v>
      </c>
      <c r="K84" s="18">
        <v>3.73E-2</v>
      </c>
      <c r="L84" s="18">
        <v>0.1744</v>
      </c>
      <c r="M84" s="18">
        <v>0.34599999999999997</v>
      </c>
      <c r="N84" s="18">
        <v>0.55640000000000001</v>
      </c>
      <c r="O84" s="18">
        <v>0.78590000000000004</v>
      </c>
      <c r="P84" s="18">
        <v>1.0183</v>
      </c>
      <c r="Q84" s="18">
        <v>1.2495000000000001</v>
      </c>
      <c r="R84" s="18">
        <v>1.4810000000000001</v>
      </c>
      <c r="S84" s="18">
        <v>1.6981999999999999</v>
      </c>
      <c r="T84" s="18">
        <v>1.9025000000000001</v>
      </c>
      <c r="U84" s="18">
        <v>2.0764</v>
      </c>
      <c r="V84" s="18">
        <v>2.2248000000000001</v>
      </c>
      <c r="W84" s="18">
        <v>2.355</v>
      </c>
      <c r="X84" s="18">
        <v>2.4624999999999999</v>
      </c>
      <c r="Y84" s="18">
        <v>2.5387</v>
      </c>
      <c r="Z84" s="18">
        <v>2.5722</v>
      </c>
      <c r="AA84" s="18">
        <v>2.5819000000000001</v>
      </c>
      <c r="AB84" s="18">
        <v>2.5636999999999999</v>
      </c>
      <c r="AC84" s="18">
        <v>2.5028999999999999</v>
      </c>
      <c r="AD84" s="18">
        <v>2.41</v>
      </c>
      <c r="AE84" s="18">
        <v>2.2991000000000001</v>
      </c>
      <c r="AF84" s="18">
        <v>2.1585999999999999</v>
      </c>
      <c r="AG84" s="18">
        <v>2.0093000000000001</v>
      </c>
      <c r="AH84" s="18">
        <v>1.8297000000000001</v>
      </c>
      <c r="AI84" s="18">
        <v>1.6274</v>
      </c>
      <c r="AJ84" s="18">
        <v>1.3831</v>
      </c>
      <c r="AK84" s="18">
        <v>1.1544000000000001</v>
      </c>
      <c r="AL84" s="18">
        <v>0.91949999999999998</v>
      </c>
      <c r="AM84" s="18">
        <v>0.69220000000000004</v>
      </c>
      <c r="AN84" s="18">
        <v>0.47310000000000002</v>
      </c>
      <c r="AO84" s="18">
        <v>0.2762</v>
      </c>
      <c r="AP84" s="18">
        <v>8.0399999999999999E-2</v>
      </c>
      <c r="AQ84" s="18">
        <v>1.4800000000000001E-2</v>
      </c>
      <c r="AR84" s="18">
        <v>0</v>
      </c>
      <c r="AS84" s="18">
        <v>0</v>
      </c>
      <c r="AT84" s="18">
        <v>0</v>
      </c>
      <c r="AU84" s="18">
        <v>0</v>
      </c>
      <c r="AV84" s="18">
        <v>0</v>
      </c>
      <c r="AW84" s="18">
        <v>0</v>
      </c>
      <c r="AX84" s="18">
        <v>0</v>
      </c>
    </row>
    <row r="85" spans="1:50" x14ac:dyDescent="0.25">
      <c r="A85" s="17" t="s">
        <v>267</v>
      </c>
      <c r="B85" s="13" t="s">
        <v>168</v>
      </c>
      <c r="C85" s="18">
        <v>0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3.0000000000000001E-3</v>
      </c>
      <c r="K85" s="18">
        <v>4.3499999999999997E-2</v>
      </c>
      <c r="L85" s="18">
        <v>0.20349999999999999</v>
      </c>
      <c r="M85" s="18">
        <v>0.4037</v>
      </c>
      <c r="N85" s="18">
        <v>0.64910000000000001</v>
      </c>
      <c r="O85" s="18">
        <v>0.91690000000000005</v>
      </c>
      <c r="P85" s="18">
        <v>1.1879999999999999</v>
      </c>
      <c r="Q85" s="18">
        <v>1.4577</v>
      </c>
      <c r="R85" s="18">
        <v>1.7278</v>
      </c>
      <c r="S85" s="18">
        <v>1.9813000000000001</v>
      </c>
      <c r="T85" s="18">
        <v>2.2195999999999998</v>
      </c>
      <c r="U85" s="18">
        <v>2.4224999999999999</v>
      </c>
      <c r="V85" s="18">
        <v>2.5956000000000001</v>
      </c>
      <c r="W85" s="18">
        <v>2.7475000000000001</v>
      </c>
      <c r="X85" s="18">
        <v>2.8729</v>
      </c>
      <c r="Y85" s="18">
        <v>2.9619</v>
      </c>
      <c r="Z85" s="18">
        <v>3.0009000000000001</v>
      </c>
      <c r="AA85" s="18">
        <v>3.0122</v>
      </c>
      <c r="AB85" s="18">
        <v>2.9910000000000001</v>
      </c>
      <c r="AC85" s="18">
        <v>2.92</v>
      </c>
      <c r="AD85" s="18">
        <v>2.8117000000000001</v>
      </c>
      <c r="AE85" s="18">
        <v>2.6823000000000001</v>
      </c>
      <c r="AF85" s="18">
        <v>2.5184000000000002</v>
      </c>
      <c r="AG85" s="18">
        <v>2.3441999999999998</v>
      </c>
      <c r="AH85" s="18">
        <v>2.1345999999999998</v>
      </c>
      <c r="AI85" s="18">
        <v>1.8986000000000001</v>
      </c>
      <c r="AJ85" s="18">
        <v>1.6135999999999999</v>
      </c>
      <c r="AK85" s="18">
        <v>1.3468</v>
      </c>
      <c r="AL85" s="18">
        <v>1.0727</v>
      </c>
      <c r="AM85" s="18">
        <v>0.80759999999999998</v>
      </c>
      <c r="AN85" s="18">
        <v>0.55189999999999995</v>
      </c>
      <c r="AO85" s="18">
        <v>0.32229999999999998</v>
      </c>
      <c r="AP85" s="18">
        <v>9.3799999999999994E-2</v>
      </c>
      <c r="AQ85" s="18">
        <v>1.7299999999999999E-2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</row>
    <row r="86" spans="1:50" x14ac:dyDescent="0.25">
      <c r="A86" s="17" t="s">
        <v>269</v>
      </c>
      <c r="B86" s="13" t="s">
        <v>168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3.3999999999999998E-3</v>
      </c>
      <c r="K86" s="18">
        <v>4.9700000000000001E-2</v>
      </c>
      <c r="L86" s="18">
        <v>0.2326</v>
      </c>
      <c r="M86" s="18">
        <v>0.46129999999999999</v>
      </c>
      <c r="N86" s="18">
        <v>0.7419</v>
      </c>
      <c r="O86" s="18">
        <v>1.0479000000000001</v>
      </c>
      <c r="P86" s="18">
        <v>1.3576999999999999</v>
      </c>
      <c r="Q86" s="18">
        <v>1.6659999999999999</v>
      </c>
      <c r="R86" s="18">
        <v>1.9745999999999999</v>
      </c>
      <c r="S86" s="18">
        <v>2.2643</v>
      </c>
      <c r="T86" s="18">
        <v>2.5367000000000002</v>
      </c>
      <c r="U86" s="18">
        <v>2.7686000000000002</v>
      </c>
      <c r="V86" s="18">
        <v>2.9664000000000001</v>
      </c>
      <c r="W86" s="18">
        <v>3.14</v>
      </c>
      <c r="X86" s="18">
        <v>3.2833000000000001</v>
      </c>
      <c r="Y86" s="18">
        <v>3.3849999999999998</v>
      </c>
      <c r="Z86" s="18">
        <v>3.4296000000000002</v>
      </c>
      <c r="AA86" s="18">
        <v>3.4424999999999999</v>
      </c>
      <c r="AB86" s="18">
        <v>3.4182999999999999</v>
      </c>
      <c r="AC86" s="18">
        <v>3.3372000000000002</v>
      </c>
      <c r="AD86" s="18">
        <v>3.2132999999999998</v>
      </c>
      <c r="AE86" s="18">
        <v>3.0655000000000001</v>
      </c>
      <c r="AF86" s="18">
        <v>2.8782000000000001</v>
      </c>
      <c r="AG86" s="18">
        <v>2.6791</v>
      </c>
      <c r="AH86" s="18">
        <v>2.4396</v>
      </c>
      <c r="AI86" s="18">
        <v>2.1698</v>
      </c>
      <c r="AJ86" s="18">
        <v>1.8441000000000001</v>
      </c>
      <c r="AK86" s="18">
        <v>1.5391999999999999</v>
      </c>
      <c r="AL86" s="18">
        <v>1.2259</v>
      </c>
      <c r="AM86" s="18">
        <v>0.92290000000000005</v>
      </c>
      <c r="AN86" s="18">
        <v>0.63080000000000003</v>
      </c>
      <c r="AO86" s="18">
        <v>0.36830000000000002</v>
      </c>
      <c r="AP86" s="18">
        <v>0.1072</v>
      </c>
      <c r="AQ86" s="18">
        <v>1.9800000000000002E-2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</row>
    <row r="87" spans="1:50" x14ac:dyDescent="0.25">
      <c r="A87" s="8" t="s">
        <v>116</v>
      </c>
      <c r="B87" s="10" t="s">
        <v>57</v>
      </c>
      <c r="C87" s="16">
        <v>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  <c r="AK87" s="16">
        <v>0</v>
      </c>
      <c r="AL87" s="16">
        <v>0</v>
      </c>
      <c r="AM87" s="16">
        <v>0</v>
      </c>
      <c r="AN87" s="16">
        <v>0</v>
      </c>
      <c r="AO87" s="16">
        <v>0</v>
      </c>
      <c r="AP87" s="16">
        <v>0</v>
      </c>
      <c r="AQ87" s="16">
        <v>0</v>
      </c>
      <c r="AR87" s="16">
        <v>0</v>
      </c>
      <c r="AS87" s="16">
        <v>0</v>
      </c>
      <c r="AT87" s="16">
        <v>0</v>
      </c>
      <c r="AU87" s="16">
        <v>0</v>
      </c>
      <c r="AV87" s="16">
        <v>0</v>
      </c>
      <c r="AW87" s="16">
        <v>0</v>
      </c>
      <c r="AX87" s="16">
        <v>0</v>
      </c>
    </row>
    <row r="88" spans="1:50" x14ac:dyDescent="0.25">
      <c r="A88" s="8" t="s">
        <v>118</v>
      </c>
      <c r="B88" s="10" t="s">
        <v>57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</row>
    <row r="89" spans="1:50" x14ac:dyDescent="0.25">
      <c r="A89" s="8" t="s">
        <v>120</v>
      </c>
      <c r="B89" s="10" t="s">
        <v>57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</row>
    <row r="90" spans="1:50" x14ac:dyDescent="0.25">
      <c r="A90" s="8" t="s">
        <v>122</v>
      </c>
      <c r="B90" s="10" t="s">
        <v>57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</row>
    <row r="91" spans="1:50" x14ac:dyDescent="0.25">
      <c r="A91" s="8" t="s">
        <v>124</v>
      </c>
      <c r="B91" s="10" t="s">
        <v>57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</row>
    <row r="92" spans="1:50" x14ac:dyDescent="0.25">
      <c r="A92" s="8" t="s">
        <v>126</v>
      </c>
      <c r="B92" s="10" t="s">
        <v>57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6">
        <v>0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0</v>
      </c>
      <c r="AV92" s="16">
        <v>0</v>
      </c>
      <c r="AW92" s="16">
        <v>0</v>
      </c>
      <c r="AX92" s="16">
        <v>0</v>
      </c>
    </row>
    <row r="93" spans="1:50" x14ac:dyDescent="0.25">
      <c r="A93" s="17" t="s">
        <v>271</v>
      </c>
      <c r="B93" s="13" t="s">
        <v>168</v>
      </c>
      <c r="C93" s="18">
        <v>0</v>
      </c>
      <c r="D93" s="18">
        <v>0</v>
      </c>
      <c r="E93" s="18">
        <v>0</v>
      </c>
      <c r="F93" s="18">
        <v>0</v>
      </c>
      <c r="G93" s="18">
        <v>0</v>
      </c>
      <c r="H93" s="18">
        <v>0</v>
      </c>
      <c r="I93" s="18">
        <v>0</v>
      </c>
      <c r="J93" s="18">
        <v>2.2000000000000001E-3</v>
      </c>
      <c r="K93" s="18">
        <v>3.1099999999999999E-2</v>
      </c>
      <c r="L93" s="18">
        <v>0.1454</v>
      </c>
      <c r="M93" s="18">
        <v>0.2883</v>
      </c>
      <c r="N93" s="18">
        <v>0.4637</v>
      </c>
      <c r="O93" s="18">
        <v>0.65490000000000004</v>
      </c>
      <c r="P93" s="18">
        <v>0.84860000000000002</v>
      </c>
      <c r="Q93" s="18">
        <v>1.0411999999999999</v>
      </c>
      <c r="R93" s="18">
        <v>1.2341</v>
      </c>
      <c r="S93" s="18">
        <v>1.4152</v>
      </c>
      <c r="T93" s="18">
        <v>1.5853999999999999</v>
      </c>
      <c r="U93" s="18">
        <v>1.7303999999999999</v>
      </c>
      <c r="V93" s="18">
        <v>1.8540000000000001</v>
      </c>
      <c r="W93" s="18">
        <v>1.9624999999999999</v>
      </c>
      <c r="X93" s="18">
        <v>2.0520999999999998</v>
      </c>
      <c r="Y93" s="18">
        <v>2.1156000000000001</v>
      </c>
      <c r="Z93" s="18">
        <v>2.1435</v>
      </c>
      <c r="AA93" s="18">
        <v>2.1516000000000002</v>
      </c>
      <c r="AB93" s="18">
        <v>2.1364999999999998</v>
      </c>
      <c r="AC93" s="18">
        <v>2.0857000000000001</v>
      </c>
      <c r="AD93" s="18">
        <v>2.0083000000000002</v>
      </c>
      <c r="AE93" s="18">
        <v>1.9158999999999999</v>
      </c>
      <c r="AF93" s="18">
        <v>1.7988999999999999</v>
      </c>
      <c r="AG93" s="18">
        <v>1.6745000000000001</v>
      </c>
      <c r="AH93" s="18">
        <v>1.5246999999999999</v>
      </c>
      <c r="AI93" s="18">
        <v>1.3561000000000001</v>
      </c>
      <c r="AJ93" s="18">
        <v>1.1525000000000001</v>
      </c>
      <c r="AK93" s="18">
        <v>0.96199999999999997</v>
      </c>
      <c r="AL93" s="18">
        <v>0.76619999999999999</v>
      </c>
      <c r="AM93" s="18">
        <v>0.57679999999999998</v>
      </c>
      <c r="AN93" s="18">
        <v>0.39419999999999999</v>
      </c>
      <c r="AO93" s="18">
        <v>0.23019999999999999</v>
      </c>
      <c r="AP93" s="18">
        <v>6.7000000000000004E-2</v>
      </c>
      <c r="AQ93" s="18">
        <v>1.24E-2</v>
      </c>
      <c r="AR93" s="18">
        <v>0</v>
      </c>
      <c r="AS93" s="18">
        <v>0</v>
      </c>
      <c r="AT93" s="18">
        <v>0</v>
      </c>
      <c r="AU93" s="18">
        <v>0</v>
      </c>
      <c r="AV93" s="18">
        <v>0</v>
      </c>
      <c r="AW93" s="18">
        <v>0</v>
      </c>
      <c r="AX93" s="18">
        <v>0</v>
      </c>
    </row>
    <row r="94" spans="1:50" x14ac:dyDescent="0.25">
      <c r="A94" s="8" t="s">
        <v>128</v>
      </c>
      <c r="B94" s="10" t="s">
        <v>57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</row>
    <row r="95" spans="1:50" x14ac:dyDescent="0.25">
      <c r="A95" s="8" t="s">
        <v>130</v>
      </c>
      <c r="B95" s="10" t="s">
        <v>57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</row>
    <row r="96" spans="1:50" x14ac:dyDescent="0.25">
      <c r="A96" s="17" t="s">
        <v>273</v>
      </c>
      <c r="B96" s="13" t="s">
        <v>168</v>
      </c>
      <c r="C96" s="18">
        <v>0</v>
      </c>
      <c r="D96" s="18">
        <v>0</v>
      </c>
      <c r="E96" s="18">
        <v>0</v>
      </c>
      <c r="F96" s="18">
        <v>0</v>
      </c>
      <c r="G96" s="18">
        <v>0</v>
      </c>
      <c r="H96" s="18">
        <v>0</v>
      </c>
      <c r="I96" s="18">
        <v>0</v>
      </c>
      <c r="J96" s="18">
        <v>2.2000000000000001E-3</v>
      </c>
      <c r="K96" s="18">
        <v>3.1099999999999999E-2</v>
      </c>
      <c r="L96" s="18">
        <v>0.1454</v>
      </c>
      <c r="M96" s="18">
        <v>0.2883</v>
      </c>
      <c r="N96" s="18">
        <v>0.4637</v>
      </c>
      <c r="O96" s="18">
        <v>0.65490000000000004</v>
      </c>
      <c r="P96" s="18">
        <v>0.84860000000000002</v>
      </c>
      <c r="Q96" s="18">
        <v>1.0411999999999999</v>
      </c>
      <c r="R96" s="18">
        <v>1.2341</v>
      </c>
      <c r="S96" s="18">
        <v>1.4152</v>
      </c>
      <c r="T96" s="18">
        <v>1.5853999999999999</v>
      </c>
      <c r="U96" s="18">
        <v>1.7303999999999999</v>
      </c>
      <c r="V96" s="18">
        <v>1.8540000000000001</v>
      </c>
      <c r="W96" s="18">
        <v>1.9624999999999999</v>
      </c>
      <c r="X96" s="18">
        <v>2.0520999999999998</v>
      </c>
      <c r="Y96" s="18">
        <v>2.1156000000000001</v>
      </c>
      <c r="Z96" s="18">
        <v>2.1435</v>
      </c>
      <c r="AA96" s="18">
        <v>2.1516000000000002</v>
      </c>
      <c r="AB96" s="18">
        <v>2.1364999999999998</v>
      </c>
      <c r="AC96" s="18">
        <v>2.0857000000000001</v>
      </c>
      <c r="AD96" s="18">
        <v>2.0083000000000002</v>
      </c>
      <c r="AE96" s="18">
        <v>1.9158999999999999</v>
      </c>
      <c r="AF96" s="18">
        <v>1.7988999999999999</v>
      </c>
      <c r="AG96" s="18">
        <v>1.6745000000000001</v>
      </c>
      <c r="AH96" s="18">
        <v>1.5246999999999999</v>
      </c>
      <c r="AI96" s="18">
        <v>1.3561000000000001</v>
      </c>
      <c r="AJ96" s="18">
        <v>1.1525000000000001</v>
      </c>
      <c r="AK96" s="18">
        <v>0.96199999999999997</v>
      </c>
      <c r="AL96" s="18">
        <v>0.76619999999999999</v>
      </c>
      <c r="AM96" s="18">
        <v>0.57679999999999998</v>
      </c>
      <c r="AN96" s="18">
        <v>0.39419999999999999</v>
      </c>
      <c r="AO96" s="18">
        <v>0.23019999999999999</v>
      </c>
      <c r="AP96" s="18">
        <v>6.7000000000000004E-2</v>
      </c>
      <c r="AQ96" s="18">
        <v>1.24E-2</v>
      </c>
      <c r="AR96" s="18">
        <v>0</v>
      </c>
      <c r="AS96" s="18">
        <v>0</v>
      </c>
      <c r="AT96" s="18">
        <v>0</v>
      </c>
      <c r="AU96" s="18">
        <v>0</v>
      </c>
      <c r="AV96" s="18">
        <v>0</v>
      </c>
      <c r="AW96" s="18">
        <v>0</v>
      </c>
      <c r="AX96" s="18">
        <v>0</v>
      </c>
    </row>
    <row r="97" spans="1:50" x14ac:dyDescent="0.25">
      <c r="A97" s="8" t="s">
        <v>132</v>
      </c>
      <c r="B97" s="10" t="s">
        <v>57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</row>
    <row r="98" spans="1:50" x14ac:dyDescent="0.25">
      <c r="A98" s="8" t="s">
        <v>134</v>
      </c>
      <c r="B98" s="10" t="s">
        <v>57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</row>
    <row r="99" spans="1:50" x14ac:dyDescent="0.25">
      <c r="A99" s="8" t="s">
        <v>136</v>
      </c>
      <c r="B99" s="10" t="s">
        <v>57</v>
      </c>
      <c r="C99" s="16">
        <v>0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  <c r="AK99" s="16">
        <v>0</v>
      </c>
      <c r="AL99" s="16">
        <v>0</v>
      </c>
      <c r="AM99" s="16">
        <v>0</v>
      </c>
      <c r="AN99" s="16">
        <v>0</v>
      </c>
      <c r="AO99" s="16">
        <v>0</v>
      </c>
      <c r="AP99" s="16">
        <v>0</v>
      </c>
      <c r="AQ99" s="16">
        <v>0</v>
      </c>
      <c r="AR99" s="16">
        <v>0</v>
      </c>
      <c r="AS99" s="16">
        <v>0</v>
      </c>
      <c r="AT99" s="16">
        <v>0</v>
      </c>
      <c r="AU99" s="16">
        <v>0</v>
      </c>
      <c r="AV99" s="16">
        <v>0</v>
      </c>
      <c r="AW99" s="16">
        <v>0</v>
      </c>
      <c r="AX99" s="16">
        <v>0</v>
      </c>
    </row>
    <row r="100" spans="1:50" x14ac:dyDescent="0.25">
      <c r="A100" s="8" t="s">
        <v>138</v>
      </c>
      <c r="B100" s="10" t="s">
        <v>57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</row>
    <row r="101" spans="1:50" x14ac:dyDescent="0.25">
      <c r="A101" s="8" t="s">
        <v>140</v>
      </c>
      <c r="B101" s="10" t="s">
        <v>57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</row>
    <row r="102" spans="1:50" x14ac:dyDescent="0.25">
      <c r="A102" s="17" t="s">
        <v>275</v>
      </c>
      <c r="B102" s="13" t="s">
        <v>168</v>
      </c>
      <c r="C102" s="18">
        <v>0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3.0000000000000001E-3</v>
      </c>
      <c r="K102" s="18">
        <v>4.3499999999999997E-2</v>
      </c>
      <c r="L102" s="18">
        <v>0.20349999999999999</v>
      </c>
      <c r="M102" s="18">
        <v>0.4037</v>
      </c>
      <c r="N102" s="18">
        <v>0.64910000000000001</v>
      </c>
      <c r="O102" s="18">
        <v>0.91690000000000005</v>
      </c>
      <c r="P102" s="18">
        <v>1.1879999999999999</v>
      </c>
      <c r="Q102" s="18">
        <v>1.4577</v>
      </c>
      <c r="R102" s="18">
        <v>1.7278</v>
      </c>
      <c r="S102" s="18">
        <v>1.9813000000000001</v>
      </c>
      <c r="T102" s="18">
        <v>2.2195999999999998</v>
      </c>
      <c r="U102" s="18">
        <v>2.4224999999999999</v>
      </c>
      <c r="V102" s="18">
        <v>2.5956000000000001</v>
      </c>
      <c r="W102" s="18">
        <v>2.7475000000000001</v>
      </c>
      <c r="X102" s="18">
        <v>2.8729</v>
      </c>
      <c r="Y102" s="18">
        <v>2.9619</v>
      </c>
      <c r="Z102" s="18">
        <v>3.0009000000000001</v>
      </c>
      <c r="AA102" s="18">
        <v>3.0122</v>
      </c>
      <c r="AB102" s="18">
        <v>2.9910000000000001</v>
      </c>
      <c r="AC102" s="18">
        <v>2.92</v>
      </c>
      <c r="AD102" s="18">
        <v>2.8117000000000001</v>
      </c>
      <c r="AE102" s="18">
        <v>2.6823000000000001</v>
      </c>
      <c r="AF102" s="18">
        <v>2.5184000000000002</v>
      </c>
      <c r="AG102" s="18">
        <v>2.3441999999999998</v>
      </c>
      <c r="AH102" s="18">
        <v>2.1345999999999998</v>
      </c>
      <c r="AI102" s="18">
        <v>1.8986000000000001</v>
      </c>
      <c r="AJ102" s="18">
        <v>1.6135999999999999</v>
      </c>
      <c r="AK102" s="18">
        <v>1.3468</v>
      </c>
      <c r="AL102" s="18">
        <v>1.0727</v>
      </c>
      <c r="AM102" s="18">
        <v>0.80759999999999998</v>
      </c>
      <c r="AN102" s="18">
        <v>0.55189999999999995</v>
      </c>
      <c r="AO102" s="18">
        <v>0.32229999999999998</v>
      </c>
      <c r="AP102" s="18">
        <v>9.3799999999999994E-2</v>
      </c>
      <c r="AQ102" s="18">
        <v>1.7299999999999999E-2</v>
      </c>
      <c r="AR102" s="18">
        <v>0</v>
      </c>
      <c r="AS102" s="18">
        <v>0</v>
      </c>
      <c r="AT102" s="18">
        <v>0</v>
      </c>
      <c r="AU102" s="18">
        <v>0</v>
      </c>
      <c r="AV102" s="18">
        <v>0</v>
      </c>
      <c r="AW102" s="18">
        <v>0</v>
      </c>
      <c r="AX102" s="18">
        <v>0</v>
      </c>
    </row>
    <row r="103" spans="1:50" x14ac:dyDescent="0.25">
      <c r="A103" s="17" t="s">
        <v>277</v>
      </c>
      <c r="B103" s="13" t="s">
        <v>168</v>
      </c>
      <c r="C103" s="18">
        <v>0</v>
      </c>
      <c r="D103" s="18">
        <v>0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8">
        <v>1.2999999999999999E-3</v>
      </c>
      <c r="K103" s="18">
        <v>1.8700000000000001E-2</v>
      </c>
      <c r="L103" s="18">
        <v>8.72E-2</v>
      </c>
      <c r="M103" s="18">
        <v>0.17299999999999999</v>
      </c>
      <c r="N103" s="18">
        <v>0.2782</v>
      </c>
      <c r="O103" s="18">
        <v>0.39300000000000002</v>
      </c>
      <c r="P103" s="18">
        <v>0.50919999999999999</v>
      </c>
      <c r="Q103" s="18">
        <v>0.62470000000000003</v>
      </c>
      <c r="R103" s="18">
        <v>0.74050000000000005</v>
      </c>
      <c r="S103" s="18">
        <v>0.84909999999999997</v>
      </c>
      <c r="T103" s="18">
        <v>0.95120000000000005</v>
      </c>
      <c r="U103" s="18">
        <v>1.0382</v>
      </c>
      <c r="V103" s="18">
        <v>1.1124000000000001</v>
      </c>
      <c r="W103" s="18">
        <v>1.1775</v>
      </c>
      <c r="X103" s="18">
        <v>1.2312000000000001</v>
      </c>
      <c r="Y103" s="18">
        <v>1.2694000000000001</v>
      </c>
      <c r="Z103" s="18">
        <v>1.2861</v>
      </c>
      <c r="AA103" s="18">
        <v>1.2908999999999999</v>
      </c>
      <c r="AB103" s="18">
        <v>1.2819</v>
      </c>
      <c r="AC103" s="18">
        <v>1.2514000000000001</v>
      </c>
      <c r="AD103" s="18">
        <v>1.2050000000000001</v>
      </c>
      <c r="AE103" s="18">
        <v>1.1496</v>
      </c>
      <c r="AF103" s="18">
        <v>1.0792999999999999</v>
      </c>
      <c r="AG103" s="18">
        <v>1.0046999999999999</v>
      </c>
      <c r="AH103" s="18">
        <v>0.91479999999999995</v>
      </c>
      <c r="AI103" s="18">
        <v>0.81369999999999998</v>
      </c>
      <c r="AJ103" s="18">
        <v>0.6915</v>
      </c>
      <c r="AK103" s="18">
        <v>0.57720000000000005</v>
      </c>
      <c r="AL103" s="18">
        <v>0.4597</v>
      </c>
      <c r="AM103" s="18">
        <v>0.34610000000000002</v>
      </c>
      <c r="AN103" s="18">
        <v>0.23649999999999999</v>
      </c>
      <c r="AO103" s="18">
        <v>0.1381</v>
      </c>
      <c r="AP103" s="18">
        <v>4.02E-2</v>
      </c>
      <c r="AQ103" s="18">
        <v>7.4000000000000003E-3</v>
      </c>
      <c r="AR103" s="18">
        <v>0</v>
      </c>
      <c r="AS103" s="18">
        <v>0</v>
      </c>
      <c r="AT103" s="18">
        <v>0</v>
      </c>
      <c r="AU103" s="18">
        <v>0</v>
      </c>
      <c r="AV103" s="18">
        <v>0</v>
      </c>
      <c r="AW103" s="18">
        <v>0</v>
      </c>
      <c r="AX103" s="18">
        <v>0</v>
      </c>
    </row>
    <row r="104" spans="1:50" x14ac:dyDescent="0.25">
      <c r="A104" s="17" t="s">
        <v>279</v>
      </c>
      <c r="B104" s="13" t="s">
        <v>168</v>
      </c>
      <c r="C104" s="18">
        <v>0</v>
      </c>
      <c r="D104" s="18">
        <v>0</v>
      </c>
      <c r="E104" s="18">
        <v>0</v>
      </c>
      <c r="F104" s="18">
        <v>0</v>
      </c>
      <c r="G104" s="18">
        <v>0</v>
      </c>
      <c r="H104" s="18">
        <v>0</v>
      </c>
      <c r="I104" s="18">
        <v>0</v>
      </c>
      <c r="J104" s="18">
        <v>1.2999999999999999E-3</v>
      </c>
      <c r="K104" s="18">
        <v>1.8700000000000001E-2</v>
      </c>
      <c r="L104" s="18">
        <v>8.72E-2</v>
      </c>
      <c r="M104" s="18">
        <v>0.17299999999999999</v>
      </c>
      <c r="N104" s="18">
        <v>0.2782</v>
      </c>
      <c r="O104" s="18">
        <v>0.39300000000000002</v>
      </c>
      <c r="P104" s="18">
        <v>0.50919999999999999</v>
      </c>
      <c r="Q104" s="18">
        <v>0.62470000000000003</v>
      </c>
      <c r="R104" s="18">
        <v>0.74050000000000005</v>
      </c>
      <c r="S104" s="18">
        <v>0.84909999999999997</v>
      </c>
      <c r="T104" s="18">
        <v>0.95120000000000005</v>
      </c>
      <c r="U104" s="18">
        <v>1.0382</v>
      </c>
      <c r="V104" s="18">
        <v>1.1124000000000001</v>
      </c>
      <c r="W104" s="18">
        <v>1.1775</v>
      </c>
      <c r="X104" s="18">
        <v>1.2312000000000001</v>
      </c>
      <c r="Y104" s="18">
        <v>1.2694000000000001</v>
      </c>
      <c r="Z104" s="18">
        <v>1.2861</v>
      </c>
      <c r="AA104" s="18">
        <v>1.2908999999999999</v>
      </c>
      <c r="AB104" s="18">
        <v>1.2819</v>
      </c>
      <c r="AC104" s="18">
        <v>1.2514000000000001</v>
      </c>
      <c r="AD104" s="18">
        <v>1.2050000000000001</v>
      </c>
      <c r="AE104" s="18">
        <v>1.1496</v>
      </c>
      <c r="AF104" s="18">
        <v>1.0792999999999999</v>
      </c>
      <c r="AG104" s="18">
        <v>1.0046999999999999</v>
      </c>
      <c r="AH104" s="18">
        <v>0.91479999999999995</v>
      </c>
      <c r="AI104" s="18">
        <v>0.81369999999999998</v>
      </c>
      <c r="AJ104" s="18">
        <v>0.6915</v>
      </c>
      <c r="AK104" s="18">
        <v>0.57720000000000005</v>
      </c>
      <c r="AL104" s="18">
        <v>0.4597</v>
      </c>
      <c r="AM104" s="18">
        <v>0.34610000000000002</v>
      </c>
      <c r="AN104" s="18">
        <v>0.23649999999999999</v>
      </c>
      <c r="AO104" s="18">
        <v>0.1381</v>
      </c>
      <c r="AP104" s="18">
        <v>4.02E-2</v>
      </c>
      <c r="AQ104" s="18">
        <v>7.4000000000000003E-3</v>
      </c>
      <c r="AR104" s="18">
        <v>0</v>
      </c>
      <c r="AS104" s="18">
        <v>0</v>
      </c>
      <c r="AT104" s="18">
        <v>0</v>
      </c>
      <c r="AU104" s="18">
        <v>0</v>
      </c>
      <c r="AV104" s="18">
        <v>0</v>
      </c>
      <c r="AW104" s="18">
        <v>0</v>
      </c>
      <c r="AX104" s="18">
        <v>0</v>
      </c>
    </row>
    <row r="105" spans="1:50" x14ac:dyDescent="0.25">
      <c r="A105" s="17" t="s">
        <v>281</v>
      </c>
      <c r="B105" s="13" t="s">
        <v>168</v>
      </c>
      <c r="C105" s="18">
        <v>0</v>
      </c>
      <c r="D105" s="18">
        <v>0</v>
      </c>
      <c r="E105" s="18">
        <v>0</v>
      </c>
      <c r="F105" s="18">
        <v>0</v>
      </c>
      <c r="G105" s="18">
        <v>0</v>
      </c>
      <c r="H105" s="18">
        <v>0</v>
      </c>
      <c r="I105" s="18">
        <v>0</v>
      </c>
      <c r="J105" s="18">
        <v>3.3999999999999998E-3</v>
      </c>
      <c r="K105" s="18">
        <v>4.9700000000000001E-2</v>
      </c>
      <c r="L105" s="18">
        <v>0.2326</v>
      </c>
      <c r="M105" s="18">
        <v>0.46129999999999999</v>
      </c>
      <c r="N105" s="18">
        <v>0.7419</v>
      </c>
      <c r="O105" s="18">
        <v>1.0479000000000001</v>
      </c>
      <c r="P105" s="18">
        <v>1.3576999999999999</v>
      </c>
      <c r="Q105" s="18">
        <v>1.6659999999999999</v>
      </c>
      <c r="R105" s="18">
        <v>1.9745999999999999</v>
      </c>
      <c r="S105" s="18">
        <v>2.2643</v>
      </c>
      <c r="T105" s="18">
        <v>2.5367000000000002</v>
      </c>
      <c r="U105" s="18">
        <v>2.7686000000000002</v>
      </c>
      <c r="V105" s="18">
        <v>2.9664000000000001</v>
      </c>
      <c r="W105" s="18">
        <v>3.14</v>
      </c>
      <c r="X105" s="18">
        <v>3.2833000000000001</v>
      </c>
      <c r="Y105" s="18">
        <v>3.3849999999999998</v>
      </c>
      <c r="Z105" s="18">
        <v>3.4296000000000002</v>
      </c>
      <c r="AA105" s="18">
        <v>3.4424999999999999</v>
      </c>
      <c r="AB105" s="18">
        <v>3.4182999999999999</v>
      </c>
      <c r="AC105" s="18">
        <v>3.3372000000000002</v>
      </c>
      <c r="AD105" s="18">
        <v>3.2132999999999998</v>
      </c>
      <c r="AE105" s="18">
        <v>3.0655000000000001</v>
      </c>
      <c r="AF105" s="18">
        <v>2.8782000000000001</v>
      </c>
      <c r="AG105" s="18">
        <v>2.6791</v>
      </c>
      <c r="AH105" s="18">
        <v>2.4396</v>
      </c>
      <c r="AI105" s="18">
        <v>2.1698</v>
      </c>
      <c r="AJ105" s="18">
        <v>1.8441000000000001</v>
      </c>
      <c r="AK105" s="18">
        <v>1.5391999999999999</v>
      </c>
      <c r="AL105" s="18">
        <v>1.2259</v>
      </c>
      <c r="AM105" s="18">
        <v>0.92290000000000005</v>
      </c>
      <c r="AN105" s="18">
        <v>0.63080000000000003</v>
      </c>
      <c r="AO105" s="18">
        <v>0.36830000000000002</v>
      </c>
      <c r="AP105" s="18">
        <v>0.1072</v>
      </c>
      <c r="AQ105" s="18">
        <v>1.9800000000000002E-2</v>
      </c>
      <c r="AR105" s="18">
        <v>0</v>
      </c>
      <c r="AS105" s="18">
        <v>0</v>
      </c>
      <c r="AT105" s="18">
        <v>0</v>
      </c>
      <c r="AU105" s="18">
        <v>0</v>
      </c>
      <c r="AV105" s="18">
        <v>0</v>
      </c>
      <c r="AW105" s="18">
        <v>0</v>
      </c>
      <c r="AX105" s="18">
        <v>0</v>
      </c>
    </row>
    <row r="106" spans="1:50" x14ac:dyDescent="0.25">
      <c r="A106" s="8" t="s">
        <v>142</v>
      </c>
      <c r="B106" s="10" t="s">
        <v>57</v>
      </c>
      <c r="C106" s="16">
        <v>0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  <c r="AK106" s="16">
        <v>0</v>
      </c>
      <c r="AL106" s="16">
        <v>0</v>
      </c>
      <c r="AM106" s="16">
        <v>0</v>
      </c>
      <c r="AN106" s="16">
        <v>0</v>
      </c>
      <c r="AO106" s="16">
        <v>0</v>
      </c>
      <c r="AP106" s="16">
        <v>0</v>
      </c>
      <c r="AQ106" s="16">
        <v>0</v>
      </c>
      <c r="AR106" s="16">
        <v>0</v>
      </c>
      <c r="AS106" s="16">
        <v>0</v>
      </c>
      <c r="AT106" s="16">
        <v>0</v>
      </c>
      <c r="AU106" s="16">
        <v>0</v>
      </c>
      <c r="AV106" s="16">
        <v>0</v>
      </c>
      <c r="AW106" s="16">
        <v>0</v>
      </c>
      <c r="AX106" s="16">
        <v>0</v>
      </c>
    </row>
    <row r="107" spans="1:50" x14ac:dyDescent="0.25">
      <c r="A107" s="8" t="s">
        <v>144</v>
      </c>
      <c r="B107" s="10" t="s">
        <v>57</v>
      </c>
      <c r="C107" s="16">
        <v>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  <c r="AK107" s="16">
        <v>0</v>
      </c>
      <c r="AL107" s="16">
        <v>0</v>
      </c>
      <c r="AM107" s="16">
        <v>0</v>
      </c>
      <c r="AN107" s="16">
        <v>0</v>
      </c>
      <c r="AO107" s="16">
        <v>0</v>
      </c>
      <c r="AP107" s="16">
        <v>0</v>
      </c>
      <c r="AQ107" s="16">
        <v>0</v>
      </c>
      <c r="AR107" s="16">
        <v>0</v>
      </c>
      <c r="AS107" s="16">
        <v>0</v>
      </c>
      <c r="AT107" s="16">
        <v>0</v>
      </c>
      <c r="AU107" s="16">
        <v>0</v>
      </c>
      <c r="AV107" s="16">
        <v>0</v>
      </c>
      <c r="AW107" s="16">
        <v>0</v>
      </c>
      <c r="AX107" s="16">
        <v>0</v>
      </c>
    </row>
    <row r="108" spans="1:50" x14ac:dyDescent="0.25">
      <c r="A108" s="17" t="s">
        <v>283</v>
      </c>
      <c r="B108" s="13" t="s">
        <v>168</v>
      </c>
      <c r="C108" s="18">
        <v>0</v>
      </c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8">
        <v>2.5999999999999999E-3</v>
      </c>
      <c r="K108" s="18">
        <v>3.73E-2</v>
      </c>
      <c r="L108" s="18">
        <v>0.1744</v>
      </c>
      <c r="M108" s="18">
        <v>0.34599999999999997</v>
      </c>
      <c r="N108" s="18">
        <v>0.55640000000000001</v>
      </c>
      <c r="O108" s="18">
        <v>0.78590000000000004</v>
      </c>
      <c r="P108" s="18">
        <v>1.0183</v>
      </c>
      <c r="Q108" s="18">
        <v>1.2495000000000001</v>
      </c>
      <c r="R108" s="18">
        <v>1.4810000000000001</v>
      </c>
      <c r="S108" s="18">
        <v>1.6981999999999999</v>
      </c>
      <c r="T108" s="18">
        <v>1.9025000000000001</v>
      </c>
      <c r="U108" s="18">
        <v>2.0764</v>
      </c>
      <c r="V108" s="18">
        <v>2.2248000000000001</v>
      </c>
      <c r="W108" s="18">
        <v>2.355</v>
      </c>
      <c r="X108" s="18">
        <v>2.4624999999999999</v>
      </c>
      <c r="Y108" s="18">
        <v>2.5387</v>
      </c>
      <c r="Z108" s="18">
        <v>2.5722</v>
      </c>
      <c r="AA108" s="18">
        <v>2.5819000000000001</v>
      </c>
      <c r="AB108" s="18">
        <v>2.5636999999999999</v>
      </c>
      <c r="AC108" s="18">
        <v>2.5028999999999999</v>
      </c>
      <c r="AD108" s="18">
        <v>2.41</v>
      </c>
      <c r="AE108" s="18">
        <v>2.2991000000000001</v>
      </c>
      <c r="AF108" s="18">
        <v>2.1585999999999999</v>
      </c>
      <c r="AG108" s="18">
        <v>2.0093000000000001</v>
      </c>
      <c r="AH108" s="18">
        <v>1.8297000000000001</v>
      </c>
      <c r="AI108" s="18">
        <v>1.6274</v>
      </c>
      <c r="AJ108" s="18">
        <v>1.3831</v>
      </c>
      <c r="AK108" s="18">
        <v>1.1544000000000001</v>
      </c>
      <c r="AL108" s="18">
        <v>0.91949999999999998</v>
      </c>
      <c r="AM108" s="18">
        <v>0.69220000000000004</v>
      </c>
      <c r="AN108" s="18">
        <v>0.47310000000000002</v>
      </c>
      <c r="AO108" s="18">
        <v>0.2762</v>
      </c>
      <c r="AP108" s="18">
        <v>8.0399999999999999E-2</v>
      </c>
      <c r="AQ108" s="18">
        <v>1.4800000000000001E-2</v>
      </c>
      <c r="AR108" s="18">
        <v>0</v>
      </c>
      <c r="AS108" s="18">
        <v>0</v>
      </c>
      <c r="AT108" s="18">
        <v>0</v>
      </c>
      <c r="AU108" s="18">
        <v>0</v>
      </c>
      <c r="AV108" s="18">
        <v>0</v>
      </c>
      <c r="AW108" s="18">
        <v>0</v>
      </c>
      <c r="AX108" s="18">
        <v>0</v>
      </c>
    </row>
    <row r="109" spans="1:50" x14ac:dyDescent="0.25">
      <c r="A109" s="17" t="s">
        <v>285</v>
      </c>
      <c r="B109" s="13" t="s">
        <v>168</v>
      </c>
      <c r="C109" s="18">
        <v>0</v>
      </c>
      <c r="D109" s="18">
        <v>0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8">
        <v>1.6999999999999999E-3</v>
      </c>
      <c r="K109" s="18">
        <v>2.4899999999999999E-2</v>
      </c>
      <c r="L109" s="18">
        <v>0.1163</v>
      </c>
      <c r="M109" s="18">
        <v>0.23069999999999999</v>
      </c>
      <c r="N109" s="18">
        <v>0.37090000000000001</v>
      </c>
      <c r="O109" s="18">
        <v>0.52400000000000002</v>
      </c>
      <c r="P109" s="18">
        <v>0.67889999999999995</v>
      </c>
      <c r="Q109" s="18">
        <v>0.83299999999999996</v>
      </c>
      <c r="R109" s="18">
        <v>0.98729999999999996</v>
      </c>
      <c r="S109" s="18">
        <v>1.1322000000000001</v>
      </c>
      <c r="T109" s="18">
        <v>1.2683</v>
      </c>
      <c r="U109" s="18">
        <v>1.3843000000000001</v>
      </c>
      <c r="V109" s="18">
        <v>1.4832000000000001</v>
      </c>
      <c r="W109" s="18">
        <v>1.57</v>
      </c>
      <c r="X109" s="18">
        <v>1.6416999999999999</v>
      </c>
      <c r="Y109" s="18">
        <v>1.6924999999999999</v>
      </c>
      <c r="Z109" s="18">
        <v>1.7148000000000001</v>
      </c>
      <c r="AA109" s="18">
        <v>1.7212000000000001</v>
      </c>
      <c r="AB109" s="18">
        <v>1.7092000000000001</v>
      </c>
      <c r="AC109" s="18">
        <v>1.6686000000000001</v>
      </c>
      <c r="AD109" s="18">
        <v>1.6067</v>
      </c>
      <c r="AE109" s="18">
        <v>1.5327999999999999</v>
      </c>
      <c r="AF109" s="18">
        <v>1.4391</v>
      </c>
      <c r="AG109" s="18">
        <v>1.3395999999999999</v>
      </c>
      <c r="AH109" s="18">
        <v>1.2198</v>
      </c>
      <c r="AI109" s="18">
        <v>1.0849</v>
      </c>
      <c r="AJ109" s="18">
        <v>0.92200000000000004</v>
      </c>
      <c r="AK109" s="18">
        <v>0.76959999999999995</v>
      </c>
      <c r="AL109" s="18">
        <v>0.61299999999999999</v>
      </c>
      <c r="AM109" s="18">
        <v>0.46150000000000002</v>
      </c>
      <c r="AN109" s="18">
        <v>0.31540000000000001</v>
      </c>
      <c r="AO109" s="18">
        <v>0.1842</v>
      </c>
      <c r="AP109" s="18">
        <v>5.3600000000000002E-2</v>
      </c>
      <c r="AQ109" s="18">
        <v>9.9000000000000008E-3</v>
      </c>
      <c r="AR109" s="18">
        <v>0</v>
      </c>
      <c r="AS109" s="18">
        <v>0</v>
      </c>
      <c r="AT109" s="18">
        <v>0</v>
      </c>
      <c r="AU109" s="18">
        <v>0</v>
      </c>
      <c r="AV109" s="18">
        <v>0</v>
      </c>
      <c r="AW109" s="18">
        <v>0</v>
      </c>
      <c r="AX109" s="18">
        <v>0</v>
      </c>
    </row>
    <row r="110" spans="1:50" x14ac:dyDescent="0.25">
      <c r="A110" s="8" t="s">
        <v>146</v>
      </c>
      <c r="B110" s="10" t="s">
        <v>57</v>
      </c>
      <c r="C110" s="16">
        <v>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  <c r="AK110" s="16">
        <v>0</v>
      </c>
      <c r="AL110" s="16">
        <v>0</v>
      </c>
      <c r="AM110" s="16">
        <v>0</v>
      </c>
      <c r="AN110" s="16">
        <v>0</v>
      </c>
      <c r="AO110" s="16">
        <v>0</v>
      </c>
      <c r="AP110" s="16">
        <v>0</v>
      </c>
      <c r="AQ110" s="16">
        <v>0</v>
      </c>
      <c r="AR110" s="16">
        <v>0</v>
      </c>
      <c r="AS110" s="16">
        <v>0</v>
      </c>
      <c r="AT110" s="16">
        <v>0</v>
      </c>
      <c r="AU110" s="16">
        <v>0</v>
      </c>
      <c r="AV110" s="16">
        <v>0</v>
      </c>
      <c r="AW110" s="16">
        <v>0</v>
      </c>
      <c r="AX110" s="16">
        <v>0</v>
      </c>
    </row>
    <row r="111" spans="1:50" x14ac:dyDescent="0.25">
      <c r="A111" s="8" t="s">
        <v>148</v>
      </c>
      <c r="B111" s="10" t="s">
        <v>57</v>
      </c>
      <c r="C111" s="16">
        <v>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  <c r="AK111" s="16">
        <v>0</v>
      </c>
      <c r="AL111" s="16">
        <v>0</v>
      </c>
      <c r="AM111" s="16">
        <v>0</v>
      </c>
      <c r="AN111" s="16">
        <v>0</v>
      </c>
      <c r="AO111" s="16">
        <v>0</v>
      </c>
      <c r="AP111" s="16">
        <v>0</v>
      </c>
      <c r="AQ111" s="16">
        <v>0</v>
      </c>
      <c r="AR111" s="16">
        <v>0</v>
      </c>
      <c r="AS111" s="16">
        <v>0</v>
      </c>
      <c r="AT111" s="16">
        <v>0</v>
      </c>
      <c r="AU111" s="16">
        <v>0</v>
      </c>
      <c r="AV111" s="16">
        <v>0</v>
      </c>
      <c r="AW111" s="16">
        <v>0</v>
      </c>
      <c r="AX111" s="16">
        <v>0</v>
      </c>
    </row>
    <row r="112" spans="1:50" x14ac:dyDescent="0.25">
      <c r="A112" s="17" t="s">
        <v>287</v>
      </c>
      <c r="B112" s="13" t="s">
        <v>168</v>
      </c>
      <c r="C112" s="18">
        <v>0</v>
      </c>
      <c r="D112" s="18">
        <v>0</v>
      </c>
      <c r="E112" s="18">
        <v>0</v>
      </c>
      <c r="F112" s="18">
        <v>0</v>
      </c>
      <c r="G112" s="18">
        <v>0</v>
      </c>
      <c r="H112" s="18">
        <v>0</v>
      </c>
      <c r="I112" s="18">
        <v>0</v>
      </c>
      <c r="J112" s="18">
        <v>1.6999999999999999E-3</v>
      </c>
      <c r="K112" s="18">
        <v>2.4899999999999999E-2</v>
      </c>
      <c r="L112" s="18">
        <v>0.1163</v>
      </c>
      <c r="M112" s="18">
        <v>0.23069999999999999</v>
      </c>
      <c r="N112" s="18">
        <v>0.37090000000000001</v>
      </c>
      <c r="O112" s="18">
        <v>0.52400000000000002</v>
      </c>
      <c r="P112" s="18">
        <v>0.67889999999999995</v>
      </c>
      <c r="Q112" s="18">
        <v>0.83299999999999996</v>
      </c>
      <c r="R112" s="18">
        <v>0.98729999999999996</v>
      </c>
      <c r="S112" s="18">
        <v>1.1322000000000001</v>
      </c>
      <c r="T112" s="18">
        <v>1.2683</v>
      </c>
      <c r="U112" s="18">
        <v>1.3843000000000001</v>
      </c>
      <c r="V112" s="18">
        <v>1.4832000000000001</v>
      </c>
      <c r="W112" s="18">
        <v>1.57</v>
      </c>
      <c r="X112" s="18">
        <v>1.6416999999999999</v>
      </c>
      <c r="Y112" s="18">
        <v>1.6924999999999999</v>
      </c>
      <c r="Z112" s="18">
        <v>1.7148000000000001</v>
      </c>
      <c r="AA112" s="18">
        <v>1.7212000000000001</v>
      </c>
      <c r="AB112" s="18">
        <v>1.7092000000000001</v>
      </c>
      <c r="AC112" s="18">
        <v>1.6686000000000001</v>
      </c>
      <c r="AD112" s="18">
        <v>1.6067</v>
      </c>
      <c r="AE112" s="18">
        <v>1.5327999999999999</v>
      </c>
      <c r="AF112" s="18">
        <v>1.4391</v>
      </c>
      <c r="AG112" s="18">
        <v>1.3395999999999999</v>
      </c>
      <c r="AH112" s="18">
        <v>1.2198</v>
      </c>
      <c r="AI112" s="18">
        <v>1.0849</v>
      </c>
      <c r="AJ112" s="18">
        <v>0.92200000000000004</v>
      </c>
      <c r="AK112" s="18">
        <v>0.76959999999999995</v>
      </c>
      <c r="AL112" s="18">
        <v>0.61299999999999999</v>
      </c>
      <c r="AM112" s="18">
        <v>0.46150000000000002</v>
      </c>
      <c r="AN112" s="18">
        <v>0.31540000000000001</v>
      </c>
      <c r="AO112" s="18">
        <v>0.1842</v>
      </c>
      <c r="AP112" s="18">
        <v>5.3600000000000002E-2</v>
      </c>
      <c r="AQ112" s="18">
        <v>9.9000000000000008E-3</v>
      </c>
      <c r="AR112" s="18">
        <v>0</v>
      </c>
      <c r="AS112" s="18">
        <v>0</v>
      </c>
      <c r="AT112" s="18">
        <v>0</v>
      </c>
      <c r="AU112" s="18">
        <v>0</v>
      </c>
      <c r="AV112" s="18">
        <v>0</v>
      </c>
      <c r="AW112" s="18">
        <v>0</v>
      </c>
      <c r="AX112" s="18">
        <v>0</v>
      </c>
    </row>
    <row r="113" spans="1:50" x14ac:dyDescent="0.25">
      <c r="A113" s="8" t="s">
        <v>150</v>
      </c>
      <c r="B113" s="10" t="s">
        <v>57</v>
      </c>
      <c r="C113" s="16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  <c r="AK113" s="16">
        <v>0</v>
      </c>
      <c r="AL113" s="16">
        <v>0</v>
      </c>
      <c r="AM113" s="16">
        <v>0</v>
      </c>
      <c r="AN113" s="16">
        <v>0</v>
      </c>
      <c r="AO113" s="16">
        <v>0</v>
      </c>
      <c r="AP113" s="16">
        <v>0</v>
      </c>
      <c r="AQ113" s="16">
        <v>0</v>
      </c>
      <c r="AR113" s="16">
        <v>0</v>
      </c>
      <c r="AS113" s="16">
        <v>0</v>
      </c>
      <c r="AT113" s="16">
        <v>0</v>
      </c>
      <c r="AU113" s="16">
        <v>0</v>
      </c>
      <c r="AV113" s="16">
        <v>0</v>
      </c>
      <c r="AW113" s="16">
        <v>0</v>
      </c>
      <c r="AX113" s="16">
        <v>0</v>
      </c>
    </row>
    <row r="114" spans="1:50" x14ac:dyDescent="0.25">
      <c r="A114" s="17" t="s">
        <v>289</v>
      </c>
      <c r="B114" s="13" t="s">
        <v>168</v>
      </c>
      <c r="C114" s="18">
        <v>0</v>
      </c>
      <c r="D114" s="18">
        <v>0</v>
      </c>
      <c r="E114" s="18">
        <v>0</v>
      </c>
      <c r="F114" s="18">
        <v>0</v>
      </c>
      <c r="G114" s="18">
        <v>0</v>
      </c>
      <c r="H114" s="18">
        <v>0</v>
      </c>
      <c r="I114" s="18">
        <v>0</v>
      </c>
      <c r="J114" s="18">
        <v>3.3999999999999998E-3</v>
      </c>
      <c r="K114" s="18">
        <v>4.9700000000000001E-2</v>
      </c>
      <c r="L114" s="18">
        <v>0.2326</v>
      </c>
      <c r="M114" s="18">
        <v>0.46129999999999999</v>
      </c>
      <c r="N114" s="18">
        <v>0.7419</v>
      </c>
      <c r="O114" s="18">
        <v>1.0479000000000001</v>
      </c>
      <c r="P114" s="18">
        <v>1.3576999999999999</v>
      </c>
      <c r="Q114" s="18">
        <v>1.6659999999999999</v>
      </c>
      <c r="R114" s="18">
        <v>1.9745999999999999</v>
      </c>
      <c r="S114" s="18">
        <v>2.2643</v>
      </c>
      <c r="T114" s="18">
        <v>2.5367000000000002</v>
      </c>
      <c r="U114" s="18">
        <v>2.7686000000000002</v>
      </c>
      <c r="V114" s="18">
        <v>2.9664000000000001</v>
      </c>
      <c r="W114" s="18">
        <v>3.14</v>
      </c>
      <c r="X114" s="18">
        <v>3.2833000000000001</v>
      </c>
      <c r="Y114" s="18">
        <v>3.3849999999999998</v>
      </c>
      <c r="Z114" s="18">
        <v>3.4296000000000002</v>
      </c>
      <c r="AA114" s="18">
        <v>3.4424999999999999</v>
      </c>
      <c r="AB114" s="18">
        <v>3.4182999999999999</v>
      </c>
      <c r="AC114" s="18">
        <v>3.3372000000000002</v>
      </c>
      <c r="AD114" s="18">
        <v>3.2132999999999998</v>
      </c>
      <c r="AE114" s="18">
        <v>3.0655000000000001</v>
      </c>
      <c r="AF114" s="18">
        <v>2.8782000000000001</v>
      </c>
      <c r="AG114" s="18">
        <v>2.6791</v>
      </c>
      <c r="AH114" s="18">
        <v>2.4396</v>
      </c>
      <c r="AI114" s="18">
        <v>2.1698</v>
      </c>
      <c r="AJ114" s="18">
        <v>1.8441000000000001</v>
      </c>
      <c r="AK114" s="18">
        <v>1.5391999999999999</v>
      </c>
      <c r="AL114" s="18">
        <v>1.2259</v>
      </c>
      <c r="AM114" s="18">
        <v>0.92290000000000005</v>
      </c>
      <c r="AN114" s="18">
        <v>0.63080000000000003</v>
      </c>
      <c r="AO114" s="18">
        <v>0.36830000000000002</v>
      </c>
      <c r="AP114" s="18">
        <v>0.1072</v>
      </c>
      <c r="AQ114" s="18">
        <v>1.9800000000000002E-2</v>
      </c>
      <c r="AR114" s="18">
        <v>0</v>
      </c>
      <c r="AS114" s="18">
        <v>0</v>
      </c>
      <c r="AT114" s="18">
        <v>0</v>
      </c>
      <c r="AU114" s="18">
        <v>0</v>
      </c>
      <c r="AV114" s="18">
        <v>0</v>
      </c>
      <c r="AW114" s="18">
        <v>0</v>
      </c>
      <c r="AX114" s="18">
        <v>0</v>
      </c>
    </row>
    <row r="115" spans="1:50" x14ac:dyDescent="0.25">
      <c r="A115" s="17" t="s">
        <v>291</v>
      </c>
      <c r="B115" s="13" t="s">
        <v>168</v>
      </c>
      <c r="C115" s="18">
        <v>0</v>
      </c>
      <c r="D115" s="18">
        <v>0</v>
      </c>
      <c r="E115" s="18">
        <v>0</v>
      </c>
      <c r="F115" s="18">
        <v>0</v>
      </c>
      <c r="G115" s="18">
        <v>0</v>
      </c>
      <c r="H115" s="18">
        <v>0</v>
      </c>
      <c r="I115" s="18">
        <v>0</v>
      </c>
      <c r="J115" s="18">
        <v>3.3999999999999998E-3</v>
      </c>
      <c r="K115" s="18">
        <v>4.9700000000000001E-2</v>
      </c>
      <c r="L115" s="18">
        <v>0.2326</v>
      </c>
      <c r="M115" s="18">
        <v>0.46129999999999999</v>
      </c>
      <c r="N115" s="18">
        <v>0.7419</v>
      </c>
      <c r="O115" s="18">
        <v>1.0479000000000001</v>
      </c>
      <c r="P115" s="18">
        <v>1.3576999999999999</v>
      </c>
      <c r="Q115" s="18">
        <v>1.6659999999999999</v>
      </c>
      <c r="R115" s="18">
        <v>1.9745999999999999</v>
      </c>
      <c r="S115" s="18">
        <v>2.2643</v>
      </c>
      <c r="T115" s="18">
        <v>2.5367000000000002</v>
      </c>
      <c r="U115" s="18">
        <v>2.7686000000000002</v>
      </c>
      <c r="V115" s="18">
        <v>2.9664000000000001</v>
      </c>
      <c r="W115" s="18">
        <v>3.14</v>
      </c>
      <c r="X115" s="18">
        <v>3.2833000000000001</v>
      </c>
      <c r="Y115" s="18">
        <v>3.3849999999999998</v>
      </c>
      <c r="Z115" s="18">
        <v>3.4296000000000002</v>
      </c>
      <c r="AA115" s="18">
        <v>3.4424999999999999</v>
      </c>
      <c r="AB115" s="18">
        <v>3.4182999999999999</v>
      </c>
      <c r="AC115" s="18">
        <v>3.3372000000000002</v>
      </c>
      <c r="AD115" s="18">
        <v>3.2132999999999998</v>
      </c>
      <c r="AE115" s="18">
        <v>3.0655000000000001</v>
      </c>
      <c r="AF115" s="18">
        <v>2.8782000000000001</v>
      </c>
      <c r="AG115" s="18">
        <v>2.6791</v>
      </c>
      <c r="AH115" s="18">
        <v>2.4396</v>
      </c>
      <c r="AI115" s="18">
        <v>2.1698</v>
      </c>
      <c r="AJ115" s="18">
        <v>1.8441000000000001</v>
      </c>
      <c r="AK115" s="18">
        <v>1.5391999999999999</v>
      </c>
      <c r="AL115" s="18">
        <v>1.2259</v>
      </c>
      <c r="AM115" s="18">
        <v>0.92290000000000005</v>
      </c>
      <c r="AN115" s="18">
        <v>0.63080000000000003</v>
      </c>
      <c r="AO115" s="18">
        <v>0.36830000000000002</v>
      </c>
      <c r="AP115" s="18">
        <v>0.1072</v>
      </c>
      <c r="AQ115" s="18">
        <v>1.9800000000000002E-2</v>
      </c>
      <c r="AR115" s="18">
        <v>0</v>
      </c>
      <c r="AS115" s="18">
        <v>0</v>
      </c>
      <c r="AT115" s="18">
        <v>0</v>
      </c>
      <c r="AU115" s="18">
        <v>0</v>
      </c>
      <c r="AV115" s="18">
        <v>0</v>
      </c>
      <c r="AW115" s="18">
        <v>0</v>
      </c>
      <c r="AX115" s="18">
        <v>0</v>
      </c>
    </row>
    <row r="116" spans="1:50" x14ac:dyDescent="0.25">
      <c r="A116" s="17" t="s">
        <v>293</v>
      </c>
      <c r="B116" s="13" t="s">
        <v>168</v>
      </c>
      <c r="C116" s="18">
        <v>0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  <c r="I116" s="18">
        <v>0</v>
      </c>
      <c r="J116" s="18">
        <v>3.3999999999999998E-3</v>
      </c>
      <c r="K116" s="18">
        <v>4.9700000000000001E-2</v>
      </c>
      <c r="L116" s="18">
        <v>0.2326</v>
      </c>
      <c r="M116" s="18">
        <v>0.46129999999999999</v>
      </c>
      <c r="N116" s="18">
        <v>0.7419</v>
      </c>
      <c r="O116" s="18">
        <v>1.0479000000000001</v>
      </c>
      <c r="P116" s="18">
        <v>1.3576999999999999</v>
      </c>
      <c r="Q116" s="18">
        <v>1.6659999999999999</v>
      </c>
      <c r="R116" s="18">
        <v>1.9745999999999999</v>
      </c>
      <c r="S116" s="18">
        <v>2.2643</v>
      </c>
      <c r="T116" s="18">
        <v>2.5367000000000002</v>
      </c>
      <c r="U116" s="18">
        <v>2.7686000000000002</v>
      </c>
      <c r="V116" s="18">
        <v>2.9664000000000001</v>
      </c>
      <c r="W116" s="18">
        <v>3.14</v>
      </c>
      <c r="X116" s="18">
        <v>3.2833000000000001</v>
      </c>
      <c r="Y116" s="18">
        <v>3.3849999999999998</v>
      </c>
      <c r="Z116" s="18">
        <v>3.4296000000000002</v>
      </c>
      <c r="AA116" s="18">
        <v>3.4424999999999999</v>
      </c>
      <c r="AB116" s="18">
        <v>3.4182999999999999</v>
      </c>
      <c r="AC116" s="18">
        <v>3.3372000000000002</v>
      </c>
      <c r="AD116" s="18">
        <v>3.2132999999999998</v>
      </c>
      <c r="AE116" s="18">
        <v>3.0655000000000001</v>
      </c>
      <c r="AF116" s="18">
        <v>2.8782000000000001</v>
      </c>
      <c r="AG116" s="18">
        <v>2.6791</v>
      </c>
      <c r="AH116" s="18">
        <v>2.4396</v>
      </c>
      <c r="AI116" s="18">
        <v>2.1698</v>
      </c>
      <c r="AJ116" s="18">
        <v>1.8441000000000001</v>
      </c>
      <c r="AK116" s="18">
        <v>1.5391999999999999</v>
      </c>
      <c r="AL116" s="18">
        <v>1.2259</v>
      </c>
      <c r="AM116" s="18">
        <v>0.92290000000000005</v>
      </c>
      <c r="AN116" s="18">
        <v>0.63080000000000003</v>
      </c>
      <c r="AO116" s="18">
        <v>0.36830000000000002</v>
      </c>
      <c r="AP116" s="18">
        <v>0.1072</v>
      </c>
      <c r="AQ116" s="18">
        <v>1.9800000000000002E-2</v>
      </c>
      <c r="AR116" s="18">
        <v>0</v>
      </c>
      <c r="AS116" s="18">
        <v>0</v>
      </c>
      <c r="AT116" s="18">
        <v>0</v>
      </c>
      <c r="AU116" s="18">
        <v>0</v>
      </c>
      <c r="AV116" s="18">
        <v>0</v>
      </c>
      <c r="AW116" s="18">
        <v>0</v>
      </c>
      <c r="AX116" s="18">
        <v>0</v>
      </c>
    </row>
    <row r="117" spans="1:50" x14ac:dyDescent="0.25">
      <c r="A117" s="17" t="s">
        <v>295</v>
      </c>
      <c r="B117" s="13" t="s">
        <v>168</v>
      </c>
      <c r="C117" s="18">
        <v>0</v>
      </c>
      <c r="D117" s="18">
        <v>0</v>
      </c>
      <c r="E117" s="18">
        <v>0</v>
      </c>
      <c r="F117" s="18">
        <v>0</v>
      </c>
      <c r="G117" s="18">
        <v>0</v>
      </c>
      <c r="H117" s="18">
        <v>0</v>
      </c>
      <c r="I117" s="18">
        <v>0</v>
      </c>
      <c r="J117" s="18">
        <v>1.6999999999999999E-3</v>
      </c>
      <c r="K117" s="18">
        <v>2.4899999999999999E-2</v>
      </c>
      <c r="L117" s="18">
        <v>0.1163</v>
      </c>
      <c r="M117" s="18">
        <v>0.23069999999999999</v>
      </c>
      <c r="N117" s="18">
        <v>0.37090000000000001</v>
      </c>
      <c r="O117" s="18">
        <v>0.52400000000000002</v>
      </c>
      <c r="P117" s="18">
        <v>0.67889999999999995</v>
      </c>
      <c r="Q117" s="18">
        <v>0.83299999999999996</v>
      </c>
      <c r="R117" s="18">
        <v>0.98729999999999996</v>
      </c>
      <c r="S117" s="18">
        <v>1.1322000000000001</v>
      </c>
      <c r="T117" s="18">
        <v>1.2683</v>
      </c>
      <c r="U117" s="18">
        <v>1.3843000000000001</v>
      </c>
      <c r="V117" s="18">
        <v>1.4832000000000001</v>
      </c>
      <c r="W117" s="18">
        <v>1.57</v>
      </c>
      <c r="X117" s="18">
        <v>1.6416999999999999</v>
      </c>
      <c r="Y117" s="18">
        <v>1.6924999999999999</v>
      </c>
      <c r="Z117" s="18">
        <v>1.7148000000000001</v>
      </c>
      <c r="AA117" s="18">
        <v>1.7212000000000001</v>
      </c>
      <c r="AB117" s="18">
        <v>1.7092000000000001</v>
      </c>
      <c r="AC117" s="18">
        <v>1.6686000000000001</v>
      </c>
      <c r="AD117" s="18">
        <v>1.6067</v>
      </c>
      <c r="AE117" s="18">
        <v>1.5327999999999999</v>
      </c>
      <c r="AF117" s="18">
        <v>1.4391</v>
      </c>
      <c r="AG117" s="18">
        <v>1.3395999999999999</v>
      </c>
      <c r="AH117" s="18">
        <v>1.2198</v>
      </c>
      <c r="AI117" s="18">
        <v>1.0849</v>
      </c>
      <c r="AJ117" s="18">
        <v>0.92200000000000004</v>
      </c>
      <c r="AK117" s="18">
        <v>0.76959999999999995</v>
      </c>
      <c r="AL117" s="18">
        <v>0.61299999999999999</v>
      </c>
      <c r="AM117" s="18">
        <v>0.46150000000000002</v>
      </c>
      <c r="AN117" s="18">
        <v>0.31540000000000001</v>
      </c>
      <c r="AO117" s="18">
        <v>0.1842</v>
      </c>
      <c r="AP117" s="18">
        <v>5.3600000000000002E-2</v>
      </c>
      <c r="AQ117" s="18">
        <v>9.9000000000000008E-3</v>
      </c>
      <c r="AR117" s="18">
        <v>0</v>
      </c>
      <c r="AS117" s="18">
        <v>0</v>
      </c>
      <c r="AT117" s="18">
        <v>0</v>
      </c>
      <c r="AU117" s="18">
        <v>0</v>
      </c>
      <c r="AV117" s="18">
        <v>0</v>
      </c>
      <c r="AW117" s="18">
        <v>0</v>
      </c>
      <c r="AX117" s="18">
        <v>0</v>
      </c>
    </row>
    <row r="118" spans="1:50" x14ac:dyDescent="0.25">
      <c r="A118" s="8" t="s">
        <v>152</v>
      </c>
      <c r="B118" s="10" t="s">
        <v>57</v>
      </c>
      <c r="C118" s="16">
        <v>0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  <c r="AK118" s="16">
        <v>0</v>
      </c>
      <c r="AL118" s="16">
        <v>0</v>
      </c>
      <c r="AM118" s="16">
        <v>0</v>
      </c>
      <c r="AN118" s="16">
        <v>0</v>
      </c>
      <c r="AO118" s="16">
        <v>0</v>
      </c>
      <c r="AP118" s="16">
        <v>0</v>
      </c>
      <c r="AQ118" s="16">
        <v>0</v>
      </c>
      <c r="AR118" s="16">
        <v>0</v>
      </c>
      <c r="AS118" s="16">
        <v>0</v>
      </c>
      <c r="AT118" s="16">
        <v>0</v>
      </c>
      <c r="AU118" s="16">
        <v>0</v>
      </c>
      <c r="AV118" s="16">
        <v>0</v>
      </c>
      <c r="AW118" s="16">
        <v>0</v>
      </c>
      <c r="AX118" s="16">
        <v>0</v>
      </c>
    </row>
    <row r="119" spans="1:50" x14ac:dyDescent="0.25">
      <c r="A119" s="17" t="s">
        <v>297</v>
      </c>
      <c r="B119" s="13" t="s">
        <v>168</v>
      </c>
      <c r="C119" s="18">
        <v>0</v>
      </c>
      <c r="D119" s="18">
        <v>0</v>
      </c>
      <c r="E119" s="18">
        <v>0</v>
      </c>
      <c r="F119" s="18">
        <v>0</v>
      </c>
      <c r="G119" s="18">
        <v>0</v>
      </c>
      <c r="H119" s="18">
        <v>0</v>
      </c>
      <c r="I119" s="18">
        <v>0</v>
      </c>
      <c r="J119" s="18">
        <v>2.2000000000000001E-3</v>
      </c>
      <c r="K119" s="18">
        <v>3.1099999999999999E-2</v>
      </c>
      <c r="L119" s="18">
        <v>0.1454</v>
      </c>
      <c r="M119" s="18">
        <v>0.2883</v>
      </c>
      <c r="N119" s="18">
        <v>0.4637</v>
      </c>
      <c r="O119" s="18">
        <v>0.65490000000000004</v>
      </c>
      <c r="P119" s="18">
        <v>0.84860000000000002</v>
      </c>
      <c r="Q119" s="18">
        <v>1.0411999999999999</v>
      </c>
      <c r="R119" s="18">
        <v>1.2341</v>
      </c>
      <c r="S119" s="18">
        <v>1.4152</v>
      </c>
      <c r="T119" s="18">
        <v>1.5853999999999999</v>
      </c>
      <c r="U119" s="18">
        <v>1.7303999999999999</v>
      </c>
      <c r="V119" s="18">
        <v>1.8540000000000001</v>
      </c>
      <c r="W119" s="18">
        <v>1.9624999999999999</v>
      </c>
      <c r="X119" s="18">
        <v>2.0520999999999998</v>
      </c>
      <c r="Y119" s="18">
        <v>2.1156000000000001</v>
      </c>
      <c r="Z119" s="18">
        <v>2.1435</v>
      </c>
      <c r="AA119" s="18">
        <v>2.1516000000000002</v>
      </c>
      <c r="AB119" s="18">
        <v>2.1364999999999998</v>
      </c>
      <c r="AC119" s="18">
        <v>2.0857000000000001</v>
      </c>
      <c r="AD119" s="18">
        <v>2.0083000000000002</v>
      </c>
      <c r="AE119" s="18">
        <v>1.9158999999999999</v>
      </c>
      <c r="AF119" s="18">
        <v>1.7988999999999999</v>
      </c>
      <c r="AG119" s="18">
        <v>1.6745000000000001</v>
      </c>
      <c r="AH119" s="18">
        <v>1.5246999999999999</v>
      </c>
      <c r="AI119" s="18">
        <v>1.3561000000000001</v>
      </c>
      <c r="AJ119" s="18">
        <v>1.1525000000000001</v>
      </c>
      <c r="AK119" s="18">
        <v>0.96199999999999997</v>
      </c>
      <c r="AL119" s="18">
        <v>0.76619999999999999</v>
      </c>
      <c r="AM119" s="18">
        <v>0.57679999999999998</v>
      </c>
      <c r="AN119" s="18">
        <v>0.39419999999999999</v>
      </c>
      <c r="AO119" s="18">
        <v>0.23019999999999999</v>
      </c>
      <c r="AP119" s="18">
        <v>6.7000000000000004E-2</v>
      </c>
      <c r="AQ119" s="18">
        <v>1.24E-2</v>
      </c>
      <c r="AR119" s="18">
        <v>0</v>
      </c>
      <c r="AS119" s="18">
        <v>0</v>
      </c>
      <c r="AT119" s="18">
        <v>0</v>
      </c>
      <c r="AU119" s="18">
        <v>0</v>
      </c>
      <c r="AV119" s="18">
        <v>0</v>
      </c>
      <c r="AW119" s="18">
        <v>0</v>
      </c>
      <c r="AX119" s="18">
        <v>0</v>
      </c>
    </row>
    <row r="120" spans="1:50" x14ac:dyDescent="0.25">
      <c r="A120" s="17" t="s">
        <v>299</v>
      </c>
      <c r="B120" s="13" t="s">
        <v>168</v>
      </c>
      <c r="C120" s="18">
        <v>0</v>
      </c>
      <c r="D120" s="18">
        <v>0</v>
      </c>
      <c r="E120" s="18">
        <v>0</v>
      </c>
      <c r="F120" s="18">
        <v>0</v>
      </c>
      <c r="G120" s="18">
        <v>0</v>
      </c>
      <c r="H120" s="18">
        <v>0</v>
      </c>
      <c r="I120" s="18">
        <v>0</v>
      </c>
      <c r="J120" s="18">
        <v>2.2000000000000001E-3</v>
      </c>
      <c r="K120" s="18">
        <v>3.1099999999999999E-2</v>
      </c>
      <c r="L120" s="18">
        <v>0.1454</v>
      </c>
      <c r="M120" s="18">
        <v>0.2883</v>
      </c>
      <c r="N120" s="18">
        <v>0.4637</v>
      </c>
      <c r="O120" s="18">
        <v>0.65490000000000004</v>
      </c>
      <c r="P120" s="18">
        <v>0.84860000000000002</v>
      </c>
      <c r="Q120" s="18">
        <v>1.0411999999999999</v>
      </c>
      <c r="R120" s="18">
        <v>1.2341</v>
      </c>
      <c r="S120" s="18">
        <v>1.4152</v>
      </c>
      <c r="T120" s="18">
        <v>1.5853999999999999</v>
      </c>
      <c r="U120" s="18">
        <v>1.7303999999999999</v>
      </c>
      <c r="V120" s="18">
        <v>1.8540000000000001</v>
      </c>
      <c r="W120" s="18">
        <v>1.9624999999999999</v>
      </c>
      <c r="X120" s="18">
        <v>2.0520999999999998</v>
      </c>
      <c r="Y120" s="18">
        <v>2.1156000000000001</v>
      </c>
      <c r="Z120" s="18">
        <v>2.1435</v>
      </c>
      <c r="AA120" s="18">
        <v>2.1516000000000002</v>
      </c>
      <c r="AB120" s="18">
        <v>2.1364999999999998</v>
      </c>
      <c r="AC120" s="18">
        <v>2.0857000000000001</v>
      </c>
      <c r="AD120" s="18">
        <v>2.0083000000000002</v>
      </c>
      <c r="AE120" s="18">
        <v>1.9158999999999999</v>
      </c>
      <c r="AF120" s="18">
        <v>1.7988999999999999</v>
      </c>
      <c r="AG120" s="18">
        <v>1.6745000000000001</v>
      </c>
      <c r="AH120" s="18">
        <v>1.5246999999999999</v>
      </c>
      <c r="AI120" s="18">
        <v>1.3561000000000001</v>
      </c>
      <c r="AJ120" s="18">
        <v>1.1525000000000001</v>
      </c>
      <c r="AK120" s="18">
        <v>0.96199999999999997</v>
      </c>
      <c r="AL120" s="18">
        <v>0.76619999999999999</v>
      </c>
      <c r="AM120" s="18">
        <v>0.57679999999999998</v>
      </c>
      <c r="AN120" s="18">
        <v>0.39419999999999999</v>
      </c>
      <c r="AO120" s="18">
        <v>0.23019999999999999</v>
      </c>
      <c r="AP120" s="18">
        <v>6.7000000000000004E-2</v>
      </c>
      <c r="AQ120" s="18">
        <v>1.24E-2</v>
      </c>
      <c r="AR120" s="18">
        <v>0</v>
      </c>
      <c r="AS120" s="18">
        <v>0</v>
      </c>
      <c r="AT120" s="18">
        <v>0</v>
      </c>
      <c r="AU120" s="18">
        <v>0</v>
      </c>
      <c r="AV120" s="18">
        <v>0</v>
      </c>
      <c r="AW120" s="18">
        <v>0</v>
      </c>
      <c r="AX120" s="18">
        <v>0</v>
      </c>
    </row>
    <row r="121" spans="1:50" x14ac:dyDescent="0.25">
      <c r="A121" s="17" t="s">
        <v>301</v>
      </c>
      <c r="B121" s="13" t="s">
        <v>168</v>
      </c>
      <c r="C121" s="18">
        <v>0</v>
      </c>
      <c r="D121" s="18">
        <v>0</v>
      </c>
      <c r="E121" s="18">
        <v>0</v>
      </c>
      <c r="F121" s="18">
        <v>0</v>
      </c>
      <c r="G121" s="18">
        <v>0</v>
      </c>
      <c r="H121" s="18">
        <v>0</v>
      </c>
      <c r="I121" s="18">
        <v>0</v>
      </c>
      <c r="J121" s="18">
        <v>3.0000000000000001E-3</v>
      </c>
      <c r="K121" s="18">
        <v>4.3499999999999997E-2</v>
      </c>
      <c r="L121" s="18">
        <v>0.20349999999999999</v>
      </c>
      <c r="M121" s="18">
        <v>0.4037</v>
      </c>
      <c r="N121" s="18">
        <v>0.64910000000000001</v>
      </c>
      <c r="O121" s="18">
        <v>0.91690000000000005</v>
      </c>
      <c r="P121" s="18">
        <v>1.1879999999999999</v>
      </c>
      <c r="Q121" s="18">
        <v>1.4577</v>
      </c>
      <c r="R121" s="18">
        <v>1.7278</v>
      </c>
      <c r="S121" s="18">
        <v>1.9813000000000001</v>
      </c>
      <c r="T121" s="18">
        <v>2.2195999999999998</v>
      </c>
      <c r="U121" s="18">
        <v>2.4224999999999999</v>
      </c>
      <c r="V121" s="18">
        <v>2.5956000000000001</v>
      </c>
      <c r="W121" s="18">
        <v>2.7475000000000001</v>
      </c>
      <c r="X121" s="18">
        <v>2.8729</v>
      </c>
      <c r="Y121" s="18">
        <v>2.9619</v>
      </c>
      <c r="Z121" s="18">
        <v>3.0009000000000001</v>
      </c>
      <c r="AA121" s="18">
        <v>3.0122</v>
      </c>
      <c r="AB121" s="18">
        <v>2.9910000000000001</v>
      </c>
      <c r="AC121" s="18">
        <v>2.92</v>
      </c>
      <c r="AD121" s="18">
        <v>2.8117000000000001</v>
      </c>
      <c r="AE121" s="18">
        <v>2.6823000000000001</v>
      </c>
      <c r="AF121" s="18">
        <v>2.5184000000000002</v>
      </c>
      <c r="AG121" s="18">
        <v>2.3441999999999998</v>
      </c>
      <c r="AH121" s="18">
        <v>2.1345999999999998</v>
      </c>
      <c r="AI121" s="18">
        <v>1.8986000000000001</v>
      </c>
      <c r="AJ121" s="18">
        <v>1.6135999999999999</v>
      </c>
      <c r="AK121" s="18">
        <v>1.3468</v>
      </c>
      <c r="AL121" s="18">
        <v>1.0727</v>
      </c>
      <c r="AM121" s="18">
        <v>0.80759999999999998</v>
      </c>
      <c r="AN121" s="18">
        <v>0.55189999999999995</v>
      </c>
      <c r="AO121" s="18">
        <v>0.32229999999999998</v>
      </c>
      <c r="AP121" s="18">
        <v>9.3799999999999994E-2</v>
      </c>
      <c r="AQ121" s="18">
        <v>1.7299999999999999E-2</v>
      </c>
      <c r="AR121" s="18">
        <v>0</v>
      </c>
      <c r="AS121" s="18">
        <v>0</v>
      </c>
      <c r="AT121" s="18">
        <v>0</v>
      </c>
      <c r="AU121" s="18">
        <v>0</v>
      </c>
      <c r="AV121" s="18">
        <v>0</v>
      </c>
      <c r="AW121" s="18">
        <v>0</v>
      </c>
      <c r="AX121" s="18">
        <v>0</v>
      </c>
    </row>
    <row r="122" spans="1:50" x14ac:dyDescent="0.25">
      <c r="A122" s="8" t="s">
        <v>154</v>
      </c>
      <c r="B122" s="10" t="s">
        <v>57</v>
      </c>
      <c r="C122" s="16">
        <v>0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  <c r="AK122" s="16">
        <v>0</v>
      </c>
      <c r="AL122" s="16">
        <v>0</v>
      </c>
      <c r="AM122" s="16">
        <v>0</v>
      </c>
      <c r="AN122" s="16">
        <v>0</v>
      </c>
      <c r="AO122" s="16">
        <v>0</v>
      </c>
      <c r="AP122" s="16">
        <v>0</v>
      </c>
      <c r="AQ122" s="16">
        <v>0</v>
      </c>
      <c r="AR122" s="16">
        <v>0</v>
      </c>
      <c r="AS122" s="16">
        <v>0</v>
      </c>
      <c r="AT122" s="16">
        <v>0</v>
      </c>
      <c r="AU122" s="16">
        <v>0</v>
      </c>
      <c r="AV122" s="16">
        <v>0</v>
      </c>
      <c r="AW122" s="16">
        <v>0</v>
      </c>
      <c r="AX122" s="16">
        <v>0</v>
      </c>
    </row>
    <row r="123" spans="1:50" x14ac:dyDescent="0.25">
      <c r="A123" s="8" t="s">
        <v>156</v>
      </c>
      <c r="B123" s="10" t="s">
        <v>57</v>
      </c>
      <c r="C123" s="16">
        <v>0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  <c r="AK123" s="16">
        <v>0</v>
      </c>
      <c r="AL123" s="16">
        <v>0</v>
      </c>
      <c r="AM123" s="16">
        <v>0</v>
      </c>
      <c r="AN123" s="16">
        <v>0</v>
      </c>
      <c r="AO123" s="16">
        <v>0</v>
      </c>
      <c r="AP123" s="16">
        <v>0</v>
      </c>
      <c r="AQ123" s="16">
        <v>0</v>
      </c>
      <c r="AR123" s="16">
        <v>0</v>
      </c>
      <c r="AS123" s="16">
        <v>0</v>
      </c>
      <c r="AT123" s="16">
        <v>0</v>
      </c>
      <c r="AU123" s="16">
        <v>0</v>
      </c>
      <c r="AV123" s="16">
        <v>0</v>
      </c>
      <c r="AW123" s="16">
        <v>0</v>
      </c>
      <c r="AX123" s="16">
        <v>0</v>
      </c>
    </row>
    <row r="124" spans="1:50" x14ac:dyDescent="0.25">
      <c r="A124" s="8" t="s">
        <v>158</v>
      </c>
      <c r="B124" s="10" t="s">
        <v>57</v>
      </c>
      <c r="C124" s="16">
        <v>0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  <c r="AK124" s="16">
        <v>0</v>
      </c>
      <c r="AL124" s="16">
        <v>0</v>
      </c>
      <c r="AM124" s="16">
        <v>0</v>
      </c>
      <c r="AN124" s="16">
        <v>0</v>
      </c>
      <c r="AO124" s="16">
        <v>0</v>
      </c>
      <c r="AP124" s="16">
        <v>0</v>
      </c>
      <c r="AQ124" s="16">
        <v>0</v>
      </c>
      <c r="AR124" s="16">
        <v>0</v>
      </c>
      <c r="AS124" s="16">
        <v>0</v>
      </c>
      <c r="AT124" s="16">
        <v>0</v>
      </c>
      <c r="AU124" s="16">
        <v>0</v>
      </c>
      <c r="AV124" s="16">
        <v>0</v>
      </c>
      <c r="AW124" s="16">
        <v>0</v>
      </c>
      <c r="AX124" s="16">
        <v>0</v>
      </c>
    </row>
    <row r="125" spans="1:50" x14ac:dyDescent="0.25">
      <c r="A125" s="17" t="s">
        <v>303</v>
      </c>
      <c r="B125" s="13" t="s">
        <v>168</v>
      </c>
      <c r="C125" s="18">
        <v>0</v>
      </c>
      <c r="D125" s="18">
        <v>0</v>
      </c>
      <c r="E125" s="18">
        <v>0</v>
      </c>
      <c r="F125" s="18">
        <v>0</v>
      </c>
      <c r="G125" s="18">
        <v>0</v>
      </c>
      <c r="H125" s="18">
        <v>0</v>
      </c>
      <c r="I125" s="18">
        <v>0</v>
      </c>
      <c r="J125" s="18">
        <v>3.3999999999999998E-3</v>
      </c>
      <c r="K125" s="18">
        <v>4.9700000000000001E-2</v>
      </c>
      <c r="L125" s="18">
        <v>0.2326</v>
      </c>
      <c r="M125" s="18">
        <v>0.46129999999999999</v>
      </c>
      <c r="N125" s="18">
        <v>0.7419</v>
      </c>
      <c r="O125" s="18">
        <v>1.0479000000000001</v>
      </c>
      <c r="P125" s="18">
        <v>1.3576999999999999</v>
      </c>
      <c r="Q125" s="18">
        <v>1.6659999999999999</v>
      </c>
      <c r="R125" s="18">
        <v>1.9745999999999999</v>
      </c>
      <c r="S125" s="18">
        <v>2.2643</v>
      </c>
      <c r="T125" s="18">
        <v>2.5367000000000002</v>
      </c>
      <c r="U125" s="18">
        <v>2.7686000000000002</v>
      </c>
      <c r="V125" s="18">
        <v>2.9664000000000001</v>
      </c>
      <c r="W125" s="18">
        <v>3.14</v>
      </c>
      <c r="X125" s="18">
        <v>3.2833000000000001</v>
      </c>
      <c r="Y125" s="18">
        <v>3.3849999999999998</v>
      </c>
      <c r="Z125" s="18">
        <v>3.4296000000000002</v>
      </c>
      <c r="AA125" s="18">
        <v>3.4424999999999999</v>
      </c>
      <c r="AB125" s="18">
        <v>3.4182999999999999</v>
      </c>
      <c r="AC125" s="18">
        <v>3.3372000000000002</v>
      </c>
      <c r="AD125" s="18">
        <v>3.2132999999999998</v>
      </c>
      <c r="AE125" s="18">
        <v>3.0655000000000001</v>
      </c>
      <c r="AF125" s="18">
        <v>2.8782000000000001</v>
      </c>
      <c r="AG125" s="18">
        <v>2.6791</v>
      </c>
      <c r="AH125" s="18">
        <v>2.4396</v>
      </c>
      <c r="AI125" s="18">
        <v>2.1698</v>
      </c>
      <c r="AJ125" s="18">
        <v>1.8441000000000001</v>
      </c>
      <c r="AK125" s="18">
        <v>1.5391999999999999</v>
      </c>
      <c r="AL125" s="18">
        <v>1.2259</v>
      </c>
      <c r="AM125" s="18">
        <v>0.92290000000000005</v>
      </c>
      <c r="AN125" s="18">
        <v>0.63080000000000003</v>
      </c>
      <c r="AO125" s="18">
        <v>0.36830000000000002</v>
      </c>
      <c r="AP125" s="18">
        <v>0.1072</v>
      </c>
      <c r="AQ125" s="18">
        <v>1.9800000000000002E-2</v>
      </c>
      <c r="AR125" s="18">
        <v>0</v>
      </c>
      <c r="AS125" s="18">
        <v>0</v>
      </c>
      <c r="AT125" s="18">
        <v>0</v>
      </c>
      <c r="AU125" s="18">
        <v>0</v>
      </c>
      <c r="AV125" s="18">
        <v>0</v>
      </c>
      <c r="AW125" s="18">
        <v>0</v>
      </c>
      <c r="AX125" s="18">
        <v>0</v>
      </c>
    </row>
    <row r="126" spans="1:50" x14ac:dyDescent="0.25">
      <c r="A126" s="17" t="s">
        <v>305</v>
      </c>
      <c r="B126" s="13" t="s">
        <v>168</v>
      </c>
      <c r="C126" s="18">
        <v>0</v>
      </c>
      <c r="D126" s="18">
        <v>0</v>
      </c>
      <c r="E126" s="18">
        <v>0</v>
      </c>
      <c r="F126" s="18">
        <v>0</v>
      </c>
      <c r="G126" s="18">
        <v>0</v>
      </c>
      <c r="H126" s="18">
        <v>0</v>
      </c>
      <c r="I126" s="18">
        <v>0</v>
      </c>
      <c r="J126" s="18">
        <v>1.6999999999999999E-3</v>
      </c>
      <c r="K126" s="18">
        <v>2.4899999999999999E-2</v>
      </c>
      <c r="L126" s="18">
        <v>0.1163</v>
      </c>
      <c r="M126" s="18">
        <v>0.23069999999999999</v>
      </c>
      <c r="N126" s="18">
        <v>0.37090000000000001</v>
      </c>
      <c r="O126" s="18">
        <v>0.52400000000000002</v>
      </c>
      <c r="P126" s="18">
        <v>0.67889999999999995</v>
      </c>
      <c r="Q126" s="18">
        <v>0.83299999999999996</v>
      </c>
      <c r="R126" s="18">
        <v>0.98729999999999996</v>
      </c>
      <c r="S126" s="18">
        <v>1.1322000000000001</v>
      </c>
      <c r="T126" s="18">
        <v>1.2683</v>
      </c>
      <c r="U126" s="18">
        <v>1.3843000000000001</v>
      </c>
      <c r="V126" s="18">
        <v>1.4832000000000001</v>
      </c>
      <c r="W126" s="18">
        <v>1.57</v>
      </c>
      <c r="X126" s="18">
        <v>1.6416999999999999</v>
      </c>
      <c r="Y126" s="18">
        <v>1.6924999999999999</v>
      </c>
      <c r="Z126" s="18">
        <v>1.7148000000000001</v>
      </c>
      <c r="AA126" s="18">
        <v>1.7212000000000001</v>
      </c>
      <c r="AB126" s="18">
        <v>1.7092000000000001</v>
      </c>
      <c r="AC126" s="18">
        <v>1.6686000000000001</v>
      </c>
      <c r="AD126" s="18">
        <v>1.6067</v>
      </c>
      <c r="AE126" s="18">
        <v>1.5327999999999999</v>
      </c>
      <c r="AF126" s="18">
        <v>1.4391</v>
      </c>
      <c r="AG126" s="18">
        <v>1.3395999999999999</v>
      </c>
      <c r="AH126" s="18">
        <v>1.2198</v>
      </c>
      <c r="AI126" s="18">
        <v>1.0849</v>
      </c>
      <c r="AJ126" s="18">
        <v>0.92200000000000004</v>
      </c>
      <c r="AK126" s="18">
        <v>0.76959999999999995</v>
      </c>
      <c r="AL126" s="18">
        <v>0.61299999999999999</v>
      </c>
      <c r="AM126" s="18">
        <v>0.46150000000000002</v>
      </c>
      <c r="AN126" s="18">
        <v>0.31540000000000001</v>
      </c>
      <c r="AO126" s="18">
        <v>0.1842</v>
      </c>
      <c r="AP126" s="18">
        <v>5.3600000000000002E-2</v>
      </c>
      <c r="AQ126" s="18">
        <v>9.9000000000000008E-3</v>
      </c>
      <c r="AR126" s="18">
        <v>0</v>
      </c>
      <c r="AS126" s="18">
        <v>0</v>
      </c>
      <c r="AT126" s="18">
        <v>0</v>
      </c>
      <c r="AU126" s="18">
        <v>0</v>
      </c>
      <c r="AV126" s="18">
        <v>0</v>
      </c>
      <c r="AW126" s="18">
        <v>0</v>
      </c>
      <c r="AX126" s="18">
        <v>0</v>
      </c>
    </row>
    <row r="127" spans="1:50" x14ac:dyDescent="0.25">
      <c r="A127" s="17" t="s">
        <v>307</v>
      </c>
      <c r="B127" s="13" t="s">
        <v>168</v>
      </c>
      <c r="C127" s="18">
        <v>0</v>
      </c>
      <c r="D127" s="18">
        <v>0</v>
      </c>
      <c r="E127" s="18">
        <v>0</v>
      </c>
      <c r="F127" s="18">
        <v>0</v>
      </c>
      <c r="G127" s="18">
        <v>0</v>
      </c>
      <c r="H127" s="18">
        <v>0</v>
      </c>
      <c r="I127" s="18">
        <v>0</v>
      </c>
      <c r="J127" s="18">
        <v>8.9999999999999998E-4</v>
      </c>
      <c r="K127" s="18">
        <v>1.24E-2</v>
      </c>
      <c r="L127" s="18">
        <v>5.8099999999999999E-2</v>
      </c>
      <c r="M127" s="18">
        <v>0.1153</v>
      </c>
      <c r="N127" s="18">
        <v>0.1855</v>
      </c>
      <c r="O127" s="18">
        <v>0.26200000000000001</v>
      </c>
      <c r="P127" s="18">
        <v>0.33939999999999998</v>
      </c>
      <c r="Q127" s="18">
        <v>0.41649999999999998</v>
      </c>
      <c r="R127" s="18">
        <v>0.49370000000000003</v>
      </c>
      <c r="S127" s="18">
        <v>0.56610000000000005</v>
      </c>
      <c r="T127" s="18">
        <v>0.63419999999999999</v>
      </c>
      <c r="U127" s="18">
        <v>0.69210000000000005</v>
      </c>
      <c r="V127" s="18">
        <v>0.74160000000000004</v>
      </c>
      <c r="W127" s="18">
        <v>0.78500000000000003</v>
      </c>
      <c r="X127" s="18">
        <v>0.82079999999999997</v>
      </c>
      <c r="Y127" s="18">
        <v>0.84619999999999995</v>
      </c>
      <c r="Z127" s="18">
        <v>0.85740000000000005</v>
      </c>
      <c r="AA127" s="18">
        <v>0.86060000000000003</v>
      </c>
      <c r="AB127" s="18">
        <v>0.85460000000000003</v>
      </c>
      <c r="AC127" s="18">
        <v>0.83430000000000004</v>
      </c>
      <c r="AD127" s="18">
        <v>0.80330000000000001</v>
      </c>
      <c r="AE127" s="18">
        <v>0.76639999999999997</v>
      </c>
      <c r="AF127" s="18">
        <v>0.71950000000000003</v>
      </c>
      <c r="AG127" s="18">
        <v>0.66979999999999995</v>
      </c>
      <c r="AH127" s="18">
        <v>0.6099</v>
      </c>
      <c r="AI127" s="18">
        <v>0.54249999999999998</v>
      </c>
      <c r="AJ127" s="18">
        <v>0.46100000000000002</v>
      </c>
      <c r="AK127" s="18">
        <v>0.38479999999999998</v>
      </c>
      <c r="AL127" s="18">
        <v>0.30649999999999999</v>
      </c>
      <c r="AM127" s="18">
        <v>0.23069999999999999</v>
      </c>
      <c r="AN127" s="18">
        <v>0.15770000000000001</v>
      </c>
      <c r="AO127" s="18">
        <v>9.2100000000000001E-2</v>
      </c>
      <c r="AP127" s="18">
        <v>2.6800000000000001E-2</v>
      </c>
      <c r="AQ127" s="18">
        <v>4.8999999999999998E-3</v>
      </c>
      <c r="AR127" s="18">
        <v>0</v>
      </c>
      <c r="AS127" s="18">
        <v>0</v>
      </c>
      <c r="AT127" s="18">
        <v>0</v>
      </c>
      <c r="AU127" s="18">
        <v>0</v>
      </c>
      <c r="AV127" s="18">
        <v>0</v>
      </c>
      <c r="AW127" s="18">
        <v>0</v>
      </c>
      <c r="AX127" s="18">
        <v>0</v>
      </c>
    </row>
    <row r="128" spans="1:50" x14ac:dyDescent="0.25">
      <c r="A128" s="8" t="s">
        <v>160</v>
      </c>
      <c r="B128" s="10" t="s">
        <v>57</v>
      </c>
      <c r="C128" s="16">
        <v>0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  <c r="AK128" s="16">
        <v>0</v>
      </c>
      <c r="AL128" s="16">
        <v>0</v>
      </c>
      <c r="AM128" s="16">
        <v>0</v>
      </c>
      <c r="AN128" s="16">
        <v>0</v>
      </c>
      <c r="AO128" s="16">
        <v>0</v>
      </c>
      <c r="AP128" s="16">
        <v>0</v>
      </c>
      <c r="AQ128" s="16">
        <v>0</v>
      </c>
      <c r="AR128" s="16">
        <v>0</v>
      </c>
      <c r="AS128" s="16">
        <v>0</v>
      </c>
      <c r="AT128" s="16">
        <v>0</v>
      </c>
      <c r="AU128" s="16">
        <v>0</v>
      </c>
      <c r="AV128" s="16">
        <v>0</v>
      </c>
      <c r="AW128" s="16">
        <v>0</v>
      </c>
      <c r="AX128" s="16">
        <v>0</v>
      </c>
    </row>
    <row r="129" spans="1:50" x14ac:dyDescent="0.25">
      <c r="A129" s="8" t="s">
        <v>162</v>
      </c>
      <c r="B129" s="10" t="s">
        <v>57</v>
      </c>
      <c r="C129" s="16">
        <v>0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  <c r="AK129" s="16">
        <v>0</v>
      </c>
      <c r="AL129" s="16">
        <v>0</v>
      </c>
      <c r="AM129" s="16">
        <v>0</v>
      </c>
      <c r="AN129" s="16">
        <v>0</v>
      </c>
      <c r="AO129" s="16">
        <v>0</v>
      </c>
      <c r="AP129" s="16">
        <v>0</v>
      </c>
      <c r="AQ129" s="16">
        <v>0</v>
      </c>
      <c r="AR129" s="16">
        <v>0</v>
      </c>
      <c r="AS129" s="16">
        <v>0</v>
      </c>
      <c r="AT129" s="16">
        <v>0</v>
      </c>
      <c r="AU129" s="16">
        <v>0</v>
      </c>
      <c r="AV129" s="16">
        <v>0</v>
      </c>
      <c r="AW129" s="16">
        <v>0</v>
      </c>
      <c r="AX129" s="16">
        <v>0</v>
      </c>
    </row>
    <row r="130" spans="1:50" x14ac:dyDescent="0.25">
      <c r="A130" s="17" t="s">
        <v>309</v>
      </c>
      <c r="B130" s="13" t="s">
        <v>168</v>
      </c>
      <c r="C130" s="18">
        <v>0</v>
      </c>
      <c r="D130" s="18">
        <v>0</v>
      </c>
      <c r="E130" s="18">
        <v>0</v>
      </c>
      <c r="F130" s="18">
        <v>0</v>
      </c>
      <c r="G130" s="18">
        <v>0</v>
      </c>
      <c r="H130" s="18">
        <v>0</v>
      </c>
      <c r="I130" s="18">
        <v>0</v>
      </c>
      <c r="J130" s="18">
        <v>3.3999999999999998E-3</v>
      </c>
      <c r="K130" s="18">
        <v>4.9700000000000001E-2</v>
      </c>
      <c r="L130" s="18">
        <v>0.2326</v>
      </c>
      <c r="M130" s="18">
        <v>0.46129999999999999</v>
      </c>
      <c r="N130" s="18">
        <v>0.7419</v>
      </c>
      <c r="O130" s="18">
        <v>1.0479000000000001</v>
      </c>
      <c r="P130" s="18">
        <v>1.3576999999999999</v>
      </c>
      <c r="Q130" s="18">
        <v>1.6659999999999999</v>
      </c>
      <c r="R130" s="18">
        <v>1.9745999999999999</v>
      </c>
      <c r="S130" s="18">
        <v>2.2643</v>
      </c>
      <c r="T130" s="18">
        <v>2.5367000000000002</v>
      </c>
      <c r="U130" s="18">
        <v>2.7686000000000002</v>
      </c>
      <c r="V130" s="18">
        <v>2.9664000000000001</v>
      </c>
      <c r="W130" s="18">
        <v>3.14</v>
      </c>
      <c r="X130" s="18">
        <v>3.2833000000000001</v>
      </c>
      <c r="Y130" s="18">
        <v>3.3849999999999998</v>
      </c>
      <c r="Z130" s="18">
        <v>3.4296000000000002</v>
      </c>
      <c r="AA130" s="18">
        <v>3.4424999999999999</v>
      </c>
      <c r="AB130" s="18">
        <v>3.4182999999999999</v>
      </c>
      <c r="AC130" s="18">
        <v>3.3372000000000002</v>
      </c>
      <c r="AD130" s="18">
        <v>3.2132999999999998</v>
      </c>
      <c r="AE130" s="18">
        <v>3.0655000000000001</v>
      </c>
      <c r="AF130" s="18">
        <v>2.8782000000000001</v>
      </c>
      <c r="AG130" s="18">
        <v>2.6791</v>
      </c>
      <c r="AH130" s="18">
        <v>2.4396</v>
      </c>
      <c r="AI130" s="18">
        <v>2.1698</v>
      </c>
      <c r="AJ130" s="18">
        <v>1.8441000000000001</v>
      </c>
      <c r="AK130" s="18">
        <v>1.5391999999999999</v>
      </c>
      <c r="AL130" s="18">
        <v>1.2259</v>
      </c>
      <c r="AM130" s="18">
        <v>0.92290000000000005</v>
      </c>
      <c r="AN130" s="18">
        <v>0.63080000000000003</v>
      </c>
      <c r="AO130" s="18">
        <v>0.36830000000000002</v>
      </c>
      <c r="AP130" s="18">
        <v>0.1072</v>
      </c>
      <c r="AQ130" s="18">
        <v>1.9800000000000002E-2</v>
      </c>
      <c r="AR130" s="18">
        <v>0</v>
      </c>
      <c r="AS130" s="18">
        <v>0</v>
      </c>
      <c r="AT130" s="18">
        <v>0</v>
      </c>
      <c r="AU130" s="18">
        <v>0</v>
      </c>
      <c r="AV130" s="18">
        <v>0</v>
      </c>
      <c r="AW130" s="18">
        <v>0</v>
      </c>
      <c r="AX130" s="18">
        <v>0</v>
      </c>
    </row>
    <row r="131" spans="1:50" x14ac:dyDescent="0.25">
      <c r="A131" s="8" t="s">
        <v>164</v>
      </c>
      <c r="B131" s="10" t="s">
        <v>57</v>
      </c>
      <c r="C131" s="16">
        <v>0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  <c r="AK131" s="16">
        <v>0</v>
      </c>
      <c r="AL131" s="16">
        <v>0</v>
      </c>
      <c r="AM131" s="16">
        <v>0</v>
      </c>
      <c r="AN131" s="16">
        <v>0</v>
      </c>
      <c r="AO131" s="16">
        <v>0</v>
      </c>
      <c r="AP131" s="16">
        <v>0</v>
      </c>
      <c r="AQ131" s="16">
        <v>0</v>
      </c>
      <c r="AR131" s="16">
        <v>0</v>
      </c>
      <c r="AS131" s="16">
        <v>0</v>
      </c>
      <c r="AT131" s="16">
        <v>0</v>
      </c>
      <c r="AU131" s="16">
        <v>0</v>
      </c>
      <c r="AV131" s="16">
        <v>0</v>
      </c>
      <c r="AW131" s="16">
        <v>0</v>
      </c>
      <c r="AX131" s="16">
        <v>0</v>
      </c>
    </row>
    <row r="132" spans="1:50" x14ac:dyDescent="0.25">
      <c r="A132" s="17" t="s">
        <v>311</v>
      </c>
      <c r="B132" s="13" t="s">
        <v>168</v>
      </c>
      <c r="C132" s="18">
        <v>0</v>
      </c>
      <c r="D132" s="18">
        <v>0</v>
      </c>
      <c r="E132" s="18">
        <v>0</v>
      </c>
      <c r="F132" s="18">
        <v>0</v>
      </c>
      <c r="G132" s="18">
        <v>0</v>
      </c>
      <c r="H132" s="18">
        <v>0</v>
      </c>
      <c r="I132" s="18">
        <v>0</v>
      </c>
      <c r="J132" s="18">
        <v>3.0000000000000001E-3</v>
      </c>
      <c r="K132" s="18">
        <v>4.3499999999999997E-2</v>
      </c>
      <c r="L132" s="18">
        <v>0.20349999999999999</v>
      </c>
      <c r="M132" s="18">
        <v>0.4037</v>
      </c>
      <c r="N132" s="18">
        <v>0.64910000000000001</v>
      </c>
      <c r="O132" s="18">
        <v>0.91690000000000005</v>
      </c>
      <c r="P132" s="18">
        <v>1.1879999999999999</v>
      </c>
      <c r="Q132" s="18">
        <v>1.4577</v>
      </c>
      <c r="R132" s="18">
        <v>1.7278</v>
      </c>
      <c r="S132" s="18">
        <v>1.9813000000000001</v>
      </c>
      <c r="T132" s="18">
        <v>2.2195999999999998</v>
      </c>
      <c r="U132" s="18">
        <v>2.4224999999999999</v>
      </c>
      <c r="V132" s="18">
        <v>2.5956000000000001</v>
      </c>
      <c r="W132" s="18">
        <v>2.7475000000000001</v>
      </c>
      <c r="X132" s="18">
        <v>2.8729</v>
      </c>
      <c r="Y132" s="18">
        <v>2.9619</v>
      </c>
      <c r="Z132" s="18">
        <v>3.0009000000000001</v>
      </c>
      <c r="AA132" s="18">
        <v>3.0122</v>
      </c>
      <c r="AB132" s="18">
        <v>2.9910000000000001</v>
      </c>
      <c r="AC132" s="18">
        <v>2.92</v>
      </c>
      <c r="AD132" s="18">
        <v>2.8117000000000001</v>
      </c>
      <c r="AE132" s="18">
        <v>2.6823000000000001</v>
      </c>
      <c r="AF132" s="18">
        <v>2.5184000000000002</v>
      </c>
      <c r="AG132" s="18">
        <v>2.3441999999999998</v>
      </c>
      <c r="AH132" s="18">
        <v>2.1345999999999998</v>
      </c>
      <c r="AI132" s="18">
        <v>1.8986000000000001</v>
      </c>
      <c r="AJ132" s="18">
        <v>1.6135999999999999</v>
      </c>
      <c r="AK132" s="18">
        <v>1.3468</v>
      </c>
      <c r="AL132" s="18">
        <v>1.0727</v>
      </c>
      <c r="AM132" s="18">
        <v>0.80759999999999998</v>
      </c>
      <c r="AN132" s="18">
        <v>0.55189999999999995</v>
      </c>
      <c r="AO132" s="18">
        <v>0.32229999999999998</v>
      </c>
      <c r="AP132" s="18">
        <v>9.3799999999999994E-2</v>
      </c>
      <c r="AQ132" s="18">
        <v>1.7299999999999999E-2</v>
      </c>
      <c r="AR132" s="18">
        <v>0</v>
      </c>
      <c r="AS132" s="18">
        <v>0</v>
      </c>
      <c r="AT132" s="18">
        <v>0</v>
      </c>
      <c r="AU132" s="18">
        <v>0</v>
      </c>
      <c r="AV132" s="18">
        <v>0</v>
      </c>
      <c r="AW132" s="18">
        <v>0</v>
      </c>
      <c r="AX132" s="18">
        <v>0</v>
      </c>
    </row>
    <row r="133" spans="1:50" x14ac:dyDescent="0.25">
      <c r="A133" s="17" t="s">
        <v>313</v>
      </c>
      <c r="B133" s="13" t="s">
        <v>168</v>
      </c>
      <c r="C133" s="18">
        <v>0</v>
      </c>
      <c r="D133" s="18">
        <v>0</v>
      </c>
      <c r="E133" s="18">
        <v>0</v>
      </c>
      <c r="F133" s="18">
        <v>0</v>
      </c>
      <c r="G133" s="18">
        <v>0</v>
      </c>
      <c r="H133" s="18">
        <v>0</v>
      </c>
      <c r="I133" s="18">
        <v>0</v>
      </c>
      <c r="J133" s="18">
        <v>3.3999999999999998E-3</v>
      </c>
      <c r="K133" s="18">
        <v>4.9700000000000001E-2</v>
      </c>
      <c r="L133" s="18">
        <v>0.2326</v>
      </c>
      <c r="M133" s="18">
        <v>0.46129999999999999</v>
      </c>
      <c r="N133" s="18">
        <v>0.7419</v>
      </c>
      <c r="O133" s="18">
        <v>1.0479000000000001</v>
      </c>
      <c r="P133" s="18">
        <v>1.3576999999999999</v>
      </c>
      <c r="Q133" s="18">
        <v>1.6659999999999999</v>
      </c>
      <c r="R133" s="18">
        <v>1.9745999999999999</v>
      </c>
      <c r="S133" s="18">
        <v>2.2643</v>
      </c>
      <c r="T133" s="18">
        <v>2.5367000000000002</v>
      </c>
      <c r="U133" s="18">
        <v>2.7686000000000002</v>
      </c>
      <c r="V133" s="18">
        <v>2.9664000000000001</v>
      </c>
      <c r="W133" s="18">
        <v>3.14</v>
      </c>
      <c r="X133" s="18">
        <v>3.2833000000000001</v>
      </c>
      <c r="Y133" s="18">
        <v>3.3849999999999998</v>
      </c>
      <c r="Z133" s="18">
        <v>3.4296000000000002</v>
      </c>
      <c r="AA133" s="18">
        <v>3.4424999999999999</v>
      </c>
      <c r="AB133" s="18">
        <v>3.4182999999999999</v>
      </c>
      <c r="AC133" s="18">
        <v>3.3372000000000002</v>
      </c>
      <c r="AD133" s="18">
        <v>3.2132999999999998</v>
      </c>
      <c r="AE133" s="18">
        <v>3.0655000000000001</v>
      </c>
      <c r="AF133" s="18">
        <v>2.8782000000000001</v>
      </c>
      <c r="AG133" s="18">
        <v>2.6791</v>
      </c>
      <c r="AH133" s="18">
        <v>2.4396</v>
      </c>
      <c r="AI133" s="18">
        <v>2.1698</v>
      </c>
      <c r="AJ133" s="18">
        <v>1.8441000000000001</v>
      </c>
      <c r="AK133" s="18">
        <v>1.5391999999999999</v>
      </c>
      <c r="AL133" s="18">
        <v>1.2259</v>
      </c>
      <c r="AM133" s="18">
        <v>0.92290000000000005</v>
      </c>
      <c r="AN133" s="18">
        <v>0.63080000000000003</v>
      </c>
      <c r="AO133" s="18">
        <v>0.36830000000000002</v>
      </c>
      <c r="AP133" s="18">
        <v>0.1072</v>
      </c>
      <c r="AQ133" s="18">
        <v>1.9800000000000002E-2</v>
      </c>
      <c r="AR133" s="18">
        <v>0</v>
      </c>
      <c r="AS133" s="18">
        <v>0</v>
      </c>
      <c r="AT133" s="18">
        <v>0</v>
      </c>
      <c r="AU133" s="18">
        <v>0</v>
      </c>
      <c r="AV133" s="18">
        <v>0</v>
      </c>
      <c r="AW133" s="18">
        <v>0</v>
      </c>
      <c r="AX133" s="18">
        <v>0</v>
      </c>
    </row>
    <row r="134" spans="1:50" x14ac:dyDescent="0.25">
      <c r="A134" s="17" t="s">
        <v>315</v>
      </c>
      <c r="B134" s="13" t="s">
        <v>168</v>
      </c>
      <c r="C134" s="18">
        <v>0</v>
      </c>
      <c r="D134" s="18">
        <v>0</v>
      </c>
      <c r="E134" s="18">
        <v>0</v>
      </c>
      <c r="F134" s="18">
        <v>0</v>
      </c>
      <c r="G134" s="18">
        <v>0</v>
      </c>
      <c r="H134" s="18">
        <v>0</v>
      </c>
      <c r="I134" s="18">
        <v>0</v>
      </c>
      <c r="J134" s="18">
        <v>2.5999999999999999E-3</v>
      </c>
      <c r="K134" s="18">
        <v>3.73E-2</v>
      </c>
      <c r="L134" s="18">
        <v>0.1744</v>
      </c>
      <c r="M134" s="18">
        <v>0.34599999999999997</v>
      </c>
      <c r="N134" s="18">
        <v>0.55640000000000001</v>
      </c>
      <c r="O134" s="18">
        <v>0.78590000000000004</v>
      </c>
      <c r="P134" s="18">
        <v>1.0183</v>
      </c>
      <c r="Q134" s="18">
        <v>1.2495000000000001</v>
      </c>
      <c r="R134" s="18">
        <v>1.4810000000000001</v>
      </c>
      <c r="S134" s="18">
        <v>1.6981999999999999</v>
      </c>
      <c r="T134" s="18">
        <v>1.9025000000000001</v>
      </c>
      <c r="U134" s="18">
        <v>2.0764</v>
      </c>
      <c r="V134" s="18">
        <v>2.2248000000000001</v>
      </c>
      <c r="W134" s="18">
        <v>2.355</v>
      </c>
      <c r="X134" s="18">
        <v>2.4624999999999999</v>
      </c>
      <c r="Y134" s="18">
        <v>2.5387</v>
      </c>
      <c r="Z134" s="18">
        <v>2.5722</v>
      </c>
      <c r="AA134" s="18">
        <v>2.5819000000000001</v>
      </c>
      <c r="AB134" s="18">
        <v>2.5636999999999999</v>
      </c>
      <c r="AC134" s="18">
        <v>2.5028999999999999</v>
      </c>
      <c r="AD134" s="18">
        <v>2.41</v>
      </c>
      <c r="AE134" s="18">
        <v>2.2991000000000001</v>
      </c>
      <c r="AF134" s="18">
        <v>2.1585999999999999</v>
      </c>
      <c r="AG134" s="18">
        <v>2.0093000000000001</v>
      </c>
      <c r="AH134" s="18">
        <v>1.8297000000000001</v>
      </c>
      <c r="AI134" s="18">
        <v>1.6274</v>
      </c>
      <c r="AJ134" s="18">
        <v>1.3831</v>
      </c>
      <c r="AK134" s="18">
        <v>1.1544000000000001</v>
      </c>
      <c r="AL134" s="18">
        <v>0.91949999999999998</v>
      </c>
      <c r="AM134" s="18">
        <v>0.69220000000000004</v>
      </c>
      <c r="AN134" s="18">
        <v>0.47310000000000002</v>
      </c>
      <c r="AO134" s="18">
        <v>0.2762</v>
      </c>
      <c r="AP134" s="18">
        <v>8.0399999999999999E-2</v>
      </c>
      <c r="AQ134" s="18">
        <v>1.4800000000000001E-2</v>
      </c>
      <c r="AR134" s="18">
        <v>0</v>
      </c>
      <c r="AS134" s="18">
        <v>0</v>
      </c>
      <c r="AT134" s="18">
        <v>0</v>
      </c>
      <c r="AU134" s="18">
        <v>0</v>
      </c>
      <c r="AV134" s="18">
        <v>0</v>
      </c>
      <c r="AW134" s="18">
        <v>0</v>
      </c>
      <c r="AX134" s="18">
        <v>0</v>
      </c>
    </row>
    <row r="135" spans="1:50" x14ac:dyDescent="0.25">
      <c r="A135" s="17" t="s">
        <v>317</v>
      </c>
      <c r="B135" s="13" t="s">
        <v>168</v>
      </c>
      <c r="C135" s="18">
        <v>0</v>
      </c>
      <c r="D135" s="18">
        <v>0</v>
      </c>
      <c r="E135" s="18">
        <v>0</v>
      </c>
      <c r="F135" s="18">
        <v>0</v>
      </c>
      <c r="G135" s="18">
        <v>0</v>
      </c>
      <c r="H135" s="18">
        <v>0</v>
      </c>
      <c r="I135" s="18">
        <v>0</v>
      </c>
      <c r="J135" s="18">
        <v>8.9999999999999998E-4</v>
      </c>
      <c r="K135" s="18">
        <v>1.24E-2</v>
      </c>
      <c r="L135" s="18">
        <v>5.8099999999999999E-2</v>
      </c>
      <c r="M135" s="18">
        <v>0.1153</v>
      </c>
      <c r="N135" s="18">
        <v>0.1855</v>
      </c>
      <c r="O135" s="18">
        <v>0.26200000000000001</v>
      </c>
      <c r="P135" s="18">
        <v>0.33939999999999998</v>
      </c>
      <c r="Q135" s="18">
        <v>0.41649999999999998</v>
      </c>
      <c r="R135" s="18">
        <v>0.49370000000000003</v>
      </c>
      <c r="S135" s="18">
        <v>0.56610000000000005</v>
      </c>
      <c r="T135" s="18">
        <v>0.63419999999999999</v>
      </c>
      <c r="U135" s="18">
        <v>0.69210000000000005</v>
      </c>
      <c r="V135" s="18">
        <v>0.74160000000000004</v>
      </c>
      <c r="W135" s="18">
        <v>0.78500000000000003</v>
      </c>
      <c r="X135" s="18">
        <v>0.82079999999999997</v>
      </c>
      <c r="Y135" s="18">
        <v>0.84619999999999995</v>
      </c>
      <c r="Z135" s="18">
        <v>0.85740000000000005</v>
      </c>
      <c r="AA135" s="18">
        <v>0.86060000000000003</v>
      </c>
      <c r="AB135" s="18">
        <v>0.85460000000000003</v>
      </c>
      <c r="AC135" s="18">
        <v>0.83430000000000004</v>
      </c>
      <c r="AD135" s="18">
        <v>0.80330000000000001</v>
      </c>
      <c r="AE135" s="18">
        <v>0.76639999999999997</v>
      </c>
      <c r="AF135" s="18">
        <v>0.71950000000000003</v>
      </c>
      <c r="AG135" s="18">
        <v>0.66979999999999995</v>
      </c>
      <c r="AH135" s="18">
        <v>0.6099</v>
      </c>
      <c r="AI135" s="18">
        <v>0.54249999999999998</v>
      </c>
      <c r="AJ135" s="18">
        <v>0.46100000000000002</v>
      </c>
      <c r="AK135" s="18">
        <v>0.38479999999999998</v>
      </c>
      <c r="AL135" s="18">
        <v>0.30649999999999999</v>
      </c>
      <c r="AM135" s="18">
        <v>0.23069999999999999</v>
      </c>
      <c r="AN135" s="18">
        <v>0.15770000000000001</v>
      </c>
      <c r="AO135" s="18">
        <v>9.2100000000000001E-2</v>
      </c>
      <c r="AP135" s="18">
        <v>2.6800000000000001E-2</v>
      </c>
      <c r="AQ135" s="18">
        <v>4.8999999999999998E-3</v>
      </c>
      <c r="AR135" s="18">
        <v>0</v>
      </c>
      <c r="AS135" s="18">
        <v>0</v>
      </c>
      <c r="AT135" s="18">
        <v>0</v>
      </c>
      <c r="AU135" s="18">
        <v>0</v>
      </c>
      <c r="AV135" s="18">
        <v>0</v>
      </c>
      <c r="AW135" s="18">
        <v>0</v>
      </c>
      <c r="AX135" s="18">
        <v>0</v>
      </c>
    </row>
    <row r="136" spans="1:50" x14ac:dyDescent="0.25">
      <c r="A136" s="17" t="s">
        <v>319</v>
      </c>
      <c r="B136" s="13" t="s">
        <v>168</v>
      </c>
      <c r="C136" s="18">
        <v>0</v>
      </c>
      <c r="D136" s="18">
        <v>0</v>
      </c>
      <c r="E136" s="18">
        <v>0</v>
      </c>
      <c r="F136" s="18">
        <v>0</v>
      </c>
      <c r="G136" s="18">
        <v>0</v>
      </c>
      <c r="H136" s="18">
        <v>0</v>
      </c>
      <c r="I136" s="18">
        <v>0</v>
      </c>
      <c r="J136" s="18">
        <v>2.5999999999999999E-3</v>
      </c>
      <c r="K136" s="18">
        <v>3.73E-2</v>
      </c>
      <c r="L136" s="18">
        <v>0.1744</v>
      </c>
      <c r="M136" s="18">
        <v>0.34599999999999997</v>
      </c>
      <c r="N136" s="18">
        <v>0.55640000000000001</v>
      </c>
      <c r="O136" s="18">
        <v>0.78590000000000004</v>
      </c>
      <c r="P136" s="18">
        <v>1.0183</v>
      </c>
      <c r="Q136" s="18">
        <v>1.2495000000000001</v>
      </c>
      <c r="R136" s="18">
        <v>1.4810000000000001</v>
      </c>
      <c r="S136" s="18">
        <v>1.6981999999999999</v>
      </c>
      <c r="T136" s="18">
        <v>1.9025000000000001</v>
      </c>
      <c r="U136" s="18">
        <v>2.0764</v>
      </c>
      <c r="V136" s="18">
        <v>2.2248000000000001</v>
      </c>
      <c r="W136" s="18">
        <v>2.355</v>
      </c>
      <c r="X136" s="18">
        <v>2.4624999999999999</v>
      </c>
      <c r="Y136" s="18">
        <v>2.5387</v>
      </c>
      <c r="Z136" s="18">
        <v>2.5722</v>
      </c>
      <c r="AA136" s="18">
        <v>2.5819000000000001</v>
      </c>
      <c r="AB136" s="18">
        <v>2.5636999999999999</v>
      </c>
      <c r="AC136" s="18">
        <v>2.5028999999999999</v>
      </c>
      <c r="AD136" s="18">
        <v>2.41</v>
      </c>
      <c r="AE136" s="18">
        <v>2.2991000000000001</v>
      </c>
      <c r="AF136" s="18">
        <v>2.1585999999999999</v>
      </c>
      <c r="AG136" s="18">
        <v>2.0093000000000001</v>
      </c>
      <c r="AH136" s="18">
        <v>1.8297000000000001</v>
      </c>
      <c r="AI136" s="18">
        <v>1.6274</v>
      </c>
      <c r="AJ136" s="18">
        <v>1.3831</v>
      </c>
      <c r="AK136" s="18">
        <v>1.1544000000000001</v>
      </c>
      <c r="AL136" s="18">
        <v>0.91949999999999998</v>
      </c>
      <c r="AM136" s="18">
        <v>0.69220000000000004</v>
      </c>
      <c r="AN136" s="18">
        <v>0.47310000000000002</v>
      </c>
      <c r="AO136" s="18">
        <v>0.2762</v>
      </c>
      <c r="AP136" s="18">
        <v>8.0399999999999999E-2</v>
      </c>
      <c r="AQ136" s="18">
        <v>1.4800000000000001E-2</v>
      </c>
      <c r="AR136" s="18">
        <v>0</v>
      </c>
      <c r="AS136" s="18">
        <v>0</v>
      </c>
      <c r="AT136" s="18">
        <v>0</v>
      </c>
      <c r="AU136" s="18">
        <v>0</v>
      </c>
      <c r="AV136" s="18">
        <v>0</v>
      </c>
      <c r="AW136" s="18">
        <v>0</v>
      </c>
      <c r="AX136" s="18">
        <v>0</v>
      </c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136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4" customWidth="1"/>
    <col min="2" max="2" width="11" customWidth="1"/>
    <col min="3" max="50" width="7" customWidth="1"/>
  </cols>
  <sheetData>
    <row r="1" spans="1:50" ht="19.5" x14ac:dyDescent="0.3">
      <c r="A1" s="1" t="s">
        <v>371</v>
      </c>
    </row>
    <row r="2" spans="1:50" x14ac:dyDescent="0.25">
      <c r="A2" s="29" t="s">
        <v>372</v>
      </c>
      <c r="B2" s="27"/>
      <c r="C2" s="27"/>
      <c r="D2" s="27"/>
      <c r="E2" s="27"/>
      <c r="F2" s="27"/>
    </row>
    <row r="4" spans="1:50" x14ac:dyDescent="0.25">
      <c r="A4" s="5" t="s">
        <v>50</v>
      </c>
      <c r="B4" s="5" t="s">
        <v>54</v>
      </c>
      <c r="C4" s="5" t="s">
        <v>323</v>
      </c>
      <c r="D4" s="5" t="s">
        <v>324</v>
      </c>
      <c r="E4" s="5" t="s">
        <v>325</v>
      </c>
      <c r="F4" s="5" t="s">
        <v>326</v>
      </c>
      <c r="G4" s="5" t="s">
        <v>327</v>
      </c>
      <c r="H4" s="5" t="s">
        <v>328</v>
      </c>
      <c r="I4" s="5" t="s">
        <v>329</v>
      </c>
      <c r="J4" s="5" t="s">
        <v>330</v>
      </c>
      <c r="K4" s="5" t="s">
        <v>331</v>
      </c>
      <c r="L4" s="5" t="s">
        <v>332</v>
      </c>
      <c r="M4" s="5" t="s">
        <v>333</v>
      </c>
      <c r="N4" s="5" t="s">
        <v>334</v>
      </c>
      <c r="O4" s="5" t="s">
        <v>335</v>
      </c>
      <c r="P4" s="5" t="s">
        <v>336</v>
      </c>
      <c r="Q4" s="5" t="s">
        <v>337</v>
      </c>
      <c r="R4" s="5" t="s">
        <v>338</v>
      </c>
      <c r="S4" s="5" t="s">
        <v>339</v>
      </c>
      <c r="T4" s="5" t="s">
        <v>340</v>
      </c>
      <c r="U4" s="5" t="s">
        <v>341</v>
      </c>
      <c r="V4" s="5" t="s">
        <v>342</v>
      </c>
      <c r="W4" s="5" t="s">
        <v>343</v>
      </c>
      <c r="X4" s="5" t="s">
        <v>344</v>
      </c>
      <c r="Y4" s="5" t="s">
        <v>345</v>
      </c>
      <c r="Z4" s="5" t="s">
        <v>346</v>
      </c>
      <c r="AA4" s="5" t="s">
        <v>347</v>
      </c>
      <c r="AB4" s="5" t="s">
        <v>348</v>
      </c>
      <c r="AC4" s="5" t="s">
        <v>349</v>
      </c>
      <c r="AD4" s="5" t="s">
        <v>350</v>
      </c>
      <c r="AE4" s="5" t="s">
        <v>351</v>
      </c>
      <c r="AF4" s="5" t="s">
        <v>352</v>
      </c>
      <c r="AG4" s="5" t="s">
        <v>353</v>
      </c>
      <c r="AH4" s="5" t="s">
        <v>354</v>
      </c>
      <c r="AI4" s="5" t="s">
        <v>355</v>
      </c>
      <c r="AJ4" s="5" t="s">
        <v>356</v>
      </c>
      <c r="AK4" s="5" t="s">
        <v>357</v>
      </c>
      <c r="AL4" s="5" t="s">
        <v>358</v>
      </c>
      <c r="AM4" s="5" t="s">
        <v>359</v>
      </c>
      <c r="AN4" s="5" t="s">
        <v>360</v>
      </c>
      <c r="AO4" s="5" t="s">
        <v>361</v>
      </c>
      <c r="AP4" s="5" t="s">
        <v>362</v>
      </c>
      <c r="AQ4" s="5" t="s">
        <v>363</v>
      </c>
      <c r="AR4" s="5" t="s">
        <v>364</v>
      </c>
      <c r="AS4" s="5" t="s">
        <v>365</v>
      </c>
      <c r="AT4" s="5" t="s">
        <v>366</v>
      </c>
      <c r="AU4" s="5" t="s">
        <v>367</v>
      </c>
      <c r="AV4" s="5" t="s">
        <v>368</v>
      </c>
      <c r="AW4" s="5" t="s">
        <v>369</v>
      </c>
      <c r="AX4" s="5" t="s">
        <v>370</v>
      </c>
    </row>
    <row r="5" spans="1:50" x14ac:dyDescent="0.25">
      <c r="A5" s="8" t="s">
        <v>55</v>
      </c>
      <c r="B5" s="10" t="s">
        <v>57</v>
      </c>
      <c r="C5" s="16">
        <v>0.17280000000000001</v>
      </c>
      <c r="D5" s="16">
        <v>0.14879999999999999</v>
      </c>
      <c r="E5" s="16">
        <v>0.1515</v>
      </c>
      <c r="F5" s="16">
        <v>0.26219999999999999</v>
      </c>
      <c r="G5" s="16">
        <v>0.15790000000000001</v>
      </c>
      <c r="H5" s="16">
        <v>0.1852</v>
      </c>
      <c r="I5" s="16">
        <v>0.16830000000000001</v>
      </c>
      <c r="J5" s="16">
        <v>5.2999999999999999E-2</v>
      </c>
      <c r="K5" s="16">
        <v>0.1215</v>
      </c>
      <c r="L5" s="16">
        <v>0.1709</v>
      </c>
      <c r="M5" s="16">
        <v>0.1807</v>
      </c>
      <c r="N5" s="16">
        <v>0.17280000000000001</v>
      </c>
      <c r="O5" s="16">
        <v>0.24729999999999999</v>
      </c>
      <c r="P5" s="16">
        <v>5.2999999999999999E-2</v>
      </c>
      <c r="Q5" s="16">
        <v>0.30059999999999998</v>
      </c>
      <c r="R5" s="16">
        <v>0.33539999999999998</v>
      </c>
      <c r="S5" s="16">
        <v>1.2371000000000001</v>
      </c>
      <c r="T5" s="16">
        <v>0.30159999999999998</v>
      </c>
      <c r="U5" s="16">
        <v>0.39319999999999999</v>
      </c>
      <c r="V5" s="16">
        <v>0.3972</v>
      </c>
      <c r="W5" s="16">
        <v>0.33679999999999999</v>
      </c>
      <c r="X5" s="16">
        <v>1.0621</v>
      </c>
      <c r="Y5" s="16">
        <v>0.66249999999999998</v>
      </c>
      <c r="Z5" s="16">
        <v>0.3886</v>
      </c>
      <c r="AA5" s="16">
        <v>9.2899999999999996E-2</v>
      </c>
      <c r="AB5" s="16">
        <v>0.23200000000000001</v>
      </c>
      <c r="AC5" s="16">
        <v>0.17430000000000001</v>
      </c>
      <c r="AD5" s="16">
        <v>0.37919999999999998</v>
      </c>
      <c r="AE5" s="16">
        <v>0.1691</v>
      </c>
      <c r="AF5" s="16">
        <v>0.35549999999999998</v>
      </c>
      <c r="AG5" s="16">
        <v>0.1618</v>
      </c>
      <c r="AH5" s="16">
        <v>0.27029999999999998</v>
      </c>
      <c r="AI5" s="16">
        <v>0.32290000000000002</v>
      </c>
      <c r="AJ5" s="16">
        <v>0.2858</v>
      </c>
      <c r="AK5" s="16">
        <v>0.32729999999999998</v>
      </c>
      <c r="AL5" s="16">
        <v>0.1983</v>
      </c>
      <c r="AM5" s="16">
        <v>1.6876</v>
      </c>
      <c r="AN5" s="16">
        <v>0.2883</v>
      </c>
      <c r="AO5" s="16">
        <v>0.2392</v>
      </c>
      <c r="AP5" s="16">
        <v>0.73529999999999995</v>
      </c>
      <c r="AQ5" s="16">
        <v>1.6555</v>
      </c>
      <c r="AR5" s="16">
        <v>2.2482000000000002</v>
      </c>
      <c r="AS5" s="16">
        <v>0.91500000000000004</v>
      </c>
      <c r="AT5" s="16">
        <v>0.65690000000000004</v>
      </c>
      <c r="AU5" s="16">
        <v>1.542</v>
      </c>
      <c r="AV5" s="16">
        <v>0.74529999999999996</v>
      </c>
      <c r="AW5" s="16">
        <v>0.62929999999999997</v>
      </c>
      <c r="AX5" s="16">
        <v>0.69210000000000005</v>
      </c>
    </row>
    <row r="6" spans="1:50" x14ac:dyDescent="0.25">
      <c r="A6" s="8" t="s">
        <v>58</v>
      </c>
      <c r="B6" s="10" t="s">
        <v>57</v>
      </c>
      <c r="C6" s="16">
        <v>0.26140000000000002</v>
      </c>
      <c r="D6" s="16">
        <v>0.15040000000000001</v>
      </c>
      <c r="E6" s="16">
        <v>9.1600000000000001E-2</v>
      </c>
      <c r="F6" s="16">
        <v>0.31909999999999999</v>
      </c>
      <c r="G6" s="16">
        <v>5.8799999999999998E-2</v>
      </c>
      <c r="H6" s="16">
        <v>0.34699999999999998</v>
      </c>
      <c r="I6" s="16">
        <v>6.8500000000000005E-2</v>
      </c>
      <c r="J6" s="16">
        <v>0.2293</v>
      </c>
      <c r="K6" s="16">
        <v>0.18609999999999999</v>
      </c>
      <c r="L6" s="16">
        <v>0.124</v>
      </c>
      <c r="M6" s="16">
        <v>0.25380000000000003</v>
      </c>
      <c r="N6" s="16">
        <v>0.12790000000000001</v>
      </c>
      <c r="O6" s="16">
        <v>0.19370000000000001</v>
      </c>
      <c r="P6" s="16">
        <v>0.18540000000000001</v>
      </c>
      <c r="Q6" s="16">
        <v>0.21560000000000001</v>
      </c>
      <c r="R6" s="16">
        <v>1.0153000000000001</v>
      </c>
      <c r="S6" s="16">
        <v>0.39029999999999998</v>
      </c>
      <c r="T6" s="16">
        <v>0.14599999999999999</v>
      </c>
      <c r="U6" s="16">
        <v>0.15040000000000001</v>
      </c>
      <c r="V6" s="16">
        <v>5.3999999999999999E-2</v>
      </c>
      <c r="W6" s="16">
        <v>0.16750000000000001</v>
      </c>
      <c r="X6" s="16">
        <v>0.29530000000000001</v>
      </c>
      <c r="Y6" s="16">
        <v>0.18559999999999999</v>
      </c>
      <c r="Z6" s="16">
        <v>0.4612</v>
      </c>
      <c r="AA6" s="16">
        <v>0.11899999999999999</v>
      </c>
      <c r="AB6" s="16">
        <v>0.1229</v>
      </c>
      <c r="AC6" s="16">
        <v>0.39510000000000001</v>
      </c>
      <c r="AD6" s="16">
        <v>5.3999999999999999E-2</v>
      </c>
      <c r="AE6" s="16">
        <v>0.25490000000000002</v>
      </c>
      <c r="AF6" s="16">
        <v>0.51659999999999995</v>
      </c>
      <c r="AG6" s="16">
        <v>0.6905</v>
      </c>
      <c r="AH6" s="16">
        <v>0.3861</v>
      </c>
      <c r="AI6" s="16">
        <v>0.7</v>
      </c>
      <c r="AJ6" s="16">
        <v>0.67830000000000001</v>
      </c>
      <c r="AK6" s="16">
        <v>1.6195999999999999</v>
      </c>
      <c r="AL6" s="16">
        <v>4.2910000000000004</v>
      </c>
      <c r="AM6" s="16">
        <v>2.5453000000000001</v>
      </c>
      <c r="AN6" s="16">
        <v>0.1406</v>
      </c>
      <c r="AO6" s="16">
        <v>0.4521</v>
      </c>
      <c r="AP6" s="16">
        <v>0.77229999999999999</v>
      </c>
      <c r="AQ6" s="16">
        <v>0.57879999999999998</v>
      </c>
      <c r="AR6" s="16">
        <v>1.4948999999999999</v>
      </c>
      <c r="AS6" s="16">
        <v>0.56979999999999997</v>
      </c>
      <c r="AT6" s="16">
        <v>0.28310000000000002</v>
      </c>
      <c r="AU6" s="16">
        <v>0.16769999999999999</v>
      </c>
      <c r="AV6" s="16">
        <v>9.4799999999999995E-2</v>
      </c>
      <c r="AW6" s="16">
        <v>0.32069999999999999</v>
      </c>
      <c r="AX6" s="16">
        <v>5.3999999999999999E-2</v>
      </c>
    </row>
    <row r="7" spans="1:50" x14ac:dyDescent="0.25">
      <c r="A7" s="17" t="s">
        <v>166</v>
      </c>
      <c r="B7" s="13" t="s">
        <v>168</v>
      </c>
      <c r="C7" s="18">
        <v>0.18329999999999999</v>
      </c>
      <c r="D7" s="18">
        <v>0.2404</v>
      </c>
      <c r="E7" s="18">
        <v>0.1517</v>
      </c>
      <c r="F7" s="18">
        <v>0.223</v>
      </c>
      <c r="G7" s="18">
        <v>0.1409</v>
      </c>
      <c r="H7" s="18">
        <v>0.1484</v>
      </c>
      <c r="I7" s="18">
        <v>0.27889999999999998</v>
      </c>
      <c r="J7" s="18">
        <v>4.5999999999999999E-2</v>
      </c>
      <c r="K7" s="18">
        <v>0.14449999999999999</v>
      </c>
      <c r="L7" s="18">
        <v>0.21290000000000001</v>
      </c>
      <c r="M7" s="18">
        <v>6.93E-2</v>
      </c>
      <c r="N7" s="18">
        <v>0.28210000000000002</v>
      </c>
      <c r="O7" s="18">
        <v>0.12180000000000001</v>
      </c>
      <c r="P7" s="18">
        <v>0.1522</v>
      </c>
      <c r="Q7" s="18">
        <v>0.26740000000000003</v>
      </c>
      <c r="R7" s="18">
        <v>0.34760000000000002</v>
      </c>
      <c r="S7" s="18">
        <v>0.44519999999999998</v>
      </c>
      <c r="T7" s="18">
        <v>1.1229</v>
      </c>
      <c r="U7" s="18">
        <v>0.37969999999999998</v>
      </c>
      <c r="V7" s="18">
        <v>0.31140000000000001</v>
      </c>
      <c r="W7" s="18">
        <v>0.43190000000000001</v>
      </c>
      <c r="X7" s="18">
        <v>1.1413</v>
      </c>
      <c r="Y7" s="18">
        <v>0.44840000000000002</v>
      </c>
      <c r="Z7" s="18">
        <v>7.7100000000000002E-2</v>
      </c>
      <c r="AA7" s="18">
        <v>0.29820000000000002</v>
      </c>
      <c r="AB7" s="18">
        <v>9.8000000000000004E-2</v>
      </c>
      <c r="AC7" s="18">
        <v>5.3600000000000002E-2</v>
      </c>
      <c r="AD7" s="18">
        <v>0.31540000000000001</v>
      </c>
      <c r="AE7" s="18">
        <v>0.1042</v>
      </c>
      <c r="AF7" s="18">
        <v>0.13109999999999999</v>
      </c>
      <c r="AG7" s="18">
        <v>0.29609999999999997</v>
      </c>
      <c r="AH7" s="18">
        <v>4.5999999999999999E-2</v>
      </c>
      <c r="AI7" s="18">
        <v>0.47039999999999998</v>
      </c>
      <c r="AJ7" s="18">
        <v>0.17860000000000001</v>
      </c>
      <c r="AK7" s="18">
        <v>0.1123</v>
      </c>
      <c r="AL7" s="18">
        <v>0.249</v>
      </c>
      <c r="AM7" s="18">
        <v>0.28289999999999998</v>
      </c>
      <c r="AN7" s="18">
        <v>0.19670000000000001</v>
      </c>
      <c r="AO7" s="18">
        <v>0.25769999999999998</v>
      </c>
      <c r="AP7" s="18">
        <v>0.45760000000000001</v>
      </c>
      <c r="AQ7" s="18">
        <v>1.0054000000000001</v>
      </c>
      <c r="AR7" s="18">
        <v>0.72729999999999995</v>
      </c>
      <c r="AS7" s="18">
        <v>0.96930000000000005</v>
      </c>
      <c r="AT7" s="18">
        <v>0.59570000000000001</v>
      </c>
      <c r="AU7" s="18">
        <v>1.7250000000000001</v>
      </c>
      <c r="AV7" s="18">
        <v>0.70799999999999996</v>
      </c>
      <c r="AW7" s="18">
        <v>0.52629999999999999</v>
      </c>
      <c r="AX7" s="18">
        <v>0.53210000000000002</v>
      </c>
    </row>
    <row r="8" spans="1:50" x14ac:dyDescent="0.25">
      <c r="A8" s="8" t="s">
        <v>60</v>
      </c>
      <c r="B8" s="10" t="s">
        <v>57</v>
      </c>
      <c r="C8" s="16">
        <v>0.18629999999999999</v>
      </c>
      <c r="D8" s="16">
        <v>0.1472</v>
      </c>
      <c r="E8" s="16">
        <v>0.17319999999999999</v>
      </c>
      <c r="F8" s="16">
        <v>0.2747</v>
      </c>
      <c r="G8" s="16">
        <v>5.1999999999999998E-2</v>
      </c>
      <c r="H8" s="16">
        <v>8.5699999999999998E-2</v>
      </c>
      <c r="I8" s="16">
        <v>0.24970000000000001</v>
      </c>
      <c r="J8" s="16">
        <v>8.77E-2</v>
      </c>
      <c r="K8" s="16">
        <v>0.26840000000000003</v>
      </c>
      <c r="L8" s="16">
        <v>0.17949999999999999</v>
      </c>
      <c r="M8" s="16">
        <v>0.15970000000000001</v>
      </c>
      <c r="N8" s="16">
        <v>0.16070000000000001</v>
      </c>
      <c r="O8" s="16">
        <v>0.17949999999999999</v>
      </c>
      <c r="P8" s="16">
        <v>0.22570000000000001</v>
      </c>
      <c r="Q8" s="16">
        <v>0.15679999999999999</v>
      </c>
      <c r="R8" s="16">
        <v>0.1444</v>
      </c>
      <c r="S8" s="16">
        <v>0.25</v>
      </c>
      <c r="T8" s="16">
        <v>5.1999999999999998E-2</v>
      </c>
      <c r="U8" s="16">
        <v>0.2001</v>
      </c>
      <c r="V8" s="16">
        <v>6.3899999999999998E-2</v>
      </c>
      <c r="W8" s="16">
        <v>0.31979999999999997</v>
      </c>
      <c r="X8" s="16">
        <v>0.1162</v>
      </c>
      <c r="Y8" s="16">
        <v>0.17100000000000001</v>
      </c>
      <c r="Z8" s="16">
        <v>0.18659999999999999</v>
      </c>
      <c r="AA8" s="16">
        <v>0.17849999999999999</v>
      </c>
      <c r="AB8" s="16">
        <v>5.8000000000000003E-2</v>
      </c>
      <c r="AC8" s="16">
        <v>0.26600000000000001</v>
      </c>
      <c r="AD8" s="16">
        <v>0.18190000000000001</v>
      </c>
      <c r="AE8" s="16">
        <v>5.1999999999999998E-2</v>
      </c>
      <c r="AF8" s="16">
        <v>0.39589999999999997</v>
      </c>
      <c r="AG8" s="16">
        <v>1.2573000000000001</v>
      </c>
      <c r="AH8" s="16">
        <v>0.61639999999999995</v>
      </c>
      <c r="AI8" s="16">
        <v>0.9556</v>
      </c>
      <c r="AJ8" s="16">
        <v>1.5565</v>
      </c>
      <c r="AK8" s="16">
        <v>1.9743999999999999</v>
      </c>
      <c r="AL8" s="16">
        <v>1.5019</v>
      </c>
      <c r="AM8" s="16">
        <v>0.437</v>
      </c>
      <c r="AN8" s="16">
        <v>0.20180000000000001</v>
      </c>
      <c r="AO8" s="16">
        <v>0.18479999999999999</v>
      </c>
      <c r="AP8" s="16">
        <v>0.20930000000000001</v>
      </c>
      <c r="AQ8" s="16">
        <v>0.18659999999999999</v>
      </c>
      <c r="AR8" s="16">
        <v>0.1966</v>
      </c>
      <c r="AS8" s="16">
        <v>0.25130000000000002</v>
      </c>
      <c r="AT8" s="16">
        <v>9.0399999999999994E-2</v>
      </c>
      <c r="AU8" s="16">
        <v>0.2094</v>
      </c>
      <c r="AV8" s="16">
        <v>0.22620000000000001</v>
      </c>
      <c r="AW8" s="16">
        <v>0.1027</v>
      </c>
      <c r="AX8" s="16">
        <v>5.6300000000000003E-2</v>
      </c>
    </row>
    <row r="9" spans="1:50" x14ac:dyDescent="0.25">
      <c r="A9" s="8" t="s">
        <v>62</v>
      </c>
      <c r="B9" s="10" t="s">
        <v>57</v>
      </c>
      <c r="C9" s="16">
        <v>0.61309999999999998</v>
      </c>
      <c r="D9" s="16">
        <v>0.2</v>
      </c>
      <c r="E9" s="16">
        <v>4.7E-2</v>
      </c>
      <c r="F9" s="16">
        <v>0.25659999999999999</v>
      </c>
      <c r="G9" s="16">
        <v>6.1199999999999997E-2</v>
      </c>
      <c r="H9" s="16">
        <v>0.115</v>
      </c>
      <c r="I9" s="16">
        <v>4.7E-2</v>
      </c>
      <c r="J9" s="16">
        <v>0.17169999999999999</v>
      </c>
      <c r="K9" s="16">
        <v>0.14610000000000001</v>
      </c>
      <c r="L9" s="16">
        <v>0.1075</v>
      </c>
      <c r="M9" s="16">
        <v>0.13950000000000001</v>
      </c>
      <c r="N9" s="16">
        <v>0.18579999999999999</v>
      </c>
      <c r="O9" s="16">
        <v>4.7E-2</v>
      </c>
      <c r="P9" s="16">
        <v>0.19289999999999999</v>
      </c>
      <c r="Q9" s="16">
        <v>0.1249</v>
      </c>
      <c r="R9" s="16">
        <v>4.7E-2</v>
      </c>
      <c r="S9" s="16">
        <v>0.23039999999999999</v>
      </c>
      <c r="T9" s="16">
        <v>0.38719999999999999</v>
      </c>
      <c r="U9" s="16">
        <v>0.24340000000000001</v>
      </c>
      <c r="V9" s="16">
        <v>0.2359</v>
      </c>
      <c r="W9" s="16">
        <v>0.31240000000000001</v>
      </c>
      <c r="X9" s="16">
        <v>0.25290000000000001</v>
      </c>
      <c r="Y9" s="16">
        <v>0.18729999999999999</v>
      </c>
      <c r="Z9" s="16">
        <v>0.1787</v>
      </c>
      <c r="AA9" s="16">
        <v>9.6600000000000005E-2</v>
      </c>
      <c r="AB9" s="16">
        <v>0.24460000000000001</v>
      </c>
      <c r="AC9" s="16">
        <v>1.2986</v>
      </c>
      <c r="AD9" s="16">
        <v>0.25469999999999998</v>
      </c>
      <c r="AE9" s="16">
        <v>0.1046</v>
      </c>
      <c r="AF9" s="16">
        <v>0.2979</v>
      </c>
      <c r="AG9" s="16">
        <v>0.26640000000000003</v>
      </c>
      <c r="AH9" s="16">
        <v>4.7E-2</v>
      </c>
      <c r="AI9" s="16">
        <v>0.12920000000000001</v>
      </c>
      <c r="AJ9" s="16">
        <v>0.18859999999999999</v>
      </c>
      <c r="AK9" s="16">
        <v>6.9900000000000004E-2</v>
      </c>
      <c r="AL9" s="16">
        <v>0.121</v>
      </c>
      <c r="AM9" s="16">
        <v>6.5100000000000005E-2</v>
      </c>
      <c r="AN9" s="16">
        <v>0.34899999999999998</v>
      </c>
      <c r="AO9" s="16">
        <v>0.11890000000000001</v>
      </c>
      <c r="AP9" s="16">
        <v>0.37869999999999998</v>
      </c>
      <c r="AQ9" s="16">
        <v>0.24060000000000001</v>
      </c>
      <c r="AR9" s="16">
        <v>0.65880000000000005</v>
      </c>
      <c r="AS9" s="16">
        <v>0.3029</v>
      </c>
      <c r="AT9" s="16">
        <v>0.32069999999999999</v>
      </c>
      <c r="AU9" s="16">
        <v>0.14610000000000001</v>
      </c>
      <c r="AV9" s="16">
        <v>4.7E-2</v>
      </c>
      <c r="AW9" s="16">
        <v>0.1075</v>
      </c>
      <c r="AX9" s="16">
        <v>5.4600000000000003E-2</v>
      </c>
    </row>
    <row r="10" spans="1:50" x14ac:dyDescent="0.25">
      <c r="A10" s="8" t="s">
        <v>64</v>
      </c>
      <c r="B10" s="10" t="s">
        <v>57</v>
      </c>
      <c r="C10" s="16">
        <v>7.2700000000000001E-2</v>
      </c>
      <c r="D10" s="16">
        <v>0.1196</v>
      </c>
      <c r="E10" s="16">
        <v>9.1499999999999998E-2</v>
      </c>
      <c r="F10" s="16">
        <v>0.16830000000000001</v>
      </c>
      <c r="G10" s="16">
        <v>0.1515</v>
      </c>
      <c r="H10" s="16">
        <v>0.13830000000000001</v>
      </c>
      <c r="I10" s="16">
        <v>0.20399999999999999</v>
      </c>
      <c r="J10" s="16">
        <v>0.1346</v>
      </c>
      <c r="K10" s="16">
        <v>0.17019999999999999</v>
      </c>
      <c r="L10" s="16">
        <v>0.1215</v>
      </c>
      <c r="M10" s="16">
        <v>0.1065</v>
      </c>
      <c r="N10" s="16">
        <v>0.16650000000000001</v>
      </c>
      <c r="O10" s="16">
        <v>5.3999999999999999E-2</v>
      </c>
      <c r="P10" s="16">
        <v>0.21149999999999999</v>
      </c>
      <c r="Q10" s="16">
        <v>6.1499999999999999E-2</v>
      </c>
      <c r="R10" s="16">
        <v>7.2700000000000001E-2</v>
      </c>
      <c r="S10" s="16">
        <v>0.29580000000000001</v>
      </c>
      <c r="T10" s="16">
        <v>0.48770000000000002</v>
      </c>
      <c r="U10" s="16">
        <v>0.25190000000000001</v>
      </c>
      <c r="V10" s="16">
        <v>0.27439999999999998</v>
      </c>
      <c r="W10" s="16">
        <v>0.37490000000000001</v>
      </c>
      <c r="X10" s="16">
        <v>1.6141000000000001</v>
      </c>
      <c r="Y10" s="16">
        <v>0.39340000000000003</v>
      </c>
      <c r="Z10" s="16">
        <v>0.58640000000000003</v>
      </c>
      <c r="AA10" s="16">
        <v>1.4141999999999999</v>
      </c>
      <c r="AB10" s="16">
        <v>0.87439999999999996</v>
      </c>
      <c r="AC10" s="16">
        <v>0.41909999999999997</v>
      </c>
      <c r="AD10" s="16">
        <v>0.31190000000000001</v>
      </c>
      <c r="AE10" s="16">
        <v>0.2326</v>
      </c>
      <c r="AF10" s="16">
        <v>0.34710000000000002</v>
      </c>
      <c r="AG10" s="16">
        <v>0.1149</v>
      </c>
      <c r="AH10" s="16">
        <v>0.23769999999999999</v>
      </c>
      <c r="AI10" s="16">
        <v>0.21249999999999999</v>
      </c>
      <c r="AJ10" s="16">
        <v>0.23749999999999999</v>
      </c>
      <c r="AK10" s="16">
        <v>0.19</v>
      </c>
      <c r="AL10" s="16">
        <v>0.13650000000000001</v>
      </c>
      <c r="AM10" s="16">
        <v>0.1149</v>
      </c>
      <c r="AN10" s="16">
        <v>0.21240000000000001</v>
      </c>
      <c r="AO10" s="16">
        <v>0.8871</v>
      </c>
      <c r="AP10" s="16">
        <v>0.4017</v>
      </c>
      <c r="AQ10" s="16">
        <v>0.4929</v>
      </c>
      <c r="AR10" s="16">
        <v>0.49790000000000001</v>
      </c>
      <c r="AS10" s="16">
        <v>0.5161</v>
      </c>
      <c r="AT10" s="16">
        <v>0.45579999999999998</v>
      </c>
      <c r="AU10" s="16">
        <v>0.77649999999999997</v>
      </c>
      <c r="AV10" s="16">
        <v>2.1796000000000002</v>
      </c>
      <c r="AW10" s="16">
        <v>0.45989999999999998</v>
      </c>
      <c r="AX10" s="16">
        <v>0.13239999999999999</v>
      </c>
    </row>
    <row r="11" spans="1:50" x14ac:dyDescent="0.25">
      <c r="A11" s="8" t="s">
        <v>66</v>
      </c>
      <c r="B11" s="10" t="s">
        <v>57</v>
      </c>
      <c r="C11" s="16">
        <v>0.1648</v>
      </c>
      <c r="D11" s="16">
        <v>5.6800000000000003E-2</v>
      </c>
      <c r="E11" s="16">
        <v>2.5999999999999999E-2</v>
      </c>
      <c r="F11" s="16">
        <v>0.23169999999999999</v>
      </c>
      <c r="G11" s="16">
        <v>6.7199999999999996E-2</v>
      </c>
      <c r="H11" s="16">
        <v>2.5999999999999999E-2</v>
      </c>
      <c r="I11" s="16">
        <v>2.5999999999999999E-2</v>
      </c>
      <c r="J11" s="16">
        <v>0.23430000000000001</v>
      </c>
      <c r="K11" s="16">
        <v>6.4600000000000005E-2</v>
      </c>
      <c r="L11" s="16">
        <v>2.5999999999999999E-2</v>
      </c>
      <c r="M11" s="16">
        <v>2.5999999999999999E-2</v>
      </c>
      <c r="N11" s="16">
        <v>0.18790000000000001</v>
      </c>
      <c r="O11" s="16">
        <v>0.111</v>
      </c>
      <c r="P11" s="16">
        <v>0.12620000000000001</v>
      </c>
      <c r="Q11" s="16">
        <v>0.4975</v>
      </c>
      <c r="R11" s="16">
        <v>0.14599999999999999</v>
      </c>
      <c r="S11" s="16">
        <v>0.64649999999999996</v>
      </c>
      <c r="T11" s="16">
        <v>0.52990000000000004</v>
      </c>
      <c r="U11" s="16">
        <v>0.55840000000000001</v>
      </c>
      <c r="V11" s="16">
        <v>0.74839999999999995</v>
      </c>
      <c r="W11" s="16">
        <v>0.54530000000000001</v>
      </c>
      <c r="X11" s="16">
        <v>0.41570000000000001</v>
      </c>
      <c r="Y11" s="16">
        <v>0.23400000000000001</v>
      </c>
      <c r="Z11" s="16">
        <v>0.32719999999999999</v>
      </c>
      <c r="AA11" s="16">
        <v>0.21279999999999999</v>
      </c>
      <c r="AB11" s="16">
        <v>0.35120000000000001</v>
      </c>
      <c r="AC11" s="16">
        <v>1.7433000000000001</v>
      </c>
      <c r="AD11" s="16">
        <v>1.2534000000000001</v>
      </c>
      <c r="AE11" s="16">
        <v>0.1956</v>
      </c>
      <c r="AF11" s="16">
        <v>2.5999999999999999E-2</v>
      </c>
      <c r="AG11" s="16">
        <v>0.18720000000000001</v>
      </c>
      <c r="AH11" s="16">
        <v>0.11169999999999999</v>
      </c>
      <c r="AI11" s="16">
        <v>9.9000000000000005E-2</v>
      </c>
      <c r="AJ11" s="16">
        <v>0.19989999999999999</v>
      </c>
      <c r="AK11" s="16">
        <v>2.5999999999999999E-2</v>
      </c>
      <c r="AL11" s="16">
        <v>0.122</v>
      </c>
      <c r="AM11" s="16">
        <v>0.1769</v>
      </c>
      <c r="AN11" s="16">
        <v>4.7500000000000001E-2</v>
      </c>
      <c r="AO11" s="16">
        <v>0.25140000000000001</v>
      </c>
      <c r="AP11" s="16">
        <v>7.3200000000000001E-2</v>
      </c>
      <c r="AQ11" s="16">
        <v>5.6000000000000001E-2</v>
      </c>
      <c r="AR11" s="16">
        <v>0.2437</v>
      </c>
      <c r="AS11" s="16">
        <v>0.16969999999999999</v>
      </c>
      <c r="AT11" s="16">
        <v>0.22220000000000001</v>
      </c>
      <c r="AU11" s="16">
        <v>1.3685</v>
      </c>
      <c r="AV11" s="16">
        <v>0.63119999999999998</v>
      </c>
      <c r="AW11" s="16">
        <v>0.45490000000000003</v>
      </c>
      <c r="AX11" s="16">
        <v>0.14199999999999999</v>
      </c>
    </row>
    <row r="12" spans="1:50" x14ac:dyDescent="0.25">
      <c r="A12" s="8" t="s">
        <v>68</v>
      </c>
      <c r="B12" s="10" t="s">
        <v>57</v>
      </c>
      <c r="C12" s="16">
        <v>0.2336</v>
      </c>
      <c r="D12" s="16">
        <v>0.1361</v>
      </c>
      <c r="E12" s="16">
        <v>5.8999999999999997E-2</v>
      </c>
      <c r="F12" s="16">
        <v>0.20039999999999999</v>
      </c>
      <c r="G12" s="16">
        <v>5.8999999999999997E-2</v>
      </c>
      <c r="H12" s="16">
        <v>0.1104</v>
      </c>
      <c r="I12" s="16">
        <v>0.14899999999999999</v>
      </c>
      <c r="J12" s="16">
        <v>5.8999999999999997E-2</v>
      </c>
      <c r="K12" s="16">
        <v>0.20039999999999999</v>
      </c>
      <c r="L12" s="16">
        <v>5.8999999999999997E-2</v>
      </c>
      <c r="M12" s="16">
        <v>0.1875</v>
      </c>
      <c r="N12" s="16">
        <v>7.1900000000000006E-2</v>
      </c>
      <c r="O12" s="16">
        <v>5.8999999999999997E-2</v>
      </c>
      <c r="P12" s="16">
        <v>5.8999999999999997E-2</v>
      </c>
      <c r="Q12" s="16">
        <v>0.24429999999999999</v>
      </c>
      <c r="R12" s="16">
        <v>0.29959999999999998</v>
      </c>
      <c r="S12" s="16">
        <v>0.24329999999999999</v>
      </c>
      <c r="T12" s="16">
        <v>0.3589</v>
      </c>
      <c r="U12" s="16">
        <v>0.23219999999999999</v>
      </c>
      <c r="V12" s="16">
        <v>0.2923</v>
      </c>
      <c r="W12" s="16">
        <v>0.90149999999999997</v>
      </c>
      <c r="X12" s="16">
        <v>0.54649999999999999</v>
      </c>
      <c r="Y12" s="16">
        <v>0.16830000000000001</v>
      </c>
      <c r="Z12" s="16">
        <v>9.11E-2</v>
      </c>
      <c r="AA12" s="16">
        <v>0.12970000000000001</v>
      </c>
      <c r="AB12" s="16">
        <v>0.12970000000000001</v>
      </c>
      <c r="AC12" s="16">
        <v>5.8999999999999997E-2</v>
      </c>
      <c r="AD12" s="16">
        <v>5.8999999999999997E-2</v>
      </c>
      <c r="AE12" s="16">
        <v>0.2329</v>
      </c>
      <c r="AF12" s="16">
        <v>0.2898</v>
      </c>
      <c r="AG12" s="16">
        <v>7.3800000000000004E-2</v>
      </c>
      <c r="AH12" s="16">
        <v>0.3493</v>
      </c>
      <c r="AI12" s="16">
        <v>0.33779999999999999</v>
      </c>
      <c r="AJ12" s="16">
        <v>0.18049999999999999</v>
      </c>
      <c r="AK12" s="16">
        <v>0.2218</v>
      </c>
      <c r="AL12" s="16">
        <v>0.46350000000000002</v>
      </c>
      <c r="AM12" s="16">
        <v>0.44379999999999997</v>
      </c>
      <c r="AN12" s="16">
        <v>1.4100999999999999</v>
      </c>
      <c r="AO12" s="16">
        <v>0.58240000000000003</v>
      </c>
      <c r="AP12" s="16">
        <v>0.6825</v>
      </c>
      <c r="AQ12" s="16">
        <v>0.4531</v>
      </c>
      <c r="AR12" s="16">
        <v>0.32829999999999998</v>
      </c>
      <c r="AS12" s="16">
        <v>0.67320000000000002</v>
      </c>
      <c r="AT12" s="16">
        <v>0.96850000000000003</v>
      </c>
      <c r="AU12" s="16">
        <v>0.1757</v>
      </c>
      <c r="AV12" s="16">
        <v>0.30370000000000003</v>
      </c>
      <c r="AW12" s="16">
        <v>8.4699999999999998E-2</v>
      </c>
      <c r="AX12" s="16">
        <v>0.17469999999999999</v>
      </c>
    </row>
    <row r="13" spans="1:50" x14ac:dyDescent="0.25">
      <c r="A13" s="8" t="s">
        <v>70</v>
      </c>
      <c r="B13" s="10" t="s">
        <v>57</v>
      </c>
      <c r="C13" s="16">
        <v>0.1091</v>
      </c>
      <c r="D13" s="16">
        <v>0.15190000000000001</v>
      </c>
      <c r="E13" s="16">
        <v>5.1999999999999998E-2</v>
      </c>
      <c r="F13" s="16">
        <v>0.20899999999999999</v>
      </c>
      <c r="G13" s="16">
        <v>5.1999999999999998E-2</v>
      </c>
      <c r="H13" s="16">
        <v>5.1999999999999998E-2</v>
      </c>
      <c r="I13" s="16">
        <v>5.1999999999999998E-2</v>
      </c>
      <c r="J13" s="16">
        <v>0.2019</v>
      </c>
      <c r="K13" s="16">
        <v>5.91E-2</v>
      </c>
      <c r="L13" s="16">
        <v>0.15190000000000001</v>
      </c>
      <c r="M13" s="16">
        <v>0.1091</v>
      </c>
      <c r="N13" s="16">
        <v>0.1091</v>
      </c>
      <c r="O13" s="16">
        <v>0.15190000000000001</v>
      </c>
      <c r="P13" s="16">
        <v>5.1999999999999998E-2</v>
      </c>
      <c r="Q13" s="16">
        <v>0.20680000000000001</v>
      </c>
      <c r="R13" s="16">
        <v>0.36380000000000001</v>
      </c>
      <c r="S13" s="16">
        <v>0.2762</v>
      </c>
      <c r="T13" s="16">
        <v>0.11310000000000001</v>
      </c>
      <c r="U13" s="16">
        <v>0.45500000000000002</v>
      </c>
      <c r="V13" s="16">
        <v>8.8200000000000001E-2</v>
      </c>
      <c r="W13" s="16">
        <v>0.27760000000000001</v>
      </c>
      <c r="X13" s="16">
        <v>1.0528</v>
      </c>
      <c r="Y13" s="16">
        <v>1.5005999999999999</v>
      </c>
      <c r="Z13" s="16">
        <v>0.21410000000000001</v>
      </c>
      <c r="AA13" s="16">
        <v>0.49819999999999998</v>
      </c>
      <c r="AB13" s="16">
        <v>5.9700000000000003E-2</v>
      </c>
      <c r="AC13" s="16">
        <v>0.50929999999999997</v>
      </c>
      <c r="AD13" s="16">
        <v>0.1108</v>
      </c>
      <c r="AE13" s="16">
        <v>0.2361</v>
      </c>
      <c r="AF13" s="16">
        <v>8.9200000000000002E-2</v>
      </c>
      <c r="AG13" s="16">
        <v>0.23599999999999999</v>
      </c>
      <c r="AH13" s="16">
        <v>9.6600000000000005E-2</v>
      </c>
      <c r="AI13" s="16">
        <v>0.1608</v>
      </c>
      <c r="AJ13" s="16">
        <v>0.3327</v>
      </c>
      <c r="AK13" s="16">
        <v>0.13469999999999999</v>
      </c>
      <c r="AL13" s="16">
        <v>0.30780000000000002</v>
      </c>
      <c r="AM13" s="16">
        <v>5.1999999999999998E-2</v>
      </c>
      <c r="AN13" s="16">
        <v>0.20899999999999999</v>
      </c>
      <c r="AO13" s="16">
        <v>5.1999999999999998E-2</v>
      </c>
      <c r="AP13" s="16">
        <v>5.1999999999999998E-2</v>
      </c>
      <c r="AQ13" s="16">
        <v>0.56940000000000002</v>
      </c>
      <c r="AR13" s="16">
        <v>0.4466</v>
      </c>
      <c r="AS13" s="16">
        <v>1.0521</v>
      </c>
      <c r="AT13" s="16">
        <v>1.1626000000000001</v>
      </c>
      <c r="AU13" s="16">
        <v>0.96250000000000002</v>
      </c>
      <c r="AV13" s="16">
        <v>0.69369999999999998</v>
      </c>
      <c r="AW13" s="16">
        <v>5.91E-2</v>
      </c>
      <c r="AX13" s="16">
        <v>0.2019</v>
      </c>
    </row>
    <row r="14" spans="1:50" x14ac:dyDescent="0.25">
      <c r="A14" s="8" t="s">
        <v>72</v>
      </c>
      <c r="B14" s="10" t="s">
        <v>57</v>
      </c>
      <c r="C14" s="16">
        <v>0.05</v>
      </c>
      <c r="D14" s="16">
        <v>0.23139999999999999</v>
      </c>
      <c r="E14" s="16">
        <v>0.05</v>
      </c>
      <c r="F14" s="16">
        <v>0.1489</v>
      </c>
      <c r="G14" s="16">
        <v>0.13239999999999999</v>
      </c>
      <c r="H14" s="16">
        <v>8.3000000000000004E-2</v>
      </c>
      <c r="I14" s="16">
        <v>0.19839999999999999</v>
      </c>
      <c r="J14" s="16">
        <v>0.05</v>
      </c>
      <c r="K14" s="16">
        <v>0.23139999999999999</v>
      </c>
      <c r="L14" s="16">
        <v>0.05</v>
      </c>
      <c r="M14" s="16">
        <v>0.05</v>
      </c>
      <c r="N14" s="16">
        <v>0.05</v>
      </c>
      <c r="O14" s="16">
        <v>0.19020000000000001</v>
      </c>
      <c r="P14" s="16">
        <v>9.1200000000000003E-2</v>
      </c>
      <c r="Q14" s="16">
        <v>0.05</v>
      </c>
      <c r="R14" s="16">
        <v>7.4700000000000003E-2</v>
      </c>
      <c r="S14" s="16">
        <v>0.41339999999999999</v>
      </c>
      <c r="T14" s="16">
        <v>0.20760000000000001</v>
      </c>
      <c r="U14" s="16">
        <v>0.21840000000000001</v>
      </c>
      <c r="V14" s="16">
        <v>0.1162</v>
      </c>
      <c r="W14" s="16">
        <v>0.1394</v>
      </c>
      <c r="X14" s="16">
        <v>0.18229999999999999</v>
      </c>
      <c r="Y14" s="16">
        <v>0.21490000000000001</v>
      </c>
      <c r="Z14" s="16">
        <v>0.05</v>
      </c>
      <c r="AA14" s="16">
        <v>0.19839999999999999</v>
      </c>
      <c r="AB14" s="16">
        <v>8.3000000000000004E-2</v>
      </c>
      <c r="AC14" s="16">
        <v>0.14910000000000001</v>
      </c>
      <c r="AD14" s="16">
        <v>0.25840000000000002</v>
      </c>
      <c r="AE14" s="16">
        <v>0.49309999999999998</v>
      </c>
      <c r="AF14" s="16">
        <v>0.3075</v>
      </c>
      <c r="AG14" s="16">
        <v>0.3458</v>
      </c>
      <c r="AH14" s="16">
        <v>0.34150000000000003</v>
      </c>
      <c r="AI14" s="16">
        <v>0.31890000000000002</v>
      </c>
      <c r="AJ14" s="16">
        <v>0.64180000000000004</v>
      </c>
      <c r="AK14" s="16">
        <v>0.2928</v>
      </c>
      <c r="AL14" s="16">
        <v>0.4345</v>
      </c>
      <c r="AM14" s="16">
        <v>0.2397</v>
      </c>
      <c r="AN14" s="16">
        <v>0.1353</v>
      </c>
      <c r="AO14" s="16">
        <v>0.47970000000000002</v>
      </c>
      <c r="AP14" s="16">
        <v>0.17180000000000001</v>
      </c>
      <c r="AQ14" s="16">
        <v>0.3206</v>
      </c>
      <c r="AR14" s="16">
        <v>0.57199999999999995</v>
      </c>
      <c r="AS14" s="16">
        <v>0.34589999999999999</v>
      </c>
      <c r="AT14" s="16">
        <v>0.63460000000000005</v>
      </c>
      <c r="AU14" s="16">
        <v>0.34210000000000002</v>
      </c>
      <c r="AV14" s="16">
        <v>0.4153</v>
      </c>
      <c r="AW14" s="16">
        <v>0.41460000000000002</v>
      </c>
      <c r="AX14" s="16">
        <v>0.53580000000000005</v>
      </c>
    </row>
    <row r="15" spans="1:50" x14ac:dyDescent="0.25">
      <c r="A15" s="17" t="s">
        <v>169</v>
      </c>
      <c r="B15" s="13" t="s">
        <v>168</v>
      </c>
      <c r="C15" s="18">
        <v>9.4399999999999998E-2</v>
      </c>
      <c r="D15" s="18">
        <v>0.04</v>
      </c>
      <c r="E15" s="18">
        <v>0.04</v>
      </c>
      <c r="F15" s="18">
        <v>9.4399999999999998E-2</v>
      </c>
      <c r="G15" s="18">
        <v>0.13519999999999999</v>
      </c>
      <c r="H15" s="18">
        <v>0.04</v>
      </c>
      <c r="I15" s="18">
        <v>0.18970000000000001</v>
      </c>
      <c r="J15" s="18">
        <v>0.04</v>
      </c>
      <c r="K15" s="18">
        <v>0.1216</v>
      </c>
      <c r="L15" s="18">
        <v>0.108</v>
      </c>
      <c r="M15" s="18">
        <v>4.6800000000000001E-2</v>
      </c>
      <c r="N15" s="18">
        <v>0.18290000000000001</v>
      </c>
      <c r="O15" s="18">
        <v>0.04</v>
      </c>
      <c r="P15" s="18">
        <v>0.04</v>
      </c>
      <c r="Q15" s="18">
        <v>0.27039999999999997</v>
      </c>
      <c r="R15" s="18">
        <v>0.29570000000000002</v>
      </c>
      <c r="S15" s="18">
        <v>0.04</v>
      </c>
      <c r="T15" s="18">
        <v>0.24310000000000001</v>
      </c>
      <c r="U15" s="18">
        <v>0.27</v>
      </c>
      <c r="V15" s="18">
        <v>0.25359999999999999</v>
      </c>
      <c r="W15" s="18">
        <v>0.42670000000000002</v>
      </c>
      <c r="X15" s="18">
        <v>0.24790000000000001</v>
      </c>
      <c r="Y15" s="18">
        <v>0.2079</v>
      </c>
      <c r="Z15" s="18">
        <v>0.43059999999999998</v>
      </c>
      <c r="AA15" s="18">
        <v>9.0200000000000002E-2</v>
      </c>
      <c r="AB15" s="18">
        <v>0.13519999999999999</v>
      </c>
      <c r="AC15" s="18">
        <v>9.4399999999999998E-2</v>
      </c>
      <c r="AD15" s="18">
        <v>7.3999999999999996E-2</v>
      </c>
      <c r="AE15" s="18">
        <v>0.15570000000000001</v>
      </c>
      <c r="AF15" s="18">
        <v>0.04</v>
      </c>
      <c r="AG15" s="18">
        <v>0.16250000000000001</v>
      </c>
      <c r="AH15" s="18">
        <v>6.7199999999999996E-2</v>
      </c>
      <c r="AI15" s="18">
        <v>7.3999999999999996E-2</v>
      </c>
      <c r="AJ15" s="18">
        <v>0.15570000000000001</v>
      </c>
      <c r="AK15" s="18">
        <v>0.04</v>
      </c>
      <c r="AL15" s="18">
        <v>0.04</v>
      </c>
      <c r="AM15" s="18">
        <v>0.04</v>
      </c>
      <c r="AN15" s="18">
        <v>0.18970000000000001</v>
      </c>
      <c r="AO15" s="18">
        <v>0.04</v>
      </c>
      <c r="AP15" s="18">
        <v>0.04</v>
      </c>
      <c r="AQ15" s="18">
        <v>0.18970000000000001</v>
      </c>
      <c r="AR15" s="18">
        <v>0.04</v>
      </c>
      <c r="AS15" s="18">
        <v>0.04</v>
      </c>
      <c r="AT15" s="18">
        <v>6.0400000000000002E-2</v>
      </c>
      <c r="AU15" s="18">
        <v>0.16930000000000001</v>
      </c>
      <c r="AV15" s="18">
        <v>0.04</v>
      </c>
      <c r="AW15" s="18">
        <v>0.1216</v>
      </c>
      <c r="AX15" s="18">
        <v>0.108</v>
      </c>
    </row>
    <row r="16" spans="1:50" x14ac:dyDescent="0.25">
      <c r="A16" s="8" t="s">
        <v>74</v>
      </c>
      <c r="B16" s="10" t="s">
        <v>57</v>
      </c>
      <c r="C16" s="16">
        <v>0.2276</v>
      </c>
      <c r="D16" s="16">
        <v>4.8000000000000001E-2</v>
      </c>
      <c r="E16" s="16">
        <v>0.22720000000000001</v>
      </c>
      <c r="F16" s="16">
        <v>0.1704</v>
      </c>
      <c r="G16" s="16">
        <v>0.1701</v>
      </c>
      <c r="H16" s="16">
        <v>0.2276</v>
      </c>
      <c r="I16" s="16">
        <v>4.8000000000000001E-2</v>
      </c>
      <c r="J16" s="16">
        <v>0.30890000000000001</v>
      </c>
      <c r="K16" s="16">
        <v>8.8800000000000004E-2</v>
      </c>
      <c r="L16" s="16">
        <v>0.1133</v>
      </c>
      <c r="M16" s="16">
        <v>0.28439999999999999</v>
      </c>
      <c r="N16" s="16">
        <v>4.8000000000000001E-2</v>
      </c>
      <c r="O16" s="16">
        <v>6.4299999999999996E-2</v>
      </c>
      <c r="P16" s="16">
        <v>0.315</v>
      </c>
      <c r="Q16" s="16">
        <v>6.6299999999999998E-2</v>
      </c>
      <c r="R16" s="16">
        <v>0.19059999999999999</v>
      </c>
      <c r="S16" s="16">
        <v>0.20710000000000001</v>
      </c>
      <c r="T16" s="16">
        <v>0.10290000000000001</v>
      </c>
      <c r="U16" s="16">
        <v>0.2621</v>
      </c>
      <c r="V16" s="16">
        <v>8.0699999999999994E-2</v>
      </c>
      <c r="W16" s="16">
        <v>2.9241000000000001</v>
      </c>
      <c r="X16" s="16">
        <v>2.9344000000000001</v>
      </c>
      <c r="Y16" s="16">
        <v>0.47289999999999999</v>
      </c>
      <c r="Z16" s="16">
        <v>0.31919999999999998</v>
      </c>
      <c r="AA16" s="16">
        <v>7.2499999999999995E-2</v>
      </c>
      <c r="AB16" s="16">
        <v>4.8000000000000001E-2</v>
      </c>
      <c r="AC16" s="16">
        <v>0.2276</v>
      </c>
      <c r="AD16" s="16">
        <v>0.1701</v>
      </c>
      <c r="AE16" s="16">
        <v>8.8800000000000004E-2</v>
      </c>
      <c r="AF16" s="16">
        <v>0.18679999999999999</v>
      </c>
      <c r="AG16" s="16">
        <v>0.1701</v>
      </c>
      <c r="AH16" s="16">
        <v>0.2276</v>
      </c>
      <c r="AI16" s="16">
        <v>6.0199999999999997E-2</v>
      </c>
      <c r="AJ16" s="16">
        <v>0.36980000000000002</v>
      </c>
      <c r="AK16" s="16">
        <v>0.1464</v>
      </c>
      <c r="AL16" s="16">
        <v>0.17810000000000001</v>
      </c>
      <c r="AM16" s="16">
        <v>0.22889999999999999</v>
      </c>
      <c r="AN16" s="16">
        <v>0.17960000000000001</v>
      </c>
      <c r="AO16" s="16">
        <v>8.6300000000000002E-2</v>
      </c>
      <c r="AP16" s="16">
        <v>0.44500000000000001</v>
      </c>
      <c r="AQ16" s="16">
        <v>0.58599999999999997</v>
      </c>
      <c r="AR16" s="16">
        <v>0.3306</v>
      </c>
      <c r="AS16" s="16">
        <v>0.41880000000000001</v>
      </c>
      <c r="AT16" s="16">
        <v>0.69599999999999995</v>
      </c>
      <c r="AU16" s="16">
        <v>0.29249999999999998</v>
      </c>
      <c r="AV16" s="16">
        <v>0.1051</v>
      </c>
      <c r="AW16" s="16">
        <v>4.8000000000000001E-2</v>
      </c>
      <c r="AX16" s="16">
        <v>0.11119999999999999</v>
      </c>
    </row>
    <row r="17" spans="1:50" x14ac:dyDescent="0.25">
      <c r="A17" s="17" t="s">
        <v>171</v>
      </c>
      <c r="B17" s="13" t="s">
        <v>168</v>
      </c>
      <c r="C17" s="18">
        <v>0.05</v>
      </c>
      <c r="D17" s="18">
        <v>0.13320000000000001</v>
      </c>
      <c r="E17" s="18">
        <v>0.05</v>
      </c>
      <c r="F17" s="18">
        <v>0.13320000000000001</v>
      </c>
      <c r="G17" s="18">
        <v>0.05</v>
      </c>
      <c r="H17" s="18">
        <v>6.3899999999999998E-2</v>
      </c>
      <c r="I17" s="18">
        <v>0.1193</v>
      </c>
      <c r="J17" s="18">
        <v>0.05</v>
      </c>
      <c r="K17" s="18">
        <v>0.05</v>
      </c>
      <c r="L17" s="18">
        <v>0.05</v>
      </c>
      <c r="M17" s="18">
        <v>0.05</v>
      </c>
      <c r="N17" s="18">
        <v>0.13320000000000001</v>
      </c>
      <c r="O17" s="18">
        <v>0.05</v>
      </c>
      <c r="P17" s="18">
        <v>0.05</v>
      </c>
      <c r="Q17" s="18">
        <v>6.3899999999999998E-2</v>
      </c>
      <c r="R17" s="18">
        <v>0.1193</v>
      </c>
      <c r="S17" s="18">
        <v>0.05</v>
      </c>
      <c r="T17" s="18">
        <v>0.05</v>
      </c>
      <c r="U17" s="18">
        <v>0.13320000000000001</v>
      </c>
      <c r="V17" s="18">
        <v>0.05</v>
      </c>
      <c r="W17" s="18">
        <v>0.13320000000000001</v>
      </c>
      <c r="X17" s="18">
        <v>0.12839999999999999</v>
      </c>
      <c r="Y17" s="18">
        <v>0.13320000000000001</v>
      </c>
      <c r="Z17" s="18">
        <v>0.05</v>
      </c>
      <c r="AA17" s="18">
        <v>0.25559999999999999</v>
      </c>
      <c r="AB17" s="18">
        <v>0.34389999999999998</v>
      </c>
      <c r="AC17" s="18">
        <v>0.51600000000000001</v>
      </c>
      <c r="AD17" s="18">
        <v>0.21659999999999999</v>
      </c>
      <c r="AE17" s="18">
        <v>0.25290000000000001</v>
      </c>
      <c r="AF17" s="18">
        <v>0.18010000000000001</v>
      </c>
      <c r="AG17" s="18">
        <v>0.27039999999999997</v>
      </c>
      <c r="AH17" s="18">
        <v>0.4909</v>
      </c>
      <c r="AI17" s="18">
        <v>0.28610000000000002</v>
      </c>
      <c r="AJ17" s="18">
        <v>0.12559999999999999</v>
      </c>
      <c r="AK17" s="18">
        <v>0.2225</v>
      </c>
      <c r="AL17" s="18">
        <v>8.9300000000000004E-2</v>
      </c>
      <c r="AM17" s="18">
        <v>0.27079999999999999</v>
      </c>
      <c r="AN17" s="18">
        <v>0.23250000000000001</v>
      </c>
      <c r="AO17" s="18">
        <v>0.37359999999999999</v>
      </c>
      <c r="AP17" s="18">
        <v>1.3265</v>
      </c>
      <c r="AQ17" s="18">
        <v>0.47139999999999999</v>
      </c>
      <c r="AR17" s="18">
        <v>0.50019999999999998</v>
      </c>
      <c r="AS17" s="18">
        <v>0.40689999999999998</v>
      </c>
      <c r="AT17" s="18">
        <v>0.45340000000000003</v>
      </c>
      <c r="AU17" s="18">
        <v>0.27300000000000002</v>
      </c>
      <c r="AV17" s="18">
        <v>0.503</v>
      </c>
      <c r="AW17" s="18">
        <v>0.45590000000000003</v>
      </c>
      <c r="AX17" s="18">
        <v>0.311</v>
      </c>
    </row>
    <row r="18" spans="1:50" x14ac:dyDescent="0.25">
      <c r="A18" s="17" t="s">
        <v>173</v>
      </c>
      <c r="B18" s="13" t="s">
        <v>168</v>
      </c>
      <c r="C18" s="18">
        <v>5.7000000000000002E-2</v>
      </c>
      <c r="D18" s="18">
        <v>5.7000000000000002E-2</v>
      </c>
      <c r="E18" s="18">
        <v>5.7000000000000002E-2</v>
      </c>
      <c r="F18" s="18">
        <v>0.17549999999999999</v>
      </c>
      <c r="G18" s="18">
        <v>5.7000000000000002E-2</v>
      </c>
      <c r="H18" s="18">
        <v>0.17549999999999999</v>
      </c>
      <c r="I18" s="18">
        <v>5.7000000000000002E-2</v>
      </c>
      <c r="J18" s="18">
        <v>0.1636</v>
      </c>
      <c r="K18" s="18">
        <v>6.88E-2</v>
      </c>
      <c r="L18" s="18">
        <v>0.1636</v>
      </c>
      <c r="M18" s="18">
        <v>6.88E-2</v>
      </c>
      <c r="N18" s="18">
        <v>5.7000000000000002E-2</v>
      </c>
      <c r="O18" s="18">
        <v>9.8500000000000004E-2</v>
      </c>
      <c r="P18" s="18">
        <v>0.13400000000000001</v>
      </c>
      <c r="Q18" s="18">
        <v>5.7000000000000002E-2</v>
      </c>
      <c r="R18" s="18">
        <v>8.6599999999999996E-2</v>
      </c>
      <c r="S18" s="18">
        <v>0.31219999999999998</v>
      </c>
      <c r="T18" s="18">
        <v>0.72629999999999995</v>
      </c>
      <c r="U18" s="18">
        <v>0.28189999999999998</v>
      </c>
      <c r="V18" s="18">
        <v>0.31869999999999998</v>
      </c>
      <c r="W18" s="18">
        <v>0.26650000000000001</v>
      </c>
      <c r="X18" s="18">
        <v>0.2031</v>
      </c>
      <c r="Y18" s="18">
        <v>0.1201</v>
      </c>
      <c r="Z18" s="18">
        <v>0.2157</v>
      </c>
      <c r="AA18" s="18">
        <v>5.7000000000000002E-2</v>
      </c>
      <c r="AB18" s="18">
        <v>0.17549999999999999</v>
      </c>
      <c r="AC18" s="18">
        <v>0.1077</v>
      </c>
      <c r="AD18" s="18">
        <v>0.3644</v>
      </c>
      <c r="AE18" s="18">
        <v>0.30349999999999999</v>
      </c>
      <c r="AF18" s="18">
        <v>0.36730000000000002</v>
      </c>
      <c r="AG18" s="18">
        <v>0.39079999999999998</v>
      </c>
      <c r="AH18" s="18">
        <v>0.14530000000000001</v>
      </c>
      <c r="AI18" s="18">
        <v>0.19869999999999999</v>
      </c>
      <c r="AJ18" s="18">
        <v>0.30209999999999998</v>
      </c>
      <c r="AK18" s="18">
        <v>5.7000000000000002E-2</v>
      </c>
      <c r="AL18" s="18">
        <v>0.2873</v>
      </c>
      <c r="AM18" s="18">
        <v>0.22489999999999999</v>
      </c>
      <c r="AN18" s="18">
        <v>7.4800000000000005E-2</v>
      </c>
      <c r="AO18" s="18">
        <v>5.7000000000000002E-2</v>
      </c>
      <c r="AP18" s="18">
        <v>0.1636</v>
      </c>
      <c r="AQ18" s="18">
        <v>6.88E-2</v>
      </c>
      <c r="AR18" s="18">
        <v>9.2499999999999999E-2</v>
      </c>
      <c r="AS18" s="18">
        <v>0.1399</v>
      </c>
      <c r="AT18" s="18">
        <v>9.2499999999999999E-2</v>
      </c>
      <c r="AU18" s="18">
        <v>0.1399</v>
      </c>
      <c r="AV18" s="18">
        <v>5.7000000000000002E-2</v>
      </c>
      <c r="AW18" s="18">
        <v>5.7000000000000002E-2</v>
      </c>
      <c r="AX18" s="18">
        <v>0.1399</v>
      </c>
    </row>
    <row r="19" spans="1:50" x14ac:dyDescent="0.25">
      <c r="A19" s="8" t="s">
        <v>76</v>
      </c>
      <c r="B19" s="10" t="s">
        <v>57</v>
      </c>
      <c r="C19" s="16">
        <v>3.2000000000000001E-2</v>
      </c>
      <c r="D19" s="16">
        <v>3.2000000000000001E-2</v>
      </c>
      <c r="E19" s="16">
        <v>3.2000000000000001E-2</v>
      </c>
      <c r="F19" s="16">
        <v>3.2000000000000001E-2</v>
      </c>
      <c r="G19" s="16">
        <v>3.2000000000000001E-2</v>
      </c>
      <c r="H19" s="16">
        <v>3.2000000000000001E-2</v>
      </c>
      <c r="I19" s="16">
        <v>3.2000000000000001E-2</v>
      </c>
      <c r="J19" s="16">
        <v>3.2000000000000001E-2</v>
      </c>
      <c r="K19" s="16">
        <v>3.2000000000000001E-2</v>
      </c>
      <c r="L19" s="16">
        <v>3.2000000000000001E-2</v>
      </c>
      <c r="M19" s="16">
        <v>3.2000000000000001E-2</v>
      </c>
      <c r="N19" s="16">
        <v>3.2000000000000001E-2</v>
      </c>
      <c r="O19" s="16">
        <v>3.2000000000000001E-2</v>
      </c>
      <c r="P19" s="16">
        <v>3.2000000000000001E-2</v>
      </c>
      <c r="Q19" s="16">
        <v>3.2000000000000001E-2</v>
      </c>
      <c r="R19" s="16">
        <v>3.2000000000000001E-2</v>
      </c>
      <c r="S19" s="16">
        <v>1.4943</v>
      </c>
      <c r="T19" s="16">
        <v>1.2897000000000001</v>
      </c>
      <c r="U19" s="16">
        <v>3.3300000000000003E-2</v>
      </c>
      <c r="V19" s="16">
        <v>0.15160000000000001</v>
      </c>
      <c r="W19" s="16">
        <v>0.32100000000000001</v>
      </c>
      <c r="X19" s="16">
        <v>0.3095</v>
      </c>
      <c r="Y19" s="16">
        <v>0.22750000000000001</v>
      </c>
      <c r="Z19" s="16">
        <v>0.27360000000000001</v>
      </c>
      <c r="AA19" s="16">
        <v>0.26829999999999998</v>
      </c>
      <c r="AB19" s="16">
        <v>0.1454</v>
      </c>
      <c r="AC19" s="16">
        <v>3.2000000000000001E-2</v>
      </c>
      <c r="AD19" s="16">
        <v>3.2000000000000001E-2</v>
      </c>
      <c r="AE19" s="16">
        <v>3.2000000000000001E-2</v>
      </c>
      <c r="AF19" s="16">
        <v>7.8899999999999998E-2</v>
      </c>
      <c r="AG19" s="16">
        <v>3.2000000000000001E-2</v>
      </c>
      <c r="AH19" s="16">
        <v>0.1908</v>
      </c>
      <c r="AI19" s="16">
        <v>0.2482</v>
      </c>
      <c r="AJ19" s="16">
        <v>7.9299999999999995E-2</v>
      </c>
      <c r="AK19" s="16">
        <v>0.47639999999999999</v>
      </c>
      <c r="AL19" s="16">
        <v>0.48049999999999998</v>
      </c>
      <c r="AM19" s="16">
        <v>0.2702</v>
      </c>
      <c r="AN19" s="16">
        <v>0.32969999999999999</v>
      </c>
      <c r="AO19" s="16">
        <v>0.38700000000000001</v>
      </c>
      <c r="AP19" s="16">
        <v>0.59360000000000002</v>
      </c>
      <c r="AQ19" s="16">
        <v>0.19869999999999999</v>
      </c>
      <c r="AR19" s="16">
        <v>0.38119999999999998</v>
      </c>
      <c r="AS19" s="16">
        <v>0.37659999999999999</v>
      </c>
      <c r="AT19" s="16">
        <v>1.1606000000000001</v>
      </c>
      <c r="AU19" s="16">
        <v>0.49509999999999998</v>
      </c>
      <c r="AV19" s="16">
        <v>0.53890000000000005</v>
      </c>
      <c r="AW19" s="16">
        <v>6.4299999999999996E-2</v>
      </c>
      <c r="AX19" s="16">
        <v>4.5199999999999997E-2</v>
      </c>
    </row>
    <row r="20" spans="1:50" x14ac:dyDescent="0.25">
      <c r="A20" s="8" t="s">
        <v>78</v>
      </c>
      <c r="B20" s="10" t="s">
        <v>57</v>
      </c>
      <c r="C20" s="16">
        <v>3.1E-2</v>
      </c>
      <c r="D20" s="16">
        <v>0.12670000000000001</v>
      </c>
      <c r="E20" s="16">
        <v>4.7899999999999998E-2</v>
      </c>
      <c r="F20" s="16">
        <v>8.1600000000000006E-2</v>
      </c>
      <c r="G20" s="16">
        <v>9.2899999999999996E-2</v>
      </c>
      <c r="H20" s="16">
        <v>3.1E-2</v>
      </c>
      <c r="I20" s="16">
        <v>3.1E-2</v>
      </c>
      <c r="J20" s="16">
        <v>8.1600000000000006E-2</v>
      </c>
      <c r="K20" s="16">
        <v>9.2899999999999996E-2</v>
      </c>
      <c r="L20" s="16">
        <v>3.1E-2</v>
      </c>
      <c r="M20" s="16">
        <v>0.14349999999999999</v>
      </c>
      <c r="N20" s="16">
        <v>3.1E-2</v>
      </c>
      <c r="O20" s="16">
        <v>0.14349999999999999</v>
      </c>
      <c r="P20" s="16">
        <v>3.1E-2</v>
      </c>
      <c r="Q20" s="16">
        <v>9.8500000000000004E-2</v>
      </c>
      <c r="R20" s="16">
        <v>7.5999999999999998E-2</v>
      </c>
      <c r="S20" s="16">
        <v>3.1E-2</v>
      </c>
      <c r="T20" s="16">
        <v>3.1E-2</v>
      </c>
      <c r="U20" s="16">
        <v>0.14349999999999999</v>
      </c>
      <c r="V20" s="16">
        <v>3.1E-2</v>
      </c>
      <c r="W20" s="16">
        <v>0.1041</v>
      </c>
      <c r="X20" s="16">
        <v>7.0400000000000004E-2</v>
      </c>
      <c r="Y20" s="16">
        <v>3.1E-2</v>
      </c>
      <c r="Z20" s="16">
        <v>0.12230000000000001</v>
      </c>
      <c r="AA20" s="16">
        <v>6.6500000000000004E-2</v>
      </c>
      <c r="AB20" s="16">
        <v>8.7300000000000003E-2</v>
      </c>
      <c r="AC20" s="16">
        <v>8.7300000000000003E-2</v>
      </c>
      <c r="AD20" s="16">
        <v>3.1E-2</v>
      </c>
      <c r="AE20" s="16">
        <v>9.2899999999999996E-2</v>
      </c>
      <c r="AF20" s="16">
        <v>8.1600000000000006E-2</v>
      </c>
      <c r="AG20" s="16">
        <v>0.28160000000000002</v>
      </c>
      <c r="AH20" s="16">
        <v>0.185</v>
      </c>
      <c r="AI20" s="16">
        <v>3.1E-2</v>
      </c>
      <c r="AJ20" s="16">
        <v>0.14349999999999999</v>
      </c>
      <c r="AK20" s="16">
        <v>3.95E-2</v>
      </c>
      <c r="AL20" s="16">
        <v>0.30149999999999999</v>
      </c>
      <c r="AM20" s="16">
        <v>0.1736</v>
      </c>
      <c r="AN20" s="16">
        <v>0.13919999999999999</v>
      </c>
      <c r="AO20" s="16">
        <v>0.3241</v>
      </c>
      <c r="AP20" s="16">
        <v>0.4879</v>
      </c>
      <c r="AQ20" s="16">
        <v>0.85599999999999998</v>
      </c>
      <c r="AR20" s="16">
        <v>0.72660000000000002</v>
      </c>
      <c r="AS20" s="16">
        <v>0.6855</v>
      </c>
      <c r="AT20" s="16">
        <v>0.41370000000000001</v>
      </c>
      <c r="AU20" s="16">
        <v>0.14349999999999999</v>
      </c>
      <c r="AV20" s="16">
        <v>3.1E-2</v>
      </c>
      <c r="AW20" s="16">
        <v>3.1E-2</v>
      </c>
      <c r="AX20" s="16">
        <v>0.14349999999999999</v>
      </c>
    </row>
    <row r="21" spans="1:50" x14ac:dyDescent="0.25">
      <c r="A21" s="17" t="s">
        <v>175</v>
      </c>
      <c r="B21" s="13" t="s">
        <v>168</v>
      </c>
      <c r="C21" s="18">
        <v>5.5E-2</v>
      </c>
      <c r="D21" s="18">
        <v>5.5E-2</v>
      </c>
      <c r="E21" s="18">
        <v>0.21429999999999999</v>
      </c>
      <c r="F21" s="18">
        <v>5.5E-2</v>
      </c>
      <c r="G21" s="18">
        <v>0.1636</v>
      </c>
      <c r="H21" s="18">
        <v>0.1057</v>
      </c>
      <c r="I21" s="18">
        <v>7.6700000000000004E-2</v>
      </c>
      <c r="J21" s="18">
        <v>0.1925</v>
      </c>
      <c r="K21" s="18">
        <v>5.5E-2</v>
      </c>
      <c r="L21" s="18">
        <v>5.5E-2</v>
      </c>
      <c r="M21" s="18">
        <v>5.5E-2</v>
      </c>
      <c r="N21" s="18">
        <v>0.1419</v>
      </c>
      <c r="O21" s="18">
        <v>0.12740000000000001</v>
      </c>
      <c r="P21" s="18">
        <v>6.9500000000000006E-2</v>
      </c>
      <c r="Q21" s="18">
        <v>0.19980000000000001</v>
      </c>
      <c r="R21" s="18">
        <v>5.5E-2</v>
      </c>
      <c r="S21" s="18">
        <v>0.17080000000000001</v>
      </c>
      <c r="T21" s="18">
        <v>9.8400000000000001E-2</v>
      </c>
      <c r="U21" s="18">
        <v>5.5E-2</v>
      </c>
      <c r="V21" s="18">
        <v>5.5E-2</v>
      </c>
      <c r="W21" s="18">
        <v>0.21060000000000001</v>
      </c>
      <c r="X21" s="18">
        <v>6.2199999999999998E-2</v>
      </c>
      <c r="Y21" s="18">
        <v>5.5E-2</v>
      </c>
      <c r="Z21" s="18">
        <v>9.1200000000000003E-2</v>
      </c>
      <c r="AA21" s="18">
        <v>0.17810000000000001</v>
      </c>
      <c r="AB21" s="18">
        <v>5.5E-2</v>
      </c>
      <c r="AC21" s="18">
        <v>5.5E-2</v>
      </c>
      <c r="AD21" s="18">
        <v>0.1925</v>
      </c>
      <c r="AE21" s="18">
        <v>7.6700000000000004E-2</v>
      </c>
      <c r="AF21" s="18">
        <v>5.5E-2</v>
      </c>
      <c r="AG21" s="18">
        <v>5.5E-2</v>
      </c>
      <c r="AH21" s="18">
        <v>0.21429999999999999</v>
      </c>
      <c r="AI21" s="18">
        <v>6.5500000000000003E-2</v>
      </c>
      <c r="AJ21" s="18">
        <v>0.20699999999999999</v>
      </c>
      <c r="AK21" s="18">
        <v>6.2199999999999998E-2</v>
      </c>
      <c r="AL21" s="18">
        <v>5.5E-2</v>
      </c>
      <c r="AM21" s="18">
        <v>0.1636</v>
      </c>
      <c r="AN21" s="18">
        <v>0.1057</v>
      </c>
      <c r="AO21" s="18">
        <v>0.1057</v>
      </c>
      <c r="AP21" s="18">
        <v>0.1636</v>
      </c>
      <c r="AQ21" s="18">
        <v>5.5E-2</v>
      </c>
      <c r="AR21" s="18">
        <v>6.2199999999999998E-2</v>
      </c>
      <c r="AS21" s="18">
        <v>0.20699999999999999</v>
      </c>
      <c r="AT21" s="18">
        <v>5.5E-2</v>
      </c>
      <c r="AU21" s="18">
        <v>0.21429999999999999</v>
      </c>
      <c r="AV21" s="18">
        <v>5.5E-2</v>
      </c>
      <c r="AW21" s="18">
        <v>8.4000000000000005E-2</v>
      </c>
      <c r="AX21" s="18">
        <v>0.18529999999999999</v>
      </c>
    </row>
    <row r="22" spans="1:50" x14ac:dyDescent="0.25">
      <c r="A22" s="8" t="s">
        <v>80</v>
      </c>
      <c r="B22" s="10" t="s">
        <v>57</v>
      </c>
      <c r="C22" s="16">
        <v>6.4299999999999996E-2</v>
      </c>
      <c r="D22" s="16">
        <v>0.15509999999999999</v>
      </c>
      <c r="E22" s="16">
        <v>5.2999999999999999E-2</v>
      </c>
      <c r="F22" s="16">
        <v>5.2999999999999999E-2</v>
      </c>
      <c r="G22" s="16">
        <v>0.16639999999999999</v>
      </c>
      <c r="H22" s="16">
        <v>5.2999999999999999E-2</v>
      </c>
      <c r="I22" s="16">
        <v>0.104</v>
      </c>
      <c r="J22" s="16">
        <v>0.1154</v>
      </c>
      <c r="K22" s="16">
        <v>5.2999999999999999E-2</v>
      </c>
      <c r="L22" s="16">
        <v>0.16639999999999999</v>
      </c>
      <c r="M22" s="16">
        <v>5.2999999999999999E-2</v>
      </c>
      <c r="N22" s="16">
        <v>0.14369999999999999</v>
      </c>
      <c r="O22" s="16">
        <v>7.5700000000000003E-2</v>
      </c>
      <c r="P22" s="16">
        <v>0.156</v>
      </c>
      <c r="Q22" s="16">
        <v>0.94650000000000001</v>
      </c>
      <c r="R22" s="16">
        <v>0.13739999999999999</v>
      </c>
      <c r="S22" s="16">
        <v>8.6999999999999994E-2</v>
      </c>
      <c r="T22" s="16">
        <v>5.3699999999999998E-2</v>
      </c>
      <c r="U22" s="16">
        <v>1.1197999999999999</v>
      </c>
      <c r="V22" s="16">
        <v>0.13270000000000001</v>
      </c>
      <c r="W22" s="16">
        <v>5.2999999999999999E-2</v>
      </c>
      <c r="X22" s="16">
        <v>5.2999999999999999E-2</v>
      </c>
      <c r="Y22" s="16">
        <v>5.2999999999999999E-2</v>
      </c>
      <c r="Z22" s="16">
        <v>0.1381</v>
      </c>
      <c r="AA22" s="16">
        <v>0.33160000000000001</v>
      </c>
      <c r="AB22" s="16">
        <v>8.2799999999999999E-2</v>
      </c>
      <c r="AC22" s="16">
        <v>0.16869999999999999</v>
      </c>
      <c r="AD22" s="16">
        <v>0.12959999999999999</v>
      </c>
      <c r="AE22" s="16">
        <v>7.5700000000000003E-2</v>
      </c>
      <c r="AF22" s="16">
        <v>0.14369999999999999</v>
      </c>
      <c r="AG22" s="16">
        <v>5.2999999999999999E-2</v>
      </c>
      <c r="AH22" s="16">
        <v>0.14940000000000001</v>
      </c>
      <c r="AI22" s="16">
        <v>0.10539999999999999</v>
      </c>
      <c r="AJ22" s="16">
        <v>7.6600000000000001E-2</v>
      </c>
      <c r="AK22" s="16">
        <v>5.2999999999999999E-2</v>
      </c>
      <c r="AL22" s="16">
        <v>5.2999999999999999E-2</v>
      </c>
      <c r="AM22" s="16">
        <v>0.15049999999999999</v>
      </c>
      <c r="AN22" s="16">
        <v>0.16639999999999999</v>
      </c>
      <c r="AO22" s="16">
        <v>5.2999999999999999E-2</v>
      </c>
      <c r="AP22" s="16">
        <v>5.2999999999999999E-2</v>
      </c>
      <c r="AQ22" s="16">
        <v>5.2999999999999999E-2</v>
      </c>
      <c r="AR22" s="16">
        <v>0.12670000000000001</v>
      </c>
      <c r="AS22" s="16">
        <v>9.2700000000000005E-2</v>
      </c>
      <c r="AT22" s="16">
        <v>5.2999999999999999E-2</v>
      </c>
      <c r="AU22" s="16">
        <v>5.2999999999999999E-2</v>
      </c>
      <c r="AV22" s="16">
        <v>9.2700000000000005E-2</v>
      </c>
      <c r="AW22" s="16">
        <v>0.12670000000000001</v>
      </c>
      <c r="AX22" s="16">
        <v>5.2999999999999999E-2</v>
      </c>
    </row>
    <row r="23" spans="1:50" x14ac:dyDescent="0.25">
      <c r="A23" s="17" t="s">
        <v>177</v>
      </c>
      <c r="B23" s="13" t="s">
        <v>168</v>
      </c>
      <c r="C23" s="18">
        <v>0.19159999999999999</v>
      </c>
      <c r="D23" s="18">
        <v>0.21790000000000001</v>
      </c>
      <c r="E23" s="18">
        <v>8.0100000000000005E-2</v>
      </c>
      <c r="F23" s="18">
        <v>0.30559999999999998</v>
      </c>
      <c r="G23" s="18">
        <v>0.15079999999999999</v>
      </c>
      <c r="H23" s="18">
        <v>0.1487</v>
      </c>
      <c r="I23" s="18">
        <v>0.3145</v>
      </c>
      <c r="J23" s="18">
        <v>9.4600000000000004E-2</v>
      </c>
      <c r="K23" s="18">
        <v>0.2074</v>
      </c>
      <c r="L23" s="18">
        <v>0.21529999999999999</v>
      </c>
      <c r="M23" s="18">
        <v>5.3999999999999999E-2</v>
      </c>
      <c r="N23" s="18">
        <v>0.26040000000000002</v>
      </c>
      <c r="O23" s="18">
        <v>0.20280000000000001</v>
      </c>
      <c r="P23" s="18">
        <v>0.17649999999999999</v>
      </c>
      <c r="Q23" s="18">
        <v>0.13789999999999999</v>
      </c>
      <c r="R23" s="18">
        <v>0.26719999999999999</v>
      </c>
      <c r="S23" s="18">
        <v>0.16370000000000001</v>
      </c>
      <c r="T23" s="18">
        <v>0.20669999999999999</v>
      </c>
      <c r="U23" s="18">
        <v>0.29509999999999997</v>
      </c>
      <c r="V23" s="18">
        <v>0.17019999999999999</v>
      </c>
      <c r="W23" s="18">
        <v>0.8387</v>
      </c>
      <c r="X23" s="18">
        <v>0.23050000000000001</v>
      </c>
      <c r="Y23" s="18">
        <v>0.57310000000000005</v>
      </c>
      <c r="Z23" s="18">
        <v>0.31069999999999998</v>
      </c>
      <c r="AA23" s="18">
        <v>0.32690000000000002</v>
      </c>
      <c r="AB23" s="18">
        <v>0.50260000000000005</v>
      </c>
      <c r="AC23" s="18">
        <v>0.2903</v>
      </c>
      <c r="AD23" s="18">
        <v>0.49469999999999997</v>
      </c>
      <c r="AE23" s="18">
        <v>0.15340000000000001</v>
      </c>
      <c r="AF23" s="18">
        <v>0.33529999999999999</v>
      </c>
      <c r="AG23" s="18">
        <v>0.45689999999999997</v>
      </c>
      <c r="AH23" s="18">
        <v>0.33550000000000002</v>
      </c>
      <c r="AI23" s="18">
        <v>0.58330000000000004</v>
      </c>
      <c r="AJ23" s="18">
        <v>0.4219</v>
      </c>
      <c r="AK23" s="18">
        <v>0.63590000000000002</v>
      </c>
      <c r="AL23" s="18">
        <v>0.72230000000000005</v>
      </c>
      <c r="AM23" s="18">
        <v>2.3691</v>
      </c>
      <c r="AN23" s="18">
        <v>0.49009999999999998</v>
      </c>
      <c r="AO23" s="18">
        <v>0.41870000000000002</v>
      </c>
      <c r="AP23" s="18">
        <v>0.72050000000000003</v>
      </c>
      <c r="AQ23" s="18">
        <v>0.77470000000000006</v>
      </c>
      <c r="AR23" s="18">
        <v>1.2072000000000001</v>
      </c>
      <c r="AS23" s="18">
        <v>1.0810999999999999</v>
      </c>
      <c r="AT23" s="18">
        <v>0.86080000000000001</v>
      </c>
      <c r="AU23" s="18">
        <v>1.8940999999999999</v>
      </c>
      <c r="AV23" s="18">
        <v>0.75829999999999997</v>
      </c>
      <c r="AW23" s="18">
        <v>2.2277999999999998</v>
      </c>
      <c r="AX23" s="18">
        <v>0.21690000000000001</v>
      </c>
    </row>
    <row r="24" spans="1:50" x14ac:dyDescent="0.25">
      <c r="A24" s="8" t="s">
        <v>82</v>
      </c>
      <c r="B24" s="10" t="s">
        <v>57</v>
      </c>
      <c r="C24" s="16">
        <v>0.18629999999999999</v>
      </c>
      <c r="D24" s="16">
        <v>0.12709999999999999</v>
      </c>
      <c r="E24" s="16">
        <v>0.05</v>
      </c>
      <c r="F24" s="16">
        <v>0.1489</v>
      </c>
      <c r="G24" s="16">
        <v>0.1043</v>
      </c>
      <c r="H24" s="16">
        <v>0.17199999999999999</v>
      </c>
      <c r="I24" s="16">
        <v>0.1414</v>
      </c>
      <c r="J24" s="16">
        <v>0.11020000000000001</v>
      </c>
      <c r="K24" s="16">
        <v>0.186</v>
      </c>
      <c r="L24" s="16">
        <v>0.12740000000000001</v>
      </c>
      <c r="M24" s="16">
        <v>0.05</v>
      </c>
      <c r="N24" s="16">
        <v>0.2387</v>
      </c>
      <c r="O24" s="16">
        <v>7.4700000000000003E-2</v>
      </c>
      <c r="P24" s="16">
        <v>0.1167</v>
      </c>
      <c r="Q24" s="16">
        <v>0.1968</v>
      </c>
      <c r="R24" s="16">
        <v>9.2999999999999999E-2</v>
      </c>
      <c r="S24" s="16">
        <v>0.1091</v>
      </c>
      <c r="T24" s="16">
        <v>0.1613</v>
      </c>
      <c r="U24" s="16">
        <v>7.3800000000000004E-2</v>
      </c>
      <c r="V24" s="16">
        <v>0.68140000000000001</v>
      </c>
      <c r="W24" s="16">
        <v>2.1110000000000002</v>
      </c>
      <c r="X24" s="16">
        <v>0.82799999999999996</v>
      </c>
      <c r="Y24" s="16">
        <v>5.8599999999999999E-2</v>
      </c>
      <c r="Z24" s="16">
        <v>0.186</v>
      </c>
      <c r="AA24" s="16">
        <v>0.12740000000000001</v>
      </c>
      <c r="AB24" s="16">
        <v>0.05</v>
      </c>
      <c r="AC24" s="16">
        <v>0.18310000000000001</v>
      </c>
      <c r="AD24" s="16">
        <v>0.64470000000000005</v>
      </c>
      <c r="AE24" s="16">
        <v>7.51E-2</v>
      </c>
      <c r="AF24" s="16">
        <v>0.13589999999999999</v>
      </c>
      <c r="AG24" s="16">
        <v>0.12280000000000001</v>
      </c>
      <c r="AH24" s="16">
        <v>0.14729999999999999</v>
      </c>
      <c r="AI24" s="16">
        <v>0.1489</v>
      </c>
      <c r="AJ24" s="16">
        <v>0.05</v>
      </c>
      <c r="AK24" s="16">
        <v>0.26340000000000002</v>
      </c>
      <c r="AL24" s="16">
        <v>0.05</v>
      </c>
      <c r="AM24" s="16">
        <v>0.12989999999999999</v>
      </c>
      <c r="AN24" s="16">
        <v>0.38800000000000001</v>
      </c>
      <c r="AO24" s="16">
        <v>0.39950000000000002</v>
      </c>
      <c r="AP24" s="16">
        <v>0.79430000000000001</v>
      </c>
      <c r="AQ24" s="16">
        <v>0.72160000000000002</v>
      </c>
      <c r="AR24" s="16">
        <v>0.91259999999999997</v>
      </c>
      <c r="AS24" s="16">
        <v>0.39069999999999999</v>
      </c>
      <c r="AT24" s="16">
        <v>0.42409999999999998</v>
      </c>
      <c r="AU24" s="16">
        <v>0.40689999999999998</v>
      </c>
      <c r="AV24" s="16">
        <v>0.47189999999999999</v>
      </c>
      <c r="AW24" s="16">
        <v>0.57840000000000003</v>
      </c>
      <c r="AX24" s="16">
        <v>5.8599999999999999E-2</v>
      </c>
    </row>
    <row r="25" spans="1:50" x14ac:dyDescent="0.25">
      <c r="A25" s="17" t="s">
        <v>179</v>
      </c>
      <c r="B25" s="13" t="s">
        <v>168</v>
      </c>
      <c r="C25" s="18">
        <v>0.22900000000000001</v>
      </c>
      <c r="D25" s="18">
        <v>0.10780000000000001</v>
      </c>
      <c r="E25" s="18">
        <v>0.111</v>
      </c>
      <c r="F25" s="18">
        <v>0.22220000000000001</v>
      </c>
      <c r="G25" s="18">
        <v>7.4899999999999994E-2</v>
      </c>
      <c r="H25" s="18">
        <v>0.14699999999999999</v>
      </c>
      <c r="I25" s="18">
        <v>0.1971</v>
      </c>
      <c r="J25" s="18">
        <v>5.2999999999999999E-2</v>
      </c>
      <c r="K25" s="18">
        <v>0.17829999999999999</v>
      </c>
      <c r="L25" s="18">
        <v>0.1658</v>
      </c>
      <c r="M25" s="18">
        <v>0.1</v>
      </c>
      <c r="N25" s="18">
        <v>0.24410000000000001</v>
      </c>
      <c r="O25" s="18">
        <v>5.2999999999999999E-2</v>
      </c>
      <c r="P25" s="18">
        <v>0.1893</v>
      </c>
      <c r="Q25" s="18">
        <v>0.20899999999999999</v>
      </c>
      <c r="R25" s="18">
        <v>0.2233</v>
      </c>
      <c r="S25" s="18">
        <v>0.41389999999999999</v>
      </c>
      <c r="T25" s="18">
        <v>1.7158</v>
      </c>
      <c r="U25" s="18">
        <v>0.2412</v>
      </c>
      <c r="V25" s="18">
        <v>2.1623999999999999</v>
      </c>
      <c r="W25" s="18">
        <v>5.2999999999999999E-2</v>
      </c>
      <c r="X25" s="18">
        <v>0.1188</v>
      </c>
      <c r="Y25" s="18">
        <v>0.77759999999999996</v>
      </c>
      <c r="Z25" s="18">
        <v>1.7235</v>
      </c>
      <c r="AA25" s="18">
        <v>1.5585</v>
      </c>
      <c r="AB25" s="18">
        <v>1.6838</v>
      </c>
      <c r="AC25" s="18">
        <v>1.5139</v>
      </c>
      <c r="AD25" s="18">
        <v>0.29959999999999998</v>
      </c>
      <c r="AE25" s="18">
        <v>0.1104</v>
      </c>
      <c r="AF25" s="18">
        <v>0.10050000000000001</v>
      </c>
      <c r="AG25" s="18">
        <v>0.20180000000000001</v>
      </c>
      <c r="AH25" s="18">
        <v>0.14230000000000001</v>
      </c>
      <c r="AI25" s="18">
        <v>5.2999999999999999E-2</v>
      </c>
      <c r="AJ25" s="18">
        <v>0.20599999999999999</v>
      </c>
      <c r="AK25" s="18">
        <v>0.1381</v>
      </c>
      <c r="AL25" s="18">
        <v>0.1958</v>
      </c>
      <c r="AM25" s="18">
        <v>0.27139999999999997</v>
      </c>
      <c r="AN25" s="18">
        <v>0.38740000000000002</v>
      </c>
      <c r="AO25" s="18">
        <v>0.39589999999999997</v>
      </c>
      <c r="AP25" s="18">
        <v>0.70179999999999998</v>
      </c>
      <c r="AQ25" s="18">
        <v>1.0668</v>
      </c>
      <c r="AR25" s="18">
        <v>0.56330000000000002</v>
      </c>
      <c r="AS25" s="18">
        <v>0.72019999999999995</v>
      </c>
      <c r="AT25" s="18">
        <v>0.50590000000000002</v>
      </c>
      <c r="AU25" s="18">
        <v>0.89870000000000005</v>
      </c>
      <c r="AV25" s="18">
        <v>0.67620000000000002</v>
      </c>
      <c r="AW25" s="18">
        <v>1.825</v>
      </c>
      <c r="AX25" s="18">
        <v>0.85629999999999995</v>
      </c>
    </row>
    <row r="26" spans="1:50" x14ac:dyDescent="0.25">
      <c r="A26" s="17" t="s">
        <v>181</v>
      </c>
      <c r="B26" s="13" t="s">
        <v>168</v>
      </c>
      <c r="C26" s="18">
        <v>0.25619999999999998</v>
      </c>
      <c r="D26" s="18">
        <v>9.4600000000000004E-2</v>
      </c>
      <c r="E26" s="18">
        <v>5.0999999999999997E-2</v>
      </c>
      <c r="F26" s="18">
        <v>0.29980000000000001</v>
      </c>
      <c r="G26" s="18">
        <v>5.0999999999999997E-2</v>
      </c>
      <c r="H26" s="18">
        <v>0.1019</v>
      </c>
      <c r="I26" s="18">
        <v>0.24890000000000001</v>
      </c>
      <c r="J26" s="18">
        <v>9.5699999999999993E-2</v>
      </c>
      <c r="K26" s="18">
        <v>0.23019999999999999</v>
      </c>
      <c r="L26" s="18">
        <v>0.1206</v>
      </c>
      <c r="M26" s="18">
        <v>0.1492</v>
      </c>
      <c r="N26" s="18">
        <v>0.157</v>
      </c>
      <c r="O26" s="18">
        <v>0.3337</v>
      </c>
      <c r="P26" s="18">
        <v>0.16270000000000001</v>
      </c>
      <c r="Q26" s="18">
        <v>5.0999999999999997E-2</v>
      </c>
      <c r="R26" s="18">
        <v>0.14030000000000001</v>
      </c>
      <c r="S26" s="18">
        <v>0.16059999999999999</v>
      </c>
      <c r="T26" s="18">
        <v>0.1009</v>
      </c>
      <c r="U26" s="18">
        <v>8.09E-2</v>
      </c>
      <c r="V26" s="18">
        <v>0.70830000000000004</v>
      </c>
      <c r="W26" s="18">
        <v>0.92300000000000004</v>
      </c>
      <c r="X26" s="18">
        <v>0.58279999999999998</v>
      </c>
      <c r="Y26" s="18">
        <v>1.4019999999999999</v>
      </c>
      <c r="Z26" s="18">
        <v>0.2109</v>
      </c>
      <c r="AA26" s="18">
        <v>0.21840000000000001</v>
      </c>
      <c r="AB26" s="18">
        <v>8.2199999999999995E-2</v>
      </c>
      <c r="AC26" s="18">
        <v>5.0999999999999997E-2</v>
      </c>
      <c r="AD26" s="18">
        <v>0.18820000000000001</v>
      </c>
      <c r="AE26" s="18">
        <v>0.15709999999999999</v>
      </c>
      <c r="AF26" s="18">
        <v>5.6599999999999998E-2</v>
      </c>
      <c r="AG26" s="18">
        <v>5.0999999999999997E-2</v>
      </c>
      <c r="AH26" s="18">
        <v>0.1741</v>
      </c>
      <c r="AI26" s="18">
        <v>0.1767</v>
      </c>
      <c r="AJ26" s="18">
        <v>8.4500000000000006E-2</v>
      </c>
      <c r="AK26" s="18">
        <v>0.26379999999999998</v>
      </c>
      <c r="AL26" s="18">
        <v>0.3175</v>
      </c>
      <c r="AM26" s="18">
        <v>0.41320000000000001</v>
      </c>
      <c r="AN26" s="18">
        <v>0.2051</v>
      </c>
      <c r="AO26" s="18">
        <v>0.28449999999999998</v>
      </c>
      <c r="AP26" s="18">
        <v>5.0999999999999997E-2</v>
      </c>
      <c r="AQ26" s="18">
        <v>0.28860000000000002</v>
      </c>
      <c r="AR26" s="18">
        <v>6.2199999999999998E-2</v>
      </c>
      <c r="AS26" s="18">
        <v>0.1754</v>
      </c>
      <c r="AT26" s="18">
        <v>0.27689999999999998</v>
      </c>
      <c r="AU26" s="18">
        <v>8.2199999999999995E-2</v>
      </c>
      <c r="AV26" s="18">
        <v>0.26860000000000001</v>
      </c>
      <c r="AW26" s="18">
        <v>5.0999999999999997E-2</v>
      </c>
      <c r="AX26" s="18">
        <v>0.23089999999999999</v>
      </c>
    </row>
    <row r="27" spans="1:50" x14ac:dyDescent="0.25">
      <c r="A27" s="17" t="s">
        <v>183</v>
      </c>
      <c r="B27" s="13" t="s">
        <v>168</v>
      </c>
      <c r="C27" s="18">
        <v>0.56000000000000005</v>
      </c>
      <c r="D27" s="18">
        <v>0.53349999999999997</v>
      </c>
      <c r="E27" s="18">
        <v>5.5E-2</v>
      </c>
      <c r="F27" s="18">
        <v>5.5E-2</v>
      </c>
      <c r="G27" s="18">
        <v>5.5E-2</v>
      </c>
      <c r="H27" s="18">
        <v>5.5E-2</v>
      </c>
      <c r="I27" s="18">
        <v>5.5E-2</v>
      </c>
      <c r="J27" s="18">
        <v>5.5E-2</v>
      </c>
      <c r="K27" s="18">
        <v>5.5E-2</v>
      </c>
      <c r="L27" s="18">
        <v>5.5E-2</v>
      </c>
      <c r="M27" s="18">
        <v>5.5E-2</v>
      </c>
      <c r="N27" s="18">
        <v>5.5E-2</v>
      </c>
      <c r="O27" s="18">
        <v>0.13519999999999999</v>
      </c>
      <c r="P27" s="18">
        <v>1.1912</v>
      </c>
      <c r="Q27" s="18">
        <v>5.5E-2</v>
      </c>
      <c r="R27" s="18">
        <v>0.1017</v>
      </c>
      <c r="S27" s="18">
        <v>0.2</v>
      </c>
      <c r="T27" s="18">
        <v>0.22650000000000001</v>
      </c>
      <c r="U27" s="18">
        <v>0.22650000000000001</v>
      </c>
      <c r="V27" s="18">
        <v>0.22650000000000001</v>
      </c>
      <c r="W27" s="18">
        <v>0.22650000000000001</v>
      </c>
      <c r="X27" s="18">
        <v>5.5E-2</v>
      </c>
      <c r="Y27" s="18">
        <v>5.5E-2</v>
      </c>
      <c r="Z27" s="18">
        <v>5.5E-2</v>
      </c>
      <c r="AA27" s="18">
        <v>5.5E-2</v>
      </c>
      <c r="AB27" s="18">
        <v>5.5E-2</v>
      </c>
      <c r="AC27" s="18">
        <v>5.5E-2</v>
      </c>
      <c r="AD27" s="18">
        <v>5.5E-2</v>
      </c>
      <c r="AE27" s="18">
        <v>5.5E-2</v>
      </c>
      <c r="AF27" s="18">
        <v>5.5E-2</v>
      </c>
      <c r="AG27" s="18">
        <v>5.5E-2</v>
      </c>
      <c r="AH27" s="18">
        <v>5.5E-2</v>
      </c>
      <c r="AI27" s="18">
        <v>5.5E-2</v>
      </c>
      <c r="AJ27" s="18">
        <v>0.22650000000000001</v>
      </c>
      <c r="AK27" s="18">
        <v>0.22650000000000001</v>
      </c>
      <c r="AL27" s="18">
        <v>0.31330000000000002</v>
      </c>
      <c r="AM27" s="18">
        <v>0.4017</v>
      </c>
      <c r="AN27" s="18">
        <v>0.46629999999999999</v>
      </c>
      <c r="AO27" s="18">
        <v>0.14610000000000001</v>
      </c>
      <c r="AP27" s="18">
        <v>0.22500000000000001</v>
      </c>
      <c r="AQ27" s="18">
        <v>0.41909999999999997</v>
      </c>
      <c r="AR27" s="18">
        <v>1.6851</v>
      </c>
      <c r="AS27" s="18">
        <v>0.60529999999999995</v>
      </c>
      <c r="AT27" s="18">
        <v>0.73860000000000003</v>
      </c>
      <c r="AU27" s="18">
        <v>0.77649999999999997</v>
      </c>
      <c r="AV27" s="18">
        <v>0.5454</v>
      </c>
      <c r="AW27" s="18">
        <v>0.21929999999999999</v>
      </c>
      <c r="AX27" s="18">
        <v>5.5E-2</v>
      </c>
    </row>
    <row r="28" spans="1:50" x14ac:dyDescent="0.25">
      <c r="A28" s="8" t="s">
        <v>84</v>
      </c>
      <c r="B28" s="10" t="s">
        <v>57</v>
      </c>
      <c r="C28" s="16">
        <v>0.221</v>
      </c>
      <c r="D28" s="16">
        <v>0.05</v>
      </c>
      <c r="E28" s="16">
        <v>0.2132</v>
      </c>
      <c r="F28" s="16">
        <v>5.7799999999999997E-2</v>
      </c>
      <c r="G28" s="16">
        <v>8.8900000000000007E-2</v>
      </c>
      <c r="H28" s="16">
        <v>0.18210000000000001</v>
      </c>
      <c r="I28" s="16">
        <v>0.05</v>
      </c>
      <c r="J28" s="16">
        <v>0.221</v>
      </c>
      <c r="K28" s="16">
        <v>0.33929999999999999</v>
      </c>
      <c r="L28" s="16">
        <v>0.18210000000000001</v>
      </c>
      <c r="M28" s="16">
        <v>8.8900000000000007E-2</v>
      </c>
      <c r="N28" s="16">
        <v>0.12770000000000001</v>
      </c>
      <c r="O28" s="16">
        <v>0.14330000000000001</v>
      </c>
      <c r="P28" s="16">
        <v>0.05</v>
      </c>
      <c r="Q28" s="16">
        <v>0.221</v>
      </c>
      <c r="R28" s="16">
        <v>0.05</v>
      </c>
      <c r="S28" s="16">
        <v>0.14330000000000001</v>
      </c>
      <c r="T28" s="16">
        <v>0.12770000000000001</v>
      </c>
      <c r="U28" s="16">
        <v>0.31090000000000001</v>
      </c>
      <c r="V28" s="16">
        <v>0.33900000000000002</v>
      </c>
      <c r="W28" s="16">
        <v>0.05</v>
      </c>
      <c r="X28" s="16">
        <v>0.27439999999999998</v>
      </c>
      <c r="Y28" s="16">
        <v>0.19120000000000001</v>
      </c>
      <c r="Z28" s="16">
        <v>0.13550000000000001</v>
      </c>
      <c r="AA28" s="16">
        <v>8.1100000000000005E-2</v>
      </c>
      <c r="AB28" s="16">
        <v>0.4143</v>
      </c>
      <c r="AC28" s="16">
        <v>0.05</v>
      </c>
      <c r="AD28" s="16">
        <v>0.2054</v>
      </c>
      <c r="AE28" s="16">
        <v>6.5500000000000003E-2</v>
      </c>
      <c r="AF28" s="16">
        <v>0.11219999999999999</v>
      </c>
      <c r="AG28" s="16">
        <v>0.1588</v>
      </c>
      <c r="AH28" s="16">
        <v>0.05</v>
      </c>
      <c r="AI28" s="16">
        <v>0.05</v>
      </c>
      <c r="AJ28" s="16">
        <v>0.221</v>
      </c>
      <c r="AK28" s="16">
        <v>0.05</v>
      </c>
      <c r="AL28" s="16">
        <v>0.18210000000000001</v>
      </c>
      <c r="AM28" s="16">
        <v>8.8900000000000007E-2</v>
      </c>
      <c r="AN28" s="16">
        <v>0.05</v>
      </c>
      <c r="AO28" s="16">
        <v>0.221</v>
      </c>
      <c r="AP28" s="16">
        <v>0.05</v>
      </c>
      <c r="AQ28" s="16">
        <v>0.05</v>
      </c>
      <c r="AR28" s="16">
        <v>0.11990000000000001</v>
      </c>
      <c r="AS28" s="16">
        <v>0.151</v>
      </c>
      <c r="AT28" s="16">
        <v>0.05</v>
      </c>
      <c r="AU28" s="16">
        <v>0.221</v>
      </c>
      <c r="AV28" s="16">
        <v>0.05</v>
      </c>
      <c r="AW28" s="16">
        <v>0.11990000000000001</v>
      </c>
      <c r="AX28" s="16">
        <v>0.151</v>
      </c>
    </row>
    <row r="29" spans="1:50" x14ac:dyDescent="0.25">
      <c r="A29" s="17" t="s">
        <v>185</v>
      </c>
      <c r="B29" s="13" t="s">
        <v>168</v>
      </c>
      <c r="C29" s="18">
        <v>0.37830000000000003</v>
      </c>
      <c r="D29" s="18">
        <v>0.3821</v>
      </c>
      <c r="E29" s="18">
        <v>6.0999999999999999E-2</v>
      </c>
      <c r="F29" s="18">
        <v>0.22489999999999999</v>
      </c>
      <c r="G29" s="18">
        <v>6.0999999999999999E-2</v>
      </c>
      <c r="H29" s="18">
        <v>6.0999999999999999E-2</v>
      </c>
      <c r="I29" s="18">
        <v>0.21</v>
      </c>
      <c r="J29" s="18">
        <v>7.5899999999999995E-2</v>
      </c>
      <c r="K29" s="18">
        <v>6.0999999999999999E-2</v>
      </c>
      <c r="L29" s="18">
        <v>0.22489999999999999</v>
      </c>
      <c r="M29" s="18">
        <v>6.0999999999999999E-2</v>
      </c>
      <c r="N29" s="18">
        <v>6.0999999999999999E-2</v>
      </c>
      <c r="O29" s="18">
        <v>0.22489999999999999</v>
      </c>
      <c r="P29" s="18">
        <v>6.0999999999999999E-2</v>
      </c>
      <c r="Q29" s="18">
        <v>0.17269999999999999</v>
      </c>
      <c r="R29" s="18">
        <v>0.14369999999999999</v>
      </c>
      <c r="S29" s="18">
        <v>6.0999999999999999E-2</v>
      </c>
      <c r="T29" s="18">
        <v>0.29749999999999999</v>
      </c>
      <c r="U29" s="18">
        <v>0.20019999999999999</v>
      </c>
      <c r="V29" s="18">
        <v>0.43080000000000002</v>
      </c>
      <c r="W29" s="18">
        <v>0.50549999999999995</v>
      </c>
      <c r="X29" s="18">
        <v>0.19850000000000001</v>
      </c>
      <c r="Y29" s="18">
        <v>0.32190000000000002</v>
      </c>
      <c r="Z29" s="18">
        <v>0.57369999999999999</v>
      </c>
      <c r="AA29" s="18">
        <v>0.29649999999999999</v>
      </c>
      <c r="AB29" s="18">
        <v>0.3256</v>
      </c>
      <c r="AC29" s="18">
        <v>0.3271</v>
      </c>
      <c r="AD29" s="18">
        <v>0.25819999999999999</v>
      </c>
      <c r="AE29" s="18">
        <v>0.79510000000000003</v>
      </c>
      <c r="AF29" s="18">
        <v>1.1036999999999999</v>
      </c>
      <c r="AG29" s="18">
        <v>6.0999999999999999E-2</v>
      </c>
      <c r="AH29" s="18">
        <v>0.22489999999999999</v>
      </c>
      <c r="AI29" s="18">
        <v>0.25009999999999999</v>
      </c>
      <c r="AJ29" s="18">
        <v>0.30449999999999999</v>
      </c>
      <c r="AK29" s="18">
        <v>0.21740000000000001</v>
      </c>
      <c r="AL29" s="18">
        <v>6.0999999999999999E-2</v>
      </c>
      <c r="AM29" s="18">
        <v>0.5171</v>
      </c>
      <c r="AN29" s="18">
        <v>0.37319999999999998</v>
      </c>
      <c r="AO29" s="18">
        <v>0.64900000000000002</v>
      </c>
      <c r="AP29" s="18">
        <v>0.82099999999999995</v>
      </c>
      <c r="AQ29" s="18">
        <v>1.4332</v>
      </c>
      <c r="AR29" s="18">
        <v>0.98</v>
      </c>
      <c r="AS29" s="18">
        <v>0.69610000000000005</v>
      </c>
      <c r="AT29" s="18">
        <v>1.7437</v>
      </c>
      <c r="AU29" s="18">
        <v>0.99</v>
      </c>
      <c r="AV29" s="18">
        <v>0.67259999999999998</v>
      </c>
      <c r="AW29" s="18">
        <v>6.0999999999999999E-2</v>
      </c>
      <c r="AX29" s="18">
        <v>0.1653</v>
      </c>
    </row>
    <row r="30" spans="1:50" x14ac:dyDescent="0.25">
      <c r="A30" s="8" t="s">
        <v>86</v>
      </c>
      <c r="B30" s="10" t="s">
        <v>57</v>
      </c>
      <c r="C30" s="16">
        <v>5.8000000000000003E-2</v>
      </c>
      <c r="D30" s="16">
        <v>0.13730000000000001</v>
      </c>
      <c r="E30" s="16">
        <v>6.2700000000000006E-2</v>
      </c>
      <c r="F30" s="16">
        <v>0.14199999999999999</v>
      </c>
      <c r="G30" s="16">
        <v>5.8000000000000003E-2</v>
      </c>
      <c r="H30" s="16">
        <v>0.14199999999999999</v>
      </c>
      <c r="I30" s="16">
        <v>5.8000000000000003E-2</v>
      </c>
      <c r="J30" s="16">
        <v>0.128</v>
      </c>
      <c r="K30" s="16">
        <v>7.1999999999999995E-2</v>
      </c>
      <c r="L30" s="16">
        <v>5.8000000000000003E-2</v>
      </c>
      <c r="M30" s="16">
        <v>0.14199999999999999</v>
      </c>
      <c r="N30" s="16">
        <v>5.8000000000000003E-2</v>
      </c>
      <c r="O30" s="16">
        <v>6.2700000000000006E-2</v>
      </c>
      <c r="P30" s="16">
        <v>0.13730000000000001</v>
      </c>
      <c r="Q30" s="16">
        <v>5.8000000000000003E-2</v>
      </c>
      <c r="R30" s="16">
        <v>9.0800000000000006E-2</v>
      </c>
      <c r="S30" s="16">
        <v>0.14199999999999999</v>
      </c>
      <c r="T30" s="16">
        <v>0.2954</v>
      </c>
      <c r="U30" s="16">
        <v>0.21560000000000001</v>
      </c>
      <c r="V30" s="16">
        <v>8.2799999999999999E-2</v>
      </c>
      <c r="W30" s="16">
        <v>0.19989999999999999</v>
      </c>
      <c r="X30" s="16">
        <v>0.53400000000000003</v>
      </c>
      <c r="Y30" s="16">
        <v>6.2700000000000006E-2</v>
      </c>
      <c r="Z30" s="16">
        <v>6.4100000000000004E-2</v>
      </c>
      <c r="AA30" s="16">
        <v>7.1999999999999995E-2</v>
      </c>
      <c r="AB30" s="16">
        <v>0.15890000000000001</v>
      </c>
      <c r="AC30" s="16">
        <v>0.1227</v>
      </c>
      <c r="AD30" s="16">
        <v>0.1002</v>
      </c>
      <c r="AE30" s="16">
        <v>0.1837</v>
      </c>
      <c r="AF30" s="16">
        <v>0.1168</v>
      </c>
      <c r="AG30" s="16">
        <v>0.24410000000000001</v>
      </c>
      <c r="AH30" s="16">
        <v>0.3115</v>
      </c>
      <c r="AI30" s="16">
        <v>0.3599</v>
      </c>
      <c r="AJ30" s="16">
        <v>0.39269999999999999</v>
      </c>
      <c r="AK30" s="16">
        <v>0.28070000000000001</v>
      </c>
      <c r="AL30" s="16">
        <v>0.42070000000000002</v>
      </c>
      <c r="AM30" s="16">
        <v>0.4138</v>
      </c>
      <c r="AN30" s="16">
        <v>0.25119999999999998</v>
      </c>
      <c r="AO30" s="16">
        <v>0.12330000000000001</v>
      </c>
      <c r="AP30" s="16">
        <v>7.6700000000000004E-2</v>
      </c>
      <c r="AQ30" s="16">
        <v>5.8000000000000003E-2</v>
      </c>
      <c r="AR30" s="16">
        <v>0.12330000000000001</v>
      </c>
      <c r="AS30" s="16">
        <v>7.6700000000000004E-2</v>
      </c>
      <c r="AT30" s="16">
        <v>0.1187</v>
      </c>
      <c r="AU30" s="16">
        <v>0.48020000000000002</v>
      </c>
      <c r="AV30" s="16">
        <v>0.4405</v>
      </c>
      <c r="AW30" s="16">
        <v>0.44700000000000001</v>
      </c>
      <c r="AX30" s="16">
        <v>0.53369999999999995</v>
      </c>
    </row>
    <row r="31" spans="1:50" x14ac:dyDescent="0.25">
      <c r="A31" s="17" t="s">
        <v>187</v>
      </c>
      <c r="B31" s="13" t="s">
        <v>168</v>
      </c>
      <c r="C31" s="18">
        <v>0.4844</v>
      </c>
      <c r="D31" s="18">
        <v>0.50629999999999997</v>
      </c>
      <c r="E31" s="18">
        <v>0.38429999999999997</v>
      </c>
      <c r="F31" s="18">
        <v>0.16689999999999999</v>
      </c>
      <c r="G31" s="18">
        <v>4.5999999999999999E-2</v>
      </c>
      <c r="H31" s="18">
        <v>4.5999999999999999E-2</v>
      </c>
      <c r="I31" s="18">
        <v>4.5999999999999999E-2</v>
      </c>
      <c r="J31" s="18">
        <v>4.5999999999999999E-2</v>
      </c>
      <c r="K31" s="18">
        <v>4.5999999999999999E-2</v>
      </c>
      <c r="L31" s="18">
        <v>4.5999999999999999E-2</v>
      </c>
      <c r="M31" s="18">
        <v>4.5999999999999999E-2</v>
      </c>
      <c r="N31" s="18">
        <v>4.5999999999999999E-2</v>
      </c>
      <c r="O31" s="18">
        <v>4.5999999999999999E-2</v>
      </c>
      <c r="P31" s="18">
        <v>4.5999999999999999E-2</v>
      </c>
      <c r="Q31" s="18">
        <v>4.5999999999999999E-2</v>
      </c>
      <c r="R31" s="18">
        <v>4.5999999999999999E-2</v>
      </c>
      <c r="S31" s="18">
        <v>4.5999999999999999E-2</v>
      </c>
      <c r="T31" s="18">
        <v>4.5999999999999999E-2</v>
      </c>
      <c r="U31" s="18">
        <v>4.5999999999999999E-2</v>
      </c>
      <c r="V31" s="18">
        <v>4.5999999999999999E-2</v>
      </c>
      <c r="W31" s="18">
        <v>0.05</v>
      </c>
      <c r="X31" s="18">
        <v>0.217</v>
      </c>
      <c r="Y31" s="18">
        <v>0.75819999999999999</v>
      </c>
      <c r="Z31" s="18">
        <v>0.5696</v>
      </c>
      <c r="AA31" s="18">
        <v>0.16070000000000001</v>
      </c>
      <c r="AB31" s="18">
        <v>6.8000000000000005E-2</v>
      </c>
      <c r="AC31" s="18">
        <v>4.6300000000000001E-2</v>
      </c>
      <c r="AD31" s="18">
        <v>4.5999999999999999E-2</v>
      </c>
      <c r="AE31" s="18">
        <v>0.18149999999999999</v>
      </c>
      <c r="AF31" s="18">
        <v>1.2744</v>
      </c>
      <c r="AG31" s="18">
        <v>9.0399999999999994E-2</v>
      </c>
      <c r="AH31" s="18">
        <v>7.5899999999999995E-2</v>
      </c>
      <c r="AI31" s="18">
        <v>4.5999999999999999E-2</v>
      </c>
      <c r="AJ31" s="18">
        <v>4.5999999999999999E-2</v>
      </c>
      <c r="AK31" s="18">
        <v>4.5999999999999999E-2</v>
      </c>
      <c r="AL31" s="18">
        <v>4.5999999999999999E-2</v>
      </c>
      <c r="AM31" s="18">
        <v>4.5999999999999999E-2</v>
      </c>
      <c r="AN31" s="18">
        <v>7.4300000000000005E-2</v>
      </c>
      <c r="AO31" s="18">
        <v>0.1226</v>
      </c>
      <c r="AP31" s="18">
        <v>0.31690000000000002</v>
      </c>
      <c r="AQ31" s="18">
        <v>0.30930000000000002</v>
      </c>
      <c r="AR31" s="18">
        <v>0.47610000000000002</v>
      </c>
      <c r="AS31" s="18">
        <v>0.438</v>
      </c>
      <c r="AT31" s="18">
        <v>0.48780000000000001</v>
      </c>
      <c r="AU31" s="18">
        <v>0.40529999999999999</v>
      </c>
      <c r="AV31" s="18">
        <v>0.32269999999999999</v>
      </c>
      <c r="AW31" s="18">
        <v>0.59360000000000002</v>
      </c>
      <c r="AX31" s="18">
        <v>0.504</v>
      </c>
    </row>
    <row r="32" spans="1:50" x14ac:dyDescent="0.25">
      <c r="A32" s="8" t="s">
        <v>88</v>
      </c>
      <c r="B32" s="10" t="s">
        <v>57</v>
      </c>
      <c r="C32" s="16">
        <v>5.9900000000000002E-2</v>
      </c>
      <c r="D32" s="16">
        <v>0.30259999999999998</v>
      </c>
      <c r="E32" s="16">
        <v>0.1009</v>
      </c>
      <c r="F32" s="16">
        <v>0.12570000000000001</v>
      </c>
      <c r="G32" s="16">
        <v>0.29970000000000002</v>
      </c>
      <c r="H32" s="16">
        <v>3.7999999999999999E-2</v>
      </c>
      <c r="I32" s="16">
        <v>0.30109999999999998</v>
      </c>
      <c r="J32" s="16">
        <v>8.9399999999999993E-2</v>
      </c>
      <c r="K32" s="16">
        <v>7.2900000000000006E-2</v>
      </c>
      <c r="L32" s="16">
        <v>0.2341</v>
      </c>
      <c r="M32" s="16">
        <v>0.1913</v>
      </c>
      <c r="N32" s="16">
        <v>0.14810000000000001</v>
      </c>
      <c r="O32" s="16">
        <v>0.27729999999999999</v>
      </c>
      <c r="P32" s="16">
        <v>4.5900000000000003E-2</v>
      </c>
      <c r="Q32" s="16">
        <v>0.2792</v>
      </c>
      <c r="R32" s="16">
        <v>0.1389</v>
      </c>
      <c r="S32" s="16">
        <v>0.1895</v>
      </c>
      <c r="T32" s="16">
        <v>0.27339999999999998</v>
      </c>
      <c r="U32" s="16">
        <v>0.19739999999999999</v>
      </c>
      <c r="V32" s="16">
        <v>0.1993</v>
      </c>
      <c r="W32" s="16">
        <v>0.25609999999999999</v>
      </c>
      <c r="X32" s="16">
        <v>1.2573000000000001</v>
      </c>
      <c r="Y32" s="16">
        <v>0.70089999999999997</v>
      </c>
      <c r="Z32" s="16">
        <v>0.2147</v>
      </c>
      <c r="AA32" s="16">
        <v>0.26190000000000002</v>
      </c>
      <c r="AB32" s="16">
        <v>0.25080000000000002</v>
      </c>
      <c r="AC32" s="16">
        <v>4.0399999999999998E-2</v>
      </c>
      <c r="AD32" s="16">
        <v>0.14810000000000001</v>
      </c>
      <c r="AE32" s="16">
        <v>0.41239999999999999</v>
      </c>
      <c r="AF32" s="16">
        <v>0.48299999999999998</v>
      </c>
      <c r="AG32" s="16">
        <v>0.27160000000000001</v>
      </c>
      <c r="AH32" s="16">
        <v>0.1062</v>
      </c>
      <c r="AI32" s="16">
        <v>0.42559999999999998</v>
      </c>
      <c r="AJ32" s="16">
        <v>0.35899999999999999</v>
      </c>
      <c r="AK32" s="16">
        <v>0.30330000000000001</v>
      </c>
      <c r="AL32" s="16">
        <v>0.30180000000000001</v>
      </c>
      <c r="AM32" s="16">
        <v>0.2261</v>
      </c>
      <c r="AN32" s="16">
        <v>0.46610000000000001</v>
      </c>
      <c r="AO32" s="16">
        <v>0.50639999999999996</v>
      </c>
      <c r="AP32" s="16">
        <v>0.52680000000000005</v>
      </c>
      <c r="AQ32" s="16">
        <v>9.0300000000000005E-2</v>
      </c>
      <c r="AR32" s="16">
        <v>0.17419999999999999</v>
      </c>
      <c r="AS32" s="16">
        <v>0.1623</v>
      </c>
      <c r="AT32" s="16">
        <v>7.46E-2</v>
      </c>
      <c r="AU32" s="16">
        <v>0.20069999999999999</v>
      </c>
      <c r="AV32" s="16">
        <v>0.59019999999999995</v>
      </c>
      <c r="AW32" s="16">
        <v>5.11E-2</v>
      </c>
      <c r="AX32" s="16">
        <v>0.31140000000000001</v>
      </c>
    </row>
    <row r="33" spans="1:50" x14ac:dyDescent="0.25">
      <c r="A33" s="17" t="s">
        <v>189</v>
      </c>
      <c r="B33" s="13" t="s">
        <v>168</v>
      </c>
      <c r="C33" s="18">
        <v>0.35310000000000002</v>
      </c>
      <c r="D33" s="18">
        <v>0.50319999999999998</v>
      </c>
      <c r="E33" s="18">
        <v>0.71050000000000002</v>
      </c>
      <c r="F33" s="18">
        <v>0.36880000000000002</v>
      </c>
      <c r="G33" s="18">
        <v>0.23480000000000001</v>
      </c>
      <c r="H33" s="18">
        <v>0.1389</v>
      </c>
      <c r="I33" s="18">
        <v>4.8000000000000001E-2</v>
      </c>
      <c r="J33" s="18">
        <v>0.17580000000000001</v>
      </c>
      <c r="K33" s="18">
        <v>0.23119999999999999</v>
      </c>
      <c r="L33" s="18">
        <v>5.7099999999999998E-2</v>
      </c>
      <c r="M33" s="18">
        <v>0.3332</v>
      </c>
      <c r="N33" s="18">
        <v>6.4600000000000005E-2</v>
      </c>
      <c r="O33" s="18">
        <v>0.13669999999999999</v>
      </c>
      <c r="P33" s="18">
        <v>0.27029999999999998</v>
      </c>
      <c r="Q33" s="18">
        <v>0.14630000000000001</v>
      </c>
      <c r="R33" s="18">
        <v>0.1804</v>
      </c>
      <c r="S33" s="18">
        <v>0.19270000000000001</v>
      </c>
      <c r="T33" s="18">
        <v>0.54059999999999997</v>
      </c>
      <c r="U33" s="18">
        <v>0.86899999999999999</v>
      </c>
      <c r="V33" s="18">
        <v>0.2208</v>
      </c>
      <c r="W33" s="18">
        <v>0.1331</v>
      </c>
      <c r="X33" s="18">
        <v>1.0973999999999999</v>
      </c>
      <c r="Y33" s="18">
        <v>1.0414000000000001</v>
      </c>
      <c r="Z33" s="18">
        <v>0.59719999999999995</v>
      </c>
      <c r="AA33" s="18">
        <v>0.57679999999999998</v>
      </c>
      <c r="AB33" s="18">
        <v>8.6300000000000002E-2</v>
      </c>
      <c r="AC33" s="18">
        <v>0.22989999999999999</v>
      </c>
      <c r="AD33" s="18">
        <v>0.17710000000000001</v>
      </c>
      <c r="AE33" s="18">
        <v>4.8000000000000001E-2</v>
      </c>
      <c r="AF33" s="18">
        <v>0.14230000000000001</v>
      </c>
      <c r="AG33" s="18">
        <v>0.13739999999999999</v>
      </c>
      <c r="AH33" s="18">
        <v>0.32219999999999999</v>
      </c>
      <c r="AI33" s="18">
        <v>0.30790000000000001</v>
      </c>
      <c r="AJ33" s="18">
        <v>0.35699999999999998</v>
      </c>
      <c r="AK33" s="18">
        <v>0.31280000000000002</v>
      </c>
      <c r="AL33" s="18">
        <v>1.6820999999999999</v>
      </c>
      <c r="AM33" s="18">
        <v>0.37519999999999998</v>
      </c>
      <c r="AN33" s="18">
        <v>2.7471999999999999</v>
      </c>
      <c r="AO33" s="18">
        <v>0.62870000000000004</v>
      </c>
      <c r="AP33" s="18">
        <v>0.42099999999999999</v>
      </c>
      <c r="AQ33" s="18">
        <v>0.4839</v>
      </c>
      <c r="AR33" s="18">
        <v>0.63070000000000004</v>
      </c>
      <c r="AS33" s="18">
        <v>0.6996</v>
      </c>
      <c r="AT33" s="18">
        <v>0.30159999999999998</v>
      </c>
      <c r="AU33" s="18">
        <v>0.2208</v>
      </c>
      <c r="AV33" s="18">
        <v>0.1862</v>
      </c>
      <c r="AW33" s="18">
        <v>0.39400000000000002</v>
      </c>
      <c r="AX33" s="18">
        <v>0.62629999999999997</v>
      </c>
    </row>
    <row r="34" spans="1:50" x14ac:dyDescent="0.25">
      <c r="A34" s="17" t="s">
        <v>191</v>
      </c>
      <c r="B34" s="13" t="s">
        <v>168</v>
      </c>
      <c r="C34" s="18">
        <v>0.18329999999999999</v>
      </c>
      <c r="D34" s="18">
        <v>5.0999999999999997E-2</v>
      </c>
      <c r="E34" s="18">
        <v>6.6600000000000006E-2</v>
      </c>
      <c r="F34" s="18">
        <v>0.20660000000000001</v>
      </c>
      <c r="G34" s="18">
        <v>5.0999999999999997E-2</v>
      </c>
      <c r="H34" s="18">
        <v>0.20660000000000001</v>
      </c>
      <c r="I34" s="18">
        <v>6.6600000000000006E-2</v>
      </c>
      <c r="J34" s="18">
        <v>5.0999999999999997E-2</v>
      </c>
      <c r="K34" s="18">
        <v>0.22220000000000001</v>
      </c>
      <c r="L34" s="18">
        <v>5.0999999999999997E-2</v>
      </c>
      <c r="M34" s="18">
        <v>0.17549999999999999</v>
      </c>
      <c r="N34" s="18">
        <v>9.7699999999999995E-2</v>
      </c>
      <c r="O34" s="18">
        <v>5.0999999999999997E-2</v>
      </c>
      <c r="P34" s="18">
        <v>0.1444</v>
      </c>
      <c r="Q34" s="18">
        <v>0.1288</v>
      </c>
      <c r="R34" s="18">
        <v>7.0300000000000001E-2</v>
      </c>
      <c r="S34" s="18">
        <v>0.26129999999999998</v>
      </c>
      <c r="T34" s="18">
        <v>1.3613999999999999</v>
      </c>
      <c r="U34" s="18">
        <v>0.80289999999999995</v>
      </c>
      <c r="V34" s="18">
        <v>1.2912999999999999</v>
      </c>
      <c r="W34" s="18">
        <v>0.191</v>
      </c>
      <c r="X34" s="18">
        <v>5.0999999999999997E-2</v>
      </c>
      <c r="Y34" s="18">
        <v>0.20660000000000001</v>
      </c>
      <c r="Z34" s="18">
        <v>6.6600000000000006E-2</v>
      </c>
      <c r="AA34" s="18">
        <v>5.8799999999999998E-2</v>
      </c>
      <c r="AB34" s="18">
        <v>0.21440000000000001</v>
      </c>
      <c r="AC34" s="18">
        <v>5.0999999999999997E-2</v>
      </c>
      <c r="AD34" s="18">
        <v>9.5200000000000007E-2</v>
      </c>
      <c r="AE34" s="18">
        <v>0.1134</v>
      </c>
      <c r="AF34" s="18">
        <v>5.8599999999999999E-2</v>
      </c>
      <c r="AG34" s="18">
        <v>0.2198</v>
      </c>
      <c r="AH34" s="18">
        <v>8.5900000000000004E-2</v>
      </c>
      <c r="AI34" s="18">
        <v>9.8699999999999996E-2</v>
      </c>
      <c r="AJ34" s="18">
        <v>0.27739999999999998</v>
      </c>
      <c r="AK34" s="18">
        <v>6.3E-2</v>
      </c>
      <c r="AL34" s="18">
        <v>0.29909999999999998</v>
      </c>
      <c r="AM34" s="18">
        <v>0.3931</v>
      </c>
      <c r="AN34" s="18">
        <v>0.2102</v>
      </c>
      <c r="AO34" s="18">
        <v>0.18479999999999999</v>
      </c>
      <c r="AP34" s="18">
        <v>0.29349999999999998</v>
      </c>
      <c r="AQ34" s="18">
        <v>0.44819999999999999</v>
      </c>
      <c r="AR34" s="18">
        <v>0.62929999999999997</v>
      </c>
      <c r="AS34" s="18">
        <v>0.56799999999999995</v>
      </c>
      <c r="AT34" s="18">
        <v>0.43659999999999999</v>
      </c>
      <c r="AU34" s="18">
        <v>0.46739999999999998</v>
      </c>
      <c r="AV34" s="18">
        <v>0.76170000000000004</v>
      </c>
      <c r="AW34" s="18">
        <v>0.31669999999999998</v>
      </c>
      <c r="AX34" s="18">
        <v>0.43430000000000002</v>
      </c>
    </row>
    <row r="35" spans="1:50" x14ac:dyDescent="0.25">
      <c r="A35" s="17" t="s">
        <v>193</v>
      </c>
      <c r="B35" s="13" t="s">
        <v>168</v>
      </c>
      <c r="C35" s="18">
        <v>0.2288</v>
      </c>
      <c r="D35" s="18">
        <v>8.4099999999999994E-2</v>
      </c>
      <c r="E35" s="18">
        <v>0.31919999999999998</v>
      </c>
      <c r="F35" s="18">
        <v>5.1999999999999998E-2</v>
      </c>
      <c r="G35" s="18">
        <v>6.4299999999999996E-2</v>
      </c>
      <c r="H35" s="18">
        <v>0.33090000000000003</v>
      </c>
      <c r="I35" s="18">
        <v>0.06</v>
      </c>
      <c r="J35" s="18">
        <v>0.1749</v>
      </c>
      <c r="K35" s="18">
        <v>5.1999999999999998E-2</v>
      </c>
      <c r="L35" s="18">
        <v>0.21629999999999999</v>
      </c>
      <c r="M35" s="18">
        <v>0.2152</v>
      </c>
      <c r="N35" s="18">
        <v>8.0600000000000005E-2</v>
      </c>
      <c r="O35" s="18">
        <v>0.23899999999999999</v>
      </c>
      <c r="P35" s="18">
        <v>0.16420000000000001</v>
      </c>
      <c r="Q35" s="18">
        <v>0.10730000000000001</v>
      </c>
      <c r="R35" s="18">
        <v>0.37340000000000001</v>
      </c>
      <c r="S35" s="18">
        <v>9.7000000000000003E-2</v>
      </c>
      <c r="T35" s="18">
        <v>0.2056</v>
      </c>
      <c r="U35" s="18">
        <v>0.20230000000000001</v>
      </c>
      <c r="V35" s="18">
        <v>0.22059999999999999</v>
      </c>
      <c r="W35" s="18">
        <v>0.15279999999999999</v>
      </c>
      <c r="X35" s="18">
        <v>0.62129999999999996</v>
      </c>
      <c r="Y35" s="18">
        <v>0.22159999999999999</v>
      </c>
      <c r="Z35" s="18">
        <v>0.28589999999999999</v>
      </c>
      <c r="AA35" s="18">
        <v>1.0427</v>
      </c>
      <c r="AB35" s="18">
        <v>0.67530000000000001</v>
      </c>
      <c r="AC35" s="18">
        <v>0.1857</v>
      </c>
      <c r="AD35" s="18">
        <v>0.1787</v>
      </c>
      <c r="AE35" s="18">
        <v>0.1183</v>
      </c>
      <c r="AF35" s="18">
        <v>0.2104</v>
      </c>
      <c r="AG35" s="18">
        <v>0.19550000000000001</v>
      </c>
      <c r="AH35" s="18">
        <v>0.21859999999999999</v>
      </c>
      <c r="AI35" s="18">
        <v>0.50260000000000005</v>
      </c>
      <c r="AJ35" s="18">
        <v>0.16270000000000001</v>
      </c>
      <c r="AK35" s="18">
        <v>0.2203</v>
      </c>
      <c r="AL35" s="18">
        <v>0.20200000000000001</v>
      </c>
      <c r="AM35" s="18">
        <v>0.2019</v>
      </c>
      <c r="AN35" s="18">
        <v>0.37419999999999998</v>
      </c>
      <c r="AO35" s="18">
        <v>0.40820000000000001</v>
      </c>
      <c r="AP35" s="18">
        <v>0.1081</v>
      </c>
      <c r="AQ35" s="18">
        <v>0.29509999999999997</v>
      </c>
      <c r="AR35" s="18">
        <v>5.1999999999999998E-2</v>
      </c>
      <c r="AS35" s="18">
        <v>0.2283</v>
      </c>
      <c r="AT35" s="18">
        <v>5.1999999999999998E-2</v>
      </c>
      <c r="AU35" s="18">
        <v>0.1749</v>
      </c>
      <c r="AV35" s="18">
        <v>0.1321</v>
      </c>
      <c r="AW35" s="18">
        <v>0.27110000000000001</v>
      </c>
      <c r="AX35" s="18">
        <v>6.8000000000000005E-2</v>
      </c>
    </row>
    <row r="36" spans="1:50" x14ac:dyDescent="0.25">
      <c r="A36" s="17" t="s">
        <v>195</v>
      </c>
      <c r="B36" s="13" t="s">
        <v>168</v>
      </c>
      <c r="C36" s="18">
        <v>0.1298</v>
      </c>
      <c r="D36" s="18">
        <v>0.1298</v>
      </c>
      <c r="E36" s="18">
        <v>0.11219999999999999</v>
      </c>
      <c r="F36" s="18">
        <v>0.1075</v>
      </c>
      <c r="G36" s="18">
        <v>0.15210000000000001</v>
      </c>
      <c r="H36" s="18">
        <v>4.8000000000000001E-2</v>
      </c>
      <c r="I36" s="18">
        <v>6.2899999999999998E-2</v>
      </c>
      <c r="J36" s="18">
        <v>0.19670000000000001</v>
      </c>
      <c r="K36" s="18">
        <v>4.8000000000000001E-2</v>
      </c>
      <c r="L36" s="18">
        <v>0.19670000000000001</v>
      </c>
      <c r="M36" s="18">
        <v>6.2899999999999998E-2</v>
      </c>
      <c r="N36" s="18">
        <v>4.8000000000000001E-2</v>
      </c>
      <c r="O36" s="18">
        <v>5.6300000000000003E-2</v>
      </c>
      <c r="P36" s="18">
        <v>0.21149999999999999</v>
      </c>
      <c r="Q36" s="18">
        <v>4.8000000000000001E-2</v>
      </c>
      <c r="R36" s="18">
        <v>4.8000000000000001E-2</v>
      </c>
      <c r="S36" s="18">
        <v>0.21149999999999999</v>
      </c>
      <c r="T36" s="18">
        <v>4.8000000000000001E-2</v>
      </c>
      <c r="U36" s="18">
        <v>0.37059999999999998</v>
      </c>
      <c r="V36" s="18">
        <v>0.46510000000000001</v>
      </c>
      <c r="W36" s="18">
        <v>0.66090000000000004</v>
      </c>
      <c r="X36" s="18">
        <v>1.5417000000000001</v>
      </c>
      <c r="Y36" s="18">
        <v>0.46660000000000001</v>
      </c>
      <c r="Z36" s="18">
        <v>0.10299999999999999</v>
      </c>
      <c r="AA36" s="18">
        <v>0.58109999999999995</v>
      </c>
      <c r="AB36" s="18">
        <v>1.3935999999999999</v>
      </c>
      <c r="AC36" s="18">
        <v>0.89680000000000004</v>
      </c>
      <c r="AD36" s="18">
        <v>0.1042</v>
      </c>
      <c r="AE36" s="18">
        <v>0.73680000000000001</v>
      </c>
      <c r="AF36" s="18">
        <v>0.79369999999999996</v>
      </c>
      <c r="AG36" s="18">
        <v>0.58589999999999998</v>
      </c>
      <c r="AH36" s="18">
        <v>0.1225</v>
      </c>
      <c r="AI36" s="18">
        <v>0.44319999999999998</v>
      </c>
      <c r="AJ36" s="18">
        <v>1.1144000000000001</v>
      </c>
      <c r="AK36" s="18">
        <v>0.76060000000000005</v>
      </c>
      <c r="AL36" s="18">
        <v>0.19750000000000001</v>
      </c>
      <c r="AM36" s="18">
        <v>0.60370000000000001</v>
      </c>
      <c r="AN36" s="18">
        <v>0.1973</v>
      </c>
      <c r="AO36" s="18">
        <v>0.86360000000000003</v>
      </c>
      <c r="AP36" s="18">
        <v>0.92820000000000003</v>
      </c>
      <c r="AQ36" s="18">
        <v>1.5454000000000001</v>
      </c>
      <c r="AR36" s="18">
        <v>0.86360000000000003</v>
      </c>
      <c r="AS36" s="18">
        <v>0.49270000000000003</v>
      </c>
      <c r="AT36" s="18">
        <v>1.5617000000000001</v>
      </c>
      <c r="AU36" s="18">
        <v>0.38540000000000002</v>
      </c>
      <c r="AV36" s="18">
        <v>0.40050000000000002</v>
      </c>
      <c r="AW36" s="18">
        <v>0.81430000000000002</v>
      </c>
      <c r="AX36" s="18">
        <v>4.8000000000000001E-2</v>
      </c>
    </row>
    <row r="37" spans="1:50" x14ac:dyDescent="0.25">
      <c r="A37" s="17" t="s">
        <v>197</v>
      </c>
      <c r="B37" s="13" t="s">
        <v>168</v>
      </c>
      <c r="C37" s="18">
        <v>4.4999999999999998E-2</v>
      </c>
      <c r="D37" s="18">
        <v>4.4999999999999998E-2</v>
      </c>
      <c r="E37" s="18">
        <v>6.0100000000000001E-2</v>
      </c>
      <c r="F37" s="18">
        <v>0.19639999999999999</v>
      </c>
      <c r="G37" s="18">
        <v>4.4999999999999998E-2</v>
      </c>
      <c r="H37" s="18">
        <v>7.5300000000000006E-2</v>
      </c>
      <c r="I37" s="18">
        <v>0.1812</v>
      </c>
      <c r="J37" s="18">
        <v>4.4999999999999998E-2</v>
      </c>
      <c r="K37" s="18">
        <v>0.21149999999999999</v>
      </c>
      <c r="L37" s="18">
        <v>4.4999999999999998E-2</v>
      </c>
      <c r="M37" s="18">
        <v>4.4999999999999998E-2</v>
      </c>
      <c r="N37" s="18">
        <v>0.21149999999999999</v>
      </c>
      <c r="O37" s="18">
        <v>4.4999999999999998E-2</v>
      </c>
      <c r="P37" s="18">
        <v>4.4999999999999998E-2</v>
      </c>
      <c r="Q37" s="18">
        <v>5.2600000000000001E-2</v>
      </c>
      <c r="R37" s="18">
        <v>0.439</v>
      </c>
      <c r="S37" s="18">
        <v>8.1199999999999994E-2</v>
      </c>
      <c r="T37" s="18">
        <v>1.5282</v>
      </c>
      <c r="U37" s="18">
        <v>0.32119999999999999</v>
      </c>
      <c r="V37" s="18">
        <v>0.3967</v>
      </c>
      <c r="W37" s="18">
        <v>0.18099999999999999</v>
      </c>
      <c r="X37" s="18">
        <v>4.4999999999999998E-2</v>
      </c>
      <c r="Y37" s="18">
        <v>0.21149999999999999</v>
      </c>
      <c r="Z37" s="18">
        <v>4.4999999999999998E-2</v>
      </c>
      <c r="AA37" s="18">
        <v>4.4999999999999998E-2</v>
      </c>
      <c r="AB37" s="18">
        <v>0.42699999999999999</v>
      </c>
      <c r="AC37" s="18">
        <v>0.1062</v>
      </c>
      <c r="AD37" s="18">
        <v>0.1033</v>
      </c>
      <c r="AE37" s="18">
        <v>0.26469999999999999</v>
      </c>
      <c r="AF37" s="18">
        <v>0.2087</v>
      </c>
      <c r="AG37" s="18">
        <v>0.34370000000000001</v>
      </c>
      <c r="AH37" s="18">
        <v>0.49609999999999999</v>
      </c>
      <c r="AI37" s="18">
        <v>0.2324</v>
      </c>
      <c r="AJ37" s="18">
        <v>0.78449999999999998</v>
      </c>
      <c r="AK37" s="18">
        <v>2.0419</v>
      </c>
      <c r="AL37" s="18">
        <v>0.8337</v>
      </c>
      <c r="AM37" s="18">
        <v>0.56230000000000002</v>
      </c>
      <c r="AN37" s="18">
        <v>0.72370000000000001</v>
      </c>
      <c r="AO37" s="18">
        <v>0.48099999999999998</v>
      </c>
      <c r="AP37" s="18">
        <v>0.35639999999999999</v>
      </c>
      <c r="AQ37" s="18">
        <v>0.48509999999999998</v>
      </c>
      <c r="AR37" s="18">
        <v>1.6572</v>
      </c>
      <c r="AS37" s="18">
        <v>1.1879</v>
      </c>
      <c r="AT37" s="18">
        <v>0.86699999999999999</v>
      </c>
      <c r="AU37" s="18">
        <v>0.90039999999999998</v>
      </c>
      <c r="AV37" s="18">
        <v>0.81089999999999995</v>
      </c>
      <c r="AW37" s="18">
        <v>0.1888</v>
      </c>
      <c r="AX37" s="18">
        <v>4.4999999999999998E-2</v>
      </c>
    </row>
    <row r="38" spans="1:50" x14ac:dyDescent="0.25">
      <c r="A38" s="17" t="s">
        <v>199</v>
      </c>
      <c r="B38" s="13" t="s">
        <v>168</v>
      </c>
      <c r="C38" s="18">
        <v>7.8799999999999995E-2</v>
      </c>
      <c r="D38" s="18">
        <v>0.28770000000000001</v>
      </c>
      <c r="E38" s="18">
        <v>0.05</v>
      </c>
      <c r="F38" s="18">
        <v>0.05</v>
      </c>
      <c r="G38" s="18">
        <v>0.2949</v>
      </c>
      <c r="H38" s="18">
        <v>7.1599999999999997E-2</v>
      </c>
      <c r="I38" s="18">
        <v>0.12709999999999999</v>
      </c>
      <c r="J38" s="18">
        <v>0.22500000000000001</v>
      </c>
      <c r="K38" s="18">
        <v>6.4399999999999999E-2</v>
      </c>
      <c r="L38" s="18">
        <v>0.158</v>
      </c>
      <c r="M38" s="18">
        <v>0.20860000000000001</v>
      </c>
      <c r="N38" s="18">
        <v>9.6299999999999997E-2</v>
      </c>
      <c r="O38" s="18">
        <v>0.23419999999999999</v>
      </c>
      <c r="P38" s="18">
        <v>8.5999999999999993E-2</v>
      </c>
      <c r="Q38" s="18">
        <v>0.20119999999999999</v>
      </c>
      <c r="R38" s="18">
        <v>0.1653</v>
      </c>
      <c r="S38" s="18">
        <v>0.1487</v>
      </c>
      <c r="T38" s="18">
        <v>1.3683000000000001</v>
      </c>
      <c r="U38" s="18">
        <v>0.55459999999999998</v>
      </c>
      <c r="V38" s="18">
        <v>0.18679999999999999</v>
      </c>
      <c r="W38" s="18">
        <v>0.1797</v>
      </c>
      <c r="X38" s="18">
        <v>0.14949999999999999</v>
      </c>
      <c r="Y38" s="18">
        <v>0.39510000000000001</v>
      </c>
      <c r="Z38" s="18">
        <v>1.2828999999999999</v>
      </c>
      <c r="AA38" s="18">
        <v>0.19919999999999999</v>
      </c>
      <c r="AB38" s="18">
        <v>0.36309999999999998</v>
      </c>
      <c r="AC38" s="18">
        <v>0.35849999999999999</v>
      </c>
      <c r="AD38" s="18">
        <v>0.28410000000000002</v>
      </c>
      <c r="AE38" s="18">
        <v>0.64849999999999997</v>
      </c>
      <c r="AF38" s="18">
        <v>0.1822</v>
      </c>
      <c r="AG38" s="18">
        <v>0.1661</v>
      </c>
      <c r="AH38" s="18">
        <v>0.26229999999999998</v>
      </c>
      <c r="AI38" s="18">
        <v>0.1699</v>
      </c>
      <c r="AJ38" s="18">
        <v>0.26490000000000002</v>
      </c>
      <c r="AK38" s="18">
        <v>0.15890000000000001</v>
      </c>
      <c r="AL38" s="18">
        <v>0.158</v>
      </c>
      <c r="AM38" s="18">
        <v>0.28660000000000002</v>
      </c>
      <c r="AN38" s="18">
        <v>0.34710000000000002</v>
      </c>
      <c r="AO38" s="18">
        <v>0.1678</v>
      </c>
      <c r="AP38" s="18">
        <v>0.41620000000000001</v>
      </c>
      <c r="AQ38" s="18">
        <v>1.8851</v>
      </c>
      <c r="AR38" s="18">
        <v>0.60919999999999996</v>
      </c>
      <c r="AS38" s="18">
        <v>0.76270000000000004</v>
      </c>
      <c r="AT38" s="18">
        <v>0.92859999999999998</v>
      </c>
      <c r="AU38" s="18">
        <v>0.73140000000000005</v>
      </c>
      <c r="AV38" s="18">
        <v>0.54979999999999996</v>
      </c>
      <c r="AW38" s="18">
        <v>0.44240000000000002</v>
      </c>
      <c r="AX38" s="18">
        <v>0.61599999999999999</v>
      </c>
    </row>
    <row r="39" spans="1:50" x14ac:dyDescent="0.25">
      <c r="A39" s="17" t="s">
        <v>201</v>
      </c>
      <c r="B39" s="13" t="s">
        <v>168</v>
      </c>
      <c r="C39" s="18">
        <v>0.37840000000000001</v>
      </c>
      <c r="D39" s="18">
        <v>0.21609999999999999</v>
      </c>
      <c r="E39" s="18">
        <v>5.3999999999999999E-2</v>
      </c>
      <c r="F39" s="18">
        <v>5.3999999999999999E-2</v>
      </c>
      <c r="G39" s="18">
        <v>5.3999999999999999E-2</v>
      </c>
      <c r="H39" s="18">
        <v>0.1203</v>
      </c>
      <c r="I39" s="18">
        <v>0.26850000000000002</v>
      </c>
      <c r="J39" s="18">
        <v>5.3999999999999999E-2</v>
      </c>
      <c r="K39" s="18">
        <v>0.2611</v>
      </c>
      <c r="L39" s="18">
        <v>0.12770000000000001</v>
      </c>
      <c r="M39" s="18">
        <v>9.0800000000000006E-2</v>
      </c>
      <c r="N39" s="18">
        <v>0.2979</v>
      </c>
      <c r="O39" s="18">
        <v>5.3999999999999999E-2</v>
      </c>
      <c r="P39" s="18">
        <v>0.20880000000000001</v>
      </c>
      <c r="Q39" s="18">
        <v>6.1400000000000003E-2</v>
      </c>
      <c r="R39" s="18">
        <v>0.1203</v>
      </c>
      <c r="S39" s="18">
        <v>0.65700000000000003</v>
      </c>
      <c r="T39" s="18">
        <v>0.14990000000000001</v>
      </c>
      <c r="U39" s="18">
        <v>0.24249999999999999</v>
      </c>
      <c r="V39" s="18">
        <v>0.1246</v>
      </c>
      <c r="W39" s="18">
        <v>0.83560000000000001</v>
      </c>
      <c r="X39" s="18">
        <v>1.4714</v>
      </c>
      <c r="Y39" s="18">
        <v>1.6979</v>
      </c>
      <c r="Z39" s="18">
        <v>0.32990000000000003</v>
      </c>
      <c r="AA39" s="18">
        <v>0.31019999999999998</v>
      </c>
      <c r="AB39" s="18">
        <v>0.75180000000000002</v>
      </c>
      <c r="AC39" s="18">
        <v>0.29339999999999999</v>
      </c>
      <c r="AD39" s="18">
        <v>0.41439999999999999</v>
      </c>
      <c r="AE39" s="18">
        <v>0.50739999999999996</v>
      </c>
      <c r="AF39" s="18">
        <v>0.35160000000000002</v>
      </c>
      <c r="AG39" s="18">
        <v>0.28949999999999998</v>
      </c>
      <c r="AH39" s="18">
        <v>0.7752</v>
      </c>
      <c r="AI39" s="18">
        <v>0.63429999999999997</v>
      </c>
      <c r="AJ39" s="18">
        <v>0.66310000000000002</v>
      </c>
      <c r="AK39" s="18">
        <v>0.27950000000000003</v>
      </c>
      <c r="AL39" s="18">
        <v>0.29339999999999999</v>
      </c>
      <c r="AM39" s="18">
        <v>0.32390000000000002</v>
      </c>
      <c r="AN39" s="18">
        <v>0.4042</v>
      </c>
      <c r="AO39" s="18">
        <v>0.19189999999999999</v>
      </c>
      <c r="AP39" s="18">
        <v>0.64529999999999998</v>
      </c>
      <c r="AQ39" s="18">
        <v>0.32850000000000001</v>
      </c>
      <c r="AR39" s="18">
        <v>0.4375</v>
      </c>
      <c r="AS39" s="18">
        <v>0.73760000000000003</v>
      </c>
      <c r="AT39" s="18">
        <v>0.72419999999999995</v>
      </c>
      <c r="AU39" s="18">
        <v>0.65380000000000005</v>
      </c>
      <c r="AV39" s="18">
        <v>0.82499999999999996</v>
      </c>
      <c r="AW39" s="18">
        <v>0.82640000000000002</v>
      </c>
      <c r="AX39" s="18">
        <v>0.64710000000000001</v>
      </c>
    </row>
    <row r="40" spans="1:50" x14ac:dyDescent="0.25">
      <c r="A40" s="17" t="s">
        <v>203</v>
      </c>
      <c r="B40" s="13" t="s">
        <v>168</v>
      </c>
      <c r="C40" s="18">
        <v>0.1071</v>
      </c>
      <c r="D40" s="18">
        <v>4.7E-2</v>
      </c>
      <c r="E40" s="18">
        <v>0.15959999999999999</v>
      </c>
      <c r="F40" s="18">
        <v>9.9599999999999994E-2</v>
      </c>
      <c r="G40" s="18">
        <v>5.1499999999999997E-2</v>
      </c>
      <c r="H40" s="18">
        <v>0.1938</v>
      </c>
      <c r="I40" s="18">
        <v>0.15959999999999999</v>
      </c>
      <c r="J40" s="18">
        <v>4.7E-2</v>
      </c>
      <c r="K40" s="18">
        <v>0.2122</v>
      </c>
      <c r="L40" s="18">
        <v>4.7E-2</v>
      </c>
      <c r="M40" s="18">
        <v>9.2100000000000001E-2</v>
      </c>
      <c r="N40" s="18">
        <v>0.1671</v>
      </c>
      <c r="O40" s="18">
        <v>4.7E-2</v>
      </c>
      <c r="P40" s="18">
        <v>0.2122</v>
      </c>
      <c r="Q40" s="18">
        <v>4.7E-2</v>
      </c>
      <c r="R40" s="18">
        <v>0.15959999999999999</v>
      </c>
      <c r="S40" s="18">
        <v>9.9599999999999994E-2</v>
      </c>
      <c r="T40" s="18">
        <v>7.6999999999999999E-2</v>
      </c>
      <c r="U40" s="18">
        <v>0.1822</v>
      </c>
      <c r="V40" s="18">
        <v>4.7E-2</v>
      </c>
      <c r="W40" s="18">
        <v>0.15959999999999999</v>
      </c>
      <c r="X40" s="18">
        <v>9.9599999999999994E-2</v>
      </c>
      <c r="Y40" s="18">
        <v>0.1071</v>
      </c>
      <c r="Z40" s="18">
        <v>0.15210000000000001</v>
      </c>
      <c r="AA40" s="18">
        <v>4.7E-2</v>
      </c>
      <c r="AB40" s="18">
        <v>0.12959999999999999</v>
      </c>
      <c r="AC40" s="18">
        <v>0.12959999999999999</v>
      </c>
      <c r="AD40" s="18">
        <v>4.7E-2</v>
      </c>
      <c r="AE40" s="18">
        <v>7.6999999999999999E-2</v>
      </c>
      <c r="AF40" s="18">
        <v>0.1822</v>
      </c>
      <c r="AG40" s="18">
        <v>4.7E-2</v>
      </c>
      <c r="AH40" s="18">
        <v>0.19719999999999999</v>
      </c>
      <c r="AI40" s="18">
        <v>6.2E-2</v>
      </c>
      <c r="AJ40" s="18">
        <v>4.7E-2</v>
      </c>
      <c r="AK40" s="18">
        <v>8.4500000000000006E-2</v>
      </c>
      <c r="AL40" s="18">
        <v>0.17469999999999999</v>
      </c>
      <c r="AM40" s="18">
        <v>4.7E-2</v>
      </c>
      <c r="AN40" s="18">
        <v>4.7E-2</v>
      </c>
      <c r="AO40" s="18">
        <v>4.7E-2</v>
      </c>
      <c r="AP40" s="18">
        <v>0.2122</v>
      </c>
      <c r="AQ40" s="18">
        <v>4.7E-2</v>
      </c>
      <c r="AR40" s="18">
        <v>7.1300000000000002E-2</v>
      </c>
      <c r="AS40" s="18">
        <v>0.21260000000000001</v>
      </c>
      <c r="AT40" s="18">
        <v>0.47770000000000001</v>
      </c>
      <c r="AU40" s="18">
        <v>0.32640000000000002</v>
      </c>
      <c r="AV40" s="18">
        <v>0.26619999999999999</v>
      </c>
      <c r="AW40" s="18">
        <v>0.36230000000000001</v>
      </c>
      <c r="AX40" s="18">
        <v>0.55700000000000005</v>
      </c>
    </row>
    <row r="41" spans="1:50" x14ac:dyDescent="0.25">
      <c r="A41" s="17" t="s">
        <v>205</v>
      </c>
      <c r="B41" s="13" t="s">
        <v>168</v>
      </c>
      <c r="C41" s="18">
        <v>0.21990000000000001</v>
      </c>
      <c r="D41" s="18">
        <v>0.104</v>
      </c>
      <c r="E41" s="18">
        <v>0.28939999999999999</v>
      </c>
      <c r="F41" s="18">
        <v>7.3999999999999996E-2</v>
      </c>
      <c r="G41" s="18">
        <v>0.13170000000000001</v>
      </c>
      <c r="H41" s="18">
        <v>0.22270000000000001</v>
      </c>
      <c r="I41" s="18">
        <v>0.108</v>
      </c>
      <c r="J41" s="18">
        <v>0.28120000000000001</v>
      </c>
      <c r="K41" s="18">
        <v>0.16600000000000001</v>
      </c>
      <c r="L41" s="18">
        <v>0.1031</v>
      </c>
      <c r="M41" s="18">
        <v>0.3352</v>
      </c>
      <c r="N41" s="18">
        <v>4.9000000000000002E-2</v>
      </c>
      <c r="O41" s="18">
        <v>0.23699999999999999</v>
      </c>
      <c r="P41" s="18">
        <v>0.20130000000000001</v>
      </c>
      <c r="Q41" s="18">
        <v>4.9000000000000002E-2</v>
      </c>
      <c r="R41" s="18">
        <v>0.21829999999999999</v>
      </c>
      <c r="S41" s="18">
        <v>0.223</v>
      </c>
      <c r="T41" s="18">
        <v>0.84540000000000004</v>
      </c>
      <c r="U41" s="18">
        <v>1.3557999999999999</v>
      </c>
      <c r="V41" s="18">
        <v>1.4401999999999999</v>
      </c>
      <c r="W41" s="18">
        <v>1.4810000000000001</v>
      </c>
      <c r="X41" s="18">
        <v>0.247</v>
      </c>
      <c r="Y41" s="18">
        <v>7.6700000000000004E-2</v>
      </c>
      <c r="Z41" s="18">
        <v>0.1799</v>
      </c>
      <c r="AA41" s="18">
        <v>0.18779999999999999</v>
      </c>
      <c r="AB41" s="18">
        <v>0.1883</v>
      </c>
      <c r="AC41" s="18">
        <v>0.20380000000000001</v>
      </c>
      <c r="AD41" s="18">
        <v>0.20949999999999999</v>
      </c>
      <c r="AE41" s="18">
        <v>0.72750000000000004</v>
      </c>
      <c r="AF41" s="18">
        <v>0.60029999999999994</v>
      </c>
      <c r="AG41" s="18">
        <v>0.3049</v>
      </c>
      <c r="AH41" s="18">
        <v>0.52780000000000005</v>
      </c>
      <c r="AI41" s="18">
        <v>0.75449999999999995</v>
      </c>
      <c r="AJ41" s="18">
        <v>1.3441000000000001</v>
      </c>
      <c r="AK41" s="18">
        <v>0.77790000000000004</v>
      </c>
      <c r="AL41" s="18">
        <v>0.42299999999999999</v>
      </c>
      <c r="AM41" s="18">
        <v>0.51859999999999995</v>
      </c>
      <c r="AN41" s="18">
        <v>0.79020000000000001</v>
      </c>
      <c r="AO41" s="18">
        <v>7.3999999999999996E-2</v>
      </c>
      <c r="AP41" s="18">
        <v>0.35160000000000002</v>
      </c>
      <c r="AQ41" s="18">
        <v>0.34539999999999998</v>
      </c>
      <c r="AR41" s="18">
        <v>0.99350000000000005</v>
      </c>
      <c r="AS41" s="18">
        <v>0.28120000000000001</v>
      </c>
      <c r="AT41" s="18">
        <v>5.6899999999999999E-2</v>
      </c>
      <c r="AU41" s="18">
        <v>0.93369999999999997</v>
      </c>
      <c r="AV41" s="18">
        <v>0.13669999999999999</v>
      </c>
      <c r="AW41" s="18">
        <v>0.15110000000000001</v>
      </c>
      <c r="AX41" s="18">
        <v>0.18690000000000001</v>
      </c>
    </row>
    <row r="42" spans="1:50" x14ac:dyDescent="0.25">
      <c r="A42" s="17" t="s">
        <v>207</v>
      </c>
      <c r="B42" s="13" t="s">
        <v>168</v>
      </c>
      <c r="C42" s="18">
        <v>0.1002</v>
      </c>
      <c r="D42" s="18">
        <v>0.33100000000000002</v>
      </c>
      <c r="E42" s="18">
        <v>5.7700000000000001E-2</v>
      </c>
      <c r="F42" s="18">
        <v>0.2261</v>
      </c>
      <c r="G42" s="18">
        <v>0.155</v>
      </c>
      <c r="H42" s="18">
        <v>0.17369999999999999</v>
      </c>
      <c r="I42" s="18">
        <v>0.20930000000000001</v>
      </c>
      <c r="J42" s="18">
        <v>0.24790000000000001</v>
      </c>
      <c r="K42" s="18">
        <v>0.18329999999999999</v>
      </c>
      <c r="L42" s="18">
        <v>0.1983</v>
      </c>
      <c r="M42" s="18">
        <v>0.1608</v>
      </c>
      <c r="N42" s="18">
        <v>0.1241</v>
      </c>
      <c r="O42" s="18">
        <v>0.2233</v>
      </c>
      <c r="P42" s="18">
        <v>0.12690000000000001</v>
      </c>
      <c r="Q42" s="18">
        <v>0.14729999999999999</v>
      </c>
      <c r="R42" s="18">
        <v>0.31859999999999999</v>
      </c>
      <c r="S42" s="18">
        <v>4.9000000000000002E-2</v>
      </c>
      <c r="T42" s="18">
        <v>0.40749999999999997</v>
      </c>
      <c r="U42" s="18">
        <v>0.37490000000000001</v>
      </c>
      <c r="V42" s="18">
        <v>0.95130000000000003</v>
      </c>
      <c r="W42" s="18">
        <v>0.248</v>
      </c>
      <c r="X42" s="18">
        <v>0.6482</v>
      </c>
      <c r="Y42" s="18">
        <v>1.4119999999999999</v>
      </c>
      <c r="Z42" s="18">
        <v>2.5110000000000001</v>
      </c>
      <c r="AA42" s="18">
        <v>0.45829999999999999</v>
      </c>
      <c r="AB42" s="18">
        <v>0.15310000000000001</v>
      </c>
      <c r="AC42" s="18">
        <v>0.12690000000000001</v>
      </c>
      <c r="AD42" s="18">
        <v>0.21010000000000001</v>
      </c>
      <c r="AE42" s="18">
        <v>0.307</v>
      </c>
      <c r="AF42" s="18">
        <v>1.4659</v>
      </c>
      <c r="AG42" s="18">
        <v>0.26290000000000002</v>
      </c>
      <c r="AH42" s="18">
        <v>0.23069999999999999</v>
      </c>
      <c r="AI42" s="18">
        <v>0.92400000000000004</v>
      </c>
      <c r="AJ42" s="18">
        <v>0.47989999999999999</v>
      </c>
      <c r="AK42" s="18">
        <v>0.34989999999999999</v>
      </c>
      <c r="AL42" s="18">
        <v>0.2429</v>
      </c>
      <c r="AM42" s="18">
        <v>0.192</v>
      </c>
      <c r="AN42" s="18">
        <v>0.2422</v>
      </c>
      <c r="AO42" s="18">
        <v>0.12540000000000001</v>
      </c>
      <c r="AP42" s="18">
        <v>0.44490000000000002</v>
      </c>
      <c r="AQ42" s="18">
        <v>0.61229999999999996</v>
      </c>
      <c r="AR42" s="18">
        <v>0.50519999999999998</v>
      </c>
      <c r="AS42" s="18">
        <v>0.2167</v>
      </c>
      <c r="AT42" s="18">
        <v>0.36059999999999998</v>
      </c>
      <c r="AU42" s="18">
        <v>5.7700000000000001E-2</v>
      </c>
      <c r="AV42" s="18">
        <v>0.30649999999999999</v>
      </c>
      <c r="AW42" s="18">
        <v>0.1507</v>
      </c>
      <c r="AX42" s="18">
        <v>6.2E-2</v>
      </c>
    </row>
    <row r="43" spans="1:50" x14ac:dyDescent="0.25">
      <c r="A43" s="8" t="s">
        <v>90</v>
      </c>
      <c r="B43" s="10" t="s">
        <v>57</v>
      </c>
      <c r="C43" s="16">
        <v>4.5999999999999999E-2</v>
      </c>
      <c r="D43" s="16">
        <v>4.5999999999999999E-2</v>
      </c>
      <c r="E43" s="16">
        <v>4.5999999999999999E-2</v>
      </c>
      <c r="F43" s="16">
        <v>4.5999999999999999E-2</v>
      </c>
      <c r="G43" s="16">
        <v>4.5999999999999999E-2</v>
      </c>
      <c r="H43" s="16">
        <v>4.5999999999999999E-2</v>
      </c>
      <c r="I43" s="16">
        <v>4.5999999999999999E-2</v>
      </c>
      <c r="J43" s="16">
        <v>4.5999999999999999E-2</v>
      </c>
      <c r="K43" s="16">
        <v>4.5999999999999999E-2</v>
      </c>
      <c r="L43" s="16">
        <v>4.5999999999999999E-2</v>
      </c>
      <c r="M43" s="16">
        <v>0.29409999999999997</v>
      </c>
      <c r="N43" s="16">
        <v>4.5999999999999999E-2</v>
      </c>
      <c r="O43" s="16">
        <v>4.5999999999999999E-2</v>
      </c>
      <c r="P43" s="16">
        <v>4.5999999999999999E-2</v>
      </c>
      <c r="Q43" s="16">
        <v>4.5999999999999999E-2</v>
      </c>
      <c r="R43" s="16">
        <v>4.5999999999999999E-2</v>
      </c>
      <c r="S43" s="16">
        <v>4.5999999999999999E-2</v>
      </c>
      <c r="T43" s="16">
        <v>8.5999999999999993E-2</v>
      </c>
      <c r="U43" s="16">
        <v>0.2021</v>
      </c>
      <c r="V43" s="16">
        <v>4.5999999999999999E-2</v>
      </c>
      <c r="W43" s="16">
        <v>4.5999999999999999E-2</v>
      </c>
      <c r="X43" s="16">
        <v>4.5999999999999999E-2</v>
      </c>
      <c r="Y43" s="16">
        <v>4.5999999999999999E-2</v>
      </c>
      <c r="Z43" s="16">
        <v>4.5999999999999999E-2</v>
      </c>
      <c r="AA43" s="16">
        <v>4.5999999999999999E-2</v>
      </c>
      <c r="AB43" s="16">
        <v>4.5999999999999999E-2</v>
      </c>
      <c r="AC43" s="16">
        <v>4.5999999999999999E-2</v>
      </c>
      <c r="AD43" s="16">
        <v>4.5999999999999999E-2</v>
      </c>
      <c r="AE43" s="16">
        <v>4.5999999999999999E-2</v>
      </c>
      <c r="AF43" s="16">
        <v>4.5999999999999999E-2</v>
      </c>
      <c r="AG43" s="16">
        <v>4.5999999999999999E-2</v>
      </c>
      <c r="AH43" s="16">
        <v>1.0159</v>
      </c>
      <c r="AI43" s="16">
        <v>0.746</v>
      </c>
      <c r="AJ43" s="16">
        <v>0.17879999999999999</v>
      </c>
      <c r="AK43" s="16">
        <v>0.14360000000000001</v>
      </c>
      <c r="AL43" s="16">
        <v>9.4200000000000006E-2</v>
      </c>
      <c r="AM43" s="16">
        <v>0.1671</v>
      </c>
      <c r="AN43" s="16">
        <v>0.24529999999999999</v>
      </c>
      <c r="AO43" s="16">
        <v>0.28000000000000003</v>
      </c>
      <c r="AP43" s="16">
        <v>0.43559999999999999</v>
      </c>
      <c r="AQ43" s="16">
        <v>4.5999999999999999E-2</v>
      </c>
      <c r="AR43" s="16">
        <v>4.5999999999999999E-2</v>
      </c>
      <c r="AS43" s="16">
        <v>0.8458</v>
      </c>
      <c r="AT43" s="16">
        <v>4.5999999999999999E-2</v>
      </c>
      <c r="AU43" s="16">
        <v>4.5999999999999999E-2</v>
      </c>
      <c r="AV43" s="16">
        <v>4.5999999999999999E-2</v>
      </c>
      <c r="AW43" s="16">
        <v>4.5999999999999999E-2</v>
      </c>
      <c r="AX43" s="16">
        <v>4.5999999999999999E-2</v>
      </c>
    </row>
    <row r="44" spans="1:50" x14ac:dyDescent="0.25">
      <c r="A44" s="8" t="s">
        <v>92</v>
      </c>
      <c r="B44" s="10" t="s">
        <v>57</v>
      </c>
      <c r="C44" s="16">
        <v>0.1288</v>
      </c>
      <c r="D44" s="16">
        <v>5.2999999999999999E-2</v>
      </c>
      <c r="E44" s="16">
        <v>0.12039999999999999</v>
      </c>
      <c r="F44" s="16">
        <v>6.1400000000000003E-2</v>
      </c>
      <c r="G44" s="16">
        <v>9.5100000000000004E-2</v>
      </c>
      <c r="H44" s="16">
        <v>8.6699999999999999E-2</v>
      </c>
      <c r="I44" s="16">
        <v>5.2999999999999999E-2</v>
      </c>
      <c r="J44" s="16">
        <v>0.1288</v>
      </c>
      <c r="K44" s="16">
        <v>5.2999999999999999E-2</v>
      </c>
      <c r="L44" s="16">
        <v>5.2999999999999999E-2</v>
      </c>
      <c r="M44" s="16">
        <v>0.1288</v>
      </c>
      <c r="N44" s="16">
        <v>5.2999999999999999E-2</v>
      </c>
      <c r="O44" s="16">
        <v>0.1288</v>
      </c>
      <c r="P44" s="16">
        <v>5.2999999999999999E-2</v>
      </c>
      <c r="Q44" s="16">
        <v>5.2999999999999999E-2</v>
      </c>
      <c r="R44" s="16">
        <v>0.1288</v>
      </c>
      <c r="S44" s="16">
        <v>5.2999999999999999E-2</v>
      </c>
      <c r="T44" s="16">
        <v>0.19070000000000001</v>
      </c>
      <c r="U44" s="16">
        <v>0.1832</v>
      </c>
      <c r="V44" s="16">
        <v>0.13139999999999999</v>
      </c>
      <c r="W44" s="16">
        <v>6.0999999999999999E-2</v>
      </c>
      <c r="X44" s="16">
        <v>0.31719999999999998</v>
      </c>
      <c r="Y44" s="16">
        <v>6.5799999999999997E-2</v>
      </c>
      <c r="Z44" s="16">
        <v>0.15479999999999999</v>
      </c>
      <c r="AA44" s="16">
        <v>0.86750000000000005</v>
      </c>
      <c r="AB44" s="16">
        <v>0.12089999999999999</v>
      </c>
      <c r="AC44" s="16">
        <v>0.30199999999999999</v>
      </c>
      <c r="AD44" s="16">
        <v>0.45229999999999998</v>
      </c>
      <c r="AE44" s="16">
        <v>3.4289999999999998</v>
      </c>
      <c r="AF44" s="16">
        <v>0.9708</v>
      </c>
      <c r="AG44" s="16">
        <v>2.2582</v>
      </c>
      <c r="AH44" s="16">
        <v>0.30049999999999999</v>
      </c>
      <c r="AI44" s="16">
        <v>0.20949999999999999</v>
      </c>
      <c r="AJ44" s="16">
        <v>0.18790000000000001</v>
      </c>
      <c r="AK44" s="16">
        <v>0.22370000000000001</v>
      </c>
      <c r="AL44" s="16">
        <v>0.24160000000000001</v>
      </c>
      <c r="AM44" s="16">
        <v>0.1331</v>
      </c>
      <c r="AN44" s="16">
        <v>0.39050000000000001</v>
      </c>
      <c r="AO44" s="16">
        <v>0.16</v>
      </c>
      <c r="AP44" s="16">
        <v>0.44269999999999998</v>
      </c>
      <c r="AQ44" s="16">
        <v>0.59689999999999999</v>
      </c>
      <c r="AR44" s="16">
        <v>1.8317000000000001</v>
      </c>
      <c r="AS44" s="16">
        <v>0.52449999999999997</v>
      </c>
      <c r="AT44" s="16">
        <v>0.3211</v>
      </c>
      <c r="AU44" s="16">
        <v>0.46200000000000002</v>
      </c>
      <c r="AV44" s="16">
        <v>0.68579999999999997</v>
      </c>
      <c r="AW44" s="16">
        <v>0.68279999999999996</v>
      </c>
      <c r="AX44" s="16">
        <v>0.33789999999999998</v>
      </c>
    </row>
    <row r="45" spans="1:50" x14ac:dyDescent="0.25">
      <c r="A45" s="8" t="s">
        <v>94</v>
      </c>
      <c r="B45" s="10" t="s">
        <v>57</v>
      </c>
      <c r="C45" s="16">
        <v>4.9000000000000002E-2</v>
      </c>
      <c r="D45" s="16">
        <v>7.0199999999999999E-2</v>
      </c>
      <c r="E45" s="16">
        <v>0.18360000000000001</v>
      </c>
      <c r="F45" s="16">
        <v>4.9000000000000002E-2</v>
      </c>
      <c r="G45" s="16">
        <v>0.17649999999999999</v>
      </c>
      <c r="H45" s="16">
        <v>7.7299999999999994E-2</v>
      </c>
      <c r="I45" s="16">
        <v>9.1499999999999998E-2</v>
      </c>
      <c r="J45" s="16">
        <v>0.1623</v>
      </c>
      <c r="K45" s="16">
        <v>4.9000000000000002E-2</v>
      </c>
      <c r="L45" s="16">
        <v>0.19059999999999999</v>
      </c>
      <c r="M45" s="16">
        <v>6.3200000000000006E-2</v>
      </c>
      <c r="N45" s="16">
        <v>0.12690000000000001</v>
      </c>
      <c r="O45" s="16">
        <v>0.12690000000000001</v>
      </c>
      <c r="P45" s="16">
        <v>4.9000000000000002E-2</v>
      </c>
      <c r="Q45" s="16">
        <v>0.20480000000000001</v>
      </c>
      <c r="R45" s="16">
        <v>4.9000000000000002E-2</v>
      </c>
      <c r="S45" s="16">
        <v>4.9000000000000002E-2</v>
      </c>
      <c r="T45" s="16">
        <v>7.0199999999999999E-2</v>
      </c>
      <c r="U45" s="16">
        <v>0.38950000000000001</v>
      </c>
      <c r="V45" s="16">
        <v>0.95020000000000004</v>
      </c>
      <c r="W45" s="16">
        <v>9.0499999999999997E-2</v>
      </c>
      <c r="X45" s="16">
        <v>0.36380000000000001</v>
      </c>
      <c r="Y45" s="16">
        <v>0.52590000000000003</v>
      </c>
      <c r="Z45" s="16">
        <v>0.37459999999999999</v>
      </c>
      <c r="AA45" s="16">
        <v>1.4734</v>
      </c>
      <c r="AB45" s="16">
        <v>0.30409999999999998</v>
      </c>
      <c r="AC45" s="16">
        <v>0.13070000000000001</v>
      </c>
      <c r="AD45" s="16">
        <v>0.2198</v>
      </c>
      <c r="AE45" s="16">
        <v>7.3400000000000007E-2</v>
      </c>
      <c r="AF45" s="16">
        <v>0.222</v>
      </c>
      <c r="AG45" s="16">
        <v>0.53410000000000002</v>
      </c>
      <c r="AH45" s="16">
        <v>0.2198</v>
      </c>
      <c r="AI45" s="16">
        <v>1.0425</v>
      </c>
      <c r="AJ45" s="16">
        <v>0.14019999999999999</v>
      </c>
      <c r="AK45" s="16">
        <v>0.12330000000000001</v>
      </c>
      <c r="AL45" s="16">
        <v>0.1774</v>
      </c>
      <c r="AM45" s="16">
        <v>1.6912</v>
      </c>
      <c r="AN45" s="16">
        <v>0.16020000000000001</v>
      </c>
      <c r="AO45" s="16">
        <v>0.30590000000000001</v>
      </c>
      <c r="AP45" s="16">
        <v>0.54530000000000001</v>
      </c>
      <c r="AQ45" s="16">
        <v>0.39269999999999999</v>
      </c>
      <c r="AR45" s="16">
        <v>0.61260000000000003</v>
      </c>
      <c r="AS45" s="16">
        <v>0.42399999999999999</v>
      </c>
      <c r="AT45" s="16">
        <v>0.6492</v>
      </c>
      <c r="AU45" s="16">
        <v>0.55369999999999997</v>
      </c>
      <c r="AV45" s="16">
        <v>0.56269999999999998</v>
      </c>
      <c r="AW45" s="16">
        <v>0.65439999999999998</v>
      </c>
      <c r="AX45" s="16">
        <v>0.53949999999999998</v>
      </c>
    </row>
    <row r="46" spans="1:50" x14ac:dyDescent="0.25">
      <c r="A46" s="17" t="s">
        <v>209</v>
      </c>
      <c r="B46" s="13" t="s">
        <v>168</v>
      </c>
      <c r="C46" s="18">
        <v>5.0999999999999997E-2</v>
      </c>
      <c r="D46" s="18">
        <v>0.1678</v>
      </c>
      <c r="E46" s="18">
        <v>0.10829999999999999</v>
      </c>
      <c r="F46" s="18">
        <v>5.0999999999999997E-2</v>
      </c>
      <c r="G46" s="18">
        <v>0.1837</v>
      </c>
      <c r="H46" s="18">
        <v>9.2399999999999996E-2</v>
      </c>
      <c r="I46" s="18">
        <v>5.0999999999999997E-2</v>
      </c>
      <c r="J46" s="18">
        <v>7.9600000000000004E-2</v>
      </c>
      <c r="K46" s="18">
        <v>0.19059999999999999</v>
      </c>
      <c r="L46" s="18">
        <v>0.1014</v>
      </c>
      <c r="M46" s="18">
        <v>6.3700000000000007E-2</v>
      </c>
      <c r="N46" s="18">
        <v>0.1019</v>
      </c>
      <c r="O46" s="18">
        <v>5.74E-2</v>
      </c>
      <c r="P46" s="18">
        <v>7.6499999999999999E-2</v>
      </c>
      <c r="Q46" s="18">
        <v>0.1996</v>
      </c>
      <c r="R46" s="18">
        <v>8.5800000000000001E-2</v>
      </c>
      <c r="S46" s="18">
        <v>1.0118</v>
      </c>
      <c r="T46" s="18">
        <v>0.10050000000000001</v>
      </c>
      <c r="U46" s="18">
        <v>0.41020000000000001</v>
      </c>
      <c r="V46" s="18">
        <v>0.25950000000000001</v>
      </c>
      <c r="W46" s="18">
        <v>0.18479999999999999</v>
      </c>
      <c r="X46" s="18">
        <v>0.36930000000000002</v>
      </c>
      <c r="Y46" s="18">
        <v>0.24979999999999999</v>
      </c>
      <c r="Z46" s="18">
        <v>0.25540000000000002</v>
      </c>
      <c r="AA46" s="18">
        <v>0.15440000000000001</v>
      </c>
      <c r="AB46" s="18">
        <v>6.9599999999999995E-2</v>
      </c>
      <c r="AC46" s="18">
        <v>0.25109999999999999</v>
      </c>
      <c r="AD46" s="18">
        <v>0.21240000000000001</v>
      </c>
      <c r="AE46" s="18">
        <v>0.49009999999999998</v>
      </c>
      <c r="AF46" s="18">
        <v>0.36849999999999999</v>
      </c>
      <c r="AG46" s="18">
        <v>0.23730000000000001</v>
      </c>
      <c r="AH46" s="18">
        <v>0.1678</v>
      </c>
      <c r="AI46" s="18">
        <v>9.2399999999999996E-2</v>
      </c>
      <c r="AJ46" s="18">
        <v>0.22639999999999999</v>
      </c>
      <c r="AK46" s="18">
        <v>1.4147000000000001</v>
      </c>
      <c r="AL46" s="18">
        <v>0.82540000000000002</v>
      </c>
      <c r="AM46" s="18">
        <v>1.5978000000000001</v>
      </c>
      <c r="AN46" s="18">
        <v>0.35249999999999998</v>
      </c>
      <c r="AO46" s="18">
        <v>0.124</v>
      </c>
      <c r="AP46" s="18">
        <v>0.316</v>
      </c>
      <c r="AQ46" s="18">
        <v>0.31619999999999998</v>
      </c>
      <c r="AR46" s="18">
        <v>0.10829999999999999</v>
      </c>
      <c r="AS46" s="18">
        <v>0.1099</v>
      </c>
      <c r="AT46" s="18">
        <v>0.1661</v>
      </c>
      <c r="AU46" s="18">
        <v>5.0999999999999997E-2</v>
      </c>
      <c r="AV46" s="18">
        <v>0.10829999999999999</v>
      </c>
      <c r="AW46" s="18">
        <v>0.1094</v>
      </c>
      <c r="AX46" s="18">
        <v>0.1666</v>
      </c>
    </row>
    <row r="47" spans="1:50" x14ac:dyDescent="0.25">
      <c r="A47" s="8" t="s">
        <v>96</v>
      </c>
      <c r="B47" s="10" t="s">
        <v>57</v>
      </c>
      <c r="C47" s="16">
        <v>4.8000000000000001E-2</v>
      </c>
      <c r="D47" s="16">
        <v>4.8000000000000001E-2</v>
      </c>
      <c r="E47" s="16">
        <v>4.8000000000000001E-2</v>
      </c>
      <c r="F47" s="16">
        <v>0.13039999999999999</v>
      </c>
      <c r="G47" s="16">
        <v>4.8000000000000001E-2</v>
      </c>
      <c r="H47" s="16">
        <v>4.8000000000000001E-2</v>
      </c>
      <c r="I47" s="16">
        <v>6.1699999999999998E-2</v>
      </c>
      <c r="J47" s="16">
        <v>0.1167</v>
      </c>
      <c r="K47" s="16">
        <v>6.6299999999999998E-2</v>
      </c>
      <c r="L47" s="16">
        <v>0.11210000000000001</v>
      </c>
      <c r="M47" s="16">
        <v>4.8000000000000001E-2</v>
      </c>
      <c r="N47" s="16">
        <v>4.8000000000000001E-2</v>
      </c>
      <c r="O47" s="16">
        <v>4.8000000000000001E-2</v>
      </c>
      <c r="P47" s="16">
        <v>6.1699999999999998E-2</v>
      </c>
      <c r="Q47" s="16">
        <v>0.1167</v>
      </c>
      <c r="R47" s="16">
        <v>4.8000000000000001E-2</v>
      </c>
      <c r="S47" s="16">
        <v>4.8000000000000001E-2</v>
      </c>
      <c r="T47" s="16">
        <v>8.9200000000000002E-2</v>
      </c>
      <c r="U47" s="16">
        <v>8.9200000000000002E-2</v>
      </c>
      <c r="V47" s="16">
        <v>4.8000000000000001E-2</v>
      </c>
      <c r="W47" s="16">
        <v>4.8000000000000001E-2</v>
      </c>
      <c r="X47" s="16">
        <v>0.08</v>
      </c>
      <c r="Y47" s="16">
        <v>9.8400000000000001E-2</v>
      </c>
      <c r="Z47" s="16">
        <v>2.7837000000000001</v>
      </c>
      <c r="AA47" s="16">
        <v>1.6286</v>
      </c>
      <c r="AB47" s="16">
        <v>2.2629000000000001</v>
      </c>
      <c r="AC47" s="16">
        <v>0.83089999999999997</v>
      </c>
      <c r="AD47" s="16">
        <v>0.22770000000000001</v>
      </c>
      <c r="AE47" s="16">
        <v>0.20100000000000001</v>
      </c>
      <c r="AF47" s="16">
        <v>4.8000000000000001E-2</v>
      </c>
      <c r="AG47" s="16">
        <v>4.8000000000000001E-2</v>
      </c>
      <c r="AH47" s="16">
        <v>0.11940000000000001</v>
      </c>
      <c r="AI47" s="16">
        <v>0.08</v>
      </c>
      <c r="AJ47" s="16">
        <v>0.06</v>
      </c>
      <c r="AK47" s="16">
        <v>1.2096</v>
      </c>
      <c r="AL47" s="16">
        <v>0.63300000000000001</v>
      </c>
      <c r="AM47" s="16">
        <v>1.6685000000000001</v>
      </c>
      <c r="AN47" s="16">
        <v>1.5145</v>
      </c>
      <c r="AO47" s="16">
        <v>1.3225</v>
      </c>
      <c r="AP47" s="16">
        <v>0.95760000000000001</v>
      </c>
      <c r="AQ47" s="16">
        <v>0.1361</v>
      </c>
      <c r="AR47" s="16">
        <v>0.1075</v>
      </c>
      <c r="AS47" s="16">
        <v>7.0900000000000005E-2</v>
      </c>
      <c r="AT47" s="16">
        <v>4.8000000000000001E-2</v>
      </c>
      <c r="AU47" s="16">
        <v>8.7300000000000003E-2</v>
      </c>
      <c r="AV47" s="16">
        <v>5.2600000000000001E-2</v>
      </c>
      <c r="AW47" s="16">
        <v>0.1258</v>
      </c>
      <c r="AX47" s="16">
        <v>4.8000000000000001E-2</v>
      </c>
    </row>
    <row r="48" spans="1:50" x14ac:dyDescent="0.25">
      <c r="A48" s="17" t="s">
        <v>211</v>
      </c>
      <c r="B48" s="13" t="s">
        <v>168</v>
      </c>
      <c r="C48" s="18">
        <v>0.05</v>
      </c>
      <c r="D48" s="18">
        <v>0.05</v>
      </c>
      <c r="E48" s="18">
        <v>0.05</v>
      </c>
      <c r="F48" s="18">
        <v>0.05</v>
      </c>
      <c r="G48" s="18">
        <v>0.05</v>
      </c>
      <c r="H48" s="18">
        <v>0.05</v>
      </c>
      <c r="I48" s="18">
        <v>0.05</v>
      </c>
      <c r="J48" s="18">
        <v>0.05</v>
      </c>
      <c r="K48" s="18">
        <v>0.05</v>
      </c>
      <c r="L48" s="18">
        <v>0.05</v>
      </c>
      <c r="M48" s="18">
        <v>0.05</v>
      </c>
      <c r="N48" s="18">
        <v>0.05</v>
      </c>
      <c r="O48" s="18">
        <v>0.05</v>
      </c>
      <c r="P48" s="18">
        <v>0.05</v>
      </c>
      <c r="Q48" s="18">
        <v>0.05</v>
      </c>
      <c r="R48" s="18">
        <v>0.05</v>
      </c>
      <c r="S48" s="18">
        <v>0.05</v>
      </c>
      <c r="T48" s="18">
        <v>0.17449999999999999</v>
      </c>
      <c r="U48" s="18">
        <v>8.43E-2</v>
      </c>
      <c r="V48" s="18">
        <v>9.1700000000000004E-2</v>
      </c>
      <c r="W48" s="18">
        <v>7.9100000000000004E-2</v>
      </c>
      <c r="X48" s="18">
        <v>0.10059999999999999</v>
      </c>
      <c r="Y48" s="18">
        <v>8.6400000000000005E-2</v>
      </c>
      <c r="Z48" s="18">
        <v>0.14729999999999999</v>
      </c>
      <c r="AA48" s="18">
        <v>0.17860000000000001</v>
      </c>
      <c r="AB48" s="18">
        <v>7.8200000000000006E-2</v>
      </c>
      <c r="AC48" s="18">
        <v>1.1198999999999999</v>
      </c>
      <c r="AD48" s="18">
        <v>0.28839999999999999</v>
      </c>
      <c r="AE48" s="18">
        <v>0.05</v>
      </c>
      <c r="AF48" s="18">
        <v>0.05</v>
      </c>
      <c r="AG48" s="18">
        <v>0.05</v>
      </c>
      <c r="AH48" s="18">
        <v>0.05</v>
      </c>
      <c r="AI48" s="18">
        <v>0.05</v>
      </c>
      <c r="AJ48" s="18">
        <v>0.05</v>
      </c>
      <c r="AK48" s="18">
        <v>0.05</v>
      </c>
      <c r="AL48" s="18">
        <v>0.05</v>
      </c>
      <c r="AM48" s="18">
        <v>0.05</v>
      </c>
      <c r="AN48" s="18">
        <v>0.05</v>
      </c>
      <c r="AO48" s="18">
        <v>0.05</v>
      </c>
      <c r="AP48" s="18">
        <v>0.05</v>
      </c>
      <c r="AQ48" s="18">
        <v>0.14549999999999999</v>
      </c>
      <c r="AR48" s="18">
        <v>0.48320000000000002</v>
      </c>
      <c r="AS48" s="18">
        <v>0.50629999999999997</v>
      </c>
      <c r="AT48" s="18">
        <v>0.61409999999999998</v>
      </c>
      <c r="AU48" s="18">
        <v>0.1239</v>
      </c>
      <c r="AV48" s="18">
        <v>0.70209999999999995</v>
      </c>
      <c r="AW48" s="18">
        <v>0.41410000000000002</v>
      </c>
      <c r="AX48" s="18">
        <v>0.34079999999999999</v>
      </c>
    </row>
    <row r="49" spans="1:50" x14ac:dyDescent="0.25">
      <c r="A49" s="17" t="s">
        <v>213</v>
      </c>
      <c r="B49" s="13" t="s">
        <v>168</v>
      </c>
      <c r="C49" s="18">
        <v>2.4384999999999999</v>
      </c>
      <c r="D49" s="18">
        <v>5.5E-2</v>
      </c>
      <c r="E49" s="18">
        <v>5.5E-2</v>
      </c>
      <c r="F49" s="18">
        <v>5.5E-2</v>
      </c>
      <c r="G49" s="18">
        <v>5.5E-2</v>
      </c>
      <c r="H49" s="18">
        <v>5.5E-2</v>
      </c>
      <c r="I49" s="18">
        <v>5.5E-2</v>
      </c>
      <c r="J49" s="18">
        <v>5.5E-2</v>
      </c>
      <c r="K49" s="18">
        <v>5.5E-2</v>
      </c>
      <c r="L49" s="18">
        <v>5.5E-2</v>
      </c>
      <c r="M49" s="18">
        <v>5.5E-2</v>
      </c>
      <c r="N49" s="18">
        <v>9.7100000000000006E-2</v>
      </c>
      <c r="O49" s="18">
        <v>0.19539999999999999</v>
      </c>
      <c r="P49" s="18">
        <v>0.1038</v>
      </c>
      <c r="Q49" s="18">
        <v>5.5E-2</v>
      </c>
      <c r="R49" s="18">
        <v>5.5E-2</v>
      </c>
      <c r="S49" s="18">
        <v>0.39150000000000001</v>
      </c>
      <c r="T49" s="18">
        <v>0.214</v>
      </c>
      <c r="U49" s="18">
        <v>0.3906</v>
      </c>
      <c r="V49" s="18">
        <v>0.75170000000000003</v>
      </c>
      <c r="W49" s="18">
        <v>0.4945</v>
      </c>
      <c r="X49" s="18">
        <v>2.1865000000000001</v>
      </c>
      <c r="Y49" s="18">
        <v>2.649</v>
      </c>
      <c r="Z49" s="18">
        <v>0.72299999999999998</v>
      </c>
      <c r="AA49" s="18">
        <v>5.5E-2</v>
      </c>
      <c r="AB49" s="18">
        <v>5.5E-2</v>
      </c>
      <c r="AC49" s="18">
        <v>5.5E-2</v>
      </c>
      <c r="AD49" s="18">
        <v>5.5E-2</v>
      </c>
      <c r="AE49" s="18">
        <v>5.5E-2</v>
      </c>
      <c r="AF49" s="18">
        <v>5.5E-2</v>
      </c>
      <c r="AG49" s="18">
        <v>5.5E-2</v>
      </c>
      <c r="AH49" s="18">
        <v>5.5E-2</v>
      </c>
      <c r="AI49" s="18">
        <v>5.5E-2</v>
      </c>
      <c r="AJ49" s="18">
        <v>5.5E-2</v>
      </c>
      <c r="AK49" s="18">
        <v>5.5E-2</v>
      </c>
      <c r="AL49" s="18">
        <v>5.5E-2</v>
      </c>
      <c r="AM49" s="18">
        <v>5.5E-2</v>
      </c>
      <c r="AN49" s="18">
        <v>5.5E-2</v>
      </c>
      <c r="AO49" s="18">
        <v>5.5E-2</v>
      </c>
      <c r="AP49" s="18">
        <v>5.5E-2</v>
      </c>
      <c r="AQ49" s="18">
        <v>5.5E-2</v>
      </c>
      <c r="AR49" s="18">
        <v>5.5E-2</v>
      </c>
      <c r="AS49" s="18">
        <v>5.5E-2</v>
      </c>
      <c r="AT49" s="18">
        <v>0.30559999999999998</v>
      </c>
      <c r="AU49" s="18">
        <v>0.36399999999999999</v>
      </c>
      <c r="AV49" s="18">
        <v>0.25950000000000001</v>
      </c>
      <c r="AW49" s="18">
        <v>5.5E-2</v>
      </c>
      <c r="AX49" s="18">
        <v>5.5E-2</v>
      </c>
    </row>
    <row r="50" spans="1:50" x14ac:dyDescent="0.25">
      <c r="A50" s="17" t="s">
        <v>215</v>
      </c>
      <c r="B50" s="13" t="s">
        <v>168</v>
      </c>
      <c r="C50" s="18">
        <v>9.5100000000000004E-2</v>
      </c>
      <c r="D50" s="18">
        <v>0.10440000000000001</v>
      </c>
      <c r="E50" s="18">
        <v>5.8000000000000003E-2</v>
      </c>
      <c r="F50" s="18">
        <v>0.1323</v>
      </c>
      <c r="G50" s="18">
        <v>6.7299999999999999E-2</v>
      </c>
      <c r="H50" s="18">
        <v>9.98E-2</v>
      </c>
      <c r="I50" s="18">
        <v>9.98E-2</v>
      </c>
      <c r="J50" s="18">
        <v>5.8000000000000003E-2</v>
      </c>
      <c r="K50" s="18">
        <v>0.1416</v>
      </c>
      <c r="L50" s="18">
        <v>5.8000000000000003E-2</v>
      </c>
      <c r="M50" s="18">
        <v>5.8000000000000003E-2</v>
      </c>
      <c r="N50" s="18">
        <v>5.8000000000000003E-2</v>
      </c>
      <c r="O50" s="18">
        <v>0.1416</v>
      </c>
      <c r="P50" s="18">
        <v>5.8000000000000003E-2</v>
      </c>
      <c r="Q50" s="18">
        <v>5.8000000000000003E-2</v>
      </c>
      <c r="R50" s="18">
        <v>0.19739999999999999</v>
      </c>
      <c r="S50" s="18">
        <v>0.26</v>
      </c>
      <c r="T50" s="18">
        <v>0.1416</v>
      </c>
      <c r="U50" s="18">
        <v>5.8000000000000003E-2</v>
      </c>
      <c r="V50" s="18">
        <v>5.8000000000000003E-2</v>
      </c>
      <c r="W50" s="18">
        <v>0.2079</v>
      </c>
      <c r="X50" s="18">
        <v>0.19159999999999999</v>
      </c>
      <c r="Y50" s="18">
        <v>5.8000000000000003E-2</v>
      </c>
      <c r="Z50" s="18">
        <v>5.8000000000000003E-2</v>
      </c>
      <c r="AA50" s="18">
        <v>5.8000000000000003E-2</v>
      </c>
      <c r="AB50" s="18">
        <v>0.2989</v>
      </c>
      <c r="AC50" s="18">
        <v>0.21540000000000001</v>
      </c>
      <c r="AD50" s="18">
        <v>0.31090000000000001</v>
      </c>
      <c r="AE50" s="18">
        <v>0.25459999999999999</v>
      </c>
      <c r="AF50" s="18">
        <v>0.13389999999999999</v>
      </c>
      <c r="AG50" s="18">
        <v>0.1229</v>
      </c>
      <c r="AH50" s="18">
        <v>0.2014</v>
      </c>
      <c r="AI50" s="18">
        <v>8.7900000000000006E-2</v>
      </c>
      <c r="AJ50" s="18">
        <v>1.8224</v>
      </c>
      <c r="AK50" s="18">
        <v>0.43180000000000002</v>
      </c>
      <c r="AL50" s="18">
        <v>5.8000000000000003E-2</v>
      </c>
      <c r="AM50" s="18">
        <v>0.1416</v>
      </c>
      <c r="AN50" s="18">
        <v>5.8000000000000003E-2</v>
      </c>
      <c r="AO50" s="18">
        <v>8.5900000000000004E-2</v>
      </c>
      <c r="AP50" s="18">
        <v>0.1145</v>
      </c>
      <c r="AQ50" s="18">
        <v>0.1893</v>
      </c>
      <c r="AR50" s="18">
        <v>1.7806</v>
      </c>
      <c r="AS50" s="18">
        <v>1.4758</v>
      </c>
      <c r="AT50" s="18">
        <v>1.0189999999999999</v>
      </c>
      <c r="AU50" s="18">
        <v>0.50960000000000005</v>
      </c>
      <c r="AV50" s="18">
        <v>0.31940000000000002</v>
      </c>
      <c r="AW50" s="18">
        <v>0.1416</v>
      </c>
      <c r="AX50" s="18">
        <v>5.8000000000000003E-2</v>
      </c>
    </row>
    <row r="51" spans="1:50" x14ac:dyDescent="0.25">
      <c r="A51" s="8" t="s">
        <v>98</v>
      </c>
      <c r="B51" s="10" t="s">
        <v>57</v>
      </c>
      <c r="C51" s="16">
        <v>5.5E-2</v>
      </c>
      <c r="D51" s="16">
        <v>5.5E-2</v>
      </c>
      <c r="E51" s="16">
        <v>5.5E-2</v>
      </c>
      <c r="F51" s="16">
        <v>0.13070000000000001</v>
      </c>
      <c r="G51" s="16">
        <v>5.5E-2</v>
      </c>
      <c r="H51" s="16">
        <v>5.5E-2</v>
      </c>
      <c r="I51" s="16">
        <v>0.1222</v>
      </c>
      <c r="J51" s="16">
        <v>6.3399999999999998E-2</v>
      </c>
      <c r="K51" s="16">
        <v>5.5E-2</v>
      </c>
      <c r="L51" s="16">
        <v>0.1138</v>
      </c>
      <c r="M51" s="16">
        <v>7.1800000000000003E-2</v>
      </c>
      <c r="N51" s="16">
        <v>5.5E-2</v>
      </c>
      <c r="O51" s="16">
        <v>0.1012</v>
      </c>
      <c r="P51" s="16">
        <v>8.4400000000000003E-2</v>
      </c>
      <c r="Q51" s="16">
        <v>0.1222</v>
      </c>
      <c r="R51" s="16">
        <v>6.3399999999999998E-2</v>
      </c>
      <c r="S51" s="16">
        <v>5.5E-2</v>
      </c>
      <c r="T51" s="16">
        <v>0.48230000000000001</v>
      </c>
      <c r="U51" s="16">
        <v>5.5E-2</v>
      </c>
      <c r="V51" s="16">
        <v>5.5E-2</v>
      </c>
      <c r="W51" s="16">
        <v>7.1800000000000003E-2</v>
      </c>
      <c r="X51" s="16">
        <v>0.1138</v>
      </c>
      <c r="Y51" s="16">
        <v>5.5E-2</v>
      </c>
      <c r="Z51" s="16">
        <v>8.4400000000000003E-2</v>
      </c>
      <c r="AA51" s="16">
        <v>0.1012</v>
      </c>
      <c r="AB51" s="16">
        <v>5.5E-2</v>
      </c>
      <c r="AC51" s="16">
        <v>0.13070000000000001</v>
      </c>
      <c r="AD51" s="16">
        <v>0.10879999999999999</v>
      </c>
      <c r="AE51" s="16">
        <v>8.8099999999999998E-2</v>
      </c>
      <c r="AF51" s="16">
        <v>0.30590000000000001</v>
      </c>
      <c r="AG51" s="16">
        <v>0.1676</v>
      </c>
      <c r="AH51" s="16">
        <v>0.60450000000000004</v>
      </c>
      <c r="AI51" s="16">
        <v>0.47820000000000001</v>
      </c>
      <c r="AJ51" s="16">
        <v>0.30449999999999999</v>
      </c>
      <c r="AK51" s="16">
        <v>0.1918</v>
      </c>
      <c r="AL51" s="16">
        <v>0.22500000000000001</v>
      </c>
      <c r="AM51" s="16">
        <v>0.217</v>
      </c>
      <c r="AN51" s="16">
        <v>0.18490000000000001</v>
      </c>
      <c r="AO51" s="16">
        <v>0.14280000000000001</v>
      </c>
      <c r="AP51" s="16">
        <v>0.26369999999999999</v>
      </c>
      <c r="AQ51" s="16">
        <v>0.48680000000000001</v>
      </c>
      <c r="AR51" s="16">
        <v>0.3705</v>
      </c>
      <c r="AS51" s="16">
        <v>0.251</v>
      </c>
      <c r="AT51" s="16">
        <v>0.23369999999999999</v>
      </c>
      <c r="AU51" s="16">
        <v>0.73340000000000005</v>
      </c>
      <c r="AV51" s="16">
        <v>0.46650000000000003</v>
      </c>
      <c r="AW51" s="16">
        <v>0.21990000000000001</v>
      </c>
      <c r="AX51" s="16">
        <v>0.13320000000000001</v>
      </c>
    </row>
    <row r="52" spans="1:50" x14ac:dyDescent="0.25">
      <c r="A52" s="8" t="s">
        <v>100</v>
      </c>
      <c r="B52" s="10" t="s">
        <v>57</v>
      </c>
      <c r="C52" s="16">
        <v>4.5999999999999999E-2</v>
      </c>
      <c r="D52" s="16">
        <v>0.16700000000000001</v>
      </c>
      <c r="E52" s="16">
        <v>0.2109</v>
      </c>
      <c r="F52" s="16">
        <v>4.5999999999999999E-2</v>
      </c>
      <c r="G52" s="16">
        <v>4.5999999999999999E-2</v>
      </c>
      <c r="H52" s="16">
        <v>0.22500000000000001</v>
      </c>
      <c r="I52" s="16">
        <v>0.153</v>
      </c>
      <c r="J52" s="16">
        <v>4.5999999999999999E-2</v>
      </c>
      <c r="K52" s="16">
        <v>0.22770000000000001</v>
      </c>
      <c r="L52" s="16">
        <v>0.15029999999999999</v>
      </c>
      <c r="M52" s="16">
        <v>4.5999999999999999E-2</v>
      </c>
      <c r="N52" s="16">
        <v>0.2354</v>
      </c>
      <c r="O52" s="16">
        <v>0.153</v>
      </c>
      <c r="P52" s="16">
        <v>9.4799999999999995E-2</v>
      </c>
      <c r="Q52" s="16">
        <v>0.1991</v>
      </c>
      <c r="R52" s="16">
        <v>0.13</v>
      </c>
      <c r="S52" s="16">
        <v>0.15409999999999999</v>
      </c>
      <c r="T52" s="16">
        <v>0.23019999999999999</v>
      </c>
      <c r="U52" s="16">
        <v>0.17069999999999999</v>
      </c>
      <c r="V52" s="16">
        <v>4.5999999999999999E-2</v>
      </c>
      <c r="W52" s="16">
        <v>0.60240000000000005</v>
      </c>
      <c r="X52" s="16">
        <v>9.0700000000000003E-2</v>
      </c>
      <c r="Y52" s="16">
        <v>0.1036</v>
      </c>
      <c r="Z52" s="16">
        <v>0.30070000000000002</v>
      </c>
      <c r="AA52" s="16">
        <v>4.5999999999999999E-2</v>
      </c>
      <c r="AB52" s="16">
        <v>8.6699999999999999E-2</v>
      </c>
      <c r="AC52" s="16">
        <v>0.2913</v>
      </c>
      <c r="AD52" s="16">
        <v>0.1295</v>
      </c>
      <c r="AE52" s="16">
        <v>0.46289999999999998</v>
      </c>
      <c r="AF52" s="16">
        <v>0.22409999999999999</v>
      </c>
      <c r="AG52" s="16">
        <v>0.1226</v>
      </c>
      <c r="AH52" s="16">
        <v>0.36870000000000003</v>
      </c>
      <c r="AI52" s="16">
        <v>8.1799999999999998E-2</v>
      </c>
      <c r="AJ52" s="16">
        <v>0.19570000000000001</v>
      </c>
      <c r="AK52" s="16">
        <v>0.26069999999999999</v>
      </c>
      <c r="AL52" s="16">
        <v>0.1802</v>
      </c>
      <c r="AM52" s="16">
        <v>0.48849999999999999</v>
      </c>
      <c r="AN52" s="16">
        <v>0.1421</v>
      </c>
      <c r="AO52" s="16">
        <v>4.5999999999999999E-2</v>
      </c>
      <c r="AP52" s="16">
        <v>0.33189999999999997</v>
      </c>
      <c r="AQ52" s="16">
        <v>4.5999999999999999E-2</v>
      </c>
      <c r="AR52" s="16">
        <v>4.5999999999999999E-2</v>
      </c>
      <c r="AS52" s="16">
        <v>0.153</v>
      </c>
      <c r="AT52" s="16">
        <v>7.85E-2</v>
      </c>
      <c r="AU52" s="16">
        <v>0.19239999999999999</v>
      </c>
      <c r="AV52" s="16">
        <v>0.153</v>
      </c>
      <c r="AW52" s="16">
        <v>4.5999999999999999E-2</v>
      </c>
      <c r="AX52" s="16">
        <v>0.13150000000000001</v>
      </c>
    </row>
    <row r="53" spans="1:50" x14ac:dyDescent="0.25">
      <c r="A53" s="8" t="s">
        <v>102</v>
      </c>
      <c r="B53" s="10" t="s">
        <v>57</v>
      </c>
      <c r="C53" s="16">
        <v>0.04</v>
      </c>
      <c r="D53" s="16">
        <v>0.1087</v>
      </c>
      <c r="E53" s="16">
        <v>0.1648</v>
      </c>
      <c r="F53" s="16">
        <v>6.2899999999999998E-2</v>
      </c>
      <c r="G53" s="16">
        <v>0.11700000000000001</v>
      </c>
      <c r="H53" s="16">
        <v>0.14119999999999999</v>
      </c>
      <c r="I53" s="16">
        <v>0.1198</v>
      </c>
      <c r="J53" s="16">
        <v>0.14610000000000001</v>
      </c>
      <c r="K53" s="16">
        <v>0.1084</v>
      </c>
      <c r="L53" s="16">
        <v>0.1651</v>
      </c>
      <c r="M53" s="16">
        <v>0.04</v>
      </c>
      <c r="N53" s="16">
        <v>0.23350000000000001</v>
      </c>
      <c r="O53" s="16">
        <v>0.04</v>
      </c>
      <c r="P53" s="16">
        <v>0.28039999999999998</v>
      </c>
      <c r="Q53" s="16">
        <v>0.25380000000000003</v>
      </c>
      <c r="R53" s="16">
        <v>0.1444</v>
      </c>
      <c r="S53" s="16">
        <v>0.1925</v>
      </c>
      <c r="T53" s="16">
        <v>0.24379999999999999</v>
      </c>
      <c r="U53" s="16">
        <v>0.90310000000000001</v>
      </c>
      <c r="V53" s="16">
        <v>0.43680000000000002</v>
      </c>
      <c r="W53" s="16">
        <v>1.7010000000000001</v>
      </c>
      <c r="X53" s="16">
        <v>2.0459999999999998</v>
      </c>
      <c r="Y53" s="16">
        <v>0.85970000000000002</v>
      </c>
      <c r="Z53" s="16">
        <v>0.22</v>
      </c>
      <c r="AA53" s="16">
        <v>1.6620999999999999</v>
      </c>
      <c r="AB53" s="16">
        <v>0.22889999999999999</v>
      </c>
      <c r="AC53" s="16">
        <v>0.27010000000000001</v>
      </c>
      <c r="AD53" s="16">
        <v>0.36480000000000001</v>
      </c>
      <c r="AE53" s="16">
        <v>0.2923</v>
      </c>
      <c r="AF53" s="16">
        <v>0.31340000000000001</v>
      </c>
      <c r="AG53" s="16">
        <v>0.30049999999999999</v>
      </c>
      <c r="AH53" s="16">
        <v>0.33019999999999999</v>
      </c>
      <c r="AI53" s="16">
        <v>1.4295</v>
      </c>
      <c r="AJ53" s="16">
        <v>0.23580000000000001</v>
      </c>
      <c r="AK53" s="16">
        <v>0.61109999999999998</v>
      </c>
      <c r="AL53" s="16">
        <v>0.3569</v>
      </c>
      <c r="AM53" s="16">
        <v>0.35410000000000003</v>
      </c>
      <c r="AN53" s="16">
        <v>1.4979</v>
      </c>
      <c r="AO53" s="16">
        <v>0.1011</v>
      </c>
      <c r="AP53" s="16">
        <v>0.1648</v>
      </c>
      <c r="AQ53" s="16">
        <v>0.1087</v>
      </c>
      <c r="AR53" s="16">
        <v>0.04</v>
      </c>
      <c r="AS53" s="16">
        <v>0.1024</v>
      </c>
      <c r="AT53" s="16">
        <v>0.1024</v>
      </c>
      <c r="AU53" s="16">
        <v>0.04</v>
      </c>
      <c r="AV53" s="16">
        <v>7.4399999999999994E-2</v>
      </c>
      <c r="AW53" s="16">
        <v>9.3100000000000002E-2</v>
      </c>
      <c r="AX53" s="16">
        <v>0.17280000000000001</v>
      </c>
    </row>
    <row r="54" spans="1:50" x14ac:dyDescent="0.25">
      <c r="A54" s="17" t="s">
        <v>217</v>
      </c>
      <c r="B54" s="13" t="s">
        <v>168</v>
      </c>
      <c r="C54" s="18">
        <v>0.52229999999999999</v>
      </c>
      <c r="D54" s="18">
        <v>9.6600000000000005E-2</v>
      </c>
      <c r="E54" s="18">
        <v>0.1305</v>
      </c>
      <c r="F54" s="18">
        <v>5.7000000000000002E-2</v>
      </c>
      <c r="G54" s="18">
        <v>5.7000000000000002E-2</v>
      </c>
      <c r="H54" s="18">
        <v>6.83E-2</v>
      </c>
      <c r="I54" s="18">
        <v>0.1588</v>
      </c>
      <c r="J54" s="18">
        <v>5.7000000000000002E-2</v>
      </c>
      <c r="K54" s="18">
        <v>0.1701</v>
      </c>
      <c r="L54" s="18">
        <v>5.7000000000000002E-2</v>
      </c>
      <c r="M54" s="18">
        <v>0.1305</v>
      </c>
      <c r="N54" s="18">
        <v>9.6600000000000005E-2</v>
      </c>
      <c r="O54" s="18">
        <v>5.7000000000000002E-2</v>
      </c>
      <c r="P54" s="18">
        <v>5.7000000000000002E-2</v>
      </c>
      <c r="Q54" s="18">
        <v>7.9600000000000004E-2</v>
      </c>
      <c r="R54" s="18">
        <v>0.14749999999999999</v>
      </c>
      <c r="S54" s="18">
        <v>0.30549999999999999</v>
      </c>
      <c r="T54" s="18">
        <v>1.1963999999999999</v>
      </c>
      <c r="U54" s="18">
        <v>0.61770000000000003</v>
      </c>
      <c r="V54" s="18">
        <v>0.36220000000000002</v>
      </c>
      <c r="W54" s="18">
        <v>0.31459999999999999</v>
      </c>
      <c r="X54" s="18">
        <v>0.98109999999999997</v>
      </c>
      <c r="Y54" s="18">
        <v>0.9254</v>
      </c>
      <c r="Z54" s="18">
        <v>0.5585</v>
      </c>
      <c r="AA54" s="18">
        <v>0.93420000000000003</v>
      </c>
      <c r="AB54" s="18">
        <v>1.5168999999999999</v>
      </c>
      <c r="AC54" s="18">
        <v>0.21460000000000001</v>
      </c>
      <c r="AD54" s="18">
        <v>0.49509999999999998</v>
      </c>
      <c r="AE54" s="18">
        <v>0.2596</v>
      </c>
      <c r="AF54" s="18">
        <v>0.13619999999999999</v>
      </c>
      <c r="AG54" s="18">
        <v>9.0899999999999995E-2</v>
      </c>
      <c r="AH54" s="18">
        <v>5.7000000000000002E-2</v>
      </c>
      <c r="AI54" s="18">
        <v>0.1701</v>
      </c>
      <c r="AJ54" s="18">
        <v>5.7000000000000002E-2</v>
      </c>
      <c r="AK54" s="18">
        <v>5.7000000000000002E-2</v>
      </c>
      <c r="AL54" s="18">
        <v>5.7000000000000002E-2</v>
      </c>
      <c r="AM54" s="18">
        <v>0.38929999999999998</v>
      </c>
      <c r="AN54" s="18">
        <v>6.2700000000000006E-2</v>
      </c>
      <c r="AO54" s="18">
        <v>0.1007</v>
      </c>
      <c r="AP54" s="18">
        <v>0.52769999999999995</v>
      </c>
      <c r="AQ54" s="18">
        <v>0.82840000000000003</v>
      </c>
      <c r="AR54" s="18">
        <v>0.73519999999999996</v>
      </c>
      <c r="AS54" s="18">
        <v>0.54549999999999998</v>
      </c>
      <c r="AT54" s="18">
        <v>0.55349999999999999</v>
      </c>
      <c r="AU54" s="18">
        <v>0.96899999999999997</v>
      </c>
      <c r="AV54" s="18">
        <v>0.69030000000000002</v>
      </c>
      <c r="AW54" s="18">
        <v>1.1789000000000001</v>
      </c>
      <c r="AX54" s="18">
        <v>0.70399999999999996</v>
      </c>
    </row>
    <row r="55" spans="1:50" x14ac:dyDescent="0.25">
      <c r="A55" s="17" t="s">
        <v>219</v>
      </c>
      <c r="B55" s="13" t="s">
        <v>168</v>
      </c>
      <c r="C55" s="18">
        <v>0.1331</v>
      </c>
      <c r="D55" s="18">
        <v>0.05</v>
      </c>
      <c r="E55" s="18">
        <v>8.6300000000000002E-2</v>
      </c>
      <c r="F55" s="18">
        <v>0.11749999999999999</v>
      </c>
      <c r="G55" s="18">
        <v>0.05</v>
      </c>
      <c r="H55" s="18">
        <v>0.15379999999999999</v>
      </c>
      <c r="I55" s="18">
        <v>0.05</v>
      </c>
      <c r="J55" s="18">
        <v>0.05</v>
      </c>
      <c r="K55" s="18">
        <v>0.05</v>
      </c>
      <c r="L55" s="18">
        <v>0.05</v>
      </c>
      <c r="M55" s="18">
        <v>6.5600000000000006E-2</v>
      </c>
      <c r="N55" s="18">
        <v>0.13830000000000001</v>
      </c>
      <c r="O55" s="18">
        <v>0.05</v>
      </c>
      <c r="P55" s="18">
        <v>0.05</v>
      </c>
      <c r="Q55" s="18">
        <v>9.5899999999999999E-2</v>
      </c>
      <c r="R55" s="18">
        <v>0.1678</v>
      </c>
      <c r="S55" s="18">
        <v>5.3999999999999999E-2</v>
      </c>
      <c r="T55" s="18">
        <v>0.35099999999999998</v>
      </c>
      <c r="U55" s="18">
        <v>1.2517</v>
      </c>
      <c r="V55" s="18">
        <v>0.29310000000000003</v>
      </c>
      <c r="W55" s="18">
        <v>0.25159999999999999</v>
      </c>
      <c r="X55" s="18">
        <v>0.30530000000000002</v>
      </c>
      <c r="Y55" s="18">
        <v>0.25950000000000001</v>
      </c>
      <c r="Z55" s="18">
        <v>1.0785</v>
      </c>
      <c r="AA55" s="18">
        <v>0.31390000000000001</v>
      </c>
      <c r="AB55" s="18">
        <v>0.23080000000000001</v>
      </c>
      <c r="AC55" s="18">
        <v>0.4022</v>
      </c>
      <c r="AD55" s="18">
        <v>0.31269999999999998</v>
      </c>
      <c r="AE55" s="18">
        <v>7.1599999999999997E-2</v>
      </c>
      <c r="AF55" s="18">
        <v>0.17419999999999999</v>
      </c>
      <c r="AG55" s="18">
        <v>0.1147</v>
      </c>
      <c r="AH55" s="18">
        <v>0.18459999999999999</v>
      </c>
      <c r="AI55" s="18">
        <v>0.13320000000000001</v>
      </c>
      <c r="AJ55" s="18">
        <v>0.28100000000000003</v>
      </c>
      <c r="AK55" s="18">
        <v>0.15859999999999999</v>
      </c>
      <c r="AL55" s="18">
        <v>8.2000000000000003E-2</v>
      </c>
      <c r="AM55" s="18">
        <v>0.12790000000000001</v>
      </c>
      <c r="AN55" s="18">
        <v>6.4899999999999999E-2</v>
      </c>
      <c r="AO55" s="18">
        <v>0.20230000000000001</v>
      </c>
      <c r="AP55" s="18">
        <v>0.1953</v>
      </c>
      <c r="AQ55" s="18">
        <v>0.1666</v>
      </c>
      <c r="AR55" s="18">
        <v>0.05</v>
      </c>
      <c r="AS55" s="18">
        <v>0.05</v>
      </c>
      <c r="AT55" s="18">
        <v>0.05</v>
      </c>
      <c r="AU55" s="18">
        <v>0.14860000000000001</v>
      </c>
      <c r="AV55" s="18">
        <v>5.5199999999999999E-2</v>
      </c>
      <c r="AW55" s="18">
        <v>6.5600000000000006E-2</v>
      </c>
      <c r="AX55" s="18">
        <v>0.13830000000000001</v>
      </c>
    </row>
    <row r="56" spans="1:50" x14ac:dyDescent="0.25">
      <c r="A56" s="17" t="s">
        <v>221</v>
      </c>
      <c r="B56" s="13" t="s">
        <v>168</v>
      </c>
      <c r="C56" s="18">
        <v>0.1966</v>
      </c>
      <c r="D56" s="18">
        <v>5.5E-2</v>
      </c>
      <c r="E56" s="18">
        <v>0.38829999999999998</v>
      </c>
      <c r="F56" s="18">
        <v>6.9900000000000004E-2</v>
      </c>
      <c r="G56" s="18">
        <v>0.10730000000000001</v>
      </c>
      <c r="H56" s="18">
        <v>0.23369999999999999</v>
      </c>
      <c r="I56" s="18">
        <v>9.98E-2</v>
      </c>
      <c r="J56" s="18">
        <v>0.16669999999999999</v>
      </c>
      <c r="K56" s="18">
        <v>0.1855</v>
      </c>
      <c r="L56" s="18">
        <v>6.6199999999999995E-2</v>
      </c>
      <c r="M56" s="18">
        <v>0.1222</v>
      </c>
      <c r="N56" s="18">
        <v>0.21879999999999999</v>
      </c>
      <c r="O56" s="18">
        <v>0.1222</v>
      </c>
      <c r="P56" s="18">
        <v>0.15920000000000001</v>
      </c>
      <c r="Q56" s="18">
        <v>0.1706</v>
      </c>
      <c r="R56" s="18">
        <v>6.6199999999999995E-2</v>
      </c>
      <c r="S56" s="18">
        <v>0.24490000000000001</v>
      </c>
      <c r="T56" s="18">
        <v>9.6100000000000005E-2</v>
      </c>
      <c r="U56" s="18">
        <v>8.48E-2</v>
      </c>
      <c r="V56" s="18">
        <v>0.25619999999999998</v>
      </c>
      <c r="W56" s="18">
        <v>5.5E-2</v>
      </c>
      <c r="X56" s="18">
        <v>0.13689999999999999</v>
      </c>
      <c r="Y56" s="18">
        <v>0.17050000000000001</v>
      </c>
      <c r="Z56" s="18">
        <v>0.11840000000000001</v>
      </c>
      <c r="AA56" s="18">
        <v>0.23749999999999999</v>
      </c>
      <c r="AB56" s="18">
        <v>7.3700000000000002E-2</v>
      </c>
      <c r="AC56" s="18">
        <v>6.2399999999999997E-2</v>
      </c>
      <c r="AD56" s="18">
        <v>0.23</v>
      </c>
      <c r="AE56" s="18">
        <v>0.1036</v>
      </c>
      <c r="AF56" s="18">
        <v>5.5E-2</v>
      </c>
      <c r="AG56" s="18">
        <v>0.26729999999999998</v>
      </c>
      <c r="AH56" s="18">
        <v>5.5E-2</v>
      </c>
      <c r="AI56" s="18">
        <v>0.1183</v>
      </c>
      <c r="AJ56" s="18">
        <v>0.22270000000000001</v>
      </c>
      <c r="AK56" s="18">
        <v>5.5E-2</v>
      </c>
      <c r="AL56" s="18">
        <v>0.29720000000000002</v>
      </c>
      <c r="AM56" s="18">
        <v>0.26829999999999998</v>
      </c>
      <c r="AN56" s="18">
        <v>0.5726</v>
      </c>
      <c r="AO56" s="18">
        <v>0.44009999999999999</v>
      </c>
      <c r="AP56" s="18">
        <v>0.36990000000000001</v>
      </c>
      <c r="AQ56" s="18">
        <v>0.66990000000000005</v>
      </c>
      <c r="AR56" s="18">
        <v>1.3252999999999999</v>
      </c>
      <c r="AS56" s="18">
        <v>3.0703</v>
      </c>
      <c r="AT56" s="18">
        <v>2.9746000000000001</v>
      </c>
      <c r="AU56" s="18">
        <v>0.3962</v>
      </c>
      <c r="AV56" s="18">
        <v>0.61280000000000001</v>
      </c>
      <c r="AW56" s="18">
        <v>0.40639999999999998</v>
      </c>
      <c r="AX56" s="18">
        <v>0.4471</v>
      </c>
    </row>
    <row r="57" spans="1:50" x14ac:dyDescent="0.25">
      <c r="A57" s="17" t="s">
        <v>223</v>
      </c>
      <c r="B57" s="13" t="s">
        <v>168</v>
      </c>
      <c r="C57" s="18">
        <v>0.65490000000000004</v>
      </c>
      <c r="D57" s="18">
        <v>0.69320000000000004</v>
      </c>
      <c r="E57" s="18">
        <v>0.47939999999999999</v>
      </c>
      <c r="F57" s="18">
        <v>9.1300000000000006E-2</v>
      </c>
      <c r="G57" s="18">
        <v>0.16020000000000001</v>
      </c>
      <c r="H57" s="18">
        <v>0.05</v>
      </c>
      <c r="I57" s="18">
        <v>0.20799999999999999</v>
      </c>
      <c r="J57" s="18">
        <v>0.1731</v>
      </c>
      <c r="K57" s="18">
        <v>0.1946</v>
      </c>
      <c r="L57" s="18">
        <v>0.1087</v>
      </c>
      <c r="M57" s="18">
        <v>0.12770000000000001</v>
      </c>
      <c r="N57" s="18">
        <v>0.05</v>
      </c>
      <c r="O57" s="18">
        <v>0.33110000000000001</v>
      </c>
      <c r="P57" s="18">
        <v>0.05</v>
      </c>
      <c r="Q57" s="18">
        <v>0.27600000000000002</v>
      </c>
      <c r="R57" s="18">
        <v>0.20230000000000001</v>
      </c>
      <c r="S57" s="18">
        <v>0.31369999999999998</v>
      </c>
      <c r="T57" s="18">
        <v>0.36</v>
      </c>
      <c r="U57" s="18">
        <v>0.31929999999999997</v>
      </c>
      <c r="V57" s="18">
        <v>8.8900000000000007E-2</v>
      </c>
      <c r="W57" s="18">
        <v>0.49049999999999999</v>
      </c>
      <c r="X57" s="18">
        <v>0.35389999999999999</v>
      </c>
      <c r="Y57" s="18">
        <v>0.29930000000000001</v>
      </c>
      <c r="Z57" s="18">
        <v>0.40610000000000002</v>
      </c>
      <c r="AA57" s="18">
        <v>0.2898</v>
      </c>
      <c r="AB57" s="18">
        <v>0.29780000000000001</v>
      </c>
      <c r="AC57" s="18">
        <v>0.15840000000000001</v>
      </c>
      <c r="AD57" s="18">
        <v>0.27610000000000001</v>
      </c>
      <c r="AE57" s="18">
        <v>0.152</v>
      </c>
      <c r="AF57" s="18">
        <v>1.2395</v>
      </c>
      <c r="AG57" s="18">
        <v>2.8772000000000002</v>
      </c>
      <c r="AH57" s="18">
        <v>2.6168</v>
      </c>
      <c r="AI57" s="18">
        <v>0.50860000000000005</v>
      </c>
      <c r="AJ57" s="18">
        <v>8.3900000000000002E-2</v>
      </c>
      <c r="AK57" s="18">
        <v>0.33910000000000001</v>
      </c>
      <c r="AL57" s="18">
        <v>0.39429999999999998</v>
      </c>
      <c r="AM57" s="18">
        <v>1.5649999999999999</v>
      </c>
      <c r="AN57" s="18">
        <v>3.5466000000000002</v>
      </c>
      <c r="AO57" s="18">
        <v>4.5369000000000002</v>
      </c>
      <c r="AP57" s="18">
        <v>1.5187999999999999</v>
      </c>
      <c r="AQ57" s="18">
        <v>0.61240000000000006</v>
      </c>
      <c r="AR57" s="18">
        <v>0.61240000000000006</v>
      </c>
      <c r="AS57" s="18">
        <v>0.56210000000000004</v>
      </c>
      <c r="AT57" s="18">
        <v>0.79890000000000005</v>
      </c>
      <c r="AU57" s="18">
        <v>0.46810000000000002</v>
      </c>
      <c r="AV57" s="18">
        <v>0.76459999999999995</v>
      </c>
      <c r="AW57" s="18">
        <v>0.49909999999999999</v>
      </c>
      <c r="AX57" s="18">
        <v>5.79E-2</v>
      </c>
    </row>
    <row r="58" spans="1:50" x14ac:dyDescent="0.25">
      <c r="A58" s="17" t="s">
        <v>225</v>
      </c>
      <c r="B58" s="13" t="s">
        <v>168</v>
      </c>
      <c r="C58" s="18">
        <v>0.24510000000000001</v>
      </c>
      <c r="D58" s="18">
        <v>0.38829999999999998</v>
      </c>
      <c r="E58" s="18">
        <v>0.26910000000000001</v>
      </c>
      <c r="F58" s="18">
        <v>5.3999999999999999E-2</v>
      </c>
      <c r="G58" s="18">
        <v>5.3999999999999999E-2</v>
      </c>
      <c r="H58" s="18">
        <v>5.3999999999999999E-2</v>
      </c>
      <c r="I58" s="18">
        <v>5.3999999999999999E-2</v>
      </c>
      <c r="J58" s="18">
        <v>5.3999999999999999E-2</v>
      </c>
      <c r="K58" s="18">
        <v>5.3999999999999999E-2</v>
      </c>
      <c r="L58" s="18">
        <v>5.3999999999999999E-2</v>
      </c>
      <c r="M58" s="18">
        <v>5.3999999999999999E-2</v>
      </c>
      <c r="N58" s="18">
        <v>7.0000000000000007E-2</v>
      </c>
      <c r="O58" s="18">
        <v>0.9204</v>
      </c>
      <c r="P58" s="18">
        <v>1.5652999999999999</v>
      </c>
      <c r="Q58" s="18">
        <v>6.3200000000000006E-2</v>
      </c>
      <c r="R58" s="18">
        <v>0.248</v>
      </c>
      <c r="S58" s="18">
        <v>0.47120000000000001</v>
      </c>
      <c r="T58" s="18">
        <v>5.3999999999999999E-2</v>
      </c>
      <c r="U58" s="18">
        <v>5.3999999999999999E-2</v>
      </c>
      <c r="V58" s="18">
        <v>5.3999999999999999E-2</v>
      </c>
      <c r="W58" s="18">
        <v>5.3999999999999999E-2</v>
      </c>
      <c r="X58" s="18">
        <v>5.3999999999999999E-2</v>
      </c>
      <c r="Y58" s="18">
        <v>5.3999999999999999E-2</v>
      </c>
      <c r="Z58" s="18">
        <v>5.3999999999999999E-2</v>
      </c>
      <c r="AA58" s="18">
        <v>5.3999999999999999E-2</v>
      </c>
      <c r="AB58" s="18">
        <v>2.2341000000000002</v>
      </c>
      <c r="AC58" s="18">
        <v>5.3999999999999999E-2</v>
      </c>
      <c r="AD58" s="18">
        <v>5.3999999999999999E-2</v>
      </c>
      <c r="AE58" s="18">
        <v>5.3999999999999999E-2</v>
      </c>
      <c r="AF58" s="18">
        <v>5.3999999999999999E-2</v>
      </c>
      <c r="AG58" s="18">
        <v>5.3999999999999999E-2</v>
      </c>
      <c r="AH58" s="18">
        <v>5.3999999999999999E-2</v>
      </c>
      <c r="AI58" s="18">
        <v>5.3999999999999999E-2</v>
      </c>
      <c r="AJ58" s="18">
        <v>5.3999999999999999E-2</v>
      </c>
      <c r="AK58" s="18">
        <v>5.3999999999999999E-2</v>
      </c>
      <c r="AL58" s="18">
        <v>6.5699999999999995E-2</v>
      </c>
      <c r="AM58" s="18">
        <v>0.14660000000000001</v>
      </c>
      <c r="AN58" s="18">
        <v>0.10299999999999999</v>
      </c>
      <c r="AO58" s="18">
        <v>0.10829999999999999</v>
      </c>
      <c r="AP58" s="18">
        <v>0.24440000000000001</v>
      </c>
      <c r="AQ58" s="18">
        <v>0.2409</v>
      </c>
      <c r="AR58" s="18">
        <v>0.2989</v>
      </c>
      <c r="AS58" s="18">
        <v>0.29859999999999998</v>
      </c>
      <c r="AT58" s="18">
        <v>0.59950000000000003</v>
      </c>
      <c r="AU58" s="18">
        <v>0.3201</v>
      </c>
      <c r="AV58" s="18">
        <v>0.66539999999999999</v>
      </c>
      <c r="AW58" s="18">
        <v>5.3999999999999999E-2</v>
      </c>
      <c r="AX58" s="18">
        <v>5.3999999999999999E-2</v>
      </c>
    </row>
    <row r="59" spans="1:50" x14ac:dyDescent="0.25">
      <c r="A59" s="8" t="s">
        <v>104</v>
      </c>
      <c r="B59" s="10" t="s">
        <v>57</v>
      </c>
      <c r="C59" s="16">
        <v>0.11600000000000001</v>
      </c>
      <c r="D59" s="16">
        <v>4.1000000000000002E-2</v>
      </c>
      <c r="E59" s="16">
        <v>0.11600000000000001</v>
      </c>
      <c r="F59" s="16">
        <v>4.1000000000000002E-2</v>
      </c>
      <c r="G59" s="16">
        <v>0.11600000000000001</v>
      </c>
      <c r="H59" s="16">
        <v>4.1000000000000002E-2</v>
      </c>
      <c r="I59" s="16">
        <v>4.1000000000000002E-2</v>
      </c>
      <c r="J59" s="16">
        <v>9.0999999999999998E-2</v>
      </c>
      <c r="K59" s="16">
        <v>6.6000000000000003E-2</v>
      </c>
      <c r="L59" s="16">
        <v>4.1000000000000002E-2</v>
      </c>
      <c r="M59" s="16">
        <v>0.11600000000000001</v>
      </c>
      <c r="N59" s="16">
        <v>4.1000000000000002E-2</v>
      </c>
      <c r="O59" s="16">
        <v>0.11600000000000001</v>
      </c>
      <c r="P59" s="16">
        <v>4.1000000000000002E-2</v>
      </c>
      <c r="Q59" s="16">
        <v>7.85E-2</v>
      </c>
      <c r="R59" s="16">
        <v>7.85E-2</v>
      </c>
      <c r="S59" s="16">
        <v>4.1000000000000002E-2</v>
      </c>
      <c r="T59" s="16">
        <v>9.5200000000000007E-2</v>
      </c>
      <c r="U59" s="16">
        <v>6.1800000000000001E-2</v>
      </c>
      <c r="V59" s="16">
        <v>7.85E-2</v>
      </c>
      <c r="W59" s="16">
        <v>7.85E-2</v>
      </c>
      <c r="X59" s="16">
        <v>4.9299999999999997E-2</v>
      </c>
      <c r="Y59" s="16">
        <v>0.1077</v>
      </c>
      <c r="Z59" s="16">
        <v>4.1000000000000002E-2</v>
      </c>
      <c r="AA59" s="16">
        <v>0.11600000000000001</v>
      </c>
      <c r="AB59" s="16">
        <v>4.1000000000000002E-2</v>
      </c>
      <c r="AC59" s="16">
        <v>4.1000000000000002E-2</v>
      </c>
      <c r="AD59" s="16">
        <v>0.11600000000000001</v>
      </c>
      <c r="AE59" s="16">
        <v>4.1000000000000002E-2</v>
      </c>
      <c r="AF59" s="16">
        <v>0.11600000000000001</v>
      </c>
      <c r="AG59" s="16">
        <v>4.1000000000000002E-2</v>
      </c>
      <c r="AH59" s="16">
        <v>4.1000000000000002E-2</v>
      </c>
      <c r="AI59" s="16">
        <v>4.1000000000000002E-2</v>
      </c>
      <c r="AJ59" s="16">
        <v>0.11600000000000001</v>
      </c>
      <c r="AK59" s="16">
        <v>4.1000000000000002E-2</v>
      </c>
      <c r="AL59" s="16">
        <v>4.1000000000000002E-2</v>
      </c>
      <c r="AM59" s="16">
        <v>0.2949</v>
      </c>
      <c r="AN59" s="16">
        <v>0.26989999999999997</v>
      </c>
      <c r="AO59" s="16">
        <v>8.4000000000000005E-2</v>
      </c>
      <c r="AP59" s="16">
        <v>0.58740000000000003</v>
      </c>
      <c r="AQ59" s="16">
        <v>0.35959999999999998</v>
      </c>
      <c r="AR59" s="16">
        <v>0.48799999999999999</v>
      </c>
      <c r="AS59" s="16">
        <v>0.54020000000000001</v>
      </c>
      <c r="AT59" s="16">
        <v>0.59379999999999999</v>
      </c>
      <c r="AU59" s="16">
        <v>0.55920000000000003</v>
      </c>
      <c r="AV59" s="16">
        <v>0.35210000000000002</v>
      </c>
      <c r="AW59" s="16">
        <v>4.1000000000000002E-2</v>
      </c>
      <c r="AX59" s="16">
        <v>4.1000000000000002E-2</v>
      </c>
    </row>
    <row r="60" spans="1:50" x14ac:dyDescent="0.25">
      <c r="A60" s="8" t="s">
        <v>106</v>
      </c>
      <c r="B60" s="10" t="s">
        <v>57</v>
      </c>
      <c r="C60" s="16">
        <v>0.06</v>
      </c>
      <c r="D60" s="16">
        <v>0.06</v>
      </c>
      <c r="E60" s="16">
        <v>0.06</v>
      </c>
      <c r="F60" s="16">
        <v>0.06</v>
      </c>
      <c r="G60" s="16">
        <v>0.06</v>
      </c>
      <c r="H60" s="16">
        <v>0.06</v>
      </c>
      <c r="I60" s="16">
        <v>0.06</v>
      </c>
      <c r="J60" s="16">
        <v>0.06</v>
      </c>
      <c r="K60" s="16">
        <v>0.06</v>
      </c>
      <c r="L60" s="16">
        <v>0.06</v>
      </c>
      <c r="M60" s="16">
        <v>0.06</v>
      </c>
      <c r="N60" s="16">
        <v>0.06</v>
      </c>
      <c r="O60" s="16">
        <v>0.06</v>
      </c>
      <c r="P60" s="16">
        <v>0.06</v>
      </c>
      <c r="Q60" s="16">
        <v>0.06</v>
      </c>
      <c r="R60" s="16">
        <v>0.06</v>
      </c>
      <c r="S60" s="16">
        <v>0.06</v>
      </c>
      <c r="T60" s="16">
        <v>0.06</v>
      </c>
      <c r="U60" s="16">
        <v>0.06</v>
      </c>
      <c r="V60" s="16">
        <v>0.06</v>
      </c>
      <c r="W60" s="16">
        <v>0.06</v>
      </c>
      <c r="X60" s="16">
        <v>0.06</v>
      </c>
      <c r="Y60" s="16">
        <v>0.1754</v>
      </c>
      <c r="Z60" s="16">
        <v>0.90910000000000002</v>
      </c>
      <c r="AA60" s="16">
        <v>0.128</v>
      </c>
      <c r="AB60" s="16">
        <v>0.15160000000000001</v>
      </c>
      <c r="AC60" s="16">
        <v>0.06</v>
      </c>
      <c r="AD60" s="16">
        <v>0.06</v>
      </c>
      <c r="AE60" s="16">
        <v>0.06</v>
      </c>
      <c r="AF60" s="16">
        <v>0.06</v>
      </c>
      <c r="AG60" s="16">
        <v>0.06</v>
      </c>
      <c r="AH60" s="16">
        <v>0.06</v>
      </c>
      <c r="AI60" s="16">
        <v>0.1249</v>
      </c>
      <c r="AJ60" s="16">
        <v>0.18770000000000001</v>
      </c>
      <c r="AK60" s="16">
        <v>0.18770000000000001</v>
      </c>
      <c r="AL60" s="16">
        <v>0.18959999999999999</v>
      </c>
      <c r="AM60" s="16">
        <v>0.21690000000000001</v>
      </c>
      <c r="AN60" s="16">
        <v>0.21690000000000001</v>
      </c>
      <c r="AO60" s="16">
        <v>0.19839999999999999</v>
      </c>
      <c r="AP60" s="16">
        <v>0.30499999999999999</v>
      </c>
      <c r="AQ60" s="16">
        <v>0.29680000000000001</v>
      </c>
      <c r="AR60" s="16">
        <v>0.37040000000000001</v>
      </c>
      <c r="AS60" s="16">
        <v>0.52549999999999997</v>
      </c>
      <c r="AT60" s="16">
        <v>0.44019999999999998</v>
      </c>
      <c r="AU60" s="16">
        <v>0.4572</v>
      </c>
      <c r="AV60" s="16">
        <v>1.7426999999999999</v>
      </c>
      <c r="AW60" s="16">
        <v>1.5247999999999999</v>
      </c>
      <c r="AX60" s="16">
        <v>1.1027</v>
      </c>
    </row>
    <row r="61" spans="1:50" x14ac:dyDescent="0.25">
      <c r="A61" s="8" t="s">
        <v>108</v>
      </c>
      <c r="B61" s="10" t="s">
        <v>57</v>
      </c>
      <c r="C61" s="16">
        <v>0.16489999999999999</v>
      </c>
      <c r="D61" s="16">
        <v>5.7000000000000002E-2</v>
      </c>
      <c r="E61" s="16">
        <v>5.7000000000000002E-2</v>
      </c>
      <c r="F61" s="16">
        <v>5.7000000000000002E-2</v>
      </c>
      <c r="G61" s="16">
        <v>0.1739</v>
      </c>
      <c r="H61" s="16">
        <v>0.12870000000000001</v>
      </c>
      <c r="I61" s="16">
        <v>0.18290000000000001</v>
      </c>
      <c r="J61" s="16">
        <v>0.1197</v>
      </c>
      <c r="K61" s="16">
        <v>0.16489999999999999</v>
      </c>
      <c r="L61" s="16">
        <v>0.13769999999999999</v>
      </c>
      <c r="M61" s="16">
        <v>5.7000000000000002E-2</v>
      </c>
      <c r="N61" s="16">
        <v>0.19700000000000001</v>
      </c>
      <c r="O61" s="16">
        <v>0.1056</v>
      </c>
      <c r="P61" s="16">
        <v>0.1056</v>
      </c>
      <c r="Q61" s="16">
        <v>0.1164</v>
      </c>
      <c r="R61" s="16">
        <v>7.9399999999999998E-2</v>
      </c>
      <c r="S61" s="16">
        <v>0.1153</v>
      </c>
      <c r="T61" s="16">
        <v>0.1326</v>
      </c>
      <c r="U61" s="16">
        <v>0.1656</v>
      </c>
      <c r="V61" s="16">
        <v>6.1499999999999999E-2</v>
      </c>
      <c r="W61" s="16">
        <v>0.14580000000000001</v>
      </c>
      <c r="X61" s="16">
        <v>0.15679999999999999</v>
      </c>
      <c r="Y61" s="16">
        <v>5.7000000000000002E-2</v>
      </c>
      <c r="Z61" s="16">
        <v>0.20530000000000001</v>
      </c>
      <c r="AA61" s="16">
        <v>9.7299999999999998E-2</v>
      </c>
      <c r="AB61" s="16">
        <v>0.1434</v>
      </c>
      <c r="AC61" s="16">
        <v>0.15920000000000001</v>
      </c>
      <c r="AD61" s="16">
        <v>5.7000000000000002E-2</v>
      </c>
      <c r="AE61" s="16">
        <v>0.29599999999999999</v>
      </c>
      <c r="AF61" s="16">
        <v>0.2903</v>
      </c>
      <c r="AG61" s="16">
        <v>0.2261</v>
      </c>
      <c r="AH61" s="16">
        <v>0.24940000000000001</v>
      </c>
      <c r="AI61" s="16">
        <v>0.37140000000000001</v>
      </c>
      <c r="AJ61" s="16">
        <v>0.23749999999999999</v>
      </c>
      <c r="AK61" s="16">
        <v>0.39279999999999998</v>
      </c>
      <c r="AL61" s="16">
        <v>0.2414</v>
      </c>
      <c r="AM61" s="16">
        <v>0.15709999999999999</v>
      </c>
      <c r="AN61" s="16">
        <v>0.1643</v>
      </c>
      <c r="AO61" s="16">
        <v>0.10489999999999999</v>
      </c>
      <c r="AP61" s="16">
        <v>0.2445</v>
      </c>
      <c r="AQ61" s="16">
        <v>0.33979999999999999</v>
      </c>
      <c r="AR61" s="16">
        <v>0.37480000000000002</v>
      </c>
      <c r="AS61" s="16">
        <v>0.27639999999999998</v>
      </c>
      <c r="AT61" s="16">
        <v>0.4521</v>
      </c>
      <c r="AU61" s="16">
        <v>0.48010000000000003</v>
      </c>
      <c r="AV61" s="16">
        <v>0.4501</v>
      </c>
      <c r="AW61" s="16">
        <v>0.25569999999999998</v>
      </c>
      <c r="AX61" s="16">
        <v>9.2899999999999996E-2</v>
      </c>
    </row>
    <row r="62" spans="1:50" x14ac:dyDescent="0.25">
      <c r="A62" s="17" t="s">
        <v>227</v>
      </c>
      <c r="B62" s="13" t="s">
        <v>168</v>
      </c>
      <c r="C62" s="18">
        <v>5.8999999999999997E-2</v>
      </c>
      <c r="D62" s="18">
        <v>0.17280000000000001</v>
      </c>
      <c r="E62" s="18">
        <v>0.16589999999999999</v>
      </c>
      <c r="F62" s="18">
        <v>0.17280000000000001</v>
      </c>
      <c r="G62" s="18">
        <v>5.8999999999999997E-2</v>
      </c>
      <c r="H62" s="18">
        <v>0.26840000000000003</v>
      </c>
      <c r="I62" s="18">
        <v>7.0400000000000004E-2</v>
      </c>
      <c r="J62" s="18">
        <v>8.1799999999999998E-2</v>
      </c>
      <c r="K62" s="18">
        <v>0.15010000000000001</v>
      </c>
      <c r="L62" s="18">
        <v>5.8999999999999997E-2</v>
      </c>
      <c r="M62" s="18">
        <v>0.16589999999999999</v>
      </c>
      <c r="N62" s="18">
        <v>5.8999999999999997E-2</v>
      </c>
      <c r="O62" s="18">
        <v>0.16589999999999999</v>
      </c>
      <c r="P62" s="18">
        <v>0.17280000000000001</v>
      </c>
      <c r="Q62" s="18">
        <v>5.8999999999999997E-2</v>
      </c>
      <c r="R62" s="18">
        <v>0.35510000000000003</v>
      </c>
      <c r="S62" s="18">
        <v>0.27539999999999998</v>
      </c>
      <c r="T62" s="18">
        <v>0.2009</v>
      </c>
      <c r="U62" s="18">
        <v>0.54820000000000002</v>
      </c>
      <c r="V62" s="18">
        <v>0.4078</v>
      </c>
      <c r="W62" s="18">
        <v>1.3053999999999999</v>
      </c>
      <c r="X62" s="18">
        <v>0.32879999999999998</v>
      </c>
      <c r="Y62" s="18">
        <v>0.51770000000000005</v>
      </c>
      <c r="Z62" s="18">
        <v>0.31190000000000001</v>
      </c>
      <c r="AA62" s="18">
        <v>0.27979999999999999</v>
      </c>
      <c r="AB62" s="18">
        <v>0.1125</v>
      </c>
      <c r="AC62" s="18">
        <v>0.1125</v>
      </c>
      <c r="AD62" s="18">
        <v>0.17280000000000001</v>
      </c>
      <c r="AE62" s="18">
        <v>0.1971</v>
      </c>
      <c r="AF62" s="18">
        <v>5.8999999999999997E-2</v>
      </c>
      <c r="AG62" s="18">
        <v>0.13489999999999999</v>
      </c>
      <c r="AH62" s="18">
        <v>0.20380000000000001</v>
      </c>
      <c r="AI62" s="18">
        <v>9.3200000000000005E-2</v>
      </c>
      <c r="AJ62" s="18">
        <v>0.24560000000000001</v>
      </c>
      <c r="AK62" s="18">
        <v>5.8999999999999997E-2</v>
      </c>
      <c r="AL62" s="18">
        <v>0.17929999999999999</v>
      </c>
      <c r="AM62" s="18">
        <v>0.16589999999999999</v>
      </c>
      <c r="AN62" s="18">
        <v>7.6100000000000001E-2</v>
      </c>
      <c r="AO62" s="18">
        <v>0.17069999999999999</v>
      </c>
      <c r="AP62" s="18">
        <v>0.248</v>
      </c>
      <c r="AQ62" s="18">
        <v>0.57250000000000001</v>
      </c>
      <c r="AR62" s="18">
        <v>0.6361</v>
      </c>
      <c r="AS62" s="18">
        <v>0.4945</v>
      </c>
      <c r="AT62" s="18">
        <v>0.60529999999999995</v>
      </c>
      <c r="AU62" s="18">
        <v>0.85499999999999998</v>
      </c>
      <c r="AV62" s="18">
        <v>0.60499999999999998</v>
      </c>
      <c r="AW62" s="18">
        <v>0.15060000000000001</v>
      </c>
      <c r="AX62" s="18">
        <v>0.1653</v>
      </c>
    </row>
    <row r="63" spans="1:50" x14ac:dyDescent="0.25">
      <c r="A63" s="17" t="s">
        <v>229</v>
      </c>
      <c r="B63" s="13" t="s">
        <v>168</v>
      </c>
      <c r="C63" s="18">
        <v>0.14699999999999999</v>
      </c>
      <c r="D63" s="18">
        <v>0.1978</v>
      </c>
      <c r="E63" s="18">
        <v>9.5500000000000002E-2</v>
      </c>
      <c r="F63" s="18">
        <v>9.5500000000000002E-2</v>
      </c>
      <c r="G63" s="18">
        <v>4.3999999999999997E-2</v>
      </c>
      <c r="H63" s="18">
        <v>0.17499999999999999</v>
      </c>
      <c r="I63" s="18">
        <v>0.16980000000000001</v>
      </c>
      <c r="J63" s="18">
        <v>5.1400000000000001E-2</v>
      </c>
      <c r="K63" s="18">
        <v>0.26550000000000001</v>
      </c>
      <c r="L63" s="18">
        <v>7.1999999999999995E-2</v>
      </c>
      <c r="M63" s="18">
        <v>7.3400000000000007E-2</v>
      </c>
      <c r="N63" s="18">
        <v>0.27139999999999997</v>
      </c>
      <c r="O63" s="18">
        <v>4.3999999999999997E-2</v>
      </c>
      <c r="P63" s="18">
        <v>0.30109999999999998</v>
      </c>
      <c r="Q63" s="18">
        <v>0.2293</v>
      </c>
      <c r="R63" s="18">
        <v>1.1455</v>
      </c>
      <c r="S63" s="18">
        <v>0.25750000000000001</v>
      </c>
      <c r="T63" s="18">
        <v>0.1386</v>
      </c>
      <c r="U63" s="18">
        <v>0.30819999999999997</v>
      </c>
      <c r="V63" s="18">
        <v>6.6100000000000006E-2</v>
      </c>
      <c r="W63" s="18">
        <v>0.17680000000000001</v>
      </c>
      <c r="X63" s="18">
        <v>0.16800000000000001</v>
      </c>
      <c r="Y63" s="18">
        <v>7.1999999999999995E-2</v>
      </c>
      <c r="Z63" s="18">
        <v>0.16980000000000001</v>
      </c>
      <c r="AA63" s="18">
        <v>0.19769999999999999</v>
      </c>
      <c r="AB63" s="18">
        <v>0.2767</v>
      </c>
      <c r="AC63" s="18">
        <v>0.23449999999999999</v>
      </c>
      <c r="AD63" s="18">
        <v>0.3105</v>
      </c>
      <c r="AE63" s="18">
        <v>9.8000000000000004E-2</v>
      </c>
      <c r="AF63" s="18">
        <v>0.14699999999999999</v>
      </c>
      <c r="AG63" s="18">
        <v>0.1978</v>
      </c>
      <c r="AH63" s="18">
        <v>0.125</v>
      </c>
      <c r="AI63" s="18">
        <v>0.21290000000000001</v>
      </c>
      <c r="AJ63" s="18">
        <v>5.0999999999999997E-2</v>
      </c>
      <c r="AK63" s="18">
        <v>4.3999999999999997E-2</v>
      </c>
      <c r="AL63" s="18">
        <v>0.26400000000000001</v>
      </c>
      <c r="AM63" s="18">
        <v>0.14580000000000001</v>
      </c>
      <c r="AN63" s="18">
        <v>0.13489999999999999</v>
      </c>
      <c r="AO63" s="18">
        <v>0.2228</v>
      </c>
      <c r="AP63" s="18">
        <v>0.42520000000000002</v>
      </c>
      <c r="AQ63" s="18">
        <v>0.5776</v>
      </c>
      <c r="AR63" s="18">
        <v>0.61670000000000003</v>
      </c>
      <c r="AS63" s="18">
        <v>0.24310000000000001</v>
      </c>
      <c r="AT63" s="18">
        <v>0.65290000000000004</v>
      </c>
      <c r="AU63" s="18">
        <v>0.4526</v>
      </c>
      <c r="AV63" s="18">
        <v>0.4093</v>
      </c>
      <c r="AW63" s="18">
        <v>0.31209999999999999</v>
      </c>
      <c r="AX63" s="18">
        <v>0.1176</v>
      </c>
    </row>
    <row r="64" spans="1:50" x14ac:dyDescent="0.25">
      <c r="A64" s="17" t="s">
        <v>231</v>
      </c>
      <c r="B64" s="13" t="s">
        <v>168</v>
      </c>
      <c r="C64" s="18">
        <v>0.16750000000000001</v>
      </c>
      <c r="D64" s="18">
        <v>0.1166</v>
      </c>
      <c r="E64" s="18">
        <v>0.16120000000000001</v>
      </c>
      <c r="F64" s="18">
        <v>0.16059999999999999</v>
      </c>
      <c r="G64" s="18">
        <v>0.13539999999999999</v>
      </c>
      <c r="H64" s="18">
        <v>0.16750000000000001</v>
      </c>
      <c r="I64" s="18">
        <v>0.16059999999999999</v>
      </c>
      <c r="J64" s="18">
        <v>0.1241</v>
      </c>
      <c r="K64" s="18">
        <v>0.20399999999999999</v>
      </c>
      <c r="L64" s="18">
        <v>0.06</v>
      </c>
      <c r="M64" s="18">
        <v>0.06</v>
      </c>
      <c r="N64" s="18">
        <v>0.2681</v>
      </c>
      <c r="O64" s="18">
        <v>0.06</v>
      </c>
      <c r="P64" s="18">
        <v>0.1424</v>
      </c>
      <c r="Q64" s="18">
        <v>0.1857</v>
      </c>
      <c r="R64" s="18">
        <v>0.13320000000000001</v>
      </c>
      <c r="S64" s="18">
        <v>0.19489999999999999</v>
      </c>
      <c r="T64" s="18">
        <v>0.13320000000000001</v>
      </c>
      <c r="U64" s="18">
        <v>0.18229999999999999</v>
      </c>
      <c r="V64" s="18">
        <v>7.6499999999999999E-2</v>
      </c>
      <c r="W64" s="18">
        <v>6.7500000000000004E-2</v>
      </c>
      <c r="X64" s="18">
        <v>0.46929999999999999</v>
      </c>
      <c r="Y64" s="18">
        <v>8.1699999999999995E-2</v>
      </c>
      <c r="Z64" s="18">
        <v>0.23280000000000001</v>
      </c>
      <c r="AA64" s="18">
        <v>0.11559999999999999</v>
      </c>
      <c r="AB64" s="18">
        <v>0.16980000000000001</v>
      </c>
      <c r="AC64" s="18">
        <v>0.186</v>
      </c>
      <c r="AD64" s="18">
        <v>0.1449</v>
      </c>
      <c r="AE64" s="18">
        <v>0.18440000000000001</v>
      </c>
      <c r="AF64" s="18">
        <v>0.3886</v>
      </c>
      <c r="AG64" s="18">
        <v>0.33960000000000001</v>
      </c>
      <c r="AH64" s="18">
        <v>0.22939999999999999</v>
      </c>
      <c r="AI64" s="18">
        <v>0.1925</v>
      </c>
      <c r="AJ64" s="18">
        <v>0.18640000000000001</v>
      </c>
      <c r="AK64" s="18">
        <v>0.35399999999999998</v>
      </c>
      <c r="AL64" s="18">
        <v>0.44280000000000003</v>
      </c>
      <c r="AM64" s="18">
        <v>0.49419999999999997</v>
      </c>
      <c r="AN64" s="18">
        <v>0.2</v>
      </c>
      <c r="AO64" s="18">
        <v>0.47599999999999998</v>
      </c>
      <c r="AP64" s="18">
        <v>0.43190000000000001</v>
      </c>
      <c r="AQ64" s="18">
        <v>0.43359999999999999</v>
      </c>
      <c r="AR64" s="18">
        <v>0.2989</v>
      </c>
      <c r="AS64" s="18">
        <v>0.30730000000000002</v>
      </c>
      <c r="AT64" s="18">
        <v>0.31719999999999998</v>
      </c>
      <c r="AU64" s="18">
        <v>0.29730000000000001</v>
      </c>
      <c r="AV64" s="18">
        <v>0.40810000000000002</v>
      </c>
      <c r="AW64" s="18">
        <v>0.1409</v>
      </c>
      <c r="AX64" s="18">
        <v>0.1424</v>
      </c>
    </row>
    <row r="65" spans="1:50" x14ac:dyDescent="0.25">
      <c r="A65" s="17" t="s">
        <v>233</v>
      </c>
      <c r="B65" s="13" t="s">
        <v>168</v>
      </c>
      <c r="C65" s="18">
        <v>6.9800000000000001E-2</v>
      </c>
      <c r="D65" s="18">
        <v>0.37209999999999999</v>
      </c>
      <c r="E65" s="18">
        <v>0.161</v>
      </c>
      <c r="F65" s="18">
        <v>0.05</v>
      </c>
      <c r="G65" s="18">
        <v>0.2084</v>
      </c>
      <c r="H65" s="18">
        <v>0.05</v>
      </c>
      <c r="I65" s="18">
        <v>0.2084</v>
      </c>
      <c r="J65" s="18">
        <v>0.05</v>
      </c>
      <c r="K65" s="18">
        <v>0.16520000000000001</v>
      </c>
      <c r="L65" s="18">
        <v>9.3200000000000005E-2</v>
      </c>
      <c r="M65" s="18">
        <v>0.122</v>
      </c>
      <c r="N65" s="18">
        <v>0.13639999999999999</v>
      </c>
      <c r="O65" s="18">
        <v>0.05</v>
      </c>
      <c r="P65" s="18">
        <v>7.1599999999999997E-2</v>
      </c>
      <c r="Q65" s="18">
        <v>0.19009999999999999</v>
      </c>
      <c r="R65" s="18">
        <v>0.11940000000000001</v>
      </c>
      <c r="S65" s="18">
        <v>0.37980000000000003</v>
      </c>
      <c r="T65" s="18">
        <v>1.5499000000000001</v>
      </c>
      <c r="U65" s="18">
        <v>2.0568</v>
      </c>
      <c r="V65" s="18">
        <v>1.1560999999999999</v>
      </c>
      <c r="W65" s="18">
        <v>0.1976</v>
      </c>
      <c r="X65" s="18">
        <v>0.20649999999999999</v>
      </c>
      <c r="Y65" s="18">
        <v>0.40079999999999999</v>
      </c>
      <c r="Z65" s="18">
        <v>0.44450000000000001</v>
      </c>
      <c r="AA65" s="18">
        <v>1.0176000000000001</v>
      </c>
      <c r="AB65" s="18">
        <v>0.38769999999999999</v>
      </c>
      <c r="AC65" s="18">
        <v>6.13E-2</v>
      </c>
      <c r="AD65" s="18">
        <v>0.43059999999999998</v>
      </c>
      <c r="AE65" s="18">
        <v>1.2279</v>
      </c>
      <c r="AF65" s="18">
        <v>0.49630000000000002</v>
      </c>
      <c r="AG65" s="18">
        <v>0.83099999999999996</v>
      </c>
      <c r="AH65" s="18">
        <v>0.12770000000000001</v>
      </c>
      <c r="AI65" s="18">
        <v>0.1724</v>
      </c>
      <c r="AJ65" s="18">
        <v>8.5999999999999993E-2</v>
      </c>
      <c r="AK65" s="18">
        <v>0.26790000000000003</v>
      </c>
      <c r="AL65" s="18">
        <v>0.29420000000000002</v>
      </c>
      <c r="AM65" s="18">
        <v>0.504</v>
      </c>
      <c r="AN65" s="18">
        <v>0.26500000000000001</v>
      </c>
      <c r="AO65" s="18">
        <v>1.6119000000000001</v>
      </c>
      <c r="AP65" s="18">
        <v>0.97760000000000002</v>
      </c>
      <c r="AQ65" s="18">
        <v>1.1909000000000001</v>
      </c>
      <c r="AR65" s="18">
        <v>0.21260000000000001</v>
      </c>
      <c r="AS65" s="18">
        <v>0.31540000000000001</v>
      </c>
      <c r="AT65" s="18">
        <v>0.42299999999999999</v>
      </c>
      <c r="AU65" s="18">
        <v>0.27010000000000001</v>
      </c>
      <c r="AV65" s="18">
        <v>0.2495</v>
      </c>
      <c r="AW65" s="18">
        <v>0.17910000000000001</v>
      </c>
      <c r="AX65" s="18">
        <v>0.10199999999999999</v>
      </c>
    </row>
    <row r="66" spans="1:50" x14ac:dyDescent="0.25">
      <c r="A66" s="17" t="s">
        <v>235</v>
      </c>
      <c r="B66" s="13" t="s">
        <v>168</v>
      </c>
      <c r="C66" s="18">
        <v>7.3400000000000007E-2</v>
      </c>
      <c r="D66" s="18">
        <v>0.29830000000000001</v>
      </c>
      <c r="E66" s="18">
        <v>0.1502</v>
      </c>
      <c r="F66" s="18">
        <v>0.1656</v>
      </c>
      <c r="G66" s="18">
        <v>0.25569999999999998</v>
      </c>
      <c r="H66" s="18">
        <v>0.1004</v>
      </c>
      <c r="I66" s="18">
        <v>0.31859999999999999</v>
      </c>
      <c r="J66" s="18">
        <v>0.1452</v>
      </c>
      <c r="K66" s="18">
        <v>0.1656</v>
      </c>
      <c r="L66" s="18">
        <v>5.8000000000000003E-2</v>
      </c>
      <c r="M66" s="18">
        <v>0.2195</v>
      </c>
      <c r="N66" s="18">
        <v>0.19070000000000001</v>
      </c>
      <c r="O66" s="18">
        <v>0.1115</v>
      </c>
      <c r="P66" s="18">
        <v>0.15840000000000001</v>
      </c>
      <c r="Q66" s="18">
        <v>0.19639999999999999</v>
      </c>
      <c r="R66" s="18">
        <v>0.98309999999999997</v>
      </c>
      <c r="S66" s="18">
        <v>0.50160000000000005</v>
      </c>
      <c r="T66" s="18">
        <v>0.33400000000000002</v>
      </c>
      <c r="U66" s="18">
        <v>1.2746999999999999</v>
      </c>
      <c r="V66" s="18">
        <v>1.2457</v>
      </c>
      <c r="W66" s="18">
        <v>0.47860000000000003</v>
      </c>
      <c r="X66" s="18">
        <v>0.46210000000000001</v>
      </c>
      <c r="Y66" s="18">
        <v>6.25E-2</v>
      </c>
      <c r="Z66" s="18">
        <v>0.2107</v>
      </c>
      <c r="AA66" s="18">
        <v>0.19769999999999999</v>
      </c>
      <c r="AB66" s="18">
        <v>0.1089</v>
      </c>
      <c r="AC66" s="18">
        <v>0.44069999999999998</v>
      </c>
      <c r="AD66" s="18">
        <v>0.22040000000000001</v>
      </c>
      <c r="AE66" s="18">
        <v>0.21029999999999999</v>
      </c>
      <c r="AF66" s="18">
        <v>0.58489999999999998</v>
      </c>
      <c r="AG66" s="18">
        <v>9.4100000000000003E-2</v>
      </c>
      <c r="AH66" s="18">
        <v>0.93269999999999997</v>
      </c>
      <c r="AI66" s="18">
        <v>0.40579999999999999</v>
      </c>
      <c r="AJ66" s="18">
        <v>5.8000000000000003E-2</v>
      </c>
      <c r="AK66" s="18">
        <v>0.26769999999999999</v>
      </c>
      <c r="AL66" s="18">
        <v>0.1961</v>
      </c>
      <c r="AM66" s="18">
        <v>0.37309999999999999</v>
      </c>
      <c r="AN66" s="18">
        <v>0.26</v>
      </c>
      <c r="AO66" s="18">
        <v>0.30509999999999998</v>
      </c>
      <c r="AP66" s="18">
        <v>0.62429999999999997</v>
      </c>
      <c r="AQ66" s="18">
        <v>0.92069999999999996</v>
      </c>
      <c r="AR66" s="18">
        <v>1.5458000000000001</v>
      </c>
      <c r="AS66" s="18">
        <v>1.0172000000000001</v>
      </c>
      <c r="AT66" s="18">
        <v>0.9556</v>
      </c>
      <c r="AU66" s="18">
        <v>1.3587</v>
      </c>
      <c r="AV66" s="18">
        <v>0.57279999999999998</v>
      </c>
      <c r="AW66" s="18">
        <v>0.82040000000000002</v>
      </c>
      <c r="AX66" s="18">
        <v>0.28570000000000001</v>
      </c>
    </row>
    <row r="67" spans="1:50" x14ac:dyDescent="0.25">
      <c r="A67" s="17" t="s">
        <v>237</v>
      </c>
      <c r="B67" s="13" t="s">
        <v>168</v>
      </c>
      <c r="C67" s="18">
        <v>0.26919999999999999</v>
      </c>
      <c r="D67" s="18">
        <v>0.22539999999999999</v>
      </c>
      <c r="E67" s="18">
        <v>0.18060000000000001</v>
      </c>
      <c r="F67" s="18">
        <v>0.13150000000000001</v>
      </c>
      <c r="G67" s="18">
        <v>0.1835</v>
      </c>
      <c r="H67" s="18">
        <v>0.2571</v>
      </c>
      <c r="I67" s="18">
        <v>0.22339999999999999</v>
      </c>
      <c r="J67" s="18">
        <v>0.15390000000000001</v>
      </c>
      <c r="K67" s="18">
        <v>0.12509999999999999</v>
      </c>
      <c r="L67" s="18">
        <v>0.22339999999999999</v>
      </c>
      <c r="M67" s="18">
        <v>0.2102</v>
      </c>
      <c r="N67" s="18">
        <v>0.10290000000000001</v>
      </c>
      <c r="O67" s="18">
        <v>0.21540000000000001</v>
      </c>
      <c r="P67" s="18">
        <v>0.1726</v>
      </c>
      <c r="Q67" s="18">
        <v>0.30790000000000001</v>
      </c>
      <c r="R67" s="18">
        <v>0.1867</v>
      </c>
      <c r="S67" s="18">
        <v>0.52890000000000004</v>
      </c>
      <c r="T67" s="18">
        <v>1.4367000000000001</v>
      </c>
      <c r="U67" s="18">
        <v>0.1027</v>
      </c>
      <c r="V67" s="18">
        <v>0.27500000000000002</v>
      </c>
      <c r="W67" s="18">
        <v>0.37419999999999998</v>
      </c>
      <c r="X67" s="18">
        <v>0.38129999999999997</v>
      </c>
      <c r="Y67" s="18">
        <v>0.98519999999999996</v>
      </c>
      <c r="Z67" s="18">
        <v>0.90359999999999996</v>
      </c>
      <c r="AA67" s="18">
        <v>0.34310000000000002</v>
      </c>
      <c r="AB67" s="18">
        <v>0.17949999999999999</v>
      </c>
      <c r="AC67" s="18">
        <v>0.60860000000000003</v>
      </c>
      <c r="AD67" s="18">
        <v>0.23280000000000001</v>
      </c>
      <c r="AE67" s="18">
        <v>0.88949999999999996</v>
      </c>
      <c r="AF67" s="18">
        <v>0.378</v>
      </c>
      <c r="AG67" s="18">
        <v>0.25609999999999999</v>
      </c>
      <c r="AH67" s="18">
        <v>0.47420000000000001</v>
      </c>
      <c r="AI67" s="18">
        <v>0.26900000000000002</v>
      </c>
      <c r="AJ67" s="18">
        <v>0.49059999999999998</v>
      </c>
      <c r="AK67" s="18">
        <v>1.6395</v>
      </c>
      <c r="AL67" s="18">
        <v>1.5404</v>
      </c>
      <c r="AM67" s="18">
        <v>0.42149999999999999</v>
      </c>
      <c r="AN67" s="18">
        <v>0.1103</v>
      </c>
      <c r="AO67" s="18">
        <v>0.35610000000000003</v>
      </c>
      <c r="AP67" s="18">
        <v>6.2100000000000002E-2</v>
      </c>
      <c r="AQ67" s="18">
        <v>0.21679999999999999</v>
      </c>
      <c r="AR67" s="18">
        <v>0.41610000000000003</v>
      </c>
      <c r="AS67" s="18">
        <v>0.21870000000000001</v>
      </c>
      <c r="AT67" s="18">
        <v>0.40639999999999998</v>
      </c>
      <c r="AU67" s="18">
        <v>5.2699999999999997E-2</v>
      </c>
      <c r="AV67" s="18">
        <v>0.30790000000000001</v>
      </c>
      <c r="AW67" s="18">
        <v>0.1726</v>
      </c>
      <c r="AX67" s="18">
        <v>4.8000000000000001E-2</v>
      </c>
    </row>
    <row r="68" spans="1:50" x14ac:dyDescent="0.25">
      <c r="A68" s="17" t="s">
        <v>239</v>
      </c>
      <c r="B68" s="13" t="s">
        <v>168</v>
      </c>
      <c r="C68" s="18">
        <v>0.1116</v>
      </c>
      <c r="D68" s="18">
        <v>8.2199999999999995E-2</v>
      </c>
      <c r="E68" s="18">
        <v>4.8000000000000001E-2</v>
      </c>
      <c r="F68" s="18">
        <v>0.1191</v>
      </c>
      <c r="G68" s="18">
        <v>4.8000000000000001E-2</v>
      </c>
      <c r="H68" s="18">
        <v>0.1191</v>
      </c>
      <c r="I68" s="18">
        <v>0.14580000000000001</v>
      </c>
      <c r="J68" s="18">
        <v>5.1999999999999998E-2</v>
      </c>
      <c r="K68" s="18">
        <v>0.21299999999999999</v>
      </c>
      <c r="L68" s="18">
        <v>4.8000000000000001E-2</v>
      </c>
      <c r="M68" s="18">
        <v>0.14580000000000001</v>
      </c>
      <c r="N68" s="18">
        <v>4.8000000000000001E-2</v>
      </c>
      <c r="O68" s="18">
        <v>4.8000000000000001E-2</v>
      </c>
      <c r="P68" s="18">
        <v>0.21690000000000001</v>
      </c>
      <c r="Q68" s="18">
        <v>4.8000000000000001E-2</v>
      </c>
      <c r="R68" s="18">
        <v>5.1999999999999998E-2</v>
      </c>
      <c r="S68" s="18">
        <v>0.28249999999999997</v>
      </c>
      <c r="T68" s="18">
        <v>0.25280000000000002</v>
      </c>
      <c r="U68" s="18">
        <v>0.37119999999999997</v>
      </c>
      <c r="V68" s="18">
        <v>1.4081999999999999</v>
      </c>
      <c r="W68" s="18">
        <v>0.4229</v>
      </c>
      <c r="X68" s="18">
        <v>0.73419999999999996</v>
      </c>
      <c r="Y68" s="18">
        <v>0.65339999999999998</v>
      </c>
      <c r="Z68" s="18">
        <v>0.41220000000000001</v>
      </c>
      <c r="AA68" s="18">
        <v>0.37059999999999998</v>
      </c>
      <c r="AB68" s="18">
        <v>0.55349999999999999</v>
      </c>
      <c r="AC68" s="18">
        <v>0.69359999999999999</v>
      </c>
      <c r="AD68" s="18">
        <v>0.30380000000000001</v>
      </c>
      <c r="AE68" s="18">
        <v>0.65139999999999998</v>
      </c>
      <c r="AF68" s="18">
        <v>0.34520000000000001</v>
      </c>
      <c r="AG68" s="18">
        <v>0.33300000000000002</v>
      </c>
      <c r="AH68" s="18">
        <v>0.62860000000000005</v>
      </c>
      <c r="AI68" s="18">
        <v>0.70920000000000005</v>
      </c>
      <c r="AJ68" s="18">
        <v>0.17860000000000001</v>
      </c>
      <c r="AK68" s="18">
        <v>0.56110000000000004</v>
      </c>
      <c r="AL68" s="18">
        <v>0.38529999999999998</v>
      </c>
      <c r="AM68" s="18">
        <v>0.19400000000000001</v>
      </c>
      <c r="AN68" s="18">
        <v>0.34589999999999999</v>
      </c>
      <c r="AO68" s="18">
        <v>0.1925</v>
      </c>
      <c r="AP68" s="18">
        <v>0.53480000000000005</v>
      </c>
      <c r="AQ68" s="18">
        <v>0.67800000000000005</v>
      </c>
      <c r="AR68" s="18">
        <v>1.0412999999999999</v>
      </c>
      <c r="AS68" s="18">
        <v>1.1526000000000001</v>
      </c>
      <c r="AT68" s="18">
        <v>1.1736</v>
      </c>
      <c r="AU68" s="18">
        <v>1.0432999999999999</v>
      </c>
      <c r="AV68" s="18">
        <v>1.2753000000000001</v>
      </c>
      <c r="AW68" s="18">
        <v>1.2401</v>
      </c>
      <c r="AX68" s="18">
        <v>0.54700000000000004</v>
      </c>
    </row>
    <row r="69" spans="1:50" x14ac:dyDescent="0.25">
      <c r="A69" s="17" t="s">
        <v>241</v>
      </c>
      <c r="B69" s="13" t="s">
        <v>168</v>
      </c>
      <c r="C69" s="18">
        <v>5.8999999999999997E-2</v>
      </c>
      <c r="D69" s="18">
        <v>0.29310000000000003</v>
      </c>
      <c r="E69" s="18">
        <v>5.8999999999999997E-2</v>
      </c>
      <c r="F69" s="18">
        <v>0.20760000000000001</v>
      </c>
      <c r="G69" s="18">
        <v>0.14449999999999999</v>
      </c>
      <c r="H69" s="18">
        <v>5.8999999999999997E-2</v>
      </c>
      <c r="I69" s="18">
        <v>0.18529999999999999</v>
      </c>
      <c r="J69" s="18">
        <v>5.8999999999999997E-2</v>
      </c>
      <c r="K69" s="18">
        <v>0.1726</v>
      </c>
      <c r="L69" s="18">
        <v>0.1794</v>
      </c>
      <c r="M69" s="18">
        <v>7.7899999999999997E-2</v>
      </c>
      <c r="N69" s="18">
        <v>0.1663</v>
      </c>
      <c r="O69" s="18">
        <v>0.14369999999999999</v>
      </c>
      <c r="P69" s="18">
        <v>0.4158</v>
      </c>
      <c r="Q69" s="18">
        <v>1.3566</v>
      </c>
      <c r="R69" s="18">
        <v>0.39679999999999999</v>
      </c>
      <c r="S69" s="18">
        <v>0.31640000000000001</v>
      </c>
      <c r="T69" s="18">
        <v>0.25080000000000002</v>
      </c>
      <c r="U69" s="18">
        <v>0.20469999999999999</v>
      </c>
      <c r="V69" s="18">
        <v>5.8999999999999997E-2</v>
      </c>
      <c r="W69" s="18">
        <v>0.23150000000000001</v>
      </c>
      <c r="X69" s="18">
        <v>0.1206</v>
      </c>
      <c r="Y69" s="18">
        <v>0.18529999999999999</v>
      </c>
      <c r="Z69" s="18">
        <v>5.8999999999999997E-2</v>
      </c>
      <c r="AA69" s="18">
        <v>0.2757</v>
      </c>
      <c r="AB69" s="18">
        <v>0.4446</v>
      </c>
      <c r="AC69" s="18">
        <v>0.40239999999999998</v>
      </c>
      <c r="AD69" s="18">
        <v>0.26190000000000002</v>
      </c>
      <c r="AE69" s="18">
        <v>0.41320000000000001</v>
      </c>
      <c r="AF69" s="18">
        <v>0.50619999999999998</v>
      </c>
      <c r="AG69" s="18">
        <v>5.8999999999999997E-2</v>
      </c>
      <c r="AH69" s="18">
        <v>1.4440999999999999</v>
      </c>
      <c r="AI69" s="18">
        <v>0.1845</v>
      </c>
      <c r="AJ69" s="18">
        <v>0.19550000000000001</v>
      </c>
      <c r="AK69" s="18">
        <v>0.27310000000000001</v>
      </c>
      <c r="AL69" s="18">
        <v>0.29120000000000001</v>
      </c>
      <c r="AM69" s="18">
        <v>0.22720000000000001</v>
      </c>
      <c r="AN69" s="18">
        <v>9.9699999999999997E-2</v>
      </c>
      <c r="AO69" s="18">
        <v>0.16</v>
      </c>
      <c r="AP69" s="18">
        <v>0.1129</v>
      </c>
      <c r="AQ69" s="18">
        <v>0.1129</v>
      </c>
      <c r="AR69" s="18">
        <v>0.1789</v>
      </c>
      <c r="AS69" s="18">
        <v>0.1731</v>
      </c>
      <c r="AT69" s="18">
        <v>0.1537</v>
      </c>
      <c r="AU69" s="18">
        <v>0.17530000000000001</v>
      </c>
      <c r="AV69" s="18">
        <v>8.2100000000000006E-2</v>
      </c>
      <c r="AW69" s="18">
        <v>5.8999999999999997E-2</v>
      </c>
      <c r="AX69" s="18">
        <v>5.8999999999999997E-2</v>
      </c>
    </row>
    <row r="70" spans="1:50" x14ac:dyDescent="0.25">
      <c r="A70" s="17" t="s">
        <v>243</v>
      </c>
      <c r="B70" s="13" t="s">
        <v>168</v>
      </c>
      <c r="C70" s="18">
        <v>0.39150000000000001</v>
      </c>
      <c r="D70" s="18">
        <v>4.7E-2</v>
      </c>
      <c r="E70" s="18">
        <v>4.7E-2</v>
      </c>
      <c r="F70" s="18">
        <v>4.7E-2</v>
      </c>
      <c r="G70" s="18">
        <v>0.1275</v>
      </c>
      <c r="H70" s="18">
        <v>4.7E-2</v>
      </c>
      <c r="I70" s="18">
        <v>4.7E-2</v>
      </c>
      <c r="J70" s="18">
        <v>4.7E-2</v>
      </c>
      <c r="K70" s="18">
        <v>4.7E-2</v>
      </c>
      <c r="L70" s="18">
        <v>4.7E-2</v>
      </c>
      <c r="M70" s="18">
        <v>7.8299999999999995E-2</v>
      </c>
      <c r="N70" s="18">
        <v>9.6199999999999994E-2</v>
      </c>
      <c r="O70" s="18">
        <v>8.7300000000000003E-2</v>
      </c>
      <c r="P70" s="18">
        <v>8.7300000000000003E-2</v>
      </c>
      <c r="Q70" s="18">
        <v>4.7E-2</v>
      </c>
      <c r="R70" s="18">
        <v>4.7E-2</v>
      </c>
      <c r="S70" s="18">
        <v>0.1007</v>
      </c>
      <c r="T70" s="18">
        <v>7.3800000000000004E-2</v>
      </c>
      <c r="U70" s="18">
        <v>4.7E-2</v>
      </c>
      <c r="V70" s="18">
        <v>4.7E-2</v>
      </c>
      <c r="W70" s="18">
        <v>4.7E-2</v>
      </c>
      <c r="X70" s="18">
        <v>0.1275</v>
      </c>
      <c r="Y70" s="18">
        <v>4.7E-2</v>
      </c>
      <c r="Z70" s="18">
        <v>0.11409999999999999</v>
      </c>
      <c r="AA70" s="18">
        <v>6.0400000000000002E-2</v>
      </c>
      <c r="AB70" s="18">
        <v>0.50790000000000002</v>
      </c>
      <c r="AC70" s="18">
        <v>0.10589999999999999</v>
      </c>
      <c r="AD70" s="18">
        <v>0.1472</v>
      </c>
      <c r="AE70" s="18">
        <v>6.2700000000000006E-2</v>
      </c>
      <c r="AF70" s="18">
        <v>0.1275</v>
      </c>
      <c r="AG70" s="18">
        <v>5.2499999999999998E-2</v>
      </c>
      <c r="AH70" s="18">
        <v>0.1179</v>
      </c>
      <c r="AI70" s="18">
        <v>0.22620000000000001</v>
      </c>
      <c r="AJ70" s="18">
        <v>0.1507</v>
      </c>
      <c r="AK70" s="18">
        <v>0.20660000000000001</v>
      </c>
      <c r="AL70" s="18">
        <v>0.15010000000000001</v>
      </c>
      <c r="AM70" s="18">
        <v>0.21759999999999999</v>
      </c>
      <c r="AN70" s="18">
        <v>0.13830000000000001</v>
      </c>
      <c r="AO70" s="18">
        <v>0.123</v>
      </c>
      <c r="AP70" s="18">
        <v>5.1499999999999997E-2</v>
      </c>
      <c r="AQ70" s="18">
        <v>0.1096</v>
      </c>
      <c r="AR70" s="18">
        <v>0.22600000000000001</v>
      </c>
      <c r="AS70" s="18">
        <v>0.29220000000000002</v>
      </c>
      <c r="AT70" s="18">
        <v>0.52910000000000001</v>
      </c>
      <c r="AU70" s="18">
        <v>0.34770000000000001</v>
      </c>
      <c r="AV70" s="18">
        <v>0.32169999999999999</v>
      </c>
      <c r="AW70" s="18">
        <v>0.61370000000000002</v>
      </c>
      <c r="AX70" s="18">
        <v>0.442</v>
      </c>
    </row>
    <row r="71" spans="1:50" x14ac:dyDescent="0.25">
      <c r="A71" s="17" t="s">
        <v>245</v>
      </c>
      <c r="B71" s="13" t="s">
        <v>168</v>
      </c>
      <c r="C71" s="18">
        <v>0.52600000000000002</v>
      </c>
      <c r="D71" s="18">
        <v>0.44669999999999999</v>
      </c>
      <c r="E71" s="18">
        <v>5.1999999999999998E-2</v>
      </c>
      <c r="F71" s="18">
        <v>5.1999999999999998E-2</v>
      </c>
      <c r="G71" s="18">
        <v>5.1999999999999998E-2</v>
      </c>
      <c r="H71" s="18">
        <v>5.1999999999999998E-2</v>
      </c>
      <c r="I71" s="18">
        <v>5.1999999999999998E-2</v>
      </c>
      <c r="J71" s="18">
        <v>5.1999999999999998E-2</v>
      </c>
      <c r="K71" s="18">
        <v>5.1999999999999998E-2</v>
      </c>
      <c r="L71" s="18">
        <v>5.1999999999999998E-2</v>
      </c>
      <c r="M71" s="18">
        <v>5.1999999999999998E-2</v>
      </c>
      <c r="N71" s="18">
        <v>5.1999999999999998E-2</v>
      </c>
      <c r="O71" s="18">
        <v>5.1999999999999998E-2</v>
      </c>
      <c r="P71" s="18">
        <v>0.1007</v>
      </c>
      <c r="Q71" s="18">
        <v>5.1999999999999998E-2</v>
      </c>
      <c r="R71" s="18">
        <v>5.1999999999999998E-2</v>
      </c>
      <c r="S71" s="18">
        <v>5.1999999999999998E-2</v>
      </c>
      <c r="T71" s="18">
        <v>5.1999999999999998E-2</v>
      </c>
      <c r="U71" s="18">
        <v>0.1517</v>
      </c>
      <c r="V71" s="18">
        <v>0.188</v>
      </c>
      <c r="W71" s="18">
        <v>0.188</v>
      </c>
      <c r="X71" s="18">
        <v>0.188</v>
      </c>
      <c r="Y71" s="18">
        <v>0.224</v>
      </c>
      <c r="Z71" s="18">
        <v>0.1638</v>
      </c>
      <c r="AA71" s="18">
        <v>5.3100000000000001E-2</v>
      </c>
      <c r="AB71" s="18">
        <v>0.32550000000000001</v>
      </c>
      <c r="AC71" s="18">
        <v>0.95660000000000001</v>
      </c>
      <c r="AD71" s="18">
        <v>2.7955000000000001</v>
      </c>
      <c r="AE71" s="18">
        <v>3.0301</v>
      </c>
      <c r="AF71" s="18">
        <v>0.57620000000000005</v>
      </c>
      <c r="AG71" s="18">
        <v>0.22639999999999999</v>
      </c>
      <c r="AH71" s="18">
        <v>0.21809999999999999</v>
      </c>
      <c r="AI71" s="18">
        <v>0.49909999999999999</v>
      </c>
      <c r="AJ71" s="18">
        <v>0.41149999999999998</v>
      </c>
      <c r="AK71" s="18">
        <v>0.2102</v>
      </c>
      <c r="AL71" s="18">
        <v>0.40050000000000002</v>
      </c>
      <c r="AM71" s="18">
        <v>0.1449</v>
      </c>
      <c r="AN71" s="18">
        <v>5.1999999999999998E-2</v>
      </c>
      <c r="AO71" s="18">
        <v>5.1999999999999998E-2</v>
      </c>
      <c r="AP71" s="18">
        <v>0.1615</v>
      </c>
      <c r="AQ71" s="18">
        <v>0.45440000000000003</v>
      </c>
      <c r="AR71" s="18">
        <v>0.43659999999999999</v>
      </c>
      <c r="AS71" s="18">
        <v>0.99929999999999997</v>
      </c>
      <c r="AT71" s="18">
        <v>2.8233000000000001</v>
      </c>
      <c r="AU71" s="18">
        <v>4.3316999999999997</v>
      </c>
      <c r="AV71" s="18">
        <v>0.49299999999999999</v>
      </c>
      <c r="AW71" s="18">
        <v>0.37430000000000002</v>
      </c>
      <c r="AX71" s="18">
        <v>0.27929999999999999</v>
      </c>
    </row>
    <row r="72" spans="1:50" x14ac:dyDescent="0.25">
      <c r="A72" s="17" t="s">
        <v>247</v>
      </c>
      <c r="B72" s="13" t="s">
        <v>168</v>
      </c>
      <c r="C72" s="18">
        <v>5.2999999999999999E-2</v>
      </c>
      <c r="D72" s="18">
        <v>0.1313</v>
      </c>
      <c r="E72" s="18">
        <v>5.2999999999999999E-2</v>
      </c>
      <c r="F72" s="18">
        <v>5.2999999999999999E-2</v>
      </c>
      <c r="G72" s="18">
        <v>0.1313</v>
      </c>
      <c r="H72" s="18">
        <v>5.2999999999999999E-2</v>
      </c>
      <c r="I72" s="18">
        <v>0.1052</v>
      </c>
      <c r="J72" s="18">
        <v>7.9100000000000004E-2</v>
      </c>
      <c r="K72" s="18">
        <v>5.2999999999999999E-2</v>
      </c>
      <c r="L72" s="18">
        <v>7.4700000000000003E-2</v>
      </c>
      <c r="M72" s="18">
        <v>0.1095</v>
      </c>
      <c r="N72" s="18">
        <v>5.2999999999999999E-2</v>
      </c>
      <c r="O72" s="18">
        <v>0.1095</v>
      </c>
      <c r="P72" s="18">
        <v>7.4700000000000003E-2</v>
      </c>
      <c r="Q72" s="18">
        <v>5.2999999999999999E-2</v>
      </c>
      <c r="R72" s="18">
        <v>0.1368</v>
      </c>
      <c r="S72" s="18">
        <v>5.2999999999999999E-2</v>
      </c>
      <c r="T72" s="18">
        <v>0.14460000000000001</v>
      </c>
      <c r="U72" s="18">
        <v>8.6999999999999994E-2</v>
      </c>
      <c r="V72" s="18">
        <v>0.13400000000000001</v>
      </c>
      <c r="W72" s="18">
        <v>0.38729999999999998</v>
      </c>
      <c r="X72" s="18">
        <v>5.2999999999999999E-2</v>
      </c>
      <c r="Y72" s="18">
        <v>0.1008</v>
      </c>
      <c r="Z72" s="18">
        <v>8.3400000000000002E-2</v>
      </c>
      <c r="AA72" s="18">
        <v>9.6500000000000002E-2</v>
      </c>
      <c r="AB72" s="18">
        <v>8.7800000000000003E-2</v>
      </c>
      <c r="AC72" s="18">
        <v>9.6500000000000002E-2</v>
      </c>
      <c r="AD72" s="18">
        <v>8.7800000000000003E-2</v>
      </c>
      <c r="AE72" s="18">
        <v>5.2999999999999999E-2</v>
      </c>
      <c r="AF72" s="18">
        <v>0.1313</v>
      </c>
      <c r="AG72" s="18">
        <v>5.2999999999999999E-2</v>
      </c>
      <c r="AH72" s="18">
        <v>0.1313</v>
      </c>
      <c r="AI72" s="18">
        <v>0.1116</v>
      </c>
      <c r="AJ72" s="18">
        <v>0.21299999999999999</v>
      </c>
      <c r="AK72" s="18">
        <v>0.25950000000000001</v>
      </c>
      <c r="AL72" s="18">
        <v>0.24909999999999999</v>
      </c>
      <c r="AM72" s="18">
        <v>0.28670000000000001</v>
      </c>
      <c r="AN72" s="18">
        <v>0.49659999999999999</v>
      </c>
      <c r="AO72" s="18">
        <v>0.2979</v>
      </c>
      <c r="AP72" s="18">
        <v>0.66469999999999996</v>
      </c>
      <c r="AQ72" s="18">
        <v>0.56210000000000004</v>
      </c>
      <c r="AR72" s="18">
        <v>0.39100000000000001</v>
      </c>
      <c r="AS72" s="18">
        <v>0.5151</v>
      </c>
      <c r="AT72" s="18">
        <v>0.50180000000000002</v>
      </c>
      <c r="AU72" s="18">
        <v>0.4486</v>
      </c>
      <c r="AV72" s="18">
        <v>0.2303</v>
      </c>
      <c r="AW72" s="18">
        <v>5.2999999999999999E-2</v>
      </c>
      <c r="AX72" s="18">
        <v>0.1313</v>
      </c>
    </row>
    <row r="73" spans="1:50" x14ac:dyDescent="0.25">
      <c r="A73" s="8" t="s">
        <v>110</v>
      </c>
      <c r="B73" s="10" t="s">
        <v>57</v>
      </c>
      <c r="C73" s="16">
        <v>0.36509999999999998</v>
      </c>
      <c r="D73" s="16">
        <v>3.9E-2</v>
      </c>
      <c r="E73" s="16">
        <v>3.9E-2</v>
      </c>
      <c r="F73" s="16">
        <v>3.9E-2</v>
      </c>
      <c r="G73" s="16">
        <v>3.9E-2</v>
      </c>
      <c r="H73" s="16">
        <v>3.9E-2</v>
      </c>
      <c r="I73" s="16">
        <v>3.9E-2</v>
      </c>
      <c r="J73" s="16">
        <v>3.9E-2</v>
      </c>
      <c r="K73" s="16">
        <v>3.9E-2</v>
      </c>
      <c r="L73" s="16">
        <v>3.9E-2</v>
      </c>
      <c r="M73" s="16">
        <v>3.9E-2</v>
      </c>
      <c r="N73" s="16">
        <v>3.9E-2</v>
      </c>
      <c r="O73" s="16">
        <v>3.9E-2</v>
      </c>
      <c r="P73" s="16">
        <v>3.9E-2</v>
      </c>
      <c r="Q73" s="16">
        <v>0.27179999999999999</v>
      </c>
      <c r="R73" s="16">
        <v>0.91700000000000004</v>
      </c>
      <c r="S73" s="16">
        <v>6.3200000000000006E-2</v>
      </c>
      <c r="T73" s="16">
        <v>6.3200000000000006E-2</v>
      </c>
      <c r="U73" s="16">
        <v>4.3799999999999999E-2</v>
      </c>
      <c r="V73" s="16">
        <v>8.0600000000000005E-2</v>
      </c>
      <c r="W73" s="16">
        <v>0.1668</v>
      </c>
      <c r="X73" s="16">
        <v>0.1651</v>
      </c>
      <c r="Y73" s="16">
        <v>0.37209999999999999</v>
      </c>
      <c r="Z73" s="16">
        <v>0.1802</v>
      </c>
      <c r="AA73" s="16">
        <v>0.16250000000000001</v>
      </c>
      <c r="AB73" s="16">
        <v>0.156</v>
      </c>
      <c r="AC73" s="16">
        <v>0.22070000000000001</v>
      </c>
      <c r="AD73" s="16">
        <v>0.26679999999999998</v>
      </c>
      <c r="AE73" s="16">
        <v>0.4471</v>
      </c>
      <c r="AF73" s="16">
        <v>0.2006</v>
      </c>
      <c r="AG73" s="16">
        <v>0.31680000000000003</v>
      </c>
      <c r="AH73" s="16">
        <v>0.25509999999999999</v>
      </c>
      <c r="AI73" s="16">
        <v>5.0299999999999997E-2</v>
      </c>
      <c r="AJ73" s="16">
        <v>3.9E-2</v>
      </c>
      <c r="AK73" s="16">
        <v>4.5699999999999998E-2</v>
      </c>
      <c r="AL73" s="16">
        <v>0.1263</v>
      </c>
      <c r="AM73" s="16">
        <v>0.1071</v>
      </c>
      <c r="AN73" s="16">
        <v>0.13420000000000001</v>
      </c>
      <c r="AO73" s="16">
        <v>0.41980000000000001</v>
      </c>
      <c r="AP73" s="16">
        <v>0.61799999999999999</v>
      </c>
      <c r="AQ73" s="16">
        <v>0.58799999999999997</v>
      </c>
      <c r="AR73" s="16">
        <v>0.74019999999999997</v>
      </c>
      <c r="AS73" s="16">
        <v>0.70130000000000003</v>
      </c>
      <c r="AT73" s="16">
        <v>0.498</v>
      </c>
      <c r="AU73" s="16">
        <v>0.43469999999999998</v>
      </c>
      <c r="AV73" s="16">
        <v>0.55769999999999997</v>
      </c>
      <c r="AW73" s="16">
        <v>0.28349999999999997</v>
      </c>
      <c r="AX73" s="16">
        <v>0.2792</v>
      </c>
    </row>
    <row r="74" spans="1:50" x14ac:dyDescent="0.25">
      <c r="A74" s="8" t="s">
        <v>112</v>
      </c>
      <c r="B74" s="10" t="s">
        <v>57</v>
      </c>
      <c r="C74" s="16">
        <v>4.2999999999999997E-2</v>
      </c>
      <c r="D74" s="16">
        <v>4.2999999999999997E-2</v>
      </c>
      <c r="E74" s="16">
        <v>4.2999999999999997E-2</v>
      </c>
      <c r="F74" s="16">
        <v>4.2999999999999997E-2</v>
      </c>
      <c r="G74" s="16">
        <v>4.2999999999999997E-2</v>
      </c>
      <c r="H74" s="16">
        <v>4.2999999999999997E-2</v>
      </c>
      <c r="I74" s="16">
        <v>4.2999999999999997E-2</v>
      </c>
      <c r="J74" s="16">
        <v>4.2999999999999997E-2</v>
      </c>
      <c r="K74" s="16">
        <v>4.2999999999999997E-2</v>
      </c>
      <c r="L74" s="16">
        <v>4.2999999999999997E-2</v>
      </c>
      <c r="M74" s="16">
        <v>4.2999999999999997E-2</v>
      </c>
      <c r="N74" s="16">
        <v>4.2999999999999997E-2</v>
      </c>
      <c r="O74" s="16">
        <v>4.2999999999999997E-2</v>
      </c>
      <c r="P74" s="16">
        <v>1.4289000000000001</v>
      </c>
      <c r="Q74" s="16">
        <v>0.87690000000000001</v>
      </c>
      <c r="R74" s="16">
        <v>0.22420000000000001</v>
      </c>
      <c r="S74" s="16">
        <v>0.96479999999999999</v>
      </c>
      <c r="T74" s="16">
        <v>4.2999999999999997E-2</v>
      </c>
      <c r="U74" s="16">
        <v>4.2999999999999997E-2</v>
      </c>
      <c r="V74" s="16">
        <v>1.0505</v>
      </c>
      <c r="W74" s="16">
        <v>1.1066</v>
      </c>
      <c r="X74" s="16">
        <v>0.88870000000000005</v>
      </c>
      <c r="Y74" s="16">
        <v>0.1043</v>
      </c>
      <c r="Z74" s="16">
        <v>0.14449999999999999</v>
      </c>
      <c r="AA74" s="16">
        <v>4.7600000000000003E-2</v>
      </c>
      <c r="AB74" s="16">
        <v>0.1007</v>
      </c>
      <c r="AC74" s="16">
        <v>0.88490000000000002</v>
      </c>
      <c r="AD74" s="16">
        <v>7.9000000000000001E-2</v>
      </c>
      <c r="AE74" s="16">
        <v>0.50849999999999995</v>
      </c>
      <c r="AF74" s="16">
        <v>2.3571</v>
      </c>
      <c r="AG74" s="16">
        <v>0.1099</v>
      </c>
      <c r="AH74" s="16">
        <v>0.14580000000000001</v>
      </c>
      <c r="AI74" s="16">
        <v>0.12790000000000001</v>
      </c>
      <c r="AJ74" s="16">
        <v>9.1800000000000007E-2</v>
      </c>
      <c r="AK74" s="16">
        <v>5.5E-2</v>
      </c>
      <c r="AL74" s="16">
        <v>6.8099999999999994E-2</v>
      </c>
      <c r="AM74" s="16">
        <v>6.7299999999999999E-2</v>
      </c>
      <c r="AN74" s="16">
        <v>0.4541</v>
      </c>
      <c r="AO74" s="16">
        <v>9.4600000000000004E-2</v>
      </c>
      <c r="AP74" s="16">
        <v>0.34499999999999997</v>
      </c>
      <c r="AQ74" s="16">
        <v>0.72760000000000002</v>
      </c>
      <c r="AR74" s="16">
        <v>0.54110000000000003</v>
      </c>
      <c r="AS74" s="16">
        <v>0.74560000000000004</v>
      </c>
      <c r="AT74" s="16">
        <v>0.32140000000000002</v>
      </c>
      <c r="AU74" s="16">
        <v>0.31830000000000003</v>
      </c>
      <c r="AV74" s="16">
        <v>0.43859999999999999</v>
      </c>
      <c r="AW74" s="16">
        <v>0.53249999999999997</v>
      </c>
      <c r="AX74" s="16">
        <v>0.37390000000000001</v>
      </c>
    </row>
    <row r="75" spans="1:50" x14ac:dyDescent="0.25">
      <c r="A75" s="17" t="s">
        <v>249</v>
      </c>
      <c r="B75" s="13" t="s">
        <v>168</v>
      </c>
      <c r="C75" s="18">
        <v>0.1419</v>
      </c>
      <c r="D75" s="18">
        <v>4.5999999999999999E-2</v>
      </c>
      <c r="E75" s="18">
        <v>4.5999999999999999E-2</v>
      </c>
      <c r="F75" s="18">
        <v>4.5999999999999999E-2</v>
      </c>
      <c r="G75" s="18">
        <v>4.5999999999999999E-2</v>
      </c>
      <c r="H75" s="18">
        <v>4.5999999999999999E-2</v>
      </c>
      <c r="I75" s="18">
        <v>4.5999999999999999E-2</v>
      </c>
      <c r="J75" s="18">
        <v>4.5999999999999999E-2</v>
      </c>
      <c r="K75" s="18">
        <v>4.5999999999999999E-2</v>
      </c>
      <c r="L75" s="18">
        <v>4.5999999999999999E-2</v>
      </c>
      <c r="M75" s="18">
        <v>4.5999999999999999E-2</v>
      </c>
      <c r="N75" s="18">
        <v>4.5999999999999999E-2</v>
      </c>
      <c r="O75" s="18">
        <v>4.5999999999999999E-2</v>
      </c>
      <c r="P75" s="18">
        <v>4.5999999999999999E-2</v>
      </c>
      <c r="Q75" s="18">
        <v>4.5999999999999999E-2</v>
      </c>
      <c r="R75" s="18">
        <v>4.5999999999999999E-2</v>
      </c>
      <c r="S75" s="18">
        <v>0.69569999999999999</v>
      </c>
      <c r="T75" s="18">
        <v>3.0720999999999998</v>
      </c>
      <c r="U75" s="18">
        <v>2.5158</v>
      </c>
      <c r="V75" s="18">
        <v>4.5999999999999999E-2</v>
      </c>
      <c r="W75" s="18">
        <v>0.22720000000000001</v>
      </c>
      <c r="X75" s="18">
        <v>0.28170000000000001</v>
      </c>
      <c r="Y75" s="18">
        <v>0.80449999999999999</v>
      </c>
      <c r="Z75" s="18">
        <v>0.70669999999999999</v>
      </c>
      <c r="AA75" s="18">
        <v>1.7430000000000001</v>
      </c>
      <c r="AB75" s="18">
        <v>0.15049999999999999</v>
      </c>
      <c r="AC75" s="18">
        <v>0.1255</v>
      </c>
      <c r="AD75" s="18">
        <v>0.36959999999999998</v>
      </c>
      <c r="AE75" s="18">
        <v>0.25769999999999998</v>
      </c>
      <c r="AF75" s="18">
        <v>0.61399999999999999</v>
      </c>
      <c r="AG75" s="18">
        <v>4.5999999999999999E-2</v>
      </c>
      <c r="AH75" s="18">
        <v>4.5999999999999999E-2</v>
      </c>
      <c r="AI75" s="18">
        <v>1.1148</v>
      </c>
      <c r="AJ75" s="18">
        <v>1.2253000000000001</v>
      </c>
      <c r="AK75" s="18">
        <v>0.3624</v>
      </c>
      <c r="AL75" s="18">
        <v>0.38229999999999997</v>
      </c>
      <c r="AM75" s="18">
        <v>0.26860000000000001</v>
      </c>
      <c r="AN75" s="18">
        <v>0.26319999999999999</v>
      </c>
      <c r="AO75" s="18">
        <v>0.39800000000000002</v>
      </c>
      <c r="AP75" s="18">
        <v>0.58120000000000005</v>
      </c>
      <c r="AQ75" s="18">
        <v>0.48280000000000001</v>
      </c>
      <c r="AR75" s="18">
        <v>0.57950000000000002</v>
      </c>
      <c r="AS75" s="18">
        <v>0.72850000000000004</v>
      </c>
      <c r="AT75" s="18">
        <v>0.90780000000000005</v>
      </c>
      <c r="AU75" s="18">
        <v>0.55620000000000003</v>
      </c>
      <c r="AV75" s="18">
        <v>0.40849999999999997</v>
      </c>
      <c r="AW75" s="18">
        <v>0.20100000000000001</v>
      </c>
      <c r="AX75" s="18">
        <v>4.5999999999999999E-2</v>
      </c>
    </row>
    <row r="76" spans="1:50" x14ac:dyDescent="0.25">
      <c r="A76" s="17" t="s">
        <v>251</v>
      </c>
      <c r="B76" s="13" t="s">
        <v>168</v>
      </c>
      <c r="C76" s="18">
        <v>4.2000000000000003E-2</v>
      </c>
      <c r="D76" s="18">
        <v>0.1268</v>
      </c>
      <c r="E76" s="18">
        <v>0.1394</v>
      </c>
      <c r="F76" s="18">
        <v>0.35070000000000001</v>
      </c>
      <c r="G76" s="18">
        <v>0.4632</v>
      </c>
      <c r="H76" s="18">
        <v>0.54210000000000003</v>
      </c>
      <c r="I76" s="18">
        <v>0.21029999999999999</v>
      </c>
      <c r="J76" s="18">
        <v>0.13980000000000001</v>
      </c>
      <c r="K76" s="18">
        <v>7.46E-2</v>
      </c>
      <c r="L76" s="18">
        <v>0.1138</v>
      </c>
      <c r="M76" s="18">
        <v>0.1007</v>
      </c>
      <c r="N76" s="18">
        <v>4.2000000000000003E-2</v>
      </c>
      <c r="O76" s="18">
        <v>0.1333</v>
      </c>
      <c r="P76" s="18">
        <v>8.1100000000000005E-2</v>
      </c>
      <c r="Q76" s="18">
        <v>4.2000000000000003E-2</v>
      </c>
      <c r="R76" s="18">
        <v>0.1268</v>
      </c>
      <c r="S76" s="18">
        <v>8.77E-2</v>
      </c>
      <c r="T76" s="18">
        <v>4.2000000000000003E-2</v>
      </c>
      <c r="U76" s="18">
        <v>0.17249999999999999</v>
      </c>
      <c r="V76" s="18">
        <v>4.2000000000000003E-2</v>
      </c>
      <c r="W76" s="18">
        <v>4.2000000000000003E-2</v>
      </c>
      <c r="X76" s="18">
        <v>7.46E-2</v>
      </c>
      <c r="Y76" s="18">
        <v>0.15429999999999999</v>
      </c>
      <c r="Z76" s="18">
        <v>8.5400000000000004E-2</v>
      </c>
      <c r="AA76" s="18">
        <v>0.3145</v>
      </c>
      <c r="AB76" s="18">
        <v>0.26440000000000002</v>
      </c>
      <c r="AC76" s="18">
        <v>0.1893</v>
      </c>
      <c r="AD76" s="18">
        <v>0.35310000000000002</v>
      </c>
      <c r="AE76" s="18">
        <v>0.1492</v>
      </c>
      <c r="AF76" s="18">
        <v>0.30509999999999998</v>
      </c>
      <c r="AG76" s="18">
        <v>0.1744</v>
      </c>
      <c r="AH76" s="18">
        <v>7.1999999999999995E-2</v>
      </c>
      <c r="AI76" s="18">
        <v>0.20619999999999999</v>
      </c>
      <c r="AJ76" s="18">
        <v>0.25659999999999999</v>
      </c>
      <c r="AK76" s="18">
        <v>0.24809999999999999</v>
      </c>
      <c r="AL76" s="18">
        <v>0.29430000000000001</v>
      </c>
      <c r="AM76" s="18">
        <v>4.2000000000000003E-2</v>
      </c>
      <c r="AN76" s="18">
        <v>6.4199999999999993E-2</v>
      </c>
      <c r="AO76" s="18">
        <v>0.22969999999999999</v>
      </c>
      <c r="AP76" s="18">
        <v>0.66659999999999997</v>
      </c>
      <c r="AQ76" s="18">
        <v>0.76</v>
      </c>
      <c r="AR76" s="18">
        <v>0.60929999999999995</v>
      </c>
      <c r="AS76" s="18">
        <v>0.67079999999999995</v>
      </c>
      <c r="AT76" s="18">
        <v>0.1545</v>
      </c>
      <c r="AU76" s="18">
        <v>0.44330000000000003</v>
      </c>
      <c r="AV76" s="18">
        <v>0.45400000000000001</v>
      </c>
      <c r="AW76" s="18">
        <v>0.3599</v>
      </c>
      <c r="AX76" s="18">
        <v>0.33679999999999999</v>
      </c>
    </row>
    <row r="77" spans="1:50" x14ac:dyDescent="0.25">
      <c r="A77" s="17" t="s">
        <v>253</v>
      </c>
      <c r="B77" s="13" t="s">
        <v>168</v>
      </c>
      <c r="C77" s="18">
        <v>0.19650000000000001</v>
      </c>
      <c r="D77" s="18">
        <v>3.6999999999999998E-2</v>
      </c>
      <c r="E77" s="18">
        <v>3.6999999999999998E-2</v>
      </c>
      <c r="F77" s="18">
        <v>0.2049</v>
      </c>
      <c r="G77" s="18">
        <v>5.3800000000000001E-2</v>
      </c>
      <c r="H77" s="18">
        <v>4.5400000000000003E-2</v>
      </c>
      <c r="I77" s="18">
        <v>0.21329999999999999</v>
      </c>
      <c r="J77" s="18">
        <v>3.6999999999999998E-2</v>
      </c>
      <c r="K77" s="18">
        <v>0.22170000000000001</v>
      </c>
      <c r="L77" s="18">
        <v>3.6999999999999998E-2</v>
      </c>
      <c r="M77" s="18">
        <v>0.17469999999999999</v>
      </c>
      <c r="N77" s="18">
        <v>0.11260000000000001</v>
      </c>
      <c r="O77" s="18">
        <v>3.6999999999999998E-2</v>
      </c>
      <c r="P77" s="18">
        <v>0.22170000000000001</v>
      </c>
      <c r="Q77" s="18">
        <v>3.6999999999999998E-2</v>
      </c>
      <c r="R77" s="18">
        <v>0.11260000000000001</v>
      </c>
      <c r="S77" s="18">
        <v>0.14610000000000001</v>
      </c>
      <c r="T77" s="18">
        <v>6.2199999999999998E-2</v>
      </c>
      <c r="U77" s="18">
        <v>0.19650000000000001</v>
      </c>
      <c r="V77" s="18">
        <v>3.6999999999999998E-2</v>
      </c>
      <c r="W77" s="18">
        <v>0.22170000000000001</v>
      </c>
      <c r="X77" s="18">
        <v>3.6999999999999998E-2</v>
      </c>
      <c r="Y77" s="18">
        <v>3.6999999999999998E-2</v>
      </c>
      <c r="Z77" s="18">
        <v>0.11260000000000001</v>
      </c>
      <c r="AA77" s="18">
        <v>0.14610000000000001</v>
      </c>
      <c r="AB77" s="18">
        <v>0.11360000000000001</v>
      </c>
      <c r="AC77" s="18">
        <v>0.1055</v>
      </c>
      <c r="AD77" s="18">
        <v>0.1045</v>
      </c>
      <c r="AE77" s="18">
        <v>0.16289999999999999</v>
      </c>
      <c r="AF77" s="18">
        <v>3.6999999999999998E-2</v>
      </c>
      <c r="AG77" s="18">
        <v>0.19650000000000001</v>
      </c>
      <c r="AH77" s="18">
        <v>6.2199999999999998E-2</v>
      </c>
      <c r="AI77" s="18">
        <v>4.1399999999999999E-2</v>
      </c>
      <c r="AJ77" s="18">
        <v>4.7100000000000003E-2</v>
      </c>
      <c r="AK77" s="18">
        <v>0.23899999999999999</v>
      </c>
      <c r="AL77" s="18">
        <v>5.3199999999999997E-2</v>
      </c>
      <c r="AM77" s="18">
        <v>3.6999999999999998E-2</v>
      </c>
      <c r="AN77" s="18">
        <v>0.2298</v>
      </c>
      <c r="AO77" s="18">
        <v>5.28E-2</v>
      </c>
      <c r="AP77" s="18">
        <v>0.24979999999999999</v>
      </c>
      <c r="AQ77" s="18">
        <v>0.1719</v>
      </c>
      <c r="AR77" s="18">
        <v>1.212</v>
      </c>
      <c r="AS77" s="18">
        <v>0.63959999999999995</v>
      </c>
      <c r="AT77" s="18">
        <v>0.41170000000000001</v>
      </c>
      <c r="AU77" s="18">
        <v>0.46929999999999999</v>
      </c>
      <c r="AV77" s="18">
        <v>0.16980000000000001</v>
      </c>
      <c r="AW77" s="18">
        <v>0.19650000000000001</v>
      </c>
      <c r="AX77" s="18">
        <v>3.6999999999999998E-2</v>
      </c>
    </row>
    <row r="78" spans="1:50" x14ac:dyDescent="0.25">
      <c r="A78" s="17" t="s">
        <v>255</v>
      </c>
      <c r="B78" s="13" t="s">
        <v>168</v>
      </c>
      <c r="C78" s="18">
        <v>0.1157</v>
      </c>
      <c r="D78" s="18">
        <v>0.248</v>
      </c>
      <c r="E78" s="18">
        <v>0.04</v>
      </c>
      <c r="F78" s="18">
        <v>0.18279999999999999</v>
      </c>
      <c r="G78" s="18">
        <v>0.18079999999999999</v>
      </c>
      <c r="H78" s="18">
        <v>0.04</v>
      </c>
      <c r="I78" s="18">
        <v>0.1913</v>
      </c>
      <c r="J78" s="18">
        <v>5.5100000000000003E-2</v>
      </c>
      <c r="K78" s="18">
        <v>0.1459</v>
      </c>
      <c r="L78" s="18">
        <v>0.20599999999999999</v>
      </c>
      <c r="M78" s="18">
        <v>8.2000000000000003E-2</v>
      </c>
      <c r="N78" s="18">
        <v>0.1762</v>
      </c>
      <c r="O78" s="18">
        <v>0.15720000000000001</v>
      </c>
      <c r="P78" s="18">
        <v>0.04</v>
      </c>
      <c r="Q78" s="18">
        <v>0.21809999999999999</v>
      </c>
      <c r="R78" s="18">
        <v>0.14549999999999999</v>
      </c>
      <c r="S78" s="18">
        <v>0.1157</v>
      </c>
      <c r="T78" s="18">
        <v>0.23619999999999999</v>
      </c>
      <c r="U78" s="18">
        <v>8.2000000000000003E-2</v>
      </c>
      <c r="V78" s="18">
        <v>0.1762</v>
      </c>
      <c r="W78" s="18">
        <v>0.19589999999999999</v>
      </c>
      <c r="X78" s="18">
        <v>0.42030000000000001</v>
      </c>
      <c r="Y78" s="18">
        <v>0.63329999999999997</v>
      </c>
      <c r="Z78" s="18">
        <v>2.1076999999999999</v>
      </c>
      <c r="AA78" s="18">
        <v>0.28339999999999999</v>
      </c>
      <c r="AB78" s="18">
        <v>0.49909999999999999</v>
      </c>
      <c r="AC78" s="18">
        <v>1.8998999999999999</v>
      </c>
      <c r="AD78" s="18">
        <v>0.98460000000000003</v>
      </c>
      <c r="AE78" s="18">
        <v>4.1399999999999999E-2</v>
      </c>
      <c r="AF78" s="18">
        <v>0.13639999999999999</v>
      </c>
      <c r="AG78" s="18">
        <v>0.29039999999999999</v>
      </c>
      <c r="AH78" s="18">
        <v>0.59360000000000002</v>
      </c>
      <c r="AI78" s="18">
        <v>0.17460000000000001</v>
      </c>
      <c r="AJ78" s="18">
        <v>6.93E-2</v>
      </c>
      <c r="AK78" s="18">
        <v>0.23569999999999999</v>
      </c>
      <c r="AL78" s="18">
        <v>0.12790000000000001</v>
      </c>
      <c r="AM78" s="18">
        <v>5.7599999999999998E-2</v>
      </c>
      <c r="AN78" s="18">
        <v>0.30599999999999999</v>
      </c>
      <c r="AO78" s="18">
        <v>5.8999999999999997E-2</v>
      </c>
      <c r="AP78" s="18">
        <v>0.33279999999999998</v>
      </c>
      <c r="AQ78" s="18">
        <v>0.55800000000000005</v>
      </c>
      <c r="AR78" s="18">
        <v>2.3090999999999999</v>
      </c>
      <c r="AS78" s="18">
        <v>0.42680000000000001</v>
      </c>
      <c r="AT78" s="18">
        <v>0.24529999999999999</v>
      </c>
      <c r="AU78" s="18">
        <v>0.24010000000000001</v>
      </c>
      <c r="AV78" s="18">
        <v>0.24229999999999999</v>
      </c>
      <c r="AW78" s="18">
        <v>0.25879999999999997</v>
      </c>
      <c r="AX78" s="18">
        <v>0.28539999999999999</v>
      </c>
    </row>
    <row r="79" spans="1:50" x14ac:dyDescent="0.25">
      <c r="A79" s="8" t="s">
        <v>114</v>
      </c>
      <c r="B79" s="10" t="s">
        <v>57</v>
      </c>
      <c r="C79" s="16">
        <v>0.1336</v>
      </c>
      <c r="D79" s="16">
        <v>0.17199999999999999</v>
      </c>
      <c r="E79" s="16">
        <v>0.11210000000000001</v>
      </c>
      <c r="F79" s="16">
        <v>8.1199999999999994E-2</v>
      </c>
      <c r="G79" s="16">
        <v>0.21629999999999999</v>
      </c>
      <c r="H79" s="16">
        <v>7.6100000000000001E-2</v>
      </c>
      <c r="I79" s="16">
        <v>7.2099999999999997E-2</v>
      </c>
      <c r="J79" s="16">
        <v>0.26150000000000001</v>
      </c>
      <c r="K79" s="16">
        <v>9.6100000000000005E-2</v>
      </c>
      <c r="L79" s="16">
        <v>5.6000000000000001E-2</v>
      </c>
      <c r="M79" s="16">
        <v>0.16370000000000001</v>
      </c>
      <c r="N79" s="16">
        <v>0.14580000000000001</v>
      </c>
      <c r="O79" s="16">
        <v>7.2300000000000003E-2</v>
      </c>
      <c r="P79" s="16">
        <v>0.25729999999999997</v>
      </c>
      <c r="Q79" s="16">
        <v>6.8099999999999994E-2</v>
      </c>
      <c r="R79" s="16">
        <v>0.10009999999999999</v>
      </c>
      <c r="S79" s="16">
        <v>0.184</v>
      </c>
      <c r="T79" s="16">
        <v>8.9499999999999996E-2</v>
      </c>
      <c r="U79" s="16">
        <v>0.11210000000000001</v>
      </c>
      <c r="V79" s="16">
        <v>0.22140000000000001</v>
      </c>
      <c r="W79" s="16">
        <v>0.04</v>
      </c>
      <c r="X79" s="16">
        <v>0.18260000000000001</v>
      </c>
      <c r="Y79" s="16">
        <v>0.151</v>
      </c>
      <c r="Z79" s="16">
        <v>0.04</v>
      </c>
      <c r="AA79" s="16">
        <v>0.27350000000000002</v>
      </c>
      <c r="AB79" s="16">
        <v>0.06</v>
      </c>
      <c r="AC79" s="16">
        <v>4.8000000000000001E-2</v>
      </c>
      <c r="AD79" s="16">
        <v>0.23400000000000001</v>
      </c>
      <c r="AE79" s="16">
        <v>0.1361</v>
      </c>
      <c r="AF79" s="16">
        <v>0.1077</v>
      </c>
      <c r="AG79" s="16">
        <v>0.33479999999999999</v>
      </c>
      <c r="AH79" s="16">
        <v>0.17480000000000001</v>
      </c>
      <c r="AI79" s="16">
        <v>0.2873</v>
      </c>
      <c r="AJ79" s="16">
        <v>0.13900000000000001</v>
      </c>
      <c r="AK79" s="16">
        <v>9.2100000000000001E-2</v>
      </c>
      <c r="AL79" s="16">
        <v>0.192</v>
      </c>
      <c r="AM79" s="16">
        <v>8.9499999999999996E-2</v>
      </c>
      <c r="AN79" s="16">
        <v>8.1199999999999994E-2</v>
      </c>
      <c r="AO79" s="16">
        <v>0.2283</v>
      </c>
      <c r="AP79" s="16">
        <v>6.4000000000000001E-2</v>
      </c>
      <c r="AQ79" s="16">
        <v>0.22140000000000001</v>
      </c>
      <c r="AR79" s="16">
        <v>9.2100000000000001E-2</v>
      </c>
      <c r="AS79" s="16">
        <v>0.20019999999999999</v>
      </c>
      <c r="AT79" s="16">
        <v>8.1199999999999994E-2</v>
      </c>
      <c r="AU79" s="16">
        <v>0.1041</v>
      </c>
      <c r="AV79" s="16">
        <v>8.1000000000000003E-2</v>
      </c>
      <c r="AW79" s="16">
        <v>0.2606</v>
      </c>
      <c r="AX79" s="16">
        <v>0.04</v>
      </c>
    </row>
    <row r="80" spans="1:50" x14ac:dyDescent="0.25">
      <c r="A80" s="17" t="s">
        <v>257</v>
      </c>
      <c r="B80" s="13" t="s">
        <v>168</v>
      </c>
      <c r="C80" s="18">
        <v>0.21790000000000001</v>
      </c>
      <c r="D80" s="18">
        <v>8.1199999999999994E-2</v>
      </c>
      <c r="E80" s="18">
        <v>0.12770000000000001</v>
      </c>
      <c r="F80" s="18">
        <v>0.1744</v>
      </c>
      <c r="G80" s="18">
        <v>6.7900000000000002E-2</v>
      </c>
      <c r="H80" s="18">
        <v>0.1178</v>
      </c>
      <c r="I80" s="18">
        <v>0.15640000000000001</v>
      </c>
      <c r="J80" s="18">
        <v>9.7799999999999998E-2</v>
      </c>
      <c r="K80" s="18">
        <v>9.5600000000000004E-2</v>
      </c>
      <c r="L80" s="18">
        <v>0.14860000000000001</v>
      </c>
      <c r="M80" s="18">
        <v>0.13769999999999999</v>
      </c>
      <c r="N80" s="18">
        <v>6.3500000000000001E-2</v>
      </c>
      <c r="O80" s="18">
        <v>0.21560000000000001</v>
      </c>
      <c r="P80" s="18">
        <v>6.3E-2</v>
      </c>
      <c r="Q80" s="18">
        <v>4.9000000000000002E-2</v>
      </c>
      <c r="R80" s="18">
        <v>0.159</v>
      </c>
      <c r="S80" s="18">
        <v>0.13769999999999999</v>
      </c>
      <c r="T80" s="18">
        <v>6.0400000000000002E-2</v>
      </c>
      <c r="U80" s="18">
        <v>0.35320000000000001</v>
      </c>
      <c r="V80" s="18">
        <v>0.31780000000000003</v>
      </c>
      <c r="W80" s="18">
        <v>1.0402</v>
      </c>
      <c r="X80" s="18">
        <v>0.41270000000000001</v>
      </c>
      <c r="Y80" s="18">
        <v>0.38650000000000001</v>
      </c>
      <c r="Z80" s="18">
        <v>0.12540000000000001</v>
      </c>
      <c r="AA80" s="18">
        <v>0.13769999999999999</v>
      </c>
      <c r="AB80" s="18">
        <v>6.3500000000000001E-2</v>
      </c>
      <c r="AC80" s="18">
        <v>0.2306</v>
      </c>
      <c r="AD80" s="18">
        <v>4.8000000000000001E-2</v>
      </c>
      <c r="AE80" s="18">
        <v>0.1852</v>
      </c>
      <c r="AF80" s="18">
        <v>0.1089</v>
      </c>
      <c r="AG80" s="18">
        <v>8.2900000000000001E-2</v>
      </c>
      <c r="AH80" s="18">
        <v>0.1028</v>
      </c>
      <c r="AI80" s="18">
        <v>0.12540000000000001</v>
      </c>
      <c r="AJ80" s="18">
        <v>0.2311</v>
      </c>
      <c r="AK80" s="18">
        <v>0.2432</v>
      </c>
      <c r="AL80" s="18">
        <v>0.34210000000000002</v>
      </c>
      <c r="AM80" s="18">
        <v>0.27589999999999998</v>
      </c>
      <c r="AN80" s="18">
        <v>0.32079999999999997</v>
      </c>
      <c r="AO80" s="18">
        <v>0.22009999999999999</v>
      </c>
      <c r="AP80" s="18">
        <v>0.41760000000000003</v>
      </c>
      <c r="AQ80" s="18">
        <v>8.7900000000000006E-2</v>
      </c>
      <c r="AR80" s="18">
        <v>0.22409999999999999</v>
      </c>
      <c r="AS80" s="18">
        <v>0.35039999999999999</v>
      </c>
      <c r="AT80" s="18">
        <v>0.46650000000000003</v>
      </c>
      <c r="AU80" s="18">
        <v>0.52270000000000005</v>
      </c>
      <c r="AV80" s="18">
        <v>0.50670000000000004</v>
      </c>
      <c r="AW80" s="18">
        <v>0.15529999999999999</v>
      </c>
      <c r="AX80" s="18">
        <v>0.16159999999999999</v>
      </c>
    </row>
    <row r="81" spans="1:50" x14ac:dyDescent="0.25">
      <c r="A81" s="17" t="s">
        <v>259</v>
      </c>
      <c r="B81" s="13" t="s">
        <v>168</v>
      </c>
      <c r="C81" s="18">
        <v>0.31330000000000002</v>
      </c>
      <c r="D81" s="18">
        <v>8.1299999999999997E-2</v>
      </c>
      <c r="E81" s="18">
        <v>0.2601</v>
      </c>
      <c r="F81" s="18">
        <v>5.5100000000000003E-2</v>
      </c>
      <c r="G81" s="18">
        <v>0.1804</v>
      </c>
      <c r="H81" s="18">
        <v>0.15690000000000001</v>
      </c>
      <c r="I81" s="18">
        <v>0.13150000000000001</v>
      </c>
      <c r="J81" s="18">
        <v>0.20979999999999999</v>
      </c>
      <c r="K81" s="18">
        <v>0.1239</v>
      </c>
      <c r="L81" s="18">
        <v>0.20230000000000001</v>
      </c>
      <c r="M81" s="18">
        <v>0.1066</v>
      </c>
      <c r="N81" s="18">
        <v>8.3400000000000002E-2</v>
      </c>
      <c r="O81" s="18">
        <v>0.17269999999999999</v>
      </c>
      <c r="P81" s="18">
        <v>0.17960000000000001</v>
      </c>
      <c r="Q81" s="18">
        <v>0.1239</v>
      </c>
      <c r="R81" s="18">
        <v>0.21740000000000001</v>
      </c>
      <c r="S81" s="18">
        <v>0.1239</v>
      </c>
      <c r="T81" s="18">
        <v>0.15690000000000001</v>
      </c>
      <c r="U81" s="18">
        <v>0.2324</v>
      </c>
      <c r="V81" s="18">
        <v>0.2273</v>
      </c>
      <c r="W81" s="18">
        <v>1.6133999999999999</v>
      </c>
      <c r="X81" s="18">
        <v>0.17230000000000001</v>
      </c>
      <c r="Y81" s="18">
        <v>0.30420000000000003</v>
      </c>
      <c r="Z81" s="18">
        <v>0.39100000000000001</v>
      </c>
      <c r="AA81" s="18">
        <v>0.19819999999999999</v>
      </c>
      <c r="AB81" s="18">
        <v>0.24740000000000001</v>
      </c>
      <c r="AC81" s="18">
        <v>0.1017</v>
      </c>
      <c r="AD81" s="18">
        <v>0.20100000000000001</v>
      </c>
      <c r="AE81" s="18">
        <v>0.33090000000000003</v>
      </c>
      <c r="AF81" s="18">
        <v>0.26329999999999998</v>
      </c>
      <c r="AG81" s="18">
        <v>0.3821</v>
      </c>
      <c r="AH81" s="18">
        <v>0.30109999999999998</v>
      </c>
      <c r="AI81" s="18">
        <v>0.14810000000000001</v>
      </c>
      <c r="AJ81" s="18">
        <v>0.1134</v>
      </c>
      <c r="AK81" s="18">
        <v>0.44259999999999999</v>
      </c>
      <c r="AL81" s="18">
        <v>0.22889999999999999</v>
      </c>
      <c r="AM81" s="18">
        <v>0.29370000000000002</v>
      </c>
      <c r="AN81" s="18">
        <v>0.17799999999999999</v>
      </c>
      <c r="AO81" s="18">
        <v>0.17299999999999999</v>
      </c>
      <c r="AP81" s="18">
        <v>0.56440000000000001</v>
      </c>
      <c r="AQ81" s="18">
        <v>0.36780000000000002</v>
      </c>
      <c r="AR81" s="18">
        <v>0.59430000000000005</v>
      </c>
      <c r="AS81" s="18">
        <v>0.68679999999999997</v>
      </c>
      <c r="AT81" s="18">
        <v>0.66290000000000004</v>
      </c>
      <c r="AU81" s="18">
        <v>0.13420000000000001</v>
      </c>
      <c r="AV81" s="18">
        <v>0.25750000000000001</v>
      </c>
      <c r="AW81" s="18">
        <v>0.27400000000000002</v>
      </c>
      <c r="AX81" s="18">
        <v>9.1499999999999998E-2</v>
      </c>
    </row>
    <row r="82" spans="1:50" x14ac:dyDescent="0.25">
      <c r="A82" s="17" t="s">
        <v>261</v>
      </c>
      <c r="B82" s="13" t="s">
        <v>168</v>
      </c>
      <c r="C82" s="18">
        <v>0.03</v>
      </c>
      <c r="D82" s="18">
        <v>0.16139999999999999</v>
      </c>
      <c r="E82" s="18">
        <v>0.03</v>
      </c>
      <c r="F82" s="18">
        <v>0.16139999999999999</v>
      </c>
      <c r="G82" s="18">
        <v>0.03</v>
      </c>
      <c r="H82" s="18">
        <v>0.1154</v>
      </c>
      <c r="I82" s="18">
        <v>7.5999999999999998E-2</v>
      </c>
      <c r="J82" s="18">
        <v>8.2600000000000007E-2</v>
      </c>
      <c r="K82" s="18">
        <v>0.1089</v>
      </c>
      <c r="L82" s="18">
        <v>0.98760000000000003</v>
      </c>
      <c r="M82" s="18">
        <v>0.24379999999999999</v>
      </c>
      <c r="N82" s="18">
        <v>0.03</v>
      </c>
      <c r="O82" s="18">
        <v>0.03</v>
      </c>
      <c r="P82" s="18">
        <v>0.12859999999999999</v>
      </c>
      <c r="Q82" s="18">
        <v>6.2899999999999998E-2</v>
      </c>
      <c r="R82" s="18">
        <v>6.9400000000000003E-2</v>
      </c>
      <c r="S82" s="18">
        <v>0.122</v>
      </c>
      <c r="T82" s="18">
        <v>0.03</v>
      </c>
      <c r="U82" s="18">
        <v>0.16889999999999999</v>
      </c>
      <c r="V82" s="18">
        <v>3.5000000000000003E-2</v>
      </c>
      <c r="W82" s="18">
        <v>0.1027</v>
      </c>
      <c r="X82" s="18">
        <v>0.1154</v>
      </c>
      <c r="Y82" s="18">
        <v>6.2899999999999998E-2</v>
      </c>
      <c r="Z82" s="18">
        <v>0.12939999999999999</v>
      </c>
      <c r="AA82" s="18">
        <v>3.0800000000000001E-2</v>
      </c>
      <c r="AB82" s="18">
        <v>0.35060000000000002</v>
      </c>
      <c r="AC82" s="18">
        <v>0.18149999999999999</v>
      </c>
      <c r="AD82" s="18">
        <v>0.03</v>
      </c>
      <c r="AE82" s="18">
        <v>0.16139999999999999</v>
      </c>
      <c r="AF82" s="18">
        <v>0.03</v>
      </c>
      <c r="AG82" s="18">
        <v>0.03</v>
      </c>
      <c r="AH82" s="18">
        <v>0.16139999999999999</v>
      </c>
      <c r="AI82" s="18">
        <v>0.03</v>
      </c>
      <c r="AJ82" s="18">
        <v>0.13519999999999999</v>
      </c>
      <c r="AK82" s="18">
        <v>5.6300000000000003E-2</v>
      </c>
      <c r="AL82" s="18">
        <v>8.2600000000000007E-2</v>
      </c>
      <c r="AM82" s="18">
        <v>0.1089</v>
      </c>
      <c r="AN82" s="18">
        <v>0.03</v>
      </c>
      <c r="AO82" s="18">
        <v>6.2899999999999998E-2</v>
      </c>
      <c r="AP82" s="18">
        <v>0.12859999999999999</v>
      </c>
      <c r="AQ82" s="18">
        <v>4.3099999999999999E-2</v>
      </c>
      <c r="AR82" s="18">
        <v>0.32319999999999999</v>
      </c>
      <c r="AS82" s="18">
        <v>0.30480000000000002</v>
      </c>
      <c r="AT82" s="18">
        <v>0.43030000000000002</v>
      </c>
      <c r="AU82" s="18">
        <v>0.41620000000000001</v>
      </c>
      <c r="AV82" s="18">
        <v>0.03</v>
      </c>
      <c r="AW82" s="18">
        <v>0.03</v>
      </c>
      <c r="AX82" s="18">
        <v>0.03</v>
      </c>
    </row>
    <row r="83" spans="1:50" x14ac:dyDescent="0.25">
      <c r="A83" s="17" t="s">
        <v>263</v>
      </c>
      <c r="B83" s="13" t="s">
        <v>168</v>
      </c>
      <c r="C83" s="18">
        <v>0.16039999999999999</v>
      </c>
      <c r="D83" s="18">
        <v>0.24229999999999999</v>
      </c>
      <c r="E83" s="18">
        <v>0.14710000000000001</v>
      </c>
      <c r="F83" s="18">
        <v>0.187</v>
      </c>
      <c r="G83" s="18">
        <v>0.159</v>
      </c>
      <c r="H83" s="18">
        <v>0.14000000000000001</v>
      </c>
      <c r="I83" s="18">
        <v>0.21310000000000001</v>
      </c>
      <c r="J83" s="18">
        <v>0.22500000000000001</v>
      </c>
      <c r="K83" s="18">
        <v>8.2100000000000006E-2</v>
      </c>
      <c r="L83" s="18">
        <v>0.25690000000000002</v>
      </c>
      <c r="M83" s="18">
        <v>0.14710000000000001</v>
      </c>
      <c r="N83" s="18">
        <v>0.22819999999999999</v>
      </c>
      <c r="O83" s="18">
        <v>0.1462</v>
      </c>
      <c r="P83" s="18">
        <v>0.1263</v>
      </c>
      <c r="Q83" s="18">
        <v>0.27639999999999998</v>
      </c>
      <c r="R83" s="18">
        <v>4.8000000000000001E-2</v>
      </c>
      <c r="S83" s="18">
        <v>1.3634999999999999</v>
      </c>
      <c r="T83" s="18">
        <v>3.5398999999999998</v>
      </c>
      <c r="U83" s="18">
        <v>1.9137</v>
      </c>
      <c r="V83" s="18">
        <v>1.6307</v>
      </c>
      <c r="W83" s="18">
        <v>2.9215</v>
      </c>
      <c r="X83" s="18">
        <v>2.3098000000000001</v>
      </c>
      <c r="Y83" s="18">
        <v>0.48499999999999999</v>
      </c>
      <c r="Z83" s="18">
        <v>1.2514000000000001</v>
      </c>
      <c r="AA83" s="18">
        <v>0.29730000000000001</v>
      </c>
      <c r="AB83" s="18">
        <v>0.30790000000000001</v>
      </c>
      <c r="AC83" s="18">
        <v>5.2900000000000003E-2</v>
      </c>
      <c r="AD83" s="18">
        <v>0.38519999999999999</v>
      </c>
      <c r="AE83" s="18">
        <v>4.8000000000000001E-2</v>
      </c>
      <c r="AF83" s="18">
        <v>0.26900000000000002</v>
      </c>
      <c r="AG83" s="18">
        <v>0.16900000000000001</v>
      </c>
      <c r="AH83" s="18">
        <v>6.2199999999999998E-2</v>
      </c>
      <c r="AI83" s="18">
        <v>0.27410000000000001</v>
      </c>
      <c r="AJ83" s="18">
        <v>0.14979999999999999</v>
      </c>
      <c r="AK83" s="18">
        <v>0.24590000000000001</v>
      </c>
      <c r="AL83" s="18">
        <v>0.45069999999999999</v>
      </c>
      <c r="AM83" s="18">
        <v>0.2666</v>
      </c>
      <c r="AN83" s="18">
        <v>0.49220000000000003</v>
      </c>
      <c r="AO83" s="18">
        <v>4.8000000000000001E-2</v>
      </c>
      <c r="AP83" s="18">
        <v>0.2994</v>
      </c>
      <c r="AQ83" s="18">
        <v>0.27250000000000002</v>
      </c>
      <c r="AR83" s="18">
        <v>0.47620000000000001</v>
      </c>
      <c r="AS83" s="18">
        <v>0.84750000000000003</v>
      </c>
      <c r="AT83" s="18">
        <v>1.0005999999999999</v>
      </c>
      <c r="AU83" s="18">
        <v>1.0266999999999999</v>
      </c>
      <c r="AV83" s="18">
        <v>1.9568000000000001</v>
      </c>
      <c r="AW83" s="18">
        <v>0.57379999999999998</v>
      </c>
      <c r="AX83" s="18">
        <v>0.9264</v>
      </c>
    </row>
    <row r="84" spans="1:50" x14ac:dyDescent="0.25">
      <c r="A84" s="17" t="s">
        <v>265</v>
      </c>
      <c r="B84" s="13" t="s">
        <v>168</v>
      </c>
      <c r="C84" s="18">
        <v>0.29320000000000002</v>
      </c>
      <c r="D84" s="18">
        <v>8.8400000000000006E-2</v>
      </c>
      <c r="E84" s="18">
        <v>0.1978</v>
      </c>
      <c r="F84" s="18">
        <v>5.8200000000000002E-2</v>
      </c>
      <c r="G84" s="18">
        <v>9.1300000000000006E-2</v>
      </c>
      <c r="H84" s="18">
        <v>0.3387</v>
      </c>
      <c r="I84" s="18">
        <v>4.1000000000000002E-2</v>
      </c>
      <c r="J84" s="18">
        <v>0.22120000000000001</v>
      </c>
      <c r="K84" s="18">
        <v>0.18809999999999999</v>
      </c>
      <c r="L84" s="18">
        <v>6.1699999999999998E-2</v>
      </c>
      <c r="M84" s="18">
        <v>0.128</v>
      </c>
      <c r="N84" s="18">
        <v>0.30199999999999999</v>
      </c>
      <c r="O84" s="18">
        <v>4.1000000000000002E-2</v>
      </c>
      <c r="P84" s="18">
        <v>0.33129999999999998</v>
      </c>
      <c r="Q84" s="18">
        <v>0.1792</v>
      </c>
      <c r="R84" s="18">
        <v>0.14380000000000001</v>
      </c>
      <c r="S84" s="18">
        <v>0.20880000000000001</v>
      </c>
      <c r="T84" s="18">
        <v>0.11840000000000001</v>
      </c>
      <c r="U84" s="18">
        <v>0.23569999999999999</v>
      </c>
      <c r="V84" s="18">
        <v>0.11700000000000001</v>
      </c>
      <c r="W84" s="18">
        <v>0.32340000000000002</v>
      </c>
      <c r="X84" s="18">
        <v>0.21809999999999999</v>
      </c>
      <c r="Y84" s="18">
        <v>0.1137</v>
      </c>
      <c r="Z84" s="18">
        <v>1.2677</v>
      </c>
      <c r="AA84" s="18">
        <v>1.3285</v>
      </c>
      <c r="AB84" s="18">
        <v>0.24679999999999999</v>
      </c>
      <c r="AC84" s="18">
        <v>1.5779000000000001</v>
      </c>
      <c r="AD84" s="18">
        <v>0.35580000000000001</v>
      </c>
      <c r="AE84" s="18">
        <v>0.41349999999999998</v>
      </c>
      <c r="AF84" s="18">
        <v>0.60209999999999997</v>
      </c>
      <c r="AG84" s="18">
        <v>0.9073</v>
      </c>
      <c r="AH84" s="18">
        <v>0.28000000000000003</v>
      </c>
      <c r="AI84" s="18">
        <v>1.8160000000000001</v>
      </c>
      <c r="AJ84" s="18">
        <v>0.23380000000000001</v>
      </c>
      <c r="AK84" s="18">
        <v>1.1629</v>
      </c>
      <c r="AL84" s="18">
        <v>2.0586000000000002</v>
      </c>
      <c r="AM84" s="18">
        <v>0.56200000000000006</v>
      </c>
      <c r="AN84" s="18">
        <v>0.44169999999999998</v>
      </c>
      <c r="AO84" s="18">
        <v>0.20519999999999999</v>
      </c>
      <c r="AP84" s="18">
        <v>0.43869999999999998</v>
      </c>
      <c r="AQ84" s="18">
        <v>0.55159999999999998</v>
      </c>
      <c r="AR84" s="18">
        <v>0.4037</v>
      </c>
      <c r="AS84" s="18">
        <v>0.75509999999999999</v>
      </c>
      <c r="AT84" s="18">
        <v>0.66239999999999999</v>
      </c>
      <c r="AU84" s="18">
        <v>0.54200000000000004</v>
      </c>
      <c r="AV84" s="18">
        <v>0.4118</v>
      </c>
      <c r="AW84" s="18">
        <v>5.8200000000000002E-2</v>
      </c>
      <c r="AX84" s="18">
        <v>0.1913</v>
      </c>
    </row>
    <row r="85" spans="1:50" x14ac:dyDescent="0.25">
      <c r="A85" s="17" t="s">
        <v>267</v>
      </c>
      <c r="B85" s="13" t="s">
        <v>168</v>
      </c>
      <c r="C85" s="18">
        <v>0.1241</v>
      </c>
      <c r="D85" s="18">
        <v>0.14000000000000001</v>
      </c>
      <c r="E85" s="18">
        <v>0.17979999999999999</v>
      </c>
      <c r="F85" s="18">
        <v>0.14000000000000001</v>
      </c>
      <c r="G85" s="18">
        <v>0.17979999999999999</v>
      </c>
      <c r="H85" s="18">
        <v>0.112</v>
      </c>
      <c r="I85" s="18">
        <v>8.4000000000000005E-2</v>
      </c>
      <c r="J85" s="18">
        <v>0.13650000000000001</v>
      </c>
      <c r="K85" s="18">
        <v>9.9299999999999999E-2</v>
      </c>
      <c r="L85" s="18">
        <v>0.2019</v>
      </c>
      <c r="M85" s="18">
        <v>0.1179</v>
      </c>
      <c r="N85" s="18">
        <v>0.14000000000000001</v>
      </c>
      <c r="O85" s="18">
        <v>5.6000000000000001E-2</v>
      </c>
      <c r="P85" s="18">
        <v>0.26390000000000002</v>
      </c>
      <c r="Q85" s="18">
        <v>5.6000000000000001E-2</v>
      </c>
      <c r="R85" s="18">
        <v>0.2142</v>
      </c>
      <c r="S85" s="18">
        <v>0.1056</v>
      </c>
      <c r="T85" s="18">
        <v>0.16600000000000001</v>
      </c>
      <c r="U85" s="18">
        <v>0.15379999999999999</v>
      </c>
      <c r="V85" s="18">
        <v>0.1241</v>
      </c>
      <c r="W85" s="18">
        <v>0.4294</v>
      </c>
      <c r="X85" s="18">
        <v>1.8841000000000001</v>
      </c>
      <c r="Y85" s="18">
        <v>0.25679999999999997</v>
      </c>
      <c r="Z85" s="18">
        <v>1.1737</v>
      </c>
      <c r="AA85" s="18">
        <v>1.2377</v>
      </c>
      <c r="AB85" s="18">
        <v>0.21970000000000001</v>
      </c>
      <c r="AC85" s="18">
        <v>0.42749999999999999</v>
      </c>
      <c r="AD85" s="18">
        <v>0.1106</v>
      </c>
      <c r="AE85" s="18">
        <v>0.26390000000000002</v>
      </c>
      <c r="AF85" s="18">
        <v>5.6000000000000001E-2</v>
      </c>
      <c r="AG85" s="18">
        <v>0.20319999999999999</v>
      </c>
      <c r="AH85" s="18">
        <v>0.1167</v>
      </c>
      <c r="AI85" s="18">
        <v>0.11169999999999999</v>
      </c>
      <c r="AJ85" s="18">
        <v>0.51200000000000001</v>
      </c>
      <c r="AK85" s="18">
        <v>0.38869999999999999</v>
      </c>
      <c r="AL85" s="18">
        <v>0.35759999999999997</v>
      </c>
      <c r="AM85" s="18">
        <v>0.28339999999999999</v>
      </c>
      <c r="AN85" s="18">
        <v>0.21970000000000001</v>
      </c>
      <c r="AO85" s="18">
        <v>0.33260000000000001</v>
      </c>
      <c r="AP85" s="18">
        <v>0.60150000000000003</v>
      </c>
      <c r="AQ85" s="18">
        <v>0.56559999999999999</v>
      </c>
      <c r="AR85" s="18">
        <v>0.55869999999999997</v>
      </c>
      <c r="AS85" s="18">
        <v>0.6804</v>
      </c>
      <c r="AT85" s="18">
        <v>0.41210000000000002</v>
      </c>
      <c r="AU85" s="18">
        <v>0.51290000000000002</v>
      </c>
      <c r="AV85" s="18">
        <v>0.43780000000000002</v>
      </c>
      <c r="AW85" s="18">
        <v>0.17560000000000001</v>
      </c>
      <c r="AX85" s="18">
        <v>7.0000000000000007E-2</v>
      </c>
    </row>
    <row r="86" spans="1:50" x14ac:dyDescent="0.25">
      <c r="A86" s="17" t="s">
        <v>269</v>
      </c>
      <c r="B86" s="13" t="s">
        <v>168</v>
      </c>
      <c r="C86" s="18">
        <v>9.5399999999999999E-2</v>
      </c>
      <c r="D86" s="18">
        <v>9.5399999999999999E-2</v>
      </c>
      <c r="E86" s="18">
        <v>5.8000000000000003E-2</v>
      </c>
      <c r="F86" s="18">
        <v>0.1328</v>
      </c>
      <c r="G86" s="18">
        <v>5.8000000000000003E-2</v>
      </c>
      <c r="H86" s="18">
        <v>0.1328</v>
      </c>
      <c r="I86" s="18">
        <v>5.8000000000000003E-2</v>
      </c>
      <c r="J86" s="18">
        <v>5.8000000000000003E-2</v>
      </c>
      <c r="K86" s="18">
        <v>0.1203</v>
      </c>
      <c r="L86" s="18">
        <v>7.0499999999999993E-2</v>
      </c>
      <c r="M86" s="18">
        <v>5.8000000000000003E-2</v>
      </c>
      <c r="N86" s="18">
        <v>5.8000000000000003E-2</v>
      </c>
      <c r="O86" s="18">
        <v>5.8000000000000003E-2</v>
      </c>
      <c r="P86" s="18">
        <v>0.1328</v>
      </c>
      <c r="Q86" s="18">
        <v>5.8000000000000003E-2</v>
      </c>
      <c r="R86" s="18">
        <v>0.1042</v>
      </c>
      <c r="S86" s="18">
        <v>0.65849999999999997</v>
      </c>
      <c r="T86" s="18">
        <v>1.1697</v>
      </c>
      <c r="U86" s="18">
        <v>0.33529999999999999</v>
      </c>
      <c r="V86" s="18">
        <v>0.2964</v>
      </c>
      <c r="W86" s="18">
        <v>0.50690000000000002</v>
      </c>
      <c r="X86" s="18">
        <v>0.36859999999999998</v>
      </c>
      <c r="Y86" s="18">
        <v>0.3392</v>
      </c>
      <c r="Z86" s="18">
        <v>0.69030000000000002</v>
      </c>
      <c r="AA86" s="18">
        <v>0.50009999999999999</v>
      </c>
      <c r="AB86" s="18">
        <v>0.61839999999999995</v>
      </c>
      <c r="AC86" s="18">
        <v>0.30520000000000003</v>
      </c>
      <c r="AD86" s="18">
        <v>1.5742</v>
      </c>
      <c r="AE86" s="18">
        <v>1.5163</v>
      </c>
      <c r="AF86" s="18">
        <v>1.8786</v>
      </c>
      <c r="AG86" s="18">
        <v>0.26590000000000003</v>
      </c>
      <c r="AH86" s="18">
        <v>0.2177</v>
      </c>
      <c r="AI86" s="18">
        <v>0.1077</v>
      </c>
      <c r="AJ86" s="18">
        <v>0.27639999999999998</v>
      </c>
      <c r="AK86" s="18">
        <v>2.8896999999999999</v>
      </c>
      <c r="AL86" s="18">
        <v>0.1229</v>
      </c>
      <c r="AM86" s="18">
        <v>1.2695000000000001</v>
      </c>
      <c r="AN86" s="18">
        <v>0.2959</v>
      </c>
      <c r="AO86" s="18">
        <v>0.17829999999999999</v>
      </c>
      <c r="AP86" s="18">
        <v>0.48130000000000001</v>
      </c>
      <c r="AQ86" s="18">
        <v>0.61890000000000001</v>
      </c>
      <c r="AR86" s="18">
        <v>0.55530000000000002</v>
      </c>
      <c r="AS86" s="18">
        <v>0.53049999999999997</v>
      </c>
      <c r="AT86" s="18">
        <v>0.55320000000000003</v>
      </c>
      <c r="AU86" s="18">
        <v>0.50080000000000002</v>
      </c>
      <c r="AV86" s="18">
        <v>0.81759999999999999</v>
      </c>
      <c r="AW86" s="18">
        <v>0.89339999999999997</v>
      </c>
      <c r="AX86" s="18">
        <v>1.4333</v>
      </c>
    </row>
    <row r="87" spans="1:50" x14ac:dyDescent="0.25">
      <c r="A87" s="8" t="s">
        <v>116</v>
      </c>
      <c r="B87" s="10" t="s">
        <v>57</v>
      </c>
      <c r="C87" s="16">
        <v>5.6000000000000001E-2</v>
      </c>
      <c r="D87" s="16">
        <v>0.2009</v>
      </c>
      <c r="E87" s="16">
        <v>0.15210000000000001</v>
      </c>
      <c r="F87" s="16">
        <v>0.10100000000000001</v>
      </c>
      <c r="G87" s="16">
        <v>0.111</v>
      </c>
      <c r="H87" s="16">
        <v>5.6000000000000001E-2</v>
      </c>
      <c r="I87" s="16">
        <v>0.156</v>
      </c>
      <c r="J87" s="16">
        <v>0.19700000000000001</v>
      </c>
      <c r="K87" s="16">
        <v>9.0999999999999998E-2</v>
      </c>
      <c r="L87" s="16">
        <v>0.17230000000000001</v>
      </c>
      <c r="M87" s="16">
        <v>0.1457</v>
      </c>
      <c r="N87" s="16">
        <v>0.156</v>
      </c>
      <c r="O87" s="16">
        <v>0.1265</v>
      </c>
      <c r="P87" s="16">
        <v>0.1265</v>
      </c>
      <c r="Q87" s="16">
        <v>7.0999999999999994E-2</v>
      </c>
      <c r="R87" s="16">
        <v>0.28199999999999997</v>
      </c>
      <c r="S87" s="16">
        <v>5.6000000000000001E-2</v>
      </c>
      <c r="T87" s="16">
        <v>0.24360000000000001</v>
      </c>
      <c r="U87" s="16">
        <v>0.1095</v>
      </c>
      <c r="V87" s="16">
        <v>0.13450000000000001</v>
      </c>
      <c r="W87" s="16">
        <v>0.50460000000000005</v>
      </c>
      <c r="X87" s="16">
        <v>5.6000000000000001E-2</v>
      </c>
      <c r="Y87" s="16">
        <v>5.6000000000000001E-2</v>
      </c>
      <c r="Z87" s="16">
        <v>5.6000000000000001E-2</v>
      </c>
      <c r="AA87" s="16">
        <v>0.21740000000000001</v>
      </c>
      <c r="AB87" s="16">
        <v>0.33150000000000002</v>
      </c>
      <c r="AC87" s="16">
        <v>0.3165</v>
      </c>
      <c r="AD87" s="16">
        <v>0.4919</v>
      </c>
      <c r="AE87" s="16">
        <v>0.26290000000000002</v>
      </c>
      <c r="AF87" s="16">
        <v>0.3095</v>
      </c>
      <c r="AG87" s="16">
        <v>0.442</v>
      </c>
      <c r="AH87" s="16">
        <v>0.42930000000000001</v>
      </c>
      <c r="AI87" s="16">
        <v>8.1600000000000006E-2</v>
      </c>
      <c r="AJ87" s="16">
        <v>0.156</v>
      </c>
      <c r="AK87" s="16">
        <v>5.6000000000000001E-2</v>
      </c>
      <c r="AL87" s="16">
        <v>0.20780000000000001</v>
      </c>
      <c r="AM87" s="16">
        <v>0.1452</v>
      </c>
      <c r="AN87" s="16">
        <v>8.5999999999999993E-2</v>
      </c>
      <c r="AO87" s="16">
        <v>0.16450000000000001</v>
      </c>
      <c r="AP87" s="16">
        <v>0.1585</v>
      </c>
      <c r="AQ87" s="16">
        <v>0.156</v>
      </c>
      <c r="AR87" s="16">
        <v>7.5200000000000003E-2</v>
      </c>
      <c r="AS87" s="16">
        <v>0.17780000000000001</v>
      </c>
      <c r="AT87" s="16">
        <v>5.6000000000000001E-2</v>
      </c>
      <c r="AU87" s="16">
        <v>0.52480000000000004</v>
      </c>
      <c r="AV87" s="16">
        <v>0.40699999999999997</v>
      </c>
      <c r="AW87" s="16">
        <v>0.84770000000000001</v>
      </c>
      <c r="AX87" s="16">
        <v>0.32340000000000002</v>
      </c>
    </row>
    <row r="88" spans="1:50" x14ac:dyDescent="0.25">
      <c r="A88" s="8" t="s">
        <v>118</v>
      </c>
      <c r="B88" s="10" t="s">
        <v>57</v>
      </c>
      <c r="C88" s="16">
        <v>6.4500000000000002E-2</v>
      </c>
      <c r="D88" s="16">
        <v>5.7000000000000002E-2</v>
      </c>
      <c r="E88" s="16">
        <v>0.1318</v>
      </c>
      <c r="F88" s="16">
        <v>8.6900000000000005E-2</v>
      </c>
      <c r="G88" s="16">
        <v>5.7000000000000002E-2</v>
      </c>
      <c r="H88" s="16">
        <v>0.16170000000000001</v>
      </c>
      <c r="I88" s="16">
        <v>5.7000000000000002E-2</v>
      </c>
      <c r="J88" s="16">
        <v>5.7000000000000002E-2</v>
      </c>
      <c r="K88" s="16">
        <v>5.7000000000000002E-2</v>
      </c>
      <c r="L88" s="16">
        <v>0.16170000000000001</v>
      </c>
      <c r="M88" s="16">
        <v>5.7000000000000002E-2</v>
      </c>
      <c r="N88" s="16">
        <v>6.4500000000000002E-2</v>
      </c>
      <c r="O88" s="16">
        <v>0.1542</v>
      </c>
      <c r="P88" s="16">
        <v>5.7000000000000002E-2</v>
      </c>
      <c r="Q88" s="16">
        <v>0.32390000000000002</v>
      </c>
      <c r="R88" s="16">
        <v>0.308</v>
      </c>
      <c r="S88" s="16">
        <v>5.7000000000000002E-2</v>
      </c>
      <c r="T88" s="16">
        <v>0.24890000000000001</v>
      </c>
      <c r="U88" s="16">
        <v>0.2802</v>
      </c>
      <c r="V88" s="16">
        <v>0.45229999999999998</v>
      </c>
      <c r="W88" s="16">
        <v>0.32079999999999997</v>
      </c>
      <c r="X88" s="16">
        <v>0.40129999999999999</v>
      </c>
      <c r="Y88" s="16">
        <v>0.56720000000000004</v>
      </c>
      <c r="Z88" s="16">
        <v>0.30640000000000001</v>
      </c>
      <c r="AA88" s="16">
        <v>0.57299999999999995</v>
      </c>
      <c r="AB88" s="16">
        <v>0.42109999999999997</v>
      </c>
      <c r="AC88" s="16">
        <v>0.22800000000000001</v>
      </c>
      <c r="AD88" s="16">
        <v>0.1103</v>
      </c>
      <c r="AE88" s="16">
        <v>0.1019</v>
      </c>
      <c r="AF88" s="16">
        <v>0.1168</v>
      </c>
      <c r="AG88" s="16">
        <v>5.7000000000000002E-2</v>
      </c>
      <c r="AH88" s="16">
        <v>0.16170000000000001</v>
      </c>
      <c r="AI88" s="16">
        <v>5.7000000000000002E-2</v>
      </c>
      <c r="AJ88" s="16">
        <v>0.12429999999999999</v>
      </c>
      <c r="AK88" s="16">
        <v>9.4399999999999998E-2</v>
      </c>
      <c r="AL88" s="16">
        <v>5.7000000000000002E-2</v>
      </c>
      <c r="AM88" s="16">
        <v>5.7000000000000002E-2</v>
      </c>
      <c r="AN88" s="16">
        <v>0.26829999999999998</v>
      </c>
      <c r="AO88" s="16">
        <v>0.2205</v>
      </c>
      <c r="AP88" s="16">
        <v>0.26029999999999998</v>
      </c>
      <c r="AQ88" s="16">
        <v>0.24110000000000001</v>
      </c>
      <c r="AR88" s="16">
        <v>0.11650000000000001</v>
      </c>
      <c r="AS88" s="16">
        <v>0.48359999999999997</v>
      </c>
      <c r="AT88" s="16">
        <v>0.4022</v>
      </c>
      <c r="AU88" s="16">
        <v>0.4627</v>
      </c>
      <c r="AV88" s="16">
        <v>0.71650000000000003</v>
      </c>
      <c r="AW88" s="16">
        <v>0.6169</v>
      </c>
      <c r="AX88" s="16">
        <v>0.59970000000000001</v>
      </c>
    </row>
    <row r="89" spans="1:50" x14ac:dyDescent="0.25">
      <c r="A89" s="8" t="s">
        <v>120</v>
      </c>
      <c r="B89" s="10" t="s">
        <v>57</v>
      </c>
      <c r="C89" s="16">
        <v>0.55289999999999995</v>
      </c>
      <c r="D89" s="16">
        <v>0.13500000000000001</v>
      </c>
      <c r="E89" s="16">
        <v>0.18</v>
      </c>
      <c r="F89" s="16">
        <v>0.1812</v>
      </c>
      <c r="G89" s="16">
        <v>5.7000000000000002E-2</v>
      </c>
      <c r="H89" s="16">
        <v>0.26569999999999999</v>
      </c>
      <c r="I89" s="16">
        <v>0.1084</v>
      </c>
      <c r="J89" s="16">
        <v>0.122</v>
      </c>
      <c r="K89" s="16">
        <v>0.1492</v>
      </c>
      <c r="L89" s="16">
        <v>0.13389999999999999</v>
      </c>
      <c r="M89" s="16">
        <v>5.7000000000000002E-2</v>
      </c>
      <c r="N89" s="16">
        <v>0.17230000000000001</v>
      </c>
      <c r="O89" s="16">
        <v>0.14979999999999999</v>
      </c>
      <c r="P89" s="16">
        <v>9.6000000000000002E-2</v>
      </c>
      <c r="Q89" s="16">
        <v>0.2261</v>
      </c>
      <c r="R89" s="16">
        <v>0.13500000000000001</v>
      </c>
      <c r="S89" s="16">
        <v>0.1108</v>
      </c>
      <c r="T89" s="16">
        <v>0.1847</v>
      </c>
      <c r="U89" s="16">
        <v>6.4699999999999994E-2</v>
      </c>
      <c r="V89" s="16">
        <v>0.71409999999999996</v>
      </c>
      <c r="W89" s="16">
        <v>0.50249999999999995</v>
      </c>
      <c r="X89" s="16">
        <v>0.47220000000000001</v>
      </c>
      <c r="Y89" s="16">
        <v>0.1188</v>
      </c>
      <c r="Z89" s="16">
        <v>7.2400000000000006E-2</v>
      </c>
      <c r="AA89" s="16">
        <v>1.7641</v>
      </c>
      <c r="AB89" s="16">
        <v>0.91539999999999999</v>
      </c>
      <c r="AC89" s="16">
        <v>0.20599999999999999</v>
      </c>
      <c r="AD89" s="16">
        <v>0.1552</v>
      </c>
      <c r="AE89" s="16">
        <v>0.1108</v>
      </c>
      <c r="AF89" s="16">
        <v>0.17230000000000001</v>
      </c>
      <c r="AG89" s="16">
        <v>0.17660000000000001</v>
      </c>
      <c r="AH89" s="16">
        <v>1.3491</v>
      </c>
      <c r="AI89" s="16">
        <v>0.38179999999999997</v>
      </c>
      <c r="AJ89" s="16">
        <v>0.2374</v>
      </c>
      <c r="AK89" s="16">
        <v>0.152</v>
      </c>
      <c r="AL89" s="16">
        <v>0.74839999999999995</v>
      </c>
      <c r="AM89" s="16">
        <v>1.0239</v>
      </c>
      <c r="AN89" s="16">
        <v>0.96199999999999997</v>
      </c>
      <c r="AO89" s="16">
        <v>0.38300000000000001</v>
      </c>
      <c r="AP89" s="16">
        <v>0.55669999999999997</v>
      </c>
      <c r="AQ89" s="16">
        <v>0.50090000000000001</v>
      </c>
      <c r="AR89" s="16">
        <v>0.57669999999999999</v>
      </c>
      <c r="AS89" s="16">
        <v>1.2947</v>
      </c>
      <c r="AT89" s="16">
        <v>1.2528999999999999</v>
      </c>
      <c r="AU89" s="16">
        <v>0.79820000000000002</v>
      </c>
      <c r="AV89" s="16">
        <v>0.26650000000000001</v>
      </c>
      <c r="AW89" s="16">
        <v>0.2031</v>
      </c>
      <c r="AX89" s="16">
        <v>0.15809999999999999</v>
      </c>
    </row>
    <row r="90" spans="1:50" x14ac:dyDescent="0.25">
      <c r="A90" s="8" t="s">
        <v>122</v>
      </c>
      <c r="B90" s="10" t="s">
        <v>57</v>
      </c>
      <c r="C90" s="16">
        <v>0.26279999999999998</v>
      </c>
      <c r="D90" s="16">
        <v>5.45E-2</v>
      </c>
      <c r="E90" s="16">
        <v>0.24490000000000001</v>
      </c>
      <c r="F90" s="16">
        <v>6.5299999999999997E-2</v>
      </c>
      <c r="G90" s="16">
        <v>0.16869999999999999</v>
      </c>
      <c r="H90" s="16">
        <v>0.157</v>
      </c>
      <c r="I90" s="16">
        <v>0.18179999999999999</v>
      </c>
      <c r="J90" s="16">
        <v>7.8399999999999997E-2</v>
      </c>
      <c r="K90" s="16">
        <v>0.1177</v>
      </c>
      <c r="L90" s="16">
        <v>0.16869999999999999</v>
      </c>
      <c r="M90" s="16">
        <v>0.1439</v>
      </c>
      <c r="N90" s="16">
        <v>5.2200000000000003E-2</v>
      </c>
      <c r="O90" s="16">
        <v>0.2014</v>
      </c>
      <c r="P90" s="16">
        <v>0.13730000000000001</v>
      </c>
      <c r="Q90" s="16">
        <v>1.0753999999999999</v>
      </c>
      <c r="R90" s="16">
        <v>0.39879999999999999</v>
      </c>
      <c r="S90" s="16">
        <v>7.9100000000000004E-2</v>
      </c>
      <c r="T90" s="16">
        <v>8.7499999999999994E-2</v>
      </c>
      <c r="U90" s="16">
        <v>0.1308</v>
      </c>
      <c r="V90" s="16">
        <v>2.8500000000000001E-2</v>
      </c>
      <c r="W90" s="16">
        <v>0.22589999999999999</v>
      </c>
      <c r="X90" s="16">
        <v>2.0442999999999998</v>
      </c>
      <c r="Y90" s="16">
        <v>0.51290000000000002</v>
      </c>
      <c r="Z90" s="16">
        <v>0.65169999999999995</v>
      </c>
      <c r="AA90" s="16">
        <v>0.21640000000000001</v>
      </c>
      <c r="AB90" s="16">
        <v>0.44379999999999997</v>
      </c>
      <c r="AC90" s="16">
        <v>0.21229999999999999</v>
      </c>
      <c r="AD90" s="16">
        <v>0.26219999999999999</v>
      </c>
      <c r="AE90" s="16">
        <v>0.14799999999999999</v>
      </c>
      <c r="AF90" s="16">
        <v>0.25380000000000003</v>
      </c>
      <c r="AG90" s="16">
        <v>1.2904</v>
      </c>
      <c r="AH90" s="16">
        <v>0.81210000000000004</v>
      </c>
      <c r="AI90" s="16">
        <v>9.7299999999999998E-2</v>
      </c>
      <c r="AJ90" s="16">
        <v>0.18129999999999999</v>
      </c>
      <c r="AK90" s="16">
        <v>0.15740000000000001</v>
      </c>
      <c r="AL90" s="16">
        <v>7.1800000000000003E-2</v>
      </c>
      <c r="AM90" s="16">
        <v>0.26690000000000003</v>
      </c>
      <c r="AN90" s="16">
        <v>2.5999999999999999E-2</v>
      </c>
      <c r="AO90" s="16">
        <v>0.16470000000000001</v>
      </c>
      <c r="AP90" s="16">
        <v>0.1741</v>
      </c>
      <c r="AQ90" s="16">
        <v>8.4900000000000003E-2</v>
      </c>
      <c r="AR90" s="16">
        <v>0.40539999999999998</v>
      </c>
      <c r="AS90" s="16">
        <v>0.48180000000000001</v>
      </c>
      <c r="AT90" s="16">
        <v>0.4924</v>
      </c>
      <c r="AU90" s="16">
        <v>1.2250000000000001</v>
      </c>
      <c r="AV90" s="16">
        <v>0.28839999999999999</v>
      </c>
      <c r="AW90" s="16">
        <v>0.46750000000000003</v>
      </c>
      <c r="AX90" s="16">
        <v>0.30959999999999999</v>
      </c>
    </row>
    <row r="91" spans="1:50" x14ac:dyDescent="0.25">
      <c r="A91" s="8" t="s">
        <v>124</v>
      </c>
      <c r="B91" s="10" t="s">
        <v>57</v>
      </c>
      <c r="C91" s="16">
        <v>0.1792</v>
      </c>
      <c r="D91" s="16">
        <v>7.8700000000000006E-2</v>
      </c>
      <c r="E91" s="16">
        <v>5.7200000000000001E-2</v>
      </c>
      <c r="F91" s="16">
        <v>0.20080000000000001</v>
      </c>
      <c r="G91" s="16">
        <v>0.05</v>
      </c>
      <c r="H91" s="16">
        <v>0.13619999999999999</v>
      </c>
      <c r="I91" s="16">
        <v>0.12180000000000001</v>
      </c>
      <c r="J91" s="16">
        <v>7.8700000000000006E-2</v>
      </c>
      <c r="K91" s="16">
        <v>0.1792</v>
      </c>
      <c r="L91" s="16">
        <v>0.05</v>
      </c>
      <c r="M91" s="16">
        <v>0.05</v>
      </c>
      <c r="N91" s="16">
        <v>0.20799999999999999</v>
      </c>
      <c r="O91" s="16">
        <v>0.05</v>
      </c>
      <c r="P91" s="16">
        <v>0.16489999999999999</v>
      </c>
      <c r="Q91" s="16">
        <v>0.25530000000000003</v>
      </c>
      <c r="R91" s="16">
        <v>0.2019</v>
      </c>
      <c r="S91" s="16">
        <v>0.52470000000000006</v>
      </c>
      <c r="T91" s="16">
        <v>0.05</v>
      </c>
      <c r="U91" s="16">
        <v>0.2661</v>
      </c>
      <c r="V91" s="16">
        <v>0.245</v>
      </c>
      <c r="W91" s="16">
        <v>0.2019</v>
      </c>
      <c r="X91" s="16">
        <v>0.31680000000000003</v>
      </c>
      <c r="Y91" s="16">
        <v>0.2298</v>
      </c>
      <c r="Z91" s="16">
        <v>0.1235</v>
      </c>
      <c r="AA91" s="16">
        <v>0.31680000000000003</v>
      </c>
      <c r="AB91" s="16">
        <v>0.41739999999999999</v>
      </c>
      <c r="AC91" s="16">
        <v>0.20799999999999999</v>
      </c>
      <c r="AD91" s="16">
        <v>0.05</v>
      </c>
      <c r="AE91" s="16">
        <v>0.16489999999999999</v>
      </c>
      <c r="AF91" s="16">
        <v>9.3100000000000002E-2</v>
      </c>
      <c r="AG91" s="16">
        <v>0.05</v>
      </c>
      <c r="AH91" s="16">
        <v>0.05</v>
      </c>
      <c r="AI91" s="16">
        <v>0.31219999999999998</v>
      </c>
      <c r="AJ91" s="16">
        <v>0.2019</v>
      </c>
      <c r="AK91" s="16">
        <v>0.25209999999999999</v>
      </c>
      <c r="AL91" s="16">
        <v>0.30959999999999999</v>
      </c>
      <c r="AM91" s="16">
        <v>0.25369999999999998</v>
      </c>
      <c r="AN91" s="16">
        <v>0.40010000000000001</v>
      </c>
      <c r="AO91" s="16">
        <v>0.26529999999999998</v>
      </c>
      <c r="AP91" s="16">
        <v>0.50319999999999998</v>
      </c>
      <c r="AQ91" s="16">
        <v>0.25950000000000001</v>
      </c>
      <c r="AR91" s="16">
        <v>0.33760000000000001</v>
      </c>
      <c r="AS91" s="16">
        <v>0.76990000000000003</v>
      </c>
      <c r="AT91" s="16">
        <v>0.41689999999999999</v>
      </c>
      <c r="AU91" s="16">
        <v>0.39939999999999998</v>
      </c>
      <c r="AV91" s="16">
        <v>0.66969999999999996</v>
      </c>
      <c r="AW91" s="16">
        <v>0.05</v>
      </c>
      <c r="AX91" s="16">
        <v>0.05</v>
      </c>
    </row>
    <row r="92" spans="1:50" x14ac:dyDescent="0.25">
      <c r="A92" s="8" t="s">
        <v>126</v>
      </c>
      <c r="B92" s="10" t="s">
        <v>57</v>
      </c>
      <c r="C92" s="16">
        <v>0.22689999999999999</v>
      </c>
      <c r="D92" s="16">
        <v>6.9900000000000004E-2</v>
      </c>
      <c r="E92" s="16">
        <v>0.1484</v>
      </c>
      <c r="F92" s="16">
        <v>0.1484</v>
      </c>
      <c r="G92" s="16">
        <v>6.2E-2</v>
      </c>
      <c r="H92" s="16">
        <v>0.11700000000000001</v>
      </c>
      <c r="I92" s="16">
        <v>0.17979999999999999</v>
      </c>
      <c r="J92" s="16">
        <v>6.2E-2</v>
      </c>
      <c r="K92" s="16">
        <v>0.219</v>
      </c>
      <c r="L92" s="16">
        <v>7.7700000000000005E-2</v>
      </c>
      <c r="M92" s="16">
        <v>0.1719</v>
      </c>
      <c r="N92" s="16">
        <v>0.12479999999999999</v>
      </c>
      <c r="O92" s="16">
        <v>6.2E-2</v>
      </c>
      <c r="P92" s="16">
        <v>0.23469999999999999</v>
      </c>
      <c r="Q92" s="16">
        <v>6.3899999999999998E-2</v>
      </c>
      <c r="R92" s="16">
        <v>0.2155</v>
      </c>
      <c r="S92" s="16">
        <v>0.34399999999999997</v>
      </c>
      <c r="T92" s="16">
        <v>0.33600000000000002</v>
      </c>
      <c r="U92" s="16">
        <v>1.1251</v>
      </c>
      <c r="V92" s="16">
        <v>0.31580000000000003</v>
      </c>
      <c r="W92" s="16">
        <v>0.28999999999999998</v>
      </c>
      <c r="X92" s="16">
        <v>0.11700000000000001</v>
      </c>
      <c r="Y92" s="16">
        <v>0.2185</v>
      </c>
      <c r="Z92" s="16">
        <v>0.52229999999999999</v>
      </c>
      <c r="AA92" s="16">
        <v>2.0402999999999998</v>
      </c>
      <c r="AB92" s="16">
        <v>0.55249999999999999</v>
      </c>
      <c r="AC92" s="16">
        <v>0.39340000000000003</v>
      </c>
      <c r="AD92" s="16">
        <v>0.71040000000000003</v>
      </c>
      <c r="AE92" s="16">
        <v>0.1013</v>
      </c>
      <c r="AF92" s="16">
        <v>0.37490000000000001</v>
      </c>
      <c r="AG92" s="16">
        <v>0.2419</v>
      </c>
      <c r="AH92" s="16">
        <v>0.26450000000000001</v>
      </c>
      <c r="AI92" s="16">
        <v>0.39219999999999999</v>
      </c>
      <c r="AJ92" s="16">
        <v>0.22450000000000001</v>
      </c>
      <c r="AK92" s="16">
        <v>0.24909999999999999</v>
      </c>
      <c r="AL92" s="16">
        <v>0.29409999999999997</v>
      </c>
      <c r="AM92" s="16">
        <v>0.14960000000000001</v>
      </c>
      <c r="AN92" s="16">
        <v>8.5599999999999996E-2</v>
      </c>
      <c r="AO92" s="16">
        <v>0.2112</v>
      </c>
      <c r="AP92" s="16">
        <v>6.2E-2</v>
      </c>
      <c r="AQ92" s="16">
        <v>0.15620000000000001</v>
      </c>
      <c r="AR92" s="16">
        <v>0.14050000000000001</v>
      </c>
      <c r="AS92" s="16">
        <v>6.2E-2</v>
      </c>
      <c r="AT92" s="16">
        <v>0.23469999999999999</v>
      </c>
      <c r="AU92" s="16">
        <v>6.2E-2</v>
      </c>
      <c r="AV92" s="16">
        <v>0.1641</v>
      </c>
      <c r="AW92" s="16">
        <v>0.13270000000000001</v>
      </c>
      <c r="AX92" s="16">
        <v>6.2E-2</v>
      </c>
    </row>
    <row r="93" spans="1:50" x14ac:dyDescent="0.25">
      <c r="A93" s="17" t="s">
        <v>271</v>
      </c>
      <c r="B93" s="13" t="s">
        <v>168</v>
      </c>
      <c r="C93" s="18">
        <v>8.8599999999999998E-2</v>
      </c>
      <c r="D93" s="18">
        <v>8.0299999999999996E-2</v>
      </c>
      <c r="E93" s="18">
        <v>8.0299999999999996E-2</v>
      </c>
      <c r="F93" s="18">
        <v>0.10100000000000001</v>
      </c>
      <c r="G93" s="18">
        <v>5.96E-2</v>
      </c>
      <c r="H93" s="18">
        <v>4.2999999999999997E-2</v>
      </c>
      <c r="I93" s="18">
        <v>4.2999999999999997E-2</v>
      </c>
      <c r="J93" s="18">
        <v>0.1176</v>
      </c>
      <c r="K93" s="18">
        <v>4.2999999999999997E-2</v>
      </c>
      <c r="L93" s="18">
        <v>4.2999999999999997E-2</v>
      </c>
      <c r="M93" s="18">
        <v>0.1176</v>
      </c>
      <c r="N93" s="18">
        <v>4.2999999999999997E-2</v>
      </c>
      <c r="O93" s="18">
        <v>9.2700000000000005E-2</v>
      </c>
      <c r="P93" s="18">
        <v>6.7900000000000002E-2</v>
      </c>
      <c r="Q93" s="18">
        <v>4.2999999999999997E-2</v>
      </c>
      <c r="R93" s="18">
        <v>4.2999999999999997E-2</v>
      </c>
      <c r="S93" s="18">
        <v>0.24160000000000001</v>
      </c>
      <c r="T93" s="18">
        <v>0.20419999999999999</v>
      </c>
      <c r="U93" s="18">
        <v>0.22689999999999999</v>
      </c>
      <c r="V93" s="18">
        <v>0.32140000000000002</v>
      </c>
      <c r="W93" s="18">
        <v>6.3700000000000007E-2</v>
      </c>
      <c r="X93" s="18">
        <v>9.69E-2</v>
      </c>
      <c r="Y93" s="18">
        <v>4.2999999999999997E-2</v>
      </c>
      <c r="Z93" s="18">
        <v>4.2999999999999997E-2</v>
      </c>
      <c r="AA93" s="18">
        <v>4.2999999999999997E-2</v>
      </c>
      <c r="AB93" s="18">
        <v>0.1176</v>
      </c>
      <c r="AC93" s="18">
        <v>6.5699999999999995E-2</v>
      </c>
      <c r="AD93" s="18">
        <v>4.2999999999999997E-2</v>
      </c>
      <c r="AE93" s="18">
        <v>0.1176</v>
      </c>
      <c r="AF93" s="18">
        <v>4.2999999999999997E-2</v>
      </c>
      <c r="AG93" s="18">
        <v>8.4400000000000003E-2</v>
      </c>
      <c r="AH93" s="18">
        <v>7.6100000000000001E-2</v>
      </c>
      <c r="AI93" s="18">
        <v>4.2999999999999997E-2</v>
      </c>
      <c r="AJ93" s="18">
        <v>4.2999999999999997E-2</v>
      </c>
      <c r="AK93" s="18">
        <v>4.7100000000000003E-2</v>
      </c>
      <c r="AL93" s="18">
        <v>0.29730000000000001</v>
      </c>
      <c r="AM93" s="18">
        <v>0.2545</v>
      </c>
      <c r="AN93" s="18">
        <v>0.16059999999999999</v>
      </c>
      <c r="AO93" s="18">
        <v>0.24929999999999999</v>
      </c>
      <c r="AP93" s="18">
        <v>0.24690000000000001</v>
      </c>
      <c r="AQ93" s="18">
        <v>0.41189999999999999</v>
      </c>
      <c r="AR93" s="18">
        <v>0.40429999999999999</v>
      </c>
      <c r="AS93" s="18">
        <v>0.42130000000000001</v>
      </c>
      <c r="AT93" s="18">
        <v>0.503</v>
      </c>
      <c r="AU93" s="18">
        <v>0.65769999999999995</v>
      </c>
      <c r="AV93" s="18">
        <v>0.51219999999999999</v>
      </c>
      <c r="AW93" s="18">
        <v>0.34499999999999997</v>
      </c>
      <c r="AX93" s="18">
        <v>0.28870000000000001</v>
      </c>
    </row>
    <row r="94" spans="1:50" x14ac:dyDescent="0.25">
      <c r="A94" s="8" t="s">
        <v>128</v>
      </c>
      <c r="B94" s="10" t="s">
        <v>57</v>
      </c>
      <c r="C94" s="16">
        <v>0.11899999999999999</v>
      </c>
      <c r="D94" s="16">
        <v>0.1351</v>
      </c>
      <c r="E94" s="16">
        <v>3.9E-2</v>
      </c>
      <c r="F94" s="16">
        <v>0.19109999999999999</v>
      </c>
      <c r="G94" s="16">
        <v>6.3E-2</v>
      </c>
      <c r="H94" s="16">
        <v>3.9E-2</v>
      </c>
      <c r="I94" s="16">
        <v>0.12709999999999999</v>
      </c>
      <c r="J94" s="16">
        <v>0.12709999999999999</v>
      </c>
      <c r="K94" s="16">
        <v>3.9E-2</v>
      </c>
      <c r="L94" s="16">
        <v>0.21510000000000001</v>
      </c>
      <c r="M94" s="16">
        <v>3.9E-2</v>
      </c>
      <c r="N94" s="16">
        <v>6.3E-2</v>
      </c>
      <c r="O94" s="16">
        <v>0.19109999999999999</v>
      </c>
      <c r="P94" s="16">
        <v>3.9E-2</v>
      </c>
      <c r="Q94" s="16">
        <v>0.1671</v>
      </c>
      <c r="R94" s="16">
        <v>8.6999999999999994E-2</v>
      </c>
      <c r="S94" s="16">
        <v>3.9E-2</v>
      </c>
      <c r="T94" s="16">
        <v>3.9E-2</v>
      </c>
      <c r="U94" s="16">
        <v>0.14480000000000001</v>
      </c>
      <c r="V94" s="16">
        <v>1.0932999999999999</v>
      </c>
      <c r="W94" s="16">
        <v>0.1137</v>
      </c>
      <c r="X94" s="16">
        <v>0.38790000000000002</v>
      </c>
      <c r="Y94" s="16">
        <v>0.45479999999999998</v>
      </c>
      <c r="Z94" s="16">
        <v>0.2218</v>
      </c>
      <c r="AA94" s="16">
        <v>0.52449999999999997</v>
      </c>
      <c r="AB94" s="16">
        <v>0.35399999999999998</v>
      </c>
      <c r="AC94" s="16">
        <v>4.5499999999999999E-2</v>
      </c>
      <c r="AD94" s="16">
        <v>4.0300000000000002E-2</v>
      </c>
      <c r="AE94" s="16">
        <v>0.33839999999999998</v>
      </c>
      <c r="AF94" s="16">
        <v>0.1439</v>
      </c>
      <c r="AG94" s="16">
        <v>0.12709999999999999</v>
      </c>
      <c r="AH94" s="16">
        <v>0.12709999999999999</v>
      </c>
      <c r="AI94" s="16">
        <v>4.3499999999999997E-2</v>
      </c>
      <c r="AJ94" s="16">
        <v>5.4100000000000002E-2</v>
      </c>
      <c r="AK94" s="16">
        <v>2.238</v>
      </c>
      <c r="AL94" s="16">
        <v>3.9897999999999998</v>
      </c>
      <c r="AM94" s="16">
        <v>0.79479999999999995</v>
      </c>
      <c r="AN94" s="16">
        <v>0.1431</v>
      </c>
      <c r="AO94" s="16">
        <v>3.9E-2</v>
      </c>
      <c r="AP94" s="16">
        <v>0.21510000000000001</v>
      </c>
      <c r="AQ94" s="16">
        <v>3.9E-2</v>
      </c>
      <c r="AR94" s="16">
        <v>3.9E-2</v>
      </c>
      <c r="AS94" s="16">
        <v>8.6999999999999994E-2</v>
      </c>
      <c r="AT94" s="16">
        <v>0.1671</v>
      </c>
      <c r="AU94" s="16">
        <v>3.9E-2</v>
      </c>
      <c r="AV94" s="16">
        <v>3.9E-2</v>
      </c>
      <c r="AW94" s="16">
        <v>7.9000000000000001E-2</v>
      </c>
      <c r="AX94" s="16">
        <v>0.17510000000000001</v>
      </c>
    </row>
    <row r="95" spans="1:50" x14ac:dyDescent="0.25">
      <c r="A95" s="8" t="s">
        <v>130</v>
      </c>
      <c r="B95" s="10" t="s">
        <v>57</v>
      </c>
      <c r="C95" s="16">
        <v>4.7E-2</v>
      </c>
      <c r="D95" s="16">
        <v>0.23419999999999999</v>
      </c>
      <c r="E95" s="16">
        <v>5.5899999999999998E-2</v>
      </c>
      <c r="F95" s="16">
        <v>0.12720000000000001</v>
      </c>
      <c r="G95" s="16">
        <v>0.16289999999999999</v>
      </c>
      <c r="H95" s="16">
        <v>4.7E-2</v>
      </c>
      <c r="I95" s="16">
        <v>0.24310000000000001</v>
      </c>
      <c r="J95" s="16">
        <v>4.7E-2</v>
      </c>
      <c r="K95" s="16">
        <v>4.7E-2</v>
      </c>
      <c r="L95" s="16">
        <v>0.24310000000000001</v>
      </c>
      <c r="M95" s="16">
        <v>0.1201</v>
      </c>
      <c r="N95" s="16">
        <v>0.1094</v>
      </c>
      <c r="O95" s="16">
        <v>0.1807</v>
      </c>
      <c r="P95" s="16">
        <v>4.7E-2</v>
      </c>
      <c r="Q95" s="16">
        <v>4.7E-2</v>
      </c>
      <c r="R95" s="16">
        <v>0.19850000000000001</v>
      </c>
      <c r="S95" s="16">
        <v>9.1600000000000001E-2</v>
      </c>
      <c r="T95" s="16">
        <v>4.7E-2</v>
      </c>
      <c r="U95" s="16">
        <v>0.18959999999999999</v>
      </c>
      <c r="V95" s="16">
        <v>0.10050000000000001</v>
      </c>
      <c r="W95" s="16">
        <v>8.4599999999999995E-2</v>
      </c>
      <c r="X95" s="16">
        <v>4.7E-2</v>
      </c>
      <c r="Y95" s="16">
        <v>0.14610000000000001</v>
      </c>
      <c r="Z95" s="16">
        <v>0.153</v>
      </c>
      <c r="AA95" s="16">
        <v>0.107</v>
      </c>
      <c r="AB95" s="16">
        <v>0.2346</v>
      </c>
      <c r="AC95" s="16">
        <v>0.2792</v>
      </c>
      <c r="AD95" s="16">
        <v>0.12720000000000001</v>
      </c>
      <c r="AE95" s="16">
        <v>0.3574</v>
      </c>
      <c r="AF95" s="16">
        <v>6.9699999999999998E-2</v>
      </c>
      <c r="AG95" s="16">
        <v>1.5125</v>
      </c>
      <c r="AH95" s="16">
        <v>0.53359999999999996</v>
      </c>
      <c r="AI95" s="16">
        <v>0.31419999999999998</v>
      </c>
      <c r="AJ95" s="16">
        <v>0.29409999999999997</v>
      </c>
      <c r="AK95" s="16">
        <v>0.37890000000000001</v>
      </c>
      <c r="AL95" s="16">
        <v>0.13089999999999999</v>
      </c>
      <c r="AM95" s="16">
        <v>0.50819999999999999</v>
      </c>
      <c r="AN95" s="16">
        <v>0.14330000000000001</v>
      </c>
      <c r="AO95" s="16">
        <v>0.31390000000000001</v>
      </c>
      <c r="AP95" s="16">
        <v>0.26290000000000002</v>
      </c>
      <c r="AQ95" s="16">
        <v>0.999</v>
      </c>
      <c r="AR95" s="16">
        <v>0.7833</v>
      </c>
      <c r="AS95" s="16">
        <v>0.6331</v>
      </c>
      <c r="AT95" s="16">
        <v>0.79959999999999998</v>
      </c>
      <c r="AU95" s="16">
        <v>0.52059999999999995</v>
      </c>
      <c r="AV95" s="16">
        <v>0.85299999999999998</v>
      </c>
      <c r="AW95" s="16">
        <v>0.56340000000000001</v>
      </c>
      <c r="AX95" s="16">
        <v>4.7E-2</v>
      </c>
    </row>
    <row r="96" spans="1:50" x14ac:dyDescent="0.25">
      <c r="A96" s="17" t="s">
        <v>273</v>
      </c>
      <c r="B96" s="13" t="s">
        <v>168</v>
      </c>
      <c r="C96" s="18">
        <v>0.40060000000000001</v>
      </c>
      <c r="D96" s="18">
        <v>9.11E-2</v>
      </c>
      <c r="E96" s="18">
        <v>0.25390000000000001</v>
      </c>
      <c r="F96" s="18">
        <v>3.5999999999999997E-2</v>
      </c>
      <c r="G96" s="18">
        <v>0.24660000000000001</v>
      </c>
      <c r="H96" s="18">
        <v>6.4299999999999996E-2</v>
      </c>
      <c r="I96" s="18">
        <v>0.1479</v>
      </c>
      <c r="J96" s="18">
        <v>0.16300000000000001</v>
      </c>
      <c r="K96" s="18">
        <v>6.4000000000000001E-2</v>
      </c>
      <c r="L96" s="18">
        <v>0.2092</v>
      </c>
      <c r="M96" s="18">
        <v>7.3800000000000004E-2</v>
      </c>
      <c r="N96" s="18">
        <v>3.5999999999999997E-2</v>
      </c>
      <c r="O96" s="18">
        <v>0.18990000000000001</v>
      </c>
      <c r="P96" s="18">
        <v>0.121</v>
      </c>
      <c r="Q96" s="18">
        <v>6.1899999999999997E-2</v>
      </c>
      <c r="R96" s="18">
        <v>0.30669999999999997</v>
      </c>
      <c r="S96" s="18">
        <v>7.6700000000000004E-2</v>
      </c>
      <c r="T96" s="18">
        <v>0.12820000000000001</v>
      </c>
      <c r="U96" s="18">
        <v>0.20430000000000001</v>
      </c>
      <c r="V96" s="18">
        <v>0.21909999999999999</v>
      </c>
      <c r="W96" s="18">
        <v>6.4000000000000001E-2</v>
      </c>
      <c r="X96" s="18">
        <v>0.24990000000000001</v>
      </c>
      <c r="Y96" s="18">
        <v>3.5999999999999997E-2</v>
      </c>
      <c r="Z96" s="18">
        <v>3.9899999999999998E-2</v>
      </c>
      <c r="AA96" s="18">
        <v>0.16259999999999999</v>
      </c>
      <c r="AB96" s="18">
        <v>0.13850000000000001</v>
      </c>
      <c r="AC96" s="18">
        <v>0.4859</v>
      </c>
      <c r="AD96" s="18">
        <v>0.3705</v>
      </c>
      <c r="AE96" s="18">
        <v>0.25679999999999997</v>
      </c>
      <c r="AF96" s="18">
        <v>0.33450000000000002</v>
      </c>
      <c r="AG96" s="18">
        <v>0.19120000000000001</v>
      </c>
      <c r="AH96" s="18">
        <v>0.2059</v>
      </c>
      <c r="AI96" s="18">
        <v>0.44450000000000001</v>
      </c>
      <c r="AJ96" s="18">
        <v>0.2387</v>
      </c>
      <c r="AK96" s="18">
        <v>0.49640000000000001</v>
      </c>
      <c r="AL96" s="18">
        <v>0.37080000000000002</v>
      </c>
      <c r="AM96" s="18">
        <v>0.15609999999999999</v>
      </c>
      <c r="AN96" s="18">
        <v>0.33860000000000001</v>
      </c>
      <c r="AO96" s="18">
        <v>0.1303</v>
      </c>
      <c r="AP96" s="18">
        <v>0.36270000000000002</v>
      </c>
      <c r="AQ96" s="18">
        <v>0.43430000000000002</v>
      </c>
      <c r="AR96" s="18">
        <v>0.77270000000000005</v>
      </c>
      <c r="AS96" s="18">
        <v>0.57240000000000002</v>
      </c>
      <c r="AT96" s="18">
        <v>0.49840000000000001</v>
      </c>
      <c r="AU96" s="18">
        <v>0.50949999999999995</v>
      </c>
      <c r="AV96" s="18">
        <v>0.20830000000000001</v>
      </c>
      <c r="AW96" s="18">
        <v>0.1444</v>
      </c>
      <c r="AX96" s="18">
        <v>0.27489999999999998</v>
      </c>
    </row>
    <row r="97" spans="1:50" x14ac:dyDescent="0.25">
      <c r="A97" s="8" t="s">
        <v>132</v>
      </c>
      <c r="B97" s="10" t="s">
        <v>57</v>
      </c>
      <c r="C97" s="16">
        <v>0.12640000000000001</v>
      </c>
      <c r="D97" s="16">
        <v>0.12640000000000001</v>
      </c>
      <c r="E97" s="16">
        <v>4.3999999999999997E-2</v>
      </c>
      <c r="F97" s="16">
        <v>5.1499999999999997E-2</v>
      </c>
      <c r="G97" s="16">
        <v>0.20130000000000001</v>
      </c>
      <c r="H97" s="16">
        <v>4.3999999999999997E-2</v>
      </c>
      <c r="I97" s="16">
        <v>8.8999999999999996E-2</v>
      </c>
      <c r="J97" s="16">
        <v>0.16389999999999999</v>
      </c>
      <c r="K97" s="16">
        <v>4.3999999999999997E-2</v>
      </c>
      <c r="L97" s="16">
        <v>0.20880000000000001</v>
      </c>
      <c r="M97" s="16">
        <v>4.3999999999999997E-2</v>
      </c>
      <c r="N97" s="16">
        <v>8.1500000000000003E-2</v>
      </c>
      <c r="O97" s="16">
        <v>0.1714</v>
      </c>
      <c r="P97" s="16">
        <v>4.3999999999999997E-2</v>
      </c>
      <c r="Q97" s="16">
        <v>0.20880000000000001</v>
      </c>
      <c r="R97" s="16">
        <v>9.2100000000000001E-2</v>
      </c>
      <c r="S97" s="16">
        <v>0.9597</v>
      </c>
      <c r="T97" s="16">
        <v>0.20619999999999999</v>
      </c>
      <c r="U97" s="16">
        <v>0.2162</v>
      </c>
      <c r="V97" s="16">
        <v>0.78559999999999997</v>
      </c>
      <c r="W97" s="16">
        <v>0.21110000000000001</v>
      </c>
      <c r="X97" s="16">
        <v>0.28399999999999997</v>
      </c>
      <c r="Y97" s="16">
        <v>0.28870000000000001</v>
      </c>
      <c r="Z97" s="16">
        <v>0.2167</v>
      </c>
      <c r="AA97" s="16">
        <v>0.47520000000000001</v>
      </c>
      <c r="AB97" s="16">
        <v>0.34060000000000001</v>
      </c>
      <c r="AC97" s="16">
        <v>0.26440000000000002</v>
      </c>
      <c r="AD97" s="16">
        <v>0.20080000000000001</v>
      </c>
      <c r="AE97" s="16">
        <v>2.0375000000000001</v>
      </c>
      <c r="AF97" s="16">
        <v>2.4803999999999999</v>
      </c>
      <c r="AG97" s="16">
        <v>2.2993000000000001</v>
      </c>
      <c r="AH97" s="16">
        <v>0.45660000000000001</v>
      </c>
      <c r="AI97" s="16">
        <v>8.8999999999999996E-2</v>
      </c>
      <c r="AJ97" s="16">
        <v>4.3999999999999997E-2</v>
      </c>
      <c r="AK97" s="16">
        <v>0.4718</v>
      </c>
      <c r="AL97" s="16">
        <v>0.23280000000000001</v>
      </c>
      <c r="AM97" s="16">
        <v>0.26040000000000002</v>
      </c>
      <c r="AN97" s="16">
        <v>0.3468</v>
      </c>
      <c r="AO97" s="16">
        <v>9.6199999999999994E-2</v>
      </c>
      <c r="AP97" s="16">
        <v>0.46810000000000002</v>
      </c>
      <c r="AQ97" s="16">
        <v>0.53400000000000003</v>
      </c>
      <c r="AR97" s="16">
        <v>0.94510000000000005</v>
      </c>
      <c r="AS97" s="16">
        <v>0.65339999999999998</v>
      </c>
      <c r="AT97" s="16">
        <v>0.54490000000000005</v>
      </c>
      <c r="AU97" s="16">
        <v>0.7026</v>
      </c>
      <c r="AV97" s="16">
        <v>0.61370000000000002</v>
      </c>
      <c r="AW97" s="16">
        <v>0.2394</v>
      </c>
      <c r="AX97" s="16">
        <v>0.20880000000000001</v>
      </c>
    </row>
    <row r="98" spans="1:50" x14ac:dyDescent="0.25">
      <c r="A98" s="8" t="s">
        <v>134</v>
      </c>
      <c r="B98" s="10" t="s">
        <v>57</v>
      </c>
      <c r="C98" s="16">
        <v>0.1694</v>
      </c>
      <c r="D98" s="16">
        <v>7.2999999999999995E-2</v>
      </c>
      <c r="E98" s="16">
        <v>0.24329999999999999</v>
      </c>
      <c r="F98" s="16">
        <v>0.14610000000000001</v>
      </c>
      <c r="G98" s="16">
        <v>6.1600000000000002E-2</v>
      </c>
      <c r="H98" s="16">
        <v>0.32769999999999999</v>
      </c>
      <c r="I98" s="16">
        <v>5.2999999999999999E-2</v>
      </c>
      <c r="J98" s="16">
        <v>0.2346</v>
      </c>
      <c r="K98" s="16">
        <v>6.1600000000000002E-2</v>
      </c>
      <c r="L98" s="16">
        <v>9.2899999999999996E-2</v>
      </c>
      <c r="M98" s="16">
        <v>0.27050000000000002</v>
      </c>
      <c r="N98" s="16">
        <v>7.8899999999999998E-2</v>
      </c>
      <c r="O98" s="16">
        <v>0.14610000000000001</v>
      </c>
      <c r="P98" s="16">
        <v>0.24329999999999999</v>
      </c>
      <c r="Q98" s="16">
        <v>9.2899999999999996E-2</v>
      </c>
      <c r="R98" s="16">
        <v>0.26190000000000002</v>
      </c>
      <c r="S98" s="16">
        <v>8.7599999999999997E-2</v>
      </c>
      <c r="T98" s="16">
        <v>8.6199999999999999E-2</v>
      </c>
      <c r="U98" s="16">
        <v>0.1129</v>
      </c>
      <c r="V98" s="16">
        <v>5.2999999999999999E-2</v>
      </c>
      <c r="W98" s="16">
        <v>0.34789999999999999</v>
      </c>
      <c r="X98" s="16">
        <v>0.45250000000000001</v>
      </c>
      <c r="Y98" s="16">
        <v>8.5000000000000006E-2</v>
      </c>
      <c r="Z98" s="16">
        <v>0.1777</v>
      </c>
      <c r="AA98" s="16">
        <v>0.25640000000000002</v>
      </c>
      <c r="AB98" s="16">
        <v>0.1172</v>
      </c>
      <c r="AC98" s="16">
        <v>0.25159999999999999</v>
      </c>
      <c r="AD98" s="16">
        <v>0.25940000000000002</v>
      </c>
      <c r="AE98" s="16">
        <v>6.3500000000000001E-2</v>
      </c>
      <c r="AF98" s="16">
        <v>0.31640000000000001</v>
      </c>
      <c r="AG98" s="16">
        <v>7.2999999999999995E-2</v>
      </c>
      <c r="AH98" s="16">
        <v>0.1135</v>
      </c>
      <c r="AI98" s="16">
        <v>0.27579999999999999</v>
      </c>
      <c r="AJ98" s="16">
        <v>5.2999999999999999E-2</v>
      </c>
      <c r="AK98" s="16">
        <v>0.2346</v>
      </c>
      <c r="AL98" s="16">
        <v>0.1547</v>
      </c>
      <c r="AM98" s="16">
        <v>0.1308</v>
      </c>
      <c r="AN98" s="16">
        <v>0.16539999999999999</v>
      </c>
      <c r="AO98" s="16">
        <v>0.253</v>
      </c>
      <c r="AP98" s="16">
        <v>0.36730000000000002</v>
      </c>
      <c r="AQ98" s="16">
        <v>0.21079999999999999</v>
      </c>
      <c r="AR98" s="16">
        <v>0.29020000000000001</v>
      </c>
      <c r="AS98" s="16">
        <v>0.28520000000000001</v>
      </c>
      <c r="AT98" s="16">
        <v>0.2442</v>
      </c>
      <c r="AU98" s="16">
        <v>0.38490000000000002</v>
      </c>
      <c r="AV98" s="16">
        <v>0.23369999999999999</v>
      </c>
      <c r="AW98" s="16">
        <v>0.50339999999999996</v>
      </c>
      <c r="AX98" s="16">
        <v>0.56489999999999996</v>
      </c>
    </row>
    <row r="99" spans="1:50" x14ac:dyDescent="0.25">
      <c r="A99" s="8" t="s">
        <v>136</v>
      </c>
      <c r="B99" s="10" t="s">
        <v>57</v>
      </c>
      <c r="C99" s="16">
        <v>0.12330000000000001</v>
      </c>
      <c r="D99" s="16">
        <v>0.2319</v>
      </c>
      <c r="E99" s="16">
        <v>5.6099999999999997E-2</v>
      </c>
      <c r="F99" s="16">
        <v>0.11260000000000001</v>
      </c>
      <c r="G99" s="16">
        <v>4.8000000000000001E-2</v>
      </c>
      <c r="H99" s="16">
        <v>0.25879999999999997</v>
      </c>
      <c r="I99" s="16">
        <v>0.1045</v>
      </c>
      <c r="J99" s="16">
        <v>6.9400000000000003E-2</v>
      </c>
      <c r="K99" s="16">
        <v>0.2092</v>
      </c>
      <c r="L99" s="16">
        <v>0.06</v>
      </c>
      <c r="M99" s="16">
        <v>9.3899999999999997E-2</v>
      </c>
      <c r="N99" s="16">
        <v>0.26939999999999997</v>
      </c>
      <c r="O99" s="16">
        <v>4.8000000000000001E-2</v>
      </c>
      <c r="P99" s="16">
        <v>0.1741</v>
      </c>
      <c r="Q99" s="16">
        <v>0.15490000000000001</v>
      </c>
      <c r="R99" s="16">
        <v>0.1236</v>
      </c>
      <c r="S99" s="16">
        <v>0.3967</v>
      </c>
      <c r="T99" s="16">
        <v>1.4682999999999999</v>
      </c>
      <c r="U99" s="16">
        <v>1.0002</v>
      </c>
      <c r="V99" s="16">
        <v>1.1176999999999999</v>
      </c>
      <c r="W99" s="16">
        <v>0.17419999999999999</v>
      </c>
      <c r="X99" s="16">
        <v>5.3400000000000003E-2</v>
      </c>
      <c r="Y99" s="16">
        <v>0.06</v>
      </c>
      <c r="Z99" s="16">
        <v>0.498</v>
      </c>
      <c r="AA99" s="16">
        <v>4.8000000000000001E-2</v>
      </c>
      <c r="AB99" s="16">
        <v>0.17469999999999999</v>
      </c>
      <c r="AC99" s="16">
        <v>0.21929999999999999</v>
      </c>
      <c r="AD99" s="16">
        <v>7.3599999999999999E-2</v>
      </c>
      <c r="AE99" s="16">
        <v>0.24030000000000001</v>
      </c>
      <c r="AF99" s="16">
        <v>0.123</v>
      </c>
      <c r="AG99" s="16">
        <v>0.15659999999999999</v>
      </c>
      <c r="AH99" s="16">
        <v>0.40039999999999998</v>
      </c>
      <c r="AI99" s="16">
        <v>0.1103</v>
      </c>
      <c r="AJ99" s="16">
        <v>0.1678</v>
      </c>
      <c r="AK99" s="16">
        <v>7.2999999999999995E-2</v>
      </c>
      <c r="AL99" s="16">
        <v>0.30919999999999997</v>
      </c>
      <c r="AM99" s="16">
        <v>0.36780000000000002</v>
      </c>
      <c r="AN99" s="16">
        <v>0.34250000000000003</v>
      </c>
      <c r="AO99" s="16">
        <v>0.14030000000000001</v>
      </c>
      <c r="AP99" s="16">
        <v>0.36180000000000001</v>
      </c>
      <c r="AQ99" s="16">
        <v>1.7030000000000001</v>
      </c>
      <c r="AR99" s="16">
        <v>1.8987000000000001</v>
      </c>
      <c r="AS99" s="16">
        <v>0.88800000000000001</v>
      </c>
      <c r="AT99" s="16">
        <v>0.24030000000000001</v>
      </c>
      <c r="AU99" s="16">
        <v>6.4199999999999993E-2</v>
      </c>
      <c r="AV99" s="16">
        <v>0.5544</v>
      </c>
      <c r="AW99" s="16">
        <v>0.22989999999999999</v>
      </c>
      <c r="AX99" s="16">
        <v>0.29530000000000001</v>
      </c>
    </row>
    <row r="100" spans="1:50" x14ac:dyDescent="0.25">
      <c r="A100" s="8" t="s">
        <v>138</v>
      </c>
      <c r="B100" s="10" t="s">
        <v>57</v>
      </c>
      <c r="C100" s="16">
        <v>8.9800000000000005E-2</v>
      </c>
      <c r="D100" s="16">
        <v>0.19839999999999999</v>
      </c>
      <c r="E100" s="16">
        <v>0.04</v>
      </c>
      <c r="F100" s="16">
        <v>0.113</v>
      </c>
      <c r="G100" s="16">
        <v>0.16189999999999999</v>
      </c>
      <c r="H100" s="16">
        <v>0.04</v>
      </c>
      <c r="I100" s="16">
        <v>8.8700000000000001E-2</v>
      </c>
      <c r="J100" s="16">
        <v>0.1862</v>
      </c>
      <c r="K100" s="16">
        <v>7.6499999999999999E-2</v>
      </c>
      <c r="L100" s="16">
        <v>7.6499999999999999E-2</v>
      </c>
      <c r="M100" s="16">
        <v>0.16189999999999999</v>
      </c>
      <c r="N100" s="16">
        <v>0.113</v>
      </c>
      <c r="O100" s="16">
        <v>0.1231</v>
      </c>
      <c r="P100" s="16">
        <v>0.15179999999999999</v>
      </c>
      <c r="Q100" s="16">
        <v>0.27210000000000001</v>
      </c>
      <c r="R100" s="16">
        <v>0.1784</v>
      </c>
      <c r="S100" s="16">
        <v>6.0199999999999997E-2</v>
      </c>
      <c r="T100" s="16">
        <v>9.5399999999999999E-2</v>
      </c>
      <c r="U100" s="16">
        <v>0.18429999999999999</v>
      </c>
      <c r="V100" s="16">
        <v>0.04</v>
      </c>
      <c r="W100" s="16">
        <v>0.16189999999999999</v>
      </c>
      <c r="X100" s="16">
        <v>0.49009999999999998</v>
      </c>
      <c r="Y100" s="16">
        <v>1.5345</v>
      </c>
      <c r="Z100" s="16">
        <v>0.1023</v>
      </c>
      <c r="AA100" s="16">
        <v>7.6499999999999999E-2</v>
      </c>
      <c r="AB100" s="16">
        <v>0.26650000000000001</v>
      </c>
      <c r="AC100" s="16">
        <v>9.2700000000000005E-2</v>
      </c>
      <c r="AD100" s="16">
        <v>0.14949999999999999</v>
      </c>
      <c r="AE100" s="16">
        <v>1.385</v>
      </c>
      <c r="AF100" s="16">
        <v>1.1642999999999999</v>
      </c>
      <c r="AG100" s="16">
        <v>1.206</v>
      </c>
      <c r="AH100" s="16">
        <v>0.22800000000000001</v>
      </c>
      <c r="AI100" s="16">
        <v>5.1900000000000002E-2</v>
      </c>
      <c r="AJ100" s="16">
        <v>0.17469999999999999</v>
      </c>
      <c r="AK100" s="16">
        <v>1.028</v>
      </c>
      <c r="AL100" s="16">
        <v>0.86180000000000001</v>
      </c>
      <c r="AM100" s="16">
        <v>0.1532</v>
      </c>
      <c r="AN100" s="16">
        <v>0.51690000000000003</v>
      </c>
      <c r="AO100" s="16">
        <v>0.04</v>
      </c>
      <c r="AP100" s="16">
        <v>0.113</v>
      </c>
      <c r="AQ100" s="16">
        <v>0.13969999999999999</v>
      </c>
      <c r="AR100" s="16">
        <v>6.2199999999999998E-2</v>
      </c>
      <c r="AS100" s="16">
        <v>0.04</v>
      </c>
      <c r="AT100" s="16">
        <v>0.2349</v>
      </c>
      <c r="AU100" s="16">
        <v>0.04</v>
      </c>
      <c r="AV100" s="16">
        <v>0.1231</v>
      </c>
      <c r="AW100" s="16">
        <v>0.1396</v>
      </c>
      <c r="AX100" s="16">
        <v>5.2200000000000003E-2</v>
      </c>
    </row>
    <row r="101" spans="1:50" x14ac:dyDescent="0.25">
      <c r="A101" s="8" t="s">
        <v>140</v>
      </c>
      <c r="B101" s="10" t="s">
        <v>57</v>
      </c>
      <c r="C101" s="16">
        <v>7.7799999999999994E-2</v>
      </c>
      <c r="D101" s="16">
        <v>0.12280000000000001</v>
      </c>
      <c r="E101" s="16">
        <v>5.0999999999999997E-2</v>
      </c>
      <c r="F101" s="16">
        <v>0.23119999999999999</v>
      </c>
      <c r="G101" s="16">
        <v>8.8700000000000001E-2</v>
      </c>
      <c r="H101" s="16">
        <v>5.0999999999999997E-2</v>
      </c>
      <c r="I101" s="16">
        <v>0.18959999999999999</v>
      </c>
      <c r="J101" s="16">
        <v>0.13020000000000001</v>
      </c>
      <c r="K101" s="16">
        <v>8.5199999999999998E-2</v>
      </c>
      <c r="L101" s="16">
        <v>0.23469999999999999</v>
      </c>
      <c r="M101" s="16">
        <v>5.0999999999999997E-2</v>
      </c>
      <c r="N101" s="16">
        <v>0.11260000000000001</v>
      </c>
      <c r="O101" s="16">
        <v>0.20730000000000001</v>
      </c>
      <c r="P101" s="16">
        <v>0.1177</v>
      </c>
      <c r="Q101" s="16">
        <v>7.6700000000000004E-2</v>
      </c>
      <c r="R101" s="16">
        <v>0.17649999999999999</v>
      </c>
      <c r="S101" s="16">
        <v>0.14330000000000001</v>
      </c>
      <c r="T101" s="16">
        <v>0.17030000000000001</v>
      </c>
      <c r="U101" s="16">
        <v>5.7299999999999997E-2</v>
      </c>
      <c r="V101" s="16">
        <v>0.25629999999999997</v>
      </c>
      <c r="W101" s="16">
        <v>6.3600000000000004E-2</v>
      </c>
      <c r="X101" s="16">
        <v>9.7199999999999995E-2</v>
      </c>
      <c r="Y101" s="16">
        <v>0.1537</v>
      </c>
      <c r="Z101" s="16">
        <v>0.1201</v>
      </c>
      <c r="AA101" s="16">
        <v>5.0999999999999997E-2</v>
      </c>
      <c r="AB101" s="16">
        <v>0.27460000000000001</v>
      </c>
      <c r="AC101" s="16">
        <v>0.12330000000000001</v>
      </c>
      <c r="AD101" s="16">
        <v>0.25119999999999998</v>
      </c>
      <c r="AE101" s="16">
        <v>0.18340000000000001</v>
      </c>
      <c r="AF101" s="16">
        <v>0.153</v>
      </c>
      <c r="AG101" s="16">
        <v>0.11169999999999999</v>
      </c>
      <c r="AH101" s="16">
        <v>0.17499999999999999</v>
      </c>
      <c r="AI101" s="16">
        <v>5.0999999999999997E-2</v>
      </c>
      <c r="AJ101" s="16">
        <v>0.2586</v>
      </c>
      <c r="AK101" s="16">
        <v>6.13E-2</v>
      </c>
      <c r="AL101" s="16">
        <v>0.1138</v>
      </c>
      <c r="AM101" s="16">
        <v>0.1696</v>
      </c>
      <c r="AN101" s="16">
        <v>0.193</v>
      </c>
      <c r="AO101" s="16">
        <v>0.40749999999999997</v>
      </c>
      <c r="AP101" s="16">
        <v>0.30680000000000002</v>
      </c>
      <c r="AQ101" s="16">
        <v>0.28100000000000003</v>
      </c>
      <c r="AR101" s="16">
        <v>7.1499999999999994E-2</v>
      </c>
      <c r="AS101" s="16">
        <v>0.17030000000000001</v>
      </c>
      <c r="AT101" s="16">
        <v>0.3054</v>
      </c>
      <c r="AU101" s="16">
        <v>0.2044</v>
      </c>
      <c r="AV101" s="16">
        <v>0.14330000000000001</v>
      </c>
      <c r="AW101" s="16">
        <v>0.17649999999999999</v>
      </c>
      <c r="AX101" s="16">
        <v>5.0999999999999997E-2</v>
      </c>
    </row>
    <row r="102" spans="1:50" x14ac:dyDescent="0.25">
      <c r="A102" s="17" t="s">
        <v>275</v>
      </c>
      <c r="B102" s="13" t="s">
        <v>168</v>
      </c>
      <c r="C102" s="18">
        <v>5.8000000000000003E-2</v>
      </c>
      <c r="D102" s="18">
        <v>5.8000000000000003E-2</v>
      </c>
      <c r="E102" s="18">
        <v>5.8000000000000003E-2</v>
      </c>
      <c r="F102" s="18">
        <v>0.124</v>
      </c>
      <c r="G102" s="18">
        <v>5.8000000000000003E-2</v>
      </c>
      <c r="H102" s="18">
        <v>5.8000000000000003E-2</v>
      </c>
      <c r="I102" s="18">
        <v>0.124</v>
      </c>
      <c r="J102" s="18">
        <v>5.8000000000000003E-2</v>
      </c>
      <c r="K102" s="18">
        <v>5.8000000000000003E-2</v>
      </c>
      <c r="L102" s="18">
        <v>0.124</v>
      </c>
      <c r="M102" s="18">
        <v>5.8000000000000003E-2</v>
      </c>
      <c r="N102" s="18">
        <v>0.10929999999999999</v>
      </c>
      <c r="O102" s="18">
        <v>7.2700000000000001E-2</v>
      </c>
      <c r="P102" s="18">
        <v>5.8000000000000003E-2</v>
      </c>
      <c r="Q102" s="18">
        <v>5.8000000000000003E-2</v>
      </c>
      <c r="R102" s="18">
        <v>0.1057</v>
      </c>
      <c r="S102" s="18">
        <v>7.6300000000000007E-2</v>
      </c>
      <c r="T102" s="18">
        <v>0.28889999999999999</v>
      </c>
      <c r="U102" s="18">
        <v>0.20680000000000001</v>
      </c>
      <c r="V102" s="18">
        <v>0.1429</v>
      </c>
      <c r="W102" s="18">
        <v>0.25440000000000002</v>
      </c>
      <c r="X102" s="18">
        <v>0.24640000000000001</v>
      </c>
      <c r="Y102" s="18">
        <v>0.24640000000000001</v>
      </c>
      <c r="Z102" s="18">
        <v>0.24640000000000001</v>
      </c>
      <c r="AA102" s="18">
        <v>0.25040000000000001</v>
      </c>
      <c r="AB102" s="18">
        <v>0.29220000000000002</v>
      </c>
      <c r="AC102" s="18">
        <v>0.4587</v>
      </c>
      <c r="AD102" s="18">
        <v>0.47399999999999998</v>
      </c>
      <c r="AE102" s="18">
        <v>1.2443</v>
      </c>
      <c r="AF102" s="18">
        <v>6.5299999999999997E-2</v>
      </c>
      <c r="AG102" s="18">
        <v>0.1988</v>
      </c>
      <c r="AH102" s="18">
        <v>5.8000000000000003E-2</v>
      </c>
      <c r="AI102" s="18">
        <v>0.124</v>
      </c>
      <c r="AJ102" s="18">
        <v>5.8000000000000003E-2</v>
      </c>
      <c r="AK102" s="18">
        <v>5.8000000000000003E-2</v>
      </c>
      <c r="AL102" s="18">
        <v>0.124</v>
      </c>
      <c r="AM102" s="18">
        <v>5.8000000000000003E-2</v>
      </c>
      <c r="AN102" s="18">
        <v>5.8000000000000003E-2</v>
      </c>
      <c r="AO102" s="18">
        <v>5.8000000000000003E-2</v>
      </c>
      <c r="AP102" s="18">
        <v>5.8000000000000003E-2</v>
      </c>
      <c r="AQ102" s="18">
        <v>0.124</v>
      </c>
      <c r="AR102" s="18">
        <v>5.8000000000000003E-2</v>
      </c>
      <c r="AS102" s="18">
        <v>5.8000000000000003E-2</v>
      </c>
      <c r="AT102" s="18">
        <v>9.8299999999999998E-2</v>
      </c>
      <c r="AU102" s="18">
        <v>8.3699999999999997E-2</v>
      </c>
      <c r="AV102" s="18">
        <v>5.8000000000000003E-2</v>
      </c>
      <c r="AW102" s="18">
        <v>5.8000000000000003E-2</v>
      </c>
      <c r="AX102" s="18">
        <v>0.124</v>
      </c>
    </row>
    <row r="103" spans="1:50" x14ac:dyDescent="0.25">
      <c r="A103" s="17" t="s">
        <v>277</v>
      </c>
      <c r="B103" s="13" t="s">
        <v>168</v>
      </c>
      <c r="C103" s="18">
        <v>0.15310000000000001</v>
      </c>
      <c r="D103" s="18">
        <v>0.16839999999999999</v>
      </c>
      <c r="E103" s="18">
        <v>8.48E-2</v>
      </c>
      <c r="F103" s="18">
        <v>0.29530000000000001</v>
      </c>
      <c r="G103" s="18">
        <v>6.4600000000000005E-2</v>
      </c>
      <c r="H103" s="18">
        <v>0.17710000000000001</v>
      </c>
      <c r="I103" s="18">
        <v>0.2117</v>
      </c>
      <c r="J103" s="18">
        <v>0.08</v>
      </c>
      <c r="K103" s="18">
        <v>0.11849999999999999</v>
      </c>
      <c r="L103" s="18">
        <v>5.6000000000000001E-2</v>
      </c>
      <c r="M103" s="18">
        <v>0.33279999999999998</v>
      </c>
      <c r="N103" s="18">
        <v>5.6000000000000001E-2</v>
      </c>
      <c r="O103" s="18">
        <v>0.2944</v>
      </c>
      <c r="P103" s="18">
        <v>9.4500000000000001E-2</v>
      </c>
      <c r="Q103" s="18">
        <v>5.6000000000000001E-2</v>
      </c>
      <c r="R103" s="18">
        <v>0.14249999999999999</v>
      </c>
      <c r="S103" s="18">
        <v>5.6000000000000001E-2</v>
      </c>
      <c r="T103" s="18">
        <v>0.33279999999999998</v>
      </c>
      <c r="U103" s="18">
        <v>8.43E-2</v>
      </c>
      <c r="V103" s="18">
        <v>0.39319999999999999</v>
      </c>
      <c r="W103" s="18">
        <v>0.59630000000000005</v>
      </c>
      <c r="X103" s="18">
        <v>0.40029999999999999</v>
      </c>
      <c r="Y103" s="18">
        <v>0.85929999999999995</v>
      </c>
      <c r="Z103" s="18">
        <v>2.7715000000000001</v>
      </c>
      <c r="AA103" s="18">
        <v>2.6415000000000002</v>
      </c>
      <c r="AB103" s="18">
        <v>0.65410000000000001</v>
      </c>
      <c r="AC103" s="18">
        <v>6.4600000000000005E-2</v>
      </c>
      <c r="AD103" s="18">
        <v>5.6000000000000001E-2</v>
      </c>
      <c r="AE103" s="18">
        <v>0.2203</v>
      </c>
      <c r="AF103" s="18">
        <v>0.24179999999999999</v>
      </c>
      <c r="AG103" s="18">
        <v>0.1396</v>
      </c>
      <c r="AH103" s="18">
        <v>0.2492</v>
      </c>
      <c r="AI103" s="18">
        <v>0.1726</v>
      </c>
      <c r="AJ103" s="18">
        <v>0.82379999999999998</v>
      </c>
      <c r="AK103" s="18">
        <v>0.9153</v>
      </c>
      <c r="AL103" s="18">
        <v>1.1315999999999999</v>
      </c>
      <c r="AM103" s="18">
        <v>0.84550000000000003</v>
      </c>
      <c r="AN103" s="18">
        <v>0.29859999999999998</v>
      </c>
      <c r="AO103" s="18">
        <v>0.24329999999999999</v>
      </c>
      <c r="AP103" s="18">
        <v>0.45619999999999999</v>
      </c>
      <c r="AQ103" s="18">
        <v>0.40939999999999999</v>
      </c>
      <c r="AR103" s="18">
        <v>0.74139999999999995</v>
      </c>
      <c r="AS103" s="18">
        <v>0.6522</v>
      </c>
      <c r="AT103" s="18">
        <v>0.68120000000000003</v>
      </c>
      <c r="AU103" s="18">
        <v>7.5200000000000003E-2</v>
      </c>
      <c r="AV103" s="18">
        <v>0.52669999999999995</v>
      </c>
      <c r="AW103" s="18">
        <v>0.35580000000000001</v>
      </c>
      <c r="AX103" s="18">
        <v>9.9299999999999999E-2</v>
      </c>
    </row>
    <row r="104" spans="1:50" x14ac:dyDescent="0.25">
      <c r="A104" s="17" t="s">
        <v>279</v>
      </c>
      <c r="B104" s="13" t="s">
        <v>168</v>
      </c>
      <c r="C104" s="18">
        <v>0.187</v>
      </c>
      <c r="D104" s="18">
        <v>0.16619999999999999</v>
      </c>
      <c r="E104" s="18">
        <v>8.8099999999999998E-2</v>
      </c>
      <c r="F104" s="18">
        <v>0.2727</v>
      </c>
      <c r="G104" s="18">
        <v>0.05</v>
      </c>
      <c r="H104" s="18">
        <v>0.05</v>
      </c>
      <c r="I104" s="18">
        <v>0.1527</v>
      </c>
      <c r="J104" s="18">
        <v>0.1356</v>
      </c>
      <c r="K104" s="18">
        <v>9.7600000000000006E-2</v>
      </c>
      <c r="L104" s="18">
        <v>0.25929999999999997</v>
      </c>
      <c r="M104" s="18">
        <v>0.05</v>
      </c>
      <c r="N104" s="18">
        <v>0.2984</v>
      </c>
      <c r="O104" s="18">
        <v>5.8599999999999999E-2</v>
      </c>
      <c r="P104" s="18">
        <v>1.0681</v>
      </c>
      <c r="Q104" s="18">
        <v>1.4265000000000001</v>
      </c>
      <c r="R104" s="18">
        <v>0.214</v>
      </c>
      <c r="S104" s="18">
        <v>0.54059999999999997</v>
      </c>
      <c r="T104" s="18">
        <v>0.83160000000000001</v>
      </c>
      <c r="U104" s="18">
        <v>0.99660000000000004</v>
      </c>
      <c r="V104" s="18">
        <v>0.60870000000000002</v>
      </c>
      <c r="W104" s="18">
        <v>0.38429999999999997</v>
      </c>
      <c r="X104" s="18">
        <v>0.14419999999999999</v>
      </c>
      <c r="Y104" s="18">
        <v>0.54700000000000004</v>
      </c>
      <c r="Z104" s="18">
        <v>0.1613</v>
      </c>
      <c r="AA104" s="18">
        <v>0.1074</v>
      </c>
      <c r="AB104" s="18">
        <v>0.77580000000000005</v>
      </c>
      <c r="AC104" s="18">
        <v>1.0900000000000001</v>
      </c>
      <c r="AD104" s="18">
        <v>0.67310000000000003</v>
      </c>
      <c r="AE104" s="18">
        <v>1.2569999999999999</v>
      </c>
      <c r="AF104" s="18">
        <v>0.84860000000000002</v>
      </c>
      <c r="AG104" s="18">
        <v>1.0351999999999999</v>
      </c>
      <c r="AH104" s="18">
        <v>0.67510000000000003</v>
      </c>
      <c r="AI104" s="18">
        <v>0.25819999999999999</v>
      </c>
      <c r="AJ104" s="18">
        <v>0.34010000000000001</v>
      </c>
      <c r="AK104" s="18">
        <v>1.3483000000000001</v>
      </c>
      <c r="AL104" s="18">
        <v>0.58260000000000001</v>
      </c>
      <c r="AM104" s="18">
        <v>0.98699999999999999</v>
      </c>
      <c r="AN104" s="18">
        <v>0.56000000000000005</v>
      </c>
      <c r="AO104" s="18">
        <v>1.0995999999999999</v>
      </c>
      <c r="AP104" s="18">
        <v>7.9500000000000001E-2</v>
      </c>
      <c r="AQ104" s="18">
        <v>0.25080000000000002</v>
      </c>
      <c r="AR104" s="18">
        <v>8.0500000000000002E-2</v>
      </c>
      <c r="AS104" s="18">
        <v>0.2203</v>
      </c>
      <c r="AT104" s="18">
        <v>1.0015000000000001</v>
      </c>
      <c r="AU104" s="18">
        <v>0.05</v>
      </c>
      <c r="AV104" s="18">
        <v>0.23830000000000001</v>
      </c>
      <c r="AW104" s="18">
        <v>0.1186</v>
      </c>
      <c r="AX104" s="18">
        <v>7.5700000000000003E-2</v>
      </c>
    </row>
    <row r="105" spans="1:50" x14ac:dyDescent="0.25">
      <c r="A105" s="17" t="s">
        <v>281</v>
      </c>
      <c r="B105" s="13" t="s">
        <v>168</v>
      </c>
      <c r="C105" s="18">
        <v>0.18429999999999999</v>
      </c>
      <c r="D105" s="18">
        <v>6.8199999999999997E-2</v>
      </c>
      <c r="E105" s="18">
        <v>0.24379999999999999</v>
      </c>
      <c r="F105" s="18">
        <v>5.5E-2</v>
      </c>
      <c r="G105" s="18">
        <v>0.1711</v>
      </c>
      <c r="H105" s="18">
        <v>0.14099999999999999</v>
      </c>
      <c r="I105" s="18">
        <v>0.1116</v>
      </c>
      <c r="J105" s="18">
        <v>0.1542</v>
      </c>
      <c r="K105" s="18">
        <v>0.1013</v>
      </c>
      <c r="L105" s="18">
        <v>0.1145</v>
      </c>
      <c r="M105" s="18">
        <v>0.19750000000000001</v>
      </c>
      <c r="N105" s="18">
        <v>5.5E-2</v>
      </c>
      <c r="O105" s="18">
        <v>0.24379999999999999</v>
      </c>
      <c r="P105" s="18">
        <v>6.8199999999999997E-2</v>
      </c>
      <c r="Q105" s="18">
        <v>8.14E-2</v>
      </c>
      <c r="R105" s="18">
        <v>0.17399999999999999</v>
      </c>
      <c r="S105" s="18">
        <v>9.5899999999999999E-2</v>
      </c>
      <c r="T105" s="18">
        <v>7.0699999999999999E-2</v>
      </c>
      <c r="U105" s="18">
        <v>0.18720000000000001</v>
      </c>
      <c r="V105" s="18">
        <v>0.12479999999999999</v>
      </c>
      <c r="W105" s="18">
        <v>0.13089999999999999</v>
      </c>
      <c r="X105" s="18">
        <v>0.1812</v>
      </c>
      <c r="Y105" s="18">
        <v>0.25059999999999999</v>
      </c>
      <c r="Z105" s="18">
        <v>0.22459999999999999</v>
      </c>
      <c r="AA105" s="18">
        <v>6.7599999999999993E-2</v>
      </c>
      <c r="AB105" s="18">
        <v>0.20050000000000001</v>
      </c>
      <c r="AC105" s="18">
        <v>0.1116</v>
      </c>
      <c r="AD105" s="18">
        <v>5.5E-2</v>
      </c>
      <c r="AE105" s="18">
        <v>0.2339</v>
      </c>
      <c r="AF105" s="18">
        <v>0.14630000000000001</v>
      </c>
      <c r="AG105" s="18">
        <v>5.5E-2</v>
      </c>
      <c r="AH105" s="18">
        <v>0.19089999999999999</v>
      </c>
      <c r="AI105" s="18">
        <v>0.1211</v>
      </c>
      <c r="AJ105" s="18">
        <v>7.2999999999999995E-2</v>
      </c>
      <c r="AK105" s="18">
        <v>0.3785</v>
      </c>
      <c r="AL105" s="18">
        <v>0.1552</v>
      </c>
      <c r="AM105" s="18">
        <v>0.1956</v>
      </c>
      <c r="AN105" s="18">
        <v>0.36780000000000002</v>
      </c>
      <c r="AO105" s="18">
        <v>0.37040000000000001</v>
      </c>
      <c r="AP105" s="18">
        <v>0.71630000000000005</v>
      </c>
      <c r="AQ105" s="18">
        <v>0.61299999999999999</v>
      </c>
      <c r="AR105" s="18">
        <v>0.3896</v>
      </c>
      <c r="AS105" s="18">
        <v>0.4531</v>
      </c>
      <c r="AT105" s="18">
        <v>8.3299999999999999E-2</v>
      </c>
      <c r="AU105" s="18">
        <v>0.1459</v>
      </c>
      <c r="AV105" s="18">
        <v>0.24759999999999999</v>
      </c>
      <c r="AW105" s="18">
        <v>5.5E-2</v>
      </c>
      <c r="AX105" s="18">
        <v>0.1182</v>
      </c>
    </row>
    <row r="106" spans="1:50" x14ac:dyDescent="0.25">
      <c r="A106" s="8" t="s">
        <v>142</v>
      </c>
      <c r="B106" s="10" t="s">
        <v>57</v>
      </c>
      <c r="C106" s="16">
        <v>4.9000000000000002E-2</v>
      </c>
      <c r="D106" s="16">
        <v>4.9000000000000002E-2</v>
      </c>
      <c r="E106" s="16">
        <v>4.9000000000000002E-2</v>
      </c>
      <c r="F106" s="16">
        <v>4.9000000000000002E-2</v>
      </c>
      <c r="G106" s="16">
        <v>4.9000000000000002E-2</v>
      </c>
      <c r="H106" s="16">
        <v>4.9000000000000002E-2</v>
      </c>
      <c r="I106" s="16">
        <v>4.9000000000000002E-2</v>
      </c>
      <c r="J106" s="16">
        <v>4.9000000000000002E-2</v>
      </c>
      <c r="K106" s="16">
        <v>4.9000000000000002E-2</v>
      </c>
      <c r="L106" s="16">
        <v>4.9000000000000002E-2</v>
      </c>
      <c r="M106" s="16">
        <v>4.9000000000000002E-2</v>
      </c>
      <c r="N106" s="16">
        <v>4.9000000000000002E-2</v>
      </c>
      <c r="O106" s="16">
        <v>4.9000000000000002E-2</v>
      </c>
      <c r="P106" s="16">
        <v>4.9000000000000002E-2</v>
      </c>
      <c r="Q106" s="16">
        <v>4.9000000000000002E-2</v>
      </c>
      <c r="R106" s="16">
        <v>8.6800000000000002E-2</v>
      </c>
      <c r="S106" s="16">
        <v>0.193</v>
      </c>
      <c r="T106" s="16">
        <v>0.42970000000000003</v>
      </c>
      <c r="U106" s="16">
        <v>0.36870000000000003</v>
      </c>
      <c r="V106" s="16">
        <v>0.16250000000000001</v>
      </c>
      <c r="W106" s="16">
        <v>0.1246</v>
      </c>
      <c r="X106" s="16">
        <v>4.9000000000000002E-2</v>
      </c>
      <c r="Y106" s="16">
        <v>4.9000000000000002E-2</v>
      </c>
      <c r="Z106" s="16">
        <v>4.9000000000000002E-2</v>
      </c>
      <c r="AA106" s="16">
        <v>4.9000000000000002E-2</v>
      </c>
      <c r="AB106" s="16">
        <v>4.9000000000000002E-2</v>
      </c>
      <c r="AC106" s="16">
        <v>4.9000000000000002E-2</v>
      </c>
      <c r="AD106" s="16">
        <v>4.9000000000000002E-2</v>
      </c>
      <c r="AE106" s="16">
        <v>4.9000000000000002E-2</v>
      </c>
      <c r="AF106" s="16">
        <v>4.9000000000000002E-2</v>
      </c>
      <c r="AG106" s="16">
        <v>4.9000000000000002E-2</v>
      </c>
      <c r="AH106" s="16">
        <v>4.9000000000000002E-2</v>
      </c>
      <c r="AI106" s="16">
        <v>4.9000000000000002E-2</v>
      </c>
      <c r="AJ106" s="16">
        <v>0.16250000000000001</v>
      </c>
      <c r="AK106" s="16">
        <v>0.10199999999999999</v>
      </c>
      <c r="AL106" s="16">
        <v>9.8299999999999998E-2</v>
      </c>
      <c r="AM106" s="16">
        <v>0.2442</v>
      </c>
      <c r="AN106" s="16">
        <v>0.20319999999999999</v>
      </c>
      <c r="AO106" s="16">
        <v>0.31929999999999997</v>
      </c>
      <c r="AP106" s="16">
        <v>0.36709999999999998</v>
      </c>
      <c r="AQ106" s="16">
        <v>0.44069999999999998</v>
      </c>
      <c r="AR106" s="16">
        <v>0.46920000000000001</v>
      </c>
      <c r="AS106" s="16">
        <v>0.49980000000000002</v>
      </c>
      <c r="AT106" s="16">
        <v>0.47049999999999997</v>
      </c>
      <c r="AU106" s="16">
        <v>0.39090000000000003</v>
      </c>
      <c r="AV106" s="16">
        <v>0.60309999999999997</v>
      </c>
      <c r="AW106" s="16">
        <v>4.9000000000000002E-2</v>
      </c>
      <c r="AX106" s="16">
        <v>4.9000000000000002E-2</v>
      </c>
    </row>
    <row r="107" spans="1:50" x14ac:dyDescent="0.25">
      <c r="A107" s="8" t="s">
        <v>144</v>
      </c>
      <c r="B107" s="10" t="s">
        <v>57</v>
      </c>
      <c r="C107" s="16">
        <v>5.2999999999999999E-2</v>
      </c>
      <c r="D107" s="16">
        <v>5.2999999999999999E-2</v>
      </c>
      <c r="E107" s="16">
        <v>5.2999999999999999E-2</v>
      </c>
      <c r="F107" s="16">
        <v>5.2999999999999999E-2</v>
      </c>
      <c r="G107" s="16">
        <v>5.2999999999999999E-2</v>
      </c>
      <c r="H107" s="16">
        <v>5.2999999999999999E-2</v>
      </c>
      <c r="I107" s="16">
        <v>5.2999999999999999E-2</v>
      </c>
      <c r="J107" s="16">
        <v>5.2999999999999999E-2</v>
      </c>
      <c r="K107" s="16">
        <v>5.2999999999999999E-2</v>
      </c>
      <c r="L107" s="16">
        <v>5.2999999999999999E-2</v>
      </c>
      <c r="M107" s="16">
        <v>5.2999999999999999E-2</v>
      </c>
      <c r="N107" s="16">
        <v>5.2999999999999999E-2</v>
      </c>
      <c r="O107" s="16">
        <v>5.2999999999999999E-2</v>
      </c>
      <c r="P107" s="16">
        <v>5.2999999999999999E-2</v>
      </c>
      <c r="Q107" s="16">
        <v>5.2999999999999999E-2</v>
      </c>
      <c r="R107" s="16">
        <v>5.2999999999999999E-2</v>
      </c>
      <c r="S107" s="16">
        <v>0.2316</v>
      </c>
      <c r="T107" s="16">
        <v>6.3299999999999995E-2</v>
      </c>
      <c r="U107" s="16">
        <v>7.0199999999999999E-2</v>
      </c>
      <c r="V107" s="16">
        <v>0.16139999999999999</v>
      </c>
      <c r="W107" s="16">
        <v>5.2999999999999999E-2</v>
      </c>
      <c r="X107" s="16">
        <v>5.2999999999999999E-2</v>
      </c>
      <c r="Y107" s="16">
        <v>6.5199999999999994E-2</v>
      </c>
      <c r="Z107" s="16">
        <v>0.13650000000000001</v>
      </c>
      <c r="AA107" s="16">
        <v>0.2334</v>
      </c>
      <c r="AB107" s="16">
        <v>5.2999999999999999E-2</v>
      </c>
      <c r="AC107" s="16">
        <v>5.2999999999999999E-2</v>
      </c>
      <c r="AD107" s="16">
        <v>5.2999999999999999E-2</v>
      </c>
      <c r="AE107" s="16">
        <v>5.2999999999999999E-2</v>
      </c>
      <c r="AF107" s="16">
        <v>5.2999999999999999E-2</v>
      </c>
      <c r="AG107" s="16">
        <v>5.2999999999999999E-2</v>
      </c>
      <c r="AH107" s="16">
        <v>5.2999999999999999E-2</v>
      </c>
      <c r="AI107" s="16">
        <v>5.2999999999999999E-2</v>
      </c>
      <c r="AJ107" s="16">
        <v>5.2999999999999999E-2</v>
      </c>
      <c r="AK107" s="16">
        <v>0.76070000000000004</v>
      </c>
      <c r="AL107" s="16">
        <v>0.75970000000000004</v>
      </c>
      <c r="AM107" s="16">
        <v>9.9199999999999997E-2</v>
      </c>
      <c r="AN107" s="16">
        <v>0.46410000000000001</v>
      </c>
      <c r="AO107" s="16">
        <v>0.48549999999999999</v>
      </c>
      <c r="AP107" s="16">
        <v>0.27489999999999998</v>
      </c>
      <c r="AQ107" s="16">
        <v>0.4052</v>
      </c>
      <c r="AR107" s="16">
        <v>0.36320000000000002</v>
      </c>
      <c r="AS107" s="16">
        <v>2.1215999999999999</v>
      </c>
      <c r="AT107" s="16">
        <v>0.80120000000000002</v>
      </c>
      <c r="AU107" s="16">
        <v>0.49180000000000001</v>
      </c>
      <c r="AV107" s="16">
        <v>0.1782</v>
      </c>
      <c r="AW107" s="16">
        <v>5.2999999999999999E-2</v>
      </c>
      <c r="AX107" s="16">
        <v>5.2999999999999999E-2</v>
      </c>
    </row>
    <row r="108" spans="1:50" x14ac:dyDescent="0.25">
      <c r="A108" s="17" t="s">
        <v>283</v>
      </c>
      <c r="B108" s="13" t="s">
        <v>168</v>
      </c>
      <c r="C108" s="18">
        <v>0.35909999999999997</v>
      </c>
      <c r="D108" s="18">
        <v>0.94820000000000004</v>
      </c>
      <c r="E108" s="18">
        <v>4.3999999999999997E-2</v>
      </c>
      <c r="F108" s="18">
        <v>0.1133</v>
      </c>
      <c r="G108" s="18">
        <v>5.2699999999999997E-2</v>
      </c>
      <c r="H108" s="18">
        <v>4.3999999999999997E-2</v>
      </c>
      <c r="I108" s="18">
        <v>6.5600000000000006E-2</v>
      </c>
      <c r="J108" s="18">
        <v>0.1003</v>
      </c>
      <c r="K108" s="18">
        <v>4.3999999999999997E-2</v>
      </c>
      <c r="L108" s="18">
        <v>6.5600000000000006E-2</v>
      </c>
      <c r="M108" s="18">
        <v>0.1003</v>
      </c>
      <c r="N108" s="18">
        <v>7.8600000000000003E-2</v>
      </c>
      <c r="O108" s="18">
        <v>8.7300000000000003E-2</v>
      </c>
      <c r="P108" s="18">
        <v>8.3000000000000004E-2</v>
      </c>
      <c r="Q108" s="18">
        <v>8.3000000000000004E-2</v>
      </c>
      <c r="R108" s="18">
        <v>4.3999999999999997E-2</v>
      </c>
      <c r="S108" s="18">
        <v>0.12189999999999999</v>
      </c>
      <c r="T108" s="18">
        <v>9.9699999999999997E-2</v>
      </c>
      <c r="U108" s="18">
        <v>0.30709999999999998</v>
      </c>
      <c r="V108" s="18">
        <v>0.92459999999999998</v>
      </c>
      <c r="W108" s="18">
        <v>6.3200000000000006E-2</v>
      </c>
      <c r="X108" s="18">
        <v>0.15079999999999999</v>
      </c>
      <c r="Y108" s="18">
        <v>0.1386</v>
      </c>
      <c r="Z108" s="18">
        <v>0.39639999999999997</v>
      </c>
      <c r="AA108" s="18">
        <v>1.0214000000000001</v>
      </c>
      <c r="AB108" s="18">
        <v>4.8599999999999997E-2</v>
      </c>
      <c r="AC108" s="18">
        <v>4.9599999999999998E-2</v>
      </c>
      <c r="AD108" s="18">
        <v>0.1915</v>
      </c>
      <c r="AE108" s="18">
        <v>0.1774</v>
      </c>
      <c r="AF108" s="18">
        <v>0.2525</v>
      </c>
      <c r="AG108" s="18">
        <v>0.28710000000000002</v>
      </c>
      <c r="AH108" s="18">
        <v>0.45739999999999997</v>
      </c>
      <c r="AI108" s="18">
        <v>1.9350000000000001</v>
      </c>
      <c r="AJ108" s="18">
        <v>0.2351</v>
      </c>
      <c r="AK108" s="18">
        <v>0.22989999999999999</v>
      </c>
      <c r="AL108" s="18">
        <v>1.3185</v>
      </c>
      <c r="AM108" s="18">
        <v>1.1608000000000001</v>
      </c>
      <c r="AN108" s="18">
        <v>0.47960000000000003</v>
      </c>
      <c r="AO108" s="18">
        <v>0.2843</v>
      </c>
      <c r="AP108" s="18">
        <v>0.57269999999999999</v>
      </c>
      <c r="AQ108" s="18">
        <v>0.5323</v>
      </c>
      <c r="AR108" s="18">
        <v>0.58069999999999999</v>
      </c>
      <c r="AS108" s="18">
        <v>0.62329999999999997</v>
      </c>
      <c r="AT108" s="18">
        <v>0.3609</v>
      </c>
      <c r="AU108" s="18">
        <v>4.3999999999999997E-2</v>
      </c>
      <c r="AV108" s="18">
        <v>0.12189999999999999</v>
      </c>
      <c r="AW108" s="18">
        <v>4.3999999999999997E-2</v>
      </c>
      <c r="AX108" s="18">
        <v>4.3999999999999997E-2</v>
      </c>
    </row>
    <row r="109" spans="1:50" x14ac:dyDescent="0.25">
      <c r="A109" s="17" t="s">
        <v>285</v>
      </c>
      <c r="B109" s="13" t="s">
        <v>168</v>
      </c>
      <c r="C109" s="18">
        <v>0.71899999999999997</v>
      </c>
      <c r="D109" s="18">
        <v>9.3600000000000003E-2</v>
      </c>
      <c r="E109" s="18">
        <v>6.0299999999999999E-2</v>
      </c>
      <c r="F109" s="18">
        <v>0.27860000000000001</v>
      </c>
      <c r="G109" s="18">
        <v>5.2999999999999999E-2</v>
      </c>
      <c r="H109" s="18">
        <v>0.18379999999999999</v>
      </c>
      <c r="I109" s="18">
        <v>8.2100000000000006E-2</v>
      </c>
      <c r="J109" s="18">
        <v>0.126</v>
      </c>
      <c r="K109" s="18">
        <v>0.1547</v>
      </c>
      <c r="L109" s="18">
        <v>0.1111</v>
      </c>
      <c r="M109" s="18">
        <v>0.126</v>
      </c>
      <c r="N109" s="18">
        <v>0.21279999999999999</v>
      </c>
      <c r="O109" s="18">
        <v>5.2999999999999999E-2</v>
      </c>
      <c r="P109" s="18">
        <v>0.1613</v>
      </c>
      <c r="Q109" s="18">
        <v>0.17749999999999999</v>
      </c>
      <c r="R109" s="18">
        <v>5.2999999999999999E-2</v>
      </c>
      <c r="S109" s="18">
        <v>0.2858</v>
      </c>
      <c r="T109" s="18">
        <v>5.2999999999999999E-2</v>
      </c>
      <c r="U109" s="18">
        <v>0.2722</v>
      </c>
      <c r="V109" s="18">
        <v>1.2856000000000001</v>
      </c>
      <c r="W109" s="18">
        <v>3.5097</v>
      </c>
      <c r="X109" s="18">
        <v>2.2408999999999999</v>
      </c>
      <c r="Y109" s="18">
        <v>0.51719999999999999</v>
      </c>
      <c r="Z109" s="18">
        <v>2.7507999999999999</v>
      </c>
      <c r="AA109" s="18">
        <v>2.9893999999999998</v>
      </c>
      <c r="AB109" s="18">
        <v>2.0162</v>
      </c>
      <c r="AC109" s="18">
        <v>0.25559999999999999</v>
      </c>
      <c r="AD109" s="18">
        <v>0.40329999999999999</v>
      </c>
      <c r="AE109" s="18">
        <v>0.10979999999999999</v>
      </c>
      <c r="AF109" s="18">
        <v>0.19350000000000001</v>
      </c>
      <c r="AG109" s="18">
        <v>0.28710000000000002</v>
      </c>
      <c r="AH109" s="18">
        <v>5.2999999999999999E-2</v>
      </c>
      <c r="AI109" s="18">
        <v>0.1057</v>
      </c>
      <c r="AJ109" s="18">
        <v>0.2331</v>
      </c>
      <c r="AK109" s="18">
        <v>0.126</v>
      </c>
      <c r="AL109" s="18">
        <v>0.12559999999999999</v>
      </c>
      <c r="AM109" s="18">
        <v>0.14019999999999999</v>
      </c>
      <c r="AN109" s="18">
        <v>0.126</v>
      </c>
      <c r="AO109" s="18">
        <v>5.2999999999999999E-2</v>
      </c>
      <c r="AP109" s="18">
        <v>0.2858</v>
      </c>
      <c r="AQ109" s="18">
        <v>5.2999999999999999E-2</v>
      </c>
      <c r="AR109" s="18">
        <v>0.1474</v>
      </c>
      <c r="AS109" s="18">
        <v>0.11840000000000001</v>
      </c>
      <c r="AT109" s="18">
        <v>0.126</v>
      </c>
      <c r="AU109" s="18">
        <v>0.21279999999999999</v>
      </c>
      <c r="AV109" s="18">
        <v>5.2999999999999999E-2</v>
      </c>
      <c r="AW109" s="18">
        <v>8.9499999999999996E-2</v>
      </c>
      <c r="AX109" s="18">
        <v>0.24929999999999999</v>
      </c>
    </row>
    <row r="110" spans="1:50" x14ac:dyDescent="0.25">
      <c r="A110" s="8" t="s">
        <v>146</v>
      </c>
      <c r="B110" s="10" t="s">
        <v>57</v>
      </c>
      <c r="C110" s="16">
        <v>0.13780000000000001</v>
      </c>
      <c r="D110" s="16">
        <v>0.20480000000000001</v>
      </c>
      <c r="E110" s="16">
        <v>9.4700000000000006E-2</v>
      </c>
      <c r="F110" s="16">
        <v>0.1595</v>
      </c>
      <c r="G110" s="16">
        <v>0.18759999999999999</v>
      </c>
      <c r="H110" s="16">
        <v>8.1299999999999997E-2</v>
      </c>
      <c r="I110" s="16">
        <v>0.21210000000000001</v>
      </c>
      <c r="J110" s="16">
        <v>9.0200000000000002E-2</v>
      </c>
      <c r="K110" s="16">
        <v>9.0200000000000002E-2</v>
      </c>
      <c r="L110" s="16">
        <v>0.24790000000000001</v>
      </c>
      <c r="M110" s="16">
        <v>9.4700000000000006E-2</v>
      </c>
      <c r="N110" s="16">
        <v>0.1961</v>
      </c>
      <c r="O110" s="16">
        <v>0.14649999999999999</v>
      </c>
      <c r="P110" s="16">
        <v>9.4200000000000006E-2</v>
      </c>
      <c r="Q110" s="16">
        <v>0.24840000000000001</v>
      </c>
      <c r="R110" s="16">
        <v>0.2445</v>
      </c>
      <c r="S110" s="16">
        <v>0.2772</v>
      </c>
      <c r="T110" s="16">
        <v>0.14630000000000001</v>
      </c>
      <c r="U110" s="16">
        <v>0.27550000000000002</v>
      </c>
      <c r="V110" s="16">
        <v>0.3422</v>
      </c>
      <c r="W110" s="16">
        <v>0.41760000000000003</v>
      </c>
      <c r="X110" s="16">
        <v>0.51500000000000001</v>
      </c>
      <c r="Y110" s="16">
        <v>1.1808000000000001</v>
      </c>
      <c r="Z110" s="16">
        <v>0.59489999999999998</v>
      </c>
      <c r="AA110" s="16">
        <v>0.69710000000000005</v>
      </c>
      <c r="AB110" s="16">
        <v>0.28289999999999998</v>
      </c>
      <c r="AC110" s="16">
        <v>0.1452</v>
      </c>
      <c r="AD110" s="16">
        <v>0.21529999999999999</v>
      </c>
      <c r="AE110" s="16">
        <v>0.11260000000000001</v>
      </c>
      <c r="AF110" s="16">
        <v>0.21210000000000001</v>
      </c>
      <c r="AG110" s="16">
        <v>0.05</v>
      </c>
      <c r="AH110" s="16">
        <v>0.18210000000000001</v>
      </c>
      <c r="AI110" s="16">
        <v>0.17399999999999999</v>
      </c>
      <c r="AJ110" s="16">
        <v>0.16700000000000001</v>
      </c>
      <c r="AK110" s="16">
        <v>0.3619</v>
      </c>
      <c r="AL110" s="16">
        <v>0.17249999999999999</v>
      </c>
      <c r="AM110" s="16">
        <v>0.13420000000000001</v>
      </c>
      <c r="AN110" s="16">
        <v>0.14580000000000001</v>
      </c>
      <c r="AO110" s="16">
        <v>0.1283</v>
      </c>
      <c r="AP110" s="16">
        <v>0.26860000000000001</v>
      </c>
      <c r="AQ110" s="16">
        <v>0.3135</v>
      </c>
      <c r="AR110" s="16">
        <v>0.48060000000000003</v>
      </c>
      <c r="AS110" s="16">
        <v>0.69130000000000003</v>
      </c>
      <c r="AT110" s="16">
        <v>0.37740000000000001</v>
      </c>
      <c r="AU110" s="16">
        <v>0.51380000000000003</v>
      </c>
      <c r="AV110" s="16">
        <v>0.48180000000000001</v>
      </c>
      <c r="AW110" s="16">
        <v>0.5363</v>
      </c>
      <c r="AX110" s="16">
        <v>0.2223</v>
      </c>
    </row>
    <row r="111" spans="1:50" x14ac:dyDescent="0.25">
      <c r="A111" s="8" t="s">
        <v>148</v>
      </c>
      <c r="B111" s="10" t="s">
        <v>57</v>
      </c>
      <c r="C111" s="16">
        <v>0.21879999999999999</v>
      </c>
      <c r="D111" s="16">
        <v>0.1888</v>
      </c>
      <c r="E111" s="16">
        <v>0.1012</v>
      </c>
      <c r="F111" s="16">
        <v>0.17399999999999999</v>
      </c>
      <c r="G111" s="16">
        <v>0.16</v>
      </c>
      <c r="H111" s="16">
        <v>0.1578</v>
      </c>
      <c r="I111" s="16">
        <v>0.112</v>
      </c>
      <c r="J111" s="16">
        <v>0.1338</v>
      </c>
      <c r="K111" s="16">
        <v>0.1467</v>
      </c>
      <c r="L111" s="16">
        <v>0.1547</v>
      </c>
      <c r="M111" s="16">
        <v>0.17929999999999999</v>
      </c>
      <c r="N111" s="16">
        <v>5.2999999999999999E-2</v>
      </c>
      <c r="O111" s="16">
        <v>0.23139999999999999</v>
      </c>
      <c r="P111" s="16">
        <v>0.1026</v>
      </c>
      <c r="Q111" s="16">
        <v>0.1012</v>
      </c>
      <c r="R111" s="16">
        <v>0.1226</v>
      </c>
      <c r="S111" s="16">
        <v>5.2999999999999999E-2</v>
      </c>
      <c r="T111" s="16">
        <v>5.2999999999999999E-2</v>
      </c>
      <c r="U111" s="16">
        <v>0.21479999999999999</v>
      </c>
      <c r="V111" s="16">
        <v>0.37280000000000002</v>
      </c>
      <c r="W111" s="16">
        <v>8.6099999999999996E-2</v>
      </c>
      <c r="X111" s="16">
        <v>0.1409</v>
      </c>
      <c r="Y111" s="16">
        <v>0.1671</v>
      </c>
      <c r="Z111" s="16">
        <v>0.78549999999999998</v>
      </c>
      <c r="AA111" s="16">
        <v>2.1227</v>
      </c>
      <c r="AB111" s="16">
        <v>0.85599999999999998</v>
      </c>
      <c r="AC111" s="16">
        <v>0.16420000000000001</v>
      </c>
      <c r="AD111" s="16">
        <v>0.68840000000000001</v>
      </c>
      <c r="AE111" s="16">
        <v>0.49980000000000002</v>
      </c>
      <c r="AF111" s="16">
        <v>0.31259999999999999</v>
      </c>
      <c r="AG111" s="16">
        <v>2.2570999999999999</v>
      </c>
      <c r="AH111" s="16">
        <v>0.187</v>
      </c>
      <c r="AI111" s="16">
        <v>0.1361</v>
      </c>
      <c r="AJ111" s="16">
        <v>0.1956</v>
      </c>
      <c r="AK111" s="16">
        <v>0.23519999999999999</v>
      </c>
      <c r="AL111" s="16">
        <v>0.1714</v>
      </c>
      <c r="AM111" s="16">
        <v>0.54049999999999998</v>
      </c>
      <c r="AN111" s="16">
        <v>0.29899999999999999</v>
      </c>
      <c r="AO111" s="16">
        <v>0.1047</v>
      </c>
      <c r="AP111" s="16">
        <v>0.34939999999999999</v>
      </c>
      <c r="AQ111" s="16">
        <v>0.84370000000000001</v>
      </c>
      <c r="AR111" s="16">
        <v>1.4294</v>
      </c>
      <c r="AS111" s="16">
        <v>0.45269999999999999</v>
      </c>
      <c r="AT111" s="16">
        <v>0.71799999999999997</v>
      </c>
      <c r="AU111" s="16">
        <v>0.48580000000000001</v>
      </c>
      <c r="AV111" s="16">
        <v>0.69279999999999997</v>
      </c>
      <c r="AW111" s="16">
        <v>0.98909999999999998</v>
      </c>
      <c r="AX111" s="16">
        <v>0.26229999999999998</v>
      </c>
    </row>
    <row r="112" spans="1:50" x14ac:dyDescent="0.25">
      <c r="A112" s="17" t="s">
        <v>287</v>
      </c>
      <c r="B112" s="13" t="s">
        <v>168</v>
      </c>
      <c r="C112" s="18">
        <v>0.219</v>
      </c>
      <c r="D112" s="18">
        <v>5.5E-2</v>
      </c>
      <c r="E112" s="18">
        <v>5.5E-2</v>
      </c>
      <c r="F112" s="18">
        <v>0.219</v>
      </c>
      <c r="G112" s="18">
        <v>5.5E-2</v>
      </c>
      <c r="H112" s="18">
        <v>0.21149999999999999</v>
      </c>
      <c r="I112" s="18">
        <v>6.25E-2</v>
      </c>
      <c r="J112" s="18">
        <v>0.1857</v>
      </c>
      <c r="K112" s="18">
        <v>0.15190000000000001</v>
      </c>
      <c r="L112" s="18">
        <v>5.5E-2</v>
      </c>
      <c r="M112" s="18">
        <v>5.5E-2</v>
      </c>
      <c r="N112" s="18">
        <v>0.1966</v>
      </c>
      <c r="O112" s="18">
        <v>7.7399999999999997E-2</v>
      </c>
      <c r="P112" s="18">
        <v>0.15190000000000001</v>
      </c>
      <c r="Q112" s="18">
        <v>0.1221</v>
      </c>
      <c r="R112" s="18">
        <v>0.1789</v>
      </c>
      <c r="S112" s="18">
        <v>0.13700000000000001</v>
      </c>
      <c r="T112" s="18">
        <v>0.21959999999999999</v>
      </c>
      <c r="U112" s="18">
        <v>0.18629999999999999</v>
      </c>
      <c r="V112" s="18">
        <v>0.34599999999999997</v>
      </c>
      <c r="W112" s="18">
        <v>0.19209999999999999</v>
      </c>
      <c r="X112" s="18">
        <v>0.14019999999999999</v>
      </c>
      <c r="Y112" s="18">
        <v>0.27579999999999999</v>
      </c>
      <c r="Z112" s="18">
        <v>0.1221</v>
      </c>
      <c r="AA112" s="18">
        <v>0.1789</v>
      </c>
      <c r="AB112" s="18">
        <v>0.93369999999999997</v>
      </c>
      <c r="AC112" s="18">
        <v>0.76219999999999999</v>
      </c>
      <c r="AD112" s="18">
        <v>9.2299999999999993E-2</v>
      </c>
      <c r="AE112" s="18">
        <v>0.1817</v>
      </c>
      <c r="AF112" s="18">
        <v>5.5E-2</v>
      </c>
      <c r="AG112" s="18">
        <v>9.9199999999999997E-2</v>
      </c>
      <c r="AH112" s="18">
        <v>0.53180000000000005</v>
      </c>
      <c r="AI112" s="18">
        <v>0.41489999999999999</v>
      </c>
      <c r="AJ112" s="18">
        <v>2.0476000000000001</v>
      </c>
      <c r="AK112" s="18">
        <v>2.9622999999999999</v>
      </c>
      <c r="AL112" s="18">
        <v>0.44719999999999999</v>
      </c>
      <c r="AM112" s="18">
        <v>1.6713</v>
      </c>
      <c r="AN112" s="18">
        <v>0.20610000000000001</v>
      </c>
      <c r="AO112" s="18">
        <v>1.5610999999999999</v>
      </c>
      <c r="AP112" s="18">
        <v>1.3089999999999999</v>
      </c>
      <c r="AQ112" s="18">
        <v>0.48949999999999999</v>
      </c>
      <c r="AR112" s="18">
        <v>0.83950000000000002</v>
      </c>
      <c r="AS112" s="18">
        <v>0.84389999999999998</v>
      </c>
      <c r="AT112" s="18">
        <v>0.8357</v>
      </c>
      <c r="AU112" s="18">
        <v>0.55230000000000001</v>
      </c>
      <c r="AV112" s="18">
        <v>0.4551</v>
      </c>
      <c r="AW112" s="18">
        <v>0.45369999999999999</v>
      </c>
      <c r="AX112" s="18">
        <v>0.68769999999999998</v>
      </c>
    </row>
    <row r="113" spans="1:50" x14ac:dyDescent="0.25">
      <c r="A113" s="8" t="s">
        <v>150</v>
      </c>
      <c r="B113" s="10" t="s">
        <v>57</v>
      </c>
      <c r="C113" s="16">
        <v>0.11</v>
      </c>
      <c r="D113" s="16">
        <v>0.1457</v>
      </c>
      <c r="E113" s="16">
        <v>0.11</v>
      </c>
      <c r="F113" s="16">
        <v>3.3000000000000002E-2</v>
      </c>
      <c r="G113" s="16">
        <v>0.18149999999999999</v>
      </c>
      <c r="H113" s="16">
        <v>7.4300000000000005E-2</v>
      </c>
      <c r="I113" s="16">
        <v>3.3000000000000002E-2</v>
      </c>
      <c r="J113" s="16">
        <v>0.1457</v>
      </c>
      <c r="K113" s="16">
        <v>3.3000000000000002E-2</v>
      </c>
      <c r="L113" s="16">
        <v>0.1457</v>
      </c>
      <c r="M113" s="16">
        <v>3.3000000000000002E-2</v>
      </c>
      <c r="N113" s="16">
        <v>9.2899999999999996E-2</v>
      </c>
      <c r="O113" s="16">
        <v>0.16289999999999999</v>
      </c>
      <c r="P113" s="16">
        <v>0.11</v>
      </c>
      <c r="Q113" s="16">
        <v>3.3000000000000002E-2</v>
      </c>
      <c r="R113" s="16">
        <v>0.1573</v>
      </c>
      <c r="S113" s="16">
        <v>9.8400000000000001E-2</v>
      </c>
      <c r="T113" s="16">
        <v>3.3000000000000002E-2</v>
      </c>
      <c r="U113" s="16">
        <v>5.0900000000000001E-2</v>
      </c>
      <c r="V113" s="16">
        <v>0.58940000000000003</v>
      </c>
      <c r="W113" s="16">
        <v>0.1192</v>
      </c>
      <c r="X113" s="16">
        <v>9.6199999999999994E-2</v>
      </c>
      <c r="Y113" s="16">
        <v>0.19120000000000001</v>
      </c>
      <c r="Z113" s="16">
        <v>0.12520000000000001</v>
      </c>
      <c r="AA113" s="16">
        <v>3.3000000000000002E-2</v>
      </c>
      <c r="AB113" s="16">
        <v>0.2228</v>
      </c>
      <c r="AC113" s="16">
        <v>3.3000000000000002E-2</v>
      </c>
      <c r="AD113" s="16">
        <v>0.1928</v>
      </c>
      <c r="AE113" s="16">
        <v>8.1500000000000003E-2</v>
      </c>
      <c r="AF113" s="16">
        <v>0.312</v>
      </c>
      <c r="AG113" s="16">
        <v>0.30609999999999998</v>
      </c>
      <c r="AH113" s="16">
        <v>0.2888</v>
      </c>
      <c r="AI113" s="16">
        <v>0.21410000000000001</v>
      </c>
      <c r="AJ113" s="16">
        <v>0.27150000000000002</v>
      </c>
      <c r="AK113" s="16">
        <v>0.26690000000000003</v>
      </c>
      <c r="AL113" s="16">
        <v>0.28910000000000002</v>
      </c>
      <c r="AM113" s="16">
        <v>0.23080000000000001</v>
      </c>
      <c r="AN113" s="16">
        <v>0.2263</v>
      </c>
      <c r="AO113" s="16">
        <v>0.2908</v>
      </c>
      <c r="AP113" s="16">
        <v>0.4163</v>
      </c>
      <c r="AQ113" s="16">
        <v>0.52610000000000001</v>
      </c>
      <c r="AR113" s="16">
        <v>0.52900000000000003</v>
      </c>
      <c r="AS113" s="16">
        <v>0.29930000000000001</v>
      </c>
      <c r="AT113" s="16">
        <v>0.21179999999999999</v>
      </c>
      <c r="AU113" s="16">
        <v>0.2228</v>
      </c>
      <c r="AV113" s="16">
        <v>3.3000000000000002E-2</v>
      </c>
      <c r="AW113" s="16">
        <v>3.3000000000000002E-2</v>
      </c>
      <c r="AX113" s="16">
        <v>0.1457</v>
      </c>
    </row>
    <row r="114" spans="1:50" x14ac:dyDescent="0.25">
      <c r="A114" s="17" t="s">
        <v>289</v>
      </c>
      <c r="B114" s="13" t="s">
        <v>168</v>
      </c>
      <c r="C114" s="18">
        <v>0.28489999999999999</v>
      </c>
      <c r="D114" s="18">
        <v>0.23680000000000001</v>
      </c>
      <c r="E114" s="18">
        <v>0.1978</v>
      </c>
      <c r="F114" s="18">
        <v>0.23019999999999999</v>
      </c>
      <c r="G114" s="18">
        <v>0.1487</v>
      </c>
      <c r="H114" s="18">
        <v>0.15490000000000001</v>
      </c>
      <c r="I114" s="18">
        <v>0.1925</v>
      </c>
      <c r="J114" s="18">
        <v>0.23569999999999999</v>
      </c>
      <c r="K114" s="18">
        <v>0.21160000000000001</v>
      </c>
      <c r="L114" s="18">
        <v>0.12939999999999999</v>
      </c>
      <c r="M114" s="18">
        <v>0.1263</v>
      </c>
      <c r="N114" s="18">
        <v>0.15790000000000001</v>
      </c>
      <c r="O114" s="18">
        <v>0.17899999999999999</v>
      </c>
      <c r="P114" s="18">
        <v>0.34260000000000002</v>
      </c>
      <c r="Q114" s="18">
        <v>6.1800000000000001E-2</v>
      </c>
      <c r="R114" s="18">
        <v>0.1429</v>
      </c>
      <c r="S114" s="18">
        <v>0.24929999999999999</v>
      </c>
      <c r="T114" s="18">
        <v>8.2000000000000003E-2</v>
      </c>
      <c r="U114" s="18">
        <v>0.58020000000000005</v>
      </c>
      <c r="V114" s="18">
        <v>9.2799999999999994E-2</v>
      </c>
      <c r="W114" s="18">
        <v>0.12939999999999999</v>
      </c>
      <c r="X114" s="18">
        <v>0.3851</v>
      </c>
      <c r="Y114" s="18">
        <v>6.2100000000000002E-2</v>
      </c>
      <c r="Z114" s="18">
        <v>0.1782</v>
      </c>
      <c r="AA114" s="18">
        <v>0.34339999999999998</v>
      </c>
      <c r="AB114" s="18">
        <v>5.5E-2</v>
      </c>
      <c r="AC114" s="18">
        <v>0.39850000000000002</v>
      </c>
      <c r="AD114" s="18">
        <v>0.1231</v>
      </c>
      <c r="AE114" s="18">
        <v>0.2301</v>
      </c>
      <c r="AF114" s="18">
        <v>0.53049999999999997</v>
      </c>
      <c r="AG114" s="18">
        <v>0.1643</v>
      </c>
      <c r="AH114" s="18">
        <v>1.2329000000000001</v>
      </c>
      <c r="AI114" s="18">
        <v>0.37890000000000001</v>
      </c>
      <c r="AJ114" s="18">
        <v>0.36370000000000002</v>
      </c>
      <c r="AK114" s="18">
        <v>0.54120000000000001</v>
      </c>
      <c r="AL114" s="18">
        <v>0.46560000000000001</v>
      </c>
      <c r="AM114" s="18">
        <v>0.64710000000000001</v>
      </c>
      <c r="AN114" s="18">
        <v>0.25409999999999999</v>
      </c>
      <c r="AO114" s="18">
        <v>0.36030000000000001</v>
      </c>
      <c r="AP114" s="18">
        <v>0.78559999999999997</v>
      </c>
      <c r="AQ114" s="18">
        <v>1.6686000000000001</v>
      </c>
      <c r="AR114" s="18">
        <v>0.61699999999999999</v>
      </c>
      <c r="AS114" s="18">
        <v>0.80079999999999996</v>
      </c>
      <c r="AT114" s="18">
        <v>0.73640000000000005</v>
      </c>
      <c r="AU114" s="18">
        <v>0.74329999999999996</v>
      </c>
      <c r="AV114" s="18">
        <v>0.79310000000000003</v>
      </c>
      <c r="AW114" s="18">
        <v>0.93159999999999998</v>
      </c>
      <c r="AX114" s="18">
        <v>0.66739999999999999</v>
      </c>
    </row>
    <row r="115" spans="1:50" x14ac:dyDescent="0.25">
      <c r="A115" s="17" t="s">
        <v>291</v>
      </c>
      <c r="B115" s="13" t="s">
        <v>168</v>
      </c>
      <c r="C115" s="18">
        <v>1.7918000000000001</v>
      </c>
      <c r="D115" s="18">
        <v>0.36969999999999997</v>
      </c>
      <c r="E115" s="18">
        <v>0.1176</v>
      </c>
      <c r="F115" s="18">
        <v>0.11</v>
      </c>
      <c r="G115" s="18">
        <v>0.1706</v>
      </c>
      <c r="H115" s="18">
        <v>5.7000000000000002E-2</v>
      </c>
      <c r="I115" s="18">
        <v>0.22359999999999999</v>
      </c>
      <c r="J115" s="18">
        <v>5.7000000000000002E-2</v>
      </c>
      <c r="K115" s="18">
        <v>5.7000000000000002E-2</v>
      </c>
      <c r="L115" s="18">
        <v>0.1024</v>
      </c>
      <c r="M115" s="18">
        <v>0.1782</v>
      </c>
      <c r="N115" s="18">
        <v>5.7000000000000002E-2</v>
      </c>
      <c r="O115" s="18">
        <v>0.22359999999999999</v>
      </c>
      <c r="P115" s="18">
        <v>5.7000000000000002E-2</v>
      </c>
      <c r="Q115" s="18">
        <v>5.7000000000000002E-2</v>
      </c>
      <c r="R115" s="18">
        <v>0.1479</v>
      </c>
      <c r="S115" s="18">
        <v>0.13270000000000001</v>
      </c>
      <c r="T115" s="18">
        <v>5.7000000000000002E-2</v>
      </c>
      <c r="U115" s="18">
        <v>0.22359999999999999</v>
      </c>
      <c r="V115" s="18">
        <v>5.7000000000000002E-2</v>
      </c>
      <c r="W115" s="18">
        <v>5.7000000000000002E-2</v>
      </c>
      <c r="X115" s="18">
        <v>0.16300000000000001</v>
      </c>
      <c r="Y115" s="18">
        <v>0.1176</v>
      </c>
      <c r="Z115" s="18">
        <v>5.7000000000000002E-2</v>
      </c>
      <c r="AA115" s="18">
        <v>5.7000000000000002E-2</v>
      </c>
      <c r="AB115" s="18">
        <v>0.22359999999999999</v>
      </c>
      <c r="AC115" s="18">
        <v>5.7000000000000002E-2</v>
      </c>
      <c r="AD115" s="18">
        <v>5.7000000000000002E-2</v>
      </c>
      <c r="AE115" s="18">
        <v>0.22359999999999999</v>
      </c>
      <c r="AF115" s="18">
        <v>5.7000000000000002E-2</v>
      </c>
      <c r="AG115" s="18">
        <v>0.13270000000000001</v>
      </c>
      <c r="AH115" s="18">
        <v>0.33760000000000001</v>
      </c>
      <c r="AI115" s="18">
        <v>0.2392</v>
      </c>
      <c r="AJ115" s="18">
        <v>0.52590000000000003</v>
      </c>
      <c r="AK115" s="18">
        <v>0.3155</v>
      </c>
      <c r="AL115" s="18">
        <v>0.3468</v>
      </c>
      <c r="AM115" s="18">
        <v>0.5131</v>
      </c>
      <c r="AN115" s="18">
        <v>0.41399999999999998</v>
      </c>
      <c r="AO115" s="18">
        <v>0.26500000000000001</v>
      </c>
      <c r="AP115" s="18">
        <v>0.45450000000000002</v>
      </c>
      <c r="AQ115" s="18">
        <v>0.79359999999999997</v>
      </c>
      <c r="AR115" s="18">
        <v>0.34320000000000001</v>
      </c>
      <c r="AS115" s="18">
        <v>0.34150000000000003</v>
      </c>
      <c r="AT115" s="18">
        <v>0.60680000000000001</v>
      </c>
      <c r="AU115" s="18">
        <v>0.36919999999999997</v>
      </c>
      <c r="AV115" s="18">
        <v>5.7000000000000002E-2</v>
      </c>
      <c r="AW115" s="18">
        <v>0.22359999999999999</v>
      </c>
      <c r="AX115" s="18">
        <v>5.7000000000000002E-2</v>
      </c>
    </row>
    <row r="116" spans="1:50" x14ac:dyDescent="0.25">
      <c r="A116" s="17" t="s">
        <v>293</v>
      </c>
      <c r="B116" s="13" t="s">
        <v>168</v>
      </c>
      <c r="C116" s="18">
        <v>1.9460999999999999</v>
      </c>
      <c r="D116" s="18">
        <v>0.53400000000000003</v>
      </c>
      <c r="E116" s="18">
        <v>7.7299999999999994E-2</v>
      </c>
      <c r="F116" s="18">
        <v>0.1474</v>
      </c>
      <c r="G116" s="18">
        <v>0.1469</v>
      </c>
      <c r="H116" s="18">
        <v>0.14149999999999999</v>
      </c>
      <c r="I116" s="18">
        <v>0.15279999999999999</v>
      </c>
      <c r="J116" s="18">
        <v>5.3999999999999999E-2</v>
      </c>
      <c r="K116" s="18">
        <v>0.1469</v>
      </c>
      <c r="L116" s="18">
        <v>0.1474</v>
      </c>
      <c r="M116" s="18">
        <v>6.1699999999999998E-2</v>
      </c>
      <c r="N116" s="18">
        <v>0.2349</v>
      </c>
      <c r="O116" s="18">
        <v>6.5100000000000005E-2</v>
      </c>
      <c r="P116" s="18">
        <v>0.1055</v>
      </c>
      <c r="Q116" s="18">
        <v>0.15640000000000001</v>
      </c>
      <c r="R116" s="18">
        <v>0.38700000000000001</v>
      </c>
      <c r="S116" s="18">
        <v>0.20780000000000001</v>
      </c>
      <c r="T116" s="18">
        <v>0.33489999999999998</v>
      </c>
      <c r="U116" s="18">
        <v>0.25640000000000002</v>
      </c>
      <c r="V116" s="18">
        <v>8.7800000000000003E-2</v>
      </c>
      <c r="W116" s="18">
        <v>0.1096</v>
      </c>
      <c r="X116" s="18">
        <v>0.13059999999999999</v>
      </c>
      <c r="Y116" s="18">
        <v>0.1074</v>
      </c>
      <c r="Z116" s="18">
        <v>0.2727</v>
      </c>
      <c r="AA116" s="18">
        <v>0.16400000000000001</v>
      </c>
      <c r="AB116" s="18">
        <v>0.22009999999999999</v>
      </c>
      <c r="AC116" s="18">
        <v>5.3999999999999999E-2</v>
      </c>
      <c r="AD116" s="18">
        <v>0.17069999999999999</v>
      </c>
      <c r="AE116" s="18">
        <v>0.104</v>
      </c>
      <c r="AF116" s="18">
        <v>0.21110000000000001</v>
      </c>
      <c r="AG116" s="18">
        <v>0.12859999999999999</v>
      </c>
      <c r="AH116" s="18">
        <v>0.17519999999999999</v>
      </c>
      <c r="AI116" s="18">
        <v>0.28839999999999999</v>
      </c>
      <c r="AJ116" s="18">
        <v>0.23960000000000001</v>
      </c>
      <c r="AK116" s="18">
        <v>0.4113</v>
      </c>
      <c r="AL116" s="18">
        <v>0.25750000000000001</v>
      </c>
      <c r="AM116" s="18">
        <v>0.31840000000000002</v>
      </c>
      <c r="AN116" s="18">
        <v>0.17499999999999999</v>
      </c>
      <c r="AO116" s="18">
        <v>0.97089999999999999</v>
      </c>
      <c r="AP116" s="18">
        <v>0.81759999999999999</v>
      </c>
      <c r="AQ116" s="18">
        <v>0.6069</v>
      </c>
      <c r="AR116" s="18">
        <v>0.4869</v>
      </c>
      <c r="AS116" s="18">
        <v>0.53749999999999998</v>
      </c>
      <c r="AT116" s="18">
        <v>0.4955</v>
      </c>
      <c r="AU116" s="18">
        <v>0.69120000000000004</v>
      </c>
      <c r="AV116" s="18">
        <v>0.50860000000000005</v>
      </c>
      <c r="AW116" s="18">
        <v>0.12989999999999999</v>
      </c>
      <c r="AX116" s="18">
        <v>9.4799999999999995E-2</v>
      </c>
    </row>
    <row r="117" spans="1:50" x14ac:dyDescent="0.25">
      <c r="A117" s="17" t="s">
        <v>295</v>
      </c>
      <c r="B117" s="13" t="s">
        <v>168</v>
      </c>
      <c r="C117" s="18">
        <v>0.16839999999999999</v>
      </c>
      <c r="D117" s="18">
        <v>8.4199999999999997E-2</v>
      </c>
      <c r="E117" s="18">
        <v>0.15690000000000001</v>
      </c>
      <c r="F117" s="18">
        <v>8.4199999999999997E-2</v>
      </c>
      <c r="G117" s="18">
        <v>4.9599999999999998E-2</v>
      </c>
      <c r="H117" s="18">
        <v>0.16270000000000001</v>
      </c>
      <c r="I117" s="18">
        <v>7.8399999999999997E-2</v>
      </c>
      <c r="J117" s="18">
        <v>6.4000000000000001E-2</v>
      </c>
      <c r="K117" s="18">
        <v>0.12529999999999999</v>
      </c>
      <c r="L117" s="18">
        <v>4.1000000000000002E-2</v>
      </c>
      <c r="M117" s="18">
        <v>0.2001</v>
      </c>
      <c r="N117" s="18">
        <v>4.1000000000000002E-2</v>
      </c>
      <c r="O117" s="18">
        <v>8.4199999999999997E-2</v>
      </c>
      <c r="P117" s="18">
        <v>0.15690000000000001</v>
      </c>
      <c r="Q117" s="18">
        <v>8.9899999999999994E-2</v>
      </c>
      <c r="R117" s="18">
        <v>5.8099999999999999E-2</v>
      </c>
      <c r="S117" s="18">
        <v>0.2001</v>
      </c>
      <c r="T117" s="18">
        <v>4.1000000000000002E-2</v>
      </c>
      <c r="U117" s="18">
        <v>0.1235</v>
      </c>
      <c r="V117" s="18">
        <v>0.93940000000000001</v>
      </c>
      <c r="W117" s="18">
        <v>0.1202</v>
      </c>
      <c r="X117" s="18">
        <v>0.21390000000000001</v>
      </c>
      <c r="Y117" s="18">
        <v>0.1023</v>
      </c>
      <c r="Z117" s="18">
        <v>9.2799999999999994E-2</v>
      </c>
      <c r="AA117" s="18">
        <v>0.24379999999999999</v>
      </c>
      <c r="AB117" s="18">
        <v>4.1000000000000002E-2</v>
      </c>
      <c r="AC117" s="18">
        <v>9.2799999999999994E-2</v>
      </c>
      <c r="AD117" s="18">
        <v>0.107</v>
      </c>
      <c r="AE117" s="18">
        <v>0.19059999999999999</v>
      </c>
      <c r="AF117" s="18">
        <v>1.1989000000000001</v>
      </c>
      <c r="AG117" s="18">
        <v>0.1593</v>
      </c>
      <c r="AH117" s="18">
        <v>0.2097</v>
      </c>
      <c r="AI117" s="18">
        <v>0.1832</v>
      </c>
      <c r="AJ117" s="18">
        <v>0.10920000000000001</v>
      </c>
      <c r="AK117" s="18">
        <v>0.14829999999999999</v>
      </c>
      <c r="AL117" s="18">
        <v>7.2700000000000001E-2</v>
      </c>
      <c r="AM117" s="18">
        <v>9.1800000000000007E-2</v>
      </c>
      <c r="AN117" s="18">
        <v>0.1176</v>
      </c>
      <c r="AO117" s="18">
        <v>5.5399999999999998E-2</v>
      </c>
      <c r="AP117" s="18">
        <v>9.9900000000000003E-2</v>
      </c>
      <c r="AQ117" s="18">
        <v>0.99060000000000004</v>
      </c>
      <c r="AR117" s="18">
        <v>0.85660000000000003</v>
      </c>
      <c r="AS117" s="18">
        <v>0.29899999999999999</v>
      </c>
      <c r="AT117" s="18">
        <v>0.182</v>
      </c>
      <c r="AU117" s="18">
        <v>0.38790000000000002</v>
      </c>
      <c r="AV117" s="18">
        <v>0.33450000000000002</v>
      </c>
      <c r="AW117" s="18">
        <v>4.1000000000000002E-2</v>
      </c>
      <c r="AX117" s="18">
        <v>0.1512</v>
      </c>
    </row>
    <row r="118" spans="1:50" x14ac:dyDescent="0.25">
      <c r="A118" s="8" t="s">
        <v>152</v>
      </c>
      <c r="B118" s="10" t="s">
        <v>57</v>
      </c>
      <c r="C118" s="16">
        <v>6.1600000000000002E-2</v>
      </c>
      <c r="D118" s="16">
        <v>0.33929999999999999</v>
      </c>
      <c r="E118" s="16">
        <v>0.10440000000000001</v>
      </c>
      <c r="F118" s="16">
        <v>0.13950000000000001</v>
      </c>
      <c r="G118" s="16">
        <v>0.1598</v>
      </c>
      <c r="H118" s="16">
        <v>0.20599999999999999</v>
      </c>
      <c r="I118" s="16">
        <v>0.13950000000000001</v>
      </c>
      <c r="J118" s="16">
        <v>0.22750000000000001</v>
      </c>
      <c r="K118" s="16">
        <v>0.13830000000000001</v>
      </c>
      <c r="L118" s="16">
        <v>0.1366</v>
      </c>
      <c r="M118" s="16">
        <v>0.31459999999999999</v>
      </c>
      <c r="N118" s="16">
        <v>0.29659999999999997</v>
      </c>
      <c r="O118" s="16">
        <v>0.27839999999999998</v>
      </c>
      <c r="P118" s="16">
        <v>0.2014</v>
      </c>
      <c r="Q118" s="16">
        <v>0.19409999999999999</v>
      </c>
      <c r="R118" s="16">
        <v>0.46579999999999999</v>
      </c>
      <c r="S118" s="16">
        <v>0.1028</v>
      </c>
      <c r="T118" s="16">
        <v>5.7000000000000002E-2</v>
      </c>
      <c r="U118" s="16">
        <v>0.38719999999999999</v>
      </c>
      <c r="V118" s="16">
        <v>0.1409</v>
      </c>
      <c r="W118" s="16">
        <v>7.7299999999999994E-2</v>
      </c>
      <c r="X118" s="16">
        <v>0.33429999999999999</v>
      </c>
      <c r="Y118" s="16">
        <v>9.3700000000000006E-2</v>
      </c>
      <c r="Z118" s="16">
        <v>6.3799999999999996E-2</v>
      </c>
      <c r="AA118" s="16">
        <v>0.25800000000000001</v>
      </c>
      <c r="AB118" s="16">
        <v>0.15609999999999999</v>
      </c>
      <c r="AC118" s="16">
        <v>8.4500000000000006E-2</v>
      </c>
      <c r="AD118" s="16">
        <v>0.19189999999999999</v>
      </c>
      <c r="AE118" s="16">
        <v>0.25640000000000002</v>
      </c>
      <c r="AF118" s="16">
        <v>5.7000000000000002E-2</v>
      </c>
      <c r="AG118" s="16">
        <v>0.37780000000000002</v>
      </c>
      <c r="AH118" s="16">
        <v>7.0499999999999993E-2</v>
      </c>
      <c r="AI118" s="16">
        <v>0.13950000000000001</v>
      </c>
      <c r="AJ118" s="16">
        <v>0.20599999999999999</v>
      </c>
      <c r="AK118" s="16">
        <v>0.15329999999999999</v>
      </c>
      <c r="AL118" s="16">
        <v>0.57120000000000004</v>
      </c>
      <c r="AM118" s="16">
        <v>0.38629999999999998</v>
      </c>
      <c r="AN118" s="16">
        <v>0.13039999999999999</v>
      </c>
      <c r="AO118" s="16">
        <v>0.29520000000000002</v>
      </c>
      <c r="AP118" s="16">
        <v>7.9699999999999993E-2</v>
      </c>
      <c r="AQ118" s="16">
        <v>0.1507</v>
      </c>
      <c r="AR118" s="16">
        <v>0.28849999999999998</v>
      </c>
      <c r="AS118" s="16">
        <v>0.13950000000000001</v>
      </c>
      <c r="AT118" s="16">
        <v>8.6400000000000005E-2</v>
      </c>
      <c r="AU118" s="16">
        <v>0.27939999999999998</v>
      </c>
      <c r="AV118" s="16">
        <v>9.8299999999999998E-2</v>
      </c>
      <c r="AW118" s="16">
        <v>0.20100000000000001</v>
      </c>
      <c r="AX118" s="16">
        <v>0.1721</v>
      </c>
    </row>
    <row r="119" spans="1:50" x14ac:dyDescent="0.25">
      <c r="A119" s="17" t="s">
        <v>297</v>
      </c>
      <c r="B119" s="13" t="s">
        <v>168</v>
      </c>
      <c r="C119" s="18">
        <v>0.05</v>
      </c>
      <c r="D119" s="18">
        <v>0.05</v>
      </c>
      <c r="E119" s="18">
        <v>0.05</v>
      </c>
      <c r="F119" s="18">
        <v>0.05</v>
      </c>
      <c r="G119" s="18">
        <v>0.05</v>
      </c>
      <c r="H119" s="18">
        <v>0.05</v>
      </c>
      <c r="I119" s="18">
        <v>0.05</v>
      </c>
      <c r="J119" s="18">
        <v>0.05</v>
      </c>
      <c r="K119" s="18">
        <v>0.05</v>
      </c>
      <c r="L119" s="18">
        <v>0.05</v>
      </c>
      <c r="M119" s="18">
        <v>0.05</v>
      </c>
      <c r="N119" s="18">
        <v>0.05</v>
      </c>
      <c r="O119" s="18">
        <v>0.05</v>
      </c>
      <c r="P119" s="18">
        <v>0.05</v>
      </c>
      <c r="Q119" s="18">
        <v>0.05</v>
      </c>
      <c r="R119" s="18">
        <v>0.2019</v>
      </c>
      <c r="S119" s="18">
        <v>0.1946</v>
      </c>
      <c r="T119" s="18">
        <v>0.1366</v>
      </c>
      <c r="U119" s="18">
        <v>0.05</v>
      </c>
      <c r="V119" s="18">
        <v>0.18379999999999999</v>
      </c>
      <c r="W119" s="18">
        <v>1.3796999999999999</v>
      </c>
      <c r="X119" s="18">
        <v>0.2213</v>
      </c>
      <c r="Y119" s="18">
        <v>2.5823999999999998</v>
      </c>
      <c r="Z119" s="18">
        <v>1.0972999999999999</v>
      </c>
      <c r="AA119" s="18">
        <v>1.7195</v>
      </c>
      <c r="AB119" s="18">
        <v>0.16919999999999999</v>
      </c>
      <c r="AC119" s="18">
        <v>6.2799999999999995E-2</v>
      </c>
      <c r="AD119" s="18">
        <v>0.29580000000000001</v>
      </c>
      <c r="AE119" s="18">
        <v>0.20180000000000001</v>
      </c>
      <c r="AF119" s="18">
        <v>0.14929999999999999</v>
      </c>
      <c r="AG119" s="18">
        <v>0.18840000000000001</v>
      </c>
      <c r="AH119" s="18">
        <v>0.61119999999999997</v>
      </c>
      <c r="AI119" s="18">
        <v>1.5205</v>
      </c>
      <c r="AJ119" s="18">
        <v>2.6067999999999998</v>
      </c>
      <c r="AK119" s="18">
        <v>0.31369999999999998</v>
      </c>
      <c r="AL119" s="18">
        <v>1.7604</v>
      </c>
      <c r="AM119" s="18">
        <v>4.0328999999999997</v>
      </c>
      <c r="AN119" s="18">
        <v>2.8136999999999999</v>
      </c>
      <c r="AO119" s="18">
        <v>0.65459999999999996</v>
      </c>
      <c r="AP119" s="18">
        <v>0.27289999999999998</v>
      </c>
      <c r="AQ119" s="18">
        <v>0.29420000000000002</v>
      </c>
      <c r="AR119" s="18">
        <v>1.8944000000000001</v>
      </c>
      <c r="AS119" s="18">
        <v>2.5318000000000001</v>
      </c>
      <c r="AT119" s="18">
        <v>1.1476999999999999</v>
      </c>
      <c r="AU119" s="18">
        <v>0.33700000000000002</v>
      </c>
      <c r="AV119" s="18">
        <v>0.54579999999999995</v>
      </c>
      <c r="AW119" s="18">
        <v>0.34060000000000001</v>
      </c>
      <c r="AX119" s="18">
        <v>0.31290000000000001</v>
      </c>
    </row>
    <row r="120" spans="1:50" x14ac:dyDescent="0.25">
      <c r="A120" s="17" t="s">
        <v>299</v>
      </c>
      <c r="B120" s="13" t="s">
        <v>168</v>
      </c>
      <c r="C120" s="18">
        <v>0.36299999999999999</v>
      </c>
      <c r="D120" s="18">
        <v>3.6999999999999998E-2</v>
      </c>
      <c r="E120" s="18">
        <v>3.6999999999999998E-2</v>
      </c>
      <c r="F120" s="18">
        <v>0.20730000000000001</v>
      </c>
      <c r="G120" s="18">
        <v>3.6999999999999998E-2</v>
      </c>
      <c r="H120" s="18">
        <v>0.12989999999999999</v>
      </c>
      <c r="I120" s="18">
        <v>0.1144</v>
      </c>
      <c r="J120" s="18">
        <v>3.6999999999999998E-2</v>
      </c>
      <c r="K120" s="18">
        <v>0.20730000000000001</v>
      </c>
      <c r="L120" s="18">
        <v>3.6999999999999998E-2</v>
      </c>
      <c r="M120" s="18">
        <v>4.4699999999999997E-2</v>
      </c>
      <c r="N120" s="18">
        <v>0.19950000000000001</v>
      </c>
      <c r="O120" s="18">
        <v>3.6999999999999998E-2</v>
      </c>
      <c r="P120" s="18">
        <v>0.20730000000000001</v>
      </c>
      <c r="Q120" s="18">
        <v>3.6999999999999998E-2</v>
      </c>
      <c r="R120" s="18">
        <v>0.2492</v>
      </c>
      <c r="S120" s="18">
        <v>0.2545</v>
      </c>
      <c r="T120" s="18">
        <v>0.39829999999999999</v>
      </c>
      <c r="U120" s="18">
        <v>0.20730000000000001</v>
      </c>
      <c r="V120" s="18">
        <v>3.9800000000000002E-2</v>
      </c>
      <c r="W120" s="18">
        <v>0.2949</v>
      </c>
      <c r="X120" s="18">
        <v>9.4399999999999998E-2</v>
      </c>
      <c r="Y120" s="18">
        <v>0.18029999999999999</v>
      </c>
      <c r="Z120" s="18">
        <v>0.28029999999999999</v>
      </c>
      <c r="AA120" s="18">
        <v>0.112</v>
      </c>
      <c r="AB120" s="18">
        <v>0.2888</v>
      </c>
      <c r="AC120" s="18">
        <v>0.13059999999999999</v>
      </c>
      <c r="AD120" s="18">
        <v>0.29199999999999998</v>
      </c>
      <c r="AE120" s="18">
        <v>0.27279999999999999</v>
      </c>
      <c r="AF120" s="18">
        <v>0.31609999999999999</v>
      </c>
      <c r="AG120" s="18">
        <v>0.1174</v>
      </c>
      <c r="AH120" s="18">
        <v>0.2762</v>
      </c>
      <c r="AI120" s="18">
        <v>0.2059</v>
      </c>
      <c r="AJ120" s="18">
        <v>3.6999999999999998E-2</v>
      </c>
      <c r="AK120" s="18">
        <v>0.23250000000000001</v>
      </c>
      <c r="AL120" s="18">
        <v>0.20180000000000001</v>
      </c>
      <c r="AM120" s="18">
        <v>0.1148</v>
      </c>
      <c r="AN120" s="18">
        <v>0.17630000000000001</v>
      </c>
      <c r="AO120" s="18">
        <v>3.6999999999999998E-2</v>
      </c>
      <c r="AP120" s="18">
        <v>0.1144</v>
      </c>
      <c r="AQ120" s="18">
        <v>0.12989999999999999</v>
      </c>
      <c r="AR120" s="18">
        <v>3.6999999999999998E-2</v>
      </c>
      <c r="AS120" s="18">
        <v>4.4499999999999998E-2</v>
      </c>
      <c r="AT120" s="18">
        <v>0.1467</v>
      </c>
      <c r="AU120" s="18">
        <v>0.51229999999999998</v>
      </c>
      <c r="AV120" s="18">
        <v>0.31080000000000002</v>
      </c>
      <c r="AW120" s="18">
        <v>0.88339999999999996</v>
      </c>
      <c r="AX120" s="18">
        <v>0.75670000000000004</v>
      </c>
    </row>
    <row r="121" spans="1:50" x14ac:dyDescent="0.25">
      <c r="A121" s="17" t="s">
        <v>301</v>
      </c>
      <c r="B121" s="13" t="s">
        <v>168</v>
      </c>
      <c r="C121" s="18">
        <v>4.8000000000000001E-2</v>
      </c>
      <c r="D121" s="18">
        <v>4.8000000000000001E-2</v>
      </c>
      <c r="E121" s="18">
        <v>4.8000000000000001E-2</v>
      </c>
      <c r="F121" s="18">
        <v>4.8000000000000001E-2</v>
      </c>
      <c r="G121" s="18">
        <v>4.8000000000000001E-2</v>
      </c>
      <c r="H121" s="18">
        <v>4.8000000000000001E-2</v>
      </c>
      <c r="I121" s="18">
        <v>4.8000000000000001E-2</v>
      </c>
      <c r="J121" s="18">
        <v>4.8000000000000001E-2</v>
      </c>
      <c r="K121" s="18">
        <v>7.5499999999999998E-2</v>
      </c>
      <c r="L121" s="18">
        <v>4.8000000000000001E-2</v>
      </c>
      <c r="M121" s="18">
        <v>4.8000000000000001E-2</v>
      </c>
      <c r="N121" s="18">
        <v>4.8000000000000001E-2</v>
      </c>
      <c r="O121" s="18">
        <v>5.2200000000000003E-2</v>
      </c>
      <c r="P121" s="18">
        <v>0.28749999999999998</v>
      </c>
      <c r="Q121" s="18">
        <v>5.8000000000000003E-2</v>
      </c>
      <c r="R121" s="18">
        <v>5.0099999999999999E-2</v>
      </c>
      <c r="S121" s="18">
        <v>6.4899999999999999E-2</v>
      </c>
      <c r="T121" s="18">
        <v>0.5917</v>
      </c>
      <c r="U121" s="18">
        <v>0.80310000000000004</v>
      </c>
      <c r="V121" s="18">
        <v>9.8799999999999999E-2</v>
      </c>
      <c r="W121" s="18">
        <v>7.7899999999999997E-2</v>
      </c>
      <c r="X121" s="18">
        <v>0.10829999999999999</v>
      </c>
      <c r="Y121" s="18">
        <v>0.14849999999999999</v>
      </c>
      <c r="Z121" s="18">
        <v>0.13589999999999999</v>
      </c>
      <c r="AA121" s="18">
        <v>8.3199999999999996E-2</v>
      </c>
      <c r="AB121" s="18">
        <v>0.14660000000000001</v>
      </c>
      <c r="AC121" s="18">
        <v>0.23330000000000001</v>
      </c>
      <c r="AD121" s="18">
        <v>0.1159</v>
      </c>
      <c r="AE121" s="18">
        <v>0.67390000000000005</v>
      </c>
      <c r="AF121" s="18">
        <v>0.3826</v>
      </c>
      <c r="AG121" s="18">
        <v>0.10199999999999999</v>
      </c>
      <c r="AH121" s="18">
        <v>8.1199999999999994E-2</v>
      </c>
      <c r="AI121" s="18">
        <v>0.14449999999999999</v>
      </c>
      <c r="AJ121" s="18">
        <v>0.14929999999999999</v>
      </c>
      <c r="AK121" s="18">
        <v>0.113</v>
      </c>
      <c r="AL121" s="18">
        <v>6.0499999999999998E-2</v>
      </c>
      <c r="AM121" s="18">
        <v>0.14990000000000001</v>
      </c>
      <c r="AN121" s="18">
        <v>0.1789</v>
      </c>
      <c r="AO121" s="18">
        <v>0.24560000000000001</v>
      </c>
      <c r="AP121" s="18">
        <v>0.27389999999999998</v>
      </c>
      <c r="AQ121" s="18">
        <v>1.3240000000000001</v>
      </c>
      <c r="AR121" s="18">
        <v>0.69979999999999998</v>
      </c>
      <c r="AS121" s="18">
        <v>0.48630000000000001</v>
      </c>
      <c r="AT121" s="18">
        <v>0.4052</v>
      </c>
      <c r="AU121" s="18">
        <v>0.55189999999999995</v>
      </c>
      <c r="AV121" s="18">
        <v>0.54920000000000002</v>
      </c>
      <c r="AW121" s="18">
        <v>0.40679999999999999</v>
      </c>
      <c r="AX121" s="18">
        <v>0.20610000000000001</v>
      </c>
    </row>
    <row r="122" spans="1:50" x14ac:dyDescent="0.25">
      <c r="A122" s="8" t="s">
        <v>154</v>
      </c>
      <c r="B122" s="10" t="s">
        <v>57</v>
      </c>
      <c r="C122" s="16">
        <v>4.9000000000000002E-2</v>
      </c>
      <c r="D122" s="16">
        <v>9.9699999999999997E-2</v>
      </c>
      <c r="E122" s="16">
        <v>7.4399999999999994E-2</v>
      </c>
      <c r="F122" s="16">
        <v>9.5500000000000002E-2</v>
      </c>
      <c r="G122" s="16">
        <v>7.8600000000000003E-2</v>
      </c>
      <c r="H122" s="16">
        <v>4.9000000000000002E-2</v>
      </c>
      <c r="I122" s="16">
        <v>0.104</v>
      </c>
      <c r="J122" s="16">
        <v>7.0099999999999996E-2</v>
      </c>
      <c r="K122" s="16">
        <v>0.1124</v>
      </c>
      <c r="L122" s="16">
        <v>6.1699999999999998E-2</v>
      </c>
      <c r="M122" s="16">
        <v>0.1082</v>
      </c>
      <c r="N122" s="16">
        <v>6.59E-2</v>
      </c>
      <c r="O122" s="16">
        <v>4.9000000000000002E-2</v>
      </c>
      <c r="P122" s="16">
        <v>0.12509999999999999</v>
      </c>
      <c r="Q122" s="16">
        <v>0.27929999999999999</v>
      </c>
      <c r="R122" s="16">
        <v>0.27179999999999999</v>
      </c>
      <c r="S122" s="16">
        <v>0.28239999999999998</v>
      </c>
      <c r="T122" s="16">
        <v>0.24979999999999999</v>
      </c>
      <c r="U122" s="16">
        <v>0.3271</v>
      </c>
      <c r="V122" s="16">
        <v>0.15429999999999999</v>
      </c>
      <c r="W122" s="16">
        <v>0.16320000000000001</v>
      </c>
      <c r="X122" s="16">
        <v>0.12509999999999999</v>
      </c>
      <c r="Y122" s="16">
        <v>4.9000000000000002E-2</v>
      </c>
      <c r="Z122" s="16">
        <v>0.12509999999999999</v>
      </c>
      <c r="AA122" s="16">
        <v>4.9000000000000002E-2</v>
      </c>
      <c r="AB122" s="16">
        <v>0.12509999999999999</v>
      </c>
      <c r="AC122" s="16">
        <v>0.10879999999999999</v>
      </c>
      <c r="AD122" s="16">
        <v>0.29649999999999999</v>
      </c>
      <c r="AE122" s="16">
        <v>0.21099999999999999</v>
      </c>
      <c r="AF122" s="16">
        <v>0.24779999999999999</v>
      </c>
      <c r="AG122" s="16">
        <v>0.17199999999999999</v>
      </c>
      <c r="AH122" s="16">
        <v>6.3799999999999996E-2</v>
      </c>
      <c r="AI122" s="16">
        <v>9.6299999999999997E-2</v>
      </c>
      <c r="AJ122" s="16">
        <v>0.2109</v>
      </c>
      <c r="AK122" s="16">
        <v>9.3399999999999997E-2</v>
      </c>
      <c r="AL122" s="16">
        <v>0.33329999999999999</v>
      </c>
      <c r="AM122" s="16">
        <v>1.0790999999999999</v>
      </c>
      <c r="AN122" s="16">
        <v>0.13819999999999999</v>
      </c>
      <c r="AO122" s="16">
        <v>0.20499999999999999</v>
      </c>
      <c r="AP122" s="16">
        <v>0.12920000000000001</v>
      </c>
      <c r="AQ122" s="16">
        <v>0.30580000000000002</v>
      </c>
      <c r="AR122" s="16">
        <v>0.42480000000000001</v>
      </c>
      <c r="AS122" s="16">
        <v>0.36820000000000003</v>
      </c>
      <c r="AT122" s="16">
        <v>0.48559999999999998</v>
      </c>
      <c r="AU122" s="16">
        <v>0.12509999999999999</v>
      </c>
      <c r="AV122" s="16">
        <v>4.9000000000000002E-2</v>
      </c>
      <c r="AW122" s="16">
        <v>4.9000000000000002E-2</v>
      </c>
      <c r="AX122" s="16">
        <v>0.12509999999999999</v>
      </c>
    </row>
    <row r="123" spans="1:50" x14ac:dyDescent="0.25">
      <c r="A123" s="8" t="s">
        <v>156</v>
      </c>
      <c r="B123" s="10" t="s">
        <v>57</v>
      </c>
      <c r="C123" s="16">
        <v>0.15920000000000001</v>
      </c>
      <c r="D123" s="16">
        <v>5.7000000000000002E-2</v>
      </c>
      <c r="E123" s="16">
        <v>0.14460000000000001</v>
      </c>
      <c r="F123" s="16">
        <v>7.1599999999999997E-2</v>
      </c>
      <c r="G123" s="16">
        <v>7.1599999999999997E-2</v>
      </c>
      <c r="H123" s="16">
        <v>0.14460000000000001</v>
      </c>
      <c r="I123" s="16">
        <v>5.7000000000000002E-2</v>
      </c>
      <c r="J123" s="16">
        <v>0.15920000000000001</v>
      </c>
      <c r="K123" s="16">
        <v>5.7000000000000002E-2</v>
      </c>
      <c r="L123" s="16">
        <v>8.6199999999999999E-2</v>
      </c>
      <c r="M123" s="16">
        <v>0.13</v>
      </c>
      <c r="N123" s="16">
        <v>5.7000000000000002E-2</v>
      </c>
      <c r="O123" s="16">
        <v>0.15920000000000001</v>
      </c>
      <c r="P123" s="16">
        <v>5.7000000000000002E-2</v>
      </c>
      <c r="Q123" s="16">
        <v>0.27279999999999999</v>
      </c>
      <c r="R123" s="16">
        <v>0.20269999999999999</v>
      </c>
      <c r="S123" s="16">
        <v>7.6399999999999996E-2</v>
      </c>
      <c r="T123" s="16">
        <v>5.7000000000000002E-2</v>
      </c>
      <c r="U123" s="16">
        <v>0.15920000000000001</v>
      </c>
      <c r="V123" s="16">
        <v>5.7000000000000002E-2</v>
      </c>
      <c r="W123" s="16">
        <v>0.15920000000000001</v>
      </c>
      <c r="X123" s="16">
        <v>5.7000000000000002E-2</v>
      </c>
      <c r="Y123" s="16">
        <v>5.7000000000000002E-2</v>
      </c>
      <c r="Z123" s="16">
        <v>0.15920000000000001</v>
      </c>
      <c r="AA123" s="16">
        <v>8.9599999999999999E-2</v>
      </c>
      <c r="AB123" s="16">
        <v>2.524</v>
      </c>
      <c r="AC123" s="16">
        <v>2.5640999999999998</v>
      </c>
      <c r="AD123" s="16">
        <v>0.21029999999999999</v>
      </c>
      <c r="AE123" s="16">
        <v>0.82010000000000005</v>
      </c>
      <c r="AF123" s="16">
        <v>2.6859999999999999</v>
      </c>
      <c r="AG123" s="16">
        <v>2.2204999999999999</v>
      </c>
      <c r="AH123" s="16">
        <v>0.15959999999999999</v>
      </c>
      <c r="AI123" s="16">
        <v>0.1565</v>
      </c>
      <c r="AJ123" s="16">
        <v>0.24690000000000001</v>
      </c>
      <c r="AK123" s="16">
        <v>0.39850000000000002</v>
      </c>
      <c r="AL123" s="16">
        <v>1.3399000000000001</v>
      </c>
      <c r="AM123" s="16">
        <v>0.17660000000000001</v>
      </c>
      <c r="AN123" s="16">
        <v>0.1065</v>
      </c>
      <c r="AO123" s="16">
        <v>1.127</v>
      </c>
      <c r="AP123" s="16">
        <v>2.8346</v>
      </c>
      <c r="AQ123" s="16">
        <v>2.0007000000000001</v>
      </c>
      <c r="AR123" s="16">
        <v>0.35949999999999999</v>
      </c>
      <c r="AS123" s="16">
        <v>0.4098</v>
      </c>
      <c r="AT123" s="16">
        <v>0.33439999999999998</v>
      </c>
      <c r="AU123" s="16">
        <v>5.7000000000000002E-2</v>
      </c>
      <c r="AV123" s="16">
        <v>0.15920000000000001</v>
      </c>
      <c r="AW123" s="16">
        <v>5.7000000000000002E-2</v>
      </c>
      <c r="AX123" s="16">
        <v>0.1227</v>
      </c>
    </row>
    <row r="124" spans="1:50" x14ac:dyDescent="0.25">
      <c r="A124" s="8" t="s">
        <v>158</v>
      </c>
      <c r="B124" s="10" t="s">
        <v>57</v>
      </c>
      <c r="C124" s="16">
        <v>6.7500000000000004E-2</v>
      </c>
      <c r="D124" s="16">
        <v>0.29189999999999999</v>
      </c>
      <c r="E124" s="16">
        <v>5.2999999999999999E-2</v>
      </c>
      <c r="F124" s="16">
        <v>5.2999999999999999E-2</v>
      </c>
      <c r="G124" s="16">
        <v>0.24579999999999999</v>
      </c>
      <c r="H124" s="16">
        <v>0.11360000000000001</v>
      </c>
      <c r="I124" s="16">
        <v>5.2999999999999999E-2</v>
      </c>
      <c r="J124" s="16">
        <v>0.30630000000000002</v>
      </c>
      <c r="K124" s="16">
        <v>5.2999999999999999E-2</v>
      </c>
      <c r="L124" s="16">
        <v>0.13969999999999999</v>
      </c>
      <c r="M124" s="16">
        <v>5.2999999999999999E-2</v>
      </c>
      <c r="N124" s="16">
        <v>0.1852</v>
      </c>
      <c r="O124" s="16">
        <v>0.17419999999999999</v>
      </c>
      <c r="P124" s="16">
        <v>0.11559999999999999</v>
      </c>
      <c r="Q124" s="16">
        <v>0.2437</v>
      </c>
      <c r="R124" s="16">
        <v>0.13969999999999999</v>
      </c>
      <c r="S124" s="16">
        <v>0.159</v>
      </c>
      <c r="T124" s="16">
        <v>0.1578</v>
      </c>
      <c r="U124" s="16">
        <v>1.1347</v>
      </c>
      <c r="V124" s="16">
        <v>0.45800000000000002</v>
      </c>
      <c r="W124" s="16">
        <v>0.24379999999999999</v>
      </c>
      <c r="X124" s="16">
        <v>0.25430000000000003</v>
      </c>
      <c r="Y124" s="16">
        <v>9.64E-2</v>
      </c>
      <c r="Z124" s="16">
        <v>9.64E-2</v>
      </c>
      <c r="AA124" s="16">
        <v>0.19409999999999999</v>
      </c>
      <c r="AB124" s="16">
        <v>0.16520000000000001</v>
      </c>
      <c r="AC124" s="16">
        <v>0.15509999999999999</v>
      </c>
      <c r="AD124" s="16">
        <v>0.37480000000000002</v>
      </c>
      <c r="AE124" s="16">
        <v>0.58579999999999999</v>
      </c>
      <c r="AF124" s="16">
        <v>0.34129999999999999</v>
      </c>
      <c r="AG124" s="16">
        <v>0.29430000000000001</v>
      </c>
      <c r="AH124" s="16">
        <v>0.22670000000000001</v>
      </c>
      <c r="AI124" s="16">
        <v>0.25800000000000001</v>
      </c>
      <c r="AJ124" s="16">
        <v>0.2656</v>
      </c>
      <c r="AK124" s="16">
        <v>0.15140000000000001</v>
      </c>
      <c r="AL124" s="16">
        <v>0.17419999999999999</v>
      </c>
      <c r="AM124" s="16">
        <v>0.11700000000000001</v>
      </c>
      <c r="AN124" s="16">
        <v>0.1893</v>
      </c>
      <c r="AO124" s="16">
        <v>5.2999999999999999E-2</v>
      </c>
      <c r="AP124" s="16">
        <v>0.13969999999999999</v>
      </c>
      <c r="AQ124" s="16">
        <v>5.2999999999999999E-2</v>
      </c>
      <c r="AR124" s="16">
        <v>0.21959999999999999</v>
      </c>
      <c r="AS124" s="16">
        <v>5.2999999999999999E-2</v>
      </c>
      <c r="AT124" s="16">
        <v>5.2999999999999999E-2</v>
      </c>
      <c r="AU124" s="16">
        <v>0.1666</v>
      </c>
      <c r="AV124" s="16">
        <v>0.25840000000000002</v>
      </c>
      <c r="AW124" s="16">
        <v>0.1454</v>
      </c>
      <c r="AX124" s="16">
        <v>0.26429999999999998</v>
      </c>
    </row>
    <row r="125" spans="1:50" x14ac:dyDescent="0.25">
      <c r="A125" s="17" t="s">
        <v>303</v>
      </c>
      <c r="B125" s="13" t="s">
        <v>168</v>
      </c>
      <c r="C125" s="18">
        <v>0.10150000000000001</v>
      </c>
      <c r="D125" s="18">
        <v>0.16039999999999999</v>
      </c>
      <c r="E125" s="18">
        <v>0.05</v>
      </c>
      <c r="F125" s="18">
        <v>0.1236</v>
      </c>
      <c r="G125" s="18">
        <v>0.13830000000000001</v>
      </c>
      <c r="H125" s="18">
        <v>0.05</v>
      </c>
      <c r="I125" s="18">
        <v>0.21190000000000001</v>
      </c>
      <c r="J125" s="18">
        <v>0.05</v>
      </c>
      <c r="K125" s="18">
        <v>0.153</v>
      </c>
      <c r="L125" s="18">
        <v>0.1162</v>
      </c>
      <c r="M125" s="18">
        <v>0.05</v>
      </c>
      <c r="N125" s="18">
        <v>0.21190000000000001</v>
      </c>
      <c r="O125" s="18">
        <v>0.05</v>
      </c>
      <c r="P125" s="18">
        <v>0.05</v>
      </c>
      <c r="Q125" s="18">
        <v>8.6800000000000002E-2</v>
      </c>
      <c r="R125" s="18">
        <v>0.17510000000000001</v>
      </c>
      <c r="S125" s="18">
        <v>0.28289999999999998</v>
      </c>
      <c r="T125" s="18">
        <v>9.4399999999999998E-2</v>
      </c>
      <c r="U125" s="18">
        <v>0.05</v>
      </c>
      <c r="V125" s="18">
        <v>0.21190000000000001</v>
      </c>
      <c r="W125" s="18">
        <v>0.05</v>
      </c>
      <c r="X125" s="18">
        <v>0.11310000000000001</v>
      </c>
      <c r="Y125" s="18">
        <v>0.30020000000000002</v>
      </c>
      <c r="Z125" s="18">
        <v>0.27879999999999999</v>
      </c>
      <c r="AA125" s="18">
        <v>0.1988</v>
      </c>
      <c r="AB125" s="18">
        <v>0.9677</v>
      </c>
      <c r="AC125" s="18">
        <v>0.23669999999999999</v>
      </c>
      <c r="AD125" s="18">
        <v>8.0699999999999994E-2</v>
      </c>
      <c r="AE125" s="18">
        <v>0.05</v>
      </c>
      <c r="AF125" s="18">
        <v>0.1835</v>
      </c>
      <c r="AG125" s="18">
        <v>0.66439999999999999</v>
      </c>
      <c r="AH125" s="18">
        <v>0.96209999999999996</v>
      </c>
      <c r="AI125" s="18">
        <v>0.41120000000000001</v>
      </c>
      <c r="AJ125" s="18">
        <v>0.50319999999999998</v>
      </c>
      <c r="AK125" s="18">
        <v>1.1996</v>
      </c>
      <c r="AL125" s="18">
        <v>0.66269999999999996</v>
      </c>
      <c r="AM125" s="18">
        <v>0.37969999999999998</v>
      </c>
      <c r="AN125" s="18">
        <v>0.2356</v>
      </c>
      <c r="AO125" s="18">
        <v>0.30009999999999998</v>
      </c>
      <c r="AP125" s="18">
        <v>0.79879999999999995</v>
      </c>
      <c r="AQ125" s="18">
        <v>1.7475000000000001</v>
      </c>
      <c r="AR125" s="18">
        <v>0.55620000000000003</v>
      </c>
      <c r="AS125" s="18">
        <v>0.54530000000000001</v>
      </c>
      <c r="AT125" s="18">
        <v>0.4073</v>
      </c>
      <c r="AU125" s="18">
        <v>0.70489999999999997</v>
      </c>
      <c r="AV125" s="18">
        <v>0.4486</v>
      </c>
      <c r="AW125" s="18">
        <v>0.36399999999999999</v>
      </c>
      <c r="AX125" s="18">
        <v>0.20449999999999999</v>
      </c>
    </row>
    <row r="126" spans="1:50" x14ac:dyDescent="0.25">
      <c r="A126" s="17" t="s">
        <v>305</v>
      </c>
      <c r="B126" s="13" t="s">
        <v>168</v>
      </c>
      <c r="C126" s="18">
        <v>5.5E-2</v>
      </c>
      <c r="D126" s="18">
        <v>0.19139999999999999</v>
      </c>
      <c r="E126" s="18">
        <v>0.10489999999999999</v>
      </c>
      <c r="F126" s="18">
        <v>8.3799999999999999E-2</v>
      </c>
      <c r="G126" s="18">
        <v>0.11269999999999999</v>
      </c>
      <c r="H126" s="18">
        <v>0.16439999999999999</v>
      </c>
      <c r="I126" s="18">
        <v>0.13189999999999999</v>
      </c>
      <c r="J126" s="18">
        <v>0.15479999999999999</v>
      </c>
      <c r="K126" s="18">
        <v>0.14149999999999999</v>
      </c>
      <c r="L126" s="18">
        <v>5.5E-2</v>
      </c>
      <c r="M126" s="18">
        <v>5.5E-2</v>
      </c>
      <c r="N126" s="18">
        <v>0.15479999999999999</v>
      </c>
      <c r="O126" s="18">
        <v>5.5E-2</v>
      </c>
      <c r="P126" s="18">
        <v>0.18640000000000001</v>
      </c>
      <c r="Q126" s="18">
        <v>0.1099</v>
      </c>
      <c r="R126" s="18">
        <v>1.4883</v>
      </c>
      <c r="S126" s="18">
        <v>0.24529999999999999</v>
      </c>
      <c r="T126" s="18">
        <v>0.1037</v>
      </c>
      <c r="U126" s="18">
        <v>0.29260000000000003</v>
      </c>
      <c r="V126" s="18">
        <v>0.16239999999999999</v>
      </c>
      <c r="W126" s="18">
        <v>7.9000000000000001E-2</v>
      </c>
      <c r="X126" s="18">
        <v>0.20300000000000001</v>
      </c>
      <c r="Y126" s="18">
        <v>0.1221</v>
      </c>
      <c r="Z126" s="18">
        <v>8.8599999999999998E-2</v>
      </c>
      <c r="AA126" s="18">
        <v>0.21249999999999999</v>
      </c>
      <c r="AB126" s="18">
        <v>8.3799999999999999E-2</v>
      </c>
      <c r="AC126" s="18">
        <v>5.5E-2</v>
      </c>
      <c r="AD126" s="18">
        <v>0.23649999999999999</v>
      </c>
      <c r="AE126" s="18">
        <v>5.9799999999999999E-2</v>
      </c>
      <c r="AF126" s="18">
        <v>0.17710000000000001</v>
      </c>
      <c r="AG126" s="18">
        <v>0.43430000000000002</v>
      </c>
      <c r="AH126" s="18">
        <v>0.4027</v>
      </c>
      <c r="AI126" s="18">
        <v>0.49640000000000001</v>
      </c>
      <c r="AJ126" s="18">
        <v>0.62429999999999997</v>
      </c>
      <c r="AK126" s="18">
        <v>0.73450000000000004</v>
      </c>
      <c r="AL126" s="18">
        <v>0.44219999999999998</v>
      </c>
      <c r="AM126" s="18">
        <v>0.47389999999999999</v>
      </c>
      <c r="AN126" s="18">
        <v>0.54159999999999997</v>
      </c>
      <c r="AO126" s="18">
        <v>0.44679999999999997</v>
      </c>
      <c r="AP126" s="18">
        <v>0.14149999999999999</v>
      </c>
      <c r="AQ126" s="18">
        <v>0.15479999999999999</v>
      </c>
      <c r="AR126" s="18">
        <v>0.14149999999999999</v>
      </c>
      <c r="AS126" s="18">
        <v>0.1192</v>
      </c>
      <c r="AT126" s="18">
        <v>9.06E-2</v>
      </c>
      <c r="AU126" s="18">
        <v>0.11749999999999999</v>
      </c>
      <c r="AV126" s="18">
        <v>7.9000000000000001E-2</v>
      </c>
      <c r="AW126" s="18">
        <v>0.51049999999999995</v>
      </c>
      <c r="AX126" s="18">
        <v>0.42259999999999998</v>
      </c>
    </row>
    <row r="127" spans="1:50" x14ac:dyDescent="0.25">
      <c r="A127" s="17" t="s">
        <v>307</v>
      </c>
      <c r="B127" s="13" t="s">
        <v>168</v>
      </c>
      <c r="C127" s="18">
        <v>0.2137</v>
      </c>
      <c r="D127" s="18">
        <v>5.5E-2</v>
      </c>
      <c r="E127" s="18">
        <v>5.5E-2</v>
      </c>
      <c r="F127" s="18">
        <v>0.2137</v>
      </c>
      <c r="G127" s="18">
        <v>5.5E-2</v>
      </c>
      <c r="H127" s="18">
        <v>9.8299999999999998E-2</v>
      </c>
      <c r="I127" s="18">
        <v>0.1704</v>
      </c>
      <c r="J127" s="18">
        <v>5.5E-2</v>
      </c>
      <c r="K127" s="18">
        <v>0.2137</v>
      </c>
      <c r="L127" s="18">
        <v>5.5E-2</v>
      </c>
      <c r="M127" s="18">
        <v>5.5E-2</v>
      </c>
      <c r="N127" s="18">
        <v>0.19209999999999999</v>
      </c>
      <c r="O127" s="18">
        <v>7.6600000000000001E-2</v>
      </c>
      <c r="P127" s="18">
        <v>5.5E-2</v>
      </c>
      <c r="Q127" s="18">
        <v>0.18490000000000001</v>
      </c>
      <c r="R127" s="18">
        <v>8.3900000000000002E-2</v>
      </c>
      <c r="S127" s="18">
        <v>5.5E-2</v>
      </c>
      <c r="T127" s="18">
        <v>0.2137</v>
      </c>
      <c r="U127" s="18">
        <v>5.5E-2</v>
      </c>
      <c r="V127" s="18">
        <v>0.19209999999999999</v>
      </c>
      <c r="W127" s="18">
        <v>7.6600000000000001E-2</v>
      </c>
      <c r="X127" s="18">
        <v>5.5E-2</v>
      </c>
      <c r="Y127" s="18">
        <v>0.18490000000000001</v>
      </c>
      <c r="Z127" s="18">
        <v>0.24199999999999999</v>
      </c>
      <c r="AA127" s="18">
        <v>0.1948</v>
      </c>
      <c r="AB127" s="18">
        <v>0.27200000000000002</v>
      </c>
      <c r="AC127" s="18">
        <v>0.28399999999999997</v>
      </c>
      <c r="AD127" s="18">
        <v>0.18870000000000001</v>
      </c>
      <c r="AE127" s="18">
        <v>0.33119999999999999</v>
      </c>
      <c r="AF127" s="18">
        <v>7.2800000000000004E-2</v>
      </c>
      <c r="AG127" s="18">
        <v>0.19889999999999999</v>
      </c>
      <c r="AH127" s="18">
        <v>0.28589999999999999</v>
      </c>
      <c r="AI127" s="18">
        <v>0.1166</v>
      </c>
      <c r="AJ127" s="18">
        <v>0.20030000000000001</v>
      </c>
      <c r="AK127" s="18">
        <v>5.5E-2</v>
      </c>
      <c r="AL127" s="18">
        <v>0.2165</v>
      </c>
      <c r="AM127" s="18">
        <v>1.8546</v>
      </c>
      <c r="AN127" s="18">
        <v>0.46839999999999998</v>
      </c>
      <c r="AO127" s="18">
        <v>2.2502</v>
      </c>
      <c r="AP127" s="18">
        <v>0.38290000000000002</v>
      </c>
      <c r="AQ127" s="18">
        <v>0.69110000000000005</v>
      </c>
      <c r="AR127" s="18">
        <v>0.45910000000000001</v>
      </c>
      <c r="AS127" s="18">
        <v>1.3834</v>
      </c>
      <c r="AT127" s="18">
        <v>0.7137</v>
      </c>
      <c r="AU127" s="18">
        <v>0.91</v>
      </c>
      <c r="AV127" s="18">
        <v>0.81799999999999995</v>
      </c>
      <c r="AW127" s="18">
        <v>0.3054</v>
      </c>
      <c r="AX127" s="18">
        <v>0.19209999999999999</v>
      </c>
    </row>
    <row r="128" spans="1:50" x14ac:dyDescent="0.25">
      <c r="A128" s="8" t="s">
        <v>160</v>
      </c>
      <c r="B128" s="10" t="s">
        <v>57</v>
      </c>
      <c r="C128" s="16">
        <v>0.15959999999999999</v>
      </c>
      <c r="D128" s="16">
        <v>5.8000000000000003E-2</v>
      </c>
      <c r="E128" s="16">
        <v>5.8000000000000003E-2</v>
      </c>
      <c r="F128" s="16">
        <v>0.30680000000000002</v>
      </c>
      <c r="G128" s="16">
        <v>8.1199999999999994E-2</v>
      </c>
      <c r="H128" s="16">
        <v>0.13400000000000001</v>
      </c>
      <c r="I128" s="16">
        <v>0.254</v>
      </c>
      <c r="J128" s="16">
        <v>5.8000000000000003E-2</v>
      </c>
      <c r="K128" s="16">
        <v>0.21379999999999999</v>
      </c>
      <c r="L128" s="16">
        <v>0.1741</v>
      </c>
      <c r="M128" s="16">
        <v>5.8000000000000003E-2</v>
      </c>
      <c r="N128" s="16">
        <v>0.22539999999999999</v>
      </c>
      <c r="O128" s="16">
        <v>0.16250000000000001</v>
      </c>
      <c r="P128" s="16">
        <v>0.11990000000000001</v>
      </c>
      <c r="Q128" s="16">
        <v>0.16639999999999999</v>
      </c>
      <c r="R128" s="16">
        <v>0.25580000000000003</v>
      </c>
      <c r="S128" s="16">
        <v>0.3967</v>
      </c>
      <c r="T128" s="16">
        <v>0.4446</v>
      </c>
      <c r="U128" s="16">
        <v>0.37869999999999998</v>
      </c>
      <c r="V128" s="16">
        <v>0.37</v>
      </c>
      <c r="W128" s="16">
        <v>0.35120000000000001</v>
      </c>
      <c r="X128" s="16">
        <v>0.27139999999999997</v>
      </c>
      <c r="Y128" s="16">
        <v>0.44750000000000001</v>
      </c>
      <c r="Z128" s="16">
        <v>0.20219999999999999</v>
      </c>
      <c r="AA128" s="16">
        <v>0.27060000000000001</v>
      </c>
      <c r="AB128" s="16">
        <v>0.2293</v>
      </c>
      <c r="AC128" s="16">
        <v>0.15870000000000001</v>
      </c>
      <c r="AD128" s="16">
        <v>9.4299999999999995E-2</v>
      </c>
      <c r="AE128" s="16">
        <v>0.34229999999999999</v>
      </c>
      <c r="AF128" s="16">
        <v>0.22770000000000001</v>
      </c>
      <c r="AG128" s="16">
        <v>0.54400000000000004</v>
      </c>
      <c r="AH128" s="16">
        <v>0.36409999999999998</v>
      </c>
      <c r="AI128" s="16">
        <v>0.31309999999999999</v>
      </c>
      <c r="AJ128" s="16">
        <v>0.5343</v>
      </c>
      <c r="AK128" s="16">
        <v>0.38129999999999997</v>
      </c>
      <c r="AL128" s="16">
        <v>0.59550000000000003</v>
      </c>
      <c r="AM128" s="16">
        <v>5.8000000000000003E-2</v>
      </c>
      <c r="AN128" s="16">
        <v>5.8000000000000003E-2</v>
      </c>
      <c r="AO128" s="16">
        <v>0.2283</v>
      </c>
      <c r="AP128" s="16">
        <v>0.15240000000000001</v>
      </c>
      <c r="AQ128" s="16">
        <v>6.5299999999999997E-2</v>
      </c>
      <c r="AR128" s="16">
        <v>0.18140000000000001</v>
      </c>
      <c r="AS128" s="16">
        <v>0.20660000000000001</v>
      </c>
      <c r="AT128" s="16">
        <v>5.8000000000000003E-2</v>
      </c>
      <c r="AU128" s="16">
        <v>0.18190000000000001</v>
      </c>
      <c r="AV128" s="16">
        <v>0.1045</v>
      </c>
      <c r="AW128" s="16">
        <v>0.15959999999999999</v>
      </c>
      <c r="AX128" s="16">
        <v>0.2283</v>
      </c>
    </row>
    <row r="129" spans="1:50" x14ac:dyDescent="0.25">
      <c r="A129" s="8" t="s">
        <v>162</v>
      </c>
      <c r="B129" s="10" t="s">
        <v>57</v>
      </c>
      <c r="C129" s="16">
        <v>0.42559999999999998</v>
      </c>
      <c r="D129" s="16">
        <v>5.8999999999999997E-2</v>
      </c>
      <c r="E129" s="16">
        <v>0.2195</v>
      </c>
      <c r="F129" s="16">
        <v>0.31580000000000003</v>
      </c>
      <c r="G129" s="16">
        <v>5.8999999999999997E-2</v>
      </c>
      <c r="H129" s="16">
        <v>5.8999999999999997E-2</v>
      </c>
      <c r="I129" s="16">
        <v>0.2336</v>
      </c>
      <c r="J129" s="16">
        <v>0.30159999999999998</v>
      </c>
      <c r="K129" s="16">
        <v>5.8999999999999997E-2</v>
      </c>
      <c r="L129" s="16">
        <v>0.28660000000000002</v>
      </c>
      <c r="M129" s="16">
        <v>0.24859999999999999</v>
      </c>
      <c r="N129" s="16">
        <v>5.8999999999999997E-2</v>
      </c>
      <c r="O129" s="16">
        <v>0.47620000000000001</v>
      </c>
      <c r="P129" s="16">
        <v>5.8999999999999997E-2</v>
      </c>
      <c r="Q129" s="16">
        <v>0.29930000000000001</v>
      </c>
      <c r="R129" s="16">
        <v>0.2359</v>
      </c>
      <c r="S129" s="16">
        <v>0.1726</v>
      </c>
      <c r="T129" s="16">
        <v>0.85660000000000003</v>
      </c>
      <c r="U129" s="16">
        <v>0.56100000000000005</v>
      </c>
      <c r="V129" s="16">
        <v>0.2021</v>
      </c>
      <c r="W129" s="16">
        <v>0.45929999999999999</v>
      </c>
      <c r="X129" s="16">
        <v>0.33560000000000001</v>
      </c>
      <c r="Y129" s="16">
        <v>0.1183</v>
      </c>
      <c r="Z129" s="16">
        <v>0.57120000000000004</v>
      </c>
      <c r="AA129" s="16">
        <v>0.38069999999999998</v>
      </c>
      <c r="AB129" s="16">
        <v>0.2092</v>
      </c>
      <c r="AC129" s="16">
        <v>1.1143000000000001</v>
      </c>
      <c r="AD129" s="16">
        <v>0.64410000000000001</v>
      </c>
      <c r="AE129" s="16">
        <v>0.29659999999999997</v>
      </c>
      <c r="AF129" s="16">
        <v>2.4824999999999999</v>
      </c>
      <c r="AG129" s="16">
        <v>2.7330000000000001</v>
      </c>
      <c r="AH129" s="16">
        <v>1.1557999999999999</v>
      </c>
      <c r="AI129" s="16">
        <v>1.4092</v>
      </c>
      <c r="AJ129" s="16">
        <v>1.1841999999999999</v>
      </c>
      <c r="AK129" s="16">
        <v>1.9046000000000001</v>
      </c>
      <c r="AL129" s="16">
        <v>0.57640000000000002</v>
      </c>
      <c r="AM129" s="16">
        <v>0.64400000000000002</v>
      </c>
      <c r="AN129" s="16">
        <v>0.52990000000000004</v>
      </c>
      <c r="AO129" s="16">
        <v>0.54079999999999995</v>
      </c>
      <c r="AP129" s="16">
        <v>0.64590000000000003</v>
      </c>
      <c r="AQ129" s="16">
        <v>0.61770000000000003</v>
      </c>
      <c r="AR129" s="16">
        <v>0.70550000000000002</v>
      </c>
      <c r="AS129" s="16">
        <v>0.72119999999999995</v>
      </c>
      <c r="AT129" s="16">
        <v>0.67130000000000001</v>
      </c>
      <c r="AU129" s="16">
        <v>0.74219999999999997</v>
      </c>
      <c r="AV129" s="16">
        <v>0.66900000000000004</v>
      </c>
      <c r="AW129" s="16">
        <v>0.34820000000000001</v>
      </c>
      <c r="AX129" s="16">
        <v>0.2364</v>
      </c>
    </row>
    <row r="130" spans="1:50" x14ac:dyDescent="0.25">
      <c r="A130" s="17" t="s">
        <v>309</v>
      </c>
      <c r="B130" s="13" t="s">
        <v>168</v>
      </c>
      <c r="C130" s="18">
        <v>0.1464</v>
      </c>
      <c r="D130" s="18">
        <v>0.18140000000000001</v>
      </c>
      <c r="E130" s="18">
        <v>0.13239999999999999</v>
      </c>
      <c r="F130" s="18">
        <v>0.1804</v>
      </c>
      <c r="G130" s="18">
        <v>0.215</v>
      </c>
      <c r="H130" s="18">
        <v>5.0999999999999997E-2</v>
      </c>
      <c r="I130" s="18">
        <v>0.3513</v>
      </c>
      <c r="J130" s="18">
        <v>5.0999999999999997E-2</v>
      </c>
      <c r="K130" s="18">
        <v>0.29909999999999998</v>
      </c>
      <c r="L130" s="18">
        <v>0.1032</v>
      </c>
      <c r="M130" s="18">
        <v>5.0999999999999997E-2</v>
      </c>
      <c r="N130" s="18">
        <v>0.26829999999999998</v>
      </c>
      <c r="O130" s="18">
        <v>0.13400000000000001</v>
      </c>
      <c r="P130" s="18">
        <v>0.17369999999999999</v>
      </c>
      <c r="Q130" s="18">
        <v>0.26929999999999998</v>
      </c>
      <c r="R130" s="18">
        <v>0.1729</v>
      </c>
      <c r="S130" s="18">
        <v>0.24440000000000001</v>
      </c>
      <c r="T130" s="18">
        <v>0.26860000000000001</v>
      </c>
      <c r="U130" s="18">
        <v>0.71009999999999995</v>
      </c>
      <c r="V130" s="18">
        <v>0.70120000000000005</v>
      </c>
      <c r="W130" s="18">
        <v>0.42570000000000002</v>
      </c>
      <c r="X130" s="18">
        <v>0.22420000000000001</v>
      </c>
      <c r="Y130" s="18">
        <v>0.14050000000000001</v>
      </c>
      <c r="Z130" s="18">
        <v>0.12559999999999999</v>
      </c>
      <c r="AA130" s="18">
        <v>8.8300000000000003E-2</v>
      </c>
      <c r="AB130" s="18">
        <v>0.314</v>
      </c>
      <c r="AC130" s="18">
        <v>5.0999999999999997E-2</v>
      </c>
      <c r="AD130" s="18">
        <v>5.7799999999999997E-2</v>
      </c>
      <c r="AE130" s="18">
        <v>0.1804</v>
      </c>
      <c r="AF130" s="18">
        <v>5.0999999999999997E-2</v>
      </c>
      <c r="AG130" s="18">
        <v>1.2043999999999999</v>
      </c>
      <c r="AH130" s="18">
        <v>0.19719999999999999</v>
      </c>
      <c r="AI130" s="18">
        <v>0.30620000000000003</v>
      </c>
      <c r="AJ130" s="18">
        <v>0.22700000000000001</v>
      </c>
      <c r="AK130" s="18">
        <v>0.1421</v>
      </c>
      <c r="AL130" s="18">
        <v>1.4478</v>
      </c>
      <c r="AM130" s="18">
        <v>0.1988</v>
      </c>
      <c r="AN130" s="18">
        <v>0.26989999999999997</v>
      </c>
      <c r="AO130" s="18">
        <v>0.28000000000000003</v>
      </c>
      <c r="AP130" s="18">
        <v>0.11360000000000001</v>
      </c>
      <c r="AQ130" s="18">
        <v>0.37230000000000002</v>
      </c>
      <c r="AR130" s="18">
        <v>0.3352</v>
      </c>
      <c r="AS130" s="18">
        <v>0.34599999999999997</v>
      </c>
      <c r="AT130" s="18">
        <v>0.25159999999999999</v>
      </c>
      <c r="AU130" s="18">
        <v>0.4304</v>
      </c>
      <c r="AV130" s="18">
        <v>0.3387</v>
      </c>
      <c r="AW130" s="18">
        <v>0.39960000000000001</v>
      </c>
      <c r="AX130" s="18">
        <v>0.40739999999999998</v>
      </c>
    </row>
    <row r="131" spans="1:50" x14ac:dyDescent="0.25">
      <c r="A131" s="8" t="s">
        <v>164</v>
      </c>
      <c r="B131" s="10" t="s">
        <v>57</v>
      </c>
      <c r="C131" s="16">
        <v>0.22559999999999999</v>
      </c>
      <c r="D131" s="16">
        <v>5.2999999999999999E-2</v>
      </c>
      <c r="E131" s="16">
        <v>0.1229</v>
      </c>
      <c r="F131" s="16">
        <v>0.15329999999999999</v>
      </c>
      <c r="G131" s="16">
        <v>0.21379999999999999</v>
      </c>
      <c r="H131" s="16">
        <v>6.2300000000000001E-2</v>
      </c>
      <c r="I131" s="16">
        <v>0.18609999999999999</v>
      </c>
      <c r="J131" s="16">
        <v>0.17630000000000001</v>
      </c>
      <c r="K131" s="16">
        <v>9.3700000000000006E-2</v>
      </c>
      <c r="L131" s="16">
        <v>0.26869999999999999</v>
      </c>
      <c r="M131" s="16">
        <v>5.2999999999999999E-2</v>
      </c>
      <c r="N131" s="16">
        <v>0.22559999999999999</v>
      </c>
      <c r="O131" s="16">
        <v>0.1042</v>
      </c>
      <c r="P131" s="16">
        <v>0.2268</v>
      </c>
      <c r="Q131" s="16">
        <v>8.4400000000000003E-2</v>
      </c>
      <c r="R131" s="16">
        <v>0.13139999999999999</v>
      </c>
      <c r="S131" s="16">
        <v>0.14710000000000001</v>
      </c>
      <c r="T131" s="16">
        <v>0.1229</v>
      </c>
      <c r="U131" s="16">
        <v>0.23960000000000001</v>
      </c>
      <c r="V131" s="16">
        <v>0.1368</v>
      </c>
      <c r="W131" s="16">
        <v>0.20699999999999999</v>
      </c>
      <c r="X131" s="16">
        <v>0.17249999999999999</v>
      </c>
      <c r="Y131" s="16">
        <v>0.1368</v>
      </c>
      <c r="Z131" s="16">
        <v>0.22559999999999999</v>
      </c>
      <c r="AA131" s="16">
        <v>0.1368</v>
      </c>
      <c r="AB131" s="16">
        <v>5.4800000000000001E-2</v>
      </c>
      <c r="AC131" s="16">
        <v>5.7700000000000001E-2</v>
      </c>
      <c r="AD131" s="16">
        <v>0.27339999999999998</v>
      </c>
      <c r="AE131" s="16">
        <v>8.4400000000000003E-2</v>
      </c>
      <c r="AF131" s="16">
        <v>0.2109</v>
      </c>
      <c r="AG131" s="16">
        <v>0.38840000000000002</v>
      </c>
      <c r="AH131" s="16">
        <v>0.2666</v>
      </c>
      <c r="AI131" s="16">
        <v>0.53990000000000005</v>
      </c>
      <c r="AJ131" s="16">
        <v>0.51490000000000002</v>
      </c>
      <c r="AK131" s="16">
        <v>0.38379999999999997</v>
      </c>
      <c r="AL131" s="16">
        <v>0.50829999999999997</v>
      </c>
      <c r="AM131" s="16">
        <v>0.38419999999999999</v>
      </c>
      <c r="AN131" s="16">
        <v>0.41860000000000003</v>
      </c>
      <c r="AO131" s="16">
        <v>2.1153</v>
      </c>
      <c r="AP131" s="16">
        <v>2.5706000000000002</v>
      </c>
      <c r="AQ131" s="16">
        <v>1.6833</v>
      </c>
      <c r="AR131" s="16">
        <v>7.6499999999999999E-2</v>
      </c>
      <c r="AS131" s="16">
        <v>0.18290000000000001</v>
      </c>
      <c r="AT131" s="16">
        <v>0.17949999999999999</v>
      </c>
      <c r="AU131" s="16">
        <v>0.10009999999999999</v>
      </c>
      <c r="AV131" s="16">
        <v>0.17849999999999999</v>
      </c>
      <c r="AW131" s="16">
        <v>0.1368</v>
      </c>
      <c r="AX131" s="16">
        <v>0.17849999999999999</v>
      </c>
    </row>
    <row r="132" spans="1:50" x14ac:dyDescent="0.25">
      <c r="A132" s="17" t="s">
        <v>311</v>
      </c>
      <c r="B132" s="13" t="s">
        <v>168</v>
      </c>
      <c r="C132" s="18">
        <v>0.16769999999999999</v>
      </c>
      <c r="D132" s="18">
        <v>5.6000000000000001E-2</v>
      </c>
      <c r="E132" s="18">
        <v>5.6000000000000001E-2</v>
      </c>
      <c r="F132" s="18">
        <v>0.16769999999999999</v>
      </c>
      <c r="G132" s="18">
        <v>5.6000000000000001E-2</v>
      </c>
      <c r="H132" s="18">
        <v>0.16769999999999999</v>
      </c>
      <c r="I132" s="18">
        <v>5.6000000000000001E-2</v>
      </c>
      <c r="J132" s="18">
        <v>5.6000000000000001E-2</v>
      </c>
      <c r="K132" s="18">
        <v>5.6000000000000001E-2</v>
      </c>
      <c r="L132" s="18">
        <v>0.16769999999999999</v>
      </c>
      <c r="M132" s="18">
        <v>5.6000000000000001E-2</v>
      </c>
      <c r="N132" s="18">
        <v>5.6000000000000001E-2</v>
      </c>
      <c r="O132" s="18">
        <v>0.16769999999999999</v>
      </c>
      <c r="P132" s="18">
        <v>5.6000000000000001E-2</v>
      </c>
      <c r="Q132" s="18">
        <v>0.1278</v>
      </c>
      <c r="R132" s="18">
        <v>9.5899999999999999E-2</v>
      </c>
      <c r="S132" s="18">
        <v>5.6000000000000001E-2</v>
      </c>
      <c r="T132" s="18">
        <v>5.6000000000000001E-2</v>
      </c>
      <c r="U132" s="18">
        <v>0.16769999999999999</v>
      </c>
      <c r="V132" s="18">
        <v>5.6000000000000001E-2</v>
      </c>
      <c r="W132" s="18">
        <v>0.1278</v>
      </c>
      <c r="X132" s="18">
        <v>9.5899999999999999E-2</v>
      </c>
      <c r="Y132" s="18">
        <v>5.6000000000000001E-2</v>
      </c>
      <c r="Z132" s="18">
        <v>0.16769999999999999</v>
      </c>
      <c r="AA132" s="18">
        <v>5.6000000000000001E-2</v>
      </c>
      <c r="AB132" s="18">
        <v>5.6000000000000001E-2</v>
      </c>
      <c r="AC132" s="18">
        <v>5.6000000000000001E-2</v>
      </c>
      <c r="AD132" s="18">
        <v>0.16769999999999999</v>
      </c>
      <c r="AE132" s="18">
        <v>5.6000000000000001E-2</v>
      </c>
      <c r="AF132" s="18">
        <v>0.15179999999999999</v>
      </c>
      <c r="AG132" s="18">
        <v>7.1999999999999995E-2</v>
      </c>
      <c r="AH132" s="18">
        <v>5.6000000000000001E-2</v>
      </c>
      <c r="AI132" s="18">
        <v>0.16769999999999999</v>
      </c>
      <c r="AJ132" s="18">
        <v>5.6000000000000001E-2</v>
      </c>
      <c r="AK132" s="18">
        <v>5.6000000000000001E-2</v>
      </c>
      <c r="AL132" s="18">
        <v>0.16769999999999999</v>
      </c>
      <c r="AM132" s="18">
        <v>5.6000000000000001E-2</v>
      </c>
      <c r="AN132" s="18">
        <v>5.6000000000000001E-2</v>
      </c>
      <c r="AO132" s="18">
        <v>5.6000000000000001E-2</v>
      </c>
      <c r="AP132" s="18">
        <v>0.2031</v>
      </c>
      <c r="AQ132" s="18">
        <v>0.20100000000000001</v>
      </c>
      <c r="AR132" s="18">
        <v>0.21579999999999999</v>
      </c>
      <c r="AS132" s="18">
        <v>0.28970000000000001</v>
      </c>
      <c r="AT132" s="18">
        <v>0.2397</v>
      </c>
      <c r="AU132" s="18">
        <v>0.45040000000000002</v>
      </c>
      <c r="AV132" s="18">
        <v>0.31080000000000002</v>
      </c>
      <c r="AW132" s="18">
        <v>0.36799999999999999</v>
      </c>
      <c r="AX132" s="18">
        <v>0.624</v>
      </c>
    </row>
    <row r="133" spans="1:50" x14ac:dyDescent="0.25">
      <c r="A133" s="17" t="s">
        <v>313</v>
      </c>
      <c r="B133" s="13" t="s">
        <v>168</v>
      </c>
      <c r="C133" s="18">
        <v>0.75990000000000002</v>
      </c>
      <c r="D133" s="18">
        <v>5.1999999999999998E-2</v>
      </c>
      <c r="E133" s="18">
        <v>0.15679999999999999</v>
      </c>
      <c r="F133" s="18">
        <v>0.1246</v>
      </c>
      <c r="G133" s="18">
        <v>6.8099999999999994E-2</v>
      </c>
      <c r="H133" s="18">
        <v>0.21329999999999999</v>
      </c>
      <c r="I133" s="18">
        <v>5.1999999999999998E-2</v>
      </c>
      <c r="J133" s="18">
        <v>0.15679999999999999</v>
      </c>
      <c r="K133" s="18">
        <v>0.1246</v>
      </c>
      <c r="L133" s="18">
        <v>0.1004</v>
      </c>
      <c r="M133" s="18">
        <v>0.18099999999999999</v>
      </c>
      <c r="N133" s="18">
        <v>5.1999999999999998E-2</v>
      </c>
      <c r="O133" s="18">
        <v>0.21329999999999999</v>
      </c>
      <c r="P133" s="18">
        <v>6.8099999999999994E-2</v>
      </c>
      <c r="Q133" s="18">
        <v>0.55400000000000005</v>
      </c>
      <c r="R133" s="18">
        <v>0.45400000000000001</v>
      </c>
      <c r="S133" s="18">
        <v>0.2417</v>
      </c>
      <c r="T133" s="18">
        <v>0.36349999999999999</v>
      </c>
      <c r="U133" s="18">
        <v>0.1482</v>
      </c>
      <c r="V133" s="18">
        <v>0.13270000000000001</v>
      </c>
      <c r="W133" s="18">
        <v>0.3543</v>
      </c>
      <c r="X133" s="18">
        <v>5.1999999999999998E-2</v>
      </c>
      <c r="Y133" s="18">
        <v>8.3099999999999993E-2</v>
      </c>
      <c r="Z133" s="18">
        <v>0.32990000000000003</v>
      </c>
      <c r="AA133" s="18">
        <v>0.24790000000000001</v>
      </c>
      <c r="AB133" s="18">
        <v>0.20280000000000001</v>
      </c>
      <c r="AC133" s="18">
        <v>0.44590000000000002</v>
      </c>
      <c r="AD133" s="18">
        <v>0.2545</v>
      </c>
      <c r="AE133" s="18">
        <v>1.0239</v>
      </c>
      <c r="AF133" s="18">
        <v>0.46079999999999999</v>
      </c>
      <c r="AG133" s="18">
        <v>0.27860000000000001</v>
      </c>
      <c r="AH133" s="18">
        <v>0.28499999999999998</v>
      </c>
      <c r="AI133" s="18">
        <v>0.36370000000000002</v>
      </c>
      <c r="AJ133" s="18">
        <v>0.31569999999999998</v>
      </c>
      <c r="AK133" s="18">
        <v>0.1003</v>
      </c>
      <c r="AL133" s="18">
        <v>0.30049999999999999</v>
      </c>
      <c r="AM133" s="18">
        <v>0.1784</v>
      </c>
      <c r="AN133" s="18">
        <v>0.45860000000000001</v>
      </c>
      <c r="AO133" s="18">
        <v>0.40529999999999999</v>
      </c>
      <c r="AP133" s="18">
        <v>0.42409999999999998</v>
      </c>
      <c r="AQ133" s="18">
        <v>0.57740000000000002</v>
      </c>
      <c r="AR133" s="18">
        <v>0.75109999999999999</v>
      </c>
      <c r="AS133" s="18">
        <v>0.63819999999999999</v>
      </c>
      <c r="AT133" s="18">
        <v>0.11650000000000001</v>
      </c>
      <c r="AU133" s="18">
        <v>0.16489999999999999</v>
      </c>
      <c r="AV133" s="18">
        <v>0.11609999999999999</v>
      </c>
      <c r="AW133" s="18">
        <v>0.22140000000000001</v>
      </c>
      <c r="AX133" s="18">
        <v>5.1999999999999998E-2</v>
      </c>
    </row>
    <row r="134" spans="1:50" x14ac:dyDescent="0.25">
      <c r="A134" s="17" t="s">
        <v>315</v>
      </c>
      <c r="B134" s="13" t="s">
        <v>168</v>
      </c>
      <c r="C134" s="18">
        <v>0.10680000000000001</v>
      </c>
      <c r="D134" s="18">
        <v>0.26500000000000001</v>
      </c>
      <c r="E134" s="18">
        <v>0.12559999999999999</v>
      </c>
      <c r="F134" s="18">
        <v>0.44290000000000002</v>
      </c>
      <c r="G134" s="18">
        <v>8.9300000000000004E-2</v>
      </c>
      <c r="H134" s="18">
        <v>0.36599999999999999</v>
      </c>
      <c r="I134" s="18">
        <v>0.22320000000000001</v>
      </c>
      <c r="J134" s="18">
        <v>0.23480000000000001</v>
      </c>
      <c r="K134" s="18">
        <v>0.33479999999999999</v>
      </c>
      <c r="L134" s="18">
        <v>0.18970000000000001</v>
      </c>
      <c r="M134" s="18">
        <v>0.14230000000000001</v>
      </c>
      <c r="N134" s="18">
        <v>0.30649999999999999</v>
      </c>
      <c r="O134" s="18">
        <v>0.13439999999999999</v>
      </c>
      <c r="P134" s="18">
        <v>0.25069999999999998</v>
      </c>
      <c r="Q134" s="18">
        <v>0.2752</v>
      </c>
      <c r="R134" s="18">
        <v>0.2215</v>
      </c>
      <c r="S134" s="18">
        <v>0.30320000000000003</v>
      </c>
      <c r="T134" s="18">
        <v>0.35959999999999998</v>
      </c>
      <c r="U134" s="18">
        <v>0.2039</v>
      </c>
      <c r="V134" s="18">
        <v>0.29559999999999997</v>
      </c>
      <c r="W134" s="18">
        <v>0.19570000000000001</v>
      </c>
      <c r="X134" s="18">
        <v>0.16120000000000001</v>
      </c>
      <c r="Y134" s="18">
        <v>0.22559999999999999</v>
      </c>
      <c r="Z134" s="18">
        <v>0.31909999999999999</v>
      </c>
      <c r="AA134" s="18">
        <v>0.16589999999999999</v>
      </c>
      <c r="AB134" s="18">
        <v>0.25180000000000002</v>
      </c>
      <c r="AC134" s="18">
        <v>0.4052</v>
      </c>
      <c r="AD134" s="18">
        <v>0.39329999999999998</v>
      </c>
      <c r="AE134" s="18">
        <v>0.51270000000000004</v>
      </c>
      <c r="AF134" s="18">
        <v>0.1799</v>
      </c>
      <c r="AG134" s="18">
        <v>0.1449</v>
      </c>
      <c r="AH134" s="18">
        <v>0.26769999999999999</v>
      </c>
      <c r="AI134" s="18">
        <v>0.37080000000000002</v>
      </c>
      <c r="AJ134" s="18">
        <v>0.1769</v>
      </c>
      <c r="AK134" s="18">
        <v>0.44550000000000001</v>
      </c>
      <c r="AL134" s="18">
        <v>9.5399999999999999E-2</v>
      </c>
      <c r="AM134" s="18">
        <v>0.41060000000000002</v>
      </c>
      <c r="AN134" s="18">
        <v>0.38719999999999999</v>
      </c>
      <c r="AO134" s="18">
        <v>0.39079999999999998</v>
      </c>
      <c r="AP134" s="18">
        <v>0.27800000000000002</v>
      </c>
      <c r="AQ134" s="18">
        <v>1.7121999999999999</v>
      </c>
      <c r="AR134" s="18">
        <v>0.36570000000000003</v>
      </c>
      <c r="AS134" s="18">
        <v>0.62760000000000005</v>
      </c>
      <c r="AT134" s="18">
        <v>0.86990000000000001</v>
      </c>
      <c r="AU134" s="18">
        <v>0.48020000000000002</v>
      </c>
      <c r="AV134" s="18">
        <v>0.46970000000000001</v>
      </c>
      <c r="AW134" s="18">
        <v>0.45229999999999998</v>
      </c>
      <c r="AX134" s="18">
        <v>0.67849999999999999</v>
      </c>
    </row>
    <row r="135" spans="1:50" x14ac:dyDescent="0.25">
      <c r="A135" s="17" t="s">
        <v>317</v>
      </c>
      <c r="B135" s="13" t="s">
        <v>168</v>
      </c>
      <c r="C135" s="18">
        <v>4.3999999999999997E-2</v>
      </c>
      <c r="D135" s="18">
        <v>4.3999999999999997E-2</v>
      </c>
      <c r="E135" s="18">
        <v>0.1053</v>
      </c>
      <c r="F135" s="18">
        <v>0.15060000000000001</v>
      </c>
      <c r="G135" s="18">
        <v>4.3999999999999997E-2</v>
      </c>
      <c r="H135" s="18">
        <v>4.3999999999999997E-2</v>
      </c>
      <c r="I135" s="18">
        <v>4.3999999999999997E-2</v>
      </c>
      <c r="J135" s="18">
        <v>4.3999999999999997E-2</v>
      </c>
      <c r="K135" s="18">
        <v>4.3999999999999997E-2</v>
      </c>
      <c r="L135" s="18">
        <v>4.3999999999999997E-2</v>
      </c>
      <c r="M135" s="18">
        <v>4.3999999999999997E-2</v>
      </c>
      <c r="N135" s="18">
        <v>4.3999999999999997E-2</v>
      </c>
      <c r="O135" s="18">
        <v>4.3999999999999997E-2</v>
      </c>
      <c r="P135" s="18">
        <v>4.3999999999999997E-2</v>
      </c>
      <c r="Q135" s="18">
        <v>4.3999999999999997E-2</v>
      </c>
      <c r="R135" s="18">
        <v>0.2681</v>
      </c>
      <c r="S135" s="18">
        <v>0.20369999999999999</v>
      </c>
      <c r="T135" s="18">
        <v>0.25369999999999998</v>
      </c>
      <c r="U135" s="18">
        <v>0.35699999999999998</v>
      </c>
      <c r="V135" s="18">
        <v>4.3999999999999997E-2</v>
      </c>
      <c r="W135" s="18">
        <v>4.3999999999999997E-2</v>
      </c>
      <c r="X135" s="18">
        <v>4.3999999999999997E-2</v>
      </c>
      <c r="Y135" s="18">
        <v>4.3999999999999997E-2</v>
      </c>
      <c r="Z135" s="18">
        <v>4.3999999999999997E-2</v>
      </c>
      <c r="AA135" s="18">
        <v>4.3999999999999997E-2</v>
      </c>
      <c r="AB135" s="18">
        <v>4.3999999999999997E-2</v>
      </c>
      <c r="AC135" s="18">
        <v>0.26979999999999998</v>
      </c>
      <c r="AD135" s="18">
        <v>0.26979999999999998</v>
      </c>
      <c r="AE135" s="18">
        <v>0.19040000000000001</v>
      </c>
      <c r="AF135" s="18">
        <v>0.2077</v>
      </c>
      <c r="AG135" s="18">
        <v>0.1208</v>
      </c>
      <c r="AH135" s="18">
        <v>8.7800000000000003E-2</v>
      </c>
      <c r="AI135" s="18">
        <v>0.38600000000000001</v>
      </c>
      <c r="AJ135" s="18">
        <v>9.5399999999999999E-2</v>
      </c>
      <c r="AK135" s="18">
        <v>4.3999999999999997E-2</v>
      </c>
      <c r="AL135" s="18">
        <v>4.3999999999999997E-2</v>
      </c>
      <c r="AM135" s="18">
        <v>4.3999999999999997E-2</v>
      </c>
      <c r="AN135" s="18">
        <v>4.3999999999999997E-2</v>
      </c>
      <c r="AO135" s="18">
        <v>0.12590000000000001</v>
      </c>
      <c r="AP135" s="18">
        <v>0.2702</v>
      </c>
      <c r="AQ135" s="18">
        <v>0.4128</v>
      </c>
      <c r="AR135" s="18">
        <v>0.27029999999999998</v>
      </c>
      <c r="AS135" s="18">
        <v>0.35389999999999999</v>
      </c>
      <c r="AT135" s="18">
        <v>0.38379999999999997</v>
      </c>
      <c r="AU135" s="18">
        <v>0.38569999999999999</v>
      </c>
      <c r="AV135" s="18">
        <v>0.34889999999999999</v>
      </c>
      <c r="AW135" s="18">
        <v>0.22</v>
      </c>
      <c r="AX135" s="18">
        <v>4.3999999999999997E-2</v>
      </c>
    </row>
    <row r="136" spans="1:50" x14ac:dyDescent="0.25">
      <c r="A136" s="17" t="s">
        <v>319</v>
      </c>
      <c r="B136" s="13" t="s">
        <v>168</v>
      </c>
      <c r="C136" s="18">
        <v>4.8000000000000001E-2</v>
      </c>
      <c r="D136" s="18">
        <v>4.8000000000000001E-2</v>
      </c>
      <c r="E136" s="18">
        <v>4.8000000000000001E-2</v>
      </c>
      <c r="F136" s="18">
        <v>4.8000000000000001E-2</v>
      </c>
      <c r="G136" s="18">
        <v>4.8000000000000001E-2</v>
      </c>
      <c r="H136" s="18">
        <v>4.8000000000000001E-2</v>
      </c>
      <c r="I136" s="18">
        <v>4.8000000000000001E-2</v>
      </c>
      <c r="J136" s="18">
        <v>4.8000000000000001E-2</v>
      </c>
      <c r="K136" s="18">
        <v>4.8000000000000001E-2</v>
      </c>
      <c r="L136" s="18">
        <v>4.8000000000000001E-2</v>
      </c>
      <c r="M136" s="18">
        <v>4.8000000000000001E-2</v>
      </c>
      <c r="N136" s="18">
        <v>4.8000000000000001E-2</v>
      </c>
      <c r="O136" s="18">
        <v>4.8000000000000001E-2</v>
      </c>
      <c r="P136" s="18">
        <v>4.8000000000000001E-2</v>
      </c>
      <c r="Q136" s="18">
        <v>4.8000000000000001E-2</v>
      </c>
      <c r="R136" s="18">
        <v>4.8000000000000001E-2</v>
      </c>
      <c r="S136" s="18">
        <v>4.8000000000000001E-2</v>
      </c>
      <c r="T136" s="18">
        <v>4.8000000000000001E-2</v>
      </c>
      <c r="U136" s="18">
        <v>0.33739999999999998</v>
      </c>
      <c r="V136" s="18">
        <v>0.39989999999999998</v>
      </c>
      <c r="W136" s="18">
        <v>5.0099999999999999E-2</v>
      </c>
      <c r="X136" s="18">
        <v>4.8000000000000001E-2</v>
      </c>
      <c r="Y136" s="18">
        <v>4.8000000000000001E-2</v>
      </c>
      <c r="Z136" s="18">
        <v>4.8000000000000001E-2</v>
      </c>
      <c r="AA136" s="18">
        <v>4.8000000000000001E-2</v>
      </c>
      <c r="AB136" s="18">
        <v>4.8000000000000001E-2</v>
      </c>
      <c r="AC136" s="18">
        <v>4.8000000000000001E-2</v>
      </c>
      <c r="AD136" s="18">
        <v>7.8200000000000006E-2</v>
      </c>
      <c r="AE136" s="18">
        <v>0.21790000000000001</v>
      </c>
      <c r="AF136" s="18">
        <v>0.50890000000000002</v>
      </c>
      <c r="AG136" s="18">
        <v>0.51470000000000005</v>
      </c>
      <c r="AH136" s="18">
        <v>6.0100000000000001E-2</v>
      </c>
      <c r="AI136" s="18">
        <v>6.4399999999999999E-2</v>
      </c>
      <c r="AJ136" s="18">
        <v>5.9499999999999997E-2</v>
      </c>
      <c r="AK136" s="18">
        <v>7.3300000000000004E-2</v>
      </c>
      <c r="AL136" s="18">
        <v>0.13220000000000001</v>
      </c>
      <c r="AM136" s="18">
        <v>0.54500000000000004</v>
      </c>
      <c r="AN136" s="18">
        <v>0.46110000000000001</v>
      </c>
      <c r="AO136" s="18">
        <v>0.59460000000000002</v>
      </c>
      <c r="AP136" s="18">
        <v>0.49120000000000003</v>
      </c>
      <c r="AQ136" s="18">
        <v>0.54979999999999996</v>
      </c>
      <c r="AR136" s="18">
        <v>0.44009999999999999</v>
      </c>
      <c r="AS136" s="18">
        <v>0.60019999999999996</v>
      </c>
      <c r="AT136" s="18">
        <v>0.38669999999999999</v>
      </c>
      <c r="AU136" s="18">
        <v>0.51319999999999999</v>
      </c>
      <c r="AV136" s="18">
        <v>0.49409999999999998</v>
      </c>
      <c r="AW136" s="18">
        <v>0.67330000000000001</v>
      </c>
      <c r="AX136" s="18">
        <v>0.51280000000000003</v>
      </c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52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7" customWidth="1"/>
    <col min="2" max="2" width="6" customWidth="1"/>
    <col min="3" max="3" width="17.85546875" customWidth="1"/>
    <col min="4" max="4" width="17.140625" customWidth="1"/>
    <col min="5" max="5" width="15.7109375" customWidth="1"/>
    <col min="6" max="79" width="13" customWidth="1"/>
  </cols>
  <sheetData>
    <row r="1" spans="1:79" ht="19.5" x14ac:dyDescent="0.3">
      <c r="A1" s="1" t="s">
        <v>373</v>
      </c>
    </row>
    <row r="2" spans="1:79" x14ac:dyDescent="0.25">
      <c r="A2" s="29" t="s">
        <v>374</v>
      </c>
      <c r="B2" s="27"/>
      <c r="C2" s="27"/>
      <c r="D2" s="27"/>
      <c r="E2" s="27"/>
      <c r="F2" s="27"/>
      <c r="G2" s="27"/>
      <c r="H2" s="27"/>
    </row>
    <row r="4" spans="1:79" ht="25.5" x14ac:dyDescent="0.25">
      <c r="A4" s="5" t="s">
        <v>375</v>
      </c>
      <c r="B4" s="5" t="s">
        <v>376</v>
      </c>
      <c r="C4" s="5" t="s">
        <v>377</v>
      </c>
      <c r="D4" s="5" t="s">
        <v>378</v>
      </c>
      <c r="E4" s="5" t="s">
        <v>379</v>
      </c>
      <c r="F4" s="5" t="s">
        <v>380</v>
      </c>
      <c r="G4" s="5" t="s">
        <v>381</v>
      </c>
      <c r="H4" s="5" t="s">
        <v>382</v>
      </c>
      <c r="I4" s="5" t="s">
        <v>383</v>
      </c>
      <c r="J4" s="5" t="s">
        <v>384</v>
      </c>
      <c r="K4" s="5" t="s">
        <v>385</v>
      </c>
      <c r="L4" s="5" t="s">
        <v>386</v>
      </c>
      <c r="M4" s="5" t="s">
        <v>387</v>
      </c>
      <c r="N4" s="5" t="s">
        <v>388</v>
      </c>
      <c r="O4" s="5" t="s">
        <v>389</v>
      </c>
      <c r="P4" s="5" t="s">
        <v>390</v>
      </c>
      <c r="Q4" s="5" t="s">
        <v>391</v>
      </c>
      <c r="R4" s="5" t="s">
        <v>392</v>
      </c>
      <c r="S4" s="5" t="s">
        <v>393</v>
      </c>
      <c r="T4" s="5" t="s">
        <v>394</v>
      </c>
      <c r="U4" s="5" t="s">
        <v>395</v>
      </c>
      <c r="V4" s="5" t="s">
        <v>396</v>
      </c>
      <c r="W4" s="5" t="s">
        <v>397</v>
      </c>
      <c r="X4" s="5" t="s">
        <v>398</v>
      </c>
      <c r="Y4" s="5" t="s">
        <v>399</v>
      </c>
      <c r="Z4" s="5" t="s">
        <v>400</v>
      </c>
      <c r="AA4" s="5" t="s">
        <v>401</v>
      </c>
      <c r="AB4" s="5" t="s">
        <v>402</v>
      </c>
      <c r="AC4" s="5" t="s">
        <v>403</v>
      </c>
      <c r="AD4" s="5" t="s">
        <v>404</v>
      </c>
      <c r="AE4" s="5" t="s">
        <v>405</v>
      </c>
      <c r="AF4" s="5" t="s">
        <v>406</v>
      </c>
      <c r="AG4" s="5" t="s">
        <v>407</v>
      </c>
      <c r="AH4" s="5" t="s">
        <v>408</v>
      </c>
      <c r="AI4" s="5" t="s">
        <v>409</v>
      </c>
      <c r="AJ4" s="5" t="s">
        <v>410</v>
      </c>
      <c r="AK4" s="5" t="s">
        <v>411</v>
      </c>
      <c r="AL4" s="5" t="s">
        <v>412</v>
      </c>
      <c r="AM4" s="5" t="s">
        <v>413</v>
      </c>
      <c r="AN4" s="5" t="s">
        <v>414</v>
      </c>
      <c r="AO4" s="5" t="s">
        <v>415</v>
      </c>
      <c r="AP4" s="5" t="s">
        <v>416</v>
      </c>
      <c r="AQ4" s="5" t="s">
        <v>417</v>
      </c>
      <c r="AR4" s="5" t="s">
        <v>418</v>
      </c>
      <c r="AS4" s="5" t="s">
        <v>419</v>
      </c>
      <c r="AT4" s="5" t="s">
        <v>420</v>
      </c>
      <c r="AU4" s="5" t="s">
        <v>421</v>
      </c>
      <c r="AV4" s="5" t="s">
        <v>422</v>
      </c>
      <c r="AW4" s="5" t="s">
        <v>423</v>
      </c>
      <c r="AX4" s="5" t="s">
        <v>424</v>
      </c>
      <c r="AY4" s="5" t="s">
        <v>425</v>
      </c>
      <c r="AZ4" s="5" t="s">
        <v>426</v>
      </c>
      <c r="BA4" s="5" t="s">
        <v>427</v>
      </c>
      <c r="BB4" s="5" t="s">
        <v>428</v>
      </c>
      <c r="BC4" s="5" t="s">
        <v>429</v>
      </c>
      <c r="BD4" s="5" t="s">
        <v>430</v>
      </c>
      <c r="BE4" s="5" t="s">
        <v>431</v>
      </c>
      <c r="BF4" s="5" t="s">
        <v>432</v>
      </c>
      <c r="BG4" s="5" t="s">
        <v>433</v>
      </c>
      <c r="BH4" s="5" t="s">
        <v>434</v>
      </c>
      <c r="BI4" s="5" t="s">
        <v>435</v>
      </c>
      <c r="BJ4" s="5" t="s">
        <v>436</v>
      </c>
      <c r="BK4" s="5" t="s">
        <v>437</v>
      </c>
      <c r="BL4" s="5" t="s">
        <v>438</v>
      </c>
      <c r="BM4" s="5" t="s">
        <v>439</v>
      </c>
      <c r="BN4" s="5" t="s">
        <v>440</v>
      </c>
      <c r="BO4" s="5" t="s">
        <v>441</v>
      </c>
      <c r="BP4" s="5" t="s">
        <v>442</v>
      </c>
      <c r="BQ4" s="5" t="s">
        <v>443</v>
      </c>
      <c r="BR4" s="5" t="s">
        <v>444</v>
      </c>
      <c r="BS4" s="5" t="s">
        <v>445</v>
      </c>
      <c r="BT4" s="5" t="s">
        <v>446</v>
      </c>
      <c r="BU4" s="5" t="s">
        <v>447</v>
      </c>
      <c r="BV4" s="5" t="s">
        <v>448</v>
      </c>
      <c r="BW4" s="5" t="s">
        <v>449</v>
      </c>
      <c r="BX4" s="5" t="s">
        <v>450</v>
      </c>
      <c r="BY4" s="5" t="s">
        <v>451</v>
      </c>
      <c r="BZ4" s="5" t="s">
        <v>452</v>
      </c>
      <c r="CA4" s="5" t="s">
        <v>453</v>
      </c>
    </row>
    <row r="5" spans="1:79" x14ac:dyDescent="0.25">
      <c r="A5" s="8">
        <v>1</v>
      </c>
      <c r="B5" s="8">
        <v>0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  <c r="AF5" s="18">
        <v>0</v>
      </c>
      <c r="AG5" s="18">
        <v>0</v>
      </c>
      <c r="AH5" s="18">
        <v>0</v>
      </c>
      <c r="AI5" s="18">
        <v>0</v>
      </c>
      <c r="AJ5" s="18">
        <v>0</v>
      </c>
      <c r="AK5" s="18">
        <v>0</v>
      </c>
      <c r="AL5" s="18">
        <v>0</v>
      </c>
      <c r="AM5" s="18">
        <v>0</v>
      </c>
      <c r="AN5" s="18">
        <v>0</v>
      </c>
      <c r="AO5" s="18">
        <v>0</v>
      </c>
      <c r="AP5" s="18">
        <v>0</v>
      </c>
      <c r="AQ5" s="18">
        <v>0</v>
      </c>
      <c r="AR5" s="18">
        <v>0</v>
      </c>
      <c r="AS5" s="18">
        <v>0</v>
      </c>
      <c r="AT5" s="18">
        <v>0</v>
      </c>
      <c r="AU5" s="18">
        <v>0</v>
      </c>
      <c r="AV5" s="18">
        <v>0</v>
      </c>
      <c r="AW5" s="18">
        <v>0</v>
      </c>
      <c r="AX5" s="18">
        <v>0</v>
      </c>
      <c r="AY5" s="18">
        <v>0</v>
      </c>
      <c r="AZ5" s="18">
        <v>0</v>
      </c>
      <c r="BA5" s="18">
        <v>0</v>
      </c>
      <c r="BB5" s="18">
        <v>0</v>
      </c>
      <c r="BC5" s="18">
        <v>0</v>
      </c>
      <c r="BD5" s="18">
        <v>0</v>
      </c>
      <c r="BE5" s="18">
        <v>0</v>
      </c>
      <c r="BF5" s="18">
        <v>0</v>
      </c>
      <c r="BG5" s="18">
        <v>0</v>
      </c>
      <c r="BH5" s="18">
        <v>0</v>
      </c>
      <c r="BI5" s="18">
        <v>0</v>
      </c>
      <c r="BJ5" s="18">
        <v>0</v>
      </c>
      <c r="BK5" s="18">
        <v>0</v>
      </c>
      <c r="BL5" s="18">
        <v>0</v>
      </c>
      <c r="BM5" s="18">
        <v>0</v>
      </c>
      <c r="BN5" s="18">
        <v>0</v>
      </c>
      <c r="BO5" s="18">
        <v>0</v>
      </c>
      <c r="BP5" s="18">
        <v>0</v>
      </c>
      <c r="BQ5" s="18">
        <v>0</v>
      </c>
      <c r="BR5" s="18">
        <v>0</v>
      </c>
      <c r="BS5" s="18">
        <v>0</v>
      </c>
      <c r="BT5" s="18">
        <v>0</v>
      </c>
      <c r="BU5" s="18">
        <v>0</v>
      </c>
      <c r="BV5" s="18">
        <v>0</v>
      </c>
      <c r="BW5" s="18">
        <v>0</v>
      </c>
      <c r="BX5" s="18">
        <v>0</v>
      </c>
      <c r="BY5" s="18">
        <v>0</v>
      </c>
      <c r="BZ5" s="18">
        <v>0</v>
      </c>
      <c r="CA5" s="18">
        <v>0</v>
      </c>
    </row>
    <row r="6" spans="1:79" x14ac:dyDescent="0.25">
      <c r="A6" s="8">
        <v>2</v>
      </c>
      <c r="B6" s="8">
        <v>0.5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  <c r="AN6" s="18">
        <v>0</v>
      </c>
      <c r="AO6" s="18">
        <v>0</v>
      </c>
      <c r="AP6" s="18">
        <v>0</v>
      </c>
      <c r="AQ6" s="18">
        <v>0</v>
      </c>
      <c r="AR6" s="18">
        <v>0</v>
      </c>
      <c r="AS6" s="18">
        <v>0</v>
      </c>
      <c r="AT6" s="18">
        <v>0</v>
      </c>
      <c r="AU6" s="18">
        <v>0</v>
      </c>
      <c r="AV6" s="18">
        <v>0</v>
      </c>
      <c r="AW6" s="18">
        <v>0</v>
      </c>
      <c r="AX6" s="18">
        <v>0</v>
      </c>
      <c r="AY6" s="18">
        <v>0</v>
      </c>
      <c r="AZ6" s="18">
        <v>0</v>
      </c>
      <c r="BA6" s="18">
        <v>0</v>
      </c>
      <c r="BB6" s="18">
        <v>0</v>
      </c>
      <c r="BC6" s="18">
        <v>0</v>
      </c>
      <c r="BD6" s="18">
        <v>0</v>
      </c>
      <c r="BE6" s="18">
        <v>0</v>
      </c>
      <c r="BF6" s="18">
        <v>0</v>
      </c>
      <c r="BG6" s="18">
        <v>0</v>
      </c>
      <c r="BH6" s="18">
        <v>0</v>
      </c>
      <c r="BI6" s="18">
        <v>0</v>
      </c>
      <c r="BJ6" s="18">
        <v>0</v>
      </c>
      <c r="BK6" s="18">
        <v>0</v>
      </c>
      <c r="BL6" s="18">
        <v>0</v>
      </c>
      <c r="BM6" s="18">
        <v>0</v>
      </c>
      <c r="BN6" s="18">
        <v>0</v>
      </c>
      <c r="BO6" s="18">
        <v>0</v>
      </c>
      <c r="BP6" s="18">
        <v>0</v>
      </c>
      <c r="BQ6" s="18">
        <v>0</v>
      </c>
      <c r="BR6" s="18">
        <v>0</v>
      </c>
      <c r="BS6" s="18">
        <v>0</v>
      </c>
      <c r="BT6" s="18">
        <v>0</v>
      </c>
      <c r="BU6" s="18">
        <v>0</v>
      </c>
      <c r="BV6" s="18">
        <v>0</v>
      </c>
      <c r="BW6" s="18">
        <v>0</v>
      </c>
      <c r="BX6" s="18">
        <v>0</v>
      </c>
      <c r="BY6" s="18">
        <v>0</v>
      </c>
      <c r="BZ6" s="18">
        <v>0</v>
      </c>
      <c r="CA6" s="18">
        <v>0</v>
      </c>
    </row>
    <row r="7" spans="1:79" x14ac:dyDescent="0.25">
      <c r="A7" s="8">
        <v>3</v>
      </c>
      <c r="B7" s="8">
        <v>1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  <c r="AF7" s="18">
        <v>0</v>
      </c>
      <c r="AG7" s="18">
        <v>0</v>
      </c>
      <c r="AH7" s="18">
        <v>0</v>
      </c>
      <c r="AI7" s="18">
        <v>0</v>
      </c>
      <c r="AJ7" s="18">
        <v>0</v>
      </c>
      <c r="AK7" s="18">
        <v>0</v>
      </c>
      <c r="AL7" s="18">
        <v>0</v>
      </c>
      <c r="AM7" s="18">
        <v>0</v>
      </c>
      <c r="AN7" s="18">
        <v>0</v>
      </c>
      <c r="AO7" s="18">
        <v>0</v>
      </c>
      <c r="AP7" s="18">
        <v>0</v>
      </c>
      <c r="AQ7" s="18">
        <v>0</v>
      </c>
      <c r="AR7" s="18">
        <v>0</v>
      </c>
      <c r="AS7" s="18">
        <v>0</v>
      </c>
      <c r="AT7" s="18">
        <v>0</v>
      </c>
      <c r="AU7" s="18">
        <v>0</v>
      </c>
      <c r="AV7" s="18">
        <v>0</v>
      </c>
      <c r="AW7" s="18">
        <v>0</v>
      </c>
      <c r="AX7" s="18">
        <v>0</v>
      </c>
      <c r="AY7" s="18">
        <v>0</v>
      </c>
      <c r="AZ7" s="18">
        <v>0</v>
      </c>
      <c r="BA7" s="18">
        <v>0</v>
      </c>
      <c r="BB7" s="18">
        <v>0</v>
      </c>
      <c r="BC7" s="18">
        <v>0</v>
      </c>
      <c r="BD7" s="18">
        <v>0</v>
      </c>
      <c r="BE7" s="18">
        <v>0</v>
      </c>
      <c r="BF7" s="18">
        <v>0</v>
      </c>
      <c r="BG7" s="18">
        <v>0</v>
      </c>
      <c r="BH7" s="18">
        <v>0</v>
      </c>
      <c r="BI7" s="18">
        <v>0</v>
      </c>
      <c r="BJ7" s="18">
        <v>0</v>
      </c>
      <c r="BK7" s="18">
        <v>0</v>
      </c>
      <c r="BL7" s="18">
        <v>0</v>
      </c>
      <c r="BM7" s="18">
        <v>0</v>
      </c>
      <c r="BN7" s="18">
        <v>0</v>
      </c>
      <c r="BO7" s="18">
        <v>0</v>
      </c>
      <c r="BP7" s="18">
        <v>0</v>
      </c>
      <c r="BQ7" s="18">
        <v>0</v>
      </c>
      <c r="BR7" s="18">
        <v>0</v>
      </c>
      <c r="BS7" s="18">
        <v>0</v>
      </c>
      <c r="BT7" s="18">
        <v>0</v>
      </c>
      <c r="BU7" s="18">
        <v>0</v>
      </c>
      <c r="BV7" s="18">
        <v>0</v>
      </c>
      <c r="BW7" s="18">
        <v>0</v>
      </c>
      <c r="BX7" s="18">
        <v>0</v>
      </c>
      <c r="BY7" s="18">
        <v>0</v>
      </c>
      <c r="BZ7" s="18">
        <v>0</v>
      </c>
      <c r="CA7" s="18">
        <v>0</v>
      </c>
    </row>
    <row r="8" spans="1:79" x14ac:dyDescent="0.25">
      <c r="A8" s="8">
        <v>4</v>
      </c>
      <c r="B8" s="8">
        <v>1.5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>
        <v>0</v>
      </c>
      <c r="AF8" s="18">
        <v>0</v>
      </c>
      <c r="AG8" s="18">
        <v>0</v>
      </c>
      <c r="AH8" s="18">
        <v>0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8">
        <v>0</v>
      </c>
      <c r="AO8" s="18">
        <v>0</v>
      </c>
      <c r="AP8" s="18">
        <v>0</v>
      </c>
      <c r="AQ8" s="18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  <c r="BO8" s="18">
        <v>0</v>
      </c>
      <c r="BP8" s="18">
        <v>0</v>
      </c>
      <c r="BQ8" s="18">
        <v>0</v>
      </c>
      <c r="BR8" s="18">
        <v>0</v>
      </c>
      <c r="BS8" s="18">
        <v>0</v>
      </c>
      <c r="BT8" s="18">
        <v>0</v>
      </c>
      <c r="BU8" s="18">
        <v>0</v>
      </c>
      <c r="BV8" s="18">
        <v>0</v>
      </c>
      <c r="BW8" s="18">
        <v>0</v>
      </c>
      <c r="BX8" s="18">
        <v>0</v>
      </c>
      <c r="BY8" s="18">
        <v>0</v>
      </c>
      <c r="BZ8" s="18">
        <v>0</v>
      </c>
      <c r="CA8" s="18">
        <v>0</v>
      </c>
    </row>
    <row r="9" spans="1:79" x14ac:dyDescent="0.25">
      <c r="A9" s="8">
        <v>5</v>
      </c>
      <c r="B9" s="8">
        <v>2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  <c r="AQ9" s="18">
        <v>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  <c r="BO9" s="18">
        <v>0</v>
      </c>
      <c r="BP9" s="18">
        <v>0</v>
      </c>
      <c r="BQ9" s="18">
        <v>0</v>
      </c>
      <c r="BR9" s="18">
        <v>0</v>
      </c>
      <c r="BS9" s="18">
        <v>0</v>
      </c>
      <c r="BT9" s="18">
        <v>0</v>
      </c>
      <c r="BU9" s="18">
        <v>0</v>
      </c>
      <c r="BV9" s="18">
        <v>0</v>
      </c>
      <c r="BW9" s="18">
        <v>0</v>
      </c>
      <c r="BX9" s="18">
        <v>0</v>
      </c>
      <c r="BY9" s="18">
        <v>0</v>
      </c>
      <c r="BZ9" s="18">
        <v>0</v>
      </c>
      <c r="CA9" s="18">
        <v>0</v>
      </c>
    </row>
    <row r="10" spans="1:79" x14ac:dyDescent="0.25">
      <c r="A10" s="8">
        <v>6</v>
      </c>
      <c r="B10" s="8">
        <v>2.5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8">
        <v>0</v>
      </c>
      <c r="BI10" s="18">
        <v>0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  <c r="BO10" s="18">
        <v>0</v>
      </c>
      <c r="BP10" s="18">
        <v>0</v>
      </c>
      <c r="BQ10" s="18">
        <v>0</v>
      </c>
      <c r="BR10" s="18">
        <v>0</v>
      </c>
      <c r="BS10" s="18">
        <v>0</v>
      </c>
      <c r="BT10" s="18">
        <v>0</v>
      </c>
      <c r="BU10" s="18">
        <v>0</v>
      </c>
      <c r="BV10" s="18">
        <v>0</v>
      </c>
      <c r="BW10" s="18">
        <v>0</v>
      </c>
      <c r="BX10" s="18">
        <v>0</v>
      </c>
      <c r="BY10" s="18">
        <v>0</v>
      </c>
      <c r="BZ10" s="18">
        <v>0</v>
      </c>
      <c r="CA10" s="18">
        <v>0</v>
      </c>
    </row>
    <row r="11" spans="1:79" x14ac:dyDescent="0.25">
      <c r="A11" s="8">
        <v>7</v>
      </c>
      <c r="B11" s="8">
        <v>3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0</v>
      </c>
      <c r="BV11" s="18">
        <v>0</v>
      </c>
      <c r="BW11" s="18">
        <v>0</v>
      </c>
      <c r="BX11" s="18">
        <v>0</v>
      </c>
      <c r="BY11" s="18">
        <v>0</v>
      </c>
      <c r="BZ11" s="18">
        <v>0</v>
      </c>
      <c r="CA11" s="18">
        <v>0</v>
      </c>
    </row>
    <row r="12" spans="1:79" x14ac:dyDescent="0.25">
      <c r="A12" s="8">
        <v>8</v>
      </c>
      <c r="B12" s="8">
        <v>3.5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0</v>
      </c>
      <c r="BH12" s="18">
        <v>0</v>
      </c>
      <c r="BI12" s="18">
        <v>0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  <c r="BO12" s="18">
        <v>0</v>
      </c>
      <c r="BP12" s="18">
        <v>0</v>
      </c>
      <c r="BQ12" s="18">
        <v>0</v>
      </c>
      <c r="BR12" s="18">
        <v>0</v>
      </c>
      <c r="BS12" s="18">
        <v>0</v>
      </c>
      <c r="BT12" s="18">
        <v>0</v>
      </c>
      <c r="BU12" s="18">
        <v>0</v>
      </c>
      <c r="BV12" s="18">
        <v>0</v>
      </c>
      <c r="BW12" s="18">
        <v>0</v>
      </c>
      <c r="BX12" s="18">
        <v>0</v>
      </c>
      <c r="BY12" s="18">
        <v>0</v>
      </c>
      <c r="BZ12" s="18">
        <v>0</v>
      </c>
      <c r="CA12" s="18">
        <v>0</v>
      </c>
    </row>
    <row r="13" spans="1:79" x14ac:dyDescent="0.25">
      <c r="A13" s="8">
        <v>9</v>
      </c>
      <c r="B13" s="8">
        <v>4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4.0000000000000001E-3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  <c r="BO13" s="18">
        <v>0</v>
      </c>
      <c r="BP13" s="18">
        <v>0</v>
      </c>
      <c r="BQ13" s="18">
        <v>0</v>
      </c>
      <c r="BR13" s="18">
        <v>0</v>
      </c>
      <c r="BS13" s="18">
        <v>0</v>
      </c>
      <c r="BT13" s="18">
        <v>0</v>
      </c>
      <c r="BU13" s="18">
        <v>0</v>
      </c>
      <c r="BV13" s="18">
        <v>0</v>
      </c>
      <c r="BW13" s="18">
        <v>0</v>
      </c>
      <c r="BX13" s="18">
        <v>0</v>
      </c>
      <c r="BY13" s="18">
        <v>0</v>
      </c>
      <c r="BZ13" s="18">
        <v>0</v>
      </c>
      <c r="CA13" s="18">
        <v>0</v>
      </c>
    </row>
    <row r="14" spans="1:79" x14ac:dyDescent="0.25">
      <c r="A14" s="8">
        <v>10</v>
      </c>
      <c r="B14" s="8">
        <v>4.5</v>
      </c>
      <c r="C14" s="18">
        <v>0.02</v>
      </c>
      <c r="D14" s="18">
        <v>0.125</v>
      </c>
      <c r="E14" s="18">
        <v>6.6000000000000003E-2</v>
      </c>
      <c r="F14" s="18">
        <v>6.9000000000000006E-2</v>
      </c>
      <c r="G14" s="18">
        <v>0.11899999999999999</v>
      </c>
      <c r="H14" s="18">
        <v>0</v>
      </c>
      <c r="I14" s="18">
        <v>0</v>
      </c>
      <c r="J14" s="18">
        <v>2.5000000000000001E-2</v>
      </c>
      <c r="K14" s="18">
        <v>6.0999999999999999E-2</v>
      </c>
      <c r="L14" s="18">
        <v>0</v>
      </c>
      <c r="M14" s="18">
        <v>0.128</v>
      </c>
      <c r="N14" s="18">
        <v>5.8999999999999997E-2</v>
      </c>
      <c r="O14" s="18">
        <v>0.182</v>
      </c>
      <c r="P14" s="18">
        <v>0</v>
      </c>
      <c r="Q14" s="18">
        <v>0</v>
      </c>
      <c r="R14" s="18">
        <v>0.1</v>
      </c>
      <c r="S14" s="18">
        <v>7.4999999999999997E-2</v>
      </c>
      <c r="T14" s="18">
        <v>0.105</v>
      </c>
      <c r="U14" s="18">
        <v>0.157</v>
      </c>
      <c r="V14" s="18">
        <v>1.2999999999999999E-2</v>
      </c>
      <c r="W14" s="18">
        <v>3.4000000000000002E-2</v>
      </c>
      <c r="X14" s="18">
        <v>4.3999999999999997E-2</v>
      </c>
      <c r="Y14" s="18">
        <v>0.124</v>
      </c>
      <c r="Z14" s="18">
        <v>0.11899999999999999</v>
      </c>
      <c r="AA14" s="18">
        <v>0.14599999999999999</v>
      </c>
      <c r="AB14" s="18">
        <v>8.7999999999999995E-2</v>
      </c>
      <c r="AC14" s="18">
        <v>0.183</v>
      </c>
      <c r="AD14" s="18">
        <v>0.16600000000000001</v>
      </c>
      <c r="AE14" s="18">
        <v>8.0000000000000002E-3</v>
      </c>
      <c r="AF14" s="18">
        <v>0.17899999999999999</v>
      </c>
      <c r="AG14" s="18">
        <v>0.17399999999999999</v>
      </c>
      <c r="AH14" s="18">
        <v>4.3999999999999997E-2</v>
      </c>
      <c r="AI14" s="18">
        <v>0.114</v>
      </c>
      <c r="AJ14" s="18">
        <v>0</v>
      </c>
      <c r="AK14" s="18">
        <v>5.8000000000000003E-2</v>
      </c>
      <c r="AL14" s="18">
        <v>0</v>
      </c>
      <c r="AM14" s="18">
        <v>9.7000000000000003E-2</v>
      </c>
      <c r="AN14" s="18">
        <v>0</v>
      </c>
      <c r="AO14" s="18">
        <v>0.127</v>
      </c>
      <c r="AP14" s="18">
        <v>9.2999999999999999E-2</v>
      </c>
      <c r="AQ14" s="18">
        <v>0.158</v>
      </c>
      <c r="AR14" s="18">
        <v>0.187</v>
      </c>
      <c r="AS14" s="18">
        <v>6.0999999999999999E-2</v>
      </c>
      <c r="AT14" s="18">
        <v>0.05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0.113</v>
      </c>
      <c r="BA14" s="18">
        <v>2E-3</v>
      </c>
      <c r="BB14" s="18">
        <v>0.16200000000000001</v>
      </c>
      <c r="BC14" s="18">
        <v>0.10199999999999999</v>
      </c>
      <c r="BD14" s="18">
        <v>0</v>
      </c>
      <c r="BE14" s="18">
        <v>0.08</v>
      </c>
      <c r="BF14" s="18">
        <v>3.1E-2</v>
      </c>
      <c r="BG14" s="18">
        <v>0</v>
      </c>
      <c r="BH14" s="18">
        <v>0.11799999999999999</v>
      </c>
      <c r="BI14" s="18">
        <v>0.109</v>
      </c>
      <c r="BJ14" s="18">
        <v>5.0000000000000001E-3</v>
      </c>
      <c r="BK14" s="18">
        <v>6.0999999999999999E-2</v>
      </c>
      <c r="BL14" s="18">
        <v>0.10299999999999999</v>
      </c>
      <c r="BM14" s="18">
        <v>0.13</v>
      </c>
      <c r="BN14" s="18">
        <v>8.5000000000000006E-2</v>
      </c>
      <c r="BO14" s="18">
        <v>7.4999999999999997E-2</v>
      </c>
      <c r="BP14" s="18">
        <v>9.5000000000000001E-2</v>
      </c>
      <c r="BQ14" s="18">
        <v>0.108</v>
      </c>
      <c r="BR14" s="18">
        <v>0.156</v>
      </c>
      <c r="BS14" s="18">
        <v>0.11600000000000001</v>
      </c>
      <c r="BT14" s="18">
        <v>6.0999999999999999E-2</v>
      </c>
      <c r="BU14" s="18">
        <v>3.0000000000000001E-3</v>
      </c>
      <c r="BV14" s="18">
        <v>0.129</v>
      </c>
      <c r="BW14" s="18">
        <v>3.5999999999999997E-2</v>
      </c>
      <c r="BX14" s="18">
        <v>0.13200000000000001</v>
      </c>
      <c r="BY14" s="18">
        <v>0</v>
      </c>
      <c r="BZ14" s="18">
        <v>1.4E-2</v>
      </c>
      <c r="CA14" s="18">
        <v>0.126</v>
      </c>
    </row>
    <row r="15" spans="1:79" x14ac:dyDescent="0.25">
      <c r="A15" s="8">
        <v>11</v>
      </c>
      <c r="B15" s="8">
        <v>5</v>
      </c>
      <c r="C15" s="18">
        <v>0.39200000000000002</v>
      </c>
      <c r="D15" s="18">
        <v>0.41499999999999998</v>
      </c>
      <c r="E15" s="18">
        <v>0.18099999999999999</v>
      </c>
      <c r="F15" s="18">
        <v>0.39200000000000002</v>
      </c>
      <c r="G15" s="18">
        <v>0.29099999999999998</v>
      </c>
      <c r="H15" s="18">
        <v>0.17699999999999999</v>
      </c>
      <c r="I15" s="18">
        <v>0.188</v>
      </c>
      <c r="J15" s="18">
        <v>0.13900000000000001</v>
      </c>
      <c r="K15" s="18">
        <v>0.17599999999999999</v>
      </c>
      <c r="L15" s="18">
        <v>0.17</v>
      </c>
      <c r="M15" s="18">
        <v>0.3</v>
      </c>
      <c r="N15" s="18">
        <v>0</v>
      </c>
      <c r="O15" s="18">
        <v>0.28599999999999998</v>
      </c>
      <c r="P15" s="18">
        <v>7.2999999999999995E-2</v>
      </c>
      <c r="Q15" s="18">
        <v>0.22500000000000001</v>
      </c>
      <c r="R15" s="18">
        <v>0.24299999999999999</v>
      </c>
      <c r="S15" s="18">
        <v>0.253</v>
      </c>
      <c r="T15" s="18">
        <v>0.37</v>
      </c>
      <c r="U15" s="18">
        <v>0.312</v>
      </c>
      <c r="V15" s="18">
        <v>0</v>
      </c>
      <c r="W15" s="18">
        <v>0.30099999999999999</v>
      </c>
      <c r="X15" s="18">
        <v>0.22500000000000001</v>
      </c>
      <c r="Y15" s="18">
        <v>0.29599999999999999</v>
      </c>
      <c r="Z15" s="18">
        <v>0.29099999999999998</v>
      </c>
      <c r="AA15" s="18">
        <v>0.34599999999999997</v>
      </c>
      <c r="AB15" s="18">
        <v>0.158</v>
      </c>
      <c r="AC15" s="18">
        <v>0.39600000000000002</v>
      </c>
      <c r="AD15" s="18">
        <v>0.33900000000000002</v>
      </c>
      <c r="AE15" s="18">
        <v>0.10299999999999999</v>
      </c>
      <c r="AF15" s="18">
        <v>0.40699999999999997</v>
      </c>
      <c r="AG15" s="18">
        <v>0.29499999999999998</v>
      </c>
      <c r="AH15" s="18">
        <v>0.157</v>
      </c>
      <c r="AI15" s="18">
        <v>0.28599999999999998</v>
      </c>
      <c r="AJ15" s="18">
        <v>5.0999999999999997E-2</v>
      </c>
      <c r="AK15" s="18">
        <v>1.0999999999999999E-2</v>
      </c>
      <c r="AL15" s="18">
        <v>7.8E-2</v>
      </c>
      <c r="AM15" s="18">
        <v>0.14299999999999999</v>
      </c>
      <c r="AN15" s="18">
        <v>0.21</v>
      </c>
      <c r="AO15" s="18">
        <v>0.26800000000000002</v>
      </c>
      <c r="AP15" s="18">
        <v>0.23599999999999999</v>
      </c>
      <c r="AQ15" s="18">
        <v>0.35199999999999998</v>
      </c>
      <c r="AR15" s="18">
        <v>0.41499999999999998</v>
      </c>
      <c r="AS15" s="18">
        <v>0.245</v>
      </c>
      <c r="AT15" s="18">
        <v>0</v>
      </c>
      <c r="AU15" s="18">
        <v>9.0999999999999998E-2</v>
      </c>
      <c r="AV15" s="18">
        <v>9.2999999999999999E-2</v>
      </c>
      <c r="AW15" s="18">
        <v>0.182</v>
      </c>
      <c r="AX15" s="18">
        <v>0.218</v>
      </c>
      <c r="AY15" s="18">
        <v>0.19900000000000001</v>
      </c>
      <c r="AZ15" s="18">
        <v>0.218</v>
      </c>
      <c r="BA15" s="18">
        <v>0.28599999999999998</v>
      </c>
      <c r="BB15" s="18">
        <v>0.40300000000000002</v>
      </c>
      <c r="BC15" s="18">
        <v>0.17100000000000001</v>
      </c>
      <c r="BD15" s="18">
        <v>0.215</v>
      </c>
      <c r="BE15" s="18">
        <v>0.34599999999999997</v>
      </c>
      <c r="BF15" s="18">
        <v>0</v>
      </c>
      <c r="BG15" s="18">
        <v>0.123</v>
      </c>
      <c r="BH15" s="18">
        <v>0.26400000000000001</v>
      </c>
      <c r="BI15" s="18">
        <v>0.246</v>
      </c>
      <c r="BJ15" s="18">
        <v>0.105</v>
      </c>
      <c r="BK15" s="18">
        <v>0.17599999999999999</v>
      </c>
      <c r="BL15" s="18">
        <v>0.33500000000000002</v>
      </c>
      <c r="BM15" s="18">
        <v>0.28299999999999997</v>
      </c>
      <c r="BN15" s="18">
        <v>0.4</v>
      </c>
      <c r="BO15" s="18">
        <v>3.1E-2</v>
      </c>
      <c r="BP15" s="18">
        <v>0.23799999999999999</v>
      </c>
      <c r="BQ15" s="18">
        <v>0.24399999999999999</v>
      </c>
      <c r="BR15" s="18">
        <v>0.35599999999999998</v>
      </c>
      <c r="BS15" s="18">
        <v>0.41099999999999998</v>
      </c>
      <c r="BT15" s="18">
        <v>0.17599999999999999</v>
      </c>
      <c r="BU15" s="18">
        <v>0.06</v>
      </c>
      <c r="BV15" s="18">
        <v>0.41</v>
      </c>
      <c r="BW15" s="18">
        <v>0.34799999999999998</v>
      </c>
      <c r="BX15" s="18">
        <v>0.28000000000000003</v>
      </c>
      <c r="BY15" s="18">
        <v>0.20399999999999999</v>
      </c>
      <c r="BZ15" s="18">
        <v>7.0999999999999994E-2</v>
      </c>
      <c r="CA15" s="18">
        <v>0.29799999999999999</v>
      </c>
    </row>
    <row r="16" spans="1:79" x14ac:dyDescent="0.25">
      <c r="A16" s="8">
        <v>12</v>
      </c>
      <c r="B16" s="8">
        <v>5.5</v>
      </c>
      <c r="C16" s="18">
        <v>0.46</v>
      </c>
      <c r="D16" s="18">
        <v>0.55900000000000005</v>
      </c>
      <c r="E16" s="18">
        <v>0.23799999999999999</v>
      </c>
      <c r="F16" s="18">
        <v>0.68500000000000005</v>
      </c>
      <c r="G16" s="18">
        <v>0.41499999999999998</v>
      </c>
      <c r="H16" s="18">
        <v>0.111</v>
      </c>
      <c r="I16" s="18">
        <v>0.22</v>
      </c>
      <c r="J16" s="18">
        <v>0.307</v>
      </c>
      <c r="K16" s="18">
        <v>0.316</v>
      </c>
      <c r="L16" s="18">
        <v>0.31</v>
      </c>
      <c r="M16" s="18">
        <v>0.51</v>
      </c>
      <c r="N16" s="18">
        <v>0.30599999999999999</v>
      </c>
      <c r="O16" s="18">
        <v>0.64400000000000002</v>
      </c>
      <c r="P16" s="18">
        <v>0.38300000000000001</v>
      </c>
      <c r="Q16" s="18">
        <v>0.41599999999999998</v>
      </c>
      <c r="R16" s="18">
        <v>0.252</v>
      </c>
      <c r="S16" s="18">
        <v>0.64600000000000002</v>
      </c>
      <c r="T16" s="18">
        <v>0.44400000000000001</v>
      </c>
      <c r="U16" s="18">
        <v>0.48199999999999998</v>
      </c>
      <c r="V16" s="18">
        <v>0.32200000000000001</v>
      </c>
      <c r="W16" s="18">
        <v>0.61799999999999999</v>
      </c>
      <c r="X16" s="18">
        <v>0.36199999999999999</v>
      </c>
      <c r="Y16" s="18">
        <v>0.50600000000000001</v>
      </c>
      <c r="Z16" s="18">
        <v>0.45900000000000002</v>
      </c>
      <c r="AA16" s="18">
        <v>0.59099999999999997</v>
      </c>
      <c r="AB16" s="18">
        <v>0.36699999999999999</v>
      </c>
      <c r="AC16" s="18">
        <v>0.60399999999999998</v>
      </c>
      <c r="AD16" s="18">
        <v>0.52300000000000002</v>
      </c>
      <c r="AE16" s="18">
        <v>0.32100000000000001</v>
      </c>
      <c r="AF16" s="18">
        <v>0.67200000000000004</v>
      </c>
      <c r="AG16" s="18">
        <v>0.68300000000000005</v>
      </c>
      <c r="AH16" s="18">
        <v>0.1</v>
      </c>
      <c r="AI16" s="18">
        <v>0.28799999999999998</v>
      </c>
      <c r="AJ16" s="18">
        <v>0.14199999999999999</v>
      </c>
      <c r="AK16" s="18">
        <v>0.18</v>
      </c>
      <c r="AL16" s="18">
        <v>0.36099999999999999</v>
      </c>
      <c r="AM16" s="18">
        <v>0.41599999999999998</v>
      </c>
      <c r="AN16" s="18">
        <v>0.29699999999999999</v>
      </c>
      <c r="AO16" s="18">
        <v>0.46</v>
      </c>
      <c r="AP16" s="18">
        <v>0.41199999999999998</v>
      </c>
      <c r="AQ16" s="18">
        <v>0.68899999999999995</v>
      </c>
      <c r="AR16" s="18">
        <v>0.69599999999999995</v>
      </c>
      <c r="AS16" s="18">
        <v>0.51400000000000001</v>
      </c>
      <c r="AT16" s="18">
        <v>0.16600000000000001</v>
      </c>
      <c r="AU16" s="18">
        <v>0.10199999999999999</v>
      </c>
      <c r="AV16" s="18">
        <v>0.307</v>
      </c>
      <c r="AW16" s="18">
        <v>0.38</v>
      </c>
      <c r="AX16" s="18">
        <v>0.71199999999999997</v>
      </c>
      <c r="AY16" s="18">
        <v>0.32800000000000001</v>
      </c>
      <c r="AZ16" s="18">
        <v>0.254</v>
      </c>
      <c r="BA16" s="18">
        <v>0.50900000000000001</v>
      </c>
      <c r="BB16" s="18">
        <v>0.68400000000000005</v>
      </c>
      <c r="BC16" s="18">
        <v>0.42099999999999999</v>
      </c>
      <c r="BD16" s="18">
        <v>0.42799999999999999</v>
      </c>
      <c r="BE16" s="18">
        <v>0.54</v>
      </c>
      <c r="BF16" s="18">
        <v>0.222</v>
      </c>
      <c r="BG16" s="18">
        <v>0</v>
      </c>
      <c r="BH16" s="18">
        <v>0.68700000000000006</v>
      </c>
      <c r="BI16" s="18">
        <v>0.47799999999999998</v>
      </c>
      <c r="BJ16" s="18">
        <v>0.158</v>
      </c>
      <c r="BK16" s="18">
        <v>0.17399999999999999</v>
      </c>
      <c r="BL16" s="18">
        <v>0.58399999999999996</v>
      </c>
      <c r="BM16" s="18">
        <v>0.68500000000000005</v>
      </c>
      <c r="BN16" s="18">
        <v>0.50700000000000001</v>
      </c>
      <c r="BO16" s="18">
        <v>0.33</v>
      </c>
      <c r="BP16" s="18">
        <v>0.41399999999999998</v>
      </c>
      <c r="BQ16" s="18">
        <v>0.26400000000000001</v>
      </c>
      <c r="BR16" s="18">
        <v>0.60099999999999998</v>
      </c>
      <c r="BS16" s="18">
        <v>0.53</v>
      </c>
      <c r="BT16" s="18">
        <v>0.216</v>
      </c>
      <c r="BU16" s="18">
        <v>0</v>
      </c>
      <c r="BV16" s="18">
        <v>0.47399999999999998</v>
      </c>
      <c r="BW16" s="18">
        <v>0.59299999999999997</v>
      </c>
      <c r="BX16" s="18">
        <v>0.69</v>
      </c>
      <c r="BY16" s="18">
        <v>0.25</v>
      </c>
      <c r="BZ16" s="18">
        <v>0.14099999999999999</v>
      </c>
      <c r="CA16" s="18">
        <v>0.50800000000000001</v>
      </c>
    </row>
    <row r="17" spans="1:79" x14ac:dyDescent="0.25">
      <c r="A17" s="8">
        <v>13</v>
      </c>
      <c r="B17" s="8">
        <v>6</v>
      </c>
      <c r="C17" s="18">
        <v>0.92600000000000005</v>
      </c>
      <c r="D17" s="18">
        <v>1.008</v>
      </c>
      <c r="E17" s="18">
        <v>0.47399999999999998</v>
      </c>
      <c r="F17" s="18">
        <v>0.94899999999999995</v>
      </c>
      <c r="G17" s="18">
        <v>0.65900000000000003</v>
      </c>
      <c r="H17" s="18">
        <v>0.32100000000000001</v>
      </c>
      <c r="I17" s="18">
        <v>0.60199999999999998</v>
      </c>
      <c r="J17" s="18">
        <v>0.32100000000000001</v>
      </c>
      <c r="K17" s="18">
        <v>0.38900000000000001</v>
      </c>
      <c r="L17" s="18">
        <v>0.29899999999999999</v>
      </c>
      <c r="M17" s="18">
        <v>0.74</v>
      </c>
      <c r="N17" s="18">
        <v>0.38700000000000001</v>
      </c>
      <c r="O17" s="18">
        <v>0.997</v>
      </c>
      <c r="P17" s="18">
        <v>0.41599999999999998</v>
      </c>
      <c r="Q17" s="18">
        <v>0.59899999999999998</v>
      </c>
      <c r="R17" s="18">
        <v>0.61</v>
      </c>
      <c r="S17" s="18">
        <v>0.81399999999999995</v>
      </c>
      <c r="T17" s="18">
        <v>0.99399999999999999</v>
      </c>
      <c r="U17" s="18">
        <v>0.87</v>
      </c>
      <c r="V17" s="18">
        <v>0.28699999999999998</v>
      </c>
      <c r="W17" s="18">
        <v>0.82499999999999996</v>
      </c>
      <c r="X17" s="18">
        <v>0.59799999999999998</v>
      </c>
      <c r="Y17" s="18">
        <v>0.73599999999999999</v>
      </c>
      <c r="Z17" s="18">
        <v>0.59099999999999997</v>
      </c>
      <c r="AA17" s="18">
        <v>0.77500000000000002</v>
      </c>
      <c r="AB17" s="18">
        <v>0.59799999999999998</v>
      </c>
      <c r="AC17" s="18">
        <v>0.998</v>
      </c>
      <c r="AD17" s="18">
        <v>0.92600000000000005</v>
      </c>
      <c r="AE17" s="18">
        <v>0.193</v>
      </c>
      <c r="AF17" s="18">
        <v>0.127</v>
      </c>
      <c r="AG17" s="18">
        <v>0.88200000000000001</v>
      </c>
      <c r="AH17" s="18">
        <v>0.48</v>
      </c>
      <c r="AI17" s="18">
        <v>0.72599999999999998</v>
      </c>
      <c r="AJ17" s="18">
        <v>0.34300000000000003</v>
      </c>
      <c r="AK17" s="18">
        <v>0.41199999999999998</v>
      </c>
      <c r="AL17" s="18">
        <v>0.44</v>
      </c>
      <c r="AM17" s="18">
        <v>0.60699999999999998</v>
      </c>
      <c r="AN17" s="18">
        <v>0.51100000000000001</v>
      </c>
      <c r="AO17" s="18">
        <v>0.69899999999999995</v>
      </c>
      <c r="AP17" s="18">
        <v>0.60299999999999998</v>
      </c>
      <c r="AQ17" s="18">
        <v>0.93799999999999994</v>
      </c>
      <c r="AR17" s="18">
        <v>1.002</v>
      </c>
      <c r="AS17" s="18">
        <v>0.65300000000000002</v>
      </c>
      <c r="AT17" s="18">
        <v>0.35599999999999998</v>
      </c>
      <c r="AU17" s="18">
        <v>0.23599999999999999</v>
      </c>
      <c r="AV17" s="18">
        <v>0.308</v>
      </c>
      <c r="AW17" s="18">
        <v>0.48199999999999998</v>
      </c>
      <c r="AX17" s="18">
        <v>1.018</v>
      </c>
      <c r="AY17" s="18">
        <v>0.64</v>
      </c>
      <c r="AZ17" s="18">
        <v>0.745</v>
      </c>
      <c r="BA17" s="18">
        <v>0.86099999999999999</v>
      </c>
      <c r="BB17" s="18">
        <v>0.99</v>
      </c>
      <c r="BC17" s="18">
        <v>0.56200000000000006</v>
      </c>
      <c r="BD17" s="18">
        <v>0.46500000000000002</v>
      </c>
      <c r="BE17" s="18">
        <v>0.84399999999999997</v>
      </c>
      <c r="BF17" s="18">
        <v>9.9000000000000005E-2</v>
      </c>
      <c r="BG17" s="18">
        <v>0.33400000000000002</v>
      </c>
      <c r="BH17" s="18">
        <v>0.80400000000000005</v>
      </c>
      <c r="BI17" s="18">
        <v>0.69899999999999995</v>
      </c>
      <c r="BJ17" s="18">
        <v>0.47099999999999997</v>
      </c>
      <c r="BK17" s="18">
        <v>0.44700000000000001</v>
      </c>
      <c r="BL17" s="18">
        <v>0.86899999999999999</v>
      </c>
      <c r="BM17" s="18">
        <v>0.82399999999999995</v>
      </c>
      <c r="BN17" s="18">
        <v>0.98299999999999998</v>
      </c>
      <c r="BO17" s="18">
        <v>0.44</v>
      </c>
      <c r="BP17" s="18">
        <v>0.60499999999999998</v>
      </c>
      <c r="BQ17" s="18">
        <v>0.61799999999999999</v>
      </c>
      <c r="BR17" s="18">
        <v>0.86499999999999999</v>
      </c>
      <c r="BS17" s="18">
        <v>0.998</v>
      </c>
      <c r="BT17" s="18">
        <v>0.46899999999999997</v>
      </c>
      <c r="BU17" s="18">
        <v>0.185</v>
      </c>
      <c r="BV17" s="18">
        <v>0.91400000000000003</v>
      </c>
      <c r="BW17" s="18">
        <v>0.749</v>
      </c>
      <c r="BX17" s="18">
        <v>0.83499999999999996</v>
      </c>
      <c r="BY17" s="18">
        <v>0.65200000000000002</v>
      </c>
      <c r="BZ17" s="18">
        <v>0.218</v>
      </c>
      <c r="CA17" s="18">
        <v>0.73799999999999999</v>
      </c>
    </row>
    <row r="18" spans="1:79" x14ac:dyDescent="0.25">
      <c r="A18" s="8">
        <v>14</v>
      </c>
      <c r="B18" s="8">
        <v>6.5</v>
      </c>
      <c r="C18" s="18">
        <v>1.2050000000000001</v>
      </c>
      <c r="D18" s="18">
        <v>1.3180000000000001</v>
      </c>
      <c r="E18" s="18">
        <v>0.629</v>
      </c>
      <c r="F18" s="18">
        <v>1.224</v>
      </c>
      <c r="G18" s="18">
        <v>0.94899999999999995</v>
      </c>
      <c r="H18" s="18">
        <v>0.502</v>
      </c>
      <c r="I18" s="18">
        <v>0.65900000000000003</v>
      </c>
      <c r="J18" s="18">
        <v>0.68600000000000005</v>
      </c>
      <c r="K18" s="18">
        <v>0</v>
      </c>
      <c r="L18" s="18">
        <v>0.61799999999999999</v>
      </c>
      <c r="M18" s="18">
        <v>0.97199999999999998</v>
      </c>
      <c r="N18" s="18">
        <v>0.40899999999999997</v>
      </c>
      <c r="O18" s="18">
        <v>1.2130000000000001</v>
      </c>
      <c r="P18" s="18">
        <v>0.68400000000000005</v>
      </c>
      <c r="Q18" s="18">
        <v>0.63700000000000001</v>
      </c>
      <c r="R18" s="18">
        <v>0.80400000000000005</v>
      </c>
      <c r="S18" s="18">
        <v>1.272</v>
      </c>
      <c r="T18" s="18">
        <v>1.149</v>
      </c>
      <c r="U18" s="18">
        <v>0.97599999999999998</v>
      </c>
      <c r="V18" s="18">
        <v>0.47799999999999998</v>
      </c>
      <c r="W18" s="18">
        <v>1.2310000000000001</v>
      </c>
      <c r="X18" s="18">
        <v>0.77200000000000002</v>
      </c>
      <c r="Y18" s="18">
        <v>0.96799999999999997</v>
      </c>
      <c r="Z18" s="18">
        <v>0.91500000000000004</v>
      </c>
      <c r="AA18" s="18">
        <v>1.1299999999999999</v>
      </c>
      <c r="AB18" s="18">
        <v>0.79200000000000004</v>
      </c>
      <c r="AC18" s="18">
        <v>1.3080000000000001</v>
      </c>
      <c r="AD18" s="18">
        <v>1.1990000000000001</v>
      </c>
      <c r="AE18" s="18">
        <v>0.629</v>
      </c>
      <c r="AF18" s="18">
        <v>0</v>
      </c>
      <c r="AG18" s="18">
        <v>1.1850000000000001</v>
      </c>
      <c r="AH18" s="18">
        <v>0.378</v>
      </c>
      <c r="AI18" s="18">
        <v>0.876</v>
      </c>
      <c r="AJ18" s="18">
        <v>0.438</v>
      </c>
      <c r="AK18" s="18">
        <v>0.52</v>
      </c>
      <c r="AL18" s="18">
        <v>0.67600000000000005</v>
      </c>
      <c r="AM18" s="18">
        <v>0.63200000000000001</v>
      </c>
      <c r="AN18" s="18">
        <v>0.433</v>
      </c>
      <c r="AO18" s="18">
        <v>0.93100000000000005</v>
      </c>
      <c r="AP18" s="18">
        <v>0.748</v>
      </c>
      <c r="AQ18" s="18">
        <v>1.2829999999999999</v>
      </c>
      <c r="AR18" s="18">
        <v>1.3120000000000001</v>
      </c>
      <c r="AS18" s="18">
        <v>0.93700000000000006</v>
      </c>
      <c r="AT18" s="18">
        <v>0.28699999999999998</v>
      </c>
      <c r="AU18" s="18">
        <v>0.46899999999999997</v>
      </c>
      <c r="AV18" s="18">
        <v>0.61599999999999999</v>
      </c>
      <c r="AW18" s="18">
        <v>0.66900000000000004</v>
      </c>
      <c r="AX18" s="18">
        <v>1.2290000000000001</v>
      </c>
      <c r="AY18" s="18">
        <v>0.89200000000000002</v>
      </c>
      <c r="AZ18" s="18">
        <v>0.68700000000000006</v>
      </c>
      <c r="BA18" s="18">
        <v>0.92400000000000004</v>
      </c>
      <c r="BB18" s="18">
        <v>1.2250000000000001</v>
      </c>
      <c r="BC18" s="18">
        <v>0.78100000000000003</v>
      </c>
      <c r="BD18" s="18">
        <v>0.72799999999999998</v>
      </c>
      <c r="BE18" s="18">
        <v>1.1299999999999999</v>
      </c>
      <c r="BF18" s="18">
        <v>0.41499999999999998</v>
      </c>
      <c r="BG18" s="18">
        <v>0</v>
      </c>
      <c r="BH18" s="18">
        <v>1.29</v>
      </c>
      <c r="BI18" s="18">
        <v>0.93500000000000005</v>
      </c>
      <c r="BJ18" s="18">
        <v>0.51800000000000002</v>
      </c>
      <c r="BK18" s="18">
        <v>0.52700000000000002</v>
      </c>
      <c r="BL18" s="18">
        <v>1.0149999999999999</v>
      </c>
      <c r="BM18" s="18">
        <v>1.3009999999999999</v>
      </c>
      <c r="BN18" s="18">
        <v>1.252</v>
      </c>
      <c r="BO18" s="18">
        <v>0.52200000000000002</v>
      </c>
      <c r="BP18" s="18">
        <v>0.79900000000000004</v>
      </c>
      <c r="BQ18" s="18">
        <v>0.64100000000000001</v>
      </c>
      <c r="BR18" s="18">
        <v>0.90100000000000002</v>
      </c>
      <c r="BS18" s="18">
        <v>1.3080000000000001</v>
      </c>
      <c r="BT18" s="18">
        <v>0.49199999999999999</v>
      </c>
      <c r="BU18" s="18">
        <v>0.28399999999999997</v>
      </c>
      <c r="BV18" s="18">
        <v>1.1839999999999999</v>
      </c>
      <c r="BW18" s="18">
        <v>1.1319999999999999</v>
      </c>
      <c r="BX18" s="18">
        <v>1.29</v>
      </c>
      <c r="BY18" s="18">
        <v>0.76800000000000002</v>
      </c>
      <c r="BZ18" s="18">
        <v>0.29499999999999998</v>
      </c>
      <c r="CA18" s="18">
        <v>0.97</v>
      </c>
    </row>
    <row r="19" spans="1:79" x14ac:dyDescent="0.25">
      <c r="A19" s="8">
        <v>15</v>
      </c>
      <c r="B19" s="8">
        <v>7</v>
      </c>
      <c r="C19" s="18">
        <v>1.399</v>
      </c>
      <c r="D19" s="18">
        <v>1.3959999999999999</v>
      </c>
      <c r="E19" s="18">
        <v>0.76900000000000002</v>
      </c>
      <c r="F19" s="18">
        <v>1.609</v>
      </c>
      <c r="G19" s="18">
        <v>1.05</v>
      </c>
      <c r="H19" s="18">
        <v>0.69499999999999995</v>
      </c>
      <c r="I19" s="18">
        <v>0.83199999999999996</v>
      </c>
      <c r="J19" s="18">
        <v>0.99</v>
      </c>
      <c r="K19" s="18">
        <v>0.77800000000000002</v>
      </c>
      <c r="L19" s="18">
        <v>0.66</v>
      </c>
      <c r="M19" s="18">
        <v>1.2030000000000001</v>
      </c>
      <c r="N19" s="18">
        <v>0.68700000000000006</v>
      </c>
      <c r="O19" s="18">
        <v>1.5369999999999999</v>
      </c>
      <c r="P19" s="18">
        <v>0.93400000000000005</v>
      </c>
      <c r="Q19" s="18">
        <v>0.99299999999999999</v>
      </c>
      <c r="R19" s="18">
        <v>0.98899999999999999</v>
      </c>
      <c r="S19" s="18">
        <v>1.4650000000000001</v>
      </c>
      <c r="T19" s="18">
        <v>1.605</v>
      </c>
      <c r="U19" s="18">
        <v>1.411</v>
      </c>
      <c r="V19" s="18">
        <v>0.78400000000000003</v>
      </c>
      <c r="W19" s="18">
        <v>1.5189999999999999</v>
      </c>
      <c r="X19" s="18">
        <v>0.84199999999999997</v>
      </c>
      <c r="Y19" s="18">
        <v>1.1990000000000001</v>
      </c>
      <c r="Z19" s="18">
        <v>1.194</v>
      </c>
      <c r="AA19" s="18">
        <v>1.4</v>
      </c>
      <c r="AB19" s="18">
        <v>0.96199999999999997</v>
      </c>
      <c r="AC19" s="18">
        <v>1.57</v>
      </c>
      <c r="AD19" s="18">
        <v>1.4950000000000001</v>
      </c>
      <c r="AE19" s="18">
        <v>0.55700000000000005</v>
      </c>
      <c r="AF19" s="18">
        <v>1.603</v>
      </c>
      <c r="AG19" s="18">
        <v>1.607</v>
      </c>
      <c r="AH19" s="18">
        <v>0.60399999999999998</v>
      </c>
      <c r="AI19" s="18">
        <v>1.0640000000000001</v>
      </c>
      <c r="AJ19" s="18">
        <v>0.435</v>
      </c>
      <c r="AK19" s="18">
        <v>0.63700000000000001</v>
      </c>
      <c r="AL19" s="18">
        <v>0.73299999999999998</v>
      </c>
      <c r="AM19" s="18">
        <v>0.99299999999999999</v>
      </c>
      <c r="AN19" s="18">
        <v>0</v>
      </c>
      <c r="AO19" s="18">
        <v>1.202</v>
      </c>
      <c r="AP19" s="18">
        <v>0.98899999999999999</v>
      </c>
      <c r="AQ19" s="18">
        <v>1.613</v>
      </c>
      <c r="AR19" s="18">
        <v>1.62</v>
      </c>
      <c r="AS19" s="18">
        <v>1.2070000000000001</v>
      </c>
      <c r="AT19" s="18">
        <v>0.58799999999999997</v>
      </c>
      <c r="AU19" s="18">
        <v>0.40699999999999997</v>
      </c>
      <c r="AV19" s="18">
        <v>0.78400000000000003</v>
      </c>
      <c r="AW19" s="18">
        <v>0.91700000000000004</v>
      </c>
      <c r="AX19" s="18">
        <v>1.603</v>
      </c>
      <c r="AY19" s="18">
        <v>0.97299999999999998</v>
      </c>
      <c r="AZ19" s="18">
        <v>1.07</v>
      </c>
      <c r="BA19" s="18">
        <v>1.4019999999999999</v>
      </c>
      <c r="BB19" s="18">
        <v>1.6080000000000001</v>
      </c>
      <c r="BC19" s="18">
        <v>0.998</v>
      </c>
      <c r="BD19" s="18">
        <v>0.97899999999999998</v>
      </c>
      <c r="BE19" s="18">
        <v>1.4</v>
      </c>
      <c r="BF19" s="18">
        <v>0.56899999999999995</v>
      </c>
      <c r="BG19" s="18">
        <v>0</v>
      </c>
      <c r="BH19" s="18">
        <v>1.585</v>
      </c>
      <c r="BI19" s="18">
        <v>1.167</v>
      </c>
      <c r="BJ19" s="18">
        <v>0.65500000000000003</v>
      </c>
      <c r="BK19" s="18">
        <v>0.71099999999999997</v>
      </c>
      <c r="BL19" s="18">
        <v>1.6040000000000001</v>
      </c>
      <c r="BM19" s="18">
        <v>1.609</v>
      </c>
      <c r="BN19" s="18">
        <v>1.51</v>
      </c>
      <c r="BO19" s="18">
        <v>0.74299999999999999</v>
      </c>
      <c r="BP19" s="18">
        <v>0.99099999999999999</v>
      </c>
      <c r="BQ19" s="18">
        <v>1.004</v>
      </c>
      <c r="BR19" s="18">
        <v>1.4</v>
      </c>
      <c r="BS19" s="18">
        <v>1.579</v>
      </c>
      <c r="BT19" s="18">
        <v>0.72299999999999998</v>
      </c>
      <c r="BU19" s="18">
        <v>0.23200000000000001</v>
      </c>
      <c r="BV19" s="18">
        <v>1.397</v>
      </c>
      <c r="BW19" s="18">
        <v>1.33</v>
      </c>
      <c r="BX19" s="18">
        <v>1.1120000000000001</v>
      </c>
      <c r="BY19" s="18">
        <v>0.97399999999999998</v>
      </c>
      <c r="BZ19" s="18">
        <v>0.372</v>
      </c>
      <c r="CA19" s="18">
        <v>1.2010000000000001</v>
      </c>
    </row>
    <row r="20" spans="1:79" x14ac:dyDescent="0.25">
      <c r="A20" s="8">
        <v>16</v>
      </c>
      <c r="B20" s="8">
        <v>7.5</v>
      </c>
      <c r="C20" s="18">
        <v>1.627</v>
      </c>
      <c r="D20" s="18">
        <v>1.3180000000000001</v>
      </c>
      <c r="E20" s="18">
        <v>0.86799999999999999</v>
      </c>
      <c r="F20" s="18">
        <v>1.29</v>
      </c>
      <c r="G20" s="18">
        <v>1.4259999999999999</v>
      </c>
      <c r="H20" s="18">
        <v>0.72</v>
      </c>
      <c r="I20" s="18">
        <v>1.0109999999999999</v>
      </c>
      <c r="J20" s="18">
        <v>1.0940000000000001</v>
      </c>
      <c r="K20" s="18">
        <v>0.88600000000000001</v>
      </c>
      <c r="L20" s="18">
        <v>0.84399999999999997</v>
      </c>
      <c r="M20" s="18">
        <v>1.4350000000000001</v>
      </c>
      <c r="N20" s="18">
        <v>0.80700000000000005</v>
      </c>
      <c r="O20" s="18">
        <v>1.6220000000000001</v>
      </c>
      <c r="P20" s="18">
        <v>0.86099999999999999</v>
      </c>
      <c r="Q20" s="18">
        <v>1.1859999999999999</v>
      </c>
      <c r="R20" s="18">
        <v>0.79500000000000004</v>
      </c>
      <c r="S20" s="18">
        <v>1.8089999999999999</v>
      </c>
      <c r="T20" s="18">
        <v>1.8540000000000001</v>
      </c>
      <c r="U20" s="18">
        <v>1.5680000000000001</v>
      </c>
      <c r="V20" s="18">
        <v>0.76900000000000002</v>
      </c>
      <c r="W20" s="18">
        <v>1.6559999999999999</v>
      </c>
      <c r="X20" s="18">
        <v>1.1479999999999999</v>
      </c>
      <c r="Y20" s="18">
        <v>1.431</v>
      </c>
      <c r="Z20" s="18">
        <v>1.4259999999999999</v>
      </c>
      <c r="AA20" s="18">
        <v>1.53</v>
      </c>
      <c r="AB20" s="18">
        <v>1.087</v>
      </c>
      <c r="AC20" s="18">
        <v>1.0189999999999999</v>
      </c>
      <c r="AD20" s="18">
        <v>1.9079999999999999</v>
      </c>
      <c r="AE20" s="18">
        <v>0.78500000000000003</v>
      </c>
      <c r="AF20" s="18">
        <v>1.7270000000000001</v>
      </c>
      <c r="AG20" s="18">
        <v>1.62</v>
      </c>
      <c r="AH20" s="18">
        <v>0</v>
      </c>
      <c r="AI20" s="18">
        <v>1.3480000000000001</v>
      </c>
      <c r="AJ20" s="18">
        <v>0.621</v>
      </c>
      <c r="AK20" s="18">
        <v>4.0000000000000001E-3</v>
      </c>
      <c r="AL20" s="18">
        <v>1.0469999999999999</v>
      </c>
      <c r="AM20" s="18">
        <v>1.1819999999999999</v>
      </c>
      <c r="AN20" s="18">
        <v>0.83699999999999997</v>
      </c>
      <c r="AO20" s="18">
        <v>1.4339999999999999</v>
      </c>
      <c r="AP20" s="18">
        <v>1.1819999999999999</v>
      </c>
      <c r="AQ20" s="18">
        <v>1.012</v>
      </c>
      <c r="AR20" s="18">
        <v>0.58899999999999997</v>
      </c>
      <c r="AS20" s="18">
        <v>1.3540000000000001</v>
      </c>
      <c r="AT20" s="18">
        <v>0.628</v>
      </c>
      <c r="AU20" s="18">
        <v>0.59499999999999997</v>
      </c>
      <c r="AV20" s="18">
        <v>0.82799999999999996</v>
      </c>
      <c r="AW20" s="18">
        <v>1.0169999999999999</v>
      </c>
      <c r="AX20" s="18">
        <v>1.905</v>
      </c>
      <c r="AY20" s="18">
        <v>1.4330000000000001</v>
      </c>
      <c r="AZ20" s="18">
        <v>1.337</v>
      </c>
      <c r="BA20" s="18">
        <v>1.514</v>
      </c>
      <c r="BB20" s="18">
        <v>1.08</v>
      </c>
      <c r="BC20" s="18">
        <v>1.1910000000000001</v>
      </c>
      <c r="BD20" s="18">
        <v>0.92700000000000005</v>
      </c>
      <c r="BE20" s="18">
        <v>1.6220000000000001</v>
      </c>
      <c r="BF20" s="18">
        <v>0.59799999999999998</v>
      </c>
      <c r="BG20" s="18">
        <v>0.52600000000000002</v>
      </c>
      <c r="BH20" s="18">
        <v>1.8009999999999999</v>
      </c>
      <c r="BI20" s="18">
        <v>1.4370000000000001</v>
      </c>
      <c r="BJ20" s="18">
        <v>0.93400000000000005</v>
      </c>
      <c r="BK20" s="18">
        <v>0.80800000000000005</v>
      </c>
      <c r="BL20" s="18">
        <v>1.8320000000000001</v>
      </c>
      <c r="BM20" s="18">
        <v>1.827</v>
      </c>
      <c r="BN20" s="18">
        <v>1.5880000000000001</v>
      </c>
      <c r="BO20" s="18">
        <v>0.92900000000000005</v>
      </c>
      <c r="BP20" s="18">
        <v>1.032</v>
      </c>
      <c r="BQ20" s="18">
        <v>0.98499999999999999</v>
      </c>
      <c r="BR20" s="18">
        <v>1.494</v>
      </c>
      <c r="BS20" s="18">
        <v>1.4650000000000001</v>
      </c>
      <c r="BT20" s="18">
        <v>0</v>
      </c>
      <c r="BU20" s="18">
        <v>0.41</v>
      </c>
      <c r="BV20" s="18">
        <v>1.802</v>
      </c>
      <c r="BW20" s="18">
        <v>1.6319999999999999</v>
      </c>
      <c r="BX20" s="18">
        <v>1.5209999999999999</v>
      </c>
      <c r="BY20" s="18">
        <v>1.26</v>
      </c>
      <c r="BZ20" s="18">
        <v>0.22600000000000001</v>
      </c>
      <c r="CA20" s="18">
        <v>1.4330000000000001</v>
      </c>
    </row>
    <row r="21" spans="1:79" x14ac:dyDescent="0.25">
      <c r="A21" s="8">
        <v>17</v>
      </c>
      <c r="B21" s="8">
        <v>8</v>
      </c>
      <c r="C21" s="18">
        <v>0.95499999999999996</v>
      </c>
      <c r="D21" s="18">
        <v>0</v>
      </c>
      <c r="E21" s="18">
        <v>1.0820000000000001</v>
      </c>
      <c r="F21" s="18">
        <v>0</v>
      </c>
      <c r="G21" s="18">
        <v>1.4410000000000001</v>
      </c>
      <c r="H21" s="18">
        <v>0.96799999999999997</v>
      </c>
      <c r="I21" s="18">
        <v>1.0009999999999999</v>
      </c>
      <c r="J21" s="18">
        <v>1.2549999999999999</v>
      </c>
      <c r="K21" s="18">
        <v>0.93200000000000005</v>
      </c>
      <c r="L21" s="18">
        <v>1.071</v>
      </c>
      <c r="M21" s="18">
        <v>1.6519999999999999</v>
      </c>
      <c r="N21" s="18">
        <v>0.94</v>
      </c>
      <c r="O21" s="18">
        <v>0</v>
      </c>
      <c r="P21" s="18">
        <v>1.3180000000000001</v>
      </c>
      <c r="Q21" s="18">
        <v>1.204</v>
      </c>
      <c r="R21" s="18">
        <v>1.3340000000000001</v>
      </c>
      <c r="S21" s="18">
        <v>0.309</v>
      </c>
      <c r="T21" s="18">
        <v>0.35499999999999998</v>
      </c>
      <c r="U21" s="18">
        <v>0.68300000000000005</v>
      </c>
      <c r="V21" s="18">
        <v>0.90900000000000003</v>
      </c>
      <c r="W21" s="18">
        <v>0.94199999999999995</v>
      </c>
      <c r="X21" s="18">
        <v>0.40300000000000002</v>
      </c>
      <c r="Y21" s="18">
        <v>0.50700000000000001</v>
      </c>
      <c r="Z21" s="18">
        <v>1.3069999999999999</v>
      </c>
      <c r="AA21" s="18">
        <v>0.29399999999999998</v>
      </c>
      <c r="AB21" s="18">
        <v>1.1100000000000001</v>
      </c>
      <c r="AC21" s="18">
        <v>0</v>
      </c>
      <c r="AD21" s="18">
        <v>0.36699999999999999</v>
      </c>
      <c r="AE21" s="18">
        <v>0.81799999999999995</v>
      </c>
      <c r="AF21" s="18">
        <v>1.7929999999999999</v>
      </c>
      <c r="AG21" s="18">
        <v>0.14199999999999999</v>
      </c>
      <c r="AH21" s="18">
        <v>0.875</v>
      </c>
      <c r="AI21" s="18">
        <v>1.5029999999999999</v>
      </c>
      <c r="AJ21" s="18">
        <v>0.46899999999999997</v>
      </c>
      <c r="AK21" s="18">
        <v>0.63100000000000001</v>
      </c>
      <c r="AL21" s="18">
        <v>0.88600000000000001</v>
      </c>
      <c r="AM21" s="18">
        <v>1.133</v>
      </c>
      <c r="AN21" s="18">
        <v>1.099</v>
      </c>
      <c r="AO21" s="18">
        <v>1.089</v>
      </c>
      <c r="AP21" s="18">
        <v>1.363</v>
      </c>
      <c r="AQ21" s="18">
        <v>0</v>
      </c>
      <c r="AR21" s="18">
        <v>0</v>
      </c>
      <c r="AS21" s="18">
        <v>1.611</v>
      </c>
      <c r="AT21" s="18">
        <v>0.70299999999999996</v>
      </c>
      <c r="AU21" s="18">
        <v>0.73299999999999998</v>
      </c>
      <c r="AV21" s="18">
        <v>0.99399999999999999</v>
      </c>
      <c r="AW21" s="18">
        <v>1.2909999999999999</v>
      </c>
      <c r="AX21" s="18">
        <v>0.29199999999999998</v>
      </c>
      <c r="AY21" s="18">
        <v>0.33500000000000002</v>
      </c>
      <c r="AZ21" s="18">
        <v>1.4890000000000001</v>
      </c>
      <c r="BA21" s="18">
        <v>1.093</v>
      </c>
      <c r="BB21" s="18">
        <v>0</v>
      </c>
      <c r="BC21" s="18">
        <v>1.1739999999999999</v>
      </c>
      <c r="BD21" s="18">
        <v>1.3380000000000001</v>
      </c>
      <c r="BE21" s="18">
        <v>2.5999999999999999E-2</v>
      </c>
      <c r="BF21" s="18">
        <v>0.79300000000000004</v>
      </c>
      <c r="BG21" s="18">
        <v>0.309</v>
      </c>
      <c r="BH21" s="18">
        <v>7.2999999999999995E-2</v>
      </c>
      <c r="BI21" s="18">
        <v>1.5760000000000001</v>
      </c>
      <c r="BJ21" s="18">
        <v>0.84599999999999997</v>
      </c>
      <c r="BK21" s="18">
        <v>0.995</v>
      </c>
      <c r="BL21" s="18">
        <v>1.014</v>
      </c>
      <c r="BM21" s="18">
        <v>1.31</v>
      </c>
      <c r="BN21" s="18">
        <v>1.645</v>
      </c>
      <c r="BO21" s="18">
        <v>0.93200000000000005</v>
      </c>
      <c r="BP21" s="18">
        <v>1.2210000000000001</v>
      </c>
      <c r="BQ21" s="18">
        <v>1.161</v>
      </c>
      <c r="BR21" s="18">
        <v>0</v>
      </c>
      <c r="BS21" s="18">
        <v>0</v>
      </c>
      <c r="BT21" s="18">
        <v>0.88700000000000001</v>
      </c>
      <c r="BU21" s="18">
        <v>0.51100000000000001</v>
      </c>
      <c r="BV21" s="18">
        <v>0.73</v>
      </c>
      <c r="BW21" s="18">
        <v>0.374</v>
      </c>
      <c r="BX21" s="18">
        <v>1.292</v>
      </c>
      <c r="BY21" s="18">
        <v>1.395</v>
      </c>
      <c r="BZ21" s="18">
        <v>0.36199999999999999</v>
      </c>
      <c r="CA21" s="18">
        <v>0.47299999999999998</v>
      </c>
    </row>
    <row r="22" spans="1:79" x14ac:dyDescent="0.25">
      <c r="A22" s="8">
        <v>18</v>
      </c>
      <c r="B22" s="8">
        <v>8.5</v>
      </c>
      <c r="C22" s="18">
        <v>0</v>
      </c>
      <c r="D22" s="18">
        <v>0</v>
      </c>
      <c r="E22" s="18">
        <v>1.218</v>
      </c>
      <c r="F22" s="18">
        <v>0</v>
      </c>
      <c r="G22" s="18">
        <v>0</v>
      </c>
      <c r="H22" s="18">
        <v>1.0620000000000001</v>
      </c>
      <c r="I22" s="18">
        <v>0</v>
      </c>
      <c r="J22" s="18">
        <v>1.4850000000000001</v>
      </c>
      <c r="K22" s="18">
        <v>1.042</v>
      </c>
      <c r="L22" s="18">
        <v>0.97099999999999997</v>
      </c>
      <c r="M22" s="18">
        <v>0.29499999999999998</v>
      </c>
      <c r="N22" s="18">
        <v>0.72799999999999998</v>
      </c>
      <c r="O22" s="18">
        <v>0</v>
      </c>
      <c r="P22" s="18">
        <v>1.38</v>
      </c>
      <c r="Q22" s="18">
        <v>1.169</v>
      </c>
      <c r="R22" s="18">
        <v>5.7000000000000002E-2</v>
      </c>
      <c r="S22" s="18">
        <v>0</v>
      </c>
      <c r="T22" s="18">
        <v>0</v>
      </c>
      <c r="U22" s="18">
        <v>0</v>
      </c>
      <c r="V22" s="18">
        <v>0.42299999999999999</v>
      </c>
      <c r="W22" s="18">
        <v>0</v>
      </c>
      <c r="X22" s="18">
        <v>1.4850000000000001</v>
      </c>
      <c r="Y22" s="18">
        <v>0</v>
      </c>
      <c r="Z22" s="18">
        <v>1.667</v>
      </c>
      <c r="AA22" s="18">
        <v>0</v>
      </c>
      <c r="AB22" s="18">
        <v>0.38900000000000001</v>
      </c>
      <c r="AC22" s="18">
        <v>0</v>
      </c>
      <c r="AD22" s="18">
        <v>0</v>
      </c>
      <c r="AE22" s="18">
        <v>0.90800000000000003</v>
      </c>
      <c r="AF22" s="18">
        <v>0.33900000000000002</v>
      </c>
      <c r="AG22" s="18">
        <v>0</v>
      </c>
      <c r="AH22" s="18">
        <v>1.1299999999999999</v>
      </c>
      <c r="AI22" s="18">
        <v>0.61499999999999999</v>
      </c>
      <c r="AJ22" s="18">
        <v>0</v>
      </c>
      <c r="AK22" s="18">
        <v>0.93400000000000005</v>
      </c>
      <c r="AL22" s="18">
        <v>0.14899999999999999</v>
      </c>
      <c r="AM22" s="18">
        <v>1.1160000000000001</v>
      </c>
      <c r="AN22" s="18">
        <v>1.335</v>
      </c>
      <c r="AO22" s="18">
        <v>0</v>
      </c>
      <c r="AP22" s="18">
        <v>1.1339999999999999</v>
      </c>
      <c r="AQ22" s="18">
        <v>0</v>
      </c>
      <c r="AR22" s="18">
        <v>0</v>
      </c>
      <c r="AS22" s="18">
        <v>1.0069999999999999</v>
      </c>
      <c r="AT22" s="18">
        <v>0.88900000000000001</v>
      </c>
      <c r="AU22" s="18">
        <v>0.71499999999999997</v>
      </c>
      <c r="AV22" s="18">
        <v>1.208</v>
      </c>
      <c r="AW22" s="18">
        <v>1.429</v>
      </c>
      <c r="AX22" s="18">
        <v>0</v>
      </c>
      <c r="AY22" s="18">
        <v>0</v>
      </c>
      <c r="AZ22" s="18">
        <v>1.0409999999999999</v>
      </c>
      <c r="BA22" s="18">
        <v>0</v>
      </c>
      <c r="BB22" s="18">
        <v>0</v>
      </c>
      <c r="BC22" s="18">
        <v>0.60499999999999998</v>
      </c>
      <c r="BD22" s="18">
        <v>1.4570000000000001</v>
      </c>
      <c r="BE22" s="18">
        <v>0</v>
      </c>
      <c r="BF22" s="18">
        <v>0.61799999999999999</v>
      </c>
      <c r="BG22" s="18">
        <v>0.12</v>
      </c>
      <c r="BH22" s="18">
        <v>0</v>
      </c>
      <c r="BI22" s="18">
        <v>0.59</v>
      </c>
      <c r="BJ22" s="18">
        <v>1.2150000000000001</v>
      </c>
      <c r="BK22" s="18">
        <v>1.0489999999999999</v>
      </c>
      <c r="BL22" s="18">
        <v>0</v>
      </c>
      <c r="BM22" s="18">
        <v>0</v>
      </c>
      <c r="BN22" s="18">
        <v>0</v>
      </c>
      <c r="BO22" s="18">
        <v>1.2270000000000001</v>
      </c>
      <c r="BP22" s="18">
        <v>0.38100000000000001</v>
      </c>
      <c r="BQ22" s="18">
        <v>1.1870000000000001</v>
      </c>
      <c r="BR22" s="18">
        <v>0</v>
      </c>
      <c r="BS22" s="18">
        <v>0</v>
      </c>
      <c r="BT22" s="18">
        <v>1.165</v>
      </c>
      <c r="BU22" s="18">
        <v>0.42</v>
      </c>
      <c r="BV22" s="18">
        <v>0</v>
      </c>
      <c r="BW22" s="18">
        <v>0</v>
      </c>
      <c r="BX22" s="18">
        <v>0</v>
      </c>
      <c r="BY22" s="18">
        <v>1.4239999999999999</v>
      </c>
      <c r="BZ22" s="18">
        <v>0.38100000000000001</v>
      </c>
      <c r="CA22" s="18">
        <v>0</v>
      </c>
    </row>
    <row r="23" spans="1:79" x14ac:dyDescent="0.25">
      <c r="A23" s="8">
        <v>19</v>
      </c>
      <c r="B23" s="8">
        <v>9</v>
      </c>
      <c r="C23" s="18">
        <v>0</v>
      </c>
      <c r="D23" s="18">
        <v>0</v>
      </c>
      <c r="E23" s="18">
        <v>0.53500000000000003</v>
      </c>
      <c r="F23" s="18">
        <v>0</v>
      </c>
      <c r="G23" s="18">
        <v>0</v>
      </c>
      <c r="H23" s="18">
        <v>1.089</v>
      </c>
      <c r="I23" s="18">
        <v>1.4890000000000001</v>
      </c>
      <c r="J23" s="18">
        <v>0.56299999999999994</v>
      </c>
      <c r="K23" s="18">
        <v>1.1579999999999999</v>
      </c>
      <c r="L23" s="18">
        <v>1.1839999999999999</v>
      </c>
      <c r="M23" s="18">
        <v>0</v>
      </c>
      <c r="N23" s="18">
        <v>0.51500000000000001</v>
      </c>
      <c r="O23" s="18">
        <v>0</v>
      </c>
      <c r="P23" s="18">
        <v>0.82299999999999995</v>
      </c>
      <c r="Q23" s="18">
        <v>0</v>
      </c>
      <c r="R23" s="18">
        <v>1.0960000000000001</v>
      </c>
      <c r="S23" s="18">
        <v>0</v>
      </c>
      <c r="T23" s="18">
        <v>0</v>
      </c>
      <c r="U23" s="18">
        <v>0</v>
      </c>
      <c r="V23" s="18">
        <v>2.8000000000000001E-2</v>
      </c>
      <c r="W23" s="18">
        <v>0</v>
      </c>
      <c r="X23" s="18">
        <v>0.48099999999999998</v>
      </c>
      <c r="Y23" s="18">
        <v>0</v>
      </c>
      <c r="Z23" s="18">
        <v>0</v>
      </c>
      <c r="AA23" s="18">
        <v>0</v>
      </c>
      <c r="AB23" s="18">
        <v>1.113</v>
      </c>
      <c r="AC23" s="18">
        <v>0</v>
      </c>
      <c r="AD23" s="18">
        <v>0</v>
      </c>
      <c r="AE23" s="18">
        <v>1.0649999999999999</v>
      </c>
      <c r="AF23" s="18">
        <v>0</v>
      </c>
      <c r="AG23" s="18">
        <v>0</v>
      </c>
      <c r="AH23" s="18">
        <v>1.0760000000000001</v>
      </c>
      <c r="AI23" s="18">
        <v>0</v>
      </c>
      <c r="AJ23" s="18">
        <v>0</v>
      </c>
      <c r="AK23" s="18">
        <v>0.11</v>
      </c>
      <c r="AL23" s="18">
        <v>1.6279999999999999</v>
      </c>
      <c r="AM23" s="18">
        <v>0</v>
      </c>
      <c r="AN23" s="18">
        <v>1.526</v>
      </c>
      <c r="AO23" s="18">
        <v>0</v>
      </c>
      <c r="AP23" s="18">
        <v>0</v>
      </c>
      <c r="AQ23" s="18">
        <v>0</v>
      </c>
      <c r="AR23" s="18">
        <v>0.253</v>
      </c>
      <c r="AS23" s="18">
        <v>0</v>
      </c>
      <c r="AT23" s="18">
        <v>0.84199999999999997</v>
      </c>
      <c r="AU23" s="18">
        <v>0.95599999999999996</v>
      </c>
      <c r="AV23" s="18">
        <v>1.0309999999999999</v>
      </c>
      <c r="AW23" s="18">
        <v>0.65200000000000002</v>
      </c>
      <c r="AX23" s="18">
        <v>0</v>
      </c>
      <c r="AY23" s="18">
        <v>0.16300000000000001</v>
      </c>
      <c r="AZ23" s="18">
        <v>0</v>
      </c>
      <c r="BA23" s="18">
        <v>0</v>
      </c>
      <c r="BB23" s="18">
        <v>0</v>
      </c>
      <c r="BC23" s="18">
        <v>0</v>
      </c>
      <c r="BD23" s="18">
        <v>0.439</v>
      </c>
      <c r="BE23" s="18">
        <v>0</v>
      </c>
      <c r="BF23" s="18">
        <v>0.95399999999999996</v>
      </c>
      <c r="BG23" s="18">
        <v>4.2000000000000003E-2</v>
      </c>
      <c r="BH23" s="18">
        <v>0</v>
      </c>
      <c r="BI23" s="18">
        <v>0</v>
      </c>
      <c r="BJ23" s="18">
        <v>1.1120000000000001</v>
      </c>
      <c r="BK23" s="18">
        <v>1.198</v>
      </c>
      <c r="BL23" s="18">
        <v>0</v>
      </c>
      <c r="BM23" s="18">
        <v>0</v>
      </c>
      <c r="BN23" s="18">
        <v>0</v>
      </c>
      <c r="BO23" s="18">
        <v>1.1359999999999999</v>
      </c>
      <c r="BP23" s="18">
        <v>0</v>
      </c>
      <c r="BQ23" s="18">
        <v>0.36299999999999999</v>
      </c>
      <c r="BR23" s="18">
        <v>0</v>
      </c>
      <c r="BS23" s="18">
        <v>0</v>
      </c>
      <c r="BT23" s="18">
        <v>1.0920000000000001</v>
      </c>
      <c r="BU23" s="18">
        <v>0.63700000000000001</v>
      </c>
      <c r="BV23" s="18">
        <v>0</v>
      </c>
      <c r="BW23" s="18">
        <v>0</v>
      </c>
      <c r="BX23" s="18">
        <v>0</v>
      </c>
      <c r="BY23" s="18">
        <v>6.3E-2</v>
      </c>
      <c r="BZ23" s="18">
        <v>0.33500000000000002</v>
      </c>
      <c r="CA23" s="18">
        <v>0</v>
      </c>
    </row>
    <row r="24" spans="1:79" x14ac:dyDescent="0.25">
      <c r="A24" s="8">
        <v>20</v>
      </c>
      <c r="B24" s="8">
        <v>9.5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1.3129999999999999</v>
      </c>
      <c r="I24" s="18">
        <v>0</v>
      </c>
      <c r="J24" s="18">
        <v>0</v>
      </c>
      <c r="K24" s="18">
        <v>1.2569999999999999</v>
      </c>
      <c r="L24" s="18">
        <v>0.96099999999999997</v>
      </c>
      <c r="M24" s="18">
        <v>0</v>
      </c>
      <c r="N24" s="18">
        <v>1.262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4.2999999999999997E-2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7.6999999999999999E-2</v>
      </c>
      <c r="AC24" s="18">
        <v>0</v>
      </c>
      <c r="AD24" s="18">
        <v>0</v>
      </c>
      <c r="AE24" s="18">
        <v>1.3939999999999999</v>
      </c>
      <c r="AF24" s="18">
        <v>0</v>
      </c>
      <c r="AG24" s="18">
        <v>0</v>
      </c>
      <c r="AH24" s="18">
        <v>1.417</v>
      </c>
      <c r="AI24" s="18">
        <v>0</v>
      </c>
      <c r="AJ24" s="18">
        <v>0</v>
      </c>
      <c r="AK24" s="18">
        <v>0.23799999999999999</v>
      </c>
      <c r="AL24" s="18">
        <v>1.3089999999999999</v>
      </c>
      <c r="AM24" s="18">
        <v>0</v>
      </c>
      <c r="AN24" s="18">
        <v>0.79200000000000004</v>
      </c>
      <c r="AO24" s="18">
        <v>0</v>
      </c>
      <c r="AP24" s="18">
        <v>0</v>
      </c>
      <c r="AQ24" s="18">
        <v>0</v>
      </c>
      <c r="AR24" s="18">
        <v>0.34200000000000003</v>
      </c>
      <c r="AS24" s="18">
        <v>0</v>
      </c>
      <c r="AT24" s="18">
        <v>1.075</v>
      </c>
      <c r="AU24" s="18">
        <v>0.93600000000000005</v>
      </c>
      <c r="AV24" s="18">
        <v>0.41099999999999998</v>
      </c>
      <c r="AW24" s="18">
        <v>0</v>
      </c>
      <c r="AX24" s="18">
        <v>0</v>
      </c>
      <c r="AY24" s="18">
        <v>0.59399999999999997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0.71899999999999997</v>
      </c>
      <c r="BG24" s="18">
        <v>0.504</v>
      </c>
      <c r="BH24" s="18">
        <v>0</v>
      </c>
      <c r="BI24" s="18">
        <v>0</v>
      </c>
      <c r="BJ24" s="18">
        <v>0.19800000000000001</v>
      </c>
      <c r="BK24" s="18">
        <v>0.48599999999999999</v>
      </c>
      <c r="BL24" s="18">
        <v>0</v>
      </c>
      <c r="BM24" s="18">
        <v>0</v>
      </c>
      <c r="BN24" s="18">
        <v>0</v>
      </c>
      <c r="BO24" s="18">
        <v>0</v>
      </c>
      <c r="BP24" s="18">
        <v>0</v>
      </c>
      <c r="BQ24" s="18">
        <v>0</v>
      </c>
      <c r="BR24" s="18">
        <v>0</v>
      </c>
      <c r="BS24" s="18">
        <v>0</v>
      </c>
      <c r="BT24" s="18">
        <v>1.321</v>
      </c>
      <c r="BU24" s="18">
        <v>0.55000000000000004</v>
      </c>
      <c r="BV24" s="18">
        <v>0</v>
      </c>
      <c r="BW24" s="18">
        <v>0</v>
      </c>
      <c r="BX24" s="18">
        <v>0</v>
      </c>
      <c r="BY24" s="18">
        <v>0</v>
      </c>
      <c r="BZ24" s="18">
        <v>0.69799999999999995</v>
      </c>
      <c r="CA24" s="18">
        <v>0</v>
      </c>
    </row>
    <row r="25" spans="1:79" x14ac:dyDescent="0.25">
      <c r="A25" s="8">
        <v>21</v>
      </c>
      <c r="B25" s="8">
        <v>10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0.33600000000000002</v>
      </c>
      <c r="I25" s="18">
        <v>1.25</v>
      </c>
      <c r="J25" s="18">
        <v>0</v>
      </c>
      <c r="K25" s="18">
        <v>0.501</v>
      </c>
      <c r="L25" s="18">
        <v>0</v>
      </c>
      <c r="M25" s="18">
        <v>0</v>
      </c>
      <c r="N25" s="18">
        <v>1.4370000000000001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8.8999999999999996E-2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1.079</v>
      </c>
      <c r="AF25" s="18">
        <v>0</v>
      </c>
      <c r="AG25" s="18">
        <v>0</v>
      </c>
      <c r="AH25" s="18">
        <v>0.57799999999999996</v>
      </c>
      <c r="AI25" s="18">
        <v>0</v>
      </c>
      <c r="AJ25" s="18">
        <v>0.98</v>
      </c>
      <c r="AK25" s="18">
        <v>1.091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0.871</v>
      </c>
      <c r="AU25" s="18">
        <v>0.98199999999999998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0.58099999999999996</v>
      </c>
      <c r="BG25" s="18">
        <v>0.79300000000000004</v>
      </c>
      <c r="BH25" s="18">
        <v>0</v>
      </c>
      <c r="BI25" s="18">
        <v>0</v>
      </c>
      <c r="BJ25" s="18">
        <v>0</v>
      </c>
      <c r="BK25" s="18">
        <v>0</v>
      </c>
      <c r="BL25" s="18">
        <v>0</v>
      </c>
      <c r="BM25" s="18">
        <v>0</v>
      </c>
      <c r="BN25" s="18">
        <v>0</v>
      </c>
      <c r="BO25" s="18">
        <v>0</v>
      </c>
      <c r="BP25" s="18">
        <v>0</v>
      </c>
      <c r="BQ25" s="18">
        <v>0</v>
      </c>
      <c r="BR25" s="18">
        <v>0</v>
      </c>
      <c r="BS25" s="18">
        <v>0</v>
      </c>
      <c r="BT25" s="18">
        <v>0.505</v>
      </c>
      <c r="BU25" s="18">
        <v>0.70799999999999996</v>
      </c>
      <c r="BV25" s="18">
        <v>0</v>
      </c>
      <c r="BW25" s="18">
        <v>0</v>
      </c>
      <c r="BX25" s="18">
        <v>0</v>
      </c>
      <c r="BY25" s="18">
        <v>0</v>
      </c>
      <c r="BZ25" s="18">
        <v>0.74099999999999999</v>
      </c>
      <c r="CA25" s="18">
        <v>0</v>
      </c>
    </row>
    <row r="26" spans="1:79" x14ac:dyDescent="0.25">
      <c r="A26" s="8">
        <v>22</v>
      </c>
      <c r="B26" s="8">
        <v>10.5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0.49099999999999999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1.395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0.108</v>
      </c>
      <c r="AF26" s="18">
        <v>0</v>
      </c>
      <c r="AG26" s="18">
        <v>0</v>
      </c>
      <c r="AH26" s="18">
        <v>0</v>
      </c>
      <c r="AI26" s="18">
        <v>0</v>
      </c>
      <c r="AJ26" s="18">
        <v>1.0249999999999999</v>
      </c>
      <c r="AK26" s="18">
        <v>1.18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0.53300000000000003</v>
      </c>
      <c r="AV26" s="18">
        <v>0</v>
      </c>
      <c r="AW26" s="18">
        <v>0</v>
      </c>
      <c r="AX26" s="18">
        <v>0</v>
      </c>
      <c r="AY26" s="18">
        <v>0.153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0.83099999999999996</v>
      </c>
      <c r="BG26" s="18">
        <v>1.087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0</v>
      </c>
      <c r="BN26" s="18">
        <v>0</v>
      </c>
      <c r="BO26" s="18">
        <v>0</v>
      </c>
      <c r="BP26" s="18">
        <v>0</v>
      </c>
      <c r="BQ26" s="18">
        <v>0</v>
      </c>
      <c r="BR26" s="18">
        <v>0</v>
      </c>
      <c r="BS26" s="18">
        <v>0</v>
      </c>
      <c r="BT26" s="18">
        <v>0</v>
      </c>
      <c r="BU26" s="18">
        <v>0.76600000000000001</v>
      </c>
      <c r="BV26" s="18">
        <v>0</v>
      </c>
      <c r="BW26" s="18">
        <v>0</v>
      </c>
      <c r="BX26" s="18">
        <v>0</v>
      </c>
      <c r="BY26" s="18">
        <v>3.2000000000000001E-2</v>
      </c>
      <c r="BZ26" s="18">
        <v>0.77700000000000002</v>
      </c>
      <c r="CA26" s="18">
        <v>0</v>
      </c>
    </row>
    <row r="27" spans="1:79" x14ac:dyDescent="0.25">
      <c r="A27" s="8">
        <v>23</v>
      </c>
      <c r="B27" s="8">
        <v>11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1.6160000000000001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0.86899999999999999</v>
      </c>
      <c r="AK27" s="18">
        <v>1.1359999999999999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2.0539999999999998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0.41</v>
      </c>
      <c r="BG27" s="18">
        <v>0.72199999999999998</v>
      </c>
      <c r="BH27" s="18">
        <v>0</v>
      </c>
      <c r="BI27" s="18">
        <v>0</v>
      </c>
      <c r="BJ27" s="18">
        <v>1.175</v>
      </c>
      <c r="BK27" s="18">
        <v>0</v>
      </c>
      <c r="BL27" s="18">
        <v>0</v>
      </c>
      <c r="BM27" s="18">
        <v>0</v>
      </c>
      <c r="BN27" s="18">
        <v>0</v>
      </c>
      <c r="BO27" s="18">
        <v>0</v>
      </c>
      <c r="BP27" s="18">
        <v>0</v>
      </c>
      <c r="BQ27" s="18">
        <v>0</v>
      </c>
      <c r="BR27" s="18">
        <v>0</v>
      </c>
      <c r="BS27" s="18">
        <v>0</v>
      </c>
      <c r="BT27" s="18">
        <v>0</v>
      </c>
      <c r="BU27" s="18">
        <v>0.66100000000000003</v>
      </c>
      <c r="BV27" s="18">
        <v>0</v>
      </c>
      <c r="BW27" s="18">
        <v>0</v>
      </c>
      <c r="BX27" s="18">
        <v>0</v>
      </c>
      <c r="BY27" s="18">
        <v>0</v>
      </c>
      <c r="BZ27" s="18">
        <v>0.80200000000000005</v>
      </c>
      <c r="CA27" s="18">
        <v>0</v>
      </c>
    </row>
    <row r="28" spans="1:79" x14ac:dyDescent="0.25">
      <c r="A28" s="8">
        <v>24</v>
      </c>
      <c r="B28" s="8">
        <v>11.5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1.7999999999999999E-2</v>
      </c>
      <c r="W28" s="18">
        <v>0</v>
      </c>
      <c r="X28" s="18">
        <v>0</v>
      </c>
      <c r="Y28" s="18">
        <v>0</v>
      </c>
      <c r="Z28" s="18">
        <v>0.123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0.84199999999999997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1.321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1.125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  <c r="BO28" s="18">
        <v>0</v>
      </c>
      <c r="BP28" s="18">
        <v>0.51900000000000002</v>
      </c>
      <c r="BQ28" s="18">
        <v>0</v>
      </c>
      <c r="BR28" s="18">
        <v>0</v>
      </c>
      <c r="BS28" s="18">
        <v>0</v>
      </c>
      <c r="BT28" s="18">
        <v>0</v>
      </c>
      <c r="BU28" s="18">
        <v>0.61499999999999999</v>
      </c>
      <c r="BV28" s="18">
        <v>0</v>
      </c>
      <c r="BW28" s="18">
        <v>0</v>
      </c>
      <c r="BX28" s="18">
        <v>0</v>
      </c>
      <c r="BY28" s="18">
        <v>0.19800000000000001</v>
      </c>
      <c r="BZ28" s="18">
        <v>0.49</v>
      </c>
      <c r="CA28" s="18">
        <v>0</v>
      </c>
    </row>
    <row r="29" spans="1:79" x14ac:dyDescent="0.25">
      <c r="A29" s="8">
        <v>25</v>
      </c>
      <c r="B29" s="8">
        <v>12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0.27300000000000002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0.91300000000000003</v>
      </c>
      <c r="AV29" s="18">
        <v>0</v>
      </c>
      <c r="AW29" s="18">
        <v>0</v>
      </c>
      <c r="AX29" s="18">
        <v>0</v>
      </c>
      <c r="AY29" s="18">
        <v>0.45400000000000001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1.1839999999999999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18">
        <v>0</v>
      </c>
      <c r="BN29" s="18">
        <v>0</v>
      </c>
      <c r="BO29" s="18">
        <v>0</v>
      </c>
      <c r="BP29" s="18">
        <v>0</v>
      </c>
      <c r="BQ29" s="18">
        <v>0</v>
      </c>
      <c r="BR29" s="18">
        <v>0</v>
      </c>
      <c r="BS29" s="18">
        <v>0</v>
      </c>
      <c r="BT29" s="18">
        <v>0</v>
      </c>
      <c r="BU29" s="18">
        <v>0.51700000000000002</v>
      </c>
      <c r="BV29" s="18">
        <v>0</v>
      </c>
      <c r="BW29" s="18">
        <v>0</v>
      </c>
      <c r="BX29" s="18">
        <v>0</v>
      </c>
      <c r="BY29" s="18">
        <v>0.499</v>
      </c>
      <c r="BZ29" s="18">
        <v>0</v>
      </c>
      <c r="CA29" s="18">
        <v>0</v>
      </c>
    </row>
    <row r="30" spans="1:79" x14ac:dyDescent="0.25">
      <c r="A30" s="8">
        <v>26</v>
      </c>
      <c r="B30" s="8">
        <v>12.5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0.89400000000000002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0.36699999999999999</v>
      </c>
      <c r="BG30" s="18">
        <v>0.50600000000000001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</row>
    <row r="31" spans="1:79" x14ac:dyDescent="0.25">
      <c r="A31" s="8">
        <v>27</v>
      </c>
      <c r="B31" s="8">
        <v>13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1.19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0.161</v>
      </c>
      <c r="BH31" s="18">
        <v>0</v>
      </c>
      <c r="BI31" s="18">
        <v>0</v>
      </c>
      <c r="BJ31" s="18">
        <v>1.413</v>
      </c>
      <c r="BK31" s="18">
        <v>0</v>
      </c>
      <c r="BL31" s="18">
        <v>0</v>
      </c>
      <c r="BM31" s="18">
        <v>0</v>
      </c>
      <c r="BN31" s="18">
        <v>0</v>
      </c>
      <c r="BO31" s="18">
        <v>0</v>
      </c>
      <c r="BP31" s="18">
        <v>0</v>
      </c>
      <c r="BQ31" s="18">
        <v>0</v>
      </c>
      <c r="BR31" s="18">
        <v>0</v>
      </c>
      <c r="BS31" s="18">
        <v>0</v>
      </c>
      <c r="BT31" s="18">
        <v>0</v>
      </c>
      <c r="BU31" s="18">
        <v>0</v>
      </c>
      <c r="BV31" s="18">
        <v>0</v>
      </c>
      <c r="BW31" s="18">
        <v>0</v>
      </c>
      <c r="BX31" s="18">
        <v>0</v>
      </c>
      <c r="BY31" s="18">
        <v>0</v>
      </c>
      <c r="BZ31" s="18">
        <v>0</v>
      </c>
      <c r="CA31" s="18">
        <v>0</v>
      </c>
    </row>
    <row r="32" spans="1:79" x14ac:dyDescent="0.25">
      <c r="A32" s="8">
        <v>28</v>
      </c>
      <c r="B32" s="8">
        <v>13.5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5.5E-2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0.22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8">
        <v>0</v>
      </c>
      <c r="BE32" s="18">
        <v>0</v>
      </c>
      <c r="BF32" s="18">
        <v>1.149</v>
      </c>
      <c r="BG32" s="18">
        <v>0.53200000000000003</v>
      </c>
      <c r="BH32" s="18">
        <v>0</v>
      </c>
      <c r="BI32" s="18">
        <v>0</v>
      </c>
      <c r="BJ32" s="18">
        <v>1.2030000000000001</v>
      </c>
      <c r="BK32" s="18">
        <v>0</v>
      </c>
      <c r="BL32" s="18">
        <v>0</v>
      </c>
      <c r="BM32" s="18">
        <v>0</v>
      </c>
      <c r="BN32" s="18">
        <v>0</v>
      </c>
      <c r="BO32" s="18">
        <v>0</v>
      </c>
      <c r="BP32" s="18">
        <v>0</v>
      </c>
      <c r="BQ32" s="18">
        <v>0</v>
      </c>
      <c r="BR32" s="18">
        <v>0</v>
      </c>
      <c r="BS32" s="18">
        <v>0</v>
      </c>
      <c r="BT32" s="18">
        <v>0</v>
      </c>
      <c r="BU32" s="18">
        <v>0</v>
      </c>
      <c r="BV32" s="18">
        <v>0</v>
      </c>
      <c r="BW32" s="18">
        <v>0.86299999999999999</v>
      </c>
      <c r="BX32" s="18">
        <v>0</v>
      </c>
      <c r="BY32" s="18">
        <v>0</v>
      </c>
      <c r="BZ32" s="18">
        <v>2.7E-2</v>
      </c>
      <c r="CA32" s="18">
        <v>0</v>
      </c>
    </row>
    <row r="33" spans="1:79" x14ac:dyDescent="0.25">
      <c r="A33" s="8">
        <v>29</v>
      </c>
      <c r="B33" s="8">
        <v>14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0.5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0.92900000000000005</v>
      </c>
      <c r="BG33" s="18">
        <v>0</v>
      </c>
      <c r="BH33" s="18">
        <v>0</v>
      </c>
      <c r="BI33" s="18">
        <v>0</v>
      </c>
      <c r="BJ33" s="18">
        <v>1.423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2.6259999999999999</v>
      </c>
      <c r="BX33" s="18">
        <v>0</v>
      </c>
      <c r="BY33" s="18">
        <v>0</v>
      </c>
      <c r="BZ33" s="18">
        <v>0.57599999999999996</v>
      </c>
      <c r="CA33" s="18">
        <v>0</v>
      </c>
    </row>
    <row r="34" spans="1:79" x14ac:dyDescent="0.25">
      <c r="A34" s="8">
        <v>30</v>
      </c>
      <c r="B34" s="8">
        <v>14.5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8.6999999999999994E-2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1.2230000000000001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0.83699999999999997</v>
      </c>
      <c r="BG34" s="18">
        <v>0.23100000000000001</v>
      </c>
      <c r="BH34" s="18">
        <v>0</v>
      </c>
      <c r="BI34" s="18">
        <v>0</v>
      </c>
      <c r="BJ34" s="18">
        <v>1.246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4.0000000000000001E-3</v>
      </c>
      <c r="BX34" s="18">
        <v>0</v>
      </c>
      <c r="BY34" s="18">
        <v>0</v>
      </c>
      <c r="BZ34" s="18">
        <v>0.48499999999999999</v>
      </c>
      <c r="CA34" s="18">
        <v>0</v>
      </c>
    </row>
    <row r="35" spans="1:79" x14ac:dyDescent="0.25">
      <c r="A35" s="8">
        <v>31</v>
      </c>
      <c r="B35" s="8">
        <v>15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0.89</v>
      </c>
      <c r="AQ35" s="18">
        <v>0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8">
        <v>0</v>
      </c>
      <c r="AZ35" s="18">
        <v>0</v>
      </c>
      <c r="BA35" s="18">
        <v>0</v>
      </c>
      <c r="BB35" s="18">
        <v>0</v>
      </c>
      <c r="BC35" s="18">
        <v>0</v>
      </c>
      <c r="BD35" s="18">
        <v>0</v>
      </c>
      <c r="BE35" s="18">
        <v>0</v>
      </c>
      <c r="BF35" s="18">
        <v>0</v>
      </c>
      <c r="BG35" s="18">
        <v>0</v>
      </c>
      <c r="BH35" s="18">
        <v>0</v>
      </c>
      <c r="BI35" s="18">
        <v>0</v>
      </c>
      <c r="BJ35" s="18">
        <v>0.27300000000000002</v>
      </c>
      <c r="BK35" s="18">
        <v>0</v>
      </c>
      <c r="BL35" s="18">
        <v>0</v>
      </c>
      <c r="BM35" s="18">
        <v>0</v>
      </c>
      <c r="BN35" s="18">
        <v>0</v>
      </c>
      <c r="BO35" s="18">
        <v>0</v>
      </c>
      <c r="BP35" s="18">
        <v>0</v>
      </c>
      <c r="BQ35" s="18">
        <v>0</v>
      </c>
      <c r="BR35" s="18">
        <v>0</v>
      </c>
      <c r="BS35" s="18">
        <v>0</v>
      </c>
      <c r="BT35" s="18">
        <v>0</v>
      </c>
      <c r="BU35" s="18">
        <v>0</v>
      </c>
      <c r="BV35" s="18">
        <v>0</v>
      </c>
      <c r="BW35" s="18">
        <v>0</v>
      </c>
      <c r="BX35" s="18">
        <v>0</v>
      </c>
      <c r="BY35" s="18">
        <v>0</v>
      </c>
      <c r="BZ35" s="18">
        <v>0</v>
      </c>
      <c r="CA35" s="18">
        <v>0</v>
      </c>
    </row>
    <row r="36" spans="1:79" x14ac:dyDescent="0.25">
      <c r="A36" s="8">
        <v>32</v>
      </c>
      <c r="B36" s="8">
        <v>15.5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0.20399999999999999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</row>
    <row r="37" spans="1:79" x14ac:dyDescent="0.25">
      <c r="A37" s="8">
        <v>33</v>
      </c>
      <c r="B37" s="8">
        <v>16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0.57599999999999996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18">
        <v>0</v>
      </c>
      <c r="BZ37" s="18">
        <v>0</v>
      </c>
      <c r="CA37" s="18">
        <v>0</v>
      </c>
    </row>
    <row r="38" spans="1:79" x14ac:dyDescent="0.25">
      <c r="A38" s="8">
        <v>34</v>
      </c>
      <c r="B38" s="8">
        <v>16.5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0.83799999999999997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0.21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0.34200000000000003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18">
        <v>0</v>
      </c>
      <c r="BW38" s="18">
        <v>0</v>
      </c>
      <c r="BX38" s="18">
        <v>0</v>
      </c>
      <c r="BY38" s="18">
        <v>0</v>
      </c>
      <c r="BZ38" s="18">
        <v>0</v>
      </c>
      <c r="CA38" s="18">
        <v>0</v>
      </c>
    </row>
    <row r="39" spans="1:79" x14ac:dyDescent="0.25">
      <c r="A39" s="8">
        <v>35</v>
      </c>
      <c r="B39" s="8">
        <v>17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0.23200000000000001</v>
      </c>
      <c r="AB39" s="18">
        <v>0</v>
      </c>
      <c r="AC39" s="18">
        <v>0</v>
      </c>
      <c r="AD39" s="18">
        <v>0</v>
      </c>
      <c r="AE39" s="18">
        <v>0.43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8">
        <v>0</v>
      </c>
      <c r="BB39" s="18">
        <v>0</v>
      </c>
      <c r="BC39" s="18">
        <v>0</v>
      </c>
      <c r="BD39" s="18">
        <v>0</v>
      </c>
      <c r="BE39" s="18">
        <v>0</v>
      </c>
      <c r="BF39" s="18">
        <v>0</v>
      </c>
      <c r="BG39" s="18">
        <v>0</v>
      </c>
      <c r="BH39" s="18">
        <v>0</v>
      </c>
      <c r="BI39" s="18">
        <v>0</v>
      </c>
      <c r="BJ39" s="18">
        <v>0</v>
      </c>
      <c r="BK39" s="18">
        <v>0</v>
      </c>
      <c r="BL39" s="18">
        <v>0</v>
      </c>
      <c r="BM39" s="18">
        <v>0</v>
      </c>
      <c r="BN39" s="18">
        <v>0</v>
      </c>
      <c r="BO39" s="18">
        <v>0</v>
      </c>
      <c r="BP39" s="18">
        <v>0.64800000000000002</v>
      </c>
      <c r="BQ39" s="18">
        <v>0</v>
      </c>
      <c r="BR39" s="18">
        <v>0</v>
      </c>
      <c r="BS39" s="18">
        <v>0</v>
      </c>
      <c r="BT39" s="18">
        <v>0</v>
      </c>
      <c r="BU39" s="18">
        <v>0</v>
      </c>
      <c r="BV39" s="18">
        <v>0</v>
      </c>
      <c r="BW39" s="18">
        <v>0</v>
      </c>
      <c r="BX39" s="18">
        <v>0</v>
      </c>
      <c r="BY39" s="18">
        <v>0</v>
      </c>
      <c r="BZ39" s="18">
        <v>0</v>
      </c>
      <c r="CA39" s="18">
        <v>0</v>
      </c>
    </row>
    <row r="40" spans="1:79" x14ac:dyDescent="0.25">
      <c r="A40" s="8">
        <v>36</v>
      </c>
      <c r="B40" s="8">
        <v>17.5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0.19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0.219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1.103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0.16600000000000001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</row>
    <row r="41" spans="1:79" x14ac:dyDescent="0.25">
      <c r="A41" s="8">
        <v>37</v>
      </c>
      <c r="B41" s="8">
        <v>18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8.5999999999999993E-2</v>
      </c>
      <c r="O41" s="18">
        <v>0</v>
      </c>
      <c r="P41" s="18">
        <v>0</v>
      </c>
      <c r="Q41" s="18">
        <v>0</v>
      </c>
      <c r="R41" s="18">
        <v>1.4E-2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0.155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0.13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0.247</v>
      </c>
      <c r="BW41" s="18">
        <v>0</v>
      </c>
      <c r="BX41" s="18">
        <v>0</v>
      </c>
      <c r="BY41" s="18">
        <v>0</v>
      </c>
      <c r="BZ41" s="18">
        <v>0</v>
      </c>
      <c r="CA41" s="18">
        <v>0</v>
      </c>
    </row>
    <row r="42" spans="1:79" x14ac:dyDescent="0.25">
      <c r="A42" s="8">
        <v>38</v>
      </c>
      <c r="B42" s="8">
        <v>18.5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0.03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4.2000000000000003E-2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0.28399999999999997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  <c r="AY42" s="18">
        <v>0</v>
      </c>
      <c r="AZ42" s="18">
        <v>3.1E-2</v>
      </c>
      <c r="BA42" s="18">
        <v>0</v>
      </c>
      <c r="BB42" s="18">
        <v>0.33500000000000002</v>
      </c>
      <c r="BC42" s="18">
        <v>0</v>
      </c>
      <c r="BD42" s="18">
        <v>0</v>
      </c>
      <c r="BE42" s="18">
        <v>0</v>
      </c>
      <c r="BF42" s="18">
        <v>0</v>
      </c>
      <c r="BG42" s="18">
        <v>0</v>
      </c>
      <c r="BH42" s="18">
        <v>0</v>
      </c>
      <c r="BI42" s="18">
        <v>0</v>
      </c>
      <c r="BJ42" s="18">
        <v>0</v>
      </c>
      <c r="BK42" s="18">
        <v>0.109</v>
      </c>
      <c r="BL42" s="18">
        <v>0</v>
      </c>
      <c r="BM42" s="18">
        <v>0</v>
      </c>
      <c r="BN42" s="18">
        <v>0</v>
      </c>
      <c r="BO42" s="18">
        <v>0</v>
      </c>
      <c r="BP42" s="18">
        <v>0</v>
      </c>
      <c r="BQ42" s="18">
        <v>0</v>
      </c>
      <c r="BR42" s="18">
        <v>0</v>
      </c>
      <c r="BS42" s="18">
        <v>0</v>
      </c>
      <c r="BT42" s="18">
        <v>0</v>
      </c>
      <c r="BU42" s="18">
        <v>0</v>
      </c>
      <c r="BV42" s="18">
        <v>0</v>
      </c>
      <c r="BW42" s="18">
        <v>0</v>
      </c>
      <c r="BX42" s="18">
        <v>0</v>
      </c>
      <c r="BY42" s="18">
        <v>0</v>
      </c>
      <c r="BZ42" s="18">
        <v>0</v>
      </c>
      <c r="CA42" s="18">
        <v>0</v>
      </c>
    </row>
    <row r="43" spans="1:79" x14ac:dyDescent="0.25">
      <c r="A43" s="8">
        <v>39</v>
      </c>
      <c r="B43" s="8">
        <v>19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3.7999999999999999E-2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0.11</v>
      </c>
      <c r="W43" s="18">
        <v>0</v>
      </c>
      <c r="X43" s="18">
        <v>0.106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7.6999999999999999E-2</v>
      </c>
      <c r="AV43" s="18">
        <v>0</v>
      </c>
      <c r="AW43" s="18">
        <v>0</v>
      </c>
      <c r="AX43" s="18">
        <v>0</v>
      </c>
      <c r="AY43" s="18">
        <v>2.1000000000000001E-2</v>
      </c>
      <c r="AZ43" s="18">
        <v>7.0999999999999994E-2</v>
      </c>
      <c r="BA43" s="18">
        <v>0</v>
      </c>
      <c r="BB43" s="18">
        <v>0.19</v>
      </c>
      <c r="BC43" s="18">
        <v>0</v>
      </c>
      <c r="BD43" s="18">
        <v>0</v>
      </c>
      <c r="BE43" s="18">
        <v>0</v>
      </c>
      <c r="BF43" s="18">
        <v>0</v>
      </c>
      <c r="BG43" s="18">
        <v>0</v>
      </c>
      <c r="BH43" s="18">
        <v>0</v>
      </c>
      <c r="BI43" s="18">
        <v>0</v>
      </c>
      <c r="BJ43" s="18">
        <v>0</v>
      </c>
      <c r="BK43" s="18">
        <v>0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  <c r="BT43" s="18">
        <v>0</v>
      </c>
      <c r="BU43" s="18">
        <v>0</v>
      </c>
      <c r="BV43" s="18">
        <v>0</v>
      </c>
      <c r="BW43" s="18">
        <v>0</v>
      </c>
      <c r="BX43" s="18">
        <v>0</v>
      </c>
      <c r="BY43" s="18">
        <v>0</v>
      </c>
      <c r="BZ43" s="18">
        <v>0</v>
      </c>
      <c r="CA43" s="18">
        <v>0</v>
      </c>
    </row>
    <row r="44" spans="1:79" x14ac:dyDescent="0.25">
      <c r="A44" s="8">
        <v>40</v>
      </c>
      <c r="B44" s="8">
        <v>19.5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1.6E-2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5.0000000000000001E-3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</row>
    <row r="45" spans="1:79" x14ac:dyDescent="0.25">
      <c r="A45" s="8">
        <v>41</v>
      </c>
      <c r="B45" s="8">
        <v>20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8">
        <v>0</v>
      </c>
      <c r="AZ45" s="18">
        <v>0</v>
      </c>
      <c r="BA45" s="18">
        <v>0</v>
      </c>
      <c r="BB45" s="18">
        <v>0</v>
      </c>
      <c r="BC45" s="18">
        <v>0</v>
      </c>
      <c r="BD45" s="18">
        <v>0</v>
      </c>
      <c r="BE45" s="18">
        <v>0</v>
      </c>
      <c r="BF45" s="18">
        <v>0</v>
      </c>
      <c r="BG45" s="18">
        <v>0</v>
      </c>
      <c r="BH45" s="18">
        <v>0</v>
      </c>
      <c r="BI45" s="18">
        <v>0</v>
      </c>
      <c r="BJ45" s="18">
        <v>0</v>
      </c>
      <c r="BK45" s="18">
        <v>0</v>
      </c>
      <c r="BL45" s="18">
        <v>0</v>
      </c>
      <c r="BM45" s="18">
        <v>0</v>
      </c>
      <c r="BN45" s="18">
        <v>0</v>
      </c>
      <c r="BO45" s="18">
        <v>0</v>
      </c>
      <c r="BP45" s="18">
        <v>0</v>
      </c>
      <c r="BQ45" s="18">
        <v>0</v>
      </c>
      <c r="BR45" s="18">
        <v>0</v>
      </c>
      <c r="BS45" s="18">
        <v>0</v>
      </c>
      <c r="BT45" s="18">
        <v>0</v>
      </c>
      <c r="BU45" s="18">
        <v>0</v>
      </c>
      <c r="BV45" s="18">
        <v>0</v>
      </c>
      <c r="BW45" s="18">
        <v>0</v>
      </c>
      <c r="BX45" s="18">
        <v>0</v>
      </c>
      <c r="BY45" s="18">
        <v>0</v>
      </c>
      <c r="BZ45" s="18">
        <v>0</v>
      </c>
      <c r="CA45" s="18">
        <v>0</v>
      </c>
    </row>
    <row r="46" spans="1:79" x14ac:dyDescent="0.25">
      <c r="A46" s="8">
        <v>42</v>
      </c>
      <c r="B46" s="8">
        <v>20.5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</row>
    <row r="47" spans="1:79" x14ac:dyDescent="0.25">
      <c r="A47" s="8">
        <v>43</v>
      </c>
      <c r="B47" s="8">
        <v>21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0</v>
      </c>
      <c r="BV47" s="18">
        <v>0</v>
      </c>
      <c r="BW47" s="18">
        <v>0</v>
      </c>
      <c r="BX47" s="18">
        <v>0</v>
      </c>
      <c r="BY47" s="18">
        <v>0</v>
      </c>
      <c r="BZ47" s="18">
        <v>0</v>
      </c>
      <c r="CA47" s="18">
        <v>0</v>
      </c>
    </row>
    <row r="48" spans="1:79" x14ac:dyDescent="0.25">
      <c r="A48" s="8">
        <v>44</v>
      </c>
      <c r="B48" s="8">
        <v>21.5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  <c r="AY48" s="18">
        <v>0</v>
      </c>
      <c r="AZ48" s="18">
        <v>0</v>
      </c>
      <c r="BA48" s="18">
        <v>0</v>
      </c>
      <c r="BB48" s="18">
        <v>0</v>
      </c>
      <c r="BC48" s="18">
        <v>0</v>
      </c>
      <c r="BD48" s="18">
        <v>0</v>
      </c>
      <c r="BE48" s="18">
        <v>0</v>
      </c>
      <c r="BF48" s="18">
        <v>0</v>
      </c>
      <c r="BG48" s="18">
        <v>0</v>
      </c>
      <c r="BH48" s="18">
        <v>0</v>
      </c>
      <c r="BI48" s="18">
        <v>0</v>
      </c>
      <c r="BJ48" s="18">
        <v>0</v>
      </c>
      <c r="BK48" s="18">
        <v>0</v>
      </c>
      <c r="BL48" s="18">
        <v>0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0</v>
      </c>
      <c r="BS48" s="18">
        <v>0</v>
      </c>
      <c r="BT48" s="18">
        <v>0</v>
      </c>
      <c r="BU48" s="18">
        <v>0</v>
      </c>
      <c r="BV48" s="18">
        <v>0</v>
      </c>
      <c r="BW48" s="18">
        <v>0</v>
      </c>
      <c r="BX48" s="18">
        <v>0</v>
      </c>
      <c r="BY48" s="18">
        <v>0</v>
      </c>
      <c r="BZ48" s="18">
        <v>0</v>
      </c>
      <c r="CA48" s="18">
        <v>0</v>
      </c>
    </row>
    <row r="49" spans="1:79" x14ac:dyDescent="0.25">
      <c r="A49" s="8">
        <v>45</v>
      </c>
      <c r="B49" s="8">
        <v>22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0</v>
      </c>
      <c r="AX49" s="18">
        <v>0</v>
      </c>
      <c r="AY49" s="18">
        <v>0</v>
      </c>
      <c r="AZ49" s="18">
        <v>0</v>
      </c>
      <c r="BA49" s="18">
        <v>0</v>
      </c>
      <c r="BB49" s="18">
        <v>0</v>
      </c>
      <c r="BC49" s="18">
        <v>0</v>
      </c>
      <c r="BD49" s="18">
        <v>0</v>
      </c>
      <c r="BE49" s="18">
        <v>0</v>
      </c>
      <c r="BF49" s="18">
        <v>0</v>
      </c>
      <c r="BG49" s="18">
        <v>0</v>
      </c>
      <c r="BH49" s="18">
        <v>0</v>
      </c>
      <c r="BI49" s="18">
        <v>0</v>
      </c>
      <c r="BJ49" s="18">
        <v>0</v>
      </c>
      <c r="BK49" s="18">
        <v>0</v>
      </c>
      <c r="BL49" s="18">
        <v>0</v>
      </c>
      <c r="BM49" s="18">
        <v>0</v>
      </c>
      <c r="BN49" s="18">
        <v>0</v>
      </c>
      <c r="BO49" s="18">
        <v>0</v>
      </c>
      <c r="BP49" s="18">
        <v>0</v>
      </c>
      <c r="BQ49" s="18">
        <v>0</v>
      </c>
      <c r="BR49" s="18">
        <v>0</v>
      </c>
      <c r="BS49" s="18">
        <v>0</v>
      </c>
      <c r="BT49" s="18">
        <v>0</v>
      </c>
      <c r="BU49" s="18">
        <v>0</v>
      </c>
      <c r="BV49" s="18">
        <v>0</v>
      </c>
      <c r="BW49" s="18">
        <v>0</v>
      </c>
      <c r="BX49" s="18">
        <v>0</v>
      </c>
      <c r="BY49" s="18">
        <v>0</v>
      </c>
      <c r="BZ49" s="18">
        <v>0</v>
      </c>
      <c r="CA49" s="18">
        <v>0</v>
      </c>
    </row>
    <row r="50" spans="1:79" x14ac:dyDescent="0.25">
      <c r="A50" s="8">
        <v>46</v>
      </c>
      <c r="B50" s="8">
        <v>22.5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</row>
    <row r="51" spans="1:79" x14ac:dyDescent="0.25">
      <c r="A51" s="8">
        <v>47</v>
      </c>
      <c r="B51" s="8">
        <v>23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8">
        <v>0</v>
      </c>
      <c r="BK51" s="18">
        <v>0</v>
      </c>
      <c r="BL51" s="18">
        <v>0</v>
      </c>
      <c r="BM51" s="18">
        <v>0</v>
      </c>
      <c r="BN51" s="18">
        <v>0</v>
      </c>
      <c r="BO51" s="18">
        <v>0</v>
      </c>
      <c r="BP51" s="18">
        <v>0</v>
      </c>
      <c r="BQ51" s="18">
        <v>0</v>
      </c>
      <c r="BR51" s="18">
        <v>0</v>
      </c>
      <c r="BS51" s="18">
        <v>0</v>
      </c>
      <c r="BT51" s="18">
        <v>0</v>
      </c>
      <c r="BU51" s="18">
        <v>0</v>
      </c>
      <c r="BV51" s="18">
        <v>0</v>
      </c>
      <c r="BW51" s="18">
        <v>0</v>
      </c>
      <c r="BX51" s="18">
        <v>0</v>
      </c>
      <c r="BY51" s="18">
        <v>0</v>
      </c>
      <c r="BZ51" s="18">
        <v>0</v>
      </c>
      <c r="CA51" s="18">
        <v>0</v>
      </c>
    </row>
    <row r="52" spans="1:79" x14ac:dyDescent="0.25">
      <c r="A52" s="8">
        <v>48</v>
      </c>
      <c r="B52" s="8">
        <v>23.5</v>
      </c>
      <c r="C52" s="18">
        <v>0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0</v>
      </c>
      <c r="AT52" s="18">
        <v>0</v>
      </c>
      <c r="AU52" s="18">
        <v>0</v>
      </c>
      <c r="AV52" s="18">
        <v>0</v>
      </c>
      <c r="AW52" s="18">
        <v>0</v>
      </c>
      <c r="AX52" s="18">
        <v>0</v>
      </c>
      <c r="AY52" s="18">
        <v>0</v>
      </c>
      <c r="AZ52" s="18">
        <v>0</v>
      </c>
      <c r="BA52" s="18">
        <v>0</v>
      </c>
      <c r="BB52" s="18">
        <v>0</v>
      </c>
      <c r="BC52" s="18">
        <v>0</v>
      </c>
      <c r="BD52" s="18">
        <v>0</v>
      </c>
      <c r="BE52" s="18">
        <v>0</v>
      </c>
      <c r="BF52" s="18">
        <v>0</v>
      </c>
      <c r="BG52" s="18">
        <v>0</v>
      </c>
      <c r="BH52" s="18">
        <v>0</v>
      </c>
      <c r="BI52" s="18">
        <v>0</v>
      </c>
      <c r="BJ52" s="18">
        <v>0</v>
      </c>
      <c r="BK52" s="18">
        <v>0</v>
      </c>
      <c r="BL52" s="18">
        <v>0</v>
      </c>
      <c r="BM52" s="18">
        <v>0</v>
      </c>
      <c r="BN52" s="18">
        <v>0</v>
      </c>
      <c r="BO52" s="18">
        <v>0</v>
      </c>
      <c r="BP52" s="18">
        <v>0</v>
      </c>
      <c r="BQ52" s="18">
        <v>0</v>
      </c>
      <c r="BR52" s="18">
        <v>0</v>
      </c>
      <c r="BS52" s="18">
        <v>0</v>
      </c>
      <c r="BT52" s="18">
        <v>0</v>
      </c>
      <c r="BU52" s="18">
        <v>0</v>
      </c>
      <c r="BV52" s="18">
        <v>0</v>
      </c>
      <c r="BW52" s="18">
        <v>0</v>
      </c>
      <c r="BX52" s="18">
        <v>0</v>
      </c>
      <c r="BY52" s="18">
        <v>0</v>
      </c>
      <c r="BZ52" s="18">
        <v>0</v>
      </c>
      <c r="CA52" s="18">
        <v>0</v>
      </c>
    </row>
  </sheetData>
  <mergeCells count="1"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A52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7" customWidth="1"/>
    <col min="2" max="2" width="6" customWidth="1"/>
    <col min="3" max="79" width="13" customWidth="1"/>
  </cols>
  <sheetData>
    <row r="1" spans="1:79" ht="19.5" x14ac:dyDescent="0.3">
      <c r="A1" s="1" t="s">
        <v>454</v>
      </c>
    </row>
    <row r="2" spans="1:79" x14ac:dyDescent="0.25">
      <c r="A2" s="29" t="s">
        <v>455</v>
      </c>
      <c r="B2" s="27"/>
      <c r="C2" s="27"/>
      <c r="D2" s="27"/>
      <c r="E2" s="27"/>
      <c r="F2" s="27"/>
      <c r="G2" s="27"/>
      <c r="H2" s="27"/>
    </row>
    <row r="4" spans="1:79" ht="25.5" x14ac:dyDescent="0.25">
      <c r="A4" s="5" t="s">
        <v>375</v>
      </c>
      <c r="B4" s="5" t="s">
        <v>376</v>
      </c>
      <c r="C4" s="5" t="s">
        <v>377</v>
      </c>
      <c r="D4" s="5" t="s">
        <v>378</v>
      </c>
      <c r="E4" s="5" t="s">
        <v>379</v>
      </c>
      <c r="F4" s="5" t="s">
        <v>380</v>
      </c>
      <c r="G4" s="5" t="s">
        <v>381</v>
      </c>
      <c r="H4" s="5" t="s">
        <v>382</v>
      </c>
      <c r="I4" s="5" t="s">
        <v>383</v>
      </c>
      <c r="J4" s="5" t="s">
        <v>384</v>
      </c>
      <c r="K4" s="5" t="s">
        <v>385</v>
      </c>
      <c r="L4" s="5" t="s">
        <v>386</v>
      </c>
      <c r="M4" s="5" t="s">
        <v>387</v>
      </c>
      <c r="N4" s="5" t="s">
        <v>388</v>
      </c>
      <c r="O4" s="5" t="s">
        <v>389</v>
      </c>
      <c r="P4" s="5" t="s">
        <v>390</v>
      </c>
      <c r="Q4" s="5" t="s">
        <v>391</v>
      </c>
      <c r="R4" s="5" t="s">
        <v>392</v>
      </c>
      <c r="S4" s="5" t="s">
        <v>393</v>
      </c>
      <c r="T4" s="5" t="s">
        <v>394</v>
      </c>
      <c r="U4" s="5" t="s">
        <v>395</v>
      </c>
      <c r="V4" s="5" t="s">
        <v>396</v>
      </c>
      <c r="W4" s="5" t="s">
        <v>397</v>
      </c>
      <c r="X4" s="5" t="s">
        <v>398</v>
      </c>
      <c r="Y4" s="5" t="s">
        <v>399</v>
      </c>
      <c r="Z4" s="5" t="s">
        <v>400</v>
      </c>
      <c r="AA4" s="5" t="s">
        <v>401</v>
      </c>
      <c r="AB4" s="5" t="s">
        <v>402</v>
      </c>
      <c r="AC4" s="5" t="s">
        <v>403</v>
      </c>
      <c r="AD4" s="5" t="s">
        <v>404</v>
      </c>
      <c r="AE4" s="5" t="s">
        <v>405</v>
      </c>
      <c r="AF4" s="5" t="s">
        <v>406</v>
      </c>
      <c r="AG4" s="5" t="s">
        <v>407</v>
      </c>
      <c r="AH4" s="5" t="s">
        <v>408</v>
      </c>
      <c r="AI4" s="5" t="s">
        <v>409</v>
      </c>
      <c r="AJ4" s="5" t="s">
        <v>410</v>
      </c>
      <c r="AK4" s="5" t="s">
        <v>411</v>
      </c>
      <c r="AL4" s="5" t="s">
        <v>412</v>
      </c>
      <c r="AM4" s="5" t="s">
        <v>413</v>
      </c>
      <c r="AN4" s="5" t="s">
        <v>414</v>
      </c>
      <c r="AO4" s="5" t="s">
        <v>415</v>
      </c>
      <c r="AP4" s="5" t="s">
        <v>416</v>
      </c>
      <c r="AQ4" s="5" t="s">
        <v>417</v>
      </c>
      <c r="AR4" s="5" t="s">
        <v>418</v>
      </c>
      <c r="AS4" s="5" t="s">
        <v>419</v>
      </c>
      <c r="AT4" s="5" t="s">
        <v>420</v>
      </c>
      <c r="AU4" s="5" t="s">
        <v>421</v>
      </c>
      <c r="AV4" s="5" t="s">
        <v>422</v>
      </c>
      <c r="AW4" s="5" t="s">
        <v>423</v>
      </c>
      <c r="AX4" s="5" t="s">
        <v>424</v>
      </c>
      <c r="AY4" s="5" t="s">
        <v>425</v>
      </c>
      <c r="AZ4" s="5" t="s">
        <v>426</v>
      </c>
      <c r="BA4" s="5" t="s">
        <v>427</v>
      </c>
      <c r="BB4" s="5" t="s">
        <v>428</v>
      </c>
      <c r="BC4" s="5" t="s">
        <v>429</v>
      </c>
      <c r="BD4" s="5" t="s">
        <v>430</v>
      </c>
      <c r="BE4" s="5" t="s">
        <v>431</v>
      </c>
      <c r="BF4" s="5" t="s">
        <v>432</v>
      </c>
      <c r="BG4" s="5" t="s">
        <v>433</v>
      </c>
      <c r="BH4" s="5" t="s">
        <v>434</v>
      </c>
      <c r="BI4" s="5" t="s">
        <v>435</v>
      </c>
      <c r="BJ4" s="5" t="s">
        <v>436</v>
      </c>
      <c r="BK4" s="5" t="s">
        <v>437</v>
      </c>
      <c r="BL4" s="5" t="s">
        <v>438</v>
      </c>
      <c r="BM4" s="5" t="s">
        <v>439</v>
      </c>
      <c r="BN4" s="5" t="s">
        <v>440</v>
      </c>
      <c r="BO4" s="5" t="s">
        <v>441</v>
      </c>
      <c r="BP4" s="5" t="s">
        <v>442</v>
      </c>
      <c r="BQ4" s="5" t="s">
        <v>443</v>
      </c>
      <c r="BR4" s="5" t="s">
        <v>444</v>
      </c>
      <c r="BS4" s="5" t="s">
        <v>445</v>
      </c>
      <c r="BT4" s="5" t="s">
        <v>446</v>
      </c>
      <c r="BU4" s="5" t="s">
        <v>447</v>
      </c>
      <c r="BV4" s="5" t="s">
        <v>448</v>
      </c>
      <c r="BW4" s="5" t="s">
        <v>449</v>
      </c>
      <c r="BX4" s="5" t="s">
        <v>450</v>
      </c>
      <c r="BY4" s="5" t="s">
        <v>451</v>
      </c>
      <c r="BZ4" s="5" t="s">
        <v>452</v>
      </c>
      <c r="CA4" s="5" t="s">
        <v>453</v>
      </c>
    </row>
    <row r="5" spans="1:79" x14ac:dyDescent="0.25">
      <c r="A5" s="8">
        <v>1</v>
      </c>
      <c r="B5" s="8">
        <v>0</v>
      </c>
      <c r="C5" s="18">
        <v>0.183</v>
      </c>
      <c r="D5" s="18">
        <v>9.4E-2</v>
      </c>
      <c r="E5" s="18">
        <v>0.05</v>
      </c>
      <c r="F5" s="18">
        <v>5.7000000000000002E-2</v>
      </c>
      <c r="G5" s="18">
        <v>5.5E-2</v>
      </c>
      <c r="H5" s="18">
        <v>0.192</v>
      </c>
      <c r="I5" s="18">
        <v>0.22900000000000001</v>
      </c>
      <c r="J5" s="18">
        <v>0.25600000000000001</v>
      </c>
      <c r="K5" s="18">
        <v>0.56000000000000005</v>
      </c>
      <c r="L5" s="18">
        <v>0.378</v>
      </c>
      <c r="M5" s="18">
        <v>0.48399999999999999</v>
      </c>
      <c r="N5" s="18">
        <v>0.35299999999999998</v>
      </c>
      <c r="O5" s="18">
        <v>0.183</v>
      </c>
      <c r="P5" s="18">
        <v>0.22900000000000001</v>
      </c>
      <c r="Q5" s="18">
        <v>0.13</v>
      </c>
      <c r="R5" s="18">
        <v>4.4999999999999998E-2</v>
      </c>
      <c r="S5" s="18">
        <v>7.9000000000000001E-2</v>
      </c>
      <c r="T5" s="18">
        <v>0.378</v>
      </c>
      <c r="U5" s="18">
        <v>0.107</v>
      </c>
      <c r="V5" s="18">
        <v>0.22</v>
      </c>
      <c r="W5" s="18">
        <v>0.1</v>
      </c>
      <c r="X5" s="18">
        <v>5.0999999999999997E-2</v>
      </c>
      <c r="Y5" s="18">
        <v>0.05</v>
      </c>
      <c r="Z5" s="18">
        <v>2.391</v>
      </c>
      <c r="AA5" s="18">
        <v>9.5000000000000001E-2</v>
      </c>
      <c r="AB5" s="18">
        <v>0.52200000000000002</v>
      </c>
      <c r="AC5" s="18">
        <v>0.13300000000000001</v>
      </c>
      <c r="AD5" s="18">
        <v>0.19700000000000001</v>
      </c>
      <c r="AE5" s="18">
        <v>0.65500000000000003</v>
      </c>
      <c r="AF5" s="18">
        <v>0.245</v>
      </c>
      <c r="AG5" s="18">
        <v>5.8999999999999997E-2</v>
      </c>
      <c r="AH5" s="18">
        <v>0.14699999999999999</v>
      </c>
      <c r="AI5" s="18">
        <v>0.16800000000000001</v>
      </c>
      <c r="AJ5" s="18">
        <v>7.0000000000000007E-2</v>
      </c>
      <c r="AK5" s="18">
        <v>7.2999999999999995E-2</v>
      </c>
      <c r="AL5" s="18">
        <v>0.26900000000000002</v>
      </c>
      <c r="AM5" s="18">
        <v>0.112</v>
      </c>
      <c r="AN5" s="18">
        <v>5.8999999999999997E-2</v>
      </c>
      <c r="AO5" s="18">
        <v>0.39100000000000001</v>
      </c>
      <c r="AP5" s="18">
        <v>0.52600000000000002</v>
      </c>
      <c r="AQ5" s="18">
        <v>5.2999999999999999E-2</v>
      </c>
      <c r="AR5" s="18">
        <v>0.14199999999999999</v>
      </c>
      <c r="AS5" s="18">
        <v>4.2000000000000003E-2</v>
      </c>
      <c r="AT5" s="18">
        <v>0.19700000000000001</v>
      </c>
      <c r="AU5" s="18">
        <v>0.11600000000000001</v>
      </c>
      <c r="AV5" s="18">
        <v>0.218</v>
      </c>
      <c r="AW5" s="18">
        <v>0.313</v>
      </c>
      <c r="AX5" s="18">
        <v>0.03</v>
      </c>
      <c r="AY5" s="18">
        <v>0.16</v>
      </c>
      <c r="AZ5" s="18">
        <v>0.29299999999999998</v>
      </c>
      <c r="BA5" s="18">
        <v>0.124</v>
      </c>
      <c r="BB5" s="18">
        <v>9.5000000000000001E-2</v>
      </c>
      <c r="BC5" s="18">
        <v>8.8999999999999996E-2</v>
      </c>
      <c r="BD5" s="18">
        <v>0.40100000000000002</v>
      </c>
      <c r="BE5" s="18">
        <v>5.8000000000000003E-2</v>
      </c>
      <c r="BF5" s="18">
        <v>0.153</v>
      </c>
      <c r="BG5" s="18">
        <v>0.187</v>
      </c>
      <c r="BH5" s="18">
        <v>0.184</v>
      </c>
      <c r="BI5" s="18">
        <v>0.35899999999999999</v>
      </c>
      <c r="BJ5" s="18">
        <v>0.71899999999999997</v>
      </c>
      <c r="BK5" s="18">
        <v>0.219</v>
      </c>
      <c r="BL5" s="18">
        <v>0.28499999999999998</v>
      </c>
      <c r="BM5" s="18">
        <v>1.792</v>
      </c>
      <c r="BN5" s="18">
        <v>1.946</v>
      </c>
      <c r="BO5" s="18">
        <v>0.16800000000000001</v>
      </c>
      <c r="BP5" s="18">
        <v>0.05</v>
      </c>
      <c r="BQ5" s="18">
        <v>0.36299999999999999</v>
      </c>
      <c r="BR5" s="18">
        <v>4.8000000000000001E-2</v>
      </c>
      <c r="BS5" s="18">
        <v>0.10199999999999999</v>
      </c>
      <c r="BT5" s="18">
        <v>5.5E-2</v>
      </c>
      <c r="BU5" s="18">
        <v>0.214</v>
      </c>
      <c r="BV5" s="18">
        <v>0.14599999999999999</v>
      </c>
      <c r="BW5" s="18">
        <v>0.16800000000000001</v>
      </c>
      <c r="BX5" s="18">
        <v>0.76</v>
      </c>
      <c r="BY5" s="18">
        <v>0.107</v>
      </c>
      <c r="BZ5" s="18">
        <v>4.3999999999999997E-2</v>
      </c>
      <c r="CA5" s="18">
        <v>4.8000000000000001E-2</v>
      </c>
    </row>
    <row r="6" spans="1:79" x14ac:dyDescent="0.25">
      <c r="A6" s="8">
        <v>2</v>
      </c>
      <c r="B6" s="8">
        <v>0.5</v>
      </c>
      <c r="C6" s="18">
        <v>0.24</v>
      </c>
      <c r="D6" s="18">
        <v>0.04</v>
      </c>
      <c r="E6" s="18">
        <v>0.13300000000000001</v>
      </c>
      <c r="F6" s="18">
        <v>5.7000000000000002E-2</v>
      </c>
      <c r="G6" s="18">
        <v>5.5E-2</v>
      </c>
      <c r="H6" s="18">
        <v>0.218</v>
      </c>
      <c r="I6" s="18">
        <v>0.108</v>
      </c>
      <c r="J6" s="18">
        <v>9.5000000000000001E-2</v>
      </c>
      <c r="K6" s="18">
        <v>0.53400000000000003</v>
      </c>
      <c r="L6" s="18">
        <v>0.38200000000000001</v>
      </c>
      <c r="M6" s="18">
        <v>0.50600000000000001</v>
      </c>
      <c r="N6" s="18">
        <v>0.503</v>
      </c>
      <c r="O6" s="18">
        <v>5.0999999999999997E-2</v>
      </c>
      <c r="P6" s="18">
        <v>8.4000000000000005E-2</v>
      </c>
      <c r="Q6" s="18">
        <v>0.13</v>
      </c>
      <c r="R6" s="18">
        <v>4.4999999999999998E-2</v>
      </c>
      <c r="S6" s="18">
        <v>0.28799999999999998</v>
      </c>
      <c r="T6" s="18">
        <v>0.216</v>
      </c>
      <c r="U6" s="18">
        <v>4.7E-2</v>
      </c>
      <c r="V6" s="18">
        <v>0.104</v>
      </c>
      <c r="W6" s="18">
        <v>0.33100000000000002</v>
      </c>
      <c r="X6" s="18">
        <v>0.16800000000000001</v>
      </c>
      <c r="Y6" s="18">
        <v>0.05</v>
      </c>
      <c r="Z6" s="18">
        <v>0</v>
      </c>
      <c r="AA6" s="18">
        <v>0.104</v>
      </c>
      <c r="AB6" s="18">
        <v>9.7000000000000003E-2</v>
      </c>
      <c r="AC6" s="18">
        <v>0.05</v>
      </c>
      <c r="AD6" s="18">
        <v>5.5E-2</v>
      </c>
      <c r="AE6" s="18">
        <v>0.69299999999999995</v>
      </c>
      <c r="AF6" s="18">
        <v>0.38800000000000001</v>
      </c>
      <c r="AG6" s="18">
        <v>0.17299999999999999</v>
      </c>
      <c r="AH6" s="18">
        <v>0.19800000000000001</v>
      </c>
      <c r="AI6" s="18">
        <v>0.11700000000000001</v>
      </c>
      <c r="AJ6" s="18">
        <v>0.372</v>
      </c>
      <c r="AK6" s="18">
        <v>0.29799999999999999</v>
      </c>
      <c r="AL6" s="18">
        <v>0.22500000000000001</v>
      </c>
      <c r="AM6" s="18">
        <v>8.2000000000000003E-2</v>
      </c>
      <c r="AN6" s="18">
        <v>0.29299999999999998</v>
      </c>
      <c r="AO6" s="18">
        <v>4.7E-2</v>
      </c>
      <c r="AP6" s="18">
        <v>0.44700000000000001</v>
      </c>
      <c r="AQ6" s="18">
        <v>0.13100000000000001</v>
      </c>
      <c r="AR6" s="18">
        <v>4.5999999999999999E-2</v>
      </c>
      <c r="AS6" s="18">
        <v>0.127</v>
      </c>
      <c r="AT6" s="18">
        <v>3.6999999999999998E-2</v>
      </c>
      <c r="AU6" s="18">
        <v>0.248</v>
      </c>
      <c r="AV6" s="18">
        <v>8.1000000000000003E-2</v>
      </c>
      <c r="AW6" s="18">
        <v>8.1000000000000003E-2</v>
      </c>
      <c r="AX6" s="18">
        <v>0.161</v>
      </c>
      <c r="AY6" s="18">
        <v>0.24199999999999999</v>
      </c>
      <c r="AZ6" s="18">
        <v>8.7999999999999995E-2</v>
      </c>
      <c r="BA6" s="18">
        <v>0.14000000000000001</v>
      </c>
      <c r="BB6" s="18">
        <v>9.5000000000000001E-2</v>
      </c>
      <c r="BC6" s="18">
        <v>0.08</v>
      </c>
      <c r="BD6" s="18">
        <v>9.0999999999999998E-2</v>
      </c>
      <c r="BE6" s="18">
        <v>5.8000000000000003E-2</v>
      </c>
      <c r="BF6" s="18">
        <v>0.16800000000000001</v>
      </c>
      <c r="BG6" s="18">
        <v>0.16600000000000001</v>
      </c>
      <c r="BH6" s="18">
        <v>6.8000000000000005E-2</v>
      </c>
      <c r="BI6" s="18">
        <v>0.94799999999999995</v>
      </c>
      <c r="BJ6" s="18">
        <v>9.4E-2</v>
      </c>
      <c r="BK6" s="18">
        <v>5.5E-2</v>
      </c>
      <c r="BL6" s="18">
        <v>0.23699999999999999</v>
      </c>
      <c r="BM6" s="18">
        <v>0.37</v>
      </c>
      <c r="BN6" s="18">
        <v>0.44500000000000001</v>
      </c>
      <c r="BO6" s="18">
        <v>8.4000000000000005E-2</v>
      </c>
      <c r="BP6" s="18">
        <v>0.05</v>
      </c>
      <c r="BQ6" s="18">
        <v>3.6999999999999998E-2</v>
      </c>
      <c r="BR6" s="18">
        <v>4.8000000000000001E-2</v>
      </c>
      <c r="BS6" s="18">
        <v>0.16</v>
      </c>
      <c r="BT6" s="18">
        <v>0.191</v>
      </c>
      <c r="BU6" s="18">
        <v>5.5E-2</v>
      </c>
      <c r="BV6" s="18">
        <v>0.18099999999999999</v>
      </c>
      <c r="BW6" s="18">
        <v>5.6000000000000001E-2</v>
      </c>
      <c r="BX6" s="18">
        <v>5.1999999999999998E-2</v>
      </c>
      <c r="BY6" s="18">
        <v>0.26500000000000001</v>
      </c>
      <c r="BZ6" s="18">
        <v>4.3999999999999997E-2</v>
      </c>
      <c r="CA6" s="18">
        <v>4.8000000000000001E-2</v>
      </c>
    </row>
    <row r="7" spans="1:79" x14ac:dyDescent="0.25">
      <c r="A7" s="8">
        <v>3</v>
      </c>
      <c r="B7" s="8">
        <v>1</v>
      </c>
      <c r="C7" s="18">
        <v>0.152</v>
      </c>
      <c r="D7" s="18">
        <v>0.04</v>
      </c>
      <c r="E7" s="18">
        <v>0.05</v>
      </c>
      <c r="F7" s="18">
        <v>5.7000000000000002E-2</v>
      </c>
      <c r="G7" s="18">
        <v>0.214</v>
      </c>
      <c r="H7" s="18">
        <v>0.08</v>
      </c>
      <c r="I7" s="18">
        <v>0.111</v>
      </c>
      <c r="J7" s="18">
        <v>5.0999999999999997E-2</v>
      </c>
      <c r="K7" s="18">
        <v>5.5E-2</v>
      </c>
      <c r="L7" s="18">
        <v>6.0999999999999999E-2</v>
      </c>
      <c r="M7" s="18">
        <v>0.38400000000000001</v>
      </c>
      <c r="N7" s="18">
        <v>0.71</v>
      </c>
      <c r="O7" s="18">
        <v>6.7000000000000004E-2</v>
      </c>
      <c r="P7" s="18">
        <v>0.31900000000000001</v>
      </c>
      <c r="Q7" s="18">
        <v>0.112</v>
      </c>
      <c r="R7" s="18">
        <v>0.06</v>
      </c>
      <c r="S7" s="18">
        <v>0.05</v>
      </c>
      <c r="T7" s="18">
        <v>5.3999999999999999E-2</v>
      </c>
      <c r="U7" s="18">
        <v>0.16</v>
      </c>
      <c r="V7" s="18">
        <v>0.28899999999999998</v>
      </c>
      <c r="W7" s="18">
        <v>5.8000000000000003E-2</v>
      </c>
      <c r="X7" s="18">
        <v>0.108</v>
      </c>
      <c r="Y7" s="18">
        <v>0.05</v>
      </c>
      <c r="Z7" s="18">
        <v>0</v>
      </c>
      <c r="AA7" s="18">
        <v>5.8000000000000003E-2</v>
      </c>
      <c r="AB7" s="18">
        <v>0.13</v>
      </c>
      <c r="AC7" s="18">
        <v>8.5999999999999993E-2</v>
      </c>
      <c r="AD7" s="18">
        <v>0.38800000000000001</v>
      </c>
      <c r="AE7" s="18">
        <v>0.47899999999999998</v>
      </c>
      <c r="AF7" s="18">
        <v>0.26900000000000002</v>
      </c>
      <c r="AG7" s="18">
        <v>0.16600000000000001</v>
      </c>
      <c r="AH7" s="18">
        <v>9.6000000000000002E-2</v>
      </c>
      <c r="AI7" s="18">
        <v>0.161</v>
      </c>
      <c r="AJ7" s="18">
        <v>0.161</v>
      </c>
      <c r="AK7" s="18">
        <v>0.15</v>
      </c>
      <c r="AL7" s="18">
        <v>0.18099999999999999</v>
      </c>
      <c r="AM7" s="18">
        <v>4.8000000000000001E-2</v>
      </c>
      <c r="AN7" s="18">
        <v>5.8999999999999997E-2</v>
      </c>
      <c r="AO7" s="18">
        <v>4.7E-2</v>
      </c>
      <c r="AP7" s="18">
        <v>5.1999999999999998E-2</v>
      </c>
      <c r="AQ7" s="18">
        <v>5.2999999999999999E-2</v>
      </c>
      <c r="AR7" s="18">
        <v>4.5999999999999999E-2</v>
      </c>
      <c r="AS7" s="18">
        <v>0.13900000000000001</v>
      </c>
      <c r="AT7" s="18">
        <v>3.6999999999999998E-2</v>
      </c>
      <c r="AU7" s="18">
        <v>0.04</v>
      </c>
      <c r="AV7" s="18">
        <v>0.128</v>
      </c>
      <c r="AW7" s="18">
        <v>0.26</v>
      </c>
      <c r="AX7" s="18">
        <v>0.03</v>
      </c>
      <c r="AY7" s="18">
        <v>0.14699999999999999</v>
      </c>
      <c r="AZ7" s="18">
        <v>0.19800000000000001</v>
      </c>
      <c r="BA7" s="18">
        <v>0.18</v>
      </c>
      <c r="BB7" s="18">
        <v>5.8000000000000003E-2</v>
      </c>
      <c r="BC7" s="18">
        <v>0.08</v>
      </c>
      <c r="BD7" s="18">
        <v>0.254</v>
      </c>
      <c r="BE7" s="18">
        <v>5.8000000000000003E-2</v>
      </c>
      <c r="BF7" s="18">
        <v>8.5000000000000006E-2</v>
      </c>
      <c r="BG7" s="18">
        <v>8.7999999999999995E-2</v>
      </c>
      <c r="BH7" s="18">
        <v>0.24399999999999999</v>
      </c>
      <c r="BI7" s="18">
        <v>4.3999999999999997E-2</v>
      </c>
      <c r="BJ7" s="18">
        <v>0.06</v>
      </c>
      <c r="BK7" s="18">
        <v>5.5E-2</v>
      </c>
      <c r="BL7" s="18">
        <v>0.19800000000000001</v>
      </c>
      <c r="BM7" s="18">
        <v>0.11799999999999999</v>
      </c>
      <c r="BN7" s="18">
        <v>0</v>
      </c>
      <c r="BO7" s="18">
        <v>0.157</v>
      </c>
      <c r="BP7" s="18">
        <v>0.05</v>
      </c>
      <c r="BQ7" s="18">
        <v>3.6999999999999998E-2</v>
      </c>
      <c r="BR7" s="18">
        <v>4.8000000000000001E-2</v>
      </c>
      <c r="BS7" s="18">
        <v>0.05</v>
      </c>
      <c r="BT7" s="18">
        <v>0.105</v>
      </c>
      <c r="BU7" s="18">
        <v>5.5E-2</v>
      </c>
      <c r="BV7" s="18">
        <v>0.13200000000000001</v>
      </c>
      <c r="BW7" s="18">
        <v>5.6000000000000001E-2</v>
      </c>
      <c r="BX7" s="18">
        <v>0.157</v>
      </c>
      <c r="BY7" s="18">
        <v>0.126</v>
      </c>
      <c r="BZ7" s="18">
        <v>0.105</v>
      </c>
      <c r="CA7" s="18">
        <v>4.8000000000000001E-2</v>
      </c>
    </row>
    <row r="8" spans="1:79" x14ac:dyDescent="0.25">
      <c r="A8" s="8">
        <v>4</v>
      </c>
      <c r="B8" s="8">
        <v>1.5</v>
      </c>
      <c r="C8" s="18">
        <v>0.223</v>
      </c>
      <c r="D8" s="18">
        <v>9.4E-2</v>
      </c>
      <c r="E8" s="18">
        <v>0.13300000000000001</v>
      </c>
      <c r="F8" s="18">
        <v>0.17499999999999999</v>
      </c>
      <c r="G8" s="18">
        <v>5.5E-2</v>
      </c>
      <c r="H8" s="18">
        <v>0.30599999999999999</v>
      </c>
      <c r="I8" s="18">
        <v>0.222</v>
      </c>
      <c r="J8" s="18">
        <v>0.3</v>
      </c>
      <c r="K8" s="18">
        <v>5.5E-2</v>
      </c>
      <c r="L8" s="18">
        <v>0.22500000000000001</v>
      </c>
      <c r="M8" s="18">
        <v>0.16700000000000001</v>
      </c>
      <c r="N8" s="18">
        <v>0.36899999999999999</v>
      </c>
      <c r="O8" s="18">
        <v>0.20699999999999999</v>
      </c>
      <c r="P8" s="18">
        <v>5.1999999999999998E-2</v>
      </c>
      <c r="Q8" s="18">
        <v>0.107</v>
      </c>
      <c r="R8" s="18">
        <v>0.19600000000000001</v>
      </c>
      <c r="S8" s="18">
        <v>0.05</v>
      </c>
      <c r="T8" s="18">
        <v>5.3999999999999999E-2</v>
      </c>
      <c r="U8" s="18">
        <v>0.1</v>
      </c>
      <c r="V8" s="18">
        <v>7.3999999999999996E-2</v>
      </c>
      <c r="W8" s="18">
        <v>0.22600000000000001</v>
      </c>
      <c r="X8" s="18">
        <v>5.0999999999999997E-2</v>
      </c>
      <c r="Y8" s="18">
        <v>0.05</v>
      </c>
      <c r="Z8" s="18">
        <v>0</v>
      </c>
      <c r="AA8" s="18">
        <v>0.13200000000000001</v>
      </c>
      <c r="AB8" s="18">
        <v>5.7000000000000002E-2</v>
      </c>
      <c r="AC8" s="18">
        <v>0.11700000000000001</v>
      </c>
      <c r="AD8" s="18">
        <v>7.0000000000000007E-2</v>
      </c>
      <c r="AE8" s="18">
        <v>9.0999999999999998E-2</v>
      </c>
      <c r="AF8" s="18">
        <v>5.3999999999999999E-2</v>
      </c>
      <c r="AG8" s="18">
        <v>0.17299999999999999</v>
      </c>
      <c r="AH8" s="18">
        <v>9.6000000000000002E-2</v>
      </c>
      <c r="AI8" s="18">
        <v>0.161</v>
      </c>
      <c r="AJ8" s="18">
        <v>0.05</v>
      </c>
      <c r="AK8" s="18">
        <v>0.16600000000000001</v>
      </c>
      <c r="AL8" s="18">
        <v>0.13100000000000001</v>
      </c>
      <c r="AM8" s="18">
        <v>0.11899999999999999</v>
      </c>
      <c r="AN8" s="18">
        <v>0.20799999999999999</v>
      </c>
      <c r="AO8" s="18">
        <v>4.7E-2</v>
      </c>
      <c r="AP8" s="18">
        <v>5.1999999999999998E-2</v>
      </c>
      <c r="AQ8" s="18">
        <v>5.2999999999999999E-2</v>
      </c>
      <c r="AR8" s="18">
        <v>4.5999999999999999E-2</v>
      </c>
      <c r="AS8" s="18">
        <v>0.35099999999999998</v>
      </c>
      <c r="AT8" s="18">
        <v>0.20499999999999999</v>
      </c>
      <c r="AU8" s="18">
        <v>0.183</v>
      </c>
      <c r="AV8" s="18">
        <v>0.17399999999999999</v>
      </c>
      <c r="AW8" s="18">
        <v>5.5E-2</v>
      </c>
      <c r="AX8" s="18">
        <v>0.161</v>
      </c>
      <c r="AY8" s="18">
        <v>0.187</v>
      </c>
      <c r="AZ8" s="18">
        <v>5.8000000000000003E-2</v>
      </c>
      <c r="BA8" s="18">
        <v>0.14000000000000001</v>
      </c>
      <c r="BB8" s="18">
        <v>0.13300000000000001</v>
      </c>
      <c r="BC8" s="18">
        <v>0.10100000000000001</v>
      </c>
      <c r="BD8" s="18">
        <v>3.5999999999999997E-2</v>
      </c>
      <c r="BE8" s="18">
        <v>0.124</v>
      </c>
      <c r="BF8" s="18">
        <v>0.29499999999999998</v>
      </c>
      <c r="BG8" s="18">
        <v>0.27300000000000002</v>
      </c>
      <c r="BH8" s="18">
        <v>5.5E-2</v>
      </c>
      <c r="BI8" s="18">
        <v>0.113</v>
      </c>
      <c r="BJ8" s="18">
        <v>0.27900000000000003</v>
      </c>
      <c r="BK8" s="18">
        <v>0.219</v>
      </c>
      <c r="BL8" s="18">
        <v>0.23</v>
      </c>
      <c r="BM8" s="18">
        <v>0.11</v>
      </c>
      <c r="BN8" s="18">
        <v>0</v>
      </c>
      <c r="BO8" s="18">
        <v>8.4000000000000005E-2</v>
      </c>
      <c r="BP8" s="18">
        <v>0.05</v>
      </c>
      <c r="BQ8" s="18">
        <v>0.20699999999999999</v>
      </c>
      <c r="BR8" s="18">
        <v>4.8000000000000001E-2</v>
      </c>
      <c r="BS8" s="18">
        <v>0.124</v>
      </c>
      <c r="BT8" s="18">
        <v>8.4000000000000005E-2</v>
      </c>
      <c r="BU8" s="18">
        <v>0.214</v>
      </c>
      <c r="BV8" s="18">
        <v>0.18</v>
      </c>
      <c r="BW8" s="18">
        <v>0.16800000000000001</v>
      </c>
      <c r="BX8" s="18">
        <v>0.125</v>
      </c>
      <c r="BY8" s="18">
        <v>0.443</v>
      </c>
      <c r="BZ8" s="18">
        <v>0.151</v>
      </c>
      <c r="CA8" s="18">
        <v>4.8000000000000001E-2</v>
      </c>
    </row>
    <row r="9" spans="1:79" x14ac:dyDescent="0.25">
      <c r="A9" s="8">
        <v>5</v>
      </c>
      <c r="B9" s="8">
        <v>2</v>
      </c>
      <c r="C9" s="18">
        <v>0.14099999999999999</v>
      </c>
      <c r="D9" s="18">
        <v>0.13500000000000001</v>
      </c>
      <c r="E9" s="18">
        <v>0.05</v>
      </c>
      <c r="F9" s="18">
        <v>5.7000000000000002E-2</v>
      </c>
      <c r="G9" s="18">
        <v>0.16400000000000001</v>
      </c>
      <c r="H9" s="18">
        <v>0.151</v>
      </c>
      <c r="I9" s="18">
        <v>7.4999999999999997E-2</v>
      </c>
      <c r="J9" s="18">
        <v>5.0999999999999997E-2</v>
      </c>
      <c r="K9" s="18">
        <v>5.5E-2</v>
      </c>
      <c r="L9" s="18">
        <v>6.0999999999999999E-2</v>
      </c>
      <c r="M9" s="18">
        <v>4.5999999999999999E-2</v>
      </c>
      <c r="N9" s="18">
        <v>0.23499999999999999</v>
      </c>
      <c r="O9" s="18">
        <v>5.0999999999999997E-2</v>
      </c>
      <c r="P9" s="18">
        <v>6.4000000000000001E-2</v>
      </c>
      <c r="Q9" s="18">
        <v>0.152</v>
      </c>
      <c r="R9" s="18">
        <v>4.4999999999999998E-2</v>
      </c>
      <c r="S9" s="18">
        <v>0.29499999999999998</v>
      </c>
      <c r="T9" s="18">
        <v>5.3999999999999999E-2</v>
      </c>
      <c r="U9" s="18">
        <v>5.0999999999999997E-2</v>
      </c>
      <c r="V9" s="18">
        <v>0.13200000000000001</v>
      </c>
      <c r="W9" s="18">
        <v>0.155</v>
      </c>
      <c r="X9" s="18">
        <v>0.184</v>
      </c>
      <c r="Y9" s="18">
        <v>0.05</v>
      </c>
      <c r="Z9" s="18">
        <v>0</v>
      </c>
      <c r="AA9" s="18">
        <v>6.7000000000000004E-2</v>
      </c>
      <c r="AB9" s="18">
        <v>5.7000000000000002E-2</v>
      </c>
      <c r="AC9" s="18">
        <v>0.05</v>
      </c>
      <c r="AD9" s="18">
        <v>0.107</v>
      </c>
      <c r="AE9" s="18">
        <v>0.16</v>
      </c>
      <c r="AF9" s="18">
        <v>5.3999999999999999E-2</v>
      </c>
      <c r="AG9" s="18">
        <v>5.8999999999999997E-2</v>
      </c>
      <c r="AH9" s="18">
        <v>4.3999999999999997E-2</v>
      </c>
      <c r="AI9" s="18">
        <v>0.13500000000000001</v>
      </c>
      <c r="AJ9" s="18">
        <v>0.20799999999999999</v>
      </c>
      <c r="AK9" s="18">
        <v>0.25600000000000001</v>
      </c>
      <c r="AL9" s="18">
        <v>0.184</v>
      </c>
      <c r="AM9" s="18">
        <v>4.8000000000000001E-2</v>
      </c>
      <c r="AN9" s="18">
        <v>0.14399999999999999</v>
      </c>
      <c r="AO9" s="18">
        <v>0.128</v>
      </c>
      <c r="AP9" s="18">
        <v>5.1999999999999998E-2</v>
      </c>
      <c r="AQ9" s="18">
        <v>0.13100000000000001</v>
      </c>
      <c r="AR9" s="18">
        <v>4.5999999999999999E-2</v>
      </c>
      <c r="AS9" s="18">
        <v>0.46300000000000002</v>
      </c>
      <c r="AT9" s="18">
        <v>5.3999999999999999E-2</v>
      </c>
      <c r="AU9" s="18">
        <v>0.18099999999999999</v>
      </c>
      <c r="AV9" s="18">
        <v>6.8000000000000005E-2</v>
      </c>
      <c r="AW9" s="18">
        <v>0.18</v>
      </c>
      <c r="AX9" s="18">
        <v>0.03</v>
      </c>
      <c r="AY9" s="18">
        <v>0.159</v>
      </c>
      <c r="AZ9" s="18">
        <v>9.0999999999999998E-2</v>
      </c>
      <c r="BA9" s="18">
        <v>0.18</v>
      </c>
      <c r="BB9" s="18">
        <v>5.8000000000000003E-2</v>
      </c>
      <c r="BC9" s="18">
        <v>0.06</v>
      </c>
      <c r="BD9" s="18">
        <v>0.247</v>
      </c>
      <c r="BE9" s="18">
        <v>5.8000000000000003E-2</v>
      </c>
      <c r="BF9" s="18">
        <v>6.5000000000000002E-2</v>
      </c>
      <c r="BG9" s="18">
        <v>0.05</v>
      </c>
      <c r="BH9" s="18">
        <v>0.17100000000000001</v>
      </c>
      <c r="BI9" s="18">
        <v>5.2999999999999999E-2</v>
      </c>
      <c r="BJ9" s="18">
        <v>5.2999999999999999E-2</v>
      </c>
      <c r="BK9" s="18">
        <v>5.5E-2</v>
      </c>
      <c r="BL9" s="18">
        <v>0.14899999999999999</v>
      </c>
      <c r="BM9" s="18">
        <v>2E-3</v>
      </c>
      <c r="BN9" s="18">
        <v>0</v>
      </c>
      <c r="BO9" s="18">
        <v>0.05</v>
      </c>
      <c r="BP9" s="18">
        <v>0.05</v>
      </c>
      <c r="BQ9" s="18">
        <v>3.6999999999999998E-2</v>
      </c>
      <c r="BR9" s="18">
        <v>4.8000000000000001E-2</v>
      </c>
      <c r="BS9" s="18">
        <v>0.13800000000000001</v>
      </c>
      <c r="BT9" s="18">
        <v>0.113</v>
      </c>
      <c r="BU9" s="18">
        <v>5.5E-2</v>
      </c>
      <c r="BV9" s="18">
        <v>0.215</v>
      </c>
      <c r="BW9" s="18">
        <v>5.6000000000000001E-2</v>
      </c>
      <c r="BX9" s="18">
        <v>6.8000000000000005E-2</v>
      </c>
      <c r="BY9" s="18">
        <v>8.8999999999999996E-2</v>
      </c>
      <c r="BZ9" s="18">
        <v>4.3999999999999997E-2</v>
      </c>
      <c r="CA9" s="18">
        <v>4.8000000000000001E-2</v>
      </c>
    </row>
    <row r="10" spans="1:79" x14ac:dyDescent="0.25">
      <c r="A10" s="8">
        <v>6</v>
      </c>
      <c r="B10" s="8">
        <v>2.5</v>
      </c>
      <c r="C10" s="18">
        <v>0.14799999999999999</v>
      </c>
      <c r="D10" s="18">
        <v>0.04</v>
      </c>
      <c r="E10" s="18">
        <v>6.4000000000000001E-2</v>
      </c>
      <c r="F10" s="18">
        <v>0.17499999999999999</v>
      </c>
      <c r="G10" s="18">
        <v>0.106</v>
      </c>
      <c r="H10" s="18">
        <v>0.14899999999999999</v>
      </c>
      <c r="I10" s="18">
        <v>0.14699999999999999</v>
      </c>
      <c r="J10" s="18">
        <v>0.10199999999999999</v>
      </c>
      <c r="K10" s="18">
        <v>5.5E-2</v>
      </c>
      <c r="L10" s="18">
        <v>6.0999999999999999E-2</v>
      </c>
      <c r="M10" s="18">
        <v>4.5999999999999999E-2</v>
      </c>
      <c r="N10" s="18">
        <v>0.13900000000000001</v>
      </c>
      <c r="O10" s="18">
        <v>0.20699999999999999</v>
      </c>
      <c r="P10" s="18">
        <v>0.33100000000000002</v>
      </c>
      <c r="Q10" s="18">
        <v>4.8000000000000001E-2</v>
      </c>
      <c r="R10" s="18">
        <v>7.4999999999999997E-2</v>
      </c>
      <c r="S10" s="18">
        <v>7.1999999999999995E-2</v>
      </c>
      <c r="T10" s="18">
        <v>0.12</v>
      </c>
      <c r="U10" s="18">
        <v>0.19400000000000001</v>
      </c>
      <c r="V10" s="18">
        <v>0.223</v>
      </c>
      <c r="W10" s="18">
        <v>0.17399999999999999</v>
      </c>
      <c r="X10" s="18">
        <v>9.1999999999999998E-2</v>
      </c>
      <c r="Y10" s="18">
        <v>0.05</v>
      </c>
      <c r="Z10" s="18">
        <v>0</v>
      </c>
      <c r="AA10" s="18">
        <v>0.1</v>
      </c>
      <c r="AB10" s="18">
        <v>6.8000000000000005E-2</v>
      </c>
      <c r="AC10" s="18">
        <v>0.154</v>
      </c>
      <c r="AD10" s="18">
        <v>0.23400000000000001</v>
      </c>
      <c r="AE10" s="18">
        <v>0.05</v>
      </c>
      <c r="AF10" s="18">
        <v>5.3999999999999999E-2</v>
      </c>
      <c r="AG10" s="18">
        <v>0.26800000000000002</v>
      </c>
      <c r="AH10" s="18">
        <v>0.17499999999999999</v>
      </c>
      <c r="AI10" s="18">
        <v>0.16800000000000001</v>
      </c>
      <c r="AJ10" s="18">
        <v>0.05</v>
      </c>
      <c r="AK10" s="18">
        <v>0.1</v>
      </c>
      <c r="AL10" s="18">
        <v>0.25700000000000001</v>
      </c>
      <c r="AM10" s="18">
        <v>0.11899999999999999</v>
      </c>
      <c r="AN10" s="18">
        <v>5.8999999999999997E-2</v>
      </c>
      <c r="AO10" s="18">
        <v>4.7E-2</v>
      </c>
      <c r="AP10" s="18">
        <v>5.1999999999999998E-2</v>
      </c>
      <c r="AQ10" s="18">
        <v>5.2999999999999999E-2</v>
      </c>
      <c r="AR10" s="18">
        <v>4.5999999999999999E-2</v>
      </c>
      <c r="AS10" s="18">
        <v>0.54200000000000004</v>
      </c>
      <c r="AT10" s="18">
        <v>4.4999999999999998E-2</v>
      </c>
      <c r="AU10" s="18">
        <v>0.04</v>
      </c>
      <c r="AV10" s="18">
        <v>0.11799999999999999</v>
      </c>
      <c r="AW10" s="18">
        <v>0.157</v>
      </c>
      <c r="AX10" s="18">
        <v>0.115</v>
      </c>
      <c r="AY10" s="18">
        <v>0.14000000000000001</v>
      </c>
      <c r="AZ10" s="18">
        <v>0.33900000000000002</v>
      </c>
      <c r="BA10" s="18">
        <v>0.112</v>
      </c>
      <c r="BB10" s="18">
        <v>0.13300000000000001</v>
      </c>
      <c r="BC10" s="18">
        <v>4.2999999999999997E-2</v>
      </c>
      <c r="BD10" s="18">
        <v>6.4000000000000001E-2</v>
      </c>
      <c r="BE10" s="18">
        <v>5.8000000000000003E-2</v>
      </c>
      <c r="BF10" s="18">
        <v>0.17699999999999999</v>
      </c>
      <c r="BG10" s="18">
        <v>0.05</v>
      </c>
      <c r="BH10" s="18">
        <v>0.14099999999999999</v>
      </c>
      <c r="BI10" s="18">
        <v>4.3999999999999997E-2</v>
      </c>
      <c r="BJ10" s="18">
        <v>0.184</v>
      </c>
      <c r="BK10" s="18">
        <v>0.21199999999999999</v>
      </c>
      <c r="BL10" s="18">
        <v>0.155</v>
      </c>
      <c r="BM10" s="18">
        <v>0</v>
      </c>
      <c r="BN10" s="18">
        <v>0</v>
      </c>
      <c r="BO10" s="18">
        <v>0.16300000000000001</v>
      </c>
      <c r="BP10" s="18">
        <v>0.05</v>
      </c>
      <c r="BQ10" s="18">
        <v>0.13</v>
      </c>
      <c r="BR10" s="18">
        <v>4.8000000000000001E-2</v>
      </c>
      <c r="BS10" s="18">
        <v>0.05</v>
      </c>
      <c r="BT10" s="18">
        <v>0.16400000000000001</v>
      </c>
      <c r="BU10" s="18">
        <v>9.8000000000000004E-2</v>
      </c>
      <c r="BV10" s="18">
        <v>5.0999999999999997E-2</v>
      </c>
      <c r="BW10" s="18">
        <v>0.16800000000000001</v>
      </c>
      <c r="BX10" s="18">
        <v>0.21299999999999999</v>
      </c>
      <c r="BY10" s="18">
        <v>0.36599999999999999</v>
      </c>
      <c r="BZ10" s="18">
        <v>4.3999999999999997E-2</v>
      </c>
      <c r="CA10" s="18">
        <v>4.8000000000000001E-2</v>
      </c>
    </row>
    <row r="11" spans="1:79" x14ac:dyDescent="0.25">
      <c r="A11" s="8">
        <v>7</v>
      </c>
      <c r="B11" s="8">
        <v>3</v>
      </c>
      <c r="C11" s="18">
        <v>0.27900000000000003</v>
      </c>
      <c r="D11" s="18">
        <v>0.19</v>
      </c>
      <c r="E11" s="18">
        <v>0.11899999999999999</v>
      </c>
      <c r="F11" s="18">
        <v>5.7000000000000002E-2</v>
      </c>
      <c r="G11" s="18">
        <v>7.6999999999999999E-2</v>
      </c>
      <c r="H11" s="18">
        <v>0.315</v>
      </c>
      <c r="I11" s="18">
        <v>0.19700000000000001</v>
      </c>
      <c r="J11" s="18">
        <v>0.249</v>
      </c>
      <c r="K11" s="18">
        <v>5.5E-2</v>
      </c>
      <c r="L11" s="18">
        <v>0.21</v>
      </c>
      <c r="M11" s="18">
        <v>4.5999999999999999E-2</v>
      </c>
      <c r="N11" s="18">
        <v>4.8000000000000001E-2</v>
      </c>
      <c r="O11" s="18">
        <v>6.7000000000000004E-2</v>
      </c>
      <c r="P11" s="18">
        <v>0.06</v>
      </c>
      <c r="Q11" s="18">
        <v>6.3E-2</v>
      </c>
      <c r="R11" s="18">
        <v>0.18099999999999999</v>
      </c>
      <c r="S11" s="18">
        <v>0.127</v>
      </c>
      <c r="T11" s="18">
        <v>0.26800000000000002</v>
      </c>
      <c r="U11" s="18">
        <v>0.16</v>
      </c>
      <c r="V11" s="18">
        <v>0.108</v>
      </c>
      <c r="W11" s="18">
        <v>0.20899999999999999</v>
      </c>
      <c r="X11" s="18">
        <v>5.0999999999999997E-2</v>
      </c>
      <c r="Y11" s="18">
        <v>0.05</v>
      </c>
      <c r="Z11" s="18">
        <v>0</v>
      </c>
      <c r="AA11" s="18">
        <v>0.1</v>
      </c>
      <c r="AB11" s="18">
        <v>0.159</v>
      </c>
      <c r="AC11" s="18">
        <v>0.05</v>
      </c>
      <c r="AD11" s="18">
        <v>0.1</v>
      </c>
      <c r="AE11" s="18">
        <v>0.20799999999999999</v>
      </c>
      <c r="AF11" s="18">
        <v>5.3999999999999999E-2</v>
      </c>
      <c r="AG11" s="18">
        <v>7.0000000000000007E-2</v>
      </c>
      <c r="AH11" s="18">
        <v>0.17</v>
      </c>
      <c r="AI11" s="18">
        <v>0.161</v>
      </c>
      <c r="AJ11" s="18">
        <v>0.20799999999999999</v>
      </c>
      <c r="AK11" s="18">
        <v>0.31900000000000001</v>
      </c>
      <c r="AL11" s="18">
        <v>0.223</v>
      </c>
      <c r="AM11" s="18">
        <v>0.14599999999999999</v>
      </c>
      <c r="AN11" s="18">
        <v>0.185</v>
      </c>
      <c r="AO11" s="18">
        <v>4.7E-2</v>
      </c>
      <c r="AP11" s="18">
        <v>5.1999999999999998E-2</v>
      </c>
      <c r="AQ11" s="18">
        <v>0.105</v>
      </c>
      <c r="AR11" s="18">
        <v>4.5999999999999999E-2</v>
      </c>
      <c r="AS11" s="18">
        <v>0.21</v>
      </c>
      <c r="AT11" s="18">
        <v>0.21299999999999999</v>
      </c>
      <c r="AU11" s="18">
        <v>0.191</v>
      </c>
      <c r="AV11" s="18">
        <v>0.156</v>
      </c>
      <c r="AW11" s="18">
        <v>0.13200000000000001</v>
      </c>
      <c r="AX11" s="18">
        <v>7.5999999999999998E-2</v>
      </c>
      <c r="AY11" s="18">
        <v>0.21299999999999999</v>
      </c>
      <c r="AZ11" s="18">
        <v>4.1000000000000002E-2</v>
      </c>
      <c r="BA11" s="18">
        <v>8.4000000000000005E-2</v>
      </c>
      <c r="BB11" s="18">
        <v>5.8000000000000003E-2</v>
      </c>
      <c r="BC11" s="18">
        <v>4.2999999999999997E-2</v>
      </c>
      <c r="BD11" s="18">
        <v>0.14799999999999999</v>
      </c>
      <c r="BE11" s="18">
        <v>0.124</v>
      </c>
      <c r="BF11" s="18">
        <v>0.21199999999999999</v>
      </c>
      <c r="BG11" s="18">
        <v>0.153</v>
      </c>
      <c r="BH11" s="18">
        <v>0.112</v>
      </c>
      <c r="BI11" s="18">
        <v>6.6000000000000003E-2</v>
      </c>
      <c r="BJ11" s="18">
        <v>8.2000000000000003E-2</v>
      </c>
      <c r="BK11" s="18">
        <v>6.2E-2</v>
      </c>
      <c r="BL11" s="18">
        <v>0.193</v>
      </c>
      <c r="BM11" s="18">
        <v>0</v>
      </c>
      <c r="BN11" s="18">
        <v>0</v>
      </c>
      <c r="BO11" s="18">
        <v>7.8E-2</v>
      </c>
      <c r="BP11" s="18">
        <v>0.05</v>
      </c>
      <c r="BQ11" s="18">
        <v>0.114</v>
      </c>
      <c r="BR11" s="18">
        <v>4.8000000000000001E-2</v>
      </c>
      <c r="BS11" s="18">
        <v>0.21199999999999999</v>
      </c>
      <c r="BT11" s="18">
        <v>0.13200000000000001</v>
      </c>
      <c r="BU11" s="18">
        <v>0.17</v>
      </c>
      <c r="BV11" s="18">
        <v>0.35099999999999998</v>
      </c>
      <c r="BW11" s="18">
        <v>5.6000000000000001E-2</v>
      </c>
      <c r="BX11" s="18">
        <v>5.1999999999999998E-2</v>
      </c>
      <c r="BY11" s="18">
        <v>0.223</v>
      </c>
      <c r="BZ11" s="18">
        <v>4.3999999999999997E-2</v>
      </c>
      <c r="CA11" s="18">
        <v>4.8000000000000001E-2</v>
      </c>
    </row>
    <row r="12" spans="1:79" x14ac:dyDescent="0.25">
      <c r="A12" s="8">
        <v>8</v>
      </c>
      <c r="B12" s="8">
        <v>3.5</v>
      </c>
      <c r="C12" s="18">
        <v>4.2999999999999997E-2</v>
      </c>
      <c r="D12" s="18">
        <v>3.6999999999999998E-2</v>
      </c>
      <c r="E12" s="18">
        <v>4.8000000000000001E-2</v>
      </c>
      <c r="F12" s="18">
        <v>0.16</v>
      </c>
      <c r="G12" s="18">
        <v>0.19</v>
      </c>
      <c r="H12" s="18">
        <v>9.2999999999999999E-2</v>
      </c>
      <c r="I12" s="18">
        <v>5.0999999999999997E-2</v>
      </c>
      <c r="J12" s="18">
        <v>9.4E-2</v>
      </c>
      <c r="K12" s="18">
        <v>5.2999999999999999E-2</v>
      </c>
      <c r="L12" s="18">
        <v>7.3999999999999996E-2</v>
      </c>
      <c r="M12" s="18">
        <v>4.2999999999999997E-2</v>
      </c>
      <c r="N12" s="18">
        <v>3.3000000000000002E-2</v>
      </c>
      <c r="O12" s="18">
        <v>4.8000000000000001E-2</v>
      </c>
      <c r="P12" s="18">
        <v>0.17299999999999999</v>
      </c>
      <c r="Q12" s="18">
        <v>0.19500000000000001</v>
      </c>
      <c r="R12" s="18">
        <v>4.2999999999999997E-2</v>
      </c>
      <c r="S12" s="18">
        <v>0.222</v>
      </c>
      <c r="T12" s="18">
        <v>5.0999999999999997E-2</v>
      </c>
      <c r="U12" s="18">
        <v>4.3999999999999997E-2</v>
      </c>
      <c r="V12" s="18">
        <v>0.27900000000000003</v>
      </c>
      <c r="W12" s="18">
        <v>0.24399999999999999</v>
      </c>
      <c r="X12" s="18">
        <v>7.6999999999999999E-2</v>
      </c>
      <c r="Y12" s="18">
        <v>4.7E-2</v>
      </c>
      <c r="Z12" s="18">
        <v>0</v>
      </c>
      <c r="AA12" s="18">
        <v>5.5E-2</v>
      </c>
      <c r="AB12" s="18">
        <v>5.5E-2</v>
      </c>
      <c r="AC12" s="18">
        <v>4.7E-2</v>
      </c>
      <c r="AD12" s="18">
        <v>0.16300000000000001</v>
      </c>
      <c r="AE12" s="18">
        <v>5.3999999999999999E-2</v>
      </c>
      <c r="AF12" s="18">
        <v>5.0999999999999997E-2</v>
      </c>
      <c r="AG12" s="18">
        <v>7.8E-2</v>
      </c>
      <c r="AH12" s="18">
        <v>0.05</v>
      </c>
      <c r="AI12" s="18">
        <v>0.121</v>
      </c>
      <c r="AJ12" s="18">
        <v>4.9000000000000002E-2</v>
      </c>
      <c r="AK12" s="18">
        <v>0.14299999999999999</v>
      </c>
      <c r="AL12" s="18">
        <v>0.152</v>
      </c>
      <c r="AM12" s="18">
        <v>0.05</v>
      </c>
      <c r="AN12" s="18">
        <v>5.7000000000000002E-2</v>
      </c>
      <c r="AO12" s="18">
        <v>4.3999999999999997E-2</v>
      </c>
      <c r="AP12" s="18">
        <v>0.05</v>
      </c>
      <c r="AQ12" s="18">
        <v>7.5999999999999998E-2</v>
      </c>
      <c r="AR12" s="18">
        <v>4.2999999999999997E-2</v>
      </c>
      <c r="AS12" s="18">
        <v>0.13700000000000001</v>
      </c>
      <c r="AT12" s="18">
        <v>3.5999999999999997E-2</v>
      </c>
      <c r="AU12" s="18">
        <v>5.3999999999999999E-2</v>
      </c>
      <c r="AV12" s="18">
        <v>9.6000000000000002E-2</v>
      </c>
      <c r="AW12" s="18">
        <v>0.20799999999999999</v>
      </c>
      <c r="AX12" s="18">
        <v>7.9000000000000001E-2</v>
      </c>
      <c r="AY12" s="18">
        <v>0.222</v>
      </c>
      <c r="AZ12" s="18">
        <v>0.219</v>
      </c>
      <c r="BA12" s="18">
        <v>0.13300000000000001</v>
      </c>
      <c r="BB12" s="18">
        <v>5.5E-2</v>
      </c>
      <c r="BC12" s="18">
        <v>0.115</v>
      </c>
      <c r="BD12" s="18">
        <v>0.161</v>
      </c>
      <c r="BE12" s="18">
        <v>5.5E-2</v>
      </c>
      <c r="BF12" s="18">
        <v>7.9000000000000001E-2</v>
      </c>
      <c r="BG12" s="18">
        <v>0.13400000000000001</v>
      </c>
      <c r="BH12" s="18">
        <v>0.151</v>
      </c>
      <c r="BI12" s="18">
        <v>9.8000000000000004E-2</v>
      </c>
      <c r="BJ12" s="18">
        <v>0.124</v>
      </c>
      <c r="BK12" s="18">
        <v>0.184</v>
      </c>
      <c r="BL12" s="18">
        <v>0.23200000000000001</v>
      </c>
      <c r="BM12" s="18">
        <v>0</v>
      </c>
      <c r="BN12" s="18">
        <v>0</v>
      </c>
      <c r="BO12" s="18">
        <v>6.2E-2</v>
      </c>
      <c r="BP12" s="18">
        <v>4.8000000000000001E-2</v>
      </c>
      <c r="BQ12" s="18">
        <v>3.5000000000000003E-2</v>
      </c>
      <c r="BR12" s="18">
        <v>4.4999999999999998E-2</v>
      </c>
      <c r="BS12" s="18">
        <v>4.7E-2</v>
      </c>
      <c r="BT12" s="18">
        <v>0.153</v>
      </c>
      <c r="BU12" s="18">
        <v>5.3999999999999999E-2</v>
      </c>
      <c r="BV12" s="18">
        <v>4.8000000000000001E-2</v>
      </c>
      <c r="BW12" s="18">
        <v>5.2999999999999999E-2</v>
      </c>
      <c r="BX12" s="18">
        <v>0.153</v>
      </c>
      <c r="BY12" s="18">
        <v>0.23200000000000001</v>
      </c>
      <c r="BZ12" s="18">
        <v>4.2999999999999997E-2</v>
      </c>
      <c r="CA12" s="18">
        <v>4.4999999999999998E-2</v>
      </c>
    </row>
    <row r="13" spans="1:79" x14ac:dyDescent="0.25">
      <c r="A13" s="8">
        <v>9</v>
      </c>
      <c r="B13" s="8">
        <v>4</v>
      </c>
      <c r="C13" s="18">
        <v>9.5000000000000001E-2</v>
      </c>
      <c r="D13" s="18">
        <v>7.1999999999999995E-2</v>
      </c>
      <c r="E13" s="18">
        <v>2.5000000000000001E-2</v>
      </c>
      <c r="F13" s="18">
        <v>1.9E-2</v>
      </c>
      <c r="G13" s="18">
        <v>1.7999999999999999E-2</v>
      </c>
      <c r="H13" s="18">
        <v>0.182</v>
      </c>
      <c r="I13" s="18">
        <v>0.14699999999999999</v>
      </c>
      <c r="J13" s="18">
        <v>0.19900000000000001</v>
      </c>
      <c r="K13" s="18">
        <v>0.03</v>
      </c>
      <c r="L13" s="18">
        <v>3.5999999999999997E-2</v>
      </c>
      <c r="M13" s="18">
        <v>8.9999999999999993E-3</v>
      </c>
      <c r="N13" s="18">
        <v>0</v>
      </c>
      <c r="O13" s="18">
        <v>0.17199999999999999</v>
      </c>
      <c r="P13" s="18">
        <v>2.1000000000000001E-2</v>
      </c>
      <c r="Q13" s="18">
        <v>1.7000000000000001E-2</v>
      </c>
      <c r="R13" s="18">
        <v>0.18</v>
      </c>
      <c r="S13" s="18">
        <v>1.4999999999999999E-2</v>
      </c>
      <c r="T13" s="18">
        <v>0.21099999999999999</v>
      </c>
      <c r="U13" s="18">
        <v>0.16900000000000001</v>
      </c>
      <c r="V13" s="18">
        <v>0.14099999999999999</v>
      </c>
      <c r="W13" s="18">
        <v>0.13400000000000001</v>
      </c>
      <c r="X13" s="18">
        <v>0.159</v>
      </c>
      <c r="Y13" s="18">
        <v>1.2999999999999999E-2</v>
      </c>
      <c r="Z13" s="18">
        <v>0</v>
      </c>
      <c r="AA13" s="18">
        <v>9.8000000000000004E-2</v>
      </c>
      <c r="AB13" s="18">
        <v>0.13900000000000001</v>
      </c>
      <c r="AC13" s="18">
        <v>2.9999999999999997E-4</v>
      </c>
      <c r="AD13" s="18">
        <v>0.13600000000000001</v>
      </c>
      <c r="AE13" s="18">
        <v>0</v>
      </c>
      <c r="AF13" s="18">
        <v>4.0000000000000001E-3</v>
      </c>
      <c r="AG13" s="18">
        <v>0.1</v>
      </c>
      <c r="AH13" s="18">
        <v>0.24099999999999999</v>
      </c>
      <c r="AI13" s="18">
        <v>0.16700000000000001</v>
      </c>
      <c r="AJ13" s="18">
        <v>0.14699999999999999</v>
      </c>
      <c r="AK13" s="18">
        <v>0.14099999999999999</v>
      </c>
      <c r="AL13" s="18">
        <v>9.4E-2</v>
      </c>
      <c r="AM13" s="18">
        <v>0.182</v>
      </c>
      <c r="AN13" s="18">
        <v>0.14199999999999999</v>
      </c>
      <c r="AO13" s="18">
        <v>0.01</v>
      </c>
      <c r="AP13" s="18">
        <v>2.1000000000000001E-2</v>
      </c>
      <c r="AQ13" s="18">
        <v>3.0000000000000001E-3</v>
      </c>
      <c r="AR13" s="18">
        <v>0</v>
      </c>
      <c r="AS13" s="18">
        <v>3.6999999999999998E-2</v>
      </c>
      <c r="AT13" s="18">
        <v>0.20300000000000001</v>
      </c>
      <c r="AU13" s="18">
        <v>0.127</v>
      </c>
      <c r="AV13" s="18">
        <v>7.0999999999999994E-2</v>
      </c>
      <c r="AW13" s="18">
        <v>9.2999999999999999E-2</v>
      </c>
      <c r="AX13" s="18">
        <v>5.8999999999999997E-2</v>
      </c>
      <c r="AY13" s="18">
        <v>4.4999999999999998E-2</v>
      </c>
      <c r="AZ13" s="18">
        <v>0.151</v>
      </c>
      <c r="BA13" s="18">
        <v>5.6000000000000001E-2</v>
      </c>
      <c r="BB13" s="18">
        <v>7.0999999999999994E-2</v>
      </c>
      <c r="BC13" s="18">
        <v>1.2E-2</v>
      </c>
      <c r="BD13" s="18">
        <v>3.3000000000000002E-2</v>
      </c>
      <c r="BE13" s="18">
        <v>1.4E-2</v>
      </c>
      <c r="BF13" s="18">
        <v>0.1</v>
      </c>
      <c r="BG13" s="18">
        <v>7.9000000000000001E-2</v>
      </c>
      <c r="BH13" s="18">
        <v>5.1999999999999998E-2</v>
      </c>
      <c r="BI13" s="18">
        <v>7.0000000000000001E-3</v>
      </c>
      <c r="BJ13" s="18">
        <v>0.13</v>
      </c>
      <c r="BK13" s="18">
        <v>0.127</v>
      </c>
      <c r="BL13" s="18">
        <v>0.16200000000000001</v>
      </c>
      <c r="BM13" s="18">
        <v>0</v>
      </c>
      <c r="BN13" s="18">
        <v>0</v>
      </c>
      <c r="BO13" s="18">
        <v>0.1</v>
      </c>
      <c r="BP13" s="18">
        <v>1.9E-2</v>
      </c>
      <c r="BQ13" s="18">
        <v>0.17599999999999999</v>
      </c>
      <c r="BR13" s="18">
        <v>3.2000000000000001E-2</v>
      </c>
      <c r="BS13" s="18">
        <v>0.10299999999999999</v>
      </c>
      <c r="BT13" s="18">
        <v>0.11700000000000001</v>
      </c>
      <c r="BU13" s="18">
        <v>0.20100000000000001</v>
      </c>
      <c r="BV13" s="18">
        <v>0.249</v>
      </c>
      <c r="BW13" s="18">
        <v>1.2E-2</v>
      </c>
      <c r="BX13" s="18">
        <v>7.4999999999999997E-2</v>
      </c>
      <c r="BY13" s="18">
        <v>0.29699999999999999</v>
      </c>
      <c r="BZ13" s="18">
        <v>3.2000000000000001E-2</v>
      </c>
      <c r="CA13" s="18">
        <v>1.0999999999999999E-2</v>
      </c>
    </row>
    <row r="14" spans="1:79" x14ac:dyDescent="0.25">
      <c r="A14" s="8">
        <v>10</v>
      </c>
      <c r="B14" s="8">
        <v>4.5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9.9000000000000005E-2</v>
      </c>
      <c r="I14" s="18">
        <v>0.02</v>
      </c>
      <c r="J14" s="18">
        <v>0</v>
      </c>
      <c r="K14" s="18">
        <v>0</v>
      </c>
      <c r="L14" s="18">
        <v>0.109</v>
      </c>
      <c r="M14" s="18">
        <v>0</v>
      </c>
      <c r="N14" s="18">
        <v>0</v>
      </c>
      <c r="O14" s="18">
        <v>0</v>
      </c>
      <c r="P14" s="18">
        <v>7.0999999999999994E-2</v>
      </c>
      <c r="Q14" s="18">
        <v>5.0999999999999997E-2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6.0000000000000001E-3</v>
      </c>
      <c r="AK14" s="18">
        <v>0</v>
      </c>
      <c r="AL14" s="18">
        <v>7.8E-2</v>
      </c>
      <c r="AM14" s="18">
        <v>0</v>
      </c>
      <c r="AN14" s="18">
        <v>3.4000000000000002E-2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0.11899999999999999</v>
      </c>
      <c r="AV14" s="18">
        <v>3.2000000000000001E-2</v>
      </c>
      <c r="AW14" s="18">
        <v>5.7000000000000002E-2</v>
      </c>
      <c r="AX14" s="18">
        <v>0.755</v>
      </c>
      <c r="AY14" s="18">
        <v>8.2000000000000003E-2</v>
      </c>
      <c r="AZ14" s="18">
        <v>0</v>
      </c>
      <c r="BA14" s="18">
        <v>0</v>
      </c>
      <c r="BB14" s="18">
        <v>0</v>
      </c>
      <c r="BC14" s="18">
        <v>0</v>
      </c>
      <c r="BD14" s="18">
        <v>6.4000000000000001E-2</v>
      </c>
      <c r="BE14" s="18">
        <v>0</v>
      </c>
      <c r="BF14" s="18">
        <v>0</v>
      </c>
      <c r="BG14" s="18">
        <v>0.17199999999999999</v>
      </c>
      <c r="BH14" s="18">
        <v>0</v>
      </c>
      <c r="BI14" s="18">
        <v>0</v>
      </c>
      <c r="BJ14" s="18">
        <v>0</v>
      </c>
      <c r="BK14" s="18">
        <v>0</v>
      </c>
      <c r="BL14" s="18">
        <v>0</v>
      </c>
      <c r="BM14" s="18">
        <v>0</v>
      </c>
      <c r="BN14" s="18">
        <v>0</v>
      </c>
      <c r="BO14" s="18">
        <v>0</v>
      </c>
      <c r="BP14" s="18">
        <v>0</v>
      </c>
      <c r="BQ14" s="18">
        <v>0</v>
      </c>
      <c r="BR14" s="18">
        <v>0</v>
      </c>
      <c r="BS14" s="18">
        <v>0</v>
      </c>
      <c r="BT14" s="18">
        <v>0</v>
      </c>
      <c r="BU14" s="18">
        <v>0</v>
      </c>
      <c r="BV14" s="18">
        <v>0</v>
      </c>
      <c r="BW14" s="18">
        <v>0</v>
      </c>
      <c r="BX14" s="18">
        <v>0</v>
      </c>
      <c r="BY14" s="18">
        <v>1.4999999999999999E-2</v>
      </c>
      <c r="BZ14" s="18">
        <v>0</v>
      </c>
      <c r="CA14" s="18">
        <v>0</v>
      </c>
    </row>
    <row r="15" spans="1:79" x14ac:dyDescent="0.25">
      <c r="A15" s="8">
        <v>11</v>
      </c>
      <c r="B15" s="8">
        <v>5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5.2999999999999999E-2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0.105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2E-3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0.16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  <c r="BO15" s="18">
        <v>0</v>
      </c>
      <c r="BP15" s="18">
        <v>0</v>
      </c>
      <c r="BQ15" s="18">
        <v>0</v>
      </c>
      <c r="BR15" s="18">
        <v>0</v>
      </c>
      <c r="BS15" s="18">
        <v>0</v>
      </c>
      <c r="BT15" s="18">
        <v>0</v>
      </c>
      <c r="BU15" s="18">
        <v>0</v>
      </c>
      <c r="BV15" s="18">
        <v>0</v>
      </c>
      <c r="BW15" s="18">
        <v>0</v>
      </c>
      <c r="BX15" s="18">
        <v>0</v>
      </c>
      <c r="BY15" s="18">
        <v>0</v>
      </c>
      <c r="BZ15" s="18">
        <v>0</v>
      </c>
      <c r="CA15" s="18">
        <v>0</v>
      </c>
    </row>
    <row r="16" spans="1:79" x14ac:dyDescent="0.25">
      <c r="A16" s="8">
        <v>12</v>
      </c>
      <c r="B16" s="8">
        <v>5.5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0.02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7.0000000000000001E-3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</row>
    <row r="17" spans="1:79" x14ac:dyDescent="0.25">
      <c r="A17" s="8">
        <v>13</v>
      </c>
      <c r="B17" s="8">
        <v>6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0</v>
      </c>
      <c r="BN17" s="18">
        <v>0</v>
      </c>
      <c r="BO17" s="18">
        <v>0</v>
      </c>
      <c r="BP17" s="18">
        <v>0</v>
      </c>
      <c r="BQ17" s="18">
        <v>0</v>
      </c>
      <c r="BR17" s="18">
        <v>0</v>
      </c>
      <c r="BS17" s="18">
        <v>0</v>
      </c>
      <c r="BT17" s="18">
        <v>0</v>
      </c>
      <c r="BU17" s="18">
        <v>0</v>
      </c>
      <c r="BV17" s="18">
        <v>0</v>
      </c>
      <c r="BW17" s="18">
        <v>0</v>
      </c>
      <c r="BX17" s="18">
        <v>0</v>
      </c>
      <c r="BY17" s="18">
        <v>0</v>
      </c>
      <c r="BZ17" s="18">
        <v>0</v>
      </c>
      <c r="CA17" s="18">
        <v>0</v>
      </c>
    </row>
    <row r="18" spans="1:79" x14ac:dyDescent="0.25">
      <c r="A18" s="8">
        <v>14</v>
      </c>
      <c r="B18" s="8">
        <v>6.5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0.51200000000000001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0.20799999999999999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0.55900000000000005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0</v>
      </c>
      <c r="BN18" s="18">
        <v>0</v>
      </c>
      <c r="BO18" s="18">
        <v>0</v>
      </c>
      <c r="BP18" s="18">
        <v>0</v>
      </c>
      <c r="BQ18" s="18">
        <v>0</v>
      </c>
      <c r="BR18" s="18">
        <v>0</v>
      </c>
      <c r="BS18" s="18">
        <v>0</v>
      </c>
      <c r="BT18" s="18">
        <v>0</v>
      </c>
      <c r="BU18" s="18">
        <v>0</v>
      </c>
      <c r="BV18" s="18">
        <v>0</v>
      </c>
      <c r="BW18" s="18">
        <v>0</v>
      </c>
      <c r="BX18" s="18">
        <v>0</v>
      </c>
      <c r="BY18" s="18">
        <v>0</v>
      </c>
      <c r="BZ18" s="18">
        <v>0</v>
      </c>
      <c r="CA18" s="18">
        <v>0</v>
      </c>
    </row>
    <row r="19" spans="1:79" x14ac:dyDescent="0.25">
      <c r="A19" s="8">
        <v>15</v>
      </c>
      <c r="B19" s="8">
        <v>7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  <c r="AN19" s="18">
        <v>0.315</v>
      </c>
      <c r="AO19" s="18">
        <v>0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0.80200000000000005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0</v>
      </c>
      <c r="BN19" s="18">
        <v>0</v>
      </c>
      <c r="BO19" s="18">
        <v>0</v>
      </c>
      <c r="BP19" s="18">
        <v>0</v>
      </c>
      <c r="BQ19" s="18">
        <v>0</v>
      </c>
      <c r="BR19" s="18">
        <v>0</v>
      </c>
      <c r="BS19" s="18">
        <v>0</v>
      </c>
      <c r="BT19" s="18">
        <v>0</v>
      </c>
      <c r="BU19" s="18">
        <v>0</v>
      </c>
      <c r="BV19" s="18">
        <v>0</v>
      </c>
      <c r="BW19" s="18">
        <v>0</v>
      </c>
      <c r="BX19" s="18">
        <v>0</v>
      </c>
      <c r="BY19" s="18">
        <v>0</v>
      </c>
      <c r="BZ19" s="18">
        <v>0</v>
      </c>
      <c r="CA19" s="18">
        <v>0</v>
      </c>
    </row>
    <row r="20" spans="1:79" x14ac:dyDescent="0.25">
      <c r="A20" s="8">
        <v>16</v>
      </c>
      <c r="B20" s="8">
        <v>7.5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0.158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0.501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</row>
    <row r="21" spans="1:79" x14ac:dyDescent="0.25">
      <c r="A21" s="8">
        <v>17</v>
      </c>
      <c r="B21" s="8">
        <v>8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0</v>
      </c>
      <c r="BN21" s="18">
        <v>0</v>
      </c>
      <c r="BO21" s="18">
        <v>0</v>
      </c>
      <c r="BP21" s="18">
        <v>0</v>
      </c>
      <c r="BQ21" s="18">
        <v>0</v>
      </c>
      <c r="BR21" s="18">
        <v>0</v>
      </c>
      <c r="BS21" s="18">
        <v>0</v>
      </c>
      <c r="BT21" s="18">
        <v>0</v>
      </c>
      <c r="BU21" s="18">
        <v>0</v>
      </c>
      <c r="BV21" s="18">
        <v>0</v>
      </c>
      <c r="BW21" s="18">
        <v>0</v>
      </c>
      <c r="BX21" s="18">
        <v>0</v>
      </c>
      <c r="BY21" s="18">
        <v>0</v>
      </c>
      <c r="BZ21" s="18">
        <v>0</v>
      </c>
      <c r="CA21" s="18">
        <v>0</v>
      </c>
    </row>
    <row r="22" spans="1:79" x14ac:dyDescent="0.25">
      <c r="A22" s="8">
        <v>18</v>
      </c>
      <c r="B22" s="8">
        <v>8.5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0.13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0.59899999999999998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0.53500000000000003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1.637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  <c r="BO22" s="18">
        <v>0</v>
      </c>
      <c r="BP22" s="18">
        <v>0</v>
      </c>
      <c r="BQ22" s="18">
        <v>0</v>
      </c>
      <c r="BR22" s="18">
        <v>0</v>
      </c>
      <c r="BS22" s="18">
        <v>0</v>
      </c>
      <c r="BT22" s="18">
        <v>0</v>
      </c>
      <c r="BU22" s="18">
        <v>0</v>
      </c>
      <c r="BV22" s="18">
        <v>0</v>
      </c>
      <c r="BW22" s="18">
        <v>0</v>
      </c>
      <c r="BX22" s="18">
        <v>0</v>
      </c>
      <c r="BY22" s="18">
        <v>0</v>
      </c>
      <c r="BZ22" s="18">
        <v>0</v>
      </c>
      <c r="CA22" s="18">
        <v>0</v>
      </c>
    </row>
    <row r="23" spans="1:79" x14ac:dyDescent="0.25">
      <c r="A23" s="8">
        <v>19</v>
      </c>
      <c r="B23" s="8">
        <v>9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1.0189999999999999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0</v>
      </c>
      <c r="BN23" s="18">
        <v>0</v>
      </c>
      <c r="BO23" s="18">
        <v>0</v>
      </c>
      <c r="BP23" s="18">
        <v>0</v>
      </c>
      <c r="BQ23" s="18">
        <v>0</v>
      </c>
      <c r="BR23" s="18">
        <v>0</v>
      </c>
      <c r="BS23" s="18">
        <v>0</v>
      </c>
      <c r="BT23" s="18">
        <v>0</v>
      </c>
      <c r="BU23" s="18">
        <v>0</v>
      </c>
      <c r="BV23" s="18">
        <v>0</v>
      </c>
      <c r="BW23" s="18">
        <v>0</v>
      </c>
      <c r="BX23" s="18">
        <v>0</v>
      </c>
      <c r="BY23" s="18">
        <v>0</v>
      </c>
      <c r="BZ23" s="18">
        <v>0</v>
      </c>
      <c r="CA23" s="18">
        <v>0</v>
      </c>
    </row>
    <row r="24" spans="1:79" x14ac:dyDescent="0.25">
      <c r="A24" s="8">
        <v>20</v>
      </c>
      <c r="B24" s="8">
        <v>9.5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0.308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4.3999999999999997E-2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18">
        <v>0</v>
      </c>
      <c r="BN24" s="18">
        <v>0</v>
      </c>
      <c r="BO24" s="18">
        <v>0</v>
      </c>
      <c r="BP24" s="18">
        <v>0</v>
      </c>
      <c r="BQ24" s="18">
        <v>0</v>
      </c>
      <c r="BR24" s="18">
        <v>0</v>
      </c>
      <c r="BS24" s="18">
        <v>0</v>
      </c>
      <c r="BT24" s="18">
        <v>0</v>
      </c>
      <c r="BU24" s="18">
        <v>0</v>
      </c>
      <c r="BV24" s="18">
        <v>0</v>
      </c>
      <c r="BW24" s="18">
        <v>0</v>
      </c>
      <c r="BX24" s="18">
        <v>0</v>
      </c>
      <c r="BY24" s="18">
        <v>0</v>
      </c>
      <c r="BZ24" s="18">
        <v>0</v>
      </c>
      <c r="CA24" s="18">
        <v>0</v>
      </c>
    </row>
    <row r="25" spans="1:79" x14ac:dyDescent="0.25">
      <c r="A25" s="8">
        <v>21</v>
      </c>
      <c r="B25" s="8">
        <v>10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8">
        <v>0.56699999999999995</v>
      </c>
      <c r="AZ25" s="18">
        <v>0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</v>
      </c>
      <c r="BG25" s="18">
        <v>0</v>
      </c>
      <c r="BH25" s="18">
        <v>0</v>
      </c>
      <c r="BI25" s="18">
        <v>0</v>
      </c>
      <c r="BJ25" s="18">
        <v>1.94</v>
      </c>
      <c r="BK25" s="18">
        <v>0</v>
      </c>
      <c r="BL25" s="18">
        <v>0</v>
      </c>
      <c r="BM25" s="18">
        <v>0</v>
      </c>
      <c r="BN25" s="18">
        <v>0</v>
      </c>
      <c r="BO25" s="18">
        <v>0</v>
      </c>
      <c r="BP25" s="18">
        <v>0</v>
      </c>
      <c r="BQ25" s="18">
        <v>0</v>
      </c>
      <c r="BR25" s="18">
        <v>0</v>
      </c>
      <c r="BS25" s="18">
        <v>0</v>
      </c>
      <c r="BT25" s="18">
        <v>0</v>
      </c>
      <c r="BU25" s="18">
        <v>0</v>
      </c>
      <c r="BV25" s="18">
        <v>0</v>
      </c>
      <c r="BW25" s="18">
        <v>0</v>
      </c>
      <c r="BX25" s="18">
        <v>0</v>
      </c>
      <c r="BY25" s="18">
        <v>0</v>
      </c>
      <c r="BZ25" s="18">
        <v>0</v>
      </c>
      <c r="CA25" s="18">
        <v>0</v>
      </c>
    </row>
    <row r="26" spans="1:79" x14ac:dyDescent="0.25">
      <c r="A26" s="8">
        <v>22</v>
      </c>
      <c r="B26" s="8">
        <v>10.5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0.59899999999999998</v>
      </c>
      <c r="BK26" s="18">
        <v>0</v>
      </c>
      <c r="BL26" s="18">
        <v>0</v>
      </c>
      <c r="BM26" s="18">
        <v>0</v>
      </c>
      <c r="BN26" s="18">
        <v>0</v>
      </c>
      <c r="BO26" s="18">
        <v>0</v>
      </c>
      <c r="BP26" s="18">
        <v>0</v>
      </c>
      <c r="BQ26" s="18">
        <v>0</v>
      </c>
      <c r="BR26" s="18">
        <v>0</v>
      </c>
      <c r="BS26" s="18">
        <v>0</v>
      </c>
      <c r="BT26" s="18">
        <v>0</v>
      </c>
      <c r="BU26" s="18">
        <v>0</v>
      </c>
      <c r="BV26" s="18">
        <v>0</v>
      </c>
      <c r="BW26" s="18">
        <v>0</v>
      </c>
      <c r="BX26" s="18">
        <v>0</v>
      </c>
      <c r="BY26" s="18">
        <v>0</v>
      </c>
      <c r="BZ26" s="18">
        <v>0</v>
      </c>
      <c r="CA26" s="18">
        <v>0</v>
      </c>
    </row>
    <row r="27" spans="1:79" x14ac:dyDescent="0.25">
      <c r="A27" s="8">
        <v>23</v>
      </c>
      <c r="B27" s="8">
        <v>11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0.11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  <c r="BO27" s="18">
        <v>0</v>
      </c>
      <c r="BP27" s="18">
        <v>0.46700000000000003</v>
      </c>
      <c r="BQ27" s="18">
        <v>0</v>
      </c>
      <c r="BR27" s="18">
        <v>0</v>
      </c>
      <c r="BS27" s="18">
        <v>0</v>
      </c>
      <c r="BT27" s="18">
        <v>0</v>
      </c>
      <c r="BU27" s="18">
        <v>0</v>
      </c>
      <c r="BV27" s="18">
        <v>0</v>
      </c>
      <c r="BW27" s="18">
        <v>0</v>
      </c>
      <c r="BX27" s="18">
        <v>0</v>
      </c>
      <c r="BY27" s="18">
        <v>0</v>
      </c>
      <c r="BZ27" s="18">
        <v>0</v>
      </c>
      <c r="CA27" s="18">
        <v>0</v>
      </c>
    </row>
    <row r="28" spans="1:79" x14ac:dyDescent="0.25">
      <c r="A28" s="8">
        <v>24</v>
      </c>
      <c r="B28" s="8">
        <v>11.5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0.82199999999999995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1.4850000000000001</v>
      </c>
      <c r="BG28" s="18">
        <v>0</v>
      </c>
      <c r="BH28" s="18">
        <v>0</v>
      </c>
      <c r="BI28" s="18">
        <v>0</v>
      </c>
      <c r="BJ28" s="18">
        <v>1.036</v>
      </c>
      <c r="BK28" s="18">
        <v>0</v>
      </c>
      <c r="BL28" s="18">
        <v>0</v>
      </c>
      <c r="BM28" s="18">
        <v>0</v>
      </c>
      <c r="BN28" s="18">
        <v>0</v>
      </c>
      <c r="BO28" s="18">
        <v>0</v>
      </c>
      <c r="BP28" s="18">
        <v>0</v>
      </c>
      <c r="BQ28" s="18">
        <v>0</v>
      </c>
      <c r="BR28" s="18">
        <v>0</v>
      </c>
      <c r="BS28" s="18">
        <v>0</v>
      </c>
      <c r="BT28" s="18">
        <v>0</v>
      </c>
      <c r="BU28" s="18">
        <v>0</v>
      </c>
      <c r="BV28" s="18">
        <v>0</v>
      </c>
      <c r="BW28" s="18">
        <v>0</v>
      </c>
      <c r="BX28" s="18">
        <v>0</v>
      </c>
      <c r="BY28" s="18">
        <v>0</v>
      </c>
      <c r="BZ28" s="18">
        <v>0</v>
      </c>
      <c r="CA28" s="18">
        <v>0</v>
      </c>
    </row>
    <row r="29" spans="1:79" x14ac:dyDescent="0.25">
      <c r="A29" s="8">
        <v>25</v>
      </c>
      <c r="B29" s="8">
        <v>12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1.351</v>
      </c>
      <c r="BG29" s="18">
        <v>0</v>
      </c>
      <c r="BH29" s="18">
        <v>0</v>
      </c>
      <c r="BI29" s="18">
        <v>0</v>
      </c>
      <c r="BJ29" s="18">
        <v>1.268</v>
      </c>
      <c r="BK29" s="18">
        <v>0</v>
      </c>
      <c r="BL29" s="18">
        <v>0</v>
      </c>
      <c r="BM29" s="18">
        <v>0</v>
      </c>
      <c r="BN29" s="18">
        <v>0</v>
      </c>
      <c r="BO29" s="18">
        <v>0</v>
      </c>
      <c r="BP29" s="18">
        <v>0</v>
      </c>
      <c r="BQ29" s="18">
        <v>0</v>
      </c>
      <c r="BR29" s="18">
        <v>0</v>
      </c>
      <c r="BS29" s="18">
        <v>0</v>
      </c>
      <c r="BT29" s="18">
        <v>0</v>
      </c>
      <c r="BU29" s="18">
        <v>0</v>
      </c>
      <c r="BV29" s="18">
        <v>0</v>
      </c>
      <c r="BW29" s="18">
        <v>0</v>
      </c>
      <c r="BX29" s="18">
        <v>0</v>
      </c>
      <c r="BY29" s="18">
        <v>0</v>
      </c>
      <c r="BZ29" s="18">
        <v>0</v>
      </c>
      <c r="CA29" s="18">
        <v>0</v>
      </c>
    </row>
    <row r="30" spans="1:79" x14ac:dyDescent="0.25">
      <c r="A30" s="8">
        <v>26</v>
      </c>
      <c r="B30" s="8">
        <v>12.5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0.307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0.94299999999999995</v>
      </c>
      <c r="BX30" s="18">
        <v>0</v>
      </c>
      <c r="BY30" s="18">
        <v>0</v>
      </c>
      <c r="BZ30" s="18">
        <v>0.48</v>
      </c>
      <c r="CA30" s="18">
        <v>0</v>
      </c>
    </row>
    <row r="31" spans="1:79" x14ac:dyDescent="0.25">
      <c r="A31" s="8">
        <v>27</v>
      </c>
      <c r="B31" s="8">
        <v>13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0</v>
      </c>
      <c r="AT31" s="18">
        <v>0</v>
      </c>
      <c r="AU31" s="18">
        <v>0.64800000000000002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>
        <v>0</v>
      </c>
      <c r="BN31" s="18">
        <v>0</v>
      </c>
      <c r="BO31" s="18">
        <v>0</v>
      </c>
      <c r="BP31" s="18">
        <v>0</v>
      </c>
      <c r="BQ31" s="18">
        <v>0</v>
      </c>
      <c r="BR31" s="18">
        <v>0</v>
      </c>
      <c r="BS31" s="18">
        <v>0</v>
      </c>
      <c r="BT31" s="18">
        <v>0</v>
      </c>
      <c r="BU31" s="18">
        <v>0</v>
      </c>
      <c r="BV31" s="18">
        <v>0</v>
      </c>
      <c r="BW31" s="18">
        <v>2.2000000000000002</v>
      </c>
      <c r="BX31" s="18">
        <v>0</v>
      </c>
      <c r="BY31" s="18">
        <v>0</v>
      </c>
      <c r="BZ31" s="18">
        <v>0.499</v>
      </c>
      <c r="CA31" s="18">
        <v>0</v>
      </c>
    </row>
    <row r="32" spans="1:79" x14ac:dyDescent="0.25">
      <c r="A32" s="8">
        <v>28</v>
      </c>
      <c r="B32" s="8">
        <v>13.5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0.78700000000000003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8">
        <v>0</v>
      </c>
      <c r="BE32" s="18">
        <v>0</v>
      </c>
      <c r="BF32" s="18">
        <v>0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18">
        <v>0</v>
      </c>
      <c r="BN32" s="18">
        <v>0</v>
      </c>
      <c r="BO32" s="18">
        <v>0</v>
      </c>
      <c r="BP32" s="18">
        <v>0</v>
      </c>
      <c r="BQ32" s="18">
        <v>0</v>
      </c>
      <c r="BR32" s="18">
        <v>0</v>
      </c>
      <c r="BS32" s="18">
        <v>0</v>
      </c>
      <c r="BT32" s="18">
        <v>0</v>
      </c>
      <c r="BU32" s="18">
        <v>0</v>
      </c>
      <c r="BV32" s="18">
        <v>0</v>
      </c>
      <c r="BW32" s="18">
        <v>0</v>
      </c>
      <c r="BX32" s="18">
        <v>0</v>
      </c>
      <c r="BY32" s="18">
        <v>0</v>
      </c>
      <c r="BZ32" s="18">
        <v>0</v>
      </c>
      <c r="CA32" s="18">
        <v>0</v>
      </c>
    </row>
    <row r="33" spans="1:79" x14ac:dyDescent="0.25">
      <c r="A33" s="8">
        <v>29</v>
      </c>
      <c r="B33" s="8">
        <v>14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7.8E-2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1.1140000000000001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0.107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0</v>
      </c>
      <c r="BZ33" s="18">
        <v>0</v>
      </c>
      <c r="CA33" s="18">
        <v>0</v>
      </c>
    </row>
    <row r="34" spans="1:79" x14ac:dyDescent="0.25">
      <c r="A34" s="8">
        <v>30</v>
      </c>
      <c r="B34" s="8">
        <v>14.5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</row>
    <row r="35" spans="1:79" x14ac:dyDescent="0.25">
      <c r="A35" s="8">
        <v>31</v>
      </c>
      <c r="B35" s="8">
        <v>15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1.538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8">
        <v>0</v>
      </c>
      <c r="AZ35" s="18">
        <v>0</v>
      </c>
      <c r="BA35" s="18">
        <v>0</v>
      </c>
      <c r="BB35" s="18">
        <v>0</v>
      </c>
      <c r="BC35" s="18">
        <v>0</v>
      </c>
      <c r="BD35" s="18">
        <v>0</v>
      </c>
      <c r="BE35" s="18">
        <v>0</v>
      </c>
      <c r="BF35" s="18">
        <v>0</v>
      </c>
      <c r="BG35" s="18">
        <v>0.03</v>
      </c>
      <c r="BH35" s="18">
        <v>0</v>
      </c>
      <c r="BI35" s="18">
        <v>0</v>
      </c>
      <c r="BJ35" s="18">
        <v>0</v>
      </c>
      <c r="BK35" s="18">
        <v>0</v>
      </c>
      <c r="BL35" s="18">
        <v>0</v>
      </c>
      <c r="BM35" s="18">
        <v>0</v>
      </c>
      <c r="BN35" s="18">
        <v>0</v>
      </c>
      <c r="BO35" s="18">
        <v>0</v>
      </c>
      <c r="BP35" s="18">
        <v>0</v>
      </c>
      <c r="BQ35" s="18">
        <v>0</v>
      </c>
      <c r="BR35" s="18">
        <v>0</v>
      </c>
      <c r="BS35" s="18">
        <v>0</v>
      </c>
      <c r="BT35" s="18">
        <v>0</v>
      </c>
      <c r="BU35" s="18">
        <v>0</v>
      </c>
      <c r="BV35" s="18">
        <v>0</v>
      </c>
      <c r="BW35" s="18">
        <v>0</v>
      </c>
      <c r="BX35" s="18">
        <v>0</v>
      </c>
      <c r="BY35" s="18">
        <v>0</v>
      </c>
      <c r="BZ35" s="18">
        <v>0</v>
      </c>
      <c r="CA35" s="18">
        <v>0</v>
      </c>
    </row>
    <row r="36" spans="1:79" x14ac:dyDescent="0.25">
      <c r="A36" s="8">
        <v>32</v>
      </c>
      <c r="B36" s="8">
        <v>15.5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1.397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</row>
    <row r="37" spans="1:79" x14ac:dyDescent="0.25">
      <c r="A37" s="8">
        <v>33</v>
      </c>
      <c r="B37" s="8">
        <v>16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0.189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0.308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0.16400000000000001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18">
        <v>0</v>
      </c>
      <c r="BZ37" s="18">
        <v>0</v>
      </c>
      <c r="CA37" s="18">
        <v>0</v>
      </c>
    </row>
    <row r="38" spans="1:79" x14ac:dyDescent="0.25">
      <c r="A38" s="8">
        <v>34</v>
      </c>
      <c r="B38" s="8">
        <v>16.5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0.42199999999999999</v>
      </c>
      <c r="W38" s="18">
        <v>0</v>
      </c>
      <c r="X38" s="18">
        <v>0</v>
      </c>
      <c r="Y38" s="18">
        <v>0</v>
      </c>
      <c r="Z38" s="18">
        <v>0</v>
      </c>
      <c r="AA38" s="18">
        <v>0.20899999999999999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0.13200000000000001</v>
      </c>
      <c r="BG38" s="18">
        <v>0</v>
      </c>
      <c r="BH38" s="18">
        <v>0</v>
      </c>
      <c r="BI38" s="18">
        <v>0</v>
      </c>
      <c r="BJ38" s="18">
        <v>0</v>
      </c>
      <c r="BK38" s="18">
        <v>1.1259999999999999</v>
      </c>
      <c r="BL38" s="18">
        <v>0</v>
      </c>
      <c r="BM38" s="18">
        <v>0</v>
      </c>
      <c r="BN38" s="18">
        <v>0</v>
      </c>
      <c r="BO38" s="18">
        <v>0</v>
      </c>
      <c r="BP38" s="18">
        <v>1.454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18">
        <v>0</v>
      </c>
      <c r="BW38" s="18">
        <v>0</v>
      </c>
      <c r="BX38" s="18">
        <v>0</v>
      </c>
      <c r="BY38" s="18">
        <v>0</v>
      </c>
      <c r="BZ38" s="18">
        <v>0</v>
      </c>
      <c r="CA38" s="18">
        <v>0</v>
      </c>
    </row>
    <row r="39" spans="1:79" x14ac:dyDescent="0.25">
      <c r="A39" s="8">
        <v>35</v>
      </c>
      <c r="B39" s="8">
        <v>17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1.08</v>
      </c>
      <c r="S39" s="18">
        <v>0</v>
      </c>
      <c r="T39" s="18">
        <v>0</v>
      </c>
      <c r="U39" s="18">
        <v>0</v>
      </c>
      <c r="V39" s="18">
        <v>8.0000000000000002E-3</v>
      </c>
      <c r="W39" s="18">
        <v>0</v>
      </c>
      <c r="X39" s="18">
        <v>0.45300000000000001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0.67800000000000005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8.9999999999999993E-3</v>
      </c>
      <c r="BA39" s="18">
        <v>0</v>
      </c>
      <c r="BB39" s="18">
        <v>1.35</v>
      </c>
      <c r="BC39" s="18">
        <v>0</v>
      </c>
      <c r="BD39" s="18">
        <v>0</v>
      </c>
      <c r="BE39" s="18">
        <v>0</v>
      </c>
      <c r="BF39" s="18">
        <v>0.33800000000000002</v>
      </c>
      <c r="BG39" s="18">
        <v>0.77100000000000002</v>
      </c>
      <c r="BH39" s="18">
        <v>0</v>
      </c>
      <c r="BI39" s="18">
        <v>0</v>
      </c>
      <c r="BJ39" s="18">
        <v>0</v>
      </c>
      <c r="BK39" s="18">
        <v>2.1930000000000001</v>
      </c>
      <c r="BL39" s="18">
        <v>0</v>
      </c>
      <c r="BM39" s="18">
        <v>0</v>
      </c>
      <c r="BN39" s="18">
        <v>0</v>
      </c>
      <c r="BO39" s="18">
        <v>0</v>
      </c>
      <c r="BP39" s="18">
        <v>0</v>
      </c>
      <c r="BQ39" s="18">
        <v>0</v>
      </c>
      <c r="BR39" s="18">
        <v>0</v>
      </c>
      <c r="BS39" s="18">
        <v>0</v>
      </c>
      <c r="BT39" s="18">
        <v>0</v>
      </c>
      <c r="BU39" s="18">
        <v>0</v>
      </c>
      <c r="BV39" s="18">
        <v>0</v>
      </c>
      <c r="BW39" s="18">
        <v>0</v>
      </c>
      <c r="BX39" s="18">
        <v>0</v>
      </c>
      <c r="BY39" s="18">
        <v>0</v>
      </c>
      <c r="BZ39" s="18">
        <v>0</v>
      </c>
      <c r="CA39" s="18">
        <v>0</v>
      </c>
    </row>
    <row r="40" spans="1:79" x14ac:dyDescent="0.25">
      <c r="A40" s="8">
        <v>36</v>
      </c>
      <c r="B40" s="8">
        <v>17.5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0.109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1.069</v>
      </c>
      <c r="O40" s="18">
        <v>0</v>
      </c>
      <c r="P40" s="18">
        <v>0</v>
      </c>
      <c r="Q40" s="18">
        <v>0</v>
      </c>
      <c r="R40" s="18">
        <v>6.7000000000000004E-2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5.8999999999999997E-2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0.77400000000000002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1.139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0.67200000000000004</v>
      </c>
      <c r="BG40" s="18">
        <v>0.123</v>
      </c>
      <c r="BH40" s="18">
        <v>0</v>
      </c>
      <c r="BI40" s="18">
        <v>0.39900000000000002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0.99399999999999999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0.222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</row>
    <row r="41" spans="1:79" x14ac:dyDescent="0.25">
      <c r="A41" s="8">
        <v>37</v>
      </c>
      <c r="B41" s="8">
        <v>18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1.9079999999999999</v>
      </c>
      <c r="I41" s="18">
        <v>0</v>
      </c>
      <c r="J41" s="18">
        <v>0</v>
      </c>
      <c r="K41" s="18">
        <v>0</v>
      </c>
      <c r="L41" s="18">
        <v>5.6000000000000001E-2</v>
      </c>
      <c r="M41" s="18">
        <v>0</v>
      </c>
      <c r="N41" s="18">
        <v>0</v>
      </c>
      <c r="O41" s="18">
        <v>0</v>
      </c>
      <c r="P41" s="18">
        <v>0</v>
      </c>
      <c r="Q41" s="18">
        <v>2.7E-2</v>
      </c>
      <c r="R41" s="18">
        <v>0</v>
      </c>
      <c r="S41" s="18">
        <v>0</v>
      </c>
      <c r="T41" s="18">
        <v>0</v>
      </c>
      <c r="U41" s="18">
        <v>0</v>
      </c>
      <c r="V41" s="18">
        <v>5.7000000000000002E-2</v>
      </c>
      <c r="W41" s="18">
        <v>0</v>
      </c>
      <c r="X41" s="18">
        <v>1.0209999999999999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1.1040000000000001</v>
      </c>
      <c r="AF41" s="18">
        <v>0</v>
      </c>
      <c r="AG41" s="18">
        <v>0</v>
      </c>
      <c r="AH41" s="18">
        <v>0</v>
      </c>
      <c r="AI41" s="18">
        <v>0</v>
      </c>
      <c r="AJ41" s="18">
        <v>0.158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0.34699999999999998</v>
      </c>
      <c r="BC41" s="18">
        <v>0</v>
      </c>
      <c r="BD41" s="18">
        <v>0</v>
      </c>
      <c r="BE41" s="18">
        <v>0</v>
      </c>
      <c r="BF41" s="18">
        <v>0.499</v>
      </c>
      <c r="BG41" s="18">
        <v>0.64100000000000001</v>
      </c>
      <c r="BH41" s="18">
        <v>0</v>
      </c>
      <c r="BI41" s="18">
        <v>0.46899999999999997</v>
      </c>
      <c r="BJ41" s="18">
        <v>0</v>
      </c>
      <c r="BK41" s="18">
        <v>1.21</v>
      </c>
      <c r="BL41" s="18">
        <v>0</v>
      </c>
      <c r="BM41" s="18">
        <v>0</v>
      </c>
      <c r="BN41" s="18">
        <v>0</v>
      </c>
      <c r="BO41" s="18">
        <v>0</v>
      </c>
      <c r="BP41" s="18">
        <v>3.456</v>
      </c>
      <c r="BQ41" s="18">
        <v>0</v>
      </c>
      <c r="BR41" s="18">
        <v>0</v>
      </c>
      <c r="BS41" s="18">
        <v>0</v>
      </c>
      <c r="BT41" s="18">
        <v>1.2E-2</v>
      </c>
      <c r="BU41" s="18">
        <v>1.6240000000000001</v>
      </c>
      <c r="BV41" s="18">
        <v>0</v>
      </c>
      <c r="BW41" s="18">
        <v>0</v>
      </c>
      <c r="BX41" s="18">
        <v>0</v>
      </c>
      <c r="BY41" s="18">
        <v>0</v>
      </c>
      <c r="BZ41" s="18">
        <v>0</v>
      </c>
      <c r="CA41" s="18">
        <v>0</v>
      </c>
    </row>
    <row r="42" spans="1:79" x14ac:dyDescent="0.25">
      <c r="A42" s="8">
        <v>38</v>
      </c>
      <c r="B42" s="8">
        <v>18.5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0.17499999999999999</v>
      </c>
      <c r="I42" s="18">
        <v>0</v>
      </c>
      <c r="J42" s="18">
        <v>0</v>
      </c>
      <c r="K42" s="18">
        <v>0.151</v>
      </c>
      <c r="L42" s="18">
        <v>5.8000000000000003E-2</v>
      </c>
      <c r="M42" s="18">
        <v>0</v>
      </c>
      <c r="N42" s="18">
        <v>2.4319999999999999</v>
      </c>
      <c r="O42" s="18">
        <v>0</v>
      </c>
      <c r="P42" s="18">
        <v>0</v>
      </c>
      <c r="Q42" s="18">
        <v>0</v>
      </c>
      <c r="R42" s="18">
        <v>0.33</v>
      </c>
      <c r="S42" s="18">
        <v>0</v>
      </c>
      <c r="T42" s="18">
        <v>0</v>
      </c>
      <c r="U42" s="18">
        <v>0</v>
      </c>
      <c r="V42" s="18">
        <v>0.47499999999999998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3.2309999999999999</v>
      </c>
      <c r="AF42" s="18">
        <v>0</v>
      </c>
      <c r="AG42" s="18">
        <v>0</v>
      </c>
      <c r="AH42" s="18">
        <v>0</v>
      </c>
      <c r="AI42" s="18">
        <v>0</v>
      </c>
      <c r="AJ42" s="18">
        <v>2.8000000000000001E-2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6.9000000000000006E-2</v>
      </c>
      <c r="AV42" s="18">
        <v>5.0000000000000001E-3</v>
      </c>
      <c r="AW42" s="18">
        <v>0</v>
      </c>
      <c r="AX42" s="18">
        <v>0</v>
      </c>
      <c r="AY42" s="18">
        <v>1.9E-2</v>
      </c>
      <c r="AZ42" s="18">
        <v>0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6.2E-2</v>
      </c>
      <c r="BG42" s="18">
        <v>0.32400000000000001</v>
      </c>
      <c r="BH42" s="18">
        <v>0</v>
      </c>
      <c r="BI42" s="18">
        <v>7.0000000000000001E-3</v>
      </c>
      <c r="BJ42" s="18">
        <v>0</v>
      </c>
      <c r="BK42" s="18">
        <v>0</v>
      </c>
      <c r="BL42" s="18">
        <v>0</v>
      </c>
      <c r="BM42" s="18">
        <v>0</v>
      </c>
      <c r="BN42" s="18">
        <v>0</v>
      </c>
      <c r="BO42" s="18">
        <v>0</v>
      </c>
      <c r="BP42" s="18">
        <v>1.6870000000000001</v>
      </c>
      <c r="BQ42" s="18">
        <v>0</v>
      </c>
      <c r="BR42" s="18">
        <v>0</v>
      </c>
      <c r="BS42" s="18">
        <v>0</v>
      </c>
      <c r="BT42" s="18">
        <v>0.22600000000000001</v>
      </c>
      <c r="BU42" s="18">
        <v>0.311</v>
      </c>
      <c r="BV42" s="18">
        <v>0</v>
      </c>
      <c r="BW42" s="18">
        <v>0</v>
      </c>
      <c r="BX42" s="18">
        <v>0</v>
      </c>
      <c r="BY42" s="18">
        <v>0</v>
      </c>
      <c r="BZ42" s="18">
        <v>0</v>
      </c>
      <c r="CA42" s="18">
        <v>0</v>
      </c>
    </row>
    <row r="43" spans="1:79" x14ac:dyDescent="0.25">
      <c r="A43" s="8">
        <v>39</v>
      </c>
      <c r="B43" s="8">
        <v>19</v>
      </c>
      <c r="C43" s="18">
        <v>0</v>
      </c>
      <c r="D43" s="18">
        <v>0</v>
      </c>
      <c r="E43" s="18">
        <v>0.189</v>
      </c>
      <c r="F43" s="18">
        <v>0</v>
      </c>
      <c r="G43" s="18">
        <v>0</v>
      </c>
      <c r="H43" s="18">
        <v>0.23499999999999999</v>
      </c>
      <c r="I43" s="18">
        <v>0.16600000000000001</v>
      </c>
      <c r="J43" s="18">
        <v>5.3999999999999999E-2</v>
      </c>
      <c r="K43" s="18">
        <v>0</v>
      </c>
      <c r="L43" s="18">
        <v>0.46500000000000002</v>
      </c>
      <c r="M43" s="18">
        <v>0</v>
      </c>
      <c r="N43" s="18">
        <v>0.44500000000000001</v>
      </c>
      <c r="O43" s="18">
        <v>0</v>
      </c>
      <c r="P43" s="18">
        <v>0.17799999999999999</v>
      </c>
      <c r="Q43" s="18">
        <v>0.63300000000000001</v>
      </c>
      <c r="R43" s="18">
        <v>0.251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7.1999999999999995E-2</v>
      </c>
      <c r="AE43" s="18">
        <v>1.76</v>
      </c>
      <c r="AF43" s="18">
        <v>0</v>
      </c>
      <c r="AG43" s="18">
        <v>0</v>
      </c>
      <c r="AH43" s="18">
        <v>3.9E-2</v>
      </c>
      <c r="AI43" s="18">
        <v>0.2</v>
      </c>
      <c r="AJ43" s="18">
        <v>1.474</v>
      </c>
      <c r="AK43" s="18">
        <v>0.121</v>
      </c>
      <c r="AL43" s="18">
        <v>0.126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0.03</v>
      </c>
      <c r="AS43" s="18">
        <v>0</v>
      </c>
      <c r="AT43" s="18">
        <v>0</v>
      </c>
      <c r="AU43" s="18">
        <v>0</v>
      </c>
      <c r="AV43" s="18">
        <v>3.5999999999999997E-2</v>
      </c>
      <c r="AW43" s="18">
        <v>0</v>
      </c>
      <c r="AX43" s="18">
        <v>0</v>
      </c>
      <c r="AY43" s="18">
        <v>0</v>
      </c>
      <c r="AZ43" s="18">
        <v>0</v>
      </c>
      <c r="BA43" s="18">
        <v>0.01</v>
      </c>
      <c r="BB43" s="18">
        <v>0</v>
      </c>
      <c r="BC43" s="18">
        <v>1.9E-2</v>
      </c>
      <c r="BD43" s="18">
        <v>0</v>
      </c>
      <c r="BE43" s="18">
        <v>0</v>
      </c>
      <c r="BF43" s="18">
        <v>0.105</v>
      </c>
      <c r="BG43" s="18">
        <v>0.96099999999999997</v>
      </c>
      <c r="BH43" s="18">
        <v>2E-3</v>
      </c>
      <c r="BI43" s="18">
        <v>8.0000000000000002E-3</v>
      </c>
      <c r="BJ43" s="18">
        <v>0</v>
      </c>
      <c r="BK43" s="18">
        <v>1.377</v>
      </c>
      <c r="BL43" s="18">
        <v>0</v>
      </c>
      <c r="BM43" s="18">
        <v>0</v>
      </c>
      <c r="BN43" s="18">
        <v>0.60299999999999998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  <c r="BT43" s="18">
        <v>0.26300000000000001</v>
      </c>
      <c r="BU43" s="18">
        <v>2.1579999999999999</v>
      </c>
      <c r="BV43" s="18">
        <v>0</v>
      </c>
      <c r="BW43" s="18">
        <v>0</v>
      </c>
      <c r="BX43" s="18">
        <v>3.6999999999999998E-2</v>
      </c>
      <c r="BY43" s="18">
        <v>0.115</v>
      </c>
      <c r="BZ43" s="18">
        <v>3.4000000000000002E-2</v>
      </c>
      <c r="CA43" s="18">
        <v>0.318</v>
      </c>
    </row>
    <row r="44" spans="1:79" x14ac:dyDescent="0.25">
      <c r="A44" s="8">
        <v>40</v>
      </c>
      <c r="B44" s="8">
        <v>19.5</v>
      </c>
      <c r="C44" s="18">
        <v>0.35</v>
      </c>
      <c r="D44" s="18">
        <v>0</v>
      </c>
      <c r="E44" s="18">
        <v>1.2729999999999999</v>
      </c>
      <c r="F44" s="18">
        <v>5.6000000000000001E-2</v>
      </c>
      <c r="G44" s="18">
        <v>8.3000000000000004E-2</v>
      </c>
      <c r="H44" s="18">
        <v>0.66700000000000004</v>
      </c>
      <c r="I44" s="18">
        <v>0.63500000000000001</v>
      </c>
      <c r="J44" s="18">
        <v>0</v>
      </c>
      <c r="K44" s="18">
        <v>0.17100000000000001</v>
      </c>
      <c r="L44" s="18">
        <v>0.76700000000000002</v>
      </c>
      <c r="M44" s="18">
        <v>0.23699999999999999</v>
      </c>
      <c r="N44" s="18">
        <v>0.36699999999999999</v>
      </c>
      <c r="O44" s="18">
        <v>0.186</v>
      </c>
      <c r="P44" s="18">
        <v>4.1000000000000002E-2</v>
      </c>
      <c r="Q44" s="18">
        <v>0.86099999999999999</v>
      </c>
      <c r="R44" s="18">
        <v>0.28899999999999998</v>
      </c>
      <c r="S44" s="18">
        <v>0.309</v>
      </c>
      <c r="T44" s="18">
        <v>0.53800000000000003</v>
      </c>
      <c r="U44" s="18">
        <v>0.11799999999999999</v>
      </c>
      <c r="V44" s="18">
        <v>0.29799999999999999</v>
      </c>
      <c r="W44" s="18">
        <v>0.33800000000000002</v>
      </c>
      <c r="X44" s="18">
        <v>0.249</v>
      </c>
      <c r="Y44" s="18">
        <v>0</v>
      </c>
      <c r="Z44" s="18">
        <v>0</v>
      </c>
      <c r="AA44" s="18">
        <v>2.1000000000000001E-2</v>
      </c>
      <c r="AB44" s="18">
        <v>0.46100000000000002</v>
      </c>
      <c r="AC44" s="18">
        <v>8.7999999999999995E-2</v>
      </c>
      <c r="AD44" s="18">
        <v>0.26300000000000001</v>
      </c>
      <c r="AE44" s="18">
        <v>0</v>
      </c>
      <c r="AF44" s="18">
        <v>0.13700000000000001</v>
      </c>
      <c r="AG44" s="18">
        <v>0.14099999999999999</v>
      </c>
      <c r="AH44" s="18">
        <v>0.372</v>
      </c>
      <c r="AI44" s="18">
        <v>0.35199999999999998</v>
      </c>
      <c r="AJ44" s="18">
        <v>0.93700000000000006</v>
      </c>
      <c r="AK44" s="18">
        <v>0.57099999999999995</v>
      </c>
      <c r="AL44" s="18">
        <v>0</v>
      </c>
      <c r="AM44" s="18">
        <v>0.46800000000000003</v>
      </c>
      <c r="AN44" s="18">
        <v>4.5999999999999999E-2</v>
      </c>
      <c r="AO44" s="18">
        <v>0</v>
      </c>
      <c r="AP44" s="18">
        <v>9.4E-2</v>
      </c>
      <c r="AQ44" s="18">
        <v>0.55700000000000005</v>
      </c>
      <c r="AR44" s="18">
        <v>0.47399999999999998</v>
      </c>
      <c r="AS44" s="18">
        <v>0.58599999999999997</v>
      </c>
      <c r="AT44" s="18">
        <v>0.21</v>
      </c>
      <c r="AU44" s="18">
        <v>0.29299999999999998</v>
      </c>
      <c r="AV44" s="18">
        <v>0.36399999999999999</v>
      </c>
      <c r="AW44" s="18">
        <v>0.497</v>
      </c>
      <c r="AX44" s="18">
        <v>2.1000000000000001E-2</v>
      </c>
      <c r="AY44" s="18">
        <v>0.219</v>
      </c>
      <c r="AZ44" s="18">
        <v>0.35799999999999998</v>
      </c>
      <c r="BA44" s="18">
        <v>0.50800000000000001</v>
      </c>
      <c r="BB44" s="18">
        <v>0.374</v>
      </c>
      <c r="BC44" s="18">
        <v>0.18</v>
      </c>
      <c r="BD44" s="18">
        <v>0.29599999999999999</v>
      </c>
      <c r="BE44" s="18">
        <v>0</v>
      </c>
      <c r="BF44" s="18">
        <v>0.41599999999999998</v>
      </c>
      <c r="BG44" s="18">
        <v>3.9E-2</v>
      </c>
      <c r="BH44" s="18">
        <v>0.60899999999999999</v>
      </c>
      <c r="BI44" s="18">
        <v>0.49199999999999999</v>
      </c>
      <c r="BJ44" s="18">
        <v>0.23200000000000001</v>
      </c>
      <c r="BK44" s="18">
        <v>1.2549999999999999</v>
      </c>
      <c r="BL44" s="18">
        <v>0.67800000000000005</v>
      </c>
      <c r="BM44" s="18">
        <v>0.34699999999999998</v>
      </c>
      <c r="BN44" s="18">
        <v>0.71</v>
      </c>
      <c r="BO44" s="18">
        <v>4.5999999999999999E-2</v>
      </c>
      <c r="BP44" s="18">
        <v>0</v>
      </c>
      <c r="BQ44" s="18">
        <v>4.7E-2</v>
      </c>
      <c r="BR44" s="18">
        <v>0.18</v>
      </c>
      <c r="BS44" s="18">
        <v>0.69199999999999995</v>
      </c>
      <c r="BT44" s="18">
        <v>8.7999999999999995E-2</v>
      </c>
      <c r="BU44" s="18">
        <v>0.35599999999999998</v>
      </c>
      <c r="BV44" s="18">
        <v>6.0000000000000001E-3</v>
      </c>
      <c r="BW44" s="18">
        <v>0.109</v>
      </c>
      <c r="BX44" s="18">
        <v>0.317</v>
      </c>
      <c r="BY44" s="18">
        <v>0.19800000000000001</v>
      </c>
      <c r="BZ44" s="18">
        <v>0.24299999999999999</v>
      </c>
      <c r="CA44" s="18">
        <v>0.41099999999999998</v>
      </c>
    </row>
    <row r="45" spans="1:79" x14ac:dyDescent="0.25">
      <c r="A45" s="8">
        <v>41</v>
      </c>
      <c r="B45" s="8">
        <v>20</v>
      </c>
      <c r="C45" s="18">
        <v>0.98599999999999999</v>
      </c>
      <c r="D45" s="18">
        <v>0.17</v>
      </c>
      <c r="E45" s="18">
        <v>0.46200000000000002</v>
      </c>
      <c r="F45" s="18">
        <v>4.9000000000000002E-2</v>
      </c>
      <c r="G45" s="18">
        <v>0.04</v>
      </c>
      <c r="H45" s="18">
        <v>0.76500000000000001</v>
      </c>
      <c r="I45" s="18">
        <v>1.054</v>
      </c>
      <c r="J45" s="18">
        <v>0.27600000000000002</v>
      </c>
      <c r="K45" s="18">
        <v>0.40899999999999997</v>
      </c>
      <c r="L45" s="18">
        <v>1.423</v>
      </c>
      <c r="M45" s="18">
        <v>0.29499999999999998</v>
      </c>
      <c r="N45" s="18">
        <v>0.47399999999999998</v>
      </c>
      <c r="O45" s="18">
        <v>0.42799999999999999</v>
      </c>
      <c r="P45" s="18">
        <v>0.28299999999999997</v>
      </c>
      <c r="Q45" s="18">
        <v>1.5329999999999999</v>
      </c>
      <c r="R45" s="18">
        <v>0.47299999999999998</v>
      </c>
      <c r="S45" s="18">
        <v>1.865</v>
      </c>
      <c r="T45" s="18">
        <v>0.309</v>
      </c>
      <c r="U45" s="18">
        <v>0.03</v>
      </c>
      <c r="V45" s="18">
        <v>0.33600000000000002</v>
      </c>
      <c r="W45" s="18">
        <v>0.59299999999999997</v>
      </c>
      <c r="X45" s="18">
        <v>0.30399999999999999</v>
      </c>
      <c r="Y45" s="18">
        <v>0.13100000000000001</v>
      </c>
      <c r="Z45" s="18">
        <v>0.04</v>
      </c>
      <c r="AA45" s="18">
        <v>0.17199999999999999</v>
      </c>
      <c r="AB45" s="18">
        <v>0.81599999999999995</v>
      </c>
      <c r="AC45" s="18">
        <v>0.14699999999999999</v>
      </c>
      <c r="AD45" s="18">
        <v>0.65</v>
      </c>
      <c r="AE45" s="18">
        <v>0</v>
      </c>
      <c r="AF45" s="18">
        <v>0.221</v>
      </c>
      <c r="AG45" s="18">
        <v>0.55300000000000005</v>
      </c>
      <c r="AH45" s="18">
        <v>0.56799999999999995</v>
      </c>
      <c r="AI45" s="18">
        <v>0.41899999999999998</v>
      </c>
      <c r="AJ45" s="18">
        <v>1.1830000000000001</v>
      </c>
      <c r="AK45" s="18">
        <v>0.91100000000000003</v>
      </c>
      <c r="AL45" s="18">
        <v>0.20399999999999999</v>
      </c>
      <c r="AM45" s="18">
        <v>0.66600000000000004</v>
      </c>
      <c r="AN45" s="18">
        <v>0.10100000000000001</v>
      </c>
      <c r="AO45" s="18">
        <v>9.5000000000000001E-2</v>
      </c>
      <c r="AP45" s="18">
        <v>0.442</v>
      </c>
      <c r="AQ45" s="18">
        <v>0.54200000000000004</v>
      </c>
      <c r="AR45" s="18">
        <v>0.46300000000000002</v>
      </c>
      <c r="AS45" s="18">
        <v>0.745</v>
      </c>
      <c r="AT45" s="18">
        <v>0.16400000000000001</v>
      </c>
      <c r="AU45" s="18">
        <v>0.55100000000000005</v>
      </c>
      <c r="AV45" s="18">
        <v>7.8E-2</v>
      </c>
      <c r="AW45" s="18">
        <v>0.35499999999999998</v>
      </c>
      <c r="AX45" s="18">
        <v>2.3E-2</v>
      </c>
      <c r="AY45" s="18">
        <v>0.25800000000000001</v>
      </c>
      <c r="AZ45" s="18">
        <v>0.53700000000000003</v>
      </c>
      <c r="BA45" s="18">
        <v>0.54800000000000004</v>
      </c>
      <c r="BB45" s="18">
        <v>0.59899999999999998</v>
      </c>
      <c r="BC45" s="18">
        <v>0.39900000000000002</v>
      </c>
      <c r="BD45" s="18">
        <v>0.42199999999999999</v>
      </c>
      <c r="BE45" s="18">
        <v>0.107</v>
      </c>
      <c r="BF45" s="18">
        <v>0.40200000000000002</v>
      </c>
      <c r="BG45" s="18">
        <v>0.24299999999999999</v>
      </c>
      <c r="BH45" s="18">
        <v>0.59299999999999997</v>
      </c>
      <c r="BI45" s="18">
        <v>0.51700000000000002</v>
      </c>
      <c r="BJ45" s="18">
        <v>4.2999999999999997E-2</v>
      </c>
      <c r="BK45" s="18">
        <v>0.25900000000000001</v>
      </c>
      <c r="BL45" s="18">
        <v>1.649</v>
      </c>
      <c r="BM45" s="18">
        <v>0.77400000000000002</v>
      </c>
      <c r="BN45" s="18">
        <v>0.58699999999999997</v>
      </c>
      <c r="BO45" s="18">
        <v>0.98099999999999998</v>
      </c>
      <c r="BP45" s="18">
        <v>0</v>
      </c>
      <c r="BQ45" s="18">
        <v>0.11799999999999999</v>
      </c>
      <c r="BR45" s="18">
        <v>1.3069999999999999</v>
      </c>
      <c r="BS45" s="18">
        <v>1.728</v>
      </c>
      <c r="BT45" s="18">
        <v>0.14499999999999999</v>
      </c>
      <c r="BU45" s="18">
        <v>0.68600000000000005</v>
      </c>
      <c r="BV45" s="18">
        <v>0.35299999999999998</v>
      </c>
      <c r="BW45" s="18">
        <v>0.184</v>
      </c>
      <c r="BX45" s="18">
        <v>0.55800000000000005</v>
      </c>
      <c r="BY45" s="18">
        <v>1.6970000000000001</v>
      </c>
      <c r="BZ45" s="18">
        <v>0.40799999999999997</v>
      </c>
      <c r="CA45" s="18">
        <v>0.53500000000000003</v>
      </c>
    </row>
    <row r="46" spans="1:79" x14ac:dyDescent="0.25">
      <c r="A46" s="8">
        <v>42</v>
      </c>
      <c r="B46" s="8">
        <v>20.5</v>
      </c>
      <c r="C46" s="18">
        <v>0.72699999999999998</v>
      </c>
      <c r="D46" s="18">
        <v>0.04</v>
      </c>
      <c r="E46" s="18">
        <v>0.5</v>
      </c>
      <c r="F46" s="18">
        <v>9.2999999999999999E-2</v>
      </c>
      <c r="G46" s="18">
        <v>6.2E-2</v>
      </c>
      <c r="H46" s="18">
        <v>1.2070000000000001</v>
      </c>
      <c r="I46" s="18">
        <v>0.56299999999999994</v>
      </c>
      <c r="J46" s="18">
        <v>6.2E-2</v>
      </c>
      <c r="K46" s="18">
        <v>1.6850000000000001</v>
      </c>
      <c r="L46" s="18">
        <v>0.98</v>
      </c>
      <c r="M46" s="18">
        <v>0.47599999999999998</v>
      </c>
      <c r="N46" s="18">
        <v>0.63100000000000001</v>
      </c>
      <c r="O46" s="18">
        <v>0.629</v>
      </c>
      <c r="P46" s="18">
        <v>5.1999999999999998E-2</v>
      </c>
      <c r="Q46" s="18">
        <v>0.86399999999999999</v>
      </c>
      <c r="R46" s="18">
        <v>1.657</v>
      </c>
      <c r="S46" s="18">
        <v>0.60899999999999999</v>
      </c>
      <c r="T46" s="18">
        <v>0.437</v>
      </c>
      <c r="U46" s="18">
        <v>7.0999999999999994E-2</v>
      </c>
      <c r="V46" s="18">
        <v>0.99299999999999999</v>
      </c>
      <c r="W46" s="18">
        <v>0.505</v>
      </c>
      <c r="X46" s="18">
        <v>0.108</v>
      </c>
      <c r="Y46" s="18">
        <v>0.48299999999999998</v>
      </c>
      <c r="Z46" s="18">
        <v>5.5E-2</v>
      </c>
      <c r="AA46" s="18">
        <v>1.7809999999999999</v>
      </c>
      <c r="AB46" s="18">
        <v>0.73499999999999999</v>
      </c>
      <c r="AC46" s="18">
        <v>0.05</v>
      </c>
      <c r="AD46" s="18">
        <v>1.325</v>
      </c>
      <c r="AE46" s="18">
        <v>0</v>
      </c>
      <c r="AF46" s="18">
        <v>0.29899999999999999</v>
      </c>
      <c r="AG46" s="18">
        <v>0.63600000000000001</v>
      </c>
      <c r="AH46" s="18">
        <v>0.61699999999999999</v>
      </c>
      <c r="AI46" s="18">
        <v>0.29899999999999999</v>
      </c>
      <c r="AJ46" s="18">
        <v>0.21299999999999999</v>
      </c>
      <c r="AK46" s="18">
        <v>1.546</v>
      </c>
      <c r="AL46" s="18">
        <v>0.41599999999999998</v>
      </c>
      <c r="AM46" s="18">
        <v>1.0409999999999999</v>
      </c>
      <c r="AN46" s="18">
        <v>0.17899999999999999</v>
      </c>
      <c r="AO46" s="18">
        <v>0.22600000000000001</v>
      </c>
      <c r="AP46" s="18">
        <v>0.437</v>
      </c>
      <c r="AQ46" s="18">
        <v>0.39100000000000001</v>
      </c>
      <c r="AR46" s="18">
        <v>0.57899999999999996</v>
      </c>
      <c r="AS46" s="18">
        <v>0.60899999999999999</v>
      </c>
      <c r="AT46" s="18">
        <v>1.212</v>
      </c>
      <c r="AU46" s="18">
        <v>2.3090000000000002</v>
      </c>
      <c r="AV46" s="18">
        <v>0.224</v>
      </c>
      <c r="AW46" s="18">
        <v>0.59399999999999997</v>
      </c>
      <c r="AX46" s="18">
        <v>0.32300000000000001</v>
      </c>
      <c r="AY46" s="18">
        <v>0.47599999999999998</v>
      </c>
      <c r="AZ46" s="18">
        <v>0.40400000000000003</v>
      </c>
      <c r="BA46" s="18">
        <v>0.55900000000000005</v>
      </c>
      <c r="BB46" s="18">
        <v>0.55500000000000005</v>
      </c>
      <c r="BC46" s="18">
        <v>0.40400000000000003</v>
      </c>
      <c r="BD46" s="18">
        <v>0.77300000000000002</v>
      </c>
      <c r="BE46" s="18">
        <v>5.8000000000000003E-2</v>
      </c>
      <c r="BF46" s="18">
        <v>0.74099999999999999</v>
      </c>
      <c r="BG46" s="18">
        <v>0.08</v>
      </c>
      <c r="BH46" s="18">
        <v>0.39</v>
      </c>
      <c r="BI46" s="18">
        <v>0.58099999999999996</v>
      </c>
      <c r="BJ46" s="18">
        <v>0.14699999999999999</v>
      </c>
      <c r="BK46" s="18">
        <v>0</v>
      </c>
      <c r="BL46" s="18">
        <v>0.61699999999999999</v>
      </c>
      <c r="BM46" s="18">
        <v>0.34300000000000003</v>
      </c>
      <c r="BN46" s="18">
        <v>0.48699999999999999</v>
      </c>
      <c r="BO46" s="18">
        <v>0.85699999999999998</v>
      </c>
      <c r="BP46" s="18">
        <v>0</v>
      </c>
      <c r="BQ46" s="18">
        <v>3.6999999999999998E-2</v>
      </c>
      <c r="BR46" s="18">
        <v>0.7</v>
      </c>
      <c r="BS46" s="18">
        <v>0.55600000000000005</v>
      </c>
      <c r="BT46" s="18">
        <v>0.14099999999999999</v>
      </c>
      <c r="BU46" s="18">
        <v>0.45900000000000002</v>
      </c>
      <c r="BV46" s="18">
        <v>0.33500000000000002</v>
      </c>
      <c r="BW46" s="18">
        <v>0.216</v>
      </c>
      <c r="BX46" s="18">
        <v>0.751</v>
      </c>
      <c r="BY46" s="18">
        <v>0.36599999999999999</v>
      </c>
      <c r="BZ46" s="18">
        <v>0.27</v>
      </c>
      <c r="CA46" s="18">
        <v>0.44</v>
      </c>
    </row>
    <row r="47" spans="1:79" x14ac:dyDescent="0.25">
      <c r="A47" s="8">
        <v>43</v>
      </c>
      <c r="B47" s="8">
        <v>21</v>
      </c>
      <c r="C47" s="18">
        <v>0.96899999999999997</v>
      </c>
      <c r="D47" s="18">
        <v>0.04</v>
      </c>
      <c r="E47" s="18">
        <v>0.40699999999999997</v>
      </c>
      <c r="F47" s="18">
        <v>0.14000000000000001</v>
      </c>
      <c r="G47" s="18">
        <v>0.20699999999999999</v>
      </c>
      <c r="H47" s="18">
        <v>1.081</v>
      </c>
      <c r="I47" s="18">
        <v>0.72</v>
      </c>
      <c r="J47" s="18">
        <v>0.17499999999999999</v>
      </c>
      <c r="K47" s="18">
        <v>0.60499999999999998</v>
      </c>
      <c r="L47" s="18">
        <v>0.69599999999999995</v>
      </c>
      <c r="M47" s="18">
        <v>0.438</v>
      </c>
      <c r="N47" s="18">
        <v>0.7</v>
      </c>
      <c r="O47" s="18">
        <v>0.56799999999999995</v>
      </c>
      <c r="P47" s="18">
        <v>0.22800000000000001</v>
      </c>
      <c r="Q47" s="18">
        <v>0.49299999999999999</v>
      </c>
      <c r="R47" s="18">
        <v>1.1879999999999999</v>
      </c>
      <c r="S47" s="18">
        <v>0.76300000000000001</v>
      </c>
      <c r="T47" s="18">
        <v>0.73799999999999999</v>
      </c>
      <c r="U47" s="18">
        <v>0.21299999999999999</v>
      </c>
      <c r="V47" s="18">
        <v>0.28100000000000003</v>
      </c>
      <c r="W47" s="18">
        <v>0.217</v>
      </c>
      <c r="X47" s="18">
        <v>0.11</v>
      </c>
      <c r="Y47" s="18">
        <v>0.50600000000000001</v>
      </c>
      <c r="Z47" s="18">
        <v>5.5E-2</v>
      </c>
      <c r="AA47" s="18">
        <v>1.476</v>
      </c>
      <c r="AB47" s="18">
        <v>0.54600000000000004</v>
      </c>
      <c r="AC47" s="18">
        <v>0.05</v>
      </c>
      <c r="AD47" s="18">
        <v>3.07</v>
      </c>
      <c r="AE47" s="18">
        <v>0</v>
      </c>
      <c r="AF47" s="18">
        <v>0.29899999999999999</v>
      </c>
      <c r="AG47" s="18">
        <v>0.49399999999999999</v>
      </c>
      <c r="AH47" s="18">
        <v>0.24299999999999999</v>
      </c>
      <c r="AI47" s="18">
        <v>0.307</v>
      </c>
      <c r="AJ47" s="18">
        <v>0.315</v>
      </c>
      <c r="AK47" s="18">
        <v>1.0169999999999999</v>
      </c>
      <c r="AL47" s="18">
        <v>0.219</v>
      </c>
      <c r="AM47" s="18">
        <v>1.153</v>
      </c>
      <c r="AN47" s="18">
        <v>0.17299999999999999</v>
      </c>
      <c r="AO47" s="18">
        <v>0.29199999999999998</v>
      </c>
      <c r="AP47" s="18">
        <v>0.999</v>
      </c>
      <c r="AQ47" s="18">
        <v>0.51500000000000001</v>
      </c>
      <c r="AR47" s="18">
        <v>0.72799999999999998</v>
      </c>
      <c r="AS47" s="18">
        <v>0.67100000000000004</v>
      </c>
      <c r="AT47" s="18">
        <v>0.64</v>
      </c>
      <c r="AU47" s="18">
        <v>0.42699999999999999</v>
      </c>
      <c r="AV47" s="18">
        <v>0.35</v>
      </c>
      <c r="AW47" s="18">
        <v>0.68700000000000006</v>
      </c>
      <c r="AX47" s="18">
        <v>0.30499999999999999</v>
      </c>
      <c r="AY47" s="18">
        <v>0.84799999999999998</v>
      </c>
      <c r="AZ47" s="18">
        <v>0.755</v>
      </c>
      <c r="BA47" s="18">
        <v>0.68</v>
      </c>
      <c r="BB47" s="18">
        <v>0.53100000000000003</v>
      </c>
      <c r="BC47" s="18">
        <v>0.42099999999999999</v>
      </c>
      <c r="BD47" s="18">
        <v>0.57199999999999995</v>
      </c>
      <c r="BE47" s="18">
        <v>5.8000000000000003E-2</v>
      </c>
      <c r="BF47" s="18">
        <v>0.65200000000000002</v>
      </c>
      <c r="BG47" s="18">
        <v>0.22</v>
      </c>
      <c r="BH47" s="18">
        <v>0.45300000000000001</v>
      </c>
      <c r="BI47" s="18">
        <v>0.623</v>
      </c>
      <c r="BJ47" s="18">
        <v>0.11799999999999999</v>
      </c>
      <c r="BK47" s="18">
        <v>0</v>
      </c>
      <c r="BL47" s="18">
        <v>0.80100000000000005</v>
      </c>
      <c r="BM47" s="18">
        <v>0.34200000000000003</v>
      </c>
      <c r="BN47" s="18">
        <v>0.53700000000000003</v>
      </c>
      <c r="BO47" s="18">
        <v>0.29899999999999999</v>
      </c>
      <c r="BP47" s="18">
        <v>0</v>
      </c>
      <c r="BQ47" s="18">
        <v>4.3999999999999997E-2</v>
      </c>
      <c r="BR47" s="18">
        <v>0.48599999999999999</v>
      </c>
      <c r="BS47" s="18">
        <v>0.54500000000000004</v>
      </c>
      <c r="BT47" s="18">
        <v>0.11899999999999999</v>
      </c>
      <c r="BU47" s="18">
        <v>1.383</v>
      </c>
      <c r="BV47" s="18">
        <v>0.34599999999999997</v>
      </c>
      <c r="BW47" s="18">
        <v>0.28999999999999998</v>
      </c>
      <c r="BX47" s="18">
        <v>0.63800000000000001</v>
      </c>
      <c r="BY47" s="18">
        <v>0.628</v>
      </c>
      <c r="BZ47" s="18">
        <v>0.35399999999999998</v>
      </c>
      <c r="CA47" s="18">
        <v>0.6</v>
      </c>
    </row>
    <row r="48" spans="1:79" x14ac:dyDescent="0.25">
      <c r="A48" s="8">
        <v>44</v>
      </c>
      <c r="B48" s="8">
        <v>21.5</v>
      </c>
      <c r="C48" s="18">
        <v>0.59599999999999997</v>
      </c>
      <c r="D48" s="18">
        <v>0.06</v>
      </c>
      <c r="E48" s="18">
        <v>0.45300000000000001</v>
      </c>
      <c r="F48" s="18">
        <v>9.2999999999999999E-2</v>
      </c>
      <c r="G48" s="18">
        <v>5.5E-2</v>
      </c>
      <c r="H48" s="18">
        <v>0.86099999999999999</v>
      </c>
      <c r="I48" s="18">
        <v>0.50600000000000001</v>
      </c>
      <c r="J48" s="18">
        <v>0.27700000000000002</v>
      </c>
      <c r="K48" s="18">
        <v>0.73899999999999999</v>
      </c>
      <c r="L48" s="18">
        <v>1.744</v>
      </c>
      <c r="M48" s="18">
        <v>0.48799999999999999</v>
      </c>
      <c r="N48" s="18">
        <v>0.30199999999999999</v>
      </c>
      <c r="O48" s="18">
        <v>0.437</v>
      </c>
      <c r="P48" s="18">
        <v>5.1999999999999998E-2</v>
      </c>
      <c r="Q48" s="18">
        <v>1.5620000000000001</v>
      </c>
      <c r="R48" s="18">
        <v>0.86699999999999999</v>
      </c>
      <c r="S48" s="18">
        <v>0.92900000000000005</v>
      </c>
      <c r="T48" s="18">
        <v>0.72399999999999998</v>
      </c>
      <c r="U48" s="18">
        <v>0.47799999999999998</v>
      </c>
      <c r="V48" s="18">
        <v>5.7000000000000002E-2</v>
      </c>
      <c r="W48" s="18">
        <v>0.36099999999999999</v>
      </c>
      <c r="X48" s="18">
        <v>0.16600000000000001</v>
      </c>
      <c r="Y48" s="18">
        <v>0.61399999999999999</v>
      </c>
      <c r="Z48" s="18">
        <v>0.30599999999999999</v>
      </c>
      <c r="AA48" s="18">
        <v>1.0189999999999999</v>
      </c>
      <c r="AB48" s="18">
        <v>0.55300000000000005</v>
      </c>
      <c r="AC48" s="18">
        <v>0.05</v>
      </c>
      <c r="AD48" s="18">
        <v>1.792</v>
      </c>
      <c r="AE48" s="18">
        <v>0</v>
      </c>
      <c r="AF48" s="18">
        <v>0.59899999999999998</v>
      </c>
      <c r="AG48" s="18">
        <v>0.60499999999999998</v>
      </c>
      <c r="AH48" s="18">
        <v>0.65300000000000002</v>
      </c>
      <c r="AI48" s="18">
        <v>0.317</v>
      </c>
      <c r="AJ48" s="18">
        <v>0.42299999999999999</v>
      </c>
      <c r="AK48" s="18">
        <v>0.95599999999999996</v>
      </c>
      <c r="AL48" s="18">
        <v>0.40600000000000003</v>
      </c>
      <c r="AM48" s="18">
        <v>1.1739999999999999</v>
      </c>
      <c r="AN48" s="18">
        <v>0.154</v>
      </c>
      <c r="AO48" s="18">
        <v>0.52900000000000003</v>
      </c>
      <c r="AP48" s="18">
        <v>2.823</v>
      </c>
      <c r="AQ48" s="18">
        <v>0.502</v>
      </c>
      <c r="AR48" s="18">
        <v>0.90800000000000003</v>
      </c>
      <c r="AS48" s="18">
        <v>0.154</v>
      </c>
      <c r="AT48" s="18">
        <v>0.41199999999999998</v>
      </c>
      <c r="AU48" s="18">
        <v>0.245</v>
      </c>
      <c r="AV48" s="18">
        <v>0.46700000000000003</v>
      </c>
      <c r="AW48" s="18">
        <v>0.66300000000000003</v>
      </c>
      <c r="AX48" s="18">
        <v>0.43</v>
      </c>
      <c r="AY48" s="18">
        <v>1.0009999999999999</v>
      </c>
      <c r="AZ48" s="18">
        <v>0.66200000000000003</v>
      </c>
      <c r="BA48" s="18">
        <v>0.41199999999999998</v>
      </c>
      <c r="BB48" s="18">
        <v>0.55300000000000005</v>
      </c>
      <c r="BC48" s="18">
        <v>0.503</v>
      </c>
      <c r="BD48" s="18">
        <v>0.498</v>
      </c>
      <c r="BE48" s="18">
        <v>9.8000000000000004E-2</v>
      </c>
      <c r="BF48" s="18">
        <v>0.68100000000000005</v>
      </c>
      <c r="BG48" s="18">
        <v>1.002</v>
      </c>
      <c r="BH48" s="18">
        <v>8.3000000000000004E-2</v>
      </c>
      <c r="BI48" s="18">
        <v>0.36099999999999999</v>
      </c>
      <c r="BJ48" s="18">
        <v>0.126</v>
      </c>
      <c r="BK48" s="18">
        <v>0</v>
      </c>
      <c r="BL48" s="18">
        <v>0.73599999999999999</v>
      </c>
      <c r="BM48" s="18">
        <v>0.60699999999999998</v>
      </c>
      <c r="BN48" s="18">
        <v>0.495</v>
      </c>
      <c r="BO48" s="18">
        <v>0.182</v>
      </c>
      <c r="BP48" s="18">
        <v>0</v>
      </c>
      <c r="BQ48" s="18">
        <v>0.14699999999999999</v>
      </c>
      <c r="BR48" s="18">
        <v>0.40500000000000003</v>
      </c>
      <c r="BS48" s="18">
        <v>0.40699999999999997</v>
      </c>
      <c r="BT48" s="18">
        <v>9.0999999999999998E-2</v>
      </c>
      <c r="BU48" s="18">
        <v>0.19500000000000001</v>
      </c>
      <c r="BV48" s="18">
        <v>0.252</v>
      </c>
      <c r="BW48" s="18">
        <v>0.24</v>
      </c>
      <c r="BX48" s="18">
        <v>0.11700000000000001</v>
      </c>
      <c r="BY48" s="18">
        <v>0.87</v>
      </c>
      <c r="BZ48" s="18">
        <v>0.38400000000000001</v>
      </c>
      <c r="CA48" s="18">
        <v>0.38700000000000001</v>
      </c>
    </row>
    <row r="49" spans="1:79" x14ac:dyDescent="0.25">
      <c r="A49" s="8">
        <v>45</v>
      </c>
      <c r="B49" s="8">
        <v>22</v>
      </c>
      <c r="C49" s="18">
        <v>1.7250000000000001</v>
      </c>
      <c r="D49" s="18">
        <v>0.16900000000000001</v>
      </c>
      <c r="E49" s="18">
        <v>0.27300000000000002</v>
      </c>
      <c r="F49" s="18">
        <v>0.14000000000000001</v>
      </c>
      <c r="G49" s="18">
        <v>0.214</v>
      </c>
      <c r="H49" s="18">
        <v>0.16500000000000001</v>
      </c>
      <c r="I49" s="18">
        <v>0.89900000000000002</v>
      </c>
      <c r="J49" s="18">
        <v>8.2000000000000003E-2</v>
      </c>
      <c r="K49" s="18">
        <v>0.77700000000000002</v>
      </c>
      <c r="L49" s="18">
        <v>0.98299999999999998</v>
      </c>
      <c r="M49" s="18">
        <v>0.40500000000000003</v>
      </c>
      <c r="N49" s="18">
        <v>0.221</v>
      </c>
      <c r="O49" s="18">
        <v>0.46700000000000003</v>
      </c>
      <c r="P49" s="18">
        <v>0.17499999999999999</v>
      </c>
      <c r="Q49" s="18">
        <v>0.38500000000000001</v>
      </c>
      <c r="R49" s="18">
        <v>0.9</v>
      </c>
      <c r="S49" s="18">
        <v>0.73099999999999998</v>
      </c>
      <c r="T49" s="18">
        <v>0.65400000000000003</v>
      </c>
      <c r="U49" s="18">
        <v>0.32600000000000001</v>
      </c>
      <c r="V49" s="18">
        <v>0.93400000000000005</v>
      </c>
      <c r="W49" s="18">
        <v>5.8000000000000003E-2</v>
      </c>
      <c r="X49" s="18">
        <v>5.0999999999999997E-2</v>
      </c>
      <c r="Y49" s="18">
        <v>0.124</v>
      </c>
      <c r="Z49" s="18">
        <v>0.36399999999999999</v>
      </c>
      <c r="AA49" s="18">
        <v>0.51</v>
      </c>
      <c r="AB49" s="18">
        <v>0.96899999999999997</v>
      </c>
      <c r="AC49" s="18">
        <v>0.14899999999999999</v>
      </c>
      <c r="AD49" s="18">
        <v>0</v>
      </c>
      <c r="AE49" s="18">
        <v>0</v>
      </c>
      <c r="AF49" s="18">
        <v>0.32</v>
      </c>
      <c r="AG49" s="18">
        <v>0.85499999999999998</v>
      </c>
      <c r="AH49" s="18">
        <v>0.45300000000000001</v>
      </c>
      <c r="AI49" s="18">
        <v>0.29699999999999999</v>
      </c>
      <c r="AJ49" s="18">
        <v>0.27</v>
      </c>
      <c r="AK49" s="18">
        <v>1.359</v>
      </c>
      <c r="AL49" s="18">
        <v>5.2999999999999999E-2</v>
      </c>
      <c r="AM49" s="18">
        <v>1.0429999999999999</v>
      </c>
      <c r="AN49" s="18">
        <v>0.17499999999999999</v>
      </c>
      <c r="AO49" s="18">
        <v>0.34799999999999998</v>
      </c>
      <c r="AP49" s="18">
        <v>2.3759999999999999</v>
      </c>
      <c r="AQ49" s="18">
        <v>0.44900000000000001</v>
      </c>
      <c r="AR49" s="18">
        <v>0.55600000000000005</v>
      </c>
      <c r="AS49" s="18">
        <v>0.443</v>
      </c>
      <c r="AT49" s="18">
        <v>0.46899999999999997</v>
      </c>
      <c r="AU49" s="18">
        <v>0.24</v>
      </c>
      <c r="AV49" s="18">
        <v>0.52300000000000002</v>
      </c>
      <c r="AW49" s="18">
        <v>0.13400000000000001</v>
      </c>
      <c r="AX49" s="18">
        <v>0.41599999999999998</v>
      </c>
      <c r="AY49" s="18">
        <v>1.0269999999999999</v>
      </c>
      <c r="AZ49" s="18">
        <v>0.54200000000000004</v>
      </c>
      <c r="BA49" s="18">
        <v>0.51300000000000001</v>
      </c>
      <c r="BB49" s="18">
        <v>0.501</v>
      </c>
      <c r="BC49" s="18">
        <v>0.65800000000000003</v>
      </c>
      <c r="BD49" s="18">
        <v>0.51</v>
      </c>
      <c r="BE49" s="18">
        <v>8.4000000000000005E-2</v>
      </c>
      <c r="BF49" s="18">
        <v>7.4999999999999997E-2</v>
      </c>
      <c r="BG49" s="18">
        <v>0.05</v>
      </c>
      <c r="BH49" s="18">
        <v>0.14599999999999999</v>
      </c>
      <c r="BI49" s="18">
        <v>4.3999999999999997E-2</v>
      </c>
      <c r="BJ49" s="18">
        <v>0.21299999999999999</v>
      </c>
      <c r="BK49" s="18">
        <v>0</v>
      </c>
      <c r="BL49" s="18">
        <v>0.74299999999999999</v>
      </c>
      <c r="BM49" s="18">
        <v>0.36899999999999999</v>
      </c>
      <c r="BN49" s="18">
        <v>0.69099999999999995</v>
      </c>
      <c r="BO49" s="18">
        <v>0.38800000000000001</v>
      </c>
      <c r="BP49" s="18">
        <v>0</v>
      </c>
      <c r="BQ49" s="18">
        <v>0.51200000000000001</v>
      </c>
      <c r="BR49" s="18">
        <v>0.55200000000000005</v>
      </c>
      <c r="BS49" s="18">
        <v>0.70499999999999996</v>
      </c>
      <c r="BT49" s="18">
        <v>0.11700000000000001</v>
      </c>
      <c r="BU49" s="18">
        <v>0</v>
      </c>
      <c r="BV49" s="18">
        <v>0.43</v>
      </c>
      <c r="BW49" s="18">
        <v>0.45</v>
      </c>
      <c r="BX49" s="18">
        <v>0.16500000000000001</v>
      </c>
      <c r="BY49" s="18">
        <v>0.48</v>
      </c>
      <c r="BZ49" s="18">
        <v>0.38600000000000001</v>
      </c>
      <c r="CA49" s="18">
        <v>0.51300000000000001</v>
      </c>
    </row>
    <row r="50" spans="1:79" x14ac:dyDescent="0.25">
      <c r="A50" s="8">
        <v>46</v>
      </c>
      <c r="B50" s="8">
        <v>22.5</v>
      </c>
      <c r="C50" s="18">
        <v>0.70799999999999996</v>
      </c>
      <c r="D50" s="18">
        <v>0.04</v>
      </c>
      <c r="E50" s="18">
        <v>0.503</v>
      </c>
      <c r="F50" s="18">
        <v>5.7000000000000002E-2</v>
      </c>
      <c r="G50" s="18">
        <v>5.5E-2</v>
      </c>
      <c r="H50" s="18">
        <v>0</v>
      </c>
      <c r="I50" s="18">
        <v>0.67600000000000005</v>
      </c>
      <c r="J50" s="18">
        <v>0.26900000000000002</v>
      </c>
      <c r="K50" s="18">
        <v>0.54500000000000004</v>
      </c>
      <c r="L50" s="18">
        <v>0</v>
      </c>
      <c r="M50" s="18">
        <v>0.32300000000000001</v>
      </c>
      <c r="N50" s="18">
        <v>0.186</v>
      </c>
      <c r="O50" s="18">
        <v>0.76200000000000001</v>
      </c>
      <c r="P50" s="18">
        <v>0.13200000000000001</v>
      </c>
      <c r="Q50" s="18">
        <v>0.40100000000000002</v>
      </c>
      <c r="R50" s="18">
        <v>8.3000000000000004E-2</v>
      </c>
      <c r="S50" s="18">
        <v>0.55000000000000004</v>
      </c>
      <c r="T50" s="18">
        <v>0.82499999999999996</v>
      </c>
      <c r="U50" s="18">
        <v>0.26600000000000001</v>
      </c>
      <c r="V50" s="18">
        <v>0.13700000000000001</v>
      </c>
      <c r="W50" s="18">
        <v>0.30599999999999999</v>
      </c>
      <c r="X50" s="18">
        <v>0.108</v>
      </c>
      <c r="Y50" s="18">
        <v>0.70199999999999996</v>
      </c>
      <c r="Z50" s="18">
        <v>0.25900000000000001</v>
      </c>
      <c r="AA50" s="18">
        <v>0.31900000000000001</v>
      </c>
      <c r="AB50" s="18">
        <v>0.69</v>
      </c>
      <c r="AC50" s="18">
        <v>5.5E-2</v>
      </c>
      <c r="AD50" s="18">
        <v>0</v>
      </c>
      <c r="AE50" s="18">
        <v>0</v>
      </c>
      <c r="AF50" s="18">
        <v>0.66500000000000004</v>
      </c>
      <c r="AG50" s="18">
        <v>0.60499999999999998</v>
      </c>
      <c r="AH50" s="18">
        <v>0.40899999999999997</v>
      </c>
      <c r="AI50" s="18">
        <v>0.40799999999999997</v>
      </c>
      <c r="AJ50" s="18">
        <v>0.25</v>
      </c>
      <c r="AK50" s="18">
        <v>0.57299999999999995</v>
      </c>
      <c r="AL50" s="18">
        <v>0.308</v>
      </c>
      <c r="AM50" s="18">
        <v>1.2749999999999999</v>
      </c>
      <c r="AN50" s="18">
        <v>8.2000000000000003E-2</v>
      </c>
      <c r="AO50" s="18">
        <v>0.32200000000000001</v>
      </c>
      <c r="AP50" s="18">
        <v>0</v>
      </c>
      <c r="AQ50" s="18">
        <v>0.23</v>
      </c>
      <c r="AR50" s="18">
        <v>0.40799999999999997</v>
      </c>
      <c r="AS50" s="18">
        <v>0.45400000000000001</v>
      </c>
      <c r="AT50" s="18">
        <v>0.17</v>
      </c>
      <c r="AU50" s="18">
        <v>0.24199999999999999</v>
      </c>
      <c r="AV50" s="18">
        <v>0.50700000000000001</v>
      </c>
      <c r="AW50" s="18">
        <v>0.25800000000000001</v>
      </c>
      <c r="AX50" s="18">
        <v>0.03</v>
      </c>
      <c r="AY50" s="18">
        <v>1.9570000000000001</v>
      </c>
      <c r="AZ50" s="18">
        <v>0.41199999999999998</v>
      </c>
      <c r="BA50" s="18">
        <v>0.438</v>
      </c>
      <c r="BB50" s="18">
        <v>0.81799999999999995</v>
      </c>
      <c r="BC50" s="18">
        <v>0.51200000000000001</v>
      </c>
      <c r="BD50" s="18">
        <v>0.20799999999999999</v>
      </c>
      <c r="BE50" s="18">
        <v>5.8000000000000003E-2</v>
      </c>
      <c r="BF50" s="18">
        <v>0.52700000000000002</v>
      </c>
      <c r="BG50" s="18">
        <v>0.23799999999999999</v>
      </c>
      <c r="BH50" s="18">
        <v>0.248</v>
      </c>
      <c r="BI50" s="18">
        <v>0.122</v>
      </c>
      <c r="BJ50" s="18">
        <v>5.2999999999999999E-2</v>
      </c>
      <c r="BK50" s="18">
        <v>0</v>
      </c>
      <c r="BL50" s="18">
        <v>0.79300000000000004</v>
      </c>
      <c r="BM50" s="18">
        <v>5.7000000000000002E-2</v>
      </c>
      <c r="BN50" s="18">
        <v>0.50900000000000001</v>
      </c>
      <c r="BO50" s="18">
        <v>0.33500000000000002</v>
      </c>
      <c r="BP50" s="18">
        <v>0</v>
      </c>
      <c r="BQ50" s="18">
        <v>0.311</v>
      </c>
      <c r="BR50" s="18">
        <v>0.54900000000000004</v>
      </c>
      <c r="BS50" s="18">
        <v>0.44900000000000001</v>
      </c>
      <c r="BT50" s="18">
        <v>7.9000000000000001E-2</v>
      </c>
      <c r="BU50" s="18">
        <v>0</v>
      </c>
      <c r="BV50" s="18">
        <v>0.33900000000000002</v>
      </c>
      <c r="BW50" s="18">
        <v>0.311</v>
      </c>
      <c r="BX50" s="18">
        <v>0.11600000000000001</v>
      </c>
      <c r="BY50" s="18">
        <v>0.47</v>
      </c>
      <c r="BZ50" s="18">
        <v>0.34899999999999998</v>
      </c>
      <c r="CA50" s="18">
        <v>0.49399999999999999</v>
      </c>
    </row>
    <row r="51" spans="1:79" x14ac:dyDescent="0.25">
      <c r="A51" s="8">
        <v>47</v>
      </c>
      <c r="B51" s="8">
        <v>23</v>
      </c>
      <c r="C51" s="18">
        <v>0.52600000000000002</v>
      </c>
      <c r="D51" s="18">
        <v>0.122</v>
      </c>
      <c r="E51" s="18">
        <v>0.45600000000000002</v>
      </c>
      <c r="F51" s="18">
        <v>5.7000000000000002E-2</v>
      </c>
      <c r="G51" s="18">
        <v>8.4000000000000005E-2</v>
      </c>
      <c r="H51" s="18">
        <v>0</v>
      </c>
      <c r="I51" s="18">
        <v>1.825</v>
      </c>
      <c r="J51" s="18">
        <v>5.0999999999999997E-2</v>
      </c>
      <c r="K51" s="18">
        <v>0.219</v>
      </c>
      <c r="L51" s="18">
        <v>0</v>
      </c>
      <c r="M51" s="18">
        <v>0.59399999999999997</v>
      </c>
      <c r="N51" s="18">
        <v>0.39400000000000002</v>
      </c>
      <c r="O51" s="18">
        <v>0.317</v>
      </c>
      <c r="P51" s="18">
        <v>0.27100000000000002</v>
      </c>
      <c r="Q51" s="18">
        <v>0.441</v>
      </c>
      <c r="R51" s="18">
        <v>0</v>
      </c>
      <c r="S51" s="18">
        <v>0.442</v>
      </c>
      <c r="T51" s="18">
        <v>0.82599999999999996</v>
      </c>
      <c r="U51" s="18">
        <v>0.36199999999999999</v>
      </c>
      <c r="V51" s="18">
        <v>0.151</v>
      </c>
      <c r="W51" s="18">
        <v>0.151</v>
      </c>
      <c r="X51" s="18">
        <v>0.109</v>
      </c>
      <c r="Y51" s="18">
        <v>0.41399999999999998</v>
      </c>
      <c r="Z51" s="18">
        <v>5.5E-2</v>
      </c>
      <c r="AA51" s="18">
        <v>0.14199999999999999</v>
      </c>
      <c r="AB51" s="18">
        <v>1.179</v>
      </c>
      <c r="AC51" s="18">
        <v>6.6000000000000003E-2</v>
      </c>
      <c r="AD51" s="18">
        <v>0</v>
      </c>
      <c r="AE51" s="18">
        <v>0</v>
      </c>
      <c r="AF51" s="18">
        <v>5.3999999999999999E-2</v>
      </c>
      <c r="AG51" s="18">
        <v>0.151</v>
      </c>
      <c r="AH51" s="18">
        <v>0.312</v>
      </c>
      <c r="AI51" s="18">
        <v>0.14099999999999999</v>
      </c>
      <c r="AJ51" s="18">
        <v>0.17899999999999999</v>
      </c>
      <c r="AK51" s="18">
        <v>0.11899999999999999</v>
      </c>
      <c r="AL51" s="18">
        <v>0.17299999999999999</v>
      </c>
      <c r="AM51" s="18">
        <v>0.35299999999999998</v>
      </c>
      <c r="AN51" s="18">
        <v>5.8999999999999997E-2</v>
      </c>
      <c r="AO51" s="18">
        <v>0.61399999999999999</v>
      </c>
      <c r="AP51" s="18">
        <v>0</v>
      </c>
      <c r="AQ51" s="18">
        <v>5.2999999999999999E-2</v>
      </c>
      <c r="AR51" s="18">
        <v>0.20100000000000001</v>
      </c>
      <c r="AS51" s="18">
        <v>0.36</v>
      </c>
      <c r="AT51" s="18">
        <v>0.19700000000000001</v>
      </c>
      <c r="AU51" s="18">
        <v>0.25900000000000001</v>
      </c>
      <c r="AV51" s="18">
        <v>0.155</v>
      </c>
      <c r="AW51" s="18">
        <v>0.27400000000000002</v>
      </c>
      <c r="AX51" s="18">
        <v>0.03</v>
      </c>
      <c r="AY51" s="18">
        <v>0.57399999999999995</v>
      </c>
      <c r="AZ51" s="18">
        <v>5.8000000000000003E-2</v>
      </c>
      <c r="BA51" s="18">
        <v>0.17599999999999999</v>
      </c>
      <c r="BB51" s="18">
        <v>0.89300000000000002</v>
      </c>
      <c r="BC51" s="18">
        <v>0.34499999999999997</v>
      </c>
      <c r="BD51" s="18">
        <v>0.14399999999999999</v>
      </c>
      <c r="BE51" s="18">
        <v>5.8000000000000003E-2</v>
      </c>
      <c r="BF51" s="18">
        <v>0.35599999999999998</v>
      </c>
      <c r="BG51" s="18">
        <v>0.11899999999999999</v>
      </c>
      <c r="BH51" s="18">
        <v>5.5E-2</v>
      </c>
      <c r="BI51" s="18">
        <v>4.3999999999999997E-2</v>
      </c>
      <c r="BJ51" s="18">
        <v>0.09</v>
      </c>
      <c r="BK51" s="18">
        <v>0</v>
      </c>
      <c r="BL51" s="18">
        <v>0.93200000000000005</v>
      </c>
      <c r="BM51" s="18">
        <v>0.224</v>
      </c>
      <c r="BN51" s="18">
        <v>0.13</v>
      </c>
      <c r="BO51" s="18">
        <v>4.1000000000000002E-2</v>
      </c>
      <c r="BP51" s="18">
        <v>0</v>
      </c>
      <c r="BQ51" s="18">
        <v>0.88300000000000001</v>
      </c>
      <c r="BR51" s="18">
        <v>0.40699999999999997</v>
      </c>
      <c r="BS51" s="18">
        <v>0.36399999999999999</v>
      </c>
      <c r="BT51" s="18">
        <v>0.51100000000000001</v>
      </c>
      <c r="BU51" s="18">
        <v>0</v>
      </c>
      <c r="BV51" s="18">
        <v>0.4</v>
      </c>
      <c r="BW51" s="18">
        <v>0.36799999999999999</v>
      </c>
      <c r="BX51" s="18">
        <v>0.221</v>
      </c>
      <c r="BY51" s="18">
        <v>0.45200000000000001</v>
      </c>
      <c r="BZ51" s="18">
        <v>0.22</v>
      </c>
      <c r="CA51" s="18">
        <v>0.67300000000000004</v>
      </c>
    </row>
    <row r="52" spans="1:79" x14ac:dyDescent="0.25">
      <c r="A52" s="8">
        <v>48</v>
      </c>
      <c r="B52" s="8">
        <v>23.5</v>
      </c>
      <c r="C52" s="18">
        <v>0.53200000000000003</v>
      </c>
      <c r="D52" s="18">
        <v>0.108</v>
      </c>
      <c r="E52" s="18">
        <v>0.311</v>
      </c>
      <c r="F52" s="18">
        <v>0.14000000000000001</v>
      </c>
      <c r="G52" s="18">
        <v>0.185</v>
      </c>
      <c r="H52" s="18">
        <v>0</v>
      </c>
      <c r="I52" s="18">
        <v>0.128</v>
      </c>
      <c r="J52" s="18">
        <v>0.23100000000000001</v>
      </c>
      <c r="K52" s="18">
        <v>5.5E-2</v>
      </c>
      <c r="L52" s="18">
        <v>0</v>
      </c>
      <c r="M52" s="18">
        <v>0.504</v>
      </c>
      <c r="N52" s="18">
        <v>0.03</v>
      </c>
      <c r="O52" s="18">
        <v>0.434</v>
      </c>
      <c r="P52" s="18">
        <v>6.8000000000000005E-2</v>
      </c>
      <c r="Q52" s="18">
        <v>0</v>
      </c>
      <c r="R52" s="18">
        <v>0</v>
      </c>
      <c r="S52" s="18">
        <v>0.61599999999999999</v>
      </c>
      <c r="T52" s="18">
        <v>0.64700000000000002</v>
      </c>
      <c r="U52" s="18">
        <v>0.55700000000000005</v>
      </c>
      <c r="V52" s="18">
        <v>0.187</v>
      </c>
      <c r="W52" s="18">
        <v>6.2E-2</v>
      </c>
      <c r="X52" s="18">
        <v>0.16700000000000001</v>
      </c>
      <c r="Y52" s="18">
        <v>0.34100000000000003</v>
      </c>
      <c r="Z52" s="18">
        <v>5.5E-2</v>
      </c>
      <c r="AA52" s="18">
        <v>5.8000000000000003E-2</v>
      </c>
      <c r="AB52" s="18">
        <v>0.70399999999999996</v>
      </c>
      <c r="AC52" s="18">
        <v>0.13800000000000001</v>
      </c>
      <c r="AD52" s="18">
        <v>0</v>
      </c>
      <c r="AE52" s="18">
        <v>0</v>
      </c>
      <c r="AF52" s="18">
        <v>5.3999999999999999E-2</v>
      </c>
      <c r="AG52" s="18">
        <v>0.16500000000000001</v>
      </c>
      <c r="AH52" s="18">
        <v>0.11799999999999999</v>
      </c>
      <c r="AI52" s="18">
        <v>0.14199999999999999</v>
      </c>
      <c r="AJ52" s="18">
        <v>0.10199999999999999</v>
      </c>
      <c r="AK52" s="18">
        <v>0</v>
      </c>
      <c r="AL52" s="18">
        <v>4.8000000000000001E-2</v>
      </c>
      <c r="AM52" s="18">
        <v>0</v>
      </c>
      <c r="AN52" s="18">
        <v>5.8999999999999997E-2</v>
      </c>
      <c r="AO52" s="18">
        <v>0.442</v>
      </c>
      <c r="AP52" s="18">
        <v>0</v>
      </c>
      <c r="AQ52" s="18">
        <v>0.13100000000000001</v>
      </c>
      <c r="AR52" s="18">
        <v>4.5999999999999999E-2</v>
      </c>
      <c r="AS52" s="18">
        <v>0.33700000000000002</v>
      </c>
      <c r="AT52" s="18">
        <v>3.6999999999999998E-2</v>
      </c>
      <c r="AU52" s="18">
        <v>0.28499999999999998</v>
      </c>
      <c r="AV52" s="18">
        <v>0.16200000000000001</v>
      </c>
      <c r="AW52" s="18">
        <v>9.1999999999999998E-2</v>
      </c>
      <c r="AX52" s="18">
        <v>0.03</v>
      </c>
      <c r="AY52" s="18">
        <v>0.81399999999999995</v>
      </c>
      <c r="AZ52" s="18">
        <v>0.191</v>
      </c>
      <c r="BA52" s="18">
        <v>7.0000000000000007E-2</v>
      </c>
      <c r="BB52" s="18">
        <v>1.4330000000000001</v>
      </c>
      <c r="BC52" s="18">
        <v>0.28899999999999998</v>
      </c>
      <c r="BD52" s="18">
        <v>0.27500000000000002</v>
      </c>
      <c r="BE52" s="18">
        <v>0.124</v>
      </c>
      <c r="BF52" s="18">
        <v>9.9000000000000005E-2</v>
      </c>
      <c r="BG52" s="18">
        <v>7.5999999999999998E-2</v>
      </c>
      <c r="BH52" s="18">
        <v>0.11799999999999999</v>
      </c>
      <c r="BI52" s="18">
        <v>4.3999999999999997E-2</v>
      </c>
      <c r="BJ52" s="18">
        <v>0.249</v>
      </c>
      <c r="BK52" s="18">
        <v>0</v>
      </c>
      <c r="BL52" s="18">
        <v>0.223</v>
      </c>
      <c r="BM52" s="18">
        <v>5.7000000000000002E-2</v>
      </c>
      <c r="BN52" s="18">
        <v>9.5000000000000001E-2</v>
      </c>
      <c r="BO52" s="18">
        <v>0.151</v>
      </c>
      <c r="BP52" s="18">
        <v>0</v>
      </c>
      <c r="BQ52" s="18">
        <v>0.75700000000000001</v>
      </c>
      <c r="BR52" s="18">
        <v>0.20599999999999999</v>
      </c>
      <c r="BS52" s="18">
        <v>0.20499999999999999</v>
      </c>
      <c r="BT52" s="18">
        <v>0.42299999999999999</v>
      </c>
      <c r="BU52" s="18">
        <v>0</v>
      </c>
      <c r="BV52" s="18">
        <v>0.40699999999999997</v>
      </c>
      <c r="BW52" s="18">
        <v>0.624</v>
      </c>
      <c r="BX52" s="18">
        <v>5.1999999999999998E-2</v>
      </c>
      <c r="BY52" s="18">
        <v>0.67800000000000005</v>
      </c>
      <c r="BZ52" s="18">
        <v>4.3999999999999997E-2</v>
      </c>
      <c r="CA52" s="18">
        <v>0.51300000000000001</v>
      </c>
    </row>
  </sheetData>
  <mergeCells count="1"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6"/>
  <sheetViews>
    <sheetView showGridLines="0" workbookViewId="0">
      <pane xSplit="2" ySplit="4" topLeftCell="C14" activePane="bottomRight" state="frozen"/>
      <selection pane="topRight"/>
      <selection pane="bottomLeft"/>
      <selection pane="bottomRight" activeCell="P18" sqref="P18"/>
    </sheetView>
  </sheetViews>
  <sheetFormatPr defaultRowHeight="15" x14ac:dyDescent="0.25"/>
  <cols>
    <col min="1" max="1" width="8.140625" customWidth="1"/>
    <col min="2" max="2" width="9.140625" bestFit="1" customWidth="1"/>
    <col min="3" max="3" width="9" customWidth="1"/>
    <col min="4" max="6" width="11" customWidth="1"/>
    <col min="7" max="7" width="12.42578125" bestFit="1" customWidth="1"/>
    <col min="8" max="13" width="11" customWidth="1"/>
  </cols>
  <sheetData>
    <row r="1" spans="1:13" ht="19.5" x14ac:dyDescent="0.3">
      <c r="A1" s="1" t="s">
        <v>456</v>
      </c>
    </row>
    <row r="2" spans="1:13" x14ac:dyDescent="0.25">
      <c r="A2" s="29" t="s">
        <v>457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4" spans="1:13" ht="30" customHeight="1" x14ac:dyDescent="0.25">
      <c r="A4" s="5" t="s">
        <v>375</v>
      </c>
      <c r="B4" s="5" t="s">
        <v>458</v>
      </c>
      <c r="C4" s="5" t="s">
        <v>459</v>
      </c>
      <c r="D4" s="5" t="s">
        <v>460</v>
      </c>
      <c r="E4" s="5" t="s">
        <v>461</v>
      </c>
      <c r="F4" s="5" t="s">
        <v>462</v>
      </c>
      <c r="G4" s="5" t="s">
        <v>463</v>
      </c>
      <c r="H4" s="5" t="s">
        <v>464</v>
      </c>
      <c r="I4" s="5" t="s">
        <v>465</v>
      </c>
      <c r="J4" s="5" t="s">
        <v>466</v>
      </c>
      <c r="K4" s="5" t="s">
        <v>467</v>
      </c>
      <c r="L4" s="5" t="s">
        <v>468</v>
      </c>
      <c r="M4" s="5" t="s">
        <v>469</v>
      </c>
    </row>
    <row r="5" spans="1:13" x14ac:dyDescent="0.25">
      <c r="A5" s="8">
        <v>1</v>
      </c>
      <c r="B5" s="19">
        <v>0</v>
      </c>
      <c r="C5" s="20">
        <f>SUM('3. Raw PV per load'!C5:C136)</f>
        <v>0</v>
      </c>
      <c r="D5" s="20">
        <f>SUMIF('4. Raw load per load'!$B$5:$B$136,"prosumer",'4. Raw load per load'!C5:C136)</f>
        <v>21.071499999999993</v>
      </c>
      <c r="E5" s="20">
        <f>SUMIF('4. Raw load per load'!$B$5:$B$136,"customer",'4. Raw load per load'!C5:C136)</f>
        <v>7.8510000000000018</v>
      </c>
      <c r="F5" s="20">
        <f>SUM('5. Raw batt charge'!C5:CA5)</f>
        <v>0</v>
      </c>
      <c r="G5" s="20">
        <f>SUM('6. Raw batt discharge'!C5:CA5)</f>
        <v>21.022999999999993</v>
      </c>
      <c r="H5" s="21">
        <f t="shared" ref="H5:H52" si="0">F5-G5</f>
        <v>-21.022999999999993</v>
      </c>
      <c r="I5" s="21">
        <f t="shared" ref="I5:I52" si="1">MIN(C5,D5)</f>
        <v>0</v>
      </c>
      <c r="J5" s="21">
        <f t="shared" ref="J5:J52" si="2">MIN(C5-I5,MAX(0,H5))</f>
        <v>0</v>
      </c>
      <c r="K5" s="21">
        <f t="shared" ref="K5:K52" si="3">MIN(C5-I5-J5,E5)</f>
        <v>0</v>
      </c>
      <c r="L5" s="21">
        <f t="shared" ref="L5:L52" si="4">C5-I5-J5-K5</f>
        <v>0</v>
      </c>
      <c r="M5" s="21">
        <f t="shared" ref="M5:M52" si="5">E5-K5</f>
        <v>7.8510000000000018</v>
      </c>
    </row>
    <row r="6" spans="1:13" x14ac:dyDescent="0.25">
      <c r="A6" s="8">
        <v>2</v>
      </c>
      <c r="B6" s="19">
        <v>0.5</v>
      </c>
      <c r="C6" s="20">
        <f>SUM('3. Raw PV per load'!D5:D136)</f>
        <v>0</v>
      </c>
      <c r="D6" s="20">
        <f>SUMIF('4. Raw load per load'!$B$5:$B$136,"prosumer",'4. Raw load per load'!D5:D136)</f>
        <v>13.7</v>
      </c>
      <c r="E6" s="20">
        <f>SUMIF('4. Raw load per load'!$B$5:$B$136,"customer",'4. Raw load per load'!D5:D136)</f>
        <v>6.5979000000000019</v>
      </c>
      <c r="F6" s="20">
        <f>SUM('5. Raw batt charge'!C6:CA6)</f>
        <v>0</v>
      </c>
      <c r="G6" s="20">
        <f>SUM('6. Raw batt discharge'!C6:CA6)</f>
        <v>13.551999999999996</v>
      </c>
      <c r="H6" s="21">
        <f t="shared" si="0"/>
        <v>-13.551999999999996</v>
      </c>
      <c r="I6" s="21">
        <f t="shared" si="1"/>
        <v>0</v>
      </c>
      <c r="J6" s="21">
        <f t="shared" si="2"/>
        <v>0</v>
      </c>
      <c r="K6" s="21">
        <f t="shared" si="3"/>
        <v>0</v>
      </c>
      <c r="L6" s="21">
        <f t="shared" si="4"/>
        <v>0</v>
      </c>
      <c r="M6" s="21">
        <f t="shared" si="5"/>
        <v>6.5979000000000019</v>
      </c>
    </row>
    <row r="7" spans="1:13" x14ac:dyDescent="0.25">
      <c r="A7" s="8">
        <v>3</v>
      </c>
      <c r="B7" s="19">
        <v>1</v>
      </c>
      <c r="C7" s="20">
        <f>SUM('3. Raw PV per load'!E5:E136)</f>
        <v>0</v>
      </c>
      <c r="D7" s="20">
        <f>SUMIF('4. Raw load per load'!$B$5:$B$136,"prosumer",'4. Raw load per load'!E5:E136)</f>
        <v>9.6827000000000023</v>
      </c>
      <c r="E7" s="20">
        <f>SUMIF('4. Raw load per load'!$B$5:$B$136,"customer",'4. Raw load per load'!E5:E136)</f>
        <v>5.4129000000000005</v>
      </c>
      <c r="F7" s="20">
        <f>SUM('5. Raw batt charge'!C7:CA7)</f>
        <v>0</v>
      </c>
      <c r="G7" s="20">
        <f>SUM('6. Raw batt discharge'!C7:CA7)</f>
        <v>9.5489999999999995</v>
      </c>
      <c r="H7" s="21">
        <f t="shared" si="0"/>
        <v>-9.5489999999999995</v>
      </c>
      <c r="I7" s="21">
        <f t="shared" si="1"/>
        <v>0</v>
      </c>
      <c r="J7" s="21">
        <f t="shared" si="2"/>
        <v>0</v>
      </c>
      <c r="K7" s="21">
        <f t="shared" si="3"/>
        <v>0</v>
      </c>
      <c r="L7" s="21">
        <f t="shared" si="4"/>
        <v>0</v>
      </c>
      <c r="M7" s="21">
        <f t="shared" si="5"/>
        <v>5.4129000000000005</v>
      </c>
    </row>
    <row r="8" spans="1:13" x14ac:dyDescent="0.25">
      <c r="A8" s="8">
        <v>4</v>
      </c>
      <c r="B8" s="19">
        <v>1.5</v>
      </c>
      <c r="C8" s="20">
        <f>SUM('3. Raw PV per load'!F5:F136)</f>
        <v>0</v>
      </c>
      <c r="D8" s="20">
        <f>SUMIF('4. Raw load per load'!$B$5:$B$136,"prosumer",'4. Raw load per load'!F5:F136)</f>
        <v>10.9238</v>
      </c>
      <c r="E8" s="20">
        <f>SUMIF('4. Raw load per load'!$B$5:$B$136,"customer",'4. Raw load per load'!F5:F136)</f>
        <v>7.0901999999999994</v>
      </c>
      <c r="F8" s="20">
        <f>SUM('5. Raw batt charge'!C8:CA8)</f>
        <v>0</v>
      </c>
      <c r="G8" s="20">
        <f>SUM('6. Raw batt discharge'!C8:CA8)</f>
        <v>10.721999999999998</v>
      </c>
      <c r="H8" s="21">
        <f t="shared" si="0"/>
        <v>-10.721999999999998</v>
      </c>
      <c r="I8" s="21">
        <f t="shared" si="1"/>
        <v>0</v>
      </c>
      <c r="J8" s="21">
        <f t="shared" si="2"/>
        <v>0</v>
      </c>
      <c r="K8" s="21">
        <f t="shared" si="3"/>
        <v>0</v>
      </c>
      <c r="L8" s="21">
        <f t="shared" si="4"/>
        <v>0</v>
      </c>
      <c r="M8" s="21">
        <f t="shared" si="5"/>
        <v>7.0901999999999994</v>
      </c>
    </row>
    <row r="9" spans="1:13" x14ac:dyDescent="0.25">
      <c r="A9" s="8">
        <v>5</v>
      </c>
      <c r="B9" s="19">
        <v>2</v>
      </c>
      <c r="C9" s="20">
        <f>SUM('3. Raw PV per load'!G5:G136)</f>
        <v>0</v>
      </c>
      <c r="D9" s="20">
        <f>SUMIF('4. Raw load per load'!$B$5:$B$136,"prosumer",'4. Raw load per load'!G5:G136)</f>
        <v>8.1914999999999978</v>
      </c>
      <c r="E9" s="20">
        <f>SUMIF('4. Raw load per load'!$B$5:$B$136,"customer",'4. Raw load per load'!G5:G136)</f>
        <v>5.8701000000000008</v>
      </c>
      <c r="F9" s="20">
        <f>SUM('5. Raw batt charge'!C9:CA9)</f>
        <v>0</v>
      </c>
      <c r="G9" s="20">
        <f>SUM('6. Raw batt discharge'!C9:CA9)</f>
        <v>7.8219999999999992</v>
      </c>
      <c r="H9" s="21">
        <f t="shared" si="0"/>
        <v>-7.8219999999999992</v>
      </c>
      <c r="I9" s="21">
        <f t="shared" si="1"/>
        <v>0</v>
      </c>
      <c r="J9" s="21">
        <f t="shared" si="2"/>
        <v>0</v>
      </c>
      <c r="K9" s="21">
        <f t="shared" si="3"/>
        <v>0</v>
      </c>
      <c r="L9" s="21">
        <f t="shared" si="4"/>
        <v>0</v>
      </c>
      <c r="M9" s="21">
        <f t="shared" si="5"/>
        <v>5.8701000000000008</v>
      </c>
    </row>
    <row r="10" spans="1:13" x14ac:dyDescent="0.25">
      <c r="A10" s="8">
        <v>6</v>
      </c>
      <c r="B10" s="19">
        <v>2.5</v>
      </c>
      <c r="C10" s="20">
        <f>SUM('3. Raw PV per load'!H5:H136)</f>
        <v>0</v>
      </c>
      <c r="D10" s="20">
        <f>SUMIF('4. Raw load per load'!$B$5:$B$136,"prosumer",'4. Raw load per load'!H5:H136)</f>
        <v>9.5869</v>
      </c>
      <c r="E10" s="20">
        <f>SUMIF('4. Raw load per load'!$B$5:$B$136,"customer",'4. Raw load per load'!H5:H136)</f>
        <v>5.9722999999999997</v>
      </c>
      <c r="F10" s="20">
        <f>SUM('5. Raw batt charge'!C10:CA10)</f>
        <v>0</v>
      </c>
      <c r="G10" s="20">
        <f>SUM('6. Raw batt discharge'!C10:CA10)</f>
        <v>9.3339999999999979</v>
      </c>
      <c r="H10" s="21">
        <f t="shared" si="0"/>
        <v>-9.3339999999999979</v>
      </c>
      <c r="I10" s="21">
        <f t="shared" si="1"/>
        <v>0</v>
      </c>
      <c r="J10" s="21">
        <f t="shared" si="2"/>
        <v>0</v>
      </c>
      <c r="K10" s="21">
        <f t="shared" si="3"/>
        <v>0</v>
      </c>
      <c r="L10" s="21">
        <f t="shared" si="4"/>
        <v>0</v>
      </c>
      <c r="M10" s="21">
        <f t="shared" si="5"/>
        <v>5.9722999999999997</v>
      </c>
    </row>
    <row r="11" spans="1:13" x14ac:dyDescent="0.25">
      <c r="A11" s="8">
        <v>7</v>
      </c>
      <c r="B11" s="19">
        <v>3</v>
      </c>
      <c r="C11" s="20">
        <f>SUM('3. Raw PV per load'!I5:I136)</f>
        <v>0</v>
      </c>
      <c r="D11" s="20">
        <f>SUMIF('4. Raw load per load'!$B$5:$B$136,"prosumer",'4. Raw load per load'!I5:I136)</f>
        <v>10.167599999999998</v>
      </c>
      <c r="E11" s="20">
        <f>SUMIF('4. Raw load per load'!$B$5:$B$136,"customer",'4. Raw load per load'!I5:I136)</f>
        <v>6.1997000000000009</v>
      </c>
      <c r="F11" s="20">
        <f>SUM('5. Raw batt charge'!C11:CA11)</f>
        <v>0</v>
      </c>
      <c r="G11" s="20">
        <f>SUM('6. Raw batt discharge'!C11:CA11)</f>
        <v>9.7359999999999953</v>
      </c>
      <c r="H11" s="21">
        <f t="shared" si="0"/>
        <v>-9.7359999999999953</v>
      </c>
      <c r="I11" s="21">
        <f t="shared" si="1"/>
        <v>0</v>
      </c>
      <c r="J11" s="21">
        <f t="shared" si="2"/>
        <v>0</v>
      </c>
      <c r="K11" s="21">
        <f t="shared" si="3"/>
        <v>0</v>
      </c>
      <c r="L11" s="21">
        <f t="shared" si="4"/>
        <v>0</v>
      </c>
      <c r="M11" s="21">
        <f t="shared" si="5"/>
        <v>6.1997000000000009</v>
      </c>
    </row>
    <row r="12" spans="1:13" x14ac:dyDescent="0.25">
      <c r="A12" s="8">
        <v>8</v>
      </c>
      <c r="B12" s="19">
        <v>3.5</v>
      </c>
      <c r="C12" s="20">
        <f>SUM('3. Raw PV per load'!J5:J136)</f>
        <v>0.19129999999999989</v>
      </c>
      <c r="D12" s="20">
        <f>SUMIF('4. Raw load per load'!$B$5:$B$136,"prosumer",'4. Raw load per load'!J5:J136)</f>
        <v>7.875</v>
      </c>
      <c r="E12" s="20">
        <f>SUMIF('4. Raw load per load'!$B$5:$B$136,"customer",'4. Raw load per load'!J5:J136)</f>
        <v>6.9557000000000029</v>
      </c>
      <c r="F12" s="20">
        <f>SUM('5. Raw batt charge'!C12:CA12)</f>
        <v>0</v>
      </c>
      <c r="G12" s="20">
        <f>SUM('6. Raw batt discharge'!C12:CA12)</f>
        <v>7.2699999999999987</v>
      </c>
      <c r="H12" s="21">
        <f t="shared" si="0"/>
        <v>-7.2699999999999987</v>
      </c>
      <c r="I12" s="21">
        <f t="shared" si="1"/>
        <v>0.19129999999999989</v>
      </c>
      <c r="J12" s="21">
        <f t="shared" si="2"/>
        <v>0</v>
      </c>
      <c r="K12" s="21">
        <f t="shared" si="3"/>
        <v>0</v>
      </c>
      <c r="L12" s="21">
        <f t="shared" si="4"/>
        <v>0</v>
      </c>
      <c r="M12" s="21">
        <f t="shared" si="5"/>
        <v>6.9557000000000029</v>
      </c>
    </row>
    <row r="13" spans="1:13" x14ac:dyDescent="0.25">
      <c r="A13" s="8">
        <v>9</v>
      </c>
      <c r="B13" s="19">
        <v>4</v>
      </c>
      <c r="C13" s="20">
        <f>SUM('3. Raw PV per load'!K5:K136)</f>
        <v>2.7665000000000002</v>
      </c>
      <c r="D13" s="20">
        <f>SUMIF('4. Raw load per load'!$B$5:$B$136,"prosumer",'4. Raw load per load'!K5:K136)</f>
        <v>10.001899999999999</v>
      </c>
      <c r="E13" s="20">
        <f>SUMIF('4. Raw load per load'!$B$5:$B$136,"customer",'4. Raw load per load'!K5:K136)</f>
        <v>5.9338000000000024</v>
      </c>
      <c r="F13" s="20">
        <f>SUM('5. Raw batt charge'!C13:CA13)</f>
        <v>4.0000000000000001E-3</v>
      </c>
      <c r="G13" s="20">
        <f>SUM('6. Raw batt discharge'!C13:CA13)</f>
        <v>6.7422999999999949</v>
      </c>
      <c r="H13" s="21">
        <f t="shared" si="0"/>
        <v>-6.7382999999999953</v>
      </c>
      <c r="I13" s="21">
        <f t="shared" si="1"/>
        <v>2.7665000000000002</v>
      </c>
      <c r="J13" s="21">
        <f t="shared" si="2"/>
        <v>0</v>
      </c>
      <c r="K13" s="21">
        <f t="shared" si="3"/>
        <v>0</v>
      </c>
      <c r="L13" s="21">
        <f t="shared" si="4"/>
        <v>0</v>
      </c>
      <c r="M13" s="21">
        <f t="shared" si="5"/>
        <v>5.9338000000000024</v>
      </c>
    </row>
    <row r="14" spans="1:13" x14ac:dyDescent="0.25">
      <c r="A14" s="8">
        <v>10</v>
      </c>
      <c r="B14" s="19">
        <v>4.5</v>
      </c>
      <c r="C14" s="20">
        <f>SUM('3. Raw PV per load'!L5:L136)</f>
        <v>12.937800000000003</v>
      </c>
      <c r="D14" s="20">
        <f>SUMIF('4. Raw load per load'!$B$5:$B$136,"prosumer",'4. Raw load per load'!L5:L136)</f>
        <v>8.9886999999999997</v>
      </c>
      <c r="E14" s="20">
        <f>SUMIF('4. Raw load per load'!$B$5:$B$136,"customer",'4. Raw load per load'!L5:L136)</f>
        <v>6.8415000000000008</v>
      </c>
      <c r="F14" s="20">
        <f>SUM('5. Raw batt charge'!C14:CA14)</f>
        <v>5.7099999999999973</v>
      </c>
      <c r="G14" s="20">
        <f>SUM('6. Raw batt discharge'!C14:CA14)</f>
        <v>1.764</v>
      </c>
      <c r="H14" s="21">
        <f t="shared" si="0"/>
        <v>3.9459999999999971</v>
      </c>
      <c r="I14" s="21">
        <f t="shared" si="1"/>
        <v>8.9886999999999997</v>
      </c>
      <c r="J14" s="21">
        <f t="shared" si="2"/>
        <v>3.9459999999999971</v>
      </c>
      <c r="K14" s="21">
        <f t="shared" si="3"/>
        <v>3.1000000000060979E-3</v>
      </c>
      <c r="L14" s="21">
        <f t="shared" si="4"/>
        <v>0</v>
      </c>
      <c r="M14" s="21">
        <f t="shared" si="5"/>
        <v>6.8383999999999947</v>
      </c>
    </row>
    <row r="15" spans="1:13" x14ac:dyDescent="0.25">
      <c r="A15" s="8">
        <v>11</v>
      </c>
      <c r="B15" s="19">
        <v>5</v>
      </c>
      <c r="C15" s="20">
        <f>SUM('3. Raw PV per load'!M5:M136)</f>
        <v>25.661000000000001</v>
      </c>
      <c r="D15" s="20">
        <f>SUMIF('4. Raw load per load'!$B$5:$B$136,"prosumer",'4. Raw load per load'!M5:M136)</f>
        <v>8.3603999999999967</v>
      </c>
      <c r="E15" s="20">
        <f>SUMIF('4. Raw load per load'!$B$5:$B$136,"customer",'4. Raw load per load'!M5:M136)</f>
        <v>6.1487999999999987</v>
      </c>
      <c r="F15" s="20">
        <f>SUM('5. Raw batt charge'!C15:CA15)</f>
        <v>17.672999999999998</v>
      </c>
      <c r="G15" s="20">
        <f>SUM('6. Raw batt discharge'!C15:CA15)</f>
        <v>0.32</v>
      </c>
      <c r="H15" s="21">
        <f t="shared" si="0"/>
        <v>17.352999999999998</v>
      </c>
      <c r="I15" s="21">
        <f t="shared" si="1"/>
        <v>8.3603999999999967</v>
      </c>
      <c r="J15" s="21">
        <f t="shared" si="2"/>
        <v>17.300600000000003</v>
      </c>
      <c r="K15" s="21">
        <f t="shared" si="3"/>
        <v>0</v>
      </c>
      <c r="L15" s="21">
        <f t="shared" si="4"/>
        <v>0</v>
      </c>
      <c r="M15" s="21">
        <f t="shared" si="5"/>
        <v>6.1487999999999987</v>
      </c>
    </row>
    <row r="16" spans="1:13" x14ac:dyDescent="0.25">
      <c r="A16" s="8">
        <v>12</v>
      </c>
      <c r="B16" s="19">
        <v>5.5</v>
      </c>
      <c r="C16" s="20">
        <f>SUM('3. Raw PV per load'!N5:N136)</f>
        <v>41.266999999999996</v>
      </c>
      <c r="D16" s="20">
        <f>SUMIF('4. Raw load per load'!$B$5:$B$136,"prosumer",'4. Raw load per load'!N5:N136)</f>
        <v>9.6715999999999962</v>
      </c>
      <c r="E16" s="20">
        <f>SUMIF('4. Raw load per load'!$B$5:$B$136,"customer",'4. Raw load per load'!N5:N136)</f>
        <v>6.5477000000000007</v>
      </c>
      <c r="F16" s="20">
        <f>SUM('5. Raw batt charge'!C16:CA16)</f>
        <v>31.624000000000002</v>
      </c>
      <c r="G16" s="20">
        <f>SUM('6. Raw batt discharge'!C16:CA16)</f>
        <v>2.7E-2</v>
      </c>
      <c r="H16" s="21">
        <f t="shared" si="0"/>
        <v>31.597000000000001</v>
      </c>
      <c r="I16" s="21">
        <f t="shared" si="1"/>
        <v>9.6715999999999962</v>
      </c>
      <c r="J16" s="21">
        <f t="shared" si="2"/>
        <v>31.595399999999998</v>
      </c>
      <c r="K16" s="21">
        <f t="shared" si="3"/>
        <v>0</v>
      </c>
      <c r="L16" s="21">
        <f t="shared" si="4"/>
        <v>0</v>
      </c>
      <c r="M16" s="21">
        <f t="shared" si="5"/>
        <v>6.5477000000000007</v>
      </c>
    </row>
    <row r="17" spans="1:13" x14ac:dyDescent="0.25">
      <c r="A17" s="8">
        <v>13</v>
      </c>
      <c r="B17" s="19">
        <v>6</v>
      </c>
      <c r="C17" s="20">
        <f>SUM('3. Raw PV per load'!O5:O136)</f>
        <v>58.289399999999972</v>
      </c>
      <c r="D17" s="20">
        <f>SUMIF('4. Raw load per load'!$B$5:$B$136,"prosumer",'4. Raw load per load'!O5:O136)</f>
        <v>9.6460999999999988</v>
      </c>
      <c r="E17" s="20">
        <f>SUMIF('4. Raw load per load'!$B$5:$B$136,"customer",'4. Raw load per load'!O5:O136)</f>
        <v>7.044999999999999</v>
      </c>
      <c r="F17" s="20">
        <f>SUM('5. Raw batt charge'!C17:CA17)</f>
        <v>48.64800000000001</v>
      </c>
      <c r="G17" s="20">
        <f>SUM('6. Raw batt discharge'!C17:CA17)</f>
        <v>0</v>
      </c>
      <c r="H17" s="21">
        <f t="shared" si="0"/>
        <v>48.64800000000001</v>
      </c>
      <c r="I17" s="21">
        <f t="shared" si="1"/>
        <v>9.6460999999999988</v>
      </c>
      <c r="J17" s="21">
        <f t="shared" si="2"/>
        <v>48.643299999999975</v>
      </c>
      <c r="K17" s="21">
        <f t="shared" si="3"/>
        <v>0</v>
      </c>
      <c r="L17" s="21">
        <f t="shared" si="4"/>
        <v>0</v>
      </c>
      <c r="M17" s="21">
        <f t="shared" si="5"/>
        <v>7.044999999999999</v>
      </c>
    </row>
    <row r="18" spans="1:13" x14ac:dyDescent="0.25">
      <c r="A18" s="8">
        <v>14</v>
      </c>
      <c r="B18" s="19">
        <v>6.5</v>
      </c>
      <c r="C18" s="20">
        <f>SUM('3. Raw PV per load'!P5:P136)</f>
        <v>75.523999999999958</v>
      </c>
      <c r="D18" s="20">
        <f>SUMIF('4. Raw load per load'!$B$5:$B$136,"prosumer",'4. Raw load per load'!P5:P136)</f>
        <v>13.653999999999998</v>
      </c>
      <c r="E18" s="20">
        <f>SUMIF('4. Raw load per load'!$B$5:$B$136,"customer",'4. Raw load per load'!P5:P136)</f>
        <v>7.6287999999999991</v>
      </c>
      <c r="F18" s="20">
        <f>SUM('5. Raw batt charge'!C18:CA18)</f>
        <v>63.152999999999999</v>
      </c>
      <c r="G18" s="20">
        <f>SUM('6. Raw batt discharge'!C18:CA18)</f>
        <v>1.2789999999999999</v>
      </c>
      <c r="H18" s="21">
        <f t="shared" si="0"/>
        <v>61.873999999999995</v>
      </c>
      <c r="I18" s="21">
        <f t="shared" si="1"/>
        <v>13.653999999999998</v>
      </c>
      <c r="J18" s="21">
        <f t="shared" si="2"/>
        <v>61.869999999999962</v>
      </c>
      <c r="K18" s="21">
        <f t="shared" si="3"/>
        <v>0</v>
      </c>
      <c r="L18" s="21">
        <f t="shared" si="4"/>
        <v>0</v>
      </c>
      <c r="M18" s="21">
        <f t="shared" si="5"/>
        <v>7.6287999999999991</v>
      </c>
    </row>
    <row r="19" spans="1:13" x14ac:dyDescent="0.25">
      <c r="A19" s="8">
        <v>15</v>
      </c>
      <c r="B19" s="19">
        <v>7</v>
      </c>
      <c r="C19" s="20">
        <f>SUM('3. Raw PV per load'!Q5:Q136)</f>
        <v>92.669899999999956</v>
      </c>
      <c r="D19" s="20">
        <f>SUMIF('4. Raw load per load'!$B$5:$B$136,"prosumer",'4. Raw load per load'!Q5:Q136)</f>
        <v>11.759800000000002</v>
      </c>
      <c r="E19" s="20">
        <f>SUMIF('4. Raw load per load'!$B$5:$B$136,"customer",'4. Raw load per load'!Q5:Q136)</f>
        <v>11.283300000000001</v>
      </c>
      <c r="F19" s="20">
        <f>SUM('5. Raw batt charge'!C19:CA19)</f>
        <v>82.027999999999992</v>
      </c>
      <c r="G19" s="20">
        <f>SUM('6. Raw batt discharge'!C19:CA19)</f>
        <v>1.117</v>
      </c>
      <c r="H19" s="21">
        <f t="shared" si="0"/>
        <v>80.910999999999987</v>
      </c>
      <c r="I19" s="21">
        <f t="shared" si="1"/>
        <v>11.759800000000002</v>
      </c>
      <c r="J19" s="21">
        <f t="shared" si="2"/>
        <v>80.910099999999957</v>
      </c>
      <c r="K19" s="21">
        <f t="shared" si="3"/>
        <v>0</v>
      </c>
      <c r="L19" s="21">
        <f t="shared" si="4"/>
        <v>0</v>
      </c>
      <c r="M19" s="21">
        <f t="shared" si="5"/>
        <v>11.283300000000001</v>
      </c>
    </row>
    <row r="20" spans="1:13" x14ac:dyDescent="0.25">
      <c r="A20" s="8">
        <v>16</v>
      </c>
      <c r="B20" s="19">
        <v>7.5</v>
      </c>
      <c r="C20" s="20">
        <f>SUM('3. Raw PV per load'!R5:R136)</f>
        <v>109.83769999999996</v>
      </c>
      <c r="D20" s="20">
        <f>SUMIF('4. Raw load per load'!$B$5:$B$136,"prosumer",'4. Raw load per load'!R5:R136)</f>
        <v>15.640700000000006</v>
      </c>
      <c r="E20" s="20">
        <f>SUMIF('4. Raw load per load'!$B$5:$B$136,"customer",'4. Raw load per load'!R5:R136)</f>
        <v>10.402899999999999</v>
      </c>
      <c r="F20" s="20">
        <f>SUM('5. Raw batt charge'!C20:CA20)</f>
        <v>89.354000000000013</v>
      </c>
      <c r="G20" s="20">
        <f>SUM('6. Raw batt discharge'!C20:CA20)</f>
        <v>0.65900000000000003</v>
      </c>
      <c r="H20" s="21">
        <f t="shared" si="0"/>
        <v>88.695000000000007</v>
      </c>
      <c r="I20" s="21">
        <f t="shared" si="1"/>
        <v>15.640700000000006</v>
      </c>
      <c r="J20" s="21">
        <f t="shared" si="2"/>
        <v>88.695000000000007</v>
      </c>
      <c r="K20" s="21">
        <f t="shared" si="3"/>
        <v>5.5019999999999385</v>
      </c>
      <c r="L20" s="21">
        <f t="shared" si="4"/>
        <v>0</v>
      </c>
      <c r="M20" s="21">
        <f t="shared" si="5"/>
        <v>4.9009000000000604</v>
      </c>
    </row>
    <row r="21" spans="1:13" x14ac:dyDescent="0.25">
      <c r="A21" s="8">
        <v>17</v>
      </c>
      <c r="B21" s="19">
        <v>8</v>
      </c>
      <c r="C21" s="20">
        <f>SUM('3. Raw PV per load'!S5:S136)</f>
        <v>125.95250000000004</v>
      </c>
      <c r="D21" s="20">
        <f>SUMIF('4. Raw load per load'!$B$5:$B$136,"prosumer",'4. Raw load per load'!S5:S136)</f>
        <v>18.510800000000007</v>
      </c>
      <c r="E21" s="20">
        <f>SUMIF('4. Raw load per load'!$B$5:$B$136,"customer",'4. Raw load per load'!S5:S136)</f>
        <v>13.552099999999996</v>
      </c>
      <c r="F21" s="20">
        <f>SUM('5. Raw batt charge'!C21:CA21)</f>
        <v>63.118000000000016</v>
      </c>
      <c r="G21" s="20">
        <f>SUM('6. Raw batt discharge'!C21:CA21)</f>
        <v>0</v>
      </c>
      <c r="H21" s="21">
        <f t="shared" si="0"/>
        <v>63.118000000000016</v>
      </c>
      <c r="I21" s="21">
        <f t="shared" si="1"/>
        <v>18.510800000000007</v>
      </c>
      <c r="J21" s="21">
        <f t="shared" si="2"/>
        <v>63.118000000000016</v>
      </c>
      <c r="K21" s="21">
        <f t="shared" si="3"/>
        <v>13.552099999999996</v>
      </c>
      <c r="L21" s="21">
        <f t="shared" si="4"/>
        <v>30.771600000000028</v>
      </c>
      <c r="M21" s="21">
        <f t="shared" si="5"/>
        <v>0</v>
      </c>
    </row>
    <row r="22" spans="1:13" x14ac:dyDescent="0.25">
      <c r="A22" s="8">
        <v>18</v>
      </c>
      <c r="B22" s="19">
        <v>8.5</v>
      </c>
      <c r="C22" s="20">
        <f>SUM('3. Raw PV per load'!T5:T136)</f>
        <v>141.10199999999995</v>
      </c>
      <c r="D22" s="20">
        <f>SUMIF('4. Raw load per load'!$B$5:$B$136,"prosumer",'4. Raw load per load'!T5:T136)</f>
        <v>32.906600000000019</v>
      </c>
      <c r="E22" s="20">
        <f>SUMIF('4. Raw load per load'!$B$5:$B$136,"customer",'4. Raw load per load'!T5:T136)</f>
        <v>12.729100000000001</v>
      </c>
      <c r="F22" s="20">
        <f>SUM('5. Raw batt charge'!C22:CA22)</f>
        <v>39.158999999999999</v>
      </c>
      <c r="G22" s="20">
        <f>SUM('6. Raw batt discharge'!C22:CA22)</f>
        <v>2.9009999999999998</v>
      </c>
      <c r="H22" s="21">
        <f t="shared" si="0"/>
        <v>36.257999999999996</v>
      </c>
      <c r="I22" s="21">
        <f t="shared" si="1"/>
        <v>32.906600000000019</v>
      </c>
      <c r="J22" s="21">
        <f t="shared" si="2"/>
        <v>36.257999999999996</v>
      </c>
      <c r="K22" s="21">
        <f t="shared" si="3"/>
        <v>12.729100000000001</v>
      </c>
      <c r="L22" s="21">
        <f t="shared" si="4"/>
        <v>59.208299999999923</v>
      </c>
      <c r="M22" s="21">
        <f t="shared" si="5"/>
        <v>0</v>
      </c>
    </row>
    <row r="23" spans="1:13" x14ac:dyDescent="0.25">
      <c r="A23" s="8">
        <v>19</v>
      </c>
      <c r="B23" s="19">
        <v>9</v>
      </c>
      <c r="C23" s="20">
        <f>SUM('3. Raw PV per load'!U5:U136)</f>
        <v>154.00280000000015</v>
      </c>
      <c r="D23" s="20">
        <f>SUMIF('4. Raw load per load'!$B$5:$B$136,"prosumer",'4. Raw load per load'!U5:U136)</f>
        <v>29.688300000000002</v>
      </c>
      <c r="E23" s="20">
        <f>SUMIF('4. Raw load per load'!$B$5:$B$136,"customer",'4. Raw load per load'!U5:U136)</f>
        <v>15.587800000000001</v>
      </c>
      <c r="F23" s="20">
        <f>SUM('5. Raw batt charge'!C23:CA23)</f>
        <v>26.747</v>
      </c>
      <c r="G23" s="20">
        <f>SUM('6. Raw batt discharge'!C23:CA23)</f>
        <v>1.0189999999999999</v>
      </c>
      <c r="H23" s="21">
        <f t="shared" si="0"/>
        <v>25.728000000000002</v>
      </c>
      <c r="I23" s="21">
        <f t="shared" si="1"/>
        <v>29.688300000000002</v>
      </c>
      <c r="J23" s="21">
        <f t="shared" si="2"/>
        <v>25.728000000000002</v>
      </c>
      <c r="K23" s="21">
        <f t="shared" si="3"/>
        <v>15.587800000000001</v>
      </c>
      <c r="L23" s="21">
        <f t="shared" si="4"/>
        <v>82.998700000000142</v>
      </c>
      <c r="M23" s="21">
        <f t="shared" si="5"/>
        <v>0</v>
      </c>
    </row>
    <row r="24" spans="1:13" x14ac:dyDescent="0.25">
      <c r="A24" s="8">
        <v>20</v>
      </c>
      <c r="B24" s="19">
        <v>9.5</v>
      </c>
      <c r="C24" s="20">
        <f>SUM('3. Raw PV per load'!V5:V136)</f>
        <v>165.00599999999997</v>
      </c>
      <c r="D24" s="20">
        <f>SUMIF('4. Raw load per load'!$B$5:$B$136,"prosumer",'4. Raw load per load'!V5:V136)</f>
        <v>28.467000000000002</v>
      </c>
      <c r="E24" s="20">
        <f>SUMIF('4. Raw load per load'!$B$5:$B$136,"customer",'4. Raw load per load'!V5:V136)</f>
        <v>15.718899999999993</v>
      </c>
      <c r="F24" s="20">
        <f>SUM('5. Raw batt charge'!C24:CA24)</f>
        <v>17.896999999999998</v>
      </c>
      <c r="G24" s="20">
        <f>SUM('6. Raw batt discharge'!C24:CA24)</f>
        <v>0.35199999999999998</v>
      </c>
      <c r="H24" s="21">
        <f t="shared" si="0"/>
        <v>17.544999999999998</v>
      </c>
      <c r="I24" s="21">
        <f t="shared" si="1"/>
        <v>28.467000000000002</v>
      </c>
      <c r="J24" s="21">
        <f t="shared" si="2"/>
        <v>17.544999999999998</v>
      </c>
      <c r="K24" s="21">
        <f t="shared" si="3"/>
        <v>15.718899999999993</v>
      </c>
      <c r="L24" s="21">
        <f t="shared" si="4"/>
        <v>103.27509999999997</v>
      </c>
      <c r="M24" s="21">
        <f t="shared" si="5"/>
        <v>0</v>
      </c>
    </row>
    <row r="25" spans="1:13" x14ac:dyDescent="0.25">
      <c r="A25" s="8">
        <v>21</v>
      </c>
      <c r="B25" s="19">
        <v>10</v>
      </c>
      <c r="C25" s="20">
        <f>SUM('3. Raw PV per load'!W5:W136)</f>
        <v>174.66249999999988</v>
      </c>
      <c r="D25" s="20">
        <f>SUMIF('4. Raw load per load'!$B$5:$B$136,"prosumer",'4. Raw load per load'!W5:W136)</f>
        <v>30.751899999999999</v>
      </c>
      <c r="E25" s="20">
        <f>SUMIF('4. Raw load per load'!$B$5:$B$136,"customer",'4. Raw load per load'!W5:W136)</f>
        <v>19.276999999999994</v>
      </c>
      <c r="F25" s="20">
        <f>SUM('5. Raw batt charge'!C25:CA25)</f>
        <v>12.521999999999998</v>
      </c>
      <c r="G25" s="20">
        <f>SUM('6. Raw batt discharge'!C25:CA25)</f>
        <v>2.5069999999999997</v>
      </c>
      <c r="H25" s="21">
        <f t="shared" si="0"/>
        <v>10.014999999999999</v>
      </c>
      <c r="I25" s="21">
        <f t="shared" si="1"/>
        <v>30.751899999999999</v>
      </c>
      <c r="J25" s="21">
        <f t="shared" si="2"/>
        <v>10.014999999999999</v>
      </c>
      <c r="K25" s="21">
        <f t="shared" si="3"/>
        <v>19.276999999999994</v>
      </c>
      <c r="L25" s="21">
        <f t="shared" si="4"/>
        <v>114.6185999999999</v>
      </c>
      <c r="M25" s="21">
        <f t="shared" si="5"/>
        <v>0</v>
      </c>
    </row>
    <row r="26" spans="1:13" x14ac:dyDescent="0.25">
      <c r="A26" s="8">
        <v>22</v>
      </c>
      <c r="B26" s="19">
        <v>10.5</v>
      </c>
      <c r="C26" s="20">
        <f>SUM('3. Raw PV per load'!X5:X136)</f>
        <v>182.63499999999988</v>
      </c>
      <c r="D26" s="20">
        <f>SUMIF('4. Raw load per load'!$B$5:$B$136,"prosumer",'4. Raw load per load'!X5:X136)</f>
        <v>29.534500000000008</v>
      </c>
      <c r="E26" s="20">
        <f>SUMIF('4. Raw load per load'!$B$5:$B$136,"customer",'4. Raw load per load'!X5:X136)</f>
        <v>23.982899999999997</v>
      </c>
      <c r="F26" s="20">
        <f>SUM('5. Raw batt charge'!C26:CA26)</f>
        <v>8.3779999999999983</v>
      </c>
      <c r="G26" s="20">
        <f>SUM('6. Raw batt discharge'!C26:CA26)</f>
        <v>0.59899999999999998</v>
      </c>
      <c r="H26" s="21">
        <f t="shared" si="0"/>
        <v>7.7789999999999981</v>
      </c>
      <c r="I26" s="21">
        <f t="shared" si="1"/>
        <v>29.534500000000008</v>
      </c>
      <c r="J26" s="21">
        <f t="shared" si="2"/>
        <v>7.7789999999999981</v>
      </c>
      <c r="K26" s="21">
        <f t="shared" si="3"/>
        <v>23.982899999999997</v>
      </c>
      <c r="L26" s="21">
        <f t="shared" si="4"/>
        <v>121.33859999999987</v>
      </c>
      <c r="M26" s="21">
        <f t="shared" si="5"/>
        <v>0</v>
      </c>
    </row>
    <row r="27" spans="1:13" x14ac:dyDescent="0.25">
      <c r="A27" s="8">
        <v>23</v>
      </c>
      <c r="B27" s="19">
        <v>11</v>
      </c>
      <c r="C27" s="20">
        <f>SUM('3. Raw PV per load'!Y5:Y136)</f>
        <v>188.28980000000001</v>
      </c>
      <c r="D27" s="20">
        <f>SUMIF('4. Raw load per load'!$B$5:$B$136,"prosumer",'4. Raw load per load'!Y5:Y136)</f>
        <v>29.767500000000002</v>
      </c>
      <c r="E27" s="20">
        <f>SUMIF('4. Raw load per load'!$B$5:$B$136,"customer",'4. Raw load per load'!Y5:Y136)</f>
        <v>15.315300000000002</v>
      </c>
      <c r="F27" s="20">
        <f>SUM('5. Raw batt charge'!C27:CA27)</f>
        <v>9.4450000000000003</v>
      </c>
      <c r="G27" s="20">
        <f>SUM('6. Raw batt discharge'!C27:CA27)</f>
        <v>0.57700000000000007</v>
      </c>
      <c r="H27" s="21">
        <f t="shared" si="0"/>
        <v>8.8680000000000003</v>
      </c>
      <c r="I27" s="21">
        <f t="shared" si="1"/>
        <v>29.767500000000002</v>
      </c>
      <c r="J27" s="21">
        <f t="shared" si="2"/>
        <v>8.8680000000000003</v>
      </c>
      <c r="K27" s="21">
        <f t="shared" si="3"/>
        <v>15.315300000000002</v>
      </c>
      <c r="L27" s="21">
        <f t="shared" si="4"/>
        <v>134.339</v>
      </c>
      <c r="M27" s="21">
        <f t="shared" si="5"/>
        <v>0</v>
      </c>
    </row>
    <row r="28" spans="1:13" x14ac:dyDescent="0.25">
      <c r="A28" s="8">
        <v>24</v>
      </c>
      <c r="B28" s="19">
        <v>11.5</v>
      </c>
      <c r="C28" s="20">
        <f>SUM('3. Raw PV per load'!Z5:Z136)</f>
        <v>190.77149999999992</v>
      </c>
      <c r="D28" s="20">
        <f>SUMIF('4. Raw load per load'!$B$5:$B$136,"prosumer",'4. Raw load per load'!Z5:Z136)</f>
        <v>34.921699999999987</v>
      </c>
      <c r="E28" s="20">
        <f>SUMIF('4. Raw load per load'!$B$5:$B$136,"customer",'4. Raw load per load'!Z5:Z136)</f>
        <v>15.778199999999995</v>
      </c>
      <c r="F28" s="20">
        <f>SUM('5. Raw batt charge'!C28:CA28)</f>
        <v>5.2510000000000003</v>
      </c>
      <c r="G28" s="20">
        <f>SUM('6. Raw batt discharge'!C28:CA28)</f>
        <v>3.343</v>
      </c>
      <c r="H28" s="21">
        <f t="shared" si="0"/>
        <v>1.9080000000000004</v>
      </c>
      <c r="I28" s="21">
        <f t="shared" si="1"/>
        <v>34.921699999999987</v>
      </c>
      <c r="J28" s="21">
        <f t="shared" si="2"/>
        <v>1.9080000000000004</v>
      </c>
      <c r="K28" s="21">
        <f t="shared" si="3"/>
        <v>15.778199999999995</v>
      </c>
      <c r="L28" s="21">
        <f t="shared" si="4"/>
        <v>138.16359999999995</v>
      </c>
      <c r="M28" s="21">
        <f t="shared" si="5"/>
        <v>0</v>
      </c>
    </row>
    <row r="29" spans="1:13" x14ac:dyDescent="0.25">
      <c r="A29" s="8">
        <v>25</v>
      </c>
      <c r="B29" s="19">
        <v>12</v>
      </c>
      <c r="C29" s="20">
        <f>SUM('3. Raw PV per load'!AA5:AA136)</f>
        <v>191.48909999999998</v>
      </c>
      <c r="D29" s="20">
        <f>SUMIF('4. Raw load per load'!$B$5:$B$136,"prosumer",'4. Raw load per load'!AA5:AA136)</f>
        <v>29.943799999999996</v>
      </c>
      <c r="E29" s="20">
        <f>SUMIF('4. Raw load per load'!$B$5:$B$136,"customer",'4. Raw load per load'!AA5:AA136)</f>
        <v>22.0519</v>
      </c>
      <c r="F29" s="20">
        <f>SUM('5. Raw batt charge'!C29:CA29)</f>
        <v>3.84</v>
      </c>
      <c r="G29" s="20">
        <f>SUM('6. Raw batt discharge'!C29:CA29)</f>
        <v>2.6189999999999998</v>
      </c>
      <c r="H29" s="21">
        <f t="shared" si="0"/>
        <v>1.2210000000000001</v>
      </c>
      <c r="I29" s="21">
        <f t="shared" si="1"/>
        <v>29.943799999999996</v>
      </c>
      <c r="J29" s="21">
        <f t="shared" si="2"/>
        <v>1.2210000000000001</v>
      </c>
      <c r="K29" s="21">
        <f t="shared" si="3"/>
        <v>22.0519</v>
      </c>
      <c r="L29" s="21">
        <f t="shared" si="4"/>
        <v>138.2724</v>
      </c>
      <c r="M29" s="21">
        <f t="shared" si="5"/>
        <v>0</v>
      </c>
    </row>
    <row r="30" spans="1:13" x14ac:dyDescent="0.25">
      <c r="A30" s="8">
        <v>26</v>
      </c>
      <c r="B30" s="19">
        <v>12.5</v>
      </c>
      <c r="C30" s="20">
        <f>SUM('3. Raw PV per load'!AB5:AB136)</f>
        <v>190.14450000000005</v>
      </c>
      <c r="D30" s="20">
        <f>SUMIF('4. Raw load per load'!$B$5:$B$136,"prosumer",'4. Raw load per load'!AB5:AB136)</f>
        <v>27.560199999999998</v>
      </c>
      <c r="E30" s="20">
        <f>SUMIF('4. Raw load per load'!$B$5:$B$136,"customer",'4. Raw load per load'!AB5:AB136)</f>
        <v>16.921499999999995</v>
      </c>
      <c r="F30" s="20">
        <f>SUM('5. Raw batt charge'!C30:CA30)</f>
        <v>1.7670000000000001</v>
      </c>
      <c r="G30" s="20">
        <f>SUM('6. Raw batt discharge'!C30:CA30)</f>
        <v>1.73</v>
      </c>
      <c r="H30" s="21">
        <f t="shared" si="0"/>
        <v>3.7000000000000144E-2</v>
      </c>
      <c r="I30" s="21">
        <f t="shared" si="1"/>
        <v>27.560199999999998</v>
      </c>
      <c r="J30" s="21">
        <f t="shared" si="2"/>
        <v>3.7000000000000144E-2</v>
      </c>
      <c r="K30" s="21">
        <f t="shared" si="3"/>
        <v>16.921499999999995</v>
      </c>
      <c r="L30" s="21">
        <f t="shared" si="4"/>
        <v>145.62580000000003</v>
      </c>
      <c r="M30" s="21">
        <f t="shared" si="5"/>
        <v>0</v>
      </c>
    </row>
    <row r="31" spans="1:13" x14ac:dyDescent="0.25">
      <c r="A31" s="8">
        <v>27</v>
      </c>
      <c r="B31" s="19">
        <v>13</v>
      </c>
      <c r="C31" s="20">
        <f>SUM('3. Raw PV per load'!AC5:AC136)</f>
        <v>185.63039999999995</v>
      </c>
      <c r="D31" s="20">
        <f>SUMIF('4. Raw load per load'!$B$5:$B$136,"prosumer",'4. Raw load per load'!AC5:AC136)</f>
        <v>23.545699999999993</v>
      </c>
      <c r="E31" s="20">
        <f>SUMIF('4. Raw load per load'!$B$5:$B$136,"customer",'4. Raw load per load'!AC5:AC136)</f>
        <v>16.8689</v>
      </c>
      <c r="F31" s="20">
        <f>SUM('5. Raw batt charge'!C31:CA31)</f>
        <v>2.7640000000000002</v>
      </c>
      <c r="G31" s="20">
        <f>SUM('6. Raw batt discharge'!C31:CA31)</f>
        <v>3.3470000000000004</v>
      </c>
      <c r="H31" s="21">
        <f t="shared" si="0"/>
        <v>-0.58300000000000018</v>
      </c>
      <c r="I31" s="21">
        <f t="shared" si="1"/>
        <v>23.545699999999993</v>
      </c>
      <c r="J31" s="21">
        <f t="shared" si="2"/>
        <v>0</v>
      </c>
      <c r="K31" s="21">
        <f t="shared" si="3"/>
        <v>16.8689</v>
      </c>
      <c r="L31" s="21">
        <f t="shared" si="4"/>
        <v>145.21579999999997</v>
      </c>
      <c r="M31" s="21">
        <f t="shared" si="5"/>
        <v>0</v>
      </c>
    </row>
    <row r="32" spans="1:13" x14ac:dyDescent="0.25">
      <c r="A32" s="8">
        <v>28</v>
      </c>
      <c r="B32" s="19">
        <v>13.5</v>
      </c>
      <c r="C32" s="20">
        <f>SUM('3. Raw PV per load'!AD5:AD136)</f>
        <v>178.74100000000004</v>
      </c>
      <c r="D32" s="20">
        <f>SUMIF('4. Raw load per load'!$B$5:$B$136,"prosumer",'4. Raw load per load'!AD5:AD136)</f>
        <v>21.435000000000006</v>
      </c>
      <c r="E32" s="20">
        <f>SUMIF('4. Raw load per load'!$B$5:$B$136,"customer",'4. Raw load per load'!AD5:AD136)</f>
        <v>12.851900000000001</v>
      </c>
      <c r="F32" s="20">
        <f>SUM('5. Raw batt charge'!C32:CA32)</f>
        <v>4.0490000000000004</v>
      </c>
      <c r="G32" s="20">
        <f>SUM('6. Raw batt discharge'!C32:CA32)</f>
        <v>0.78700000000000003</v>
      </c>
      <c r="H32" s="21">
        <f t="shared" si="0"/>
        <v>3.2620000000000005</v>
      </c>
      <c r="I32" s="21">
        <f t="shared" si="1"/>
        <v>21.435000000000006</v>
      </c>
      <c r="J32" s="21">
        <f t="shared" si="2"/>
        <v>3.2620000000000005</v>
      </c>
      <c r="K32" s="21">
        <f t="shared" si="3"/>
        <v>12.851900000000001</v>
      </c>
      <c r="L32" s="21">
        <f t="shared" si="4"/>
        <v>141.19210000000004</v>
      </c>
      <c r="M32" s="21">
        <f t="shared" si="5"/>
        <v>0</v>
      </c>
    </row>
    <row r="33" spans="1:13" x14ac:dyDescent="0.25">
      <c r="A33" s="8">
        <v>29</v>
      </c>
      <c r="B33" s="19">
        <v>14</v>
      </c>
      <c r="C33" s="20">
        <f>SUM('3. Raw PV per load'!AE5:AE136)</f>
        <v>170.51839999999996</v>
      </c>
      <c r="D33" s="20">
        <f>SUMIF('4. Raw load per load'!$B$5:$B$136,"prosumer",'4. Raw load per load'!AE5:AE136)</f>
        <v>26.250499999999995</v>
      </c>
      <c r="E33" s="20">
        <f>SUMIF('4. Raw load per load'!$B$5:$B$136,"customer",'4. Raw load per load'!AE5:AE136)</f>
        <v>17.966200000000001</v>
      </c>
      <c r="F33" s="20">
        <f>SUM('5. Raw batt charge'!C33:CA33)</f>
        <v>6.0539999999999994</v>
      </c>
      <c r="G33" s="20">
        <f>SUM('6. Raw batt discharge'!C33:CA33)</f>
        <v>1.2990000000000002</v>
      </c>
      <c r="H33" s="21">
        <f t="shared" si="0"/>
        <v>4.754999999999999</v>
      </c>
      <c r="I33" s="21">
        <f t="shared" si="1"/>
        <v>26.250499999999995</v>
      </c>
      <c r="J33" s="21">
        <f t="shared" si="2"/>
        <v>4.754999999999999</v>
      </c>
      <c r="K33" s="21">
        <f t="shared" si="3"/>
        <v>17.966200000000001</v>
      </c>
      <c r="L33" s="21">
        <f t="shared" si="4"/>
        <v>121.54669999999997</v>
      </c>
      <c r="M33" s="21">
        <f t="shared" si="5"/>
        <v>0</v>
      </c>
    </row>
    <row r="34" spans="1:13" x14ac:dyDescent="0.25">
      <c r="A34" s="8">
        <v>30</v>
      </c>
      <c r="B34" s="19">
        <v>14.5</v>
      </c>
      <c r="C34" s="20">
        <f>SUM('3. Raw PV per load'!AF5:AF136)</f>
        <v>160.09930000000011</v>
      </c>
      <c r="D34" s="20">
        <f>SUMIF('4. Raw load per load'!$B$5:$B$136,"prosumer",'4. Raw load per load'!AF5:AF136)</f>
        <v>25.221299999999992</v>
      </c>
      <c r="E34" s="20">
        <f>SUMIF('4. Raw load per load'!$B$5:$B$136,"customer",'4. Raw load per load'!AF5:AF136)</f>
        <v>22.189299999999992</v>
      </c>
      <c r="F34" s="20">
        <f>SUM('5. Raw batt charge'!C34:CA34)</f>
        <v>4.1130000000000004</v>
      </c>
      <c r="G34" s="20">
        <f>SUM('6. Raw batt discharge'!C34:CA34)</f>
        <v>0</v>
      </c>
      <c r="H34" s="21">
        <f t="shared" si="0"/>
        <v>4.1130000000000004</v>
      </c>
      <c r="I34" s="21">
        <f t="shared" si="1"/>
        <v>25.221299999999992</v>
      </c>
      <c r="J34" s="21">
        <f t="shared" si="2"/>
        <v>4.1130000000000004</v>
      </c>
      <c r="K34" s="21">
        <f t="shared" si="3"/>
        <v>22.189299999999992</v>
      </c>
      <c r="L34" s="21">
        <f t="shared" si="4"/>
        <v>108.57570000000014</v>
      </c>
      <c r="M34" s="21">
        <f t="shared" si="5"/>
        <v>0</v>
      </c>
    </row>
    <row r="35" spans="1:13" x14ac:dyDescent="0.25">
      <c r="A35" s="8">
        <v>31</v>
      </c>
      <c r="B35" s="19">
        <v>15</v>
      </c>
      <c r="C35" s="20">
        <f>SUM('3. Raw PV per load'!AG5:AG136)</f>
        <v>149.02650000000003</v>
      </c>
      <c r="D35" s="20">
        <f>SUMIF('4. Raw load per load'!$B$5:$B$136,"prosumer",'4. Raw load per load'!AG5:AG136)</f>
        <v>20.8413</v>
      </c>
      <c r="E35" s="20">
        <f>SUMIF('4. Raw load per load'!$B$5:$B$136,"customer",'4. Raw load per load'!AG5:AG136)</f>
        <v>26.42260000000001</v>
      </c>
      <c r="F35" s="20">
        <f>SUM('5. Raw batt charge'!C35:CA35)</f>
        <v>1.163</v>
      </c>
      <c r="G35" s="20">
        <f>SUM('6. Raw batt discharge'!C35:CA35)</f>
        <v>1.5680000000000001</v>
      </c>
      <c r="H35" s="21">
        <f t="shared" si="0"/>
        <v>-0.40500000000000003</v>
      </c>
      <c r="I35" s="21">
        <f t="shared" si="1"/>
        <v>20.8413</v>
      </c>
      <c r="J35" s="21">
        <f t="shared" si="2"/>
        <v>0</v>
      </c>
      <c r="K35" s="21">
        <f t="shared" si="3"/>
        <v>26.42260000000001</v>
      </c>
      <c r="L35" s="21">
        <f t="shared" si="4"/>
        <v>101.76260000000002</v>
      </c>
      <c r="M35" s="21">
        <f t="shared" si="5"/>
        <v>0</v>
      </c>
    </row>
    <row r="36" spans="1:13" x14ac:dyDescent="0.25">
      <c r="A36" s="8">
        <v>32</v>
      </c>
      <c r="B36" s="19">
        <v>15.5</v>
      </c>
      <c r="C36" s="20">
        <f>SUM('3. Raw PV per load'!AH5:AH136)</f>
        <v>135.70140000000004</v>
      </c>
      <c r="D36" s="20">
        <f>SUMIF('4. Raw load per load'!$B$5:$B$136,"prosumer",'4. Raw load per load'!AH5:AH136)</f>
        <v>23.325900000000001</v>
      </c>
      <c r="E36" s="20">
        <f>SUMIF('4. Raw load per load'!$B$5:$B$136,"customer",'4. Raw load per load'!AH5:AH136)</f>
        <v>15.877399999999996</v>
      </c>
      <c r="F36" s="20">
        <f>SUM('5. Raw batt charge'!C36:CA36)</f>
        <v>0.20399999999999999</v>
      </c>
      <c r="G36" s="20">
        <f>SUM('6. Raw batt discharge'!C36:CA36)</f>
        <v>1.397</v>
      </c>
      <c r="H36" s="21">
        <f t="shared" si="0"/>
        <v>-1.1930000000000001</v>
      </c>
      <c r="I36" s="21">
        <f t="shared" si="1"/>
        <v>23.325900000000001</v>
      </c>
      <c r="J36" s="21">
        <f t="shared" si="2"/>
        <v>0</v>
      </c>
      <c r="K36" s="21">
        <f t="shared" si="3"/>
        <v>15.877399999999996</v>
      </c>
      <c r="L36" s="21">
        <f t="shared" si="4"/>
        <v>96.498100000000036</v>
      </c>
      <c r="M36" s="21">
        <f t="shared" si="5"/>
        <v>0</v>
      </c>
    </row>
    <row r="37" spans="1:13" x14ac:dyDescent="0.25">
      <c r="A37" s="8">
        <v>33</v>
      </c>
      <c r="B37" s="19">
        <v>16</v>
      </c>
      <c r="C37" s="20">
        <f>SUM('3. Raw PV per load'!AI5:AI136)</f>
        <v>120.69569999999993</v>
      </c>
      <c r="D37" s="20">
        <f>SUMIF('4. Raw load per load'!$B$5:$B$136,"prosumer",'4. Raw load per load'!AI5:AI136)</f>
        <v>24.146799999999999</v>
      </c>
      <c r="E37" s="20">
        <f>SUMIF('4. Raw load per load'!$B$5:$B$136,"customer",'4. Raw load per load'!AI5:AI136)</f>
        <v>15.532700000000006</v>
      </c>
      <c r="F37" s="20">
        <f>SUM('5. Raw batt charge'!C37:CA37)</f>
        <v>0.57599999999999996</v>
      </c>
      <c r="G37" s="20">
        <f>SUM('6. Raw batt discharge'!C37:CA37)</f>
        <v>0.66100000000000003</v>
      </c>
      <c r="H37" s="21">
        <f t="shared" si="0"/>
        <v>-8.5000000000000075E-2</v>
      </c>
      <c r="I37" s="21">
        <f t="shared" si="1"/>
        <v>24.146799999999999</v>
      </c>
      <c r="J37" s="21">
        <f t="shared" si="2"/>
        <v>0</v>
      </c>
      <c r="K37" s="21">
        <f t="shared" si="3"/>
        <v>15.532700000000006</v>
      </c>
      <c r="L37" s="21">
        <f t="shared" si="4"/>
        <v>81.016199999999927</v>
      </c>
      <c r="M37" s="21">
        <f t="shared" si="5"/>
        <v>0</v>
      </c>
    </row>
    <row r="38" spans="1:13" x14ac:dyDescent="0.25">
      <c r="A38" s="8">
        <v>34</v>
      </c>
      <c r="B38" s="19">
        <v>16.5</v>
      </c>
      <c r="C38" s="20">
        <f>SUM('3. Raw PV per load'!AJ5:AJ136)</f>
        <v>102.5765</v>
      </c>
      <c r="D38" s="20">
        <f>SUMIF('4. Raw load per load'!$B$5:$B$136,"prosumer",'4. Raw load per load'!AJ5:AJ136)</f>
        <v>26.504900000000003</v>
      </c>
      <c r="E38" s="20">
        <f>SUMIF('4. Raw load per load'!$B$5:$B$136,"customer",'4. Raw load per load'!AJ5:AJ136)</f>
        <v>14.291500000000001</v>
      </c>
      <c r="F38" s="20">
        <f>SUM('5. Raw batt charge'!C38:CA38)</f>
        <v>1.3900000000000001</v>
      </c>
      <c r="G38" s="20">
        <f>SUM('6. Raw batt discharge'!C38:CA38)</f>
        <v>3.343</v>
      </c>
      <c r="H38" s="21">
        <f t="shared" si="0"/>
        <v>-1.9529999999999998</v>
      </c>
      <c r="I38" s="21">
        <f t="shared" si="1"/>
        <v>26.504900000000003</v>
      </c>
      <c r="J38" s="21">
        <f t="shared" si="2"/>
        <v>0</v>
      </c>
      <c r="K38" s="21">
        <f t="shared" si="3"/>
        <v>14.291500000000001</v>
      </c>
      <c r="L38" s="21">
        <f t="shared" si="4"/>
        <v>61.78009999999999</v>
      </c>
      <c r="M38" s="21">
        <f t="shared" si="5"/>
        <v>0</v>
      </c>
    </row>
    <row r="39" spans="1:13" x14ac:dyDescent="0.25">
      <c r="A39" s="8">
        <v>35</v>
      </c>
      <c r="B39" s="19">
        <v>17</v>
      </c>
      <c r="C39" s="20">
        <f>SUM('3. Raw PV per load'!AK5:AK136)</f>
        <v>85.617999999999967</v>
      </c>
      <c r="D39" s="20">
        <f>SUMIF('4. Raw load per load'!$B$5:$B$136,"prosumer",'4. Raw load per load'!AK5:AK136)</f>
        <v>31.830900000000007</v>
      </c>
      <c r="E39" s="20">
        <f>SUMIF('4. Raw load per load'!$B$5:$B$136,"customer",'4. Raw load per load'!AK5:AK136)</f>
        <v>20.686899999999994</v>
      </c>
      <c r="F39" s="20">
        <f>SUM('5. Raw batt charge'!C39:CA39)</f>
        <v>1.31</v>
      </c>
      <c r="G39" s="20">
        <f>SUM('6. Raw batt discharge'!C39:CA39)</f>
        <v>6.8800000000000008</v>
      </c>
      <c r="H39" s="21">
        <f t="shared" si="0"/>
        <v>-5.57</v>
      </c>
      <c r="I39" s="21">
        <f t="shared" si="1"/>
        <v>31.830900000000007</v>
      </c>
      <c r="J39" s="21">
        <f t="shared" si="2"/>
        <v>0</v>
      </c>
      <c r="K39" s="21">
        <f t="shared" si="3"/>
        <v>20.686899999999994</v>
      </c>
      <c r="L39" s="21">
        <f t="shared" si="4"/>
        <v>33.100199999999965</v>
      </c>
      <c r="M39" s="21">
        <f t="shared" si="5"/>
        <v>0</v>
      </c>
    </row>
    <row r="40" spans="1:13" x14ac:dyDescent="0.25">
      <c r="A40" s="8">
        <v>36</v>
      </c>
      <c r="B40" s="19">
        <v>17.5</v>
      </c>
      <c r="C40" s="20">
        <f>SUM('3. Raw PV per load'!AL5:AL136)</f>
        <v>68.192699999999974</v>
      </c>
      <c r="D40" s="20">
        <f>SUMIF('4. Raw load per load'!$B$5:$B$136,"prosumer",'4. Raw load per load'!AL5:AL136)</f>
        <v>28.8887</v>
      </c>
      <c r="E40" s="20">
        <f>SUMIF('4. Raw load per load'!$B$5:$B$136,"customer",'4. Raw load per load'!AL5:AL136)</f>
        <v>25.382400000000001</v>
      </c>
      <c r="F40" s="20">
        <f>SUM('5. Raw batt charge'!C40:CA40)</f>
        <v>1.6779999999999999</v>
      </c>
      <c r="G40" s="20">
        <f>SUM('6. Raw batt discharge'!C40:CA40)</f>
        <v>5.6269999999999998</v>
      </c>
      <c r="H40" s="21">
        <f t="shared" si="0"/>
        <v>-3.9489999999999998</v>
      </c>
      <c r="I40" s="21">
        <f t="shared" si="1"/>
        <v>28.8887</v>
      </c>
      <c r="J40" s="21">
        <f t="shared" si="2"/>
        <v>0</v>
      </c>
      <c r="K40" s="21">
        <f t="shared" si="3"/>
        <v>25.382400000000001</v>
      </c>
      <c r="L40" s="21">
        <f t="shared" si="4"/>
        <v>13.921599999999973</v>
      </c>
      <c r="M40" s="21">
        <f t="shared" si="5"/>
        <v>0</v>
      </c>
    </row>
    <row r="41" spans="1:13" x14ac:dyDescent="0.25">
      <c r="A41" s="8">
        <v>37</v>
      </c>
      <c r="B41" s="19">
        <v>18</v>
      </c>
      <c r="C41" s="20">
        <f>SUM('3. Raw PV per load'!AM5:AM136)</f>
        <v>51.337499999999977</v>
      </c>
      <c r="D41" s="20">
        <f>SUMIF('4. Raw load per load'!$B$5:$B$136,"prosumer",'4. Raw load per load'!AM5:AM136)</f>
        <v>34.964599999999997</v>
      </c>
      <c r="E41" s="20">
        <f>SUMIF('4. Raw load per load'!$B$5:$B$136,"customer",'4. Raw load per load'!AM5:AM136)</f>
        <v>21.471699999999995</v>
      </c>
      <c r="F41" s="20">
        <f>SUM('5. Raw batt charge'!C41:CA41)</f>
        <v>0.63200000000000001</v>
      </c>
      <c r="G41" s="20">
        <f>SUM('6. Raw batt discharge'!C41:CA41)</f>
        <v>12.589000000000002</v>
      </c>
      <c r="H41" s="21">
        <f t="shared" si="0"/>
        <v>-11.957000000000003</v>
      </c>
      <c r="I41" s="21">
        <f t="shared" si="1"/>
        <v>34.964599999999997</v>
      </c>
      <c r="J41" s="21">
        <f t="shared" si="2"/>
        <v>0</v>
      </c>
      <c r="K41" s="21">
        <f t="shared" si="3"/>
        <v>16.37289999999998</v>
      </c>
      <c r="L41" s="21">
        <f t="shared" si="4"/>
        <v>0</v>
      </c>
      <c r="M41" s="21">
        <f t="shared" si="5"/>
        <v>5.0988000000000149</v>
      </c>
    </row>
    <row r="42" spans="1:13" x14ac:dyDescent="0.25">
      <c r="A42" s="8">
        <v>38</v>
      </c>
      <c r="B42" s="19">
        <v>18.5</v>
      </c>
      <c r="C42" s="20">
        <f>SUM('3. Raw PV per load'!AN5:AN136)</f>
        <v>35.086900000000021</v>
      </c>
      <c r="D42" s="20">
        <f>SUMIF('4. Raw load per load'!$B$5:$B$136,"prosumer",'4. Raw load per load'!AN5:AN136)</f>
        <v>28.412000000000003</v>
      </c>
      <c r="E42" s="20">
        <f>SUMIF('4. Raw load per load'!$B$5:$B$136,"customer",'4. Raw load per load'!AN5:AN136)</f>
        <v>17.008500000000005</v>
      </c>
      <c r="F42" s="20">
        <f>SUM('5. Raw batt charge'!C42:CA42)</f>
        <v>0.83099999999999996</v>
      </c>
      <c r="G42" s="20">
        <f>SUM('6. Raw batt discharge'!C42:CA42)</f>
        <v>9.59</v>
      </c>
      <c r="H42" s="21">
        <f t="shared" si="0"/>
        <v>-8.7590000000000003</v>
      </c>
      <c r="I42" s="21">
        <f t="shared" si="1"/>
        <v>28.412000000000003</v>
      </c>
      <c r="J42" s="21">
        <f t="shared" si="2"/>
        <v>0</v>
      </c>
      <c r="K42" s="21">
        <f t="shared" si="3"/>
        <v>6.6749000000000187</v>
      </c>
      <c r="L42" s="21">
        <f t="shared" si="4"/>
        <v>0</v>
      </c>
      <c r="M42" s="21">
        <f t="shared" si="5"/>
        <v>10.333599999999986</v>
      </c>
    </row>
    <row r="43" spans="1:13" x14ac:dyDescent="0.25">
      <c r="A43" s="8">
        <v>39</v>
      </c>
      <c r="B43" s="19">
        <v>19</v>
      </c>
      <c r="C43" s="20">
        <f>SUM('3. Raw PV per load'!AO5:AO136)</f>
        <v>20.487499999999997</v>
      </c>
      <c r="D43" s="20">
        <f>SUMIF('4. Raw load per load'!$B$5:$B$136,"prosumer",'4. Raw load per load'!AO5:AO136)</f>
        <v>29.141799999999996</v>
      </c>
      <c r="E43" s="20">
        <f>SUMIF('4. Raw load per load'!$B$5:$B$136,"customer",'4. Raw load per load'!AO5:AO136)</f>
        <v>17.428800000000003</v>
      </c>
      <c r="F43" s="20">
        <f>SUM('5. Raw batt charge'!C43:CA43)</f>
        <v>0.61299999999999999</v>
      </c>
      <c r="G43" s="20">
        <f>SUM('6. Raw batt discharge'!C43:CA43)</f>
        <v>12.484000000000002</v>
      </c>
      <c r="H43" s="21">
        <f t="shared" si="0"/>
        <v>-11.871000000000002</v>
      </c>
      <c r="I43" s="21">
        <f t="shared" si="1"/>
        <v>20.487499999999997</v>
      </c>
      <c r="J43" s="21">
        <f t="shared" si="2"/>
        <v>0</v>
      </c>
      <c r="K43" s="21">
        <f t="shared" si="3"/>
        <v>0</v>
      </c>
      <c r="L43" s="21">
        <f t="shared" si="4"/>
        <v>0</v>
      </c>
      <c r="M43" s="21">
        <f t="shared" si="5"/>
        <v>17.428800000000003</v>
      </c>
    </row>
    <row r="44" spans="1:13" x14ac:dyDescent="0.25">
      <c r="A44" s="8">
        <v>40</v>
      </c>
      <c r="B44" s="19">
        <v>19.5</v>
      </c>
      <c r="C44" s="20">
        <f>SUM('3. Raw PV per load'!AP5:AP136)</f>
        <v>5.9630000000000001</v>
      </c>
      <c r="D44" s="20">
        <f>SUMIF('4. Raw load per load'!$B$5:$B$136,"prosumer",'4. Raw load per load'!AP5:AP136)</f>
        <v>31.622199999999996</v>
      </c>
      <c r="E44" s="20">
        <f>SUMIF('4. Raw load per load'!$B$5:$B$136,"customer",'4. Raw load per load'!AP5:AP136)</f>
        <v>23.847799999999999</v>
      </c>
      <c r="F44" s="20">
        <f>SUM('5. Raw batt charge'!C44:CA44)</f>
        <v>2.1000000000000001E-2</v>
      </c>
      <c r="G44" s="20">
        <f>SUM('6. Raw batt discharge'!C44:CA44)</f>
        <v>24.192000000000004</v>
      </c>
      <c r="H44" s="21">
        <f t="shared" si="0"/>
        <v>-24.171000000000003</v>
      </c>
      <c r="I44" s="21">
        <f t="shared" si="1"/>
        <v>5.9630000000000001</v>
      </c>
      <c r="J44" s="21">
        <f t="shared" si="2"/>
        <v>0</v>
      </c>
      <c r="K44" s="21">
        <f t="shared" si="3"/>
        <v>0</v>
      </c>
      <c r="L44" s="21">
        <f t="shared" si="4"/>
        <v>0</v>
      </c>
      <c r="M44" s="21">
        <f t="shared" si="5"/>
        <v>23.847799999999999</v>
      </c>
    </row>
    <row r="45" spans="1:13" x14ac:dyDescent="0.25">
      <c r="A45" s="8">
        <v>41</v>
      </c>
      <c r="B45" s="19">
        <v>20</v>
      </c>
      <c r="C45" s="20">
        <f>SUM('3. Raw PV per load'!AQ5:AQ136)</f>
        <v>1.1007999999999998</v>
      </c>
      <c r="D45" s="20">
        <f>SUMIF('4. Raw load per load'!$B$5:$B$136,"prosumer",'4. Raw load per load'!AQ5:AQ136)</f>
        <v>41.636300000000006</v>
      </c>
      <c r="E45" s="20">
        <f>SUMIF('4. Raw load per load'!$B$5:$B$136,"customer",'4. Raw load per load'!AQ5:AQ136)</f>
        <v>24.224299999999999</v>
      </c>
      <c r="F45" s="20">
        <f>SUM('5. Raw batt charge'!C45:CA45)</f>
        <v>0</v>
      </c>
      <c r="G45" s="20">
        <f>SUM('6. Raw batt discharge'!C45:CA45)</f>
        <v>39.434000000000005</v>
      </c>
      <c r="H45" s="21">
        <f t="shared" si="0"/>
        <v>-39.434000000000005</v>
      </c>
      <c r="I45" s="21">
        <f t="shared" si="1"/>
        <v>1.1007999999999998</v>
      </c>
      <c r="J45" s="21">
        <f t="shared" si="2"/>
        <v>0</v>
      </c>
      <c r="K45" s="21">
        <f t="shared" si="3"/>
        <v>0</v>
      </c>
      <c r="L45" s="21">
        <f t="shared" si="4"/>
        <v>0</v>
      </c>
      <c r="M45" s="21">
        <f t="shared" si="5"/>
        <v>24.224299999999999</v>
      </c>
    </row>
    <row r="46" spans="1:13" x14ac:dyDescent="0.25">
      <c r="A46" s="8">
        <v>42</v>
      </c>
      <c r="B46" s="19">
        <v>20.5</v>
      </c>
      <c r="C46" s="20">
        <f>SUM('3. Raw PV per load'!AR5:AR136)</f>
        <v>0</v>
      </c>
      <c r="D46" s="20">
        <f>SUMIF('4. Raw load per load'!$B$5:$B$136,"prosumer",'4. Raw load per load'!AR5:AR136)</f>
        <v>44.623899999999992</v>
      </c>
      <c r="E46" s="20">
        <f>SUMIF('4. Raw load per load'!$B$5:$B$136,"customer",'4. Raw load per load'!AR5:AR136)</f>
        <v>26.5121</v>
      </c>
      <c r="F46" s="20">
        <f>SUM('5. Raw batt charge'!C46:CA46)</f>
        <v>0</v>
      </c>
      <c r="G46" s="20">
        <f>SUM('6. Raw batt discharge'!C46:CA46)</f>
        <v>41.27300000000001</v>
      </c>
      <c r="H46" s="21">
        <f t="shared" si="0"/>
        <v>-41.27300000000001</v>
      </c>
      <c r="I46" s="21">
        <f t="shared" si="1"/>
        <v>0</v>
      </c>
      <c r="J46" s="21">
        <f t="shared" si="2"/>
        <v>0</v>
      </c>
      <c r="K46" s="21">
        <f t="shared" si="3"/>
        <v>0</v>
      </c>
      <c r="L46" s="21">
        <f t="shared" si="4"/>
        <v>0</v>
      </c>
      <c r="M46" s="21">
        <f t="shared" si="5"/>
        <v>26.5121</v>
      </c>
    </row>
    <row r="47" spans="1:13" x14ac:dyDescent="0.25">
      <c r="A47" s="8">
        <v>43</v>
      </c>
      <c r="B47" s="19">
        <v>21</v>
      </c>
      <c r="C47" s="20">
        <f>SUM('3. Raw PV per load'!AS5:AS136)</f>
        <v>0</v>
      </c>
      <c r="D47" s="20">
        <f>SUMIF('4. Raw load per load'!$B$5:$B$136,"prosumer",'4. Raw load per load'!AS5:AS136)</f>
        <v>43.797500000000007</v>
      </c>
      <c r="E47" s="20">
        <f>SUMIF('4. Raw load per load'!$B$5:$B$136,"customer",'4. Raw load per load'!AS5:AS136)</f>
        <v>24.683800000000005</v>
      </c>
      <c r="F47" s="20">
        <f>SUM('5. Raw batt charge'!C47:CA47)</f>
        <v>0</v>
      </c>
      <c r="G47" s="20">
        <f>SUM('6. Raw batt discharge'!C47:CA47)</f>
        <v>39.856999999999985</v>
      </c>
      <c r="H47" s="21">
        <f t="shared" si="0"/>
        <v>-39.856999999999985</v>
      </c>
      <c r="I47" s="21">
        <f t="shared" si="1"/>
        <v>0</v>
      </c>
      <c r="J47" s="21">
        <f t="shared" si="2"/>
        <v>0</v>
      </c>
      <c r="K47" s="21">
        <f t="shared" si="3"/>
        <v>0</v>
      </c>
      <c r="L47" s="21">
        <f t="shared" si="4"/>
        <v>0</v>
      </c>
      <c r="M47" s="21">
        <f t="shared" si="5"/>
        <v>24.683800000000005</v>
      </c>
    </row>
    <row r="48" spans="1:13" x14ac:dyDescent="0.25">
      <c r="A48" s="8">
        <v>44</v>
      </c>
      <c r="B48" s="19">
        <v>21.5</v>
      </c>
      <c r="C48" s="20">
        <f>SUM('3. Raw PV per load'!AT5:AT136)</f>
        <v>0</v>
      </c>
      <c r="D48" s="20">
        <f>SUMIF('4. Raw load per load'!$B$5:$B$136,"prosumer",'4. Raw load per load'!AT5:AT136)</f>
        <v>44.536500000000011</v>
      </c>
      <c r="E48" s="20">
        <f>SUMIF('4. Raw load per load'!$B$5:$B$136,"customer",'4. Raw load per load'!AT5:AT136)</f>
        <v>21.489700000000006</v>
      </c>
      <c r="F48" s="20">
        <f>SUM('5. Raw batt charge'!C48:CA48)</f>
        <v>0</v>
      </c>
      <c r="G48" s="20">
        <f>SUM('6. Raw batt discharge'!C48:CA48)</f>
        <v>40.055999999999983</v>
      </c>
      <c r="H48" s="21">
        <f t="shared" si="0"/>
        <v>-40.055999999999983</v>
      </c>
      <c r="I48" s="21">
        <f t="shared" si="1"/>
        <v>0</v>
      </c>
      <c r="J48" s="21">
        <f t="shared" si="2"/>
        <v>0</v>
      </c>
      <c r="K48" s="21">
        <f t="shared" si="3"/>
        <v>0</v>
      </c>
      <c r="L48" s="21">
        <f t="shared" si="4"/>
        <v>0</v>
      </c>
      <c r="M48" s="21">
        <f t="shared" si="5"/>
        <v>21.489700000000006</v>
      </c>
    </row>
    <row r="49" spans="1:13" x14ac:dyDescent="0.25">
      <c r="A49" s="8">
        <v>45</v>
      </c>
      <c r="B49" s="19">
        <v>22</v>
      </c>
      <c r="C49" s="20">
        <f>SUM('3. Raw PV per load'!AU5:AU136)</f>
        <v>0</v>
      </c>
      <c r="D49" s="20">
        <f>SUMIF('4. Raw load per load'!$B$5:$B$136,"prosumer",'4. Raw load per load'!AU5:AU136)</f>
        <v>40.84920000000001</v>
      </c>
      <c r="E49" s="20">
        <f>SUMIF('4. Raw load per load'!$B$5:$B$136,"customer",'4. Raw load per load'!AU5:AU136)</f>
        <v>21.636999999999993</v>
      </c>
      <c r="F49" s="20">
        <f>SUM('5. Raw batt charge'!C49:CA49)</f>
        <v>0</v>
      </c>
      <c r="G49" s="20">
        <f>SUM('6. Raw batt discharge'!C49:CA49)</f>
        <v>34.493000000000009</v>
      </c>
      <c r="H49" s="21">
        <f t="shared" si="0"/>
        <v>-34.493000000000009</v>
      </c>
      <c r="I49" s="21">
        <f t="shared" si="1"/>
        <v>0</v>
      </c>
      <c r="J49" s="21">
        <f t="shared" si="2"/>
        <v>0</v>
      </c>
      <c r="K49" s="21">
        <f t="shared" si="3"/>
        <v>0</v>
      </c>
      <c r="L49" s="21">
        <f t="shared" si="4"/>
        <v>0</v>
      </c>
      <c r="M49" s="21">
        <f t="shared" si="5"/>
        <v>21.636999999999993</v>
      </c>
    </row>
    <row r="50" spans="1:13" x14ac:dyDescent="0.25">
      <c r="A50" s="8">
        <v>46</v>
      </c>
      <c r="B50" s="19">
        <v>22.5</v>
      </c>
      <c r="C50" s="20">
        <f>SUM('3. Raw PV per load'!AV5:AV136)</f>
        <v>0</v>
      </c>
      <c r="D50" s="20">
        <f>SUMIF('4. Raw load per load'!$B$5:$B$136,"prosumer",'4. Raw load per load'!AV5:AV136)</f>
        <v>32.751799999999996</v>
      </c>
      <c r="E50" s="20">
        <f>SUMIF('4. Raw load per load'!$B$5:$B$136,"customer",'4. Raw load per load'!AV5:AV136)</f>
        <v>21.898500000000002</v>
      </c>
      <c r="F50" s="20">
        <f>SUM('5. Raw batt charge'!C50:CA50)</f>
        <v>0</v>
      </c>
      <c r="G50" s="20">
        <f>SUM('6. Raw batt discharge'!C50:CA50)</f>
        <v>26.905000000000001</v>
      </c>
      <c r="H50" s="21">
        <f t="shared" si="0"/>
        <v>-26.905000000000001</v>
      </c>
      <c r="I50" s="21">
        <f t="shared" si="1"/>
        <v>0</v>
      </c>
      <c r="J50" s="21">
        <f t="shared" si="2"/>
        <v>0</v>
      </c>
      <c r="K50" s="21">
        <f t="shared" si="3"/>
        <v>0</v>
      </c>
      <c r="L50" s="21">
        <f t="shared" si="4"/>
        <v>0</v>
      </c>
      <c r="M50" s="21">
        <f t="shared" si="5"/>
        <v>21.898500000000002</v>
      </c>
    </row>
    <row r="51" spans="1:13" x14ac:dyDescent="0.25">
      <c r="A51" s="8">
        <v>47</v>
      </c>
      <c r="B51" s="19">
        <v>23</v>
      </c>
      <c r="C51" s="20">
        <f>SUM('3. Raw PV per load'!AW5:AW136)</f>
        <v>0</v>
      </c>
      <c r="D51" s="20">
        <f>SUMIF('4. Raw load per load'!$B$5:$B$136,"prosumer",'4. Raw load per load'!AW5:AW136)</f>
        <v>28.492100000000004</v>
      </c>
      <c r="E51" s="20">
        <f>SUMIF('4. Raw load per load'!$B$5:$B$136,"customer",'4. Raw load per load'!AW5:AW136)</f>
        <v>15.872399999999999</v>
      </c>
      <c r="F51" s="20">
        <f>SUM('5. Raw batt charge'!C51:CA51)</f>
        <v>0</v>
      </c>
      <c r="G51" s="20">
        <f>SUM('6. Raw batt discharge'!C51:CA51)</f>
        <v>21.675999999999995</v>
      </c>
      <c r="H51" s="21">
        <f t="shared" si="0"/>
        <v>-21.675999999999995</v>
      </c>
      <c r="I51" s="21">
        <f t="shared" si="1"/>
        <v>0</v>
      </c>
      <c r="J51" s="21">
        <f t="shared" si="2"/>
        <v>0</v>
      </c>
      <c r="K51" s="21">
        <f t="shared" si="3"/>
        <v>0</v>
      </c>
      <c r="L51" s="21">
        <f t="shared" si="4"/>
        <v>0</v>
      </c>
      <c r="M51" s="21">
        <f t="shared" si="5"/>
        <v>15.872399999999999</v>
      </c>
    </row>
    <row r="52" spans="1:13" x14ac:dyDescent="0.25">
      <c r="A52" s="8">
        <v>48</v>
      </c>
      <c r="B52" s="19">
        <v>23.5</v>
      </c>
      <c r="C52" s="20">
        <f>SUM('3. Raw PV per load'!AX5:AX136)</f>
        <v>0</v>
      </c>
      <c r="D52" s="20">
        <f>SUMIF('4. Raw load per load'!$B$5:$B$136,"prosumer",'4. Raw load per load'!AX5:AX136)</f>
        <v>21.891699999999986</v>
      </c>
      <c r="E52" s="20">
        <f>SUMIF('4. Raw load per load'!$B$5:$B$136,"customer",'4. Raw load per load'!AX5:AX136)</f>
        <v>11.746800000000002</v>
      </c>
      <c r="F52" s="20">
        <f>SUM('5. Raw batt charge'!C52:CA52)</f>
        <v>0</v>
      </c>
      <c r="G52" s="20">
        <f>SUM('6. Raw batt discharge'!C52:CA52)</f>
        <v>16.725000000000009</v>
      </c>
      <c r="H52" s="21">
        <f t="shared" si="0"/>
        <v>-16.725000000000009</v>
      </c>
      <c r="I52" s="21">
        <f t="shared" si="1"/>
        <v>0</v>
      </c>
      <c r="J52" s="21">
        <f t="shared" si="2"/>
        <v>0</v>
      </c>
      <c r="K52" s="21">
        <f t="shared" si="3"/>
        <v>0</v>
      </c>
      <c r="L52" s="21">
        <f t="shared" si="4"/>
        <v>0</v>
      </c>
      <c r="M52" s="21">
        <f t="shared" si="5"/>
        <v>11.746800000000002</v>
      </c>
    </row>
    <row r="53" spans="1:13" x14ac:dyDescent="0.25">
      <c r="A53" s="22" t="s">
        <v>470</v>
      </c>
      <c r="B53" s="22" t="s">
        <v>31</v>
      </c>
      <c r="C53" s="23">
        <f t="shared" ref="C53:M53" si="6">SUM(C5:C52)*0.5</f>
        <v>1796.9879500000002</v>
      </c>
      <c r="D53" s="23">
        <f t="shared" si="6"/>
        <v>572.84255000000007</v>
      </c>
      <c r="E53" s="23">
        <f t="shared" si="6"/>
        <v>360.29374999999999</v>
      </c>
      <c r="F53" s="23">
        <f t="shared" si="6"/>
        <v>275.858</v>
      </c>
      <c r="G53" s="23">
        <f t="shared" si="6"/>
        <v>230.37314999999998</v>
      </c>
      <c r="H53" s="23">
        <f t="shared" si="6"/>
        <v>45.484850000000016</v>
      </c>
      <c r="I53" s="23">
        <f t="shared" si="6"/>
        <v>357.82515000000006</v>
      </c>
      <c r="J53" s="23">
        <f t="shared" si="6"/>
        <v>258.78369999999995</v>
      </c>
      <c r="K53" s="23">
        <f t="shared" si="6"/>
        <v>193.76869999999997</v>
      </c>
      <c r="L53" s="23">
        <f t="shared" si="6"/>
        <v>986.61039999999969</v>
      </c>
      <c r="M53" s="23">
        <f t="shared" si="6"/>
        <v>166.52505000000008</v>
      </c>
    </row>
    <row r="55" spans="1:13" x14ac:dyDescent="0.25">
      <c r="A55" s="15" t="s">
        <v>471</v>
      </c>
    </row>
    <row r="56" spans="1:13" x14ac:dyDescent="0.25">
      <c r="A56" s="15" t="s">
        <v>483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5"/>
  <sheetViews>
    <sheetView showGridLines="0" workbookViewId="0">
      <selection activeCell="P27" sqref="P27"/>
    </sheetView>
  </sheetViews>
  <sheetFormatPr defaultRowHeight="15" x14ac:dyDescent="0.25"/>
  <cols>
    <col min="1" max="1" width="30" customWidth="1"/>
    <col min="2" max="3" width="13" customWidth="1"/>
    <col min="4" max="4" width="4" customWidth="1"/>
    <col min="5" max="5" width="26" customWidth="1"/>
    <col min="6" max="7" width="13" customWidth="1"/>
  </cols>
  <sheetData>
    <row r="1" spans="1:7" ht="19.5" x14ac:dyDescent="0.3">
      <c r="A1" s="1" t="s">
        <v>472</v>
      </c>
    </row>
    <row r="3" spans="1:7" x14ac:dyDescent="0.25">
      <c r="A3" s="2" t="s">
        <v>473</v>
      </c>
      <c r="E3" s="2" t="s">
        <v>474</v>
      </c>
    </row>
    <row r="4" spans="1:7" x14ac:dyDescent="0.25">
      <c r="A4" s="5" t="s">
        <v>475</v>
      </c>
      <c r="B4" s="5" t="s">
        <v>31</v>
      </c>
      <c r="C4" s="5" t="s">
        <v>37</v>
      </c>
      <c r="E4" s="5" t="s">
        <v>476</v>
      </c>
      <c r="F4" s="5" t="s">
        <v>31</v>
      </c>
      <c r="G4" s="5" t="s">
        <v>477</v>
      </c>
    </row>
    <row r="5" spans="1:7" x14ac:dyDescent="0.25">
      <c r="A5" s="8" t="s">
        <v>478</v>
      </c>
      <c r="B5" s="21">
        <f>'7. PV allocation (per period)'!I53</f>
        <v>357.82515000000006</v>
      </c>
      <c r="C5" s="24">
        <f>'7. PV allocation (per period)'!I53/'7. PV allocation (per period)'!C53</f>
        <v>0.19912495796090343</v>
      </c>
      <c r="E5" s="8" t="s">
        <v>479</v>
      </c>
      <c r="F5" s="21">
        <f>'7. PV allocation (per period)'!K53</f>
        <v>193.76869999999997</v>
      </c>
      <c r="G5" s="24">
        <f>'7. PV allocation (per period)'!K53/'7. PV allocation (per period)'!E53</f>
        <v>0.53780755286484982</v>
      </c>
    </row>
    <row r="6" spans="1:7" x14ac:dyDescent="0.25">
      <c r="A6" s="8" t="s">
        <v>33</v>
      </c>
      <c r="B6" s="21">
        <f>'7. PV allocation (per period)'!J53</f>
        <v>258.78369999999995</v>
      </c>
      <c r="C6" s="24">
        <f>'7. PV allocation (per period)'!J53/'7. PV allocation (per period)'!C53</f>
        <v>0.14400970245793798</v>
      </c>
      <c r="E6" s="8" t="s">
        <v>480</v>
      </c>
      <c r="F6" s="21">
        <f>'7. PV allocation (per period)'!M53</f>
        <v>166.52505000000008</v>
      </c>
      <c r="G6" s="24">
        <f>'7. PV allocation (per period)'!M53/'7. PV allocation (per period)'!E53</f>
        <v>0.4621924471351504</v>
      </c>
    </row>
    <row r="7" spans="1:7" x14ac:dyDescent="0.25">
      <c r="A7" s="8" t="s">
        <v>34</v>
      </c>
      <c r="B7" s="21">
        <f>'7. PV allocation (per period)'!K53</f>
        <v>193.76869999999997</v>
      </c>
      <c r="C7" s="24">
        <f>'7. PV allocation (per period)'!K53/'7. PV allocation (per period)'!C53</f>
        <v>0.10782971583087129</v>
      </c>
      <c r="E7" s="22" t="s">
        <v>481</v>
      </c>
      <c r="F7" s="23">
        <f>'7. PV allocation (per period)'!E53</f>
        <v>360.29374999999999</v>
      </c>
      <c r="G7" s="25">
        <v>1</v>
      </c>
    </row>
    <row r="8" spans="1:7" x14ac:dyDescent="0.25">
      <c r="A8" s="8" t="s">
        <v>35</v>
      </c>
      <c r="B8" s="21">
        <f>'7. PV allocation (per period)'!L53</f>
        <v>986.61039999999969</v>
      </c>
      <c r="C8" s="24">
        <f>'7. PV allocation (per period)'!L53/'7. PV allocation (per period)'!C53</f>
        <v>0.54903562375028703</v>
      </c>
    </row>
    <row r="9" spans="1:7" x14ac:dyDescent="0.25">
      <c r="A9" s="22" t="s">
        <v>482</v>
      </c>
      <c r="B9" s="23">
        <f>'7. PV allocation (per period)'!C53</f>
        <v>1796.9879500000002</v>
      </c>
      <c r="C9" s="25">
        <v>1</v>
      </c>
    </row>
    <row r="55" spans="1:1" x14ac:dyDescent="0.25">
      <c r="A55" s="15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Overview</vt:lpstr>
      <vt:lpstr>2. Load classification</vt:lpstr>
      <vt:lpstr>3. Raw PV per load</vt:lpstr>
      <vt:lpstr>4. Raw load per load</vt:lpstr>
      <vt:lpstr>5. Raw batt charge</vt:lpstr>
      <vt:lpstr>6. Raw batt discharge</vt:lpstr>
      <vt:lpstr>7. PV allocation (per period)</vt:lpstr>
      <vt:lpstr>8. Results &amp;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Tulio</cp:lastModifiedBy>
  <dcterms:created xsi:type="dcterms:W3CDTF">2026-07-24T17:32:06Z</dcterms:created>
  <dcterms:modified xsi:type="dcterms:W3CDTF">2026-07-24T17:43:20Z</dcterms:modified>
</cp:coreProperties>
</file>