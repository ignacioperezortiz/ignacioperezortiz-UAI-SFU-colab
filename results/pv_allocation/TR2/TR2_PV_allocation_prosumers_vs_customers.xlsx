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Load classification" sheetId="2" state="visible" r:id="rId2"/>
    <sheet name="3. Raw PV per load" sheetId="3" state="visible" r:id="rId3"/>
    <sheet name="4. Raw load per load" sheetId="4" state="visible" r:id="rId4"/>
    <sheet name="5. Raw batt charge" sheetId="5" state="visible" r:id="rId5"/>
    <sheet name="6. Raw batt discharge" sheetId="6" state="visible" r:id="rId6"/>
    <sheet name="7. PV allocation (per period)" sheetId="7" state="visible" r:id="rId7"/>
    <sheet name="8. Results &amp; charts" sheetId="8" state="visible" r:id="rId8"/>
  </sheets>
  <definedNames>
    <definedName name="_xlnm._FilterDatabase" localSheetId="1" hidden="1">'2. Load classification'!$A$4:$F$181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2E5496"/>
      <sz val="11"/>
    </font>
    <font>
      <b val="1"/>
    </font>
    <font>
      <name val="Consolas"/>
      <sz val="9"/>
    </font>
    <font>
      <b val="1"/>
      <color rgb="00FFFFFF"/>
      <sz val="10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/>
    </xf>
    <xf numFmtId="0" fontId="6" fillId="0" borderId="0" pivotButton="0" quotePrefix="0" xfId="0"/>
    <xf numFmtId="166" fontId="0" fillId="0" borderId="0" pivotButton="0" quotePrefix="0" xfId="0"/>
    <xf numFmtId="0" fontId="0" fillId="5" borderId="1" pivotButton="0" quotePrefix="0" xfId="0"/>
    <xf numFmtId="166" fontId="0" fillId="5" borderId="0" pivotButton="0" quotePrefix="0" xfId="0"/>
    <xf numFmtId="164" fontId="0" fillId="0" borderId="1" pivotButton="0" quotePrefix="0" xfId="0"/>
    <xf numFmtId="164" fontId="0" fillId="6" borderId="1" pivotButton="0" quotePrefix="0" xfId="0"/>
    <xf numFmtId="164" fontId="0" fillId="4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0" fillId="4" borderId="1" pivotButton="0" quotePrefix="0" xfId="0"/>
    <xf numFmtId="165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the PV goes across the day (stacked, kW)</a:t>
            </a:r>
          </a:p>
        </rich>
      </tx>
    </title>
    <plotArea>
      <areaChart>
        <grouping val="stacked"/>
        <ser>
          <idx val="0"/>
          <order val="0"/>
          <tx>
            <strRef>
              <f>'7. PV allocation (per period)'!I4</f>
            </strRef>
          </tx>
          <spPr>
            <a:ln>
              <a:prstDash val="solid"/>
            </a:ln>
          </spPr>
          <cat>
            <numRef>
              <f>'7. PV allocation (per period)'!$B$5:$B$52</f>
            </numRef>
          </cat>
          <val>
            <numRef>
              <f>'7. PV allocation (per period)'!$I$5:$I$52</f>
            </numRef>
          </val>
        </ser>
        <ser>
          <idx val="1"/>
          <order val="1"/>
          <tx>
            <strRef>
              <f>'7. PV allocation (per period)'!J4</f>
            </strRef>
          </tx>
          <spPr>
            <a:ln>
              <a:prstDash val="solid"/>
            </a:ln>
          </spPr>
          <cat>
            <numRef>
              <f>'7. PV allocation (per period)'!$B$5:$B$52</f>
            </numRef>
          </cat>
          <val>
            <numRef>
              <f>'7. PV allocation (per period)'!$J$5:$J$52</f>
            </numRef>
          </val>
        </ser>
        <ser>
          <idx val="2"/>
          <order val="2"/>
          <tx>
            <strRef>
              <f>'7. PV allocation (per period)'!K4</f>
            </strRef>
          </tx>
          <spPr>
            <a:ln>
              <a:prstDash val="solid"/>
            </a:ln>
          </spPr>
          <cat>
            <numRef>
              <f>'7. PV allocation (per period)'!$B$5:$B$52</f>
            </numRef>
          </cat>
          <val>
            <numRef>
              <f>'7. PV allocation (per period)'!$K$5:$K$52</f>
            </numRef>
          </val>
        </ser>
        <ser>
          <idx val="3"/>
          <order val="3"/>
          <tx>
            <strRef>
              <f>'7. PV allocation (per period)'!L4</f>
            </strRef>
          </tx>
          <spPr>
            <a:ln>
              <a:prstDash val="solid"/>
            </a:ln>
          </spPr>
          <cat>
            <numRef>
              <f>'7. PV allocation (per period)'!$B$5:$B$52</f>
            </numRef>
          </cat>
          <val>
            <numRef>
              <f>'7. PV allocation (per period)'!$L$5:$L$52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PV destination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'8. Results &amp; charts'!$A$5:$A$8</f>
            </numRef>
          </cat>
          <val>
            <numRef>
              <f>'8. Results &amp; charts'!$B$5:$B$8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kWh/day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load: PV vs grid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'8. Results &amp; charts'!$E$5:$E$6</f>
            </numRef>
          </cat>
          <val>
            <numRef>
              <f>'8. Results &amp; charts'!$F$5:$F$6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kWh/day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6" customWidth="1" min="4" max="4"/>
    <col width="40" customWidth="1" min="5" max="5"/>
  </cols>
  <sheetData>
    <row r="2">
      <c r="B2" s="1" t="inlineStr">
        <is>
          <t>TR2 — Where does the PV energy go?</t>
        </is>
      </c>
    </row>
    <row r="3">
      <c r="B3" s="2" t="inlineStr">
        <is>
          <t>Prosumers vs. pure customers — every kWh traced from the raw model inputs</t>
        </is>
      </c>
    </row>
    <row r="5">
      <c r="B5" s="2" t="inlineStr">
        <is>
          <t>Purpose</t>
        </is>
      </c>
    </row>
    <row r="6">
      <c r="B6" s="3" t="inlineStr">
        <is>
          <t>This workbook accounts for every kWh of PV generated on transformer TR2 over one representative day, and it is fully auditable: nothing is hand-typed except the raw model outputs. Follow the data chain below — each step is a live formula, so changing any raw number updates everything.</t>
        </is>
      </c>
    </row>
    <row r="7"/>
    <row r="8"/>
    <row r="10">
      <c r="B10" s="2" t="inlineStr">
        <is>
          <t>The data chain (how each number is built)</t>
        </is>
      </c>
    </row>
    <row r="11" ht="40" customHeight="1">
      <c r="B11" s="4" t="inlineStr">
        <is>
          <t>Sheet 3 · Raw PV per load</t>
        </is>
      </c>
      <c r="C11" s="3" t="inlineStr">
        <is>
          <t>The PV profile of every connection, 48 half-hours. Copied verbatim from TR2_load_PV_48periods.xlsx (sheet PV_generation_kW). Customers = 0.</t>
        </is>
      </c>
    </row>
    <row r="12" ht="40" customHeight="1">
      <c r="B12" s="4" t="inlineStr">
        <is>
          <t>Sheet 4 · Raw load per load</t>
        </is>
      </c>
      <c r="C12" s="3" t="inlineStr">
        <is>
          <t>The load profile of every connection, 48 half-hours, tagged prosumer / customer. Copied from TR2_load_PV_48periods.xlsx (sheet Load_P_kW).</t>
        </is>
      </c>
    </row>
    <row r="13" ht="40" customHeight="1">
      <c r="B13" s="4" t="inlineStr">
        <is>
          <t>Sheet 5 · Raw batt charge</t>
        </is>
      </c>
      <c r="C13" s="3" t="inlineStr">
        <is>
          <t>Charging power of every battery, 48 half-hours. Copied from the rolling dispatch TR2_analysis_data.xlsx (sheet Charge_kW).</t>
        </is>
      </c>
    </row>
    <row r="14" ht="40" customHeight="1">
      <c r="B14" s="4" t="inlineStr">
        <is>
          <t>Sheet 6 · Raw batt discharge</t>
        </is>
      </c>
      <c r="C14" s="3" t="inlineStr">
        <is>
          <t>Discharging power of every battery. Copied from the same run (Discharge_kW).</t>
        </is>
      </c>
    </row>
    <row r="15" ht="40" customHeight="1">
      <c r="B15" s="4" t="inlineStr">
        <is>
          <t>Sheet 7 · PV allocation</t>
        </is>
      </c>
      <c r="C15" s="3" t="inlineStr">
        <is>
          <t>Per half-hour: the five blue inputs are AGGREGATED from sheets 3–6 by SUM / SUMIF; the amber columns then split the PV by the priority rule.</t>
        </is>
      </c>
    </row>
    <row r="16" ht="40" customHeight="1">
      <c r="B16" s="4" t="inlineStr">
        <is>
          <t>Sheets 1 &amp; 8 · Results</t>
        </is>
      </c>
      <c r="C16" s="3" t="inlineStr">
        <is>
          <t>Daily totals (Σ×0.5 h) and shares. Every headline cell links to sheet 7.</t>
        </is>
      </c>
    </row>
    <row r="18">
      <c r="B18" s="2" t="inlineStr">
        <is>
          <t>The aggregation formulas (sheet 7, per half-hour)</t>
        </is>
      </c>
    </row>
    <row r="19">
      <c r="B19" s="5" t="inlineStr">
        <is>
          <t>PV (all)</t>
        </is>
      </c>
      <c r="C19" s="6">
        <f>SUM over every row of sheet 3 for that half-hour  →  total PV that instant</f>
        <v/>
      </c>
    </row>
    <row r="20">
      <c r="B20" s="5" t="inlineStr">
        <is>
          <t>prosumer load</t>
        </is>
      </c>
      <c r="C20" s="6">
        <f>SUMIF(type = "prosumer") over sheet 4  →  load of the 95 PV owners</f>
        <v/>
      </c>
    </row>
    <row r="21">
      <c r="B21" s="5" t="inlineStr">
        <is>
          <t>customer load</t>
        </is>
      </c>
      <c r="C21" s="6">
        <f>SUMIF(type = "customer") over sheet 4  →  load of the 82 pure customers</f>
        <v/>
      </c>
    </row>
    <row r="22">
      <c r="B22" s="5" t="inlineStr">
        <is>
          <t>battery charge</t>
        </is>
      </c>
      <c r="C22" s="6">
        <f>SUM of all 95 battery columns of sheet 5 for that half-hour</f>
        <v/>
      </c>
    </row>
    <row r="23">
      <c r="B23" s="5" t="inlineStr">
        <is>
          <t>battery discharge</t>
        </is>
      </c>
      <c r="C23" s="6">
        <f>SUM of all 95 battery columns of sheet 6 for that half-hour</f>
        <v/>
      </c>
    </row>
    <row r="25">
      <c r="B25" s="2" t="inlineStr">
        <is>
          <t>Headline results (all linked live to sheet 7)</t>
        </is>
      </c>
    </row>
    <row r="26">
      <c r="B26" s="7" t="inlineStr">
        <is>
          <t>Quantity</t>
        </is>
      </c>
      <c r="C26" s="7" t="inlineStr">
        <is>
          <t>Value</t>
        </is>
      </c>
      <c r="D26" s="7" t="inlineStr">
        <is>
          <t>Unit</t>
        </is>
      </c>
    </row>
    <row r="27">
      <c r="B27" s="8" t="inlineStr">
        <is>
          <t>Prosumers (PV + battery)</t>
        </is>
      </c>
      <c r="C27" s="9" t="n">
        <v>95</v>
      </c>
      <c r="D27" s="9" t="inlineStr">
        <is>
          <t>connections</t>
        </is>
      </c>
    </row>
    <row r="28">
      <c r="B28" s="8" t="inlineStr">
        <is>
          <t>Pure customers (load only)</t>
        </is>
      </c>
      <c r="C28" s="9" t="n">
        <v>82</v>
      </c>
      <c r="D28" s="9" t="inlineStr">
        <is>
          <t>connections</t>
        </is>
      </c>
    </row>
    <row r="29">
      <c r="B29" s="10" t="inlineStr">
        <is>
          <t>PV generated</t>
        </is>
      </c>
      <c r="C29" s="11">
        <f>'7. PV allocation (per period)'!C53</f>
        <v/>
      </c>
      <c r="D29" s="12" t="inlineStr">
        <is>
          <t>kWh/day</t>
        </is>
      </c>
    </row>
    <row r="30">
      <c r="B30" s="10" t="inlineStr">
        <is>
          <t>PV → prosumers' own load (direct)</t>
        </is>
      </c>
      <c r="C30" s="11">
        <f>'7. PV allocation (per period)'!I53</f>
        <v/>
      </c>
      <c r="D30" s="12" t="inlineStr">
        <is>
          <t>kWh/day</t>
        </is>
      </c>
    </row>
    <row r="31">
      <c r="B31" s="10" t="inlineStr">
        <is>
          <t>PV → battery storage</t>
        </is>
      </c>
      <c r="C31" s="11">
        <f>'7. PV allocation (per period)'!J53</f>
        <v/>
      </c>
      <c r="D31" s="12" t="inlineStr">
        <is>
          <t>kWh/day</t>
        </is>
      </c>
    </row>
    <row r="32">
      <c r="B32" s="10" t="inlineStr">
        <is>
          <t>PV → customers</t>
        </is>
      </c>
      <c r="C32" s="11">
        <f>'7. PV allocation (per period)'!K53</f>
        <v/>
      </c>
      <c r="D32" s="12" t="inlineStr">
        <is>
          <t>kWh/day</t>
        </is>
      </c>
    </row>
    <row r="33">
      <c r="B33" s="10" t="inlineStr">
        <is>
          <t>PV → export to grid</t>
        </is>
      </c>
      <c r="C33" s="11">
        <f>'7. PV allocation (per period)'!L53</f>
        <v/>
      </c>
      <c r="D33" s="12" t="inlineStr">
        <is>
          <t>kWh/day</t>
        </is>
      </c>
    </row>
    <row r="34">
      <c r="B34" s="10" t="inlineStr">
        <is>
          <t>PV share reaching customers</t>
        </is>
      </c>
      <c r="C34" s="13">
        <f>'7. PV allocation (per period)'!K53/'7. PV allocation (per period)'!C53</f>
        <v/>
      </c>
      <c r="D34" s="12" t="inlineStr">
        <is>
          <t>% of PV</t>
        </is>
      </c>
    </row>
    <row r="35">
      <c r="B35" s="10" t="inlineStr">
        <is>
          <t>Customer load covered by PV</t>
        </is>
      </c>
      <c r="C35" s="13">
        <f>'7. PV allocation (per period)'!K53/'7. PV allocation (per period)'!E53</f>
        <v/>
      </c>
      <c r="D35" s="12" t="inlineStr">
        <is>
          <t>% of customer load</t>
        </is>
      </c>
    </row>
    <row r="36">
      <c r="B36" s="10" t="inlineStr">
        <is>
          <t>Customer load covered by grid</t>
        </is>
      </c>
      <c r="C36" s="13">
        <f>'7. PV allocation (per period)'!M53/'7. PV allocation (per period)'!E53</f>
        <v/>
      </c>
      <c r="D36" s="12" t="inlineStr">
        <is>
          <t>% of customer load</t>
        </is>
      </c>
    </row>
    <row r="39">
      <c r="B39" s="2" t="inlineStr">
        <is>
          <t>Colour key &amp; provenance</t>
        </is>
      </c>
    </row>
    <row r="40">
      <c r="B40" s="3" t="inlineStr">
        <is>
          <t>• LIGHT-BLUE cell = data belonging to a prosumer (its rooftop PV, load, or battery).  WHITE = a pure customer (load only).  On sheet 7:  VIOLET = value aggregated live from the raw sheets (SUM/SUMIF);  AMBER = allocation formula;  GREEN = daily total (Σ × 0.5 h).</t>
        </is>
      </c>
    </row>
    <row r="41">
      <c r="B41" s="3" t="inlineStr">
        <is>
          <t>• Per-load PV &amp; load profiles:  results/tables/TR2_load_PV_48periods.xlsx  (built from OpData.xls).</t>
        </is>
      </c>
    </row>
    <row r="42">
      <c r="B42" s="3" t="inlineStr">
        <is>
          <t>• Per-battery charge/discharge:  TR2_analysis/01_DAILY_ROLLING_DISPATCH/TR2_analysis_data.xlsx (exact-QCP rolling dispatch, RunFOR_Rolling, CPLEX).</t>
        </is>
      </c>
    </row>
    <row r="43">
      <c r="B43" s="3" t="inlineStr">
        <is>
          <t>• Load classification (PV size &gt; 0 = prosumer):  sheet 'Customers' of the load/PV workbook.</t>
        </is>
      </c>
    </row>
    <row r="44">
      <c r="B44" s="3" t="inlineStr">
        <is>
          <t>• Method note: priority energy allocation per half-hour; downstream network + battery round-trip losses (~3–4% of PV) are not separated out in the per-period disposition.</t>
        </is>
      </c>
    </row>
  </sheetData>
  <mergeCells count="17">
    <mergeCell ref="C16:E16"/>
    <mergeCell ref="B6:E8"/>
    <mergeCell ref="B40:E40"/>
    <mergeCell ref="B41:E41"/>
    <mergeCell ref="C14:E14"/>
    <mergeCell ref="C11:E11"/>
    <mergeCell ref="C13:E13"/>
    <mergeCell ref="C19:E19"/>
    <mergeCell ref="B43:E43"/>
    <mergeCell ref="C23:E23"/>
    <mergeCell ref="B42:E42"/>
    <mergeCell ref="C15:E15"/>
    <mergeCell ref="C22:E22"/>
    <mergeCell ref="B44:E44"/>
    <mergeCell ref="C21:E21"/>
    <mergeCell ref="C20:E20"/>
    <mergeCell ref="C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7" customWidth="1" min="4" max="4"/>
    <col width="13" customWidth="1" min="5" max="5"/>
    <col width="13" customWidth="1" min="6" max="6"/>
  </cols>
  <sheetData>
    <row r="1">
      <c r="A1" s="1" t="inlineStr">
        <is>
          <t>TR2 load classification — 177 connections</t>
        </is>
      </c>
    </row>
    <row r="2">
      <c r="A2" s="2" t="inlineStr">
        <is>
          <t>95 prosumers (PV + battery)  ·  82 pure customers (load only)</t>
        </is>
      </c>
    </row>
    <row r="4">
      <c r="A4" s="7" t="inlineStr">
        <is>
          <t>ID</t>
        </is>
      </c>
      <c r="B4" s="7" t="inlineStr">
        <is>
          <t>Load name</t>
        </is>
      </c>
      <c r="C4" s="7" t="inlineStr">
        <is>
          <t>Bus</t>
        </is>
      </c>
      <c r="D4" s="7" t="inlineStr">
        <is>
          <t>Phase</t>
        </is>
      </c>
      <c r="E4" s="7" t="inlineStr">
        <is>
          <t>PV size (kW)</t>
        </is>
      </c>
      <c r="F4" s="7" t="inlineStr">
        <is>
          <t>Type</t>
        </is>
      </c>
    </row>
    <row r="5">
      <c r="A5" s="12" t="n">
        <v>133</v>
      </c>
      <c r="B5" s="14" t="inlineStr">
        <is>
          <t>Load_TR2_F3_1</t>
        </is>
      </c>
      <c r="C5" s="12" t="inlineStr">
        <is>
          <t>TR2_three64</t>
        </is>
      </c>
      <c r="D5" s="12" t="n">
        <v>1</v>
      </c>
      <c r="E5" s="12" t="n">
        <v>0</v>
      </c>
      <c r="F5" s="12" t="inlineStr">
        <is>
          <t>customer</t>
        </is>
      </c>
    </row>
    <row r="6">
      <c r="A6" s="12" t="n">
        <v>134</v>
      </c>
      <c r="B6" s="14" t="inlineStr">
        <is>
          <t>Load_TR2_F3_10</t>
        </is>
      </c>
      <c r="C6" s="12" t="inlineStr">
        <is>
          <t>TR2_three193</t>
        </is>
      </c>
      <c r="D6" s="12" t="n">
        <v>1</v>
      </c>
      <c r="E6" s="12" t="n">
        <v>0</v>
      </c>
      <c r="F6" s="12" t="inlineStr">
        <is>
          <t>customer</t>
        </is>
      </c>
    </row>
    <row r="7">
      <c r="A7" s="12" t="n">
        <v>135</v>
      </c>
      <c r="B7" s="14" t="inlineStr">
        <is>
          <t>Load_TR2_F3_11</t>
        </is>
      </c>
      <c r="C7" s="12" t="inlineStr">
        <is>
          <t>TR2_three204</t>
        </is>
      </c>
      <c r="D7" s="12" t="n">
        <v>2</v>
      </c>
      <c r="E7" s="12" t="n">
        <v>0</v>
      </c>
      <c r="F7" s="12" t="inlineStr">
        <is>
          <t>customer</t>
        </is>
      </c>
    </row>
    <row r="8">
      <c r="A8" s="12" t="n">
        <v>136</v>
      </c>
      <c r="B8" s="14" t="inlineStr">
        <is>
          <t>Load_TR2_F3_12</t>
        </is>
      </c>
      <c r="C8" s="12" t="inlineStr">
        <is>
          <t>TR2_three210</t>
        </is>
      </c>
      <c r="D8" s="12" t="n">
        <v>2</v>
      </c>
      <c r="E8" s="12" t="n">
        <v>0</v>
      </c>
      <c r="F8" s="12" t="inlineStr">
        <is>
          <t>customer</t>
        </is>
      </c>
    </row>
    <row r="9">
      <c r="A9" s="12" t="n">
        <v>137</v>
      </c>
      <c r="B9" s="14" t="inlineStr">
        <is>
          <t>Load_TR2_F3_13</t>
        </is>
      </c>
      <c r="C9" s="12" t="inlineStr">
        <is>
          <t>TR2_three232</t>
        </is>
      </c>
      <c r="D9" s="12" t="n">
        <v>3</v>
      </c>
      <c r="E9" s="12" t="n">
        <v>0</v>
      </c>
      <c r="F9" s="12" t="inlineStr">
        <is>
          <t>customer</t>
        </is>
      </c>
    </row>
    <row r="10">
      <c r="A10" s="12" t="n">
        <v>138</v>
      </c>
      <c r="B10" s="14" t="inlineStr">
        <is>
          <t>Load_TR2_F3_14</t>
        </is>
      </c>
      <c r="C10" s="12" t="inlineStr">
        <is>
          <t>TR2_three233</t>
        </is>
      </c>
      <c r="D10" s="12" t="n">
        <v>1</v>
      </c>
      <c r="E10" s="12" t="n">
        <v>0</v>
      </c>
      <c r="F10" s="12" t="inlineStr">
        <is>
          <t>customer</t>
        </is>
      </c>
    </row>
    <row r="11">
      <c r="A11" s="12" t="n">
        <v>139</v>
      </c>
      <c r="B11" s="14" t="inlineStr">
        <is>
          <t>Load_TR2_F3_15</t>
        </is>
      </c>
      <c r="C11" s="12" t="inlineStr">
        <is>
          <t>TR2_three248</t>
        </is>
      </c>
      <c r="D11" s="12" t="n">
        <v>3</v>
      </c>
      <c r="E11" s="12" t="n">
        <v>0</v>
      </c>
      <c r="F11" s="12" t="inlineStr">
        <is>
          <t>customer</t>
        </is>
      </c>
    </row>
    <row r="12">
      <c r="A12" s="12" t="n">
        <v>140</v>
      </c>
      <c r="B12" s="14" t="inlineStr">
        <is>
          <t>Load_TR2_F3_16</t>
        </is>
      </c>
      <c r="C12" s="12" t="inlineStr">
        <is>
          <t>TR2_three252</t>
        </is>
      </c>
      <c r="D12" s="12" t="n">
        <v>2</v>
      </c>
      <c r="E12" s="12" t="n">
        <v>0</v>
      </c>
      <c r="F12" s="12" t="inlineStr">
        <is>
          <t>customer</t>
        </is>
      </c>
    </row>
    <row r="13">
      <c r="A13" s="12" t="n">
        <v>141</v>
      </c>
      <c r="B13" s="14" t="inlineStr">
        <is>
          <t>Load_TR2_F3_17</t>
        </is>
      </c>
      <c r="C13" s="12" t="inlineStr">
        <is>
          <t>TR2_three253</t>
        </is>
      </c>
      <c r="D13" s="12" t="n">
        <v>3</v>
      </c>
      <c r="E13" s="12" t="n">
        <v>0</v>
      </c>
      <c r="F13" s="12" t="inlineStr">
        <is>
          <t>customer</t>
        </is>
      </c>
    </row>
    <row r="14">
      <c r="A14" s="12" t="n">
        <v>142</v>
      </c>
      <c r="B14" s="14" t="inlineStr">
        <is>
          <t>Load_TR2_F3_18</t>
        </is>
      </c>
      <c r="C14" s="12" t="inlineStr">
        <is>
          <t>TR2_three260</t>
        </is>
      </c>
      <c r="D14" s="12" t="n">
        <v>3</v>
      </c>
      <c r="E14" s="12" t="n">
        <v>0</v>
      </c>
      <c r="F14" s="12" t="inlineStr">
        <is>
          <t>customer</t>
        </is>
      </c>
    </row>
    <row r="15">
      <c r="A15" s="12" t="n">
        <v>143</v>
      </c>
      <c r="B15" s="14" t="inlineStr">
        <is>
          <t>Load_TR2_F3_19</t>
        </is>
      </c>
      <c r="C15" s="12" t="inlineStr">
        <is>
          <t>TR2_three284</t>
        </is>
      </c>
      <c r="D15" s="12" t="n">
        <v>2</v>
      </c>
      <c r="E15" s="12" t="n">
        <v>0</v>
      </c>
      <c r="F15" s="12" t="inlineStr">
        <is>
          <t>customer</t>
        </is>
      </c>
    </row>
    <row r="16">
      <c r="A16" s="12" t="n">
        <v>144</v>
      </c>
      <c r="B16" s="14" t="inlineStr">
        <is>
          <t>Load_TR2_F3_2</t>
        </is>
      </c>
      <c r="C16" s="12" t="inlineStr">
        <is>
          <t>TR2_three66</t>
        </is>
      </c>
      <c r="D16" s="12" t="n">
        <v>3</v>
      </c>
      <c r="E16" s="12" t="n">
        <v>0</v>
      </c>
      <c r="F16" s="12" t="inlineStr">
        <is>
          <t>customer</t>
        </is>
      </c>
    </row>
    <row r="17">
      <c r="A17" s="12" t="n">
        <v>149</v>
      </c>
      <c r="B17" s="14" t="inlineStr">
        <is>
          <t>Load_TR2_F3_24</t>
        </is>
      </c>
      <c r="C17" s="12" t="inlineStr">
        <is>
          <t>TR2_three395</t>
        </is>
      </c>
      <c r="D17" s="12" t="n">
        <v>2</v>
      </c>
      <c r="E17" s="12" t="n">
        <v>0</v>
      </c>
      <c r="F17" s="12" t="inlineStr">
        <is>
          <t>customer</t>
        </is>
      </c>
    </row>
    <row r="18">
      <c r="A18" s="12" t="n">
        <v>152</v>
      </c>
      <c r="B18" s="14" t="inlineStr">
        <is>
          <t>Load_TR2_F3_3</t>
        </is>
      </c>
      <c r="C18" s="12" t="inlineStr">
        <is>
          <t>TR2_three76</t>
        </is>
      </c>
      <c r="D18" s="12" t="n">
        <v>1</v>
      </c>
      <c r="E18" s="12" t="n">
        <v>0</v>
      </c>
      <c r="F18" s="12" t="inlineStr">
        <is>
          <t>customer</t>
        </is>
      </c>
    </row>
    <row r="19">
      <c r="A19" s="12" t="n">
        <v>153</v>
      </c>
      <c r="B19" s="14" t="inlineStr">
        <is>
          <t>Load_TR2_F3_4</t>
        </is>
      </c>
      <c r="C19" s="12" t="inlineStr">
        <is>
          <t>TR2_three81</t>
        </is>
      </c>
      <c r="D19" s="12" t="n">
        <v>1</v>
      </c>
      <c r="E19" s="12" t="n">
        <v>0</v>
      </c>
      <c r="F19" s="12" t="inlineStr">
        <is>
          <t>customer</t>
        </is>
      </c>
    </row>
    <row r="20">
      <c r="A20" s="12" t="n">
        <v>154</v>
      </c>
      <c r="B20" s="14" t="inlineStr">
        <is>
          <t>Load_TR2_F3_5</t>
        </is>
      </c>
      <c r="C20" s="12" t="inlineStr">
        <is>
          <t>TR2_three90</t>
        </is>
      </c>
      <c r="D20" s="12" t="n">
        <v>3</v>
      </c>
      <c r="E20" s="12" t="n">
        <v>0</v>
      </c>
      <c r="F20" s="12" t="inlineStr">
        <is>
          <t>customer</t>
        </is>
      </c>
    </row>
    <row r="21">
      <c r="A21" s="12" t="n">
        <v>156</v>
      </c>
      <c r="B21" s="14" t="inlineStr">
        <is>
          <t>Load_TR2_F3_7</t>
        </is>
      </c>
      <c r="C21" s="12" t="inlineStr">
        <is>
          <t>TR2_three126</t>
        </is>
      </c>
      <c r="D21" s="12" t="n">
        <v>2</v>
      </c>
      <c r="E21" s="12" t="n">
        <v>0</v>
      </c>
      <c r="F21" s="12" t="inlineStr">
        <is>
          <t>customer</t>
        </is>
      </c>
    </row>
    <row r="22">
      <c r="A22" s="12" t="n">
        <v>163</v>
      </c>
      <c r="B22" s="14" t="inlineStr">
        <is>
          <t>Load_TR2_F5_13</t>
        </is>
      </c>
      <c r="C22" s="12" t="inlineStr">
        <is>
          <t>TR2_five168</t>
        </is>
      </c>
      <c r="D22" s="12" t="n">
        <v>1</v>
      </c>
      <c r="E22" s="12" t="n">
        <v>0</v>
      </c>
      <c r="F22" s="12" t="inlineStr">
        <is>
          <t>customer</t>
        </is>
      </c>
    </row>
    <row r="23">
      <c r="A23" s="12" t="n">
        <v>166</v>
      </c>
      <c r="B23" s="14" t="inlineStr">
        <is>
          <t>Load_TR2_F5_16</t>
        </is>
      </c>
      <c r="C23" s="12" t="inlineStr">
        <is>
          <t>TR2_five186</t>
        </is>
      </c>
      <c r="D23" s="12" t="n">
        <v>3</v>
      </c>
      <c r="E23" s="12" t="n">
        <v>0</v>
      </c>
      <c r="F23" s="12" t="inlineStr">
        <is>
          <t>customer</t>
        </is>
      </c>
    </row>
    <row r="24">
      <c r="A24" s="12" t="n">
        <v>167</v>
      </c>
      <c r="B24" s="14" t="inlineStr">
        <is>
          <t>Load_TR2_F5_17</t>
        </is>
      </c>
      <c r="C24" s="12" t="inlineStr">
        <is>
          <t>TR2_five194</t>
        </is>
      </c>
      <c r="D24" s="12" t="n">
        <v>3</v>
      </c>
      <c r="E24" s="12" t="n">
        <v>0</v>
      </c>
      <c r="F24" s="12" t="inlineStr">
        <is>
          <t>customer</t>
        </is>
      </c>
    </row>
    <row r="25">
      <c r="A25" s="12" t="n">
        <v>168</v>
      </c>
      <c r="B25" s="14" t="inlineStr">
        <is>
          <t>Load_TR2_F5_18</t>
        </is>
      </c>
      <c r="C25" s="12" t="inlineStr">
        <is>
          <t>TR2_five199</t>
        </is>
      </c>
      <c r="D25" s="12" t="n">
        <v>3</v>
      </c>
      <c r="E25" s="12" t="n">
        <v>0</v>
      </c>
      <c r="F25" s="12" t="inlineStr">
        <is>
          <t>customer</t>
        </is>
      </c>
    </row>
    <row r="26">
      <c r="A26" s="12" t="n">
        <v>169</v>
      </c>
      <c r="B26" s="14" t="inlineStr">
        <is>
          <t>Load_TR2_F5_19</t>
        </is>
      </c>
      <c r="C26" s="12" t="inlineStr">
        <is>
          <t>TR2_five220</t>
        </is>
      </c>
      <c r="D26" s="12" t="n">
        <v>3</v>
      </c>
      <c r="E26" s="12" t="n">
        <v>0</v>
      </c>
      <c r="F26" s="12" t="inlineStr">
        <is>
          <t>customer</t>
        </is>
      </c>
    </row>
    <row r="27">
      <c r="A27" s="12" t="n">
        <v>171</v>
      </c>
      <c r="B27" s="14" t="inlineStr">
        <is>
          <t>Load_TR2_F5_20</t>
        </is>
      </c>
      <c r="C27" s="12" t="inlineStr">
        <is>
          <t>TR2_five223</t>
        </is>
      </c>
      <c r="D27" s="12" t="n">
        <v>1</v>
      </c>
      <c r="E27" s="12" t="n">
        <v>0</v>
      </c>
      <c r="F27" s="12" t="inlineStr">
        <is>
          <t>customer</t>
        </is>
      </c>
    </row>
    <row r="28">
      <c r="A28" s="12" t="n">
        <v>172</v>
      </c>
      <c r="B28" s="14" t="inlineStr">
        <is>
          <t>Load_TR2_F5_21</t>
        </is>
      </c>
      <c r="C28" s="12" t="inlineStr">
        <is>
          <t>TR2_five242</t>
        </is>
      </c>
      <c r="D28" s="12" t="n">
        <v>1</v>
      </c>
      <c r="E28" s="12" t="n">
        <v>0</v>
      </c>
      <c r="F28" s="12" t="inlineStr">
        <is>
          <t>customer</t>
        </is>
      </c>
    </row>
    <row r="29">
      <c r="A29" s="12" t="n">
        <v>177</v>
      </c>
      <c r="B29" s="14" t="inlineStr">
        <is>
          <t>Load_TR2_F5_26</t>
        </is>
      </c>
      <c r="C29" s="12" t="inlineStr">
        <is>
          <t>TR2_five309</t>
        </is>
      </c>
      <c r="D29" s="12" t="n">
        <v>3</v>
      </c>
      <c r="E29" s="12" t="n">
        <v>0</v>
      </c>
      <c r="F29" s="12" t="inlineStr">
        <is>
          <t>customer</t>
        </is>
      </c>
    </row>
    <row r="30">
      <c r="A30" s="12" t="n">
        <v>179</v>
      </c>
      <c r="B30" s="14" t="inlineStr">
        <is>
          <t>Load_TR2_F5_28</t>
        </is>
      </c>
      <c r="C30" s="12" t="inlineStr">
        <is>
          <t>TR2_five345</t>
        </is>
      </c>
      <c r="D30" s="12" t="n">
        <v>1</v>
      </c>
      <c r="E30" s="12" t="n">
        <v>0</v>
      </c>
      <c r="F30" s="12" t="inlineStr">
        <is>
          <t>customer</t>
        </is>
      </c>
    </row>
    <row r="31">
      <c r="A31" s="12" t="n">
        <v>181</v>
      </c>
      <c r="B31" s="14" t="inlineStr">
        <is>
          <t>Load_TR2_F5_3</t>
        </is>
      </c>
      <c r="C31" s="12" t="inlineStr">
        <is>
          <t>TR2_five78</t>
        </is>
      </c>
      <c r="D31" s="12" t="n">
        <v>1</v>
      </c>
      <c r="E31" s="12" t="n">
        <v>0</v>
      </c>
      <c r="F31" s="12" t="inlineStr">
        <is>
          <t>customer</t>
        </is>
      </c>
    </row>
    <row r="32">
      <c r="A32" s="12" t="n">
        <v>183</v>
      </c>
      <c r="B32" s="14" t="inlineStr">
        <is>
          <t>Load_TR2_F5_31</t>
        </is>
      </c>
      <c r="C32" s="12" t="inlineStr">
        <is>
          <t>TR2_five421</t>
        </is>
      </c>
      <c r="D32" s="12" t="n">
        <v>1</v>
      </c>
      <c r="E32" s="12" t="n">
        <v>0</v>
      </c>
      <c r="F32" s="12" t="inlineStr">
        <is>
          <t>customer</t>
        </is>
      </c>
    </row>
    <row r="33">
      <c r="A33" s="12" t="n">
        <v>184</v>
      </c>
      <c r="B33" s="14" t="inlineStr">
        <is>
          <t>Load_TR2_F5_32</t>
        </is>
      </c>
      <c r="C33" s="12" t="inlineStr">
        <is>
          <t>TR2_five445</t>
        </is>
      </c>
      <c r="D33" s="12" t="n">
        <v>3</v>
      </c>
      <c r="E33" s="12" t="n">
        <v>0</v>
      </c>
      <c r="F33" s="12" t="inlineStr">
        <is>
          <t>customer</t>
        </is>
      </c>
    </row>
    <row r="34">
      <c r="A34" s="12" t="n">
        <v>186</v>
      </c>
      <c r="B34" s="14" t="inlineStr">
        <is>
          <t>Load_TR2_F5_34</t>
        </is>
      </c>
      <c r="C34" s="12" t="inlineStr">
        <is>
          <t>TR2_five457</t>
        </is>
      </c>
      <c r="D34" s="12" t="n">
        <v>2</v>
      </c>
      <c r="E34" s="12" t="n">
        <v>0</v>
      </c>
      <c r="F34" s="12" t="inlineStr">
        <is>
          <t>customer</t>
        </is>
      </c>
    </row>
    <row r="35">
      <c r="A35" s="12" t="n">
        <v>188</v>
      </c>
      <c r="B35" s="14" t="inlineStr">
        <is>
          <t>Load_TR2_F5_36</t>
        </is>
      </c>
      <c r="C35" s="12" t="inlineStr">
        <is>
          <t>TR2_five472</t>
        </is>
      </c>
      <c r="D35" s="12" t="n">
        <v>1</v>
      </c>
      <c r="E35" s="12" t="n">
        <v>0</v>
      </c>
      <c r="F35" s="12" t="inlineStr">
        <is>
          <t>customer</t>
        </is>
      </c>
    </row>
    <row r="36">
      <c r="A36" s="12" t="n">
        <v>189</v>
      </c>
      <c r="B36" s="14" t="inlineStr">
        <is>
          <t>Load_TR2_F5_37</t>
        </is>
      </c>
      <c r="C36" s="12" t="inlineStr">
        <is>
          <t>TR2_five488</t>
        </is>
      </c>
      <c r="D36" s="12" t="n">
        <v>2</v>
      </c>
      <c r="E36" s="12" t="n">
        <v>0</v>
      </c>
      <c r="F36" s="12" t="inlineStr">
        <is>
          <t>customer</t>
        </is>
      </c>
    </row>
    <row r="37">
      <c r="A37" s="12" t="n">
        <v>191</v>
      </c>
      <c r="B37" s="14" t="inlineStr">
        <is>
          <t>Load_TR2_F5_39</t>
        </is>
      </c>
      <c r="C37" s="12" t="inlineStr">
        <is>
          <t>TR2_five499</t>
        </is>
      </c>
      <c r="D37" s="12" t="n">
        <v>2</v>
      </c>
      <c r="E37" s="12" t="n">
        <v>0</v>
      </c>
      <c r="F37" s="12" t="inlineStr">
        <is>
          <t>customer</t>
        </is>
      </c>
    </row>
    <row r="38">
      <c r="A38" s="12" t="n">
        <v>192</v>
      </c>
      <c r="B38" s="14" t="inlineStr">
        <is>
          <t>Load_TR2_F5_4</t>
        </is>
      </c>
      <c r="C38" s="12" t="inlineStr">
        <is>
          <t>TR2_five92</t>
        </is>
      </c>
      <c r="D38" s="12" t="n">
        <v>1</v>
      </c>
      <c r="E38" s="12" t="n">
        <v>0</v>
      </c>
      <c r="F38" s="12" t="inlineStr">
        <is>
          <t>customer</t>
        </is>
      </c>
    </row>
    <row r="39">
      <c r="A39" s="12" t="n">
        <v>194</v>
      </c>
      <c r="B39" s="14" t="inlineStr">
        <is>
          <t>Load_TR2_F5_41</t>
        </is>
      </c>
      <c r="C39" s="12" t="inlineStr">
        <is>
          <t>TR2_five513</t>
        </is>
      </c>
      <c r="D39" s="12" t="n">
        <v>2</v>
      </c>
      <c r="E39" s="12" t="n">
        <v>0</v>
      </c>
      <c r="F39" s="12" t="inlineStr">
        <is>
          <t>customer</t>
        </is>
      </c>
    </row>
    <row r="40">
      <c r="A40" s="12" t="n">
        <v>196</v>
      </c>
      <c r="B40" s="14" t="inlineStr">
        <is>
          <t>Load_TR2_F5_43</t>
        </is>
      </c>
      <c r="C40" s="12" t="inlineStr">
        <is>
          <t>TR2_five537</t>
        </is>
      </c>
      <c r="D40" s="12" t="n">
        <v>3</v>
      </c>
      <c r="E40" s="12" t="n">
        <v>0</v>
      </c>
      <c r="F40" s="12" t="inlineStr">
        <is>
          <t>customer</t>
        </is>
      </c>
    </row>
    <row r="41">
      <c r="A41" s="12" t="n">
        <v>198</v>
      </c>
      <c r="B41" s="14" t="inlineStr">
        <is>
          <t>Load_TR2_F5_45</t>
        </is>
      </c>
      <c r="C41" s="12" t="inlineStr">
        <is>
          <t>TR2_five545</t>
        </is>
      </c>
      <c r="D41" s="12" t="n">
        <v>2</v>
      </c>
      <c r="E41" s="12" t="n">
        <v>0</v>
      </c>
      <c r="F41" s="12" t="inlineStr">
        <is>
          <t>customer</t>
        </is>
      </c>
    </row>
    <row r="42">
      <c r="A42" s="12" t="n">
        <v>199</v>
      </c>
      <c r="B42" s="14" t="inlineStr">
        <is>
          <t>Load_TR2_F5_46</t>
        </is>
      </c>
      <c r="C42" s="12" t="inlineStr">
        <is>
          <t>TR2_five551</t>
        </is>
      </c>
      <c r="D42" s="12" t="n">
        <v>3</v>
      </c>
      <c r="E42" s="12" t="n">
        <v>0</v>
      </c>
      <c r="F42" s="12" t="inlineStr">
        <is>
          <t>customer</t>
        </is>
      </c>
    </row>
    <row r="43">
      <c r="A43" s="12" t="n">
        <v>200</v>
      </c>
      <c r="B43" s="14" t="inlineStr">
        <is>
          <t>Load_TR2_F5_47</t>
        </is>
      </c>
      <c r="C43" s="12" t="inlineStr">
        <is>
          <t>TR2_five585</t>
        </is>
      </c>
      <c r="D43" s="12" t="n">
        <v>1</v>
      </c>
      <c r="E43" s="12" t="n">
        <v>0</v>
      </c>
      <c r="F43" s="12" t="inlineStr">
        <is>
          <t>customer</t>
        </is>
      </c>
    </row>
    <row r="44">
      <c r="A44" s="12" t="n">
        <v>202</v>
      </c>
      <c r="B44" s="14" t="inlineStr">
        <is>
          <t>Load_TR2_F5_49</t>
        </is>
      </c>
      <c r="C44" s="12" t="inlineStr">
        <is>
          <t>TR2_five631</t>
        </is>
      </c>
      <c r="D44" s="12" t="n">
        <v>2</v>
      </c>
      <c r="E44" s="12" t="n">
        <v>0</v>
      </c>
      <c r="F44" s="12" t="inlineStr">
        <is>
          <t>customer</t>
        </is>
      </c>
    </row>
    <row r="45">
      <c r="A45" s="12" t="n">
        <v>203</v>
      </c>
      <c r="B45" s="14" t="inlineStr">
        <is>
          <t>Load_TR2_F5_5</t>
        </is>
      </c>
      <c r="C45" s="12" t="inlineStr">
        <is>
          <t>TR2_five108</t>
        </is>
      </c>
      <c r="D45" s="12" t="n">
        <v>2</v>
      </c>
      <c r="E45" s="12" t="n">
        <v>0</v>
      </c>
      <c r="F45" s="12" t="inlineStr">
        <is>
          <t>customer</t>
        </is>
      </c>
    </row>
    <row r="46">
      <c r="A46" s="12" t="n">
        <v>206</v>
      </c>
      <c r="B46" s="14" t="inlineStr">
        <is>
          <t>Load_TR2_F5_52</t>
        </is>
      </c>
      <c r="C46" s="12" t="inlineStr">
        <is>
          <t>TR2_five670</t>
        </is>
      </c>
      <c r="D46" s="12" t="n">
        <v>3</v>
      </c>
      <c r="E46" s="12" t="n">
        <v>0</v>
      </c>
      <c r="F46" s="12" t="inlineStr">
        <is>
          <t>customer</t>
        </is>
      </c>
    </row>
    <row r="47">
      <c r="A47" s="12" t="n">
        <v>210</v>
      </c>
      <c r="B47" s="14" t="inlineStr">
        <is>
          <t>Load_TR2_F5_56</t>
        </is>
      </c>
      <c r="C47" s="12" t="inlineStr">
        <is>
          <t>TR2_five719</t>
        </is>
      </c>
      <c r="D47" s="12" t="n">
        <v>1</v>
      </c>
      <c r="E47" s="12" t="n">
        <v>0</v>
      </c>
      <c r="F47" s="12" t="inlineStr">
        <is>
          <t>customer</t>
        </is>
      </c>
    </row>
    <row r="48">
      <c r="A48" s="12" t="n">
        <v>212</v>
      </c>
      <c r="B48" s="14" t="inlineStr">
        <is>
          <t>Load_TR2_F5_58</t>
        </is>
      </c>
      <c r="C48" s="12" t="inlineStr">
        <is>
          <t>TR2_five735</t>
        </is>
      </c>
      <c r="D48" s="12" t="n">
        <v>1</v>
      </c>
      <c r="E48" s="12" t="n">
        <v>0</v>
      </c>
      <c r="F48" s="12" t="inlineStr">
        <is>
          <t>customer</t>
        </is>
      </c>
    </row>
    <row r="49">
      <c r="A49" s="12" t="n">
        <v>213</v>
      </c>
      <c r="B49" s="14" t="inlineStr">
        <is>
          <t>Load_TR2_F5_59</t>
        </is>
      </c>
      <c r="C49" s="12" t="inlineStr">
        <is>
          <t>TR2_five748</t>
        </is>
      </c>
      <c r="D49" s="12" t="n">
        <v>2</v>
      </c>
      <c r="E49" s="12" t="n">
        <v>0</v>
      </c>
      <c r="F49" s="12" t="inlineStr">
        <is>
          <t>customer</t>
        </is>
      </c>
    </row>
    <row r="50">
      <c r="A50" s="12" t="n">
        <v>215</v>
      </c>
      <c r="B50" s="14" t="inlineStr">
        <is>
          <t>Load_TR2_F5_60</t>
        </is>
      </c>
      <c r="C50" s="12" t="inlineStr">
        <is>
          <t>TR2_five750</t>
        </is>
      </c>
      <c r="D50" s="12" t="n">
        <v>2</v>
      </c>
      <c r="E50" s="12" t="n">
        <v>0</v>
      </c>
      <c r="F50" s="12" t="inlineStr">
        <is>
          <t>customer</t>
        </is>
      </c>
    </row>
    <row r="51">
      <c r="A51" s="12" t="n">
        <v>217</v>
      </c>
      <c r="B51" s="14" t="inlineStr">
        <is>
          <t>Load_TR2_F5_62</t>
        </is>
      </c>
      <c r="C51" s="12" t="inlineStr">
        <is>
          <t>TR2_five793</t>
        </is>
      </c>
      <c r="D51" s="12" t="n">
        <v>1</v>
      </c>
      <c r="E51" s="12" t="n">
        <v>0</v>
      </c>
      <c r="F51" s="12" t="inlineStr">
        <is>
          <t>customer</t>
        </is>
      </c>
    </row>
    <row r="52">
      <c r="A52" s="12" t="n">
        <v>220</v>
      </c>
      <c r="B52" s="14" t="inlineStr">
        <is>
          <t>Load_TR2_F5_65</t>
        </is>
      </c>
      <c r="C52" s="12" t="inlineStr">
        <is>
          <t>TR2_five809</t>
        </is>
      </c>
      <c r="D52" s="12" t="n">
        <v>2</v>
      </c>
      <c r="E52" s="12" t="n">
        <v>0</v>
      </c>
      <c r="F52" s="12" t="inlineStr">
        <is>
          <t>customer</t>
        </is>
      </c>
    </row>
    <row r="53">
      <c r="A53" s="12" t="n">
        <v>223</v>
      </c>
      <c r="B53" s="14" t="inlineStr">
        <is>
          <t>Load_TR2_F5_68</t>
        </is>
      </c>
      <c r="C53" s="12" t="inlineStr">
        <is>
          <t>TR2_five905</t>
        </is>
      </c>
      <c r="D53" s="12" t="n">
        <v>2</v>
      </c>
      <c r="E53" s="12" t="n">
        <v>0</v>
      </c>
      <c r="F53" s="12" t="inlineStr">
        <is>
          <t>customer</t>
        </is>
      </c>
    </row>
    <row r="54">
      <c r="A54" s="12" t="n">
        <v>225</v>
      </c>
      <c r="B54" s="14" t="inlineStr">
        <is>
          <t>Load_TR2_F5_8</t>
        </is>
      </c>
      <c r="C54" s="12" t="inlineStr">
        <is>
          <t>TR2_five123</t>
        </is>
      </c>
      <c r="D54" s="12" t="n">
        <v>2</v>
      </c>
      <c r="E54" s="12" t="n">
        <v>0</v>
      </c>
      <c r="F54" s="12" t="inlineStr">
        <is>
          <t>customer</t>
        </is>
      </c>
    </row>
    <row r="55">
      <c r="A55" s="12" t="n">
        <v>226</v>
      </c>
      <c r="B55" s="14" t="inlineStr">
        <is>
          <t>Load_TR2_F5_9</t>
        </is>
      </c>
      <c r="C55" s="12" t="inlineStr">
        <is>
          <t>TR2_five129</t>
        </is>
      </c>
      <c r="D55" s="12" t="n">
        <v>3</v>
      </c>
      <c r="E55" s="12" t="n">
        <v>0</v>
      </c>
      <c r="F55" s="12" t="inlineStr">
        <is>
          <t>customer</t>
        </is>
      </c>
    </row>
    <row r="56">
      <c r="A56" s="12" t="n">
        <v>238</v>
      </c>
      <c r="B56" s="14" t="inlineStr">
        <is>
          <t>Load_TR2_F6_2</t>
        </is>
      </c>
      <c r="C56" s="12" t="inlineStr">
        <is>
          <t>TR2_six68</t>
        </is>
      </c>
      <c r="D56" s="12" t="n">
        <v>3</v>
      </c>
      <c r="E56" s="12" t="n">
        <v>0</v>
      </c>
      <c r="F56" s="12" t="inlineStr">
        <is>
          <t>customer</t>
        </is>
      </c>
    </row>
    <row r="57">
      <c r="A57" s="12" t="n">
        <v>249</v>
      </c>
      <c r="B57" s="14" t="inlineStr">
        <is>
          <t>Load_TR2_F6_3</t>
        </is>
      </c>
      <c r="C57" s="12" t="inlineStr">
        <is>
          <t>TR2_six75</t>
        </is>
      </c>
      <c r="D57" s="12" t="n">
        <v>1</v>
      </c>
      <c r="E57" s="12" t="n">
        <v>0</v>
      </c>
      <c r="F57" s="12" t="inlineStr">
        <is>
          <t>customer</t>
        </is>
      </c>
    </row>
    <row r="58">
      <c r="A58" s="12" t="n">
        <v>255</v>
      </c>
      <c r="B58" s="14" t="inlineStr">
        <is>
          <t>Load_TR2_F6_35</t>
        </is>
      </c>
      <c r="C58" s="12" t="inlineStr">
        <is>
          <t>TR2_six441</t>
        </is>
      </c>
      <c r="D58" s="12" t="n">
        <v>1</v>
      </c>
      <c r="E58" s="12" t="n">
        <v>0</v>
      </c>
      <c r="F58" s="12" t="inlineStr">
        <is>
          <t>customer</t>
        </is>
      </c>
    </row>
    <row r="59">
      <c r="A59" s="12" t="n">
        <v>257</v>
      </c>
      <c r="B59" s="14" t="inlineStr">
        <is>
          <t>Load_TR2_F6_37</t>
        </is>
      </c>
      <c r="C59" s="12" t="inlineStr">
        <is>
          <t>TR2_six501</t>
        </is>
      </c>
      <c r="D59" s="12" t="n">
        <v>1</v>
      </c>
      <c r="E59" s="12" t="n">
        <v>0</v>
      </c>
      <c r="F59" s="12" t="inlineStr">
        <is>
          <t>customer</t>
        </is>
      </c>
    </row>
    <row r="60">
      <c r="A60" s="12" t="n">
        <v>260</v>
      </c>
      <c r="B60" s="14" t="inlineStr">
        <is>
          <t>Load_TR2_F6_4</t>
        </is>
      </c>
      <c r="C60" s="12" t="inlineStr">
        <is>
          <t>TR2_six82</t>
        </is>
      </c>
      <c r="D60" s="12" t="n">
        <v>1</v>
      </c>
      <c r="E60" s="12" t="n">
        <v>0</v>
      </c>
      <c r="F60" s="12" t="inlineStr">
        <is>
          <t>customer</t>
        </is>
      </c>
    </row>
    <row r="61">
      <c r="A61" s="12" t="n">
        <v>262</v>
      </c>
      <c r="B61" s="14" t="inlineStr">
        <is>
          <t>Load_TR2_F6_41</t>
        </is>
      </c>
      <c r="C61" s="12" t="inlineStr">
        <is>
          <t>TR2_six534</t>
        </is>
      </c>
      <c r="D61" s="12" t="n">
        <v>2</v>
      </c>
      <c r="E61" s="12" t="n">
        <v>0</v>
      </c>
      <c r="F61" s="12" t="inlineStr">
        <is>
          <t>customer</t>
        </is>
      </c>
    </row>
    <row r="62">
      <c r="A62" s="12" t="n">
        <v>265</v>
      </c>
      <c r="B62" s="14" t="inlineStr">
        <is>
          <t>Load_TR2_F6_44</t>
        </is>
      </c>
      <c r="C62" s="12" t="inlineStr">
        <is>
          <t>TR2_six591</t>
        </is>
      </c>
      <c r="D62" s="12" t="n">
        <v>3</v>
      </c>
      <c r="E62" s="12" t="n">
        <v>0</v>
      </c>
      <c r="F62" s="12" t="inlineStr">
        <is>
          <t>customer</t>
        </is>
      </c>
    </row>
    <row r="63">
      <c r="A63" s="12" t="n">
        <v>266</v>
      </c>
      <c r="B63" s="14" t="inlineStr">
        <is>
          <t>Load_TR2_F6_45</t>
        </is>
      </c>
      <c r="C63" s="12" t="inlineStr">
        <is>
          <t>TR2_six595</t>
        </is>
      </c>
      <c r="D63" s="12" t="n">
        <v>2</v>
      </c>
      <c r="E63" s="12" t="n">
        <v>0</v>
      </c>
      <c r="F63" s="12" t="inlineStr">
        <is>
          <t>customer</t>
        </is>
      </c>
    </row>
    <row r="64">
      <c r="A64" s="12" t="n">
        <v>268</v>
      </c>
      <c r="B64" s="14" t="inlineStr">
        <is>
          <t>Load_TR2_F6_47</t>
        </is>
      </c>
      <c r="C64" s="12" t="inlineStr">
        <is>
          <t>TR2_six643</t>
        </is>
      </c>
      <c r="D64" s="12" t="n">
        <v>1</v>
      </c>
      <c r="E64" s="12" t="n">
        <v>0</v>
      </c>
      <c r="F64" s="12" t="inlineStr">
        <is>
          <t>customer</t>
        </is>
      </c>
    </row>
    <row r="65">
      <c r="A65" s="12" t="n">
        <v>270</v>
      </c>
      <c r="B65" s="14" t="inlineStr">
        <is>
          <t>Load_TR2_F6_49</t>
        </is>
      </c>
      <c r="C65" s="12" t="inlineStr">
        <is>
          <t>TR2_six651</t>
        </is>
      </c>
      <c r="D65" s="12" t="n">
        <v>3</v>
      </c>
      <c r="E65" s="12" t="n">
        <v>0</v>
      </c>
      <c r="F65" s="12" t="inlineStr">
        <is>
          <t>customer</t>
        </is>
      </c>
    </row>
    <row r="66">
      <c r="A66" s="12" t="n">
        <v>275</v>
      </c>
      <c r="B66" s="14" t="inlineStr">
        <is>
          <t>Load_TR2_F6_53</t>
        </is>
      </c>
      <c r="C66" s="12" t="inlineStr">
        <is>
          <t>TR2_six699</t>
        </is>
      </c>
      <c r="D66" s="12" t="n">
        <v>3</v>
      </c>
      <c r="E66" s="12" t="n">
        <v>0</v>
      </c>
      <c r="F66" s="12" t="inlineStr">
        <is>
          <t>customer</t>
        </is>
      </c>
    </row>
    <row r="67">
      <c r="A67" s="12" t="n">
        <v>276</v>
      </c>
      <c r="B67" s="14" t="inlineStr">
        <is>
          <t>Load_TR2_F6_54</t>
        </is>
      </c>
      <c r="C67" s="12" t="inlineStr">
        <is>
          <t>TR2_six718</t>
        </is>
      </c>
      <c r="D67" s="12" t="n">
        <v>3</v>
      </c>
      <c r="E67" s="12" t="n">
        <v>0</v>
      </c>
      <c r="F67" s="12" t="inlineStr">
        <is>
          <t>customer</t>
        </is>
      </c>
    </row>
    <row r="68">
      <c r="A68" s="12" t="n">
        <v>278</v>
      </c>
      <c r="B68" s="14" t="inlineStr">
        <is>
          <t>Load_TR2_F6_56</t>
        </is>
      </c>
      <c r="C68" s="12" t="inlineStr">
        <is>
          <t>TR2_six723</t>
        </is>
      </c>
      <c r="D68" s="12" t="n">
        <v>2</v>
      </c>
      <c r="E68" s="12" t="n">
        <v>0</v>
      </c>
      <c r="F68" s="12" t="inlineStr">
        <is>
          <t>customer</t>
        </is>
      </c>
    </row>
    <row r="69">
      <c r="A69" s="12" t="n">
        <v>282</v>
      </c>
      <c r="B69" s="14" t="inlineStr">
        <is>
          <t>Load_TR2_F6_6</t>
        </is>
      </c>
      <c r="C69" s="12" t="inlineStr">
        <is>
          <t>TR2_six90</t>
        </is>
      </c>
      <c r="D69" s="12" t="n">
        <v>2</v>
      </c>
      <c r="E69" s="12" t="n">
        <v>0</v>
      </c>
      <c r="F69" s="12" t="inlineStr">
        <is>
          <t>customer</t>
        </is>
      </c>
    </row>
    <row r="70">
      <c r="A70" s="12" t="n">
        <v>284</v>
      </c>
      <c r="B70" s="14" t="inlineStr">
        <is>
          <t>Load_TR2_F6_61</t>
        </is>
      </c>
      <c r="C70" s="12" t="inlineStr">
        <is>
          <t>TR2_six801</t>
        </is>
      </c>
      <c r="D70" s="12" t="n">
        <v>3</v>
      </c>
      <c r="E70" s="12" t="n">
        <v>0</v>
      </c>
      <c r="F70" s="12" t="inlineStr">
        <is>
          <t>customer</t>
        </is>
      </c>
    </row>
    <row r="71">
      <c r="A71" s="12" t="n">
        <v>286</v>
      </c>
      <c r="B71" s="14" t="inlineStr">
        <is>
          <t>Load_TR2_F6_63</t>
        </is>
      </c>
      <c r="C71" s="12" t="inlineStr">
        <is>
          <t>TR2_six844</t>
        </is>
      </c>
      <c r="D71" s="12" t="n">
        <v>3</v>
      </c>
      <c r="E71" s="12" t="n">
        <v>0</v>
      </c>
      <c r="F71" s="12" t="inlineStr">
        <is>
          <t>customer</t>
        </is>
      </c>
    </row>
    <row r="72">
      <c r="A72" s="12" t="n">
        <v>287</v>
      </c>
      <c r="B72" s="14" t="inlineStr">
        <is>
          <t>Load_TR2_F6_64</t>
        </is>
      </c>
      <c r="C72" s="12" t="inlineStr">
        <is>
          <t>TR2_six852</t>
        </is>
      </c>
      <c r="D72" s="12" t="n">
        <v>2</v>
      </c>
      <c r="E72" s="12" t="n">
        <v>0</v>
      </c>
      <c r="F72" s="12" t="inlineStr">
        <is>
          <t>customer</t>
        </is>
      </c>
    </row>
    <row r="73">
      <c r="A73" s="12" t="n">
        <v>288</v>
      </c>
      <c r="B73" s="14" t="inlineStr">
        <is>
          <t>Load_TR2_F6_65</t>
        </is>
      </c>
      <c r="C73" s="12" t="inlineStr">
        <is>
          <t>TR2_six860</t>
        </is>
      </c>
      <c r="D73" s="12" t="n">
        <v>3</v>
      </c>
      <c r="E73" s="12" t="n">
        <v>0</v>
      </c>
      <c r="F73" s="12" t="inlineStr">
        <is>
          <t>customer</t>
        </is>
      </c>
    </row>
    <row r="74">
      <c r="A74" s="12" t="n">
        <v>289</v>
      </c>
      <c r="B74" s="14" t="inlineStr">
        <is>
          <t>Load_TR2_F6_66</t>
        </is>
      </c>
      <c r="C74" s="12" t="inlineStr">
        <is>
          <t>TR2_six869</t>
        </is>
      </c>
      <c r="D74" s="12" t="n">
        <v>3</v>
      </c>
      <c r="E74" s="12" t="n">
        <v>0</v>
      </c>
      <c r="F74" s="12" t="inlineStr">
        <is>
          <t>customer</t>
        </is>
      </c>
    </row>
    <row r="75">
      <c r="A75" s="12" t="n">
        <v>292</v>
      </c>
      <c r="B75" s="14" t="inlineStr">
        <is>
          <t>Load_TR2_F6_69</t>
        </is>
      </c>
      <c r="C75" s="12" t="inlineStr">
        <is>
          <t>TR2_six909</t>
        </is>
      </c>
      <c r="D75" s="12" t="n">
        <v>3</v>
      </c>
      <c r="E75" s="12" t="n">
        <v>0</v>
      </c>
      <c r="F75" s="12" t="inlineStr">
        <is>
          <t>customer</t>
        </is>
      </c>
    </row>
    <row r="76">
      <c r="A76" s="12" t="n">
        <v>293</v>
      </c>
      <c r="B76" s="14" t="inlineStr">
        <is>
          <t>Load_TR2_F6_7</t>
        </is>
      </c>
      <c r="C76" s="12" t="inlineStr">
        <is>
          <t>TR2_six105</t>
        </is>
      </c>
      <c r="D76" s="12" t="n">
        <v>1</v>
      </c>
      <c r="E76" s="12" t="n">
        <v>0</v>
      </c>
      <c r="F76" s="12" t="inlineStr">
        <is>
          <t>customer</t>
        </is>
      </c>
    </row>
    <row r="77">
      <c r="A77" s="12" t="n">
        <v>298</v>
      </c>
      <c r="B77" s="14" t="inlineStr">
        <is>
          <t>Load_TR2_F6_74</t>
        </is>
      </c>
      <c r="C77" s="12" t="inlineStr">
        <is>
          <t>TR2_six945</t>
        </is>
      </c>
      <c r="D77" s="12" t="n">
        <v>3</v>
      </c>
      <c r="E77" s="12" t="n">
        <v>0</v>
      </c>
      <c r="F77" s="12" t="inlineStr">
        <is>
          <t>customer</t>
        </is>
      </c>
    </row>
    <row r="78">
      <c r="A78" s="12" t="n">
        <v>299</v>
      </c>
      <c r="B78" s="14" t="inlineStr">
        <is>
          <t>Load_TR2_F6_75</t>
        </is>
      </c>
      <c r="C78" s="12" t="inlineStr">
        <is>
          <t>TR2_six952</t>
        </is>
      </c>
      <c r="D78" s="12" t="n">
        <v>1</v>
      </c>
      <c r="E78" s="12" t="n">
        <v>0</v>
      </c>
      <c r="F78" s="12" t="inlineStr">
        <is>
          <t>customer</t>
        </is>
      </c>
    </row>
    <row r="79">
      <c r="A79" s="12" t="n">
        <v>300</v>
      </c>
      <c r="B79" s="14" t="inlineStr">
        <is>
          <t>Load_TR2_F6_76</t>
        </is>
      </c>
      <c r="C79" s="12" t="inlineStr">
        <is>
          <t>TR2_six967</t>
        </is>
      </c>
      <c r="D79" s="12" t="n">
        <v>2</v>
      </c>
      <c r="E79" s="12" t="n">
        <v>0</v>
      </c>
      <c r="F79" s="12" t="inlineStr">
        <is>
          <t>customer</t>
        </is>
      </c>
    </row>
    <row r="80">
      <c r="A80" s="12" t="n">
        <v>301</v>
      </c>
      <c r="B80" s="14" t="inlineStr">
        <is>
          <t>Load_TR2_F6_77</t>
        </is>
      </c>
      <c r="C80" s="12" t="inlineStr">
        <is>
          <t>TR2_six974</t>
        </is>
      </c>
      <c r="D80" s="12" t="n">
        <v>3</v>
      </c>
      <c r="E80" s="12" t="n">
        <v>0</v>
      </c>
      <c r="F80" s="12" t="inlineStr">
        <is>
          <t>customer</t>
        </is>
      </c>
    </row>
    <row r="81">
      <c r="A81" s="12" t="n">
        <v>302</v>
      </c>
      <c r="B81" s="14" t="inlineStr">
        <is>
          <t>Load_TR2_F6_78</t>
        </is>
      </c>
      <c r="C81" s="12" t="inlineStr">
        <is>
          <t>TR2_six979</t>
        </is>
      </c>
      <c r="D81" s="12" t="n">
        <v>1</v>
      </c>
      <c r="E81" s="12" t="n">
        <v>0</v>
      </c>
      <c r="F81" s="12" t="inlineStr">
        <is>
          <t>customer</t>
        </is>
      </c>
    </row>
    <row r="82">
      <c r="A82" s="12" t="n">
        <v>304</v>
      </c>
      <c r="B82" s="14" t="inlineStr">
        <is>
          <t>Load_TR2_F6_8</t>
        </is>
      </c>
      <c r="C82" s="12" t="inlineStr">
        <is>
          <t>TR2_six111</t>
        </is>
      </c>
      <c r="D82" s="12" t="n">
        <v>3</v>
      </c>
      <c r="E82" s="12" t="n">
        <v>0</v>
      </c>
      <c r="F82" s="12" t="inlineStr">
        <is>
          <t>customer</t>
        </is>
      </c>
    </row>
    <row r="83">
      <c r="A83" s="12" t="n">
        <v>305</v>
      </c>
      <c r="B83" s="14" t="inlineStr">
        <is>
          <t>Load_TR2_F6_80</t>
        </is>
      </c>
      <c r="C83" s="12" t="inlineStr">
        <is>
          <t>TR2_six1006</t>
        </is>
      </c>
      <c r="D83" s="12" t="n">
        <v>3</v>
      </c>
      <c r="E83" s="12" t="n">
        <v>0</v>
      </c>
      <c r="F83" s="12" t="inlineStr">
        <is>
          <t>customer</t>
        </is>
      </c>
    </row>
    <row r="84">
      <c r="A84" s="12" t="n">
        <v>307</v>
      </c>
      <c r="B84" s="14" t="inlineStr">
        <is>
          <t>Load_TR2_F6_82</t>
        </is>
      </c>
      <c r="C84" s="12" t="inlineStr">
        <is>
          <t>TR2_six1025</t>
        </is>
      </c>
      <c r="D84" s="12" t="n">
        <v>2</v>
      </c>
      <c r="E84" s="12" t="n">
        <v>0</v>
      </c>
      <c r="F84" s="12" t="inlineStr">
        <is>
          <t>customer</t>
        </is>
      </c>
    </row>
    <row r="85">
      <c r="A85" s="12" t="n">
        <v>308</v>
      </c>
      <c r="B85" s="14" t="inlineStr">
        <is>
          <t>Load_TR2_F6_83</t>
        </is>
      </c>
      <c r="C85" s="12" t="inlineStr">
        <is>
          <t>TR2_six1064</t>
        </is>
      </c>
      <c r="D85" s="12" t="n">
        <v>3</v>
      </c>
      <c r="E85" s="12" t="n">
        <v>0</v>
      </c>
      <c r="F85" s="12" t="inlineStr">
        <is>
          <t>customer</t>
        </is>
      </c>
    </row>
    <row r="86">
      <c r="A86" s="12" t="n">
        <v>309</v>
      </c>
      <c r="B86" s="14" t="inlineStr">
        <is>
          <t>Load_TR2_F6_9</t>
        </is>
      </c>
      <c r="C86" s="12" t="inlineStr">
        <is>
          <t>TR2_six128</t>
        </is>
      </c>
      <c r="D86" s="12" t="n">
        <v>2</v>
      </c>
      <c r="E86" s="12" t="n">
        <v>0</v>
      </c>
      <c r="F86" s="12" t="inlineStr">
        <is>
          <t>customer</t>
        </is>
      </c>
    </row>
    <row r="87">
      <c r="A87" s="15" t="n">
        <v>145</v>
      </c>
      <c r="B87" s="16" t="inlineStr">
        <is>
          <t>Load_TR2_F3_20</t>
        </is>
      </c>
      <c r="C87" s="15" t="inlineStr">
        <is>
          <t>TR2_three312</t>
        </is>
      </c>
      <c r="D87" s="15" t="n">
        <v>1</v>
      </c>
      <c r="E87" s="15" t="n">
        <v>3</v>
      </c>
      <c r="F87" s="15" t="inlineStr">
        <is>
          <t>prosumer</t>
        </is>
      </c>
    </row>
    <row r="88">
      <c r="A88" s="15" t="n">
        <v>146</v>
      </c>
      <c r="B88" s="16" t="inlineStr">
        <is>
          <t>Load_TR2_F3_21</t>
        </is>
      </c>
      <c r="C88" s="15" t="inlineStr">
        <is>
          <t>TR2_three321</t>
        </is>
      </c>
      <c r="D88" s="15" t="n">
        <v>2</v>
      </c>
      <c r="E88" s="15" t="n">
        <v>4</v>
      </c>
      <c r="F88" s="15" t="inlineStr">
        <is>
          <t>prosumer</t>
        </is>
      </c>
    </row>
    <row r="89">
      <c r="A89" s="15" t="n">
        <v>147</v>
      </c>
      <c r="B89" s="16" t="inlineStr">
        <is>
          <t>Load_TR2_F3_22</t>
        </is>
      </c>
      <c r="C89" s="15" t="inlineStr">
        <is>
          <t>TR2_three368</t>
        </is>
      </c>
      <c r="D89" s="15" t="n">
        <v>1</v>
      </c>
      <c r="E89" s="15" t="n">
        <v>2</v>
      </c>
      <c r="F89" s="15" t="inlineStr">
        <is>
          <t>prosumer</t>
        </is>
      </c>
    </row>
    <row r="90">
      <c r="A90" s="15" t="n">
        <v>148</v>
      </c>
      <c r="B90" s="16" t="inlineStr">
        <is>
          <t>Load_TR2_F3_23</t>
        </is>
      </c>
      <c r="C90" s="15" t="inlineStr">
        <is>
          <t>TR2_three388</t>
        </is>
      </c>
      <c r="D90" s="15" t="n">
        <v>1</v>
      </c>
      <c r="E90" s="15" t="n">
        <v>4</v>
      </c>
      <c r="F90" s="15" t="inlineStr">
        <is>
          <t>prosumer</t>
        </is>
      </c>
    </row>
    <row r="91">
      <c r="A91" s="15" t="n">
        <v>150</v>
      </c>
      <c r="B91" s="16" t="inlineStr">
        <is>
          <t>Load_TR2_F3_25</t>
        </is>
      </c>
      <c r="C91" s="15" t="inlineStr">
        <is>
          <t>TR2_three409</t>
        </is>
      </c>
      <c r="D91" s="15" t="n">
        <v>3</v>
      </c>
      <c r="E91" s="15" t="n">
        <v>4</v>
      </c>
      <c r="F91" s="15" t="inlineStr">
        <is>
          <t>prosumer</t>
        </is>
      </c>
    </row>
    <row r="92">
      <c r="A92" s="15" t="n">
        <v>151</v>
      </c>
      <c r="B92" s="16" t="inlineStr">
        <is>
          <t>Load_TR2_F3_29</t>
        </is>
      </c>
      <c r="C92" s="15" t="inlineStr">
        <is>
          <t>TR2_three478</t>
        </is>
      </c>
      <c r="D92" s="15" t="n">
        <v>2</v>
      </c>
      <c r="E92" s="15" t="n">
        <v>3</v>
      </c>
      <c r="F92" s="15" t="inlineStr">
        <is>
          <t>prosumer</t>
        </is>
      </c>
    </row>
    <row r="93">
      <c r="A93" s="15" t="n">
        <v>155</v>
      </c>
      <c r="B93" s="16" t="inlineStr">
        <is>
          <t>Load_TR2_F3_6</t>
        </is>
      </c>
      <c r="C93" s="15" t="inlineStr">
        <is>
          <t>TR2_three97</t>
        </is>
      </c>
      <c r="D93" s="15" t="n">
        <v>2</v>
      </c>
      <c r="E93" s="15" t="n">
        <v>4</v>
      </c>
      <c r="F93" s="15" t="inlineStr">
        <is>
          <t>prosumer</t>
        </is>
      </c>
    </row>
    <row r="94">
      <c r="A94" s="15" t="n">
        <v>157</v>
      </c>
      <c r="B94" s="16" t="inlineStr">
        <is>
          <t>Load_TR2_F3_8</t>
        </is>
      </c>
      <c r="C94" s="15" t="inlineStr">
        <is>
          <t>TR2_three133</t>
        </is>
      </c>
      <c r="D94" s="15" t="n">
        <v>3</v>
      </c>
      <c r="E94" s="15" t="n">
        <v>3</v>
      </c>
      <c r="F94" s="15" t="inlineStr">
        <is>
          <t>prosumer</t>
        </is>
      </c>
    </row>
    <row r="95">
      <c r="A95" s="15" t="n">
        <v>158</v>
      </c>
      <c r="B95" s="16" t="inlineStr">
        <is>
          <t>Load_TR2_F3_9</t>
        </is>
      </c>
      <c r="C95" s="15" t="inlineStr">
        <is>
          <t>TR2_three160</t>
        </is>
      </c>
      <c r="D95" s="15" t="n">
        <v>3</v>
      </c>
      <c r="E95" s="15" t="n">
        <v>4</v>
      </c>
      <c r="F95" s="15" t="inlineStr">
        <is>
          <t>prosumer</t>
        </is>
      </c>
    </row>
    <row r="96">
      <c r="A96" s="15" t="n">
        <v>159</v>
      </c>
      <c r="B96" s="16" t="inlineStr">
        <is>
          <t>Load_TR2_F5_1</t>
        </is>
      </c>
      <c r="C96" s="15" t="inlineStr">
        <is>
          <t>TR2_five58</t>
        </is>
      </c>
      <c r="D96" s="15" t="n">
        <v>3</v>
      </c>
      <c r="E96" s="15" t="n">
        <v>4</v>
      </c>
      <c r="F96" s="15" t="inlineStr">
        <is>
          <t>prosumer</t>
        </is>
      </c>
    </row>
    <row r="97">
      <c r="A97" s="15" t="n">
        <v>160</v>
      </c>
      <c r="B97" s="16" t="inlineStr">
        <is>
          <t>Load_TR2_F5_10</t>
        </is>
      </c>
      <c r="C97" s="15" t="inlineStr">
        <is>
          <t>TR2_five147</t>
        </is>
      </c>
      <c r="D97" s="15" t="n">
        <v>3</v>
      </c>
      <c r="E97" s="15" t="n">
        <v>4</v>
      </c>
      <c r="F97" s="15" t="inlineStr">
        <is>
          <t>prosumer</t>
        </is>
      </c>
    </row>
    <row r="98">
      <c r="A98" s="15" t="n">
        <v>161</v>
      </c>
      <c r="B98" s="16" t="inlineStr">
        <is>
          <t>Load_TR2_F5_11</t>
        </is>
      </c>
      <c r="C98" s="15" t="inlineStr">
        <is>
          <t>TR2_five149</t>
        </is>
      </c>
      <c r="D98" s="15" t="n">
        <v>1</v>
      </c>
      <c r="E98" s="15" t="n">
        <v>4</v>
      </c>
      <c r="F98" s="15" t="inlineStr">
        <is>
          <t>prosumer</t>
        </is>
      </c>
    </row>
    <row r="99">
      <c r="A99" s="15" t="n">
        <v>162</v>
      </c>
      <c r="B99" s="16" t="inlineStr">
        <is>
          <t>Load_TR2_F5_12</t>
        </is>
      </c>
      <c r="C99" s="15" t="inlineStr">
        <is>
          <t>TR2_five160</t>
        </is>
      </c>
      <c r="D99" s="15" t="n">
        <v>3</v>
      </c>
      <c r="E99" s="15" t="n">
        <v>2</v>
      </c>
      <c r="F99" s="15" t="inlineStr">
        <is>
          <t>prosumer</t>
        </is>
      </c>
    </row>
    <row r="100">
      <c r="A100" s="15" t="n">
        <v>164</v>
      </c>
      <c r="B100" s="16" t="inlineStr">
        <is>
          <t>Load_TR2_F5_14</t>
        </is>
      </c>
      <c r="C100" s="15" t="inlineStr">
        <is>
          <t>TR2_five170</t>
        </is>
      </c>
      <c r="D100" s="15" t="n">
        <v>1</v>
      </c>
      <c r="E100" s="15" t="n">
        <v>3</v>
      </c>
      <c r="F100" s="15" t="inlineStr">
        <is>
          <t>prosumer</t>
        </is>
      </c>
    </row>
    <row r="101">
      <c r="A101" s="15" t="n">
        <v>165</v>
      </c>
      <c r="B101" s="16" t="inlineStr">
        <is>
          <t>Load_TR2_F5_15</t>
        </is>
      </c>
      <c r="C101" s="15" t="inlineStr">
        <is>
          <t>TR2_five177</t>
        </is>
      </c>
      <c r="D101" s="15" t="n">
        <v>1</v>
      </c>
      <c r="E101" s="15" t="n">
        <v>1.5</v>
      </c>
      <c r="F101" s="15" t="inlineStr">
        <is>
          <t>prosumer</t>
        </is>
      </c>
    </row>
    <row r="102">
      <c r="A102" s="15" t="n">
        <v>170</v>
      </c>
      <c r="B102" s="16" t="inlineStr">
        <is>
          <t>Load_TR2_F5_2</t>
        </is>
      </c>
      <c r="C102" s="15" t="inlineStr">
        <is>
          <t>TR2_five67</t>
        </is>
      </c>
      <c r="D102" s="15" t="n">
        <v>3</v>
      </c>
      <c r="E102" s="15" t="n">
        <v>4</v>
      </c>
      <c r="F102" s="15" t="inlineStr">
        <is>
          <t>prosumer</t>
        </is>
      </c>
    </row>
    <row r="103">
      <c r="A103" s="15" t="n">
        <v>173</v>
      </c>
      <c r="B103" s="16" t="inlineStr">
        <is>
          <t>Load_TR2_F5_22</t>
        </is>
      </c>
      <c r="C103" s="15" t="inlineStr">
        <is>
          <t>TR2_five243</t>
        </is>
      </c>
      <c r="D103" s="15" t="n">
        <v>2</v>
      </c>
      <c r="E103" s="15" t="n">
        <v>4</v>
      </c>
      <c r="F103" s="15" t="inlineStr">
        <is>
          <t>prosumer</t>
        </is>
      </c>
    </row>
    <row r="104">
      <c r="A104" s="15" t="n">
        <v>174</v>
      </c>
      <c r="B104" s="16" t="inlineStr">
        <is>
          <t>Load_TR2_F5_23</t>
        </is>
      </c>
      <c r="C104" s="15" t="inlineStr">
        <is>
          <t>TR2_five284</t>
        </is>
      </c>
      <c r="D104" s="15" t="n">
        <v>3</v>
      </c>
      <c r="E104" s="15" t="n">
        <v>2</v>
      </c>
      <c r="F104" s="15" t="inlineStr">
        <is>
          <t>prosumer</t>
        </is>
      </c>
    </row>
    <row r="105">
      <c r="A105" s="15" t="n">
        <v>175</v>
      </c>
      <c r="B105" s="16" t="inlineStr">
        <is>
          <t>Load_TR2_F5_24</t>
        </is>
      </c>
      <c r="C105" s="15" t="inlineStr">
        <is>
          <t>TR2_five285</t>
        </is>
      </c>
      <c r="D105" s="15" t="n">
        <v>2</v>
      </c>
      <c r="E105" s="15" t="n">
        <v>4</v>
      </c>
      <c r="F105" s="15" t="inlineStr">
        <is>
          <t>prosumer</t>
        </is>
      </c>
    </row>
    <row r="106">
      <c r="A106" s="15" t="n">
        <v>176</v>
      </c>
      <c r="B106" s="16" t="inlineStr">
        <is>
          <t>Load_TR2_F5_25</t>
        </is>
      </c>
      <c r="C106" s="15" t="inlineStr">
        <is>
          <t>TR2_five303</t>
        </is>
      </c>
      <c r="D106" s="15" t="n">
        <v>2</v>
      </c>
      <c r="E106" s="15" t="n">
        <v>4</v>
      </c>
      <c r="F106" s="15" t="inlineStr">
        <is>
          <t>prosumer</t>
        </is>
      </c>
    </row>
    <row r="107">
      <c r="A107" s="15" t="n">
        <v>178</v>
      </c>
      <c r="B107" s="16" t="inlineStr">
        <is>
          <t>Load_TR2_F5_27</t>
        </is>
      </c>
      <c r="C107" s="15" t="inlineStr">
        <is>
          <t>TR2_five324</t>
        </is>
      </c>
      <c r="D107" s="15" t="n">
        <v>2</v>
      </c>
      <c r="E107" s="15" t="n">
        <v>4</v>
      </c>
      <c r="F107" s="15" t="inlineStr">
        <is>
          <t>prosumer</t>
        </is>
      </c>
    </row>
    <row r="108">
      <c r="A108" s="15" t="n">
        <v>180</v>
      </c>
      <c r="B108" s="16" t="inlineStr">
        <is>
          <t>Load_TR2_F5_29</t>
        </is>
      </c>
      <c r="C108" s="15" t="inlineStr">
        <is>
          <t>TR2_five355</t>
        </is>
      </c>
      <c r="D108" s="15" t="n">
        <v>1</v>
      </c>
      <c r="E108" s="15" t="n">
        <v>3</v>
      </c>
      <c r="F108" s="15" t="inlineStr">
        <is>
          <t>prosumer</t>
        </is>
      </c>
    </row>
    <row r="109">
      <c r="A109" s="15" t="n">
        <v>182</v>
      </c>
      <c r="B109" s="16" t="inlineStr">
        <is>
          <t>Load_TR2_F5_30</t>
        </is>
      </c>
      <c r="C109" s="15" t="inlineStr">
        <is>
          <t>TR2_five394</t>
        </is>
      </c>
      <c r="D109" s="15" t="n">
        <v>3</v>
      </c>
      <c r="E109" s="15" t="n">
        <v>3.5</v>
      </c>
      <c r="F109" s="15" t="inlineStr">
        <is>
          <t>prosumer</t>
        </is>
      </c>
    </row>
    <row r="110">
      <c r="A110" s="15" t="n">
        <v>185</v>
      </c>
      <c r="B110" s="16" t="inlineStr">
        <is>
          <t>Load_TR2_F5_33</t>
        </is>
      </c>
      <c r="C110" s="15" t="inlineStr">
        <is>
          <t>TR2_five451</t>
        </is>
      </c>
      <c r="D110" s="15" t="n">
        <v>1</v>
      </c>
      <c r="E110" s="15" t="n">
        <v>2.5</v>
      </c>
      <c r="F110" s="15" t="inlineStr">
        <is>
          <t>prosumer</t>
        </is>
      </c>
    </row>
    <row r="111">
      <c r="A111" s="15" t="n">
        <v>187</v>
      </c>
      <c r="B111" s="16" t="inlineStr">
        <is>
          <t>Load_TR2_F5_35</t>
        </is>
      </c>
      <c r="C111" s="15" t="inlineStr">
        <is>
          <t>TR2_five466</t>
        </is>
      </c>
      <c r="D111" s="15" t="n">
        <v>1</v>
      </c>
      <c r="E111" s="15" t="n">
        <v>1.5</v>
      </c>
      <c r="F111" s="15" t="inlineStr">
        <is>
          <t>prosumer</t>
        </is>
      </c>
    </row>
    <row r="112">
      <c r="A112" s="15" t="n">
        <v>190</v>
      </c>
      <c r="B112" s="16" t="inlineStr">
        <is>
          <t>Load_TR2_F5_38</t>
        </is>
      </c>
      <c r="C112" s="15" t="inlineStr">
        <is>
          <t>TR2_five494</t>
        </is>
      </c>
      <c r="D112" s="15" t="n">
        <v>2</v>
      </c>
      <c r="E112" s="15" t="n">
        <v>1.5</v>
      </c>
      <c r="F112" s="15" t="inlineStr">
        <is>
          <t>prosumer</t>
        </is>
      </c>
    </row>
    <row r="113">
      <c r="A113" s="15" t="n">
        <v>193</v>
      </c>
      <c r="B113" s="16" t="inlineStr">
        <is>
          <t>Load_TR2_F5_40</t>
        </is>
      </c>
      <c r="C113" s="15" t="inlineStr">
        <is>
          <t>TR2_five512</t>
        </is>
      </c>
      <c r="D113" s="15" t="n">
        <v>1</v>
      </c>
      <c r="E113" s="15" t="n">
        <v>2</v>
      </c>
      <c r="F113" s="15" t="inlineStr">
        <is>
          <t>prosumer</t>
        </is>
      </c>
    </row>
    <row r="114">
      <c r="A114" s="15" t="n">
        <v>195</v>
      </c>
      <c r="B114" s="16" t="inlineStr">
        <is>
          <t>Load_TR2_F5_42</t>
        </is>
      </c>
      <c r="C114" s="15" t="inlineStr">
        <is>
          <t>TR2_five520</t>
        </is>
      </c>
      <c r="D114" s="15" t="n">
        <v>3</v>
      </c>
      <c r="E114" s="15" t="n">
        <v>1.5</v>
      </c>
      <c r="F114" s="15" t="inlineStr">
        <is>
          <t>prosumer</t>
        </is>
      </c>
    </row>
    <row r="115">
      <c r="A115" s="15" t="n">
        <v>197</v>
      </c>
      <c r="B115" s="16" t="inlineStr">
        <is>
          <t>Load_TR2_F5_44</t>
        </is>
      </c>
      <c r="C115" s="15" t="inlineStr">
        <is>
          <t>TR2_five540</t>
        </is>
      </c>
      <c r="D115" s="15" t="n">
        <v>1</v>
      </c>
      <c r="E115" s="15" t="n">
        <v>4</v>
      </c>
      <c r="F115" s="15" t="inlineStr">
        <is>
          <t>prosumer</t>
        </is>
      </c>
    </row>
    <row r="116">
      <c r="A116" s="15" t="n">
        <v>201</v>
      </c>
      <c r="B116" s="16" t="inlineStr">
        <is>
          <t>Load_TR2_F5_48</t>
        </is>
      </c>
      <c r="C116" s="15" t="inlineStr">
        <is>
          <t>TR2_five588</t>
        </is>
      </c>
      <c r="D116" s="15" t="n">
        <v>1</v>
      </c>
      <c r="E116" s="15" t="n">
        <v>2.5</v>
      </c>
      <c r="F116" s="15" t="inlineStr">
        <is>
          <t>prosumer</t>
        </is>
      </c>
    </row>
    <row r="117">
      <c r="A117" s="15" t="n">
        <v>204</v>
      </c>
      <c r="B117" s="16" t="inlineStr">
        <is>
          <t>Load_TR2_F5_50</t>
        </is>
      </c>
      <c r="C117" s="15" t="inlineStr">
        <is>
          <t>TR2_five649</t>
        </is>
      </c>
      <c r="D117" s="15" t="n">
        <v>1</v>
      </c>
      <c r="E117" s="15" t="n">
        <v>4</v>
      </c>
      <c r="F117" s="15" t="inlineStr">
        <is>
          <t>prosumer</t>
        </is>
      </c>
    </row>
    <row r="118">
      <c r="A118" s="15" t="n">
        <v>205</v>
      </c>
      <c r="B118" s="16" t="inlineStr">
        <is>
          <t>Load_TR2_F5_51</t>
        </is>
      </c>
      <c r="C118" s="15" t="inlineStr">
        <is>
          <t>TR2_five663</t>
        </is>
      </c>
      <c r="D118" s="15" t="n">
        <v>3</v>
      </c>
      <c r="E118" s="15" t="n">
        <v>1.5</v>
      </c>
      <c r="F118" s="15" t="inlineStr">
        <is>
          <t>prosumer</t>
        </is>
      </c>
    </row>
    <row r="119">
      <c r="A119" s="15" t="n">
        <v>207</v>
      </c>
      <c r="B119" s="16" t="inlineStr">
        <is>
          <t>Load_TR2_F5_53</t>
        </is>
      </c>
      <c r="C119" s="15" t="inlineStr">
        <is>
          <t>TR2_five685</t>
        </is>
      </c>
      <c r="D119" s="15" t="n">
        <v>2</v>
      </c>
      <c r="E119" s="15" t="n">
        <v>4</v>
      </c>
      <c r="F119" s="15" t="inlineStr">
        <is>
          <t>prosumer</t>
        </is>
      </c>
    </row>
    <row r="120">
      <c r="A120" s="15" t="n">
        <v>208</v>
      </c>
      <c r="B120" s="16" t="inlineStr">
        <is>
          <t>Load_TR2_F5_54</t>
        </is>
      </c>
      <c r="C120" s="15" t="inlineStr">
        <is>
          <t>TR2_five695</t>
        </is>
      </c>
      <c r="D120" s="15" t="n">
        <v>1</v>
      </c>
      <c r="E120" s="15" t="n">
        <v>4</v>
      </c>
      <c r="F120" s="15" t="inlineStr">
        <is>
          <t>prosumer</t>
        </is>
      </c>
    </row>
    <row r="121">
      <c r="A121" s="15" t="n">
        <v>209</v>
      </c>
      <c r="B121" s="16" t="inlineStr">
        <is>
          <t>Load_TR2_F5_55</t>
        </is>
      </c>
      <c r="C121" s="15" t="inlineStr">
        <is>
          <t>TR2_five704</t>
        </is>
      </c>
      <c r="D121" s="15" t="n">
        <v>1</v>
      </c>
      <c r="E121" s="15" t="n">
        <v>3</v>
      </c>
      <c r="F121" s="15" t="inlineStr">
        <is>
          <t>prosumer</t>
        </is>
      </c>
    </row>
    <row r="122">
      <c r="A122" s="15" t="n">
        <v>211</v>
      </c>
      <c r="B122" s="16" t="inlineStr">
        <is>
          <t>Load_TR2_F5_57</t>
        </is>
      </c>
      <c r="C122" s="15" t="inlineStr">
        <is>
          <t>TR2_five733</t>
        </is>
      </c>
      <c r="D122" s="15" t="n">
        <v>3</v>
      </c>
      <c r="E122" s="15" t="n">
        <v>2</v>
      </c>
      <c r="F122" s="15" t="inlineStr">
        <is>
          <t>prosumer</t>
        </is>
      </c>
    </row>
    <row r="123">
      <c r="A123" s="15" t="n">
        <v>214</v>
      </c>
      <c r="B123" s="16" t="inlineStr">
        <is>
          <t>Load_TR2_F5_6</t>
        </is>
      </c>
      <c r="C123" s="15" t="inlineStr">
        <is>
          <t>TR2_five117</t>
        </is>
      </c>
      <c r="D123" s="15" t="n">
        <v>2</v>
      </c>
      <c r="E123" s="15" t="n">
        <v>4</v>
      </c>
      <c r="F123" s="15" t="inlineStr">
        <is>
          <t>prosumer</t>
        </is>
      </c>
    </row>
    <row r="124">
      <c r="A124" s="15" t="n">
        <v>216</v>
      </c>
      <c r="B124" s="16" t="inlineStr">
        <is>
          <t>Load_TR2_F5_61</t>
        </is>
      </c>
      <c r="C124" s="15" t="inlineStr">
        <is>
          <t>TR2_five778</t>
        </is>
      </c>
      <c r="D124" s="15" t="n">
        <v>2</v>
      </c>
      <c r="E124" s="15" t="n">
        <v>4</v>
      </c>
      <c r="F124" s="15" t="inlineStr">
        <is>
          <t>prosumer</t>
        </is>
      </c>
    </row>
    <row r="125">
      <c r="A125" s="15" t="n">
        <v>218</v>
      </c>
      <c r="B125" s="16" t="inlineStr">
        <is>
          <t>Load_TR2_F5_63</t>
        </is>
      </c>
      <c r="C125" s="15" t="inlineStr">
        <is>
          <t>TR2_five799</t>
        </is>
      </c>
      <c r="D125" s="15" t="n">
        <v>3</v>
      </c>
      <c r="E125" s="15" t="n">
        <v>4</v>
      </c>
      <c r="F125" s="15" t="inlineStr">
        <is>
          <t>prosumer</t>
        </is>
      </c>
    </row>
    <row r="126">
      <c r="A126" s="15" t="n">
        <v>219</v>
      </c>
      <c r="B126" s="16" t="inlineStr">
        <is>
          <t>Load_TR2_F5_64</t>
        </is>
      </c>
      <c r="C126" s="15" t="inlineStr">
        <is>
          <t>TR2_five801</t>
        </is>
      </c>
      <c r="D126" s="15" t="n">
        <v>3</v>
      </c>
      <c r="E126" s="15" t="n">
        <v>4</v>
      </c>
      <c r="F126" s="15" t="inlineStr">
        <is>
          <t>prosumer</t>
        </is>
      </c>
    </row>
    <row r="127">
      <c r="A127" s="15" t="n">
        <v>221</v>
      </c>
      <c r="B127" s="16" t="inlineStr">
        <is>
          <t>Load_TR2_F5_66</t>
        </is>
      </c>
      <c r="C127" s="15" t="inlineStr">
        <is>
          <t>TR2_five831</t>
        </is>
      </c>
      <c r="D127" s="15" t="n">
        <v>3</v>
      </c>
      <c r="E127" s="15" t="n">
        <v>2.5</v>
      </c>
      <c r="F127" s="15" t="inlineStr">
        <is>
          <t>prosumer</t>
        </is>
      </c>
    </row>
    <row r="128">
      <c r="A128" s="15" t="n">
        <v>222</v>
      </c>
      <c r="B128" s="16" t="inlineStr">
        <is>
          <t>Load_TR2_F5_67</t>
        </is>
      </c>
      <c r="C128" s="15" t="inlineStr">
        <is>
          <t>TR2_five881</t>
        </is>
      </c>
      <c r="D128" s="15" t="n">
        <v>3</v>
      </c>
      <c r="E128" s="15" t="n">
        <v>2</v>
      </c>
      <c r="F128" s="15" t="inlineStr">
        <is>
          <t>prosumer</t>
        </is>
      </c>
    </row>
    <row r="129">
      <c r="A129" s="15" t="n">
        <v>224</v>
      </c>
      <c r="B129" s="16" t="inlineStr">
        <is>
          <t>Load_TR2_F5_7</t>
        </is>
      </c>
      <c r="C129" s="15" t="inlineStr">
        <is>
          <t>TR2_five118</t>
        </is>
      </c>
      <c r="D129" s="15" t="n">
        <v>2</v>
      </c>
      <c r="E129" s="15" t="n">
        <v>4</v>
      </c>
      <c r="F129" s="15" t="inlineStr">
        <is>
          <t>prosumer</t>
        </is>
      </c>
    </row>
    <row r="130">
      <c r="A130" s="15" t="n">
        <v>227</v>
      </c>
      <c r="B130" s="16" t="inlineStr">
        <is>
          <t>Load_TR2_F6_1</t>
        </is>
      </c>
      <c r="C130" s="15" t="inlineStr">
        <is>
          <t>TR2_six64</t>
        </is>
      </c>
      <c r="D130" s="15" t="n">
        <v>1</v>
      </c>
      <c r="E130" s="15" t="n">
        <v>3</v>
      </c>
      <c r="F130" s="15" t="inlineStr">
        <is>
          <t>prosumer</t>
        </is>
      </c>
    </row>
    <row r="131">
      <c r="A131" s="15" t="n">
        <v>228</v>
      </c>
      <c r="B131" s="16" t="inlineStr">
        <is>
          <t>Load_TR2_F6_10</t>
        </is>
      </c>
      <c r="C131" s="15" t="inlineStr">
        <is>
          <t>TR2_six154</t>
        </is>
      </c>
      <c r="D131" s="15" t="n">
        <v>3</v>
      </c>
      <c r="E131" s="15" t="n">
        <v>2</v>
      </c>
      <c r="F131" s="15" t="inlineStr">
        <is>
          <t>prosumer</t>
        </is>
      </c>
    </row>
    <row r="132">
      <c r="A132" s="15" t="n">
        <v>229</v>
      </c>
      <c r="B132" s="16" t="inlineStr">
        <is>
          <t>Load_TR2_F6_11</t>
        </is>
      </c>
      <c r="C132" s="15" t="inlineStr">
        <is>
          <t>TR2_six173</t>
        </is>
      </c>
      <c r="D132" s="15" t="n">
        <v>3</v>
      </c>
      <c r="E132" s="15" t="n">
        <v>4</v>
      </c>
      <c r="F132" s="15" t="inlineStr">
        <is>
          <t>prosumer</t>
        </is>
      </c>
    </row>
    <row r="133">
      <c r="A133" s="15" t="n">
        <v>230</v>
      </c>
      <c r="B133" s="16" t="inlineStr">
        <is>
          <t>Load_TR2_F6_12</t>
        </is>
      </c>
      <c r="C133" s="15" t="inlineStr">
        <is>
          <t>TR2_six186</t>
        </is>
      </c>
      <c r="D133" s="15" t="n">
        <v>1</v>
      </c>
      <c r="E133" s="15" t="n">
        <v>4</v>
      </c>
      <c r="F133" s="15" t="inlineStr">
        <is>
          <t>prosumer</t>
        </is>
      </c>
    </row>
    <row r="134">
      <c r="A134" s="15" t="n">
        <v>231</v>
      </c>
      <c r="B134" s="16" t="inlineStr">
        <is>
          <t>Load_TR2_F6_13</t>
        </is>
      </c>
      <c r="C134" s="15" t="inlineStr">
        <is>
          <t>TR2_six191</t>
        </is>
      </c>
      <c r="D134" s="15" t="n">
        <v>2</v>
      </c>
      <c r="E134" s="15" t="n">
        <v>3</v>
      </c>
      <c r="F134" s="15" t="inlineStr">
        <is>
          <t>prosumer</t>
        </is>
      </c>
    </row>
    <row r="135">
      <c r="A135" s="15" t="n">
        <v>232</v>
      </c>
      <c r="B135" s="16" t="inlineStr">
        <is>
          <t>Load_TR2_F6_14</t>
        </is>
      </c>
      <c r="C135" s="15" t="inlineStr">
        <is>
          <t>TR2_six203</t>
        </is>
      </c>
      <c r="D135" s="15" t="n">
        <v>1</v>
      </c>
      <c r="E135" s="15" t="n">
        <v>3</v>
      </c>
      <c r="F135" s="15" t="inlineStr">
        <is>
          <t>prosumer</t>
        </is>
      </c>
    </row>
    <row r="136">
      <c r="A136" s="15" t="n">
        <v>233</v>
      </c>
      <c r="B136" s="16" t="inlineStr">
        <is>
          <t>Load_TR2_F6_15</t>
        </is>
      </c>
      <c r="C136" s="15" t="inlineStr">
        <is>
          <t>TR2_six232</t>
        </is>
      </c>
      <c r="D136" s="15" t="n">
        <v>3</v>
      </c>
      <c r="E136" s="15" t="n">
        <v>2.5</v>
      </c>
      <c r="F136" s="15" t="inlineStr">
        <is>
          <t>prosumer</t>
        </is>
      </c>
    </row>
    <row r="137">
      <c r="A137" s="15" t="n">
        <v>234</v>
      </c>
      <c r="B137" s="16" t="inlineStr">
        <is>
          <t>Load_TR2_F6_16</t>
        </is>
      </c>
      <c r="C137" s="15" t="inlineStr">
        <is>
          <t>TR2_six238</t>
        </is>
      </c>
      <c r="D137" s="15" t="n">
        <v>1</v>
      </c>
      <c r="E137" s="15" t="n">
        <v>3.5</v>
      </c>
      <c r="F137" s="15" t="inlineStr">
        <is>
          <t>prosumer</t>
        </is>
      </c>
    </row>
    <row r="138">
      <c r="A138" s="15" t="n">
        <v>235</v>
      </c>
      <c r="B138" s="16" t="inlineStr">
        <is>
          <t>Load_TR2_F6_17</t>
        </is>
      </c>
      <c r="C138" s="15" t="inlineStr">
        <is>
          <t>TR2_six249</t>
        </is>
      </c>
      <c r="D138" s="15" t="n">
        <v>2</v>
      </c>
      <c r="E138" s="15" t="n">
        <v>3</v>
      </c>
      <c r="F138" s="15" t="inlineStr">
        <is>
          <t>prosumer</t>
        </is>
      </c>
    </row>
    <row r="139">
      <c r="A139" s="15" t="n">
        <v>236</v>
      </c>
      <c r="B139" s="16" t="inlineStr">
        <is>
          <t>Load_TR2_F6_18</t>
        </is>
      </c>
      <c r="C139" s="15" t="inlineStr">
        <is>
          <t>TR2_six254</t>
        </is>
      </c>
      <c r="D139" s="15" t="n">
        <v>2</v>
      </c>
      <c r="E139" s="15" t="n">
        <v>4</v>
      </c>
      <c r="F139" s="15" t="inlineStr">
        <is>
          <t>prosumer</t>
        </is>
      </c>
    </row>
    <row r="140">
      <c r="A140" s="15" t="n">
        <v>237</v>
      </c>
      <c r="B140" s="16" t="inlineStr">
        <is>
          <t>Load_TR2_F6_19</t>
        </is>
      </c>
      <c r="C140" s="15" t="inlineStr">
        <is>
          <t>TR2_six269</t>
        </is>
      </c>
      <c r="D140" s="15" t="n">
        <v>3</v>
      </c>
      <c r="E140" s="15" t="n">
        <v>3.5</v>
      </c>
      <c r="F140" s="15" t="inlineStr">
        <is>
          <t>prosumer</t>
        </is>
      </c>
    </row>
    <row r="141">
      <c r="A141" s="15" t="n">
        <v>239</v>
      </c>
      <c r="B141" s="16" t="inlineStr">
        <is>
          <t>Load_TR2_F6_20</t>
        </is>
      </c>
      <c r="C141" s="15" t="inlineStr">
        <is>
          <t>TR2_six289</t>
        </is>
      </c>
      <c r="D141" s="15" t="n">
        <v>3</v>
      </c>
      <c r="E141" s="15" t="n">
        <v>3.5</v>
      </c>
      <c r="F141" s="15" t="inlineStr">
        <is>
          <t>prosumer</t>
        </is>
      </c>
    </row>
    <row r="142">
      <c r="A142" s="15" t="n">
        <v>240</v>
      </c>
      <c r="B142" s="16" t="inlineStr">
        <is>
          <t>Load_TR2_F6_21</t>
        </is>
      </c>
      <c r="C142" s="15" t="inlineStr">
        <is>
          <t>TR2_six317</t>
        </is>
      </c>
      <c r="D142" s="15" t="n">
        <v>3</v>
      </c>
      <c r="E142" s="15" t="n">
        <v>4</v>
      </c>
      <c r="F142" s="15" t="inlineStr">
        <is>
          <t>prosumer</t>
        </is>
      </c>
    </row>
    <row r="143">
      <c r="A143" s="15" t="n">
        <v>241</v>
      </c>
      <c r="B143" s="16" t="inlineStr">
        <is>
          <t>Load_TR2_F6_22</t>
        </is>
      </c>
      <c r="C143" s="15" t="inlineStr">
        <is>
          <t>TR2_six326</t>
        </is>
      </c>
      <c r="D143" s="15" t="n">
        <v>1</v>
      </c>
      <c r="E143" s="15" t="n">
        <v>3.5</v>
      </c>
      <c r="F143" s="15" t="inlineStr">
        <is>
          <t>prosumer</t>
        </is>
      </c>
    </row>
    <row r="144">
      <c r="A144" s="15" t="n">
        <v>242</v>
      </c>
      <c r="B144" s="16" t="inlineStr">
        <is>
          <t>Load_TR2_F6_23</t>
        </is>
      </c>
      <c r="C144" s="15" t="inlineStr">
        <is>
          <t>TR2_six329</t>
        </is>
      </c>
      <c r="D144" s="15" t="n">
        <v>1</v>
      </c>
      <c r="E144" s="15" t="n">
        <v>4</v>
      </c>
      <c r="F144" s="15" t="inlineStr">
        <is>
          <t>prosumer</t>
        </is>
      </c>
    </row>
    <row r="145">
      <c r="A145" s="15" t="n">
        <v>243</v>
      </c>
      <c r="B145" s="16" t="inlineStr">
        <is>
          <t>Load_TR2_F6_24</t>
        </is>
      </c>
      <c r="C145" s="15" t="inlineStr">
        <is>
          <t>TR2_six342</t>
        </is>
      </c>
      <c r="D145" s="15" t="n">
        <v>1</v>
      </c>
      <c r="E145" s="15" t="n">
        <v>2.5</v>
      </c>
      <c r="F145" s="15" t="inlineStr">
        <is>
          <t>prosumer</t>
        </is>
      </c>
    </row>
    <row r="146">
      <c r="A146" s="15" t="n">
        <v>244</v>
      </c>
      <c r="B146" s="16" t="inlineStr">
        <is>
          <t>Load_TR2_F6_25</t>
        </is>
      </c>
      <c r="C146" s="15" t="inlineStr">
        <is>
          <t>TR2_six349</t>
        </is>
      </c>
      <c r="D146" s="15" t="n">
        <v>1</v>
      </c>
      <c r="E146" s="15" t="n">
        <v>2</v>
      </c>
      <c r="F146" s="15" t="inlineStr">
        <is>
          <t>prosumer</t>
        </is>
      </c>
    </row>
    <row r="147">
      <c r="A147" s="15" t="n">
        <v>245</v>
      </c>
      <c r="B147" s="16" t="inlineStr">
        <is>
          <t>Load_TR2_F6_26</t>
        </is>
      </c>
      <c r="C147" s="15" t="inlineStr">
        <is>
          <t>TR2_six350</t>
        </is>
      </c>
      <c r="D147" s="15" t="n">
        <v>2</v>
      </c>
      <c r="E147" s="15" t="n">
        <v>3</v>
      </c>
      <c r="F147" s="15" t="inlineStr">
        <is>
          <t>prosumer</t>
        </is>
      </c>
    </row>
    <row r="148">
      <c r="A148" s="15" t="n">
        <v>246</v>
      </c>
      <c r="B148" s="16" t="inlineStr">
        <is>
          <t>Load_TR2_F6_27</t>
        </is>
      </c>
      <c r="C148" s="15" t="inlineStr">
        <is>
          <t>TR2_six362</t>
        </is>
      </c>
      <c r="D148" s="15" t="n">
        <v>3</v>
      </c>
      <c r="E148" s="15" t="n">
        <v>1.5</v>
      </c>
      <c r="F148" s="15" t="inlineStr">
        <is>
          <t>prosumer</t>
        </is>
      </c>
    </row>
    <row r="149">
      <c r="A149" s="15" t="n">
        <v>247</v>
      </c>
      <c r="B149" s="16" t="inlineStr">
        <is>
          <t>Load_TR2_F6_28</t>
        </is>
      </c>
      <c r="C149" s="15" t="inlineStr">
        <is>
          <t>TR2_six365</t>
        </is>
      </c>
      <c r="D149" s="15" t="n">
        <v>3</v>
      </c>
      <c r="E149" s="15" t="n">
        <v>4</v>
      </c>
      <c r="F149" s="15" t="inlineStr">
        <is>
          <t>prosumer</t>
        </is>
      </c>
    </row>
    <row r="150">
      <c r="A150" s="15" t="n">
        <v>248</v>
      </c>
      <c r="B150" s="16" t="inlineStr">
        <is>
          <t>Load_TR2_F6_29</t>
        </is>
      </c>
      <c r="C150" s="15" t="inlineStr">
        <is>
          <t>TR2_six378</t>
        </is>
      </c>
      <c r="D150" s="15" t="n">
        <v>1</v>
      </c>
      <c r="E150" s="15" t="n">
        <v>3</v>
      </c>
      <c r="F150" s="15" t="inlineStr">
        <is>
          <t>prosumer</t>
        </is>
      </c>
    </row>
    <row r="151">
      <c r="A151" s="15" t="n">
        <v>250</v>
      </c>
      <c r="B151" s="16" t="inlineStr">
        <is>
          <t>Load_TR2_F6_30</t>
        </is>
      </c>
      <c r="C151" s="15" t="inlineStr">
        <is>
          <t>TR2_six385</t>
        </is>
      </c>
      <c r="D151" s="15" t="n">
        <v>2</v>
      </c>
      <c r="E151" s="15" t="n">
        <v>2.5</v>
      </c>
      <c r="F151" s="15" t="inlineStr">
        <is>
          <t>prosumer</t>
        </is>
      </c>
    </row>
    <row r="152">
      <c r="A152" s="15" t="n">
        <v>251</v>
      </c>
      <c r="B152" s="16" t="inlineStr">
        <is>
          <t>Load_TR2_F6_31</t>
        </is>
      </c>
      <c r="C152" s="15" t="inlineStr">
        <is>
          <t>TR2_six387</t>
        </is>
      </c>
      <c r="D152" s="15" t="n">
        <v>1</v>
      </c>
      <c r="E152" s="15" t="n">
        <v>4</v>
      </c>
      <c r="F152" s="15" t="inlineStr">
        <is>
          <t>prosumer</t>
        </is>
      </c>
    </row>
    <row r="153">
      <c r="A153" s="15" t="n">
        <v>252</v>
      </c>
      <c r="B153" s="16" t="inlineStr">
        <is>
          <t>Load_TR2_F6_32</t>
        </is>
      </c>
      <c r="C153" s="15" t="inlineStr">
        <is>
          <t>TR2_six392</t>
        </is>
      </c>
      <c r="D153" s="15" t="n">
        <v>3</v>
      </c>
      <c r="E153" s="15" t="n">
        <v>3.5</v>
      </c>
      <c r="F153" s="15" t="inlineStr">
        <is>
          <t>prosumer</t>
        </is>
      </c>
    </row>
    <row r="154">
      <c r="A154" s="15" t="n">
        <v>253</v>
      </c>
      <c r="B154" s="16" t="inlineStr">
        <is>
          <t>Load_TR2_F6_33</t>
        </is>
      </c>
      <c r="C154" s="15" t="inlineStr">
        <is>
          <t>TR2_six410</t>
        </is>
      </c>
      <c r="D154" s="15" t="n">
        <v>1</v>
      </c>
      <c r="E154" s="15" t="n">
        <v>4</v>
      </c>
      <c r="F154" s="15" t="inlineStr">
        <is>
          <t>prosumer</t>
        </is>
      </c>
    </row>
    <row r="155">
      <c r="A155" s="15" t="n">
        <v>254</v>
      </c>
      <c r="B155" s="16" t="inlineStr">
        <is>
          <t>Load_TR2_F6_34</t>
        </is>
      </c>
      <c r="C155" s="15" t="inlineStr">
        <is>
          <t>TR2_six431</t>
        </is>
      </c>
      <c r="D155" s="15" t="n">
        <v>3</v>
      </c>
      <c r="E155" s="15" t="n">
        <v>4</v>
      </c>
      <c r="F155" s="15" t="inlineStr">
        <is>
          <t>prosumer</t>
        </is>
      </c>
    </row>
    <row r="156">
      <c r="A156" s="15" t="n">
        <v>256</v>
      </c>
      <c r="B156" s="16" t="inlineStr">
        <is>
          <t>Load_TR2_F6_36</t>
        </is>
      </c>
      <c r="C156" s="15" t="inlineStr">
        <is>
          <t>TR2_six484</t>
        </is>
      </c>
      <c r="D156" s="15" t="n">
        <v>2</v>
      </c>
      <c r="E156" s="15" t="n">
        <v>2.5</v>
      </c>
      <c r="F156" s="15" t="inlineStr">
        <is>
          <t>prosumer</t>
        </is>
      </c>
    </row>
    <row r="157">
      <c r="A157" s="15" t="n">
        <v>258</v>
      </c>
      <c r="B157" s="16" t="inlineStr">
        <is>
          <t>Load_TR2_F6_38</t>
        </is>
      </c>
      <c r="C157" s="15" t="inlineStr">
        <is>
          <t>TR2_six512</t>
        </is>
      </c>
      <c r="D157" s="15" t="n">
        <v>2</v>
      </c>
      <c r="E157" s="15" t="n">
        <v>4</v>
      </c>
      <c r="F157" s="15" t="inlineStr">
        <is>
          <t>prosumer</t>
        </is>
      </c>
    </row>
    <row r="158">
      <c r="A158" s="15" t="n">
        <v>259</v>
      </c>
      <c r="B158" s="16" t="inlineStr">
        <is>
          <t>Load_TR2_F6_39</t>
        </is>
      </c>
      <c r="C158" s="15" t="inlineStr">
        <is>
          <t>TR2_six518</t>
        </is>
      </c>
      <c r="D158" s="15" t="n">
        <v>2</v>
      </c>
      <c r="E158" s="15" t="n">
        <v>2</v>
      </c>
      <c r="F158" s="15" t="inlineStr">
        <is>
          <t>prosumer</t>
        </is>
      </c>
    </row>
    <row r="159">
      <c r="A159" s="15" t="n">
        <v>261</v>
      </c>
      <c r="B159" s="16" t="inlineStr">
        <is>
          <t>Load_TR2_F6_40</t>
        </is>
      </c>
      <c r="C159" s="15" t="inlineStr">
        <is>
          <t>TR2_six523</t>
        </is>
      </c>
      <c r="D159" s="15" t="n">
        <v>3</v>
      </c>
      <c r="E159" s="15" t="n">
        <v>2</v>
      </c>
      <c r="F159" s="15" t="inlineStr">
        <is>
          <t>prosumer</t>
        </is>
      </c>
    </row>
    <row r="160">
      <c r="A160" s="15" t="n">
        <v>263</v>
      </c>
      <c r="B160" s="16" t="inlineStr">
        <is>
          <t>Load_TR2_F6_42</t>
        </is>
      </c>
      <c r="C160" s="15" t="inlineStr">
        <is>
          <t>TR2_six571</t>
        </is>
      </c>
      <c r="D160" s="15" t="n">
        <v>3</v>
      </c>
      <c r="E160" s="15" t="n">
        <v>3</v>
      </c>
      <c r="F160" s="15" t="inlineStr">
        <is>
          <t>prosumer</t>
        </is>
      </c>
    </row>
    <row r="161">
      <c r="A161" s="15" t="n">
        <v>264</v>
      </c>
      <c r="B161" s="16" t="inlineStr">
        <is>
          <t>Load_TR2_F6_43</t>
        </is>
      </c>
      <c r="C161" s="15" t="inlineStr">
        <is>
          <t>TR2_six583</t>
        </is>
      </c>
      <c r="D161" s="15" t="n">
        <v>1</v>
      </c>
      <c r="E161" s="15" t="n">
        <v>3.5</v>
      </c>
      <c r="F161" s="15" t="inlineStr">
        <is>
          <t>prosumer</t>
        </is>
      </c>
    </row>
    <row r="162">
      <c r="A162" s="15" t="n">
        <v>267</v>
      </c>
      <c r="B162" s="16" t="inlineStr">
        <is>
          <t>Load_TR2_F6_46</t>
        </is>
      </c>
      <c r="C162" s="15" t="inlineStr">
        <is>
          <t>TR2_six625</t>
        </is>
      </c>
      <c r="D162" s="15" t="n">
        <v>1</v>
      </c>
      <c r="E162" s="15" t="n">
        <v>3</v>
      </c>
      <c r="F162" s="15" t="inlineStr">
        <is>
          <t>prosumer</t>
        </is>
      </c>
    </row>
    <row r="163">
      <c r="A163" s="15" t="n">
        <v>269</v>
      </c>
      <c r="B163" s="16" t="inlineStr">
        <is>
          <t>Load_TR2_F6_48</t>
        </is>
      </c>
      <c r="C163" s="15" t="inlineStr">
        <is>
          <t>TR2_six646</t>
        </is>
      </c>
      <c r="D163" s="15" t="n">
        <v>2</v>
      </c>
      <c r="E163" s="15" t="n">
        <v>3.5</v>
      </c>
      <c r="F163" s="15" t="inlineStr">
        <is>
          <t>prosumer</t>
        </is>
      </c>
    </row>
    <row r="164">
      <c r="A164" s="15" t="n">
        <v>271</v>
      </c>
      <c r="B164" s="16" t="inlineStr">
        <is>
          <t>Load_TR2_F6_5</t>
        </is>
      </c>
      <c r="C164" s="15" t="inlineStr">
        <is>
          <t>TR2_six87</t>
        </is>
      </c>
      <c r="D164" s="15" t="n">
        <v>1</v>
      </c>
      <c r="E164" s="15" t="n">
        <v>2.5</v>
      </c>
      <c r="F164" s="15" t="inlineStr">
        <is>
          <t>prosumer</t>
        </is>
      </c>
    </row>
    <row r="165">
      <c r="A165" s="15" t="n">
        <v>272</v>
      </c>
      <c r="B165" s="16" t="inlineStr">
        <is>
          <t>Load_TR2_F6_50</t>
        </is>
      </c>
      <c r="C165" s="15" t="inlineStr">
        <is>
          <t>TR2_six652</t>
        </is>
      </c>
      <c r="D165" s="15" t="n">
        <v>1</v>
      </c>
      <c r="E165" s="15" t="n">
        <v>4</v>
      </c>
      <c r="F165" s="15" t="inlineStr">
        <is>
          <t>prosumer</t>
        </is>
      </c>
    </row>
    <row r="166">
      <c r="A166" s="15" t="n">
        <v>273</v>
      </c>
      <c r="B166" s="16" t="inlineStr">
        <is>
          <t>Load_TR2_F6_51</t>
        </is>
      </c>
      <c r="C166" s="15" t="inlineStr">
        <is>
          <t>TR2_six665</t>
        </is>
      </c>
      <c r="D166" s="15" t="n">
        <v>2</v>
      </c>
      <c r="E166" s="15" t="n">
        <v>4</v>
      </c>
      <c r="F166" s="15" t="inlineStr">
        <is>
          <t>prosumer</t>
        </is>
      </c>
    </row>
    <row r="167">
      <c r="A167" s="15" t="n">
        <v>274</v>
      </c>
      <c r="B167" s="16" t="inlineStr">
        <is>
          <t>Load_TR2_F6_52</t>
        </is>
      </c>
      <c r="C167" s="15" t="inlineStr">
        <is>
          <t>TR2_six667</t>
        </is>
      </c>
      <c r="D167" s="15" t="n">
        <v>1</v>
      </c>
      <c r="E167" s="15" t="n">
        <v>2.5</v>
      </c>
      <c r="F167" s="15" t="inlineStr">
        <is>
          <t>prosumer</t>
        </is>
      </c>
    </row>
    <row r="168">
      <c r="A168" s="15" t="n">
        <v>277</v>
      </c>
      <c r="B168" s="16" t="inlineStr">
        <is>
          <t>Load_TR2_F6_55</t>
        </is>
      </c>
      <c r="C168" s="15" t="inlineStr">
        <is>
          <t>TR2_six721</t>
        </is>
      </c>
      <c r="D168" s="15" t="n">
        <v>1</v>
      </c>
      <c r="E168" s="15" t="n">
        <v>2</v>
      </c>
      <c r="F168" s="15" t="inlineStr">
        <is>
          <t>prosumer</t>
        </is>
      </c>
    </row>
    <row r="169">
      <c r="A169" s="15" t="n">
        <v>279</v>
      </c>
      <c r="B169" s="16" t="inlineStr">
        <is>
          <t>Load_TR2_F6_57</t>
        </is>
      </c>
      <c r="C169" s="15" t="inlineStr">
        <is>
          <t>TR2_six740</t>
        </is>
      </c>
      <c r="D169" s="15" t="n">
        <v>1</v>
      </c>
      <c r="E169" s="15" t="n">
        <v>3.5</v>
      </c>
      <c r="F169" s="15" t="inlineStr">
        <is>
          <t>prosumer</t>
        </is>
      </c>
    </row>
    <row r="170">
      <c r="A170" s="15" t="n">
        <v>280</v>
      </c>
      <c r="B170" s="16" t="inlineStr">
        <is>
          <t>Load_TR2_F6_58</t>
        </is>
      </c>
      <c r="C170" s="15" t="inlineStr">
        <is>
          <t>TR2_six758</t>
        </is>
      </c>
      <c r="D170" s="15" t="n">
        <v>2</v>
      </c>
      <c r="E170" s="15" t="n">
        <v>2.5</v>
      </c>
      <c r="F170" s="15" t="inlineStr">
        <is>
          <t>prosumer</t>
        </is>
      </c>
    </row>
    <row r="171">
      <c r="A171" s="15" t="n">
        <v>281</v>
      </c>
      <c r="B171" s="16" t="inlineStr">
        <is>
          <t>Load_TR2_F6_59</t>
        </is>
      </c>
      <c r="C171" s="15" t="inlineStr">
        <is>
          <t>TR2_six784</t>
        </is>
      </c>
      <c r="D171" s="15" t="n">
        <v>2</v>
      </c>
      <c r="E171" s="15" t="n">
        <v>2</v>
      </c>
      <c r="F171" s="15" t="inlineStr">
        <is>
          <t>prosumer</t>
        </is>
      </c>
    </row>
    <row r="172">
      <c r="A172" s="15" t="n">
        <v>283</v>
      </c>
      <c r="B172" s="16" t="inlineStr">
        <is>
          <t>Load_TR2_F6_60</t>
        </is>
      </c>
      <c r="C172" s="15" t="inlineStr">
        <is>
          <t>TR2_six799</t>
        </is>
      </c>
      <c r="D172" s="15" t="n">
        <v>2</v>
      </c>
      <c r="E172" s="15" t="n">
        <v>2</v>
      </c>
      <c r="F172" s="15" t="inlineStr">
        <is>
          <t>prosumer</t>
        </is>
      </c>
    </row>
    <row r="173">
      <c r="A173" s="15" t="n">
        <v>285</v>
      </c>
      <c r="B173" s="16" t="inlineStr">
        <is>
          <t>Load_TR2_F6_62</t>
        </is>
      </c>
      <c r="C173" s="15" t="inlineStr">
        <is>
          <t>TR2_six807</t>
        </is>
      </c>
      <c r="D173" s="15" t="n">
        <v>1</v>
      </c>
      <c r="E173" s="15" t="n">
        <v>3.5</v>
      </c>
      <c r="F173" s="15" t="inlineStr">
        <is>
          <t>prosumer</t>
        </is>
      </c>
    </row>
    <row r="174">
      <c r="A174" s="15" t="n">
        <v>290</v>
      </c>
      <c r="B174" s="16" t="inlineStr">
        <is>
          <t>Load_TR2_F6_67</t>
        </is>
      </c>
      <c r="C174" s="15" t="inlineStr">
        <is>
          <t>TR2_six885</t>
        </is>
      </c>
      <c r="D174" s="15" t="n">
        <v>1</v>
      </c>
      <c r="E174" s="15" t="n">
        <v>3.5</v>
      </c>
      <c r="F174" s="15" t="inlineStr">
        <is>
          <t>prosumer</t>
        </is>
      </c>
    </row>
    <row r="175">
      <c r="A175" s="15" t="n">
        <v>291</v>
      </c>
      <c r="B175" s="16" t="inlineStr">
        <is>
          <t>Load_TR2_F6_68</t>
        </is>
      </c>
      <c r="C175" s="15" t="inlineStr">
        <is>
          <t>TR2_six894</t>
        </is>
      </c>
      <c r="D175" s="15" t="n">
        <v>2</v>
      </c>
      <c r="E175" s="15" t="n">
        <v>1.5</v>
      </c>
      <c r="F175" s="15" t="inlineStr">
        <is>
          <t>prosumer</t>
        </is>
      </c>
    </row>
    <row r="176">
      <c r="A176" s="15" t="n">
        <v>294</v>
      </c>
      <c r="B176" s="16" t="inlineStr">
        <is>
          <t>Load_TR2_F6_70</t>
        </is>
      </c>
      <c r="C176" s="15" t="inlineStr">
        <is>
          <t>TR2_six914</t>
        </is>
      </c>
      <c r="D176" s="15" t="n">
        <v>1</v>
      </c>
      <c r="E176" s="15" t="n">
        <v>1.5</v>
      </c>
      <c r="F176" s="15" t="inlineStr">
        <is>
          <t>prosumer</t>
        </is>
      </c>
    </row>
    <row r="177">
      <c r="A177" s="15" t="n">
        <v>295</v>
      </c>
      <c r="B177" s="16" t="inlineStr">
        <is>
          <t>Load_TR2_F6_71</t>
        </is>
      </c>
      <c r="C177" s="15" t="inlineStr">
        <is>
          <t>TR2_six921</t>
        </is>
      </c>
      <c r="D177" s="15" t="n">
        <v>2</v>
      </c>
      <c r="E177" s="15" t="n">
        <v>3.5</v>
      </c>
      <c r="F177" s="15" t="inlineStr">
        <is>
          <t>prosumer</t>
        </is>
      </c>
    </row>
    <row r="178">
      <c r="A178" s="15" t="n">
        <v>296</v>
      </c>
      <c r="B178" s="16" t="inlineStr">
        <is>
          <t>Load_TR2_F6_72</t>
        </is>
      </c>
      <c r="C178" s="15" t="inlineStr">
        <is>
          <t>TR2_six929</t>
        </is>
      </c>
      <c r="D178" s="15" t="n">
        <v>1</v>
      </c>
      <c r="E178" s="15" t="n">
        <v>1.5</v>
      </c>
      <c r="F178" s="15" t="inlineStr">
        <is>
          <t>prosumer</t>
        </is>
      </c>
    </row>
    <row r="179">
      <c r="A179" s="15" t="n">
        <v>297</v>
      </c>
      <c r="B179" s="16" t="inlineStr">
        <is>
          <t>Load_TR2_F6_73</t>
        </is>
      </c>
      <c r="C179" s="15" t="inlineStr">
        <is>
          <t>TR2_six938</t>
        </is>
      </c>
      <c r="D179" s="15" t="n">
        <v>1</v>
      </c>
      <c r="E179" s="15" t="n">
        <v>4</v>
      </c>
      <c r="F179" s="15" t="inlineStr">
        <is>
          <t>prosumer</t>
        </is>
      </c>
    </row>
    <row r="180">
      <c r="A180" s="15" t="n">
        <v>303</v>
      </c>
      <c r="B180" s="16" t="inlineStr">
        <is>
          <t>Load_TR2_F6_79</t>
        </is>
      </c>
      <c r="C180" s="15" t="inlineStr">
        <is>
          <t>TR2_six990</t>
        </is>
      </c>
      <c r="D180" s="15" t="n">
        <v>2</v>
      </c>
      <c r="E180" s="15" t="n">
        <v>3</v>
      </c>
      <c r="F180" s="15" t="inlineStr">
        <is>
          <t>prosumer</t>
        </is>
      </c>
    </row>
    <row r="181">
      <c r="A181" s="15" t="n">
        <v>306</v>
      </c>
      <c r="B181" s="16" t="inlineStr">
        <is>
          <t>Load_TR2_F6_81</t>
        </is>
      </c>
      <c r="C181" s="15" t="inlineStr">
        <is>
          <t>TR2_six1020</t>
        </is>
      </c>
      <c r="D181" s="15" t="n">
        <v>1</v>
      </c>
      <c r="E181" s="15" t="n">
        <v>2</v>
      </c>
      <c r="F181" s="15" t="inlineStr">
        <is>
          <t>prosumer</t>
        </is>
      </c>
    </row>
  </sheetData>
  <autoFilter ref="A4:F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>
      <c r="A1" s="1" t="inlineStr">
        <is>
          <t>Raw PV per load</t>
        </is>
      </c>
    </row>
    <row r="2">
      <c r="A2" s="17" t="inlineStr">
        <is>
          <t>Verbatim copy of PV_generation_kW (TR2_load_PV_48periods.xlsx). One row per connection, 48 half-hours (kW).</t>
        </is>
      </c>
    </row>
    <row r="4">
      <c r="A4" s="7" t="inlineStr">
        <is>
          <t>Load name</t>
        </is>
      </c>
      <c r="B4" s="7" t="inlineStr">
        <is>
          <t>Type</t>
        </is>
      </c>
      <c r="C4" s="7" t="inlineStr">
        <is>
          <t>p1</t>
        </is>
      </c>
      <c r="D4" s="7" t="inlineStr">
        <is>
          <t>p2</t>
        </is>
      </c>
      <c r="E4" s="7" t="inlineStr">
        <is>
          <t>p3</t>
        </is>
      </c>
      <c r="F4" s="7" t="inlineStr">
        <is>
          <t>p4</t>
        </is>
      </c>
      <c r="G4" s="7" t="inlineStr">
        <is>
          <t>p5</t>
        </is>
      </c>
      <c r="H4" s="7" t="inlineStr">
        <is>
          <t>p6</t>
        </is>
      </c>
      <c r="I4" s="7" t="inlineStr">
        <is>
          <t>p7</t>
        </is>
      </c>
      <c r="J4" s="7" t="inlineStr">
        <is>
          <t>p8</t>
        </is>
      </c>
      <c r="K4" s="7" t="inlineStr">
        <is>
          <t>p9</t>
        </is>
      </c>
      <c r="L4" s="7" t="inlineStr">
        <is>
          <t>p10</t>
        </is>
      </c>
      <c r="M4" s="7" t="inlineStr">
        <is>
          <t>p11</t>
        </is>
      </c>
      <c r="N4" s="7" t="inlineStr">
        <is>
          <t>p12</t>
        </is>
      </c>
      <c r="O4" s="7" t="inlineStr">
        <is>
          <t>p13</t>
        </is>
      </c>
      <c r="P4" s="7" t="inlineStr">
        <is>
          <t>p14</t>
        </is>
      </c>
      <c r="Q4" s="7" t="inlineStr">
        <is>
          <t>p15</t>
        </is>
      </c>
      <c r="R4" s="7" t="inlineStr">
        <is>
          <t>p16</t>
        </is>
      </c>
      <c r="S4" s="7" t="inlineStr">
        <is>
          <t>p17</t>
        </is>
      </c>
      <c r="T4" s="7" t="inlineStr">
        <is>
          <t>p18</t>
        </is>
      </c>
      <c r="U4" s="7" t="inlineStr">
        <is>
          <t>p19</t>
        </is>
      </c>
      <c r="V4" s="7" t="inlineStr">
        <is>
          <t>p20</t>
        </is>
      </c>
      <c r="W4" s="7" t="inlineStr">
        <is>
          <t>p21</t>
        </is>
      </c>
      <c r="X4" s="7" t="inlineStr">
        <is>
          <t>p22</t>
        </is>
      </c>
      <c r="Y4" s="7" t="inlineStr">
        <is>
          <t>p23</t>
        </is>
      </c>
      <c r="Z4" s="7" t="inlineStr">
        <is>
          <t>p24</t>
        </is>
      </c>
      <c r="AA4" s="7" t="inlineStr">
        <is>
          <t>p25</t>
        </is>
      </c>
      <c r="AB4" s="7" t="inlineStr">
        <is>
          <t>p26</t>
        </is>
      </c>
      <c r="AC4" s="7" t="inlineStr">
        <is>
          <t>p27</t>
        </is>
      </c>
      <c r="AD4" s="7" t="inlineStr">
        <is>
          <t>p28</t>
        </is>
      </c>
      <c r="AE4" s="7" t="inlineStr">
        <is>
          <t>p29</t>
        </is>
      </c>
      <c r="AF4" s="7" t="inlineStr">
        <is>
          <t>p30</t>
        </is>
      </c>
      <c r="AG4" s="7" t="inlineStr">
        <is>
          <t>p31</t>
        </is>
      </c>
      <c r="AH4" s="7" t="inlineStr">
        <is>
          <t>p32</t>
        </is>
      </c>
      <c r="AI4" s="7" t="inlineStr">
        <is>
          <t>p33</t>
        </is>
      </c>
      <c r="AJ4" s="7" t="inlineStr">
        <is>
          <t>p34</t>
        </is>
      </c>
      <c r="AK4" s="7" t="inlineStr">
        <is>
          <t>p35</t>
        </is>
      </c>
      <c r="AL4" s="7" t="inlineStr">
        <is>
          <t>p36</t>
        </is>
      </c>
      <c r="AM4" s="7" t="inlineStr">
        <is>
          <t>p37</t>
        </is>
      </c>
      <c r="AN4" s="7" t="inlineStr">
        <is>
          <t>p38</t>
        </is>
      </c>
      <c r="AO4" s="7" t="inlineStr">
        <is>
          <t>p39</t>
        </is>
      </c>
      <c r="AP4" s="7" t="inlineStr">
        <is>
          <t>p40</t>
        </is>
      </c>
      <c r="AQ4" s="7" t="inlineStr">
        <is>
          <t>p41</t>
        </is>
      </c>
      <c r="AR4" s="7" t="inlineStr">
        <is>
          <t>p42</t>
        </is>
      </c>
      <c r="AS4" s="7" t="inlineStr">
        <is>
          <t>p43</t>
        </is>
      </c>
      <c r="AT4" s="7" t="inlineStr">
        <is>
          <t>p44</t>
        </is>
      </c>
      <c r="AU4" s="7" t="inlineStr">
        <is>
          <t>p45</t>
        </is>
      </c>
      <c r="AV4" s="7" t="inlineStr">
        <is>
          <t>p46</t>
        </is>
      </c>
      <c r="AW4" s="7" t="inlineStr">
        <is>
          <t>p47</t>
        </is>
      </c>
      <c r="AX4" s="7" t="inlineStr">
        <is>
          <t>p48</t>
        </is>
      </c>
    </row>
    <row r="5">
      <c r="A5" s="10" t="inlineStr">
        <is>
          <t>Load_TR2_F3_1</t>
        </is>
      </c>
      <c r="B5" s="12" t="inlineStr">
        <is>
          <t>customer</t>
        </is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  <c r="X5" s="18" t="n">
        <v>0</v>
      </c>
      <c r="Y5" s="18" t="n">
        <v>0</v>
      </c>
      <c r="Z5" s="18" t="n">
        <v>0</v>
      </c>
      <c r="AA5" s="18" t="n">
        <v>0</v>
      </c>
      <c r="AB5" s="18" t="n">
        <v>0</v>
      </c>
      <c r="AC5" s="18" t="n">
        <v>0</v>
      </c>
      <c r="AD5" s="18" t="n">
        <v>0</v>
      </c>
      <c r="AE5" s="18" t="n">
        <v>0</v>
      </c>
      <c r="AF5" s="18" t="n">
        <v>0</v>
      </c>
      <c r="AG5" s="18" t="n">
        <v>0</v>
      </c>
      <c r="AH5" s="18" t="n">
        <v>0</v>
      </c>
      <c r="AI5" s="18" t="n">
        <v>0</v>
      </c>
      <c r="AJ5" s="18" t="n">
        <v>0</v>
      </c>
      <c r="AK5" s="18" t="n">
        <v>0</v>
      </c>
      <c r="AL5" s="18" t="n">
        <v>0</v>
      </c>
      <c r="AM5" s="18" t="n">
        <v>0</v>
      </c>
      <c r="AN5" s="18" t="n">
        <v>0</v>
      </c>
      <c r="AO5" s="18" t="n">
        <v>0</v>
      </c>
      <c r="AP5" s="18" t="n">
        <v>0</v>
      </c>
      <c r="AQ5" s="18" t="n">
        <v>0</v>
      </c>
      <c r="AR5" s="18" t="n">
        <v>0</v>
      </c>
      <c r="AS5" s="18" t="n">
        <v>0</v>
      </c>
      <c r="AT5" s="18" t="n">
        <v>0</v>
      </c>
      <c r="AU5" s="18" t="n">
        <v>0</v>
      </c>
      <c r="AV5" s="18" t="n">
        <v>0</v>
      </c>
      <c r="AW5" s="18" t="n">
        <v>0</v>
      </c>
      <c r="AX5" s="18" t="n">
        <v>0</v>
      </c>
    </row>
    <row r="6">
      <c r="A6" s="10" t="inlineStr">
        <is>
          <t>Load_TR2_F3_10</t>
        </is>
      </c>
      <c r="B6" s="12" t="inlineStr">
        <is>
          <t>customer</t>
        </is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0</v>
      </c>
      <c r="X6" s="18" t="n">
        <v>0</v>
      </c>
      <c r="Y6" s="18" t="n">
        <v>0</v>
      </c>
      <c r="Z6" s="18" t="n">
        <v>0</v>
      </c>
      <c r="AA6" s="18" t="n">
        <v>0</v>
      </c>
      <c r="AB6" s="18" t="n">
        <v>0</v>
      </c>
      <c r="AC6" s="18" t="n">
        <v>0</v>
      </c>
      <c r="AD6" s="18" t="n">
        <v>0</v>
      </c>
      <c r="AE6" s="18" t="n">
        <v>0</v>
      </c>
      <c r="AF6" s="18" t="n">
        <v>0</v>
      </c>
      <c r="AG6" s="18" t="n">
        <v>0</v>
      </c>
      <c r="AH6" s="18" t="n">
        <v>0</v>
      </c>
      <c r="AI6" s="18" t="n">
        <v>0</v>
      </c>
      <c r="AJ6" s="18" t="n">
        <v>0</v>
      </c>
      <c r="AK6" s="18" t="n">
        <v>0</v>
      </c>
      <c r="AL6" s="18" t="n">
        <v>0</v>
      </c>
      <c r="AM6" s="18" t="n">
        <v>0</v>
      </c>
      <c r="AN6" s="18" t="n">
        <v>0</v>
      </c>
      <c r="AO6" s="18" t="n">
        <v>0</v>
      </c>
      <c r="AP6" s="18" t="n">
        <v>0</v>
      </c>
      <c r="AQ6" s="18" t="n">
        <v>0</v>
      </c>
      <c r="AR6" s="18" t="n">
        <v>0</v>
      </c>
      <c r="AS6" s="18" t="n">
        <v>0</v>
      </c>
      <c r="AT6" s="18" t="n">
        <v>0</v>
      </c>
      <c r="AU6" s="18" t="n">
        <v>0</v>
      </c>
      <c r="AV6" s="18" t="n">
        <v>0</v>
      </c>
      <c r="AW6" s="18" t="n">
        <v>0</v>
      </c>
      <c r="AX6" s="18" t="n">
        <v>0</v>
      </c>
    </row>
    <row r="7">
      <c r="A7" s="10" t="inlineStr">
        <is>
          <t>Load_TR2_F3_11</t>
        </is>
      </c>
      <c r="B7" s="12" t="inlineStr">
        <is>
          <t>customer</t>
        </is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  <c r="AD7" s="18" t="n">
        <v>0</v>
      </c>
      <c r="AE7" s="18" t="n">
        <v>0</v>
      </c>
      <c r="AF7" s="18" t="n">
        <v>0</v>
      </c>
      <c r="AG7" s="18" t="n">
        <v>0</v>
      </c>
      <c r="AH7" s="18" t="n">
        <v>0</v>
      </c>
      <c r="AI7" s="18" t="n">
        <v>0</v>
      </c>
      <c r="AJ7" s="18" t="n">
        <v>0</v>
      </c>
      <c r="AK7" s="18" t="n">
        <v>0</v>
      </c>
      <c r="AL7" s="18" t="n">
        <v>0</v>
      </c>
      <c r="AM7" s="18" t="n">
        <v>0</v>
      </c>
      <c r="AN7" s="18" t="n">
        <v>0</v>
      </c>
      <c r="AO7" s="18" t="n">
        <v>0</v>
      </c>
      <c r="AP7" s="18" t="n">
        <v>0</v>
      </c>
      <c r="AQ7" s="18" t="n">
        <v>0</v>
      </c>
      <c r="AR7" s="18" t="n">
        <v>0</v>
      </c>
      <c r="AS7" s="18" t="n">
        <v>0</v>
      </c>
      <c r="AT7" s="18" t="n">
        <v>0</v>
      </c>
      <c r="AU7" s="18" t="n">
        <v>0</v>
      </c>
      <c r="AV7" s="18" t="n">
        <v>0</v>
      </c>
      <c r="AW7" s="18" t="n">
        <v>0</v>
      </c>
      <c r="AX7" s="18" t="n">
        <v>0</v>
      </c>
    </row>
    <row r="8">
      <c r="A8" s="10" t="inlineStr">
        <is>
          <t>Load_TR2_F3_12</t>
        </is>
      </c>
      <c r="B8" s="12" t="inlineStr">
        <is>
          <t>customer</t>
        </is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</row>
    <row r="9">
      <c r="A9" s="10" t="inlineStr">
        <is>
          <t>Load_TR2_F3_13</t>
        </is>
      </c>
      <c r="B9" s="12" t="inlineStr">
        <is>
          <t>customer</t>
        </is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18" t="n">
        <v>0</v>
      </c>
      <c r="AW9" s="18" t="n">
        <v>0</v>
      </c>
      <c r="AX9" s="18" t="n">
        <v>0</v>
      </c>
    </row>
    <row r="10">
      <c r="A10" s="10" t="inlineStr">
        <is>
          <t>Load_TR2_F3_14</t>
        </is>
      </c>
      <c r="B10" s="12" t="inlineStr">
        <is>
          <t>customer</t>
        </is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  <c r="T10" s="18" t="n">
        <v>0</v>
      </c>
      <c r="U10" s="18" t="n">
        <v>0</v>
      </c>
      <c r="V10" s="18" t="n">
        <v>0</v>
      </c>
      <c r="W10" s="18" t="n">
        <v>0</v>
      </c>
      <c r="X10" s="18" t="n">
        <v>0</v>
      </c>
      <c r="Y10" s="18" t="n">
        <v>0</v>
      </c>
      <c r="Z10" s="18" t="n">
        <v>0</v>
      </c>
      <c r="AA10" s="18" t="n">
        <v>0</v>
      </c>
      <c r="AB10" s="18" t="n">
        <v>0</v>
      </c>
      <c r="AC10" s="18" t="n">
        <v>0</v>
      </c>
      <c r="AD10" s="18" t="n">
        <v>0</v>
      </c>
      <c r="AE10" s="18" t="n">
        <v>0</v>
      </c>
      <c r="AF10" s="18" t="n">
        <v>0</v>
      </c>
      <c r="AG10" s="18" t="n">
        <v>0</v>
      </c>
      <c r="AH10" s="18" t="n">
        <v>0</v>
      </c>
      <c r="AI10" s="18" t="n">
        <v>0</v>
      </c>
      <c r="AJ10" s="18" t="n">
        <v>0</v>
      </c>
      <c r="AK10" s="18" t="n">
        <v>0</v>
      </c>
      <c r="AL10" s="18" t="n">
        <v>0</v>
      </c>
      <c r="AM10" s="18" t="n">
        <v>0</v>
      </c>
      <c r="AN10" s="18" t="n">
        <v>0</v>
      </c>
      <c r="AO10" s="18" t="n">
        <v>0</v>
      </c>
      <c r="AP10" s="18" t="n">
        <v>0</v>
      </c>
      <c r="AQ10" s="18" t="n">
        <v>0</v>
      </c>
      <c r="AR10" s="18" t="n">
        <v>0</v>
      </c>
      <c r="AS10" s="18" t="n">
        <v>0</v>
      </c>
      <c r="AT10" s="18" t="n">
        <v>0</v>
      </c>
      <c r="AU10" s="18" t="n">
        <v>0</v>
      </c>
      <c r="AV10" s="18" t="n">
        <v>0</v>
      </c>
      <c r="AW10" s="18" t="n">
        <v>0</v>
      </c>
      <c r="AX10" s="18" t="n">
        <v>0</v>
      </c>
    </row>
    <row r="11">
      <c r="A11" s="10" t="inlineStr">
        <is>
          <t>Load_TR2_F3_15</t>
        </is>
      </c>
      <c r="B11" s="12" t="inlineStr">
        <is>
          <t>customer</t>
        </is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  <c r="T11" s="18" t="n">
        <v>0</v>
      </c>
      <c r="U11" s="18" t="n">
        <v>0</v>
      </c>
      <c r="V11" s="18" t="n">
        <v>0</v>
      </c>
      <c r="W11" s="18" t="n">
        <v>0</v>
      </c>
      <c r="X11" s="18" t="n">
        <v>0</v>
      </c>
      <c r="Y11" s="18" t="n">
        <v>0</v>
      </c>
      <c r="Z11" s="18" t="n">
        <v>0</v>
      </c>
      <c r="AA11" s="18" t="n">
        <v>0</v>
      </c>
      <c r="AB11" s="18" t="n">
        <v>0</v>
      </c>
      <c r="AC11" s="18" t="n">
        <v>0</v>
      </c>
      <c r="AD11" s="18" t="n">
        <v>0</v>
      </c>
      <c r="AE11" s="18" t="n">
        <v>0</v>
      </c>
      <c r="AF11" s="18" t="n">
        <v>0</v>
      </c>
      <c r="AG11" s="18" t="n">
        <v>0</v>
      </c>
      <c r="AH11" s="18" t="n">
        <v>0</v>
      </c>
      <c r="AI11" s="18" t="n">
        <v>0</v>
      </c>
      <c r="AJ11" s="18" t="n">
        <v>0</v>
      </c>
      <c r="AK11" s="18" t="n">
        <v>0</v>
      </c>
      <c r="AL11" s="18" t="n">
        <v>0</v>
      </c>
      <c r="AM11" s="18" t="n">
        <v>0</v>
      </c>
      <c r="AN11" s="18" t="n">
        <v>0</v>
      </c>
      <c r="AO11" s="18" t="n">
        <v>0</v>
      </c>
      <c r="AP11" s="18" t="n">
        <v>0</v>
      </c>
      <c r="AQ11" s="18" t="n">
        <v>0</v>
      </c>
      <c r="AR11" s="18" t="n">
        <v>0</v>
      </c>
      <c r="AS11" s="18" t="n">
        <v>0</v>
      </c>
      <c r="AT11" s="18" t="n">
        <v>0</v>
      </c>
      <c r="AU11" s="18" t="n">
        <v>0</v>
      </c>
      <c r="AV11" s="18" t="n">
        <v>0</v>
      </c>
      <c r="AW11" s="18" t="n">
        <v>0</v>
      </c>
      <c r="AX11" s="18" t="n">
        <v>0</v>
      </c>
    </row>
    <row r="12">
      <c r="A12" s="10" t="inlineStr">
        <is>
          <t>Load_TR2_F3_16</t>
        </is>
      </c>
      <c r="B12" s="12" t="inlineStr">
        <is>
          <t>customer</t>
        </is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0</v>
      </c>
      <c r="X12" s="18" t="n">
        <v>0</v>
      </c>
      <c r="Y12" s="18" t="n">
        <v>0</v>
      </c>
      <c r="Z12" s="18" t="n">
        <v>0</v>
      </c>
      <c r="AA12" s="18" t="n">
        <v>0</v>
      </c>
      <c r="AB12" s="18" t="n">
        <v>0</v>
      </c>
      <c r="AC12" s="18" t="n">
        <v>0</v>
      </c>
      <c r="AD12" s="18" t="n">
        <v>0</v>
      </c>
      <c r="AE12" s="18" t="n">
        <v>0</v>
      </c>
      <c r="AF12" s="18" t="n">
        <v>0</v>
      </c>
      <c r="AG12" s="18" t="n">
        <v>0</v>
      </c>
      <c r="AH12" s="18" t="n">
        <v>0</v>
      </c>
      <c r="AI12" s="18" t="n">
        <v>0</v>
      </c>
      <c r="AJ12" s="18" t="n">
        <v>0</v>
      </c>
      <c r="AK12" s="18" t="n">
        <v>0</v>
      </c>
      <c r="AL12" s="18" t="n">
        <v>0</v>
      </c>
      <c r="AM12" s="18" t="n">
        <v>0</v>
      </c>
      <c r="AN12" s="18" t="n">
        <v>0</v>
      </c>
      <c r="AO12" s="18" t="n">
        <v>0</v>
      </c>
      <c r="AP12" s="18" t="n">
        <v>0</v>
      </c>
      <c r="AQ12" s="18" t="n">
        <v>0</v>
      </c>
      <c r="AR12" s="18" t="n">
        <v>0</v>
      </c>
      <c r="AS12" s="18" t="n">
        <v>0</v>
      </c>
      <c r="AT12" s="18" t="n">
        <v>0</v>
      </c>
      <c r="AU12" s="18" t="n">
        <v>0</v>
      </c>
      <c r="AV12" s="18" t="n">
        <v>0</v>
      </c>
      <c r="AW12" s="18" t="n">
        <v>0</v>
      </c>
      <c r="AX12" s="18" t="n">
        <v>0</v>
      </c>
    </row>
    <row r="13">
      <c r="A13" s="10" t="inlineStr">
        <is>
          <t>Load_TR2_F3_17</t>
        </is>
      </c>
      <c r="B13" s="12" t="inlineStr">
        <is>
          <t>customer</t>
        </is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18" t="n">
        <v>0</v>
      </c>
      <c r="V13" s="18" t="n">
        <v>0</v>
      </c>
      <c r="W13" s="18" t="n">
        <v>0</v>
      </c>
      <c r="X13" s="18" t="n">
        <v>0</v>
      </c>
      <c r="Y13" s="18" t="n">
        <v>0</v>
      </c>
      <c r="Z13" s="18" t="n">
        <v>0</v>
      </c>
      <c r="AA13" s="18" t="n">
        <v>0</v>
      </c>
      <c r="AB13" s="18" t="n">
        <v>0</v>
      </c>
      <c r="AC13" s="18" t="n">
        <v>0</v>
      </c>
      <c r="AD13" s="18" t="n">
        <v>0</v>
      </c>
      <c r="AE13" s="18" t="n">
        <v>0</v>
      </c>
      <c r="AF13" s="18" t="n">
        <v>0</v>
      </c>
      <c r="AG13" s="18" t="n">
        <v>0</v>
      </c>
      <c r="AH13" s="18" t="n">
        <v>0</v>
      </c>
      <c r="AI13" s="18" t="n">
        <v>0</v>
      </c>
      <c r="AJ13" s="18" t="n">
        <v>0</v>
      </c>
      <c r="AK13" s="18" t="n">
        <v>0</v>
      </c>
      <c r="AL13" s="18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0</v>
      </c>
      <c r="AR13" s="18" t="n">
        <v>0</v>
      </c>
      <c r="AS13" s="18" t="n">
        <v>0</v>
      </c>
      <c r="AT13" s="18" t="n">
        <v>0</v>
      </c>
      <c r="AU13" s="18" t="n">
        <v>0</v>
      </c>
      <c r="AV13" s="18" t="n">
        <v>0</v>
      </c>
      <c r="AW13" s="18" t="n">
        <v>0</v>
      </c>
      <c r="AX13" s="18" t="n">
        <v>0</v>
      </c>
    </row>
    <row r="14">
      <c r="A14" s="10" t="inlineStr">
        <is>
          <t>Load_TR2_F3_18</t>
        </is>
      </c>
      <c r="B14" s="12" t="inlineStr">
        <is>
          <t>customer</t>
        </is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  <c r="X14" s="18" t="n">
        <v>0</v>
      </c>
      <c r="Y14" s="18" t="n">
        <v>0</v>
      </c>
      <c r="Z14" s="18" t="n">
        <v>0</v>
      </c>
      <c r="AA14" s="18" t="n">
        <v>0</v>
      </c>
      <c r="AB14" s="18" t="n">
        <v>0</v>
      </c>
      <c r="AC14" s="18" t="n">
        <v>0</v>
      </c>
      <c r="AD14" s="18" t="n">
        <v>0</v>
      </c>
      <c r="AE14" s="18" t="n">
        <v>0</v>
      </c>
      <c r="AF14" s="18" t="n">
        <v>0</v>
      </c>
      <c r="AG14" s="18" t="n">
        <v>0</v>
      </c>
      <c r="AH14" s="18" t="n">
        <v>0</v>
      </c>
      <c r="AI14" s="18" t="n">
        <v>0</v>
      </c>
      <c r="AJ14" s="18" t="n">
        <v>0</v>
      </c>
      <c r="AK14" s="18" t="n">
        <v>0</v>
      </c>
      <c r="AL14" s="18" t="n">
        <v>0</v>
      </c>
      <c r="AM14" s="18" t="n">
        <v>0</v>
      </c>
      <c r="AN14" s="18" t="n">
        <v>0</v>
      </c>
      <c r="AO14" s="18" t="n">
        <v>0</v>
      </c>
      <c r="AP14" s="18" t="n">
        <v>0</v>
      </c>
      <c r="AQ14" s="18" t="n">
        <v>0</v>
      </c>
      <c r="AR14" s="18" t="n">
        <v>0</v>
      </c>
      <c r="AS14" s="18" t="n">
        <v>0</v>
      </c>
      <c r="AT14" s="18" t="n">
        <v>0</v>
      </c>
      <c r="AU14" s="18" t="n">
        <v>0</v>
      </c>
      <c r="AV14" s="18" t="n">
        <v>0</v>
      </c>
      <c r="AW14" s="18" t="n">
        <v>0</v>
      </c>
      <c r="AX14" s="18" t="n">
        <v>0</v>
      </c>
    </row>
    <row r="15">
      <c r="A15" s="10" t="inlineStr">
        <is>
          <t>Load_TR2_F3_19</t>
        </is>
      </c>
      <c r="B15" s="12" t="inlineStr">
        <is>
          <t>customer</t>
        </is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  <c r="T15" s="18" t="n">
        <v>0</v>
      </c>
      <c r="U15" s="18" t="n">
        <v>0</v>
      </c>
      <c r="V15" s="18" t="n">
        <v>0</v>
      </c>
      <c r="W15" s="18" t="n">
        <v>0</v>
      </c>
      <c r="X15" s="18" t="n">
        <v>0</v>
      </c>
      <c r="Y15" s="18" t="n">
        <v>0</v>
      </c>
      <c r="Z15" s="18" t="n">
        <v>0</v>
      </c>
      <c r="AA15" s="18" t="n">
        <v>0</v>
      </c>
      <c r="AB15" s="18" t="n">
        <v>0</v>
      </c>
      <c r="AC15" s="18" t="n">
        <v>0</v>
      </c>
      <c r="AD15" s="18" t="n">
        <v>0</v>
      </c>
      <c r="AE15" s="18" t="n">
        <v>0</v>
      </c>
      <c r="AF15" s="18" t="n">
        <v>0</v>
      </c>
      <c r="AG15" s="18" t="n">
        <v>0</v>
      </c>
      <c r="AH15" s="18" t="n">
        <v>0</v>
      </c>
      <c r="AI15" s="18" t="n">
        <v>0</v>
      </c>
      <c r="AJ15" s="18" t="n">
        <v>0</v>
      </c>
      <c r="AK15" s="18" t="n">
        <v>0</v>
      </c>
      <c r="AL15" s="18" t="n">
        <v>0</v>
      </c>
      <c r="AM15" s="18" t="n">
        <v>0</v>
      </c>
      <c r="AN15" s="18" t="n">
        <v>0</v>
      </c>
      <c r="AO15" s="18" t="n">
        <v>0</v>
      </c>
      <c r="AP15" s="18" t="n">
        <v>0</v>
      </c>
      <c r="AQ15" s="18" t="n">
        <v>0</v>
      </c>
      <c r="AR15" s="18" t="n">
        <v>0</v>
      </c>
      <c r="AS15" s="18" t="n">
        <v>0</v>
      </c>
      <c r="AT15" s="18" t="n">
        <v>0</v>
      </c>
      <c r="AU15" s="18" t="n">
        <v>0</v>
      </c>
      <c r="AV15" s="18" t="n">
        <v>0</v>
      </c>
      <c r="AW15" s="18" t="n">
        <v>0</v>
      </c>
      <c r="AX15" s="18" t="n">
        <v>0</v>
      </c>
    </row>
    <row r="16">
      <c r="A16" s="10" t="inlineStr">
        <is>
          <t>Load_TR2_F3_2</t>
        </is>
      </c>
      <c r="B16" s="12" t="inlineStr">
        <is>
          <t>customer</t>
        </is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  <c r="X16" s="18" t="n">
        <v>0</v>
      </c>
      <c r="Y16" s="18" t="n">
        <v>0</v>
      </c>
      <c r="Z16" s="18" t="n">
        <v>0</v>
      </c>
      <c r="AA16" s="18" t="n">
        <v>0</v>
      </c>
      <c r="AB16" s="18" t="n">
        <v>0</v>
      </c>
      <c r="AC16" s="18" t="n">
        <v>0</v>
      </c>
      <c r="AD16" s="18" t="n">
        <v>0</v>
      </c>
      <c r="AE16" s="18" t="n">
        <v>0</v>
      </c>
      <c r="AF16" s="18" t="n">
        <v>0</v>
      </c>
      <c r="AG16" s="18" t="n">
        <v>0</v>
      </c>
      <c r="AH16" s="18" t="n">
        <v>0</v>
      </c>
      <c r="AI16" s="18" t="n">
        <v>0</v>
      </c>
      <c r="AJ16" s="18" t="n">
        <v>0</v>
      </c>
      <c r="AK16" s="18" t="n">
        <v>0</v>
      </c>
      <c r="AL16" s="18" t="n">
        <v>0</v>
      </c>
      <c r="AM16" s="18" t="n">
        <v>0</v>
      </c>
      <c r="AN16" s="18" t="n">
        <v>0</v>
      </c>
      <c r="AO16" s="18" t="n">
        <v>0</v>
      </c>
      <c r="AP16" s="18" t="n">
        <v>0</v>
      </c>
      <c r="AQ16" s="18" t="n">
        <v>0</v>
      </c>
      <c r="AR16" s="18" t="n">
        <v>0</v>
      </c>
      <c r="AS16" s="18" t="n">
        <v>0</v>
      </c>
      <c r="AT16" s="18" t="n">
        <v>0</v>
      </c>
      <c r="AU16" s="18" t="n">
        <v>0</v>
      </c>
      <c r="AV16" s="18" t="n">
        <v>0</v>
      </c>
      <c r="AW16" s="18" t="n">
        <v>0</v>
      </c>
      <c r="AX16" s="18" t="n">
        <v>0</v>
      </c>
    </row>
    <row r="17">
      <c r="A17" s="19" t="inlineStr">
        <is>
          <t>Load_TR2_F3_20</t>
        </is>
      </c>
      <c r="B17" s="15" t="inlineStr">
        <is>
          <t>prosumer</t>
        </is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0.0026</v>
      </c>
      <c r="K17" s="20" t="n">
        <v>0.0373</v>
      </c>
      <c r="L17" s="20" t="n">
        <v>0.1744</v>
      </c>
      <c r="M17" s="20" t="n">
        <v>0.346</v>
      </c>
      <c r="N17" s="20" t="n">
        <v>0.5564</v>
      </c>
      <c r="O17" s="20" t="n">
        <v>0.7859</v>
      </c>
      <c r="P17" s="20" t="n">
        <v>1.0183</v>
      </c>
      <c r="Q17" s="20" t="n">
        <v>1.2495</v>
      </c>
      <c r="R17" s="20" t="n">
        <v>1.481</v>
      </c>
      <c r="S17" s="20" t="n">
        <v>1.6982</v>
      </c>
      <c r="T17" s="20" t="n">
        <v>1.9025</v>
      </c>
      <c r="U17" s="20" t="n">
        <v>2.0764</v>
      </c>
      <c r="V17" s="20" t="n">
        <v>2.2248</v>
      </c>
      <c r="W17" s="20" t="n">
        <v>2.355</v>
      </c>
      <c r="X17" s="20" t="n">
        <v>2.4625</v>
      </c>
      <c r="Y17" s="20" t="n">
        <v>2.5387</v>
      </c>
      <c r="Z17" s="20" t="n">
        <v>2.5722</v>
      </c>
      <c r="AA17" s="20" t="n">
        <v>2.5819</v>
      </c>
      <c r="AB17" s="20" t="n">
        <v>2.5637</v>
      </c>
      <c r="AC17" s="20" t="n">
        <v>2.5029</v>
      </c>
      <c r="AD17" s="20" t="n">
        <v>2.41</v>
      </c>
      <c r="AE17" s="20" t="n">
        <v>2.2991</v>
      </c>
      <c r="AF17" s="20" t="n">
        <v>2.1586</v>
      </c>
      <c r="AG17" s="20" t="n">
        <v>2.0093</v>
      </c>
      <c r="AH17" s="20" t="n">
        <v>1.8297</v>
      </c>
      <c r="AI17" s="20" t="n">
        <v>1.6274</v>
      </c>
      <c r="AJ17" s="20" t="n">
        <v>1.3831</v>
      </c>
      <c r="AK17" s="20" t="n">
        <v>1.1544</v>
      </c>
      <c r="AL17" s="20" t="n">
        <v>0.9195</v>
      </c>
      <c r="AM17" s="20" t="n">
        <v>0.6922</v>
      </c>
      <c r="AN17" s="20" t="n">
        <v>0.4731</v>
      </c>
      <c r="AO17" s="20" t="n">
        <v>0.2762</v>
      </c>
      <c r="AP17" s="20" t="n">
        <v>0.0804</v>
      </c>
      <c r="AQ17" s="20" t="n">
        <v>0.0148</v>
      </c>
      <c r="AR17" s="20" t="n">
        <v>0</v>
      </c>
      <c r="AS17" s="20" t="n">
        <v>0</v>
      </c>
      <c r="AT17" s="20" t="n">
        <v>0</v>
      </c>
      <c r="AU17" s="20" t="n">
        <v>0</v>
      </c>
      <c r="AV17" s="20" t="n">
        <v>0</v>
      </c>
      <c r="AW17" s="20" t="n">
        <v>0</v>
      </c>
      <c r="AX17" s="20" t="n">
        <v>0</v>
      </c>
    </row>
    <row r="18">
      <c r="A18" s="19" t="inlineStr">
        <is>
          <t>Load_TR2_F3_21</t>
        </is>
      </c>
      <c r="B18" s="15" t="inlineStr">
        <is>
          <t>prosumer</t>
        </is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0.0034</v>
      </c>
      <c r="K18" s="20" t="n">
        <v>0.0497</v>
      </c>
      <c r="L18" s="20" t="n">
        <v>0.2326</v>
      </c>
      <c r="M18" s="20" t="n">
        <v>0.4613</v>
      </c>
      <c r="N18" s="20" t="n">
        <v>0.7419</v>
      </c>
      <c r="O18" s="20" t="n">
        <v>1.0479</v>
      </c>
      <c r="P18" s="20" t="n">
        <v>1.3577</v>
      </c>
      <c r="Q18" s="20" t="n">
        <v>1.666</v>
      </c>
      <c r="R18" s="20" t="n">
        <v>1.9746</v>
      </c>
      <c r="S18" s="20" t="n">
        <v>2.2643</v>
      </c>
      <c r="T18" s="20" t="n">
        <v>2.5367</v>
      </c>
      <c r="U18" s="20" t="n">
        <v>2.7686</v>
      </c>
      <c r="V18" s="20" t="n">
        <v>2.9664</v>
      </c>
      <c r="W18" s="20" t="n">
        <v>3.14</v>
      </c>
      <c r="X18" s="20" t="n">
        <v>3.2833</v>
      </c>
      <c r="Y18" s="20" t="n">
        <v>3.385</v>
      </c>
      <c r="Z18" s="20" t="n">
        <v>3.4296</v>
      </c>
      <c r="AA18" s="20" t="n">
        <v>3.4425</v>
      </c>
      <c r="AB18" s="20" t="n">
        <v>3.4183</v>
      </c>
      <c r="AC18" s="20" t="n">
        <v>3.3372</v>
      </c>
      <c r="AD18" s="20" t="n">
        <v>3.2133</v>
      </c>
      <c r="AE18" s="20" t="n">
        <v>3.0655</v>
      </c>
      <c r="AF18" s="20" t="n">
        <v>2.8782</v>
      </c>
      <c r="AG18" s="20" t="n">
        <v>2.6791</v>
      </c>
      <c r="AH18" s="20" t="n">
        <v>2.4396</v>
      </c>
      <c r="AI18" s="20" t="n">
        <v>2.1698</v>
      </c>
      <c r="AJ18" s="20" t="n">
        <v>1.8441</v>
      </c>
      <c r="AK18" s="20" t="n">
        <v>1.5392</v>
      </c>
      <c r="AL18" s="20" t="n">
        <v>1.2259</v>
      </c>
      <c r="AM18" s="20" t="n">
        <v>0.9229000000000001</v>
      </c>
      <c r="AN18" s="20" t="n">
        <v>0.6308</v>
      </c>
      <c r="AO18" s="20" t="n">
        <v>0.3683</v>
      </c>
      <c r="AP18" s="20" t="n">
        <v>0.1072</v>
      </c>
      <c r="AQ18" s="20" t="n">
        <v>0.0198</v>
      </c>
      <c r="AR18" s="20" t="n">
        <v>0</v>
      </c>
      <c r="AS18" s="20" t="n">
        <v>0</v>
      </c>
      <c r="AT18" s="20" t="n">
        <v>0</v>
      </c>
      <c r="AU18" s="20" t="n">
        <v>0</v>
      </c>
      <c r="AV18" s="20" t="n">
        <v>0</v>
      </c>
      <c r="AW18" s="20" t="n">
        <v>0</v>
      </c>
      <c r="AX18" s="20" t="n">
        <v>0</v>
      </c>
    </row>
    <row r="19">
      <c r="A19" s="19" t="inlineStr">
        <is>
          <t>Load_TR2_F3_22</t>
        </is>
      </c>
      <c r="B19" s="15" t="inlineStr">
        <is>
          <t>prosumer</t>
        </is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0.0017</v>
      </c>
      <c r="K19" s="20" t="n">
        <v>0.0249</v>
      </c>
      <c r="L19" s="20" t="n">
        <v>0.1163</v>
      </c>
      <c r="M19" s="20" t="n">
        <v>0.2307</v>
      </c>
      <c r="N19" s="20" t="n">
        <v>0.3709</v>
      </c>
      <c r="O19" s="20" t="n">
        <v>0.524</v>
      </c>
      <c r="P19" s="20" t="n">
        <v>0.6788999999999999</v>
      </c>
      <c r="Q19" s="20" t="n">
        <v>0.833</v>
      </c>
      <c r="R19" s="20" t="n">
        <v>0.9873</v>
      </c>
      <c r="S19" s="20" t="n">
        <v>1.1322</v>
      </c>
      <c r="T19" s="20" t="n">
        <v>1.2683</v>
      </c>
      <c r="U19" s="20" t="n">
        <v>1.3843</v>
      </c>
      <c r="V19" s="20" t="n">
        <v>1.4832</v>
      </c>
      <c r="W19" s="20" t="n">
        <v>1.57</v>
      </c>
      <c r="X19" s="20" t="n">
        <v>1.6417</v>
      </c>
      <c r="Y19" s="20" t="n">
        <v>1.6925</v>
      </c>
      <c r="Z19" s="20" t="n">
        <v>1.7148</v>
      </c>
      <c r="AA19" s="20" t="n">
        <v>1.7212</v>
      </c>
      <c r="AB19" s="20" t="n">
        <v>1.7092</v>
      </c>
      <c r="AC19" s="20" t="n">
        <v>1.6686</v>
      </c>
      <c r="AD19" s="20" t="n">
        <v>1.6067</v>
      </c>
      <c r="AE19" s="20" t="n">
        <v>1.5328</v>
      </c>
      <c r="AF19" s="20" t="n">
        <v>1.4391</v>
      </c>
      <c r="AG19" s="20" t="n">
        <v>1.3396</v>
      </c>
      <c r="AH19" s="20" t="n">
        <v>1.2198</v>
      </c>
      <c r="AI19" s="20" t="n">
        <v>1.0849</v>
      </c>
      <c r="AJ19" s="20" t="n">
        <v>0.922</v>
      </c>
      <c r="AK19" s="20" t="n">
        <v>0.7696</v>
      </c>
      <c r="AL19" s="20" t="n">
        <v>0.613</v>
      </c>
      <c r="AM19" s="20" t="n">
        <v>0.4615</v>
      </c>
      <c r="AN19" s="20" t="n">
        <v>0.3154</v>
      </c>
      <c r="AO19" s="20" t="n">
        <v>0.1842</v>
      </c>
      <c r="AP19" s="20" t="n">
        <v>0.0536</v>
      </c>
      <c r="AQ19" s="20" t="n">
        <v>0.009900000000000001</v>
      </c>
      <c r="AR19" s="20" t="n">
        <v>0</v>
      </c>
      <c r="AS19" s="20" t="n">
        <v>0</v>
      </c>
      <c r="AT19" s="20" t="n">
        <v>0</v>
      </c>
      <c r="AU19" s="20" t="n">
        <v>0</v>
      </c>
      <c r="AV19" s="20" t="n">
        <v>0</v>
      </c>
      <c r="AW19" s="20" t="n">
        <v>0</v>
      </c>
      <c r="AX19" s="20" t="n">
        <v>0</v>
      </c>
    </row>
    <row r="20">
      <c r="A20" s="19" t="inlineStr">
        <is>
          <t>Load_TR2_F3_23</t>
        </is>
      </c>
      <c r="B20" s="15" t="inlineStr">
        <is>
          <t>prosumer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0.0034</v>
      </c>
      <c r="K20" s="20" t="n">
        <v>0.0497</v>
      </c>
      <c r="L20" s="20" t="n">
        <v>0.2326</v>
      </c>
      <c r="M20" s="20" t="n">
        <v>0.4613</v>
      </c>
      <c r="N20" s="20" t="n">
        <v>0.7419</v>
      </c>
      <c r="O20" s="20" t="n">
        <v>1.0479</v>
      </c>
      <c r="P20" s="20" t="n">
        <v>1.3577</v>
      </c>
      <c r="Q20" s="20" t="n">
        <v>1.666</v>
      </c>
      <c r="R20" s="20" t="n">
        <v>1.9746</v>
      </c>
      <c r="S20" s="20" t="n">
        <v>2.2643</v>
      </c>
      <c r="T20" s="20" t="n">
        <v>2.5367</v>
      </c>
      <c r="U20" s="20" t="n">
        <v>2.7686</v>
      </c>
      <c r="V20" s="20" t="n">
        <v>2.9664</v>
      </c>
      <c r="W20" s="20" t="n">
        <v>3.14</v>
      </c>
      <c r="X20" s="20" t="n">
        <v>3.2833</v>
      </c>
      <c r="Y20" s="20" t="n">
        <v>3.385</v>
      </c>
      <c r="Z20" s="20" t="n">
        <v>3.4296</v>
      </c>
      <c r="AA20" s="20" t="n">
        <v>3.4425</v>
      </c>
      <c r="AB20" s="20" t="n">
        <v>3.4183</v>
      </c>
      <c r="AC20" s="20" t="n">
        <v>3.3372</v>
      </c>
      <c r="AD20" s="20" t="n">
        <v>3.2133</v>
      </c>
      <c r="AE20" s="20" t="n">
        <v>3.0655</v>
      </c>
      <c r="AF20" s="20" t="n">
        <v>2.8782</v>
      </c>
      <c r="AG20" s="20" t="n">
        <v>2.6791</v>
      </c>
      <c r="AH20" s="20" t="n">
        <v>2.4396</v>
      </c>
      <c r="AI20" s="20" t="n">
        <v>2.1698</v>
      </c>
      <c r="AJ20" s="20" t="n">
        <v>1.8441</v>
      </c>
      <c r="AK20" s="20" t="n">
        <v>1.5392</v>
      </c>
      <c r="AL20" s="20" t="n">
        <v>1.2259</v>
      </c>
      <c r="AM20" s="20" t="n">
        <v>0.9229000000000001</v>
      </c>
      <c r="AN20" s="20" t="n">
        <v>0.6308</v>
      </c>
      <c r="AO20" s="20" t="n">
        <v>0.3683</v>
      </c>
      <c r="AP20" s="20" t="n">
        <v>0.1072</v>
      </c>
      <c r="AQ20" s="20" t="n">
        <v>0.0198</v>
      </c>
      <c r="AR20" s="20" t="n">
        <v>0</v>
      </c>
      <c r="AS20" s="20" t="n">
        <v>0</v>
      </c>
      <c r="AT20" s="20" t="n">
        <v>0</v>
      </c>
      <c r="AU20" s="20" t="n">
        <v>0</v>
      </c>
      <c r="AV20" s="20" t="n">
        <v>0</v>
      </c>
      <c r="AW20" s="20" t="n">
        <v>0</v>
      </c>
      <c r="AX20" s="20" t="n">
        <v>0</v>
      </c>
    </row>
    <row r="21">
      <c r="A21" s="10" t="inlineStr">
        <is>
          <t>Load_TR2_F3_24</t>
        </is>
      </c>
      <c r="B21" s="12" t="inlineStr">
        <is>
          <t>customer</t>
        </is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0</v>
      </c>
      <c r="X21" s="18" t="n">
        <v>0</v>
      </c>
      <c r="Y21" s="18" t="n">
        <v>0</v>
      </c>
      <c r="Z21" s="18" t="n">
        <v>0</v>
      </c>
      <c r="AA21" s="18" t="n">
        <v>0</v>
      </c>
      <c r="AB21" s="18" t="n">
        <v>0</v>
      </c>
      <c r="AC21" s="18" t="n">
        <v>0</v>
      </c>
      <c r="AD21" s="18" t="n">
        <v>0</v>
      </c>
      <c r="AE21" s="18" t="n">
        <v>0</v>
      </c>
      <c r="AF21" s="18" t="n">
        <v>0</v>
      </c>
      <c r="AG21" s="18" t="n">
        <v>0</v>
      </c>
      <c r="AH21" s="18" t="n">
        <v>0</v>
      </c>
      <c r="AI21" s="18" t="n">
        <v>0</v>
      </c>
      <c r="AJ21" s="18" t="n">
        <v>0</v>
      </c>
      <c r="AK21" s="18" t="n">
        <v>0</v>
      </c>
      <c r="AL21" s="18" t="n">
        <v>0</v>
      </c>
      <c r="AM21" s="18" t="n">
        <v>0</v>
      </c>
      <c r="AN21" s="18" t="n">
        <v>0</v>
      </c>
      <c r="AO21" s="18" t="n">
        <v>0</v>
      </c>
      <c r="AP21" s="18" t="n">
        <v>0</v>
      </c>
      <c r="AQ21" s="18" t="n">
        <v>0</v>
      </c>
      <c r="AR21" s="18" t="n">
        <v>0</v>
      </c>
      <c r="AS21" s="18" t="n">
        <v>0</v>
      </c>
      <c r="AT21" s="18" t="n">
        <v>0</v>
      </c>
      <c r="AU21" s="18" t="n">
        <v>0</v>
      </c>
      <c r="AV21" s="18" t="n">
        <v>0</v>
      </c>
      <c r="AW21" s="18" t="n">
        <v>0</v>
      </c>
      <c r="AX21" s="18" t="n">
        <v>0</v>
      </c>
    </row>
    <row r="22">
      <c r="A22" s="19" t="inlineStr">
        <is>
          <t>Load_TR2_F3_25</t>
        </is>
      </c>
      <c r="B22" s="15" t="inlineStr">
        <is>
          <t>prosumer</t>
        </is>
      </c>
      <c r="C22" s="20" t="n">
        <v>0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0</v>
      </c>
      <c r="I22" s="20" t="n">
        <v>0</v>
      </c>
      <c r="J22" s="20" t="n">
        <v>0.0034</v>
      </c>
      <c r="K22" s="20" t="n">
        <v>0.0497</v>
      </c>
      <c r="L22" s="20" t="n">
        <v>0.2326</v>
      </c>
      <c r="M22" s="20" t="n">
        <v>0.4613</v>
      </c>
      <c r="N22" s="20" t="n">
        <v>0.7419</v>
      </c>
      <c r="O22" s="20" t="n">
        <v>1.0479</v>
      </c>
      <c r="P22" s="20" t="n">
        <v>1.3577</v>
      </c>
      <c r="Q22" s="20" t="n">
        <v>1.666</v>
      </c>
      <c r="R22" s="20" t="n">
        <v>1.9746</v>
      </c>
      <c r="S22" s="20" t="n">
        <v>2.2643</v>
      </c>
      <c r="T22" s="20" t="n">
        <v>2.5367</v>
      </c>
      <c r="U22" s="20" t="n">
        <v>2.7686</v>
      </c>
      <c r="V22" s="20" t="n">
        <v>2.9664</v>
      </c>
      <c r="W22" s="20" t="n">
        <v>3.14</v>
      </c>
      <c r="X22" s="20" t="n">
        <v>3.2833</v>
      </c>
      <c r="Y22" s="20" t="n">
        <v>3.385</v>
      </c>
      <c r="Z22" s="20" t="n">
        <v>3.4296</v>
      </c>
      <c r="AA22" s="20" t="n">
        <v>3.4425</v>
      </c>
      <c r="AB22" s="20" t="n">
        <v>3.4183</v>
      </c>
      <c r="AC22" s="20" t="n">
        <v>3.3372</v>
      </c>
      <c r="AD22" s="20" t="n">
        <v>3.2133</v>
      </c>
      <c r="AE22" s="20" t="n">
        <v>3.0655</v>
      </c>
      <c r="AF22" s="20" t="n">
        <v>2.8782</v>
      </c>
      <c r="AG22" s="20" t="n">
        <v>2.6791</v>
      </c>
      <c r="AH22" s="20" t="n">
        <v>2.4396</v>
      </c>
      <c r="AI22" s="20" t="n">
        <v>2.1698</v>
      </c>
      <c r="AJ22" s="20" t="n">
        <v>1.8441</v>
      </c>
      <c r="AK22" s="20" t="n">
        <v>1.5392</v>
      </c>
      <c r="AL22" s="20" t="n">
        <v>1.2259</v>
      </c>
      <c r="AM22" s="20" t="n">
        <v>0.9229000000000001</v>
      </c>
      <c r="AN22" s="20" t="n">
        <v>0.6308</v>
      </c>
      <c r="AO22" s="20" t="n">
        <v>0.3683</v>
      </c>
      <c r="AP22" s="20" t="n">
        <v>0.1072</v>
      </c>
      <c r="AQ22" s="20" t="n">
        <v>0.0198</v>
      </c>
      <c r="AR22" s="20" t="n">
        <v>0</v>
      </c>
      <c r="AS22" s="20" t="n">
        <v>0</v>
      </c>
      <c r="AT22" s="20" t="n">
        <v>0</v>
      </c>
      <c r="AU22" s="20" t="n">
        <v>0</v>
      </c>
      <c r="AV22" s="20" t="n">
        <v>0</v>
      </c>
      <c r="AW22" s="20" t="n">
        <v>0</v>
      </c>
      <c r="AX22" s="20" t="n">
        <v>0</v>
      </c>
    </row>
    <row r="23">
      <c r="A23" s="19" t="inlineStr">
        <is>
          <t>Load_TR2_F3_29</t>
        </is>
      </c>
      <c r="B23" s="15" t="inlineStr">
        <is>
          <t>prosumer</t>
        </is>
      </c>
      <c r="C23" s="20" t="n">
        <v>0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0</v>
      </c>
      <c r="I23" s="20" t="n">
        <v>0</v>
      </c>
      <c r="J23" s="20" t="n">
        <v>0.0026</v>
      </c>
      <c r="K23" s="20" t="n">
        <v>0.0373</v>
      </c>
      <c r="L23" s="20" t="n">
        <v>0.1744</v>
      </c>
      <c r="M23" s="20" t="n">
        <v>0.346</v>
      </c>
      <c r="N23" s="20" t="n">
        <v>0.5564</v>
      </c>
      <c r="O23" s="20" t="n">
        <v>0.7859</v>
      </c>
      <c r="P23" s="20" t="n">
        <v>1.0183</v>
      </c>
      <c r="Q23" s="20" t="n">
        <v>1.2495</v>
      </c>
      <c r="R23" s="20" t="n">
        <v>1.481</v>
      </c>
      <c r="S23" s="20" t="n">
        <v>1.6982</v>
      </c>
      <c r="T23" s="20" t="n">
        <v>1.9025</v>
      </c>
      <c r="U23" s="20" t="n">
        <v>2.0764</v>
      </c>
      <c r="V23" s="20" t="n">
        <v>2.2248</v>
      </c>
      <c r="W23" s="20" t="n">
        <v>2.355</v>
      </c>
      <c r="X23" s="20" t="n">
        <v>2.4625</v>
      </c>
      <c r="Y23" s="20" t="n">
        <v>2.5387</v>
      </c>
      <c r="Z23" s="20" t="n">
        <v>2.5722</v>
      </c>
      <c r="AA23" s="20" t="n">
        <v>2.5819</v>
      </c>
      <c r="AB23" s="20" t="n">
        <v>2.5637</v>
      </c>
      <c r="AC23" s="20" t="n">
        <v>2.5029</v>
      </c>
      <c r="AD23" s="20" t="n">
        <v>2.41</v>
      </c>
      <c r="AE23" s="20" t="n">
        <v>2.2991</v>
      </c>
      <c r="AF23" s="20" t="n">
        <v>2.1586</v>
      </c>
      <c r="AG23" s="20" t="n">
        <v>2.0093</v>
      </c>
      <c r="AH23" s="20" t="n">
        <v>1.8297</v>
      </c>
      <c r="AI23" s="20" t="n">
        <v>1.6274</v>
      </c>
      <c r="AJ23" s="20" t="n">
        <v>1.3831</v>
      </c>
      <c r="AK23" s="20" t="n">
        <v>1.1544</v>
      </c>
      <c r="AL23" s="20" t="n">
        <v>0.9195</v>
      </c>
      <c r="AM23" s="20" t="n">
        <v>0.6922</v>
      </c>
      <c r="AN23" s="20" t="n">
        <v>0.4731</v>
      </c>
      <c r="AO23" s="20" t="n">
        <v>0.2762</v>
      </c>
      <c r="AP23" s="20" t="n">
        <v>0.0804</v>
      </c>
      <c r="AQ23" s="20" t="n">
        <v>0.0148</v>
      </c>
      <c r="AR23" s="20" t="n">
        <v>0</v>
      </c>
      <c r="AS23" s="20" t="n">
        <v>0</v>
      </c>
      <c r="AT23" s="20" t="n">
        <v>0</v>
      </c>
      <c r="AU23" s="20" t="n">
        <v>0</v>
      </c>
      <c r="AV23" s="20" t="n">
        <v>0</v>
      </c>
      <c r="AW23" s="20" t="n">
        <v>0</v>
      </c>
      <c r="AX23" s="20" t="n">
        <v>0</v>
      </c>
    </row>
    <row r="24">
      <c r="A24" s="10" t="inlineStr">
        <is>
          <t>Load_TR2_F3_3</t>
        </is>
      </c>
      <c r="B24" s="12" t="inlineStr">
        <is>
          <t>customer</t>
        </is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J24" s="18" t="n">
        <v>0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</v>
      </c>
      <c r="AW24" s="18" t="n">
        <v>0</v>
      </c>
      <c r="AX24" s="18" t="n">
        <v>0</v>
      </c>
    </row>
    <row r="25">
      <c r="A25" s="10" t="inlineStr">
        <is>
          <t>Load_TR2_F3_4</t>
        </is>
      </c>
      <c r="B25" s="12" t="inlineStr">
        <is>
          <t>customer</t>
        </is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0</v>
      </c>
      <c r="V25" s="18" t="n">
        <v>0</v>
      </c>
      <c r="W25" s="18" t="n">
        <v>0</v>
      </c>
      <c r="X25" s="18" t="n">
        <v>0</v>
      </c>
      <c r="Y25" s="18" t="n">
        <v>0</v>
      </c>
      <c r="Z25" s="18" t="n">
        <v>0</v>
      </c>
      <c r="AA25" s="18" t="n">
        <v>0</v>
      </c>
      <c r="AB25" s="18" t="n">
        <v>0</v>
      </c>
      <c r="AC25" s="18" t="n">
        <v>0</v>
      </c>
      <c r="AD25" s="18" t="n">
        <v>0</v>
      </c>
      <c r="AE25" s="18" t="n">
        <v>0</v>
      </c>
      <c r="AF25" s="18" t="n">
        <v>0</v>
      </c>
      <c r="AG25" s="18" t="n">
        <v>0</v>
      </c>
      <c r="AH25" s="18" t="n">
        <v>0</v>
      </c>
      <c r="AI25" s="18" t="n">
        <v>0</v>
      </c>
      <c r="AJ25" s="18" t="n">
        <v>0</v>
      </c>
      <c r="AK25" s="18" t="n">
        <v>0</v>
      </c>
      <c r="AL25" s="18" t="n">
        <v>0</v>
      </c>
      <c r="AM25" s="18" t="n">
        <v>0</v>
      </c>
      <c r="AN25" s="18" t="n">
        <v>0</v>
      </c>
      <c r="AO25" s="18" t="n">
        <v>0</v>
      </c>
      <c r="AP25" s="18" t="n">
        <v>0</v>
      </c>
      <c r="AQ25" s="18" t="n">
        <v>0</v>
      </c>
      <c r="AR25" s="18" t="n">
        <v>0</v>
      </c>
      <c r="AS25" s="18" t="n">
        <v>0</v>
      </c>
      <c r="AT25" s="18" t="n">
        <v>0</v>
      </c>
      <c r="AU25" s="18" t="n">
        <v>0</v>
      </c>
      <c r="AV25" s="18" t="n">
        <v>0</v>
      </c>
      <c r="AW25" s="18" t="n">
        <v>0</v>
      </c>
      <c r="AX25" s="18" t="n">
        <v>0</v>
      </c>
    </row>
    <row r="26">
      <c r="A26" s="10" t="inlineStr">
        <is>
          <t>Load_TR2_F3_5</t>
        </is>
      </c>
      <c r="B26" s="12" t="inlineStr">
        <is>
          <t>customer</t>
        </is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  <c r="X26" s="18" t="n">
        <v>0</v>
      </c>
      <c r="Y26" s="18" t="n">
        <v>0</v>
      </c>
      <c r="Z26" s="18" t="n">
        <v>0</v>
      </c>
      <c r="AA26" s="18" t="n">
        <v>0</v>
      </c>
      <c r="AB26" s="18" t="n">
        <v>0</v>
      </c>
      <c r="AC26" s="18" t="n">
        <v>0</v>
      </c>
      <c r="AD26" s="18" t="n">
        <v>0</v>
      </c>
      <c r="AE26" s="18" t="n">
        <v>0</v>
      </c>
      <c r="AF26" s="18" t="n">
        <v>0</v>
      </c>
      <c r="AG26" s="18" t="n">
        <v>0</v>
      </c>
      <c r="AH26" s="18" t="n">
        <v>0</v>
      </c>
      <c r="AI26" s="18" t="n">
        <v>0</v>
      </c>
      <c r="AJ26" s="18" t="n">
        <v>0</v>
      </c>
      <c r="AK26" s="18" t="n">
        <v>0</v>
      </c>
      <c r="AL26" s="18" t="n">
        <v>0</v>
      </c>
      <c r="AM26" s="18" t="n">
        <v>0</v>
      </c>
      <c r="AN26" s="18" t="n">
        <v>0</v>
      </c>
      <c r="AO26" s="18" t="n">
        <v>0</v>
      </c>
      <c r="AP26" s="18" t="n">
        <v>0</v>
      </c>
      <c r="AQ26" s="18" t="n">
        <v>0</v>
      </c>
      <c r="AR26" s="18" t="n">
        <v>0</v>
      </c>
      <c r="AS26" s="18" t="n">
        <v>0</v>
      </c>
      <c r="AT26" s="18" t="n">
        <v>0</v>
      </c>
      <c r="AU26" s="18" t="n">
        <v>0</v>
      </c>
      <c r="AV26" s="18" t="n">
        <v>0</v>
      </c>
      <c r="AW26" s="18" t="n">
        <v>0</v>
      </c>
      <c r="AX26" s="18" t="n">
        <v>0</v>
      </c>
    </row>
    <row r="27">
      <c r="A27" s="19" t="inlineStr">
        <is>
          <t>Load_TR2_F3_6</t>
        </is>
      </c>
      <c r="B27" s="15" t="inlineStr">
        <is>
          <t>prosumer</t>
        </is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0.0034</v>
      </c>
      <c r="K27" s="20" t="n">
        <v>0.0497</v>
      </c>
      <c r="L27" s="20" t="n">
        <v>0.2326</v>
      </c>
      <c r="M27" s="20" t="n">
        <v>0.4613</v>
      </c>
      <c r="N27" s="20" t="n">
        <v>0.7419</v>
      </c>
      <c r="O27" s="20" t="n">
        <v>1.0479</v>
      </c>
      <c r="P27" s="20" t="n">
        <v>1.3577</v>
      </c>
      <c r="Q27" s="20" t="n">
        <v>1.666</v>
      </c>
      <c r="R27" s="20" t="n">
        <v>1.9746</v>
      </c>
      <c r="S27" s="20" t="n">
        <v>2.2643</v>
      </c>
      <c r="T27" s="20" t="n">
        <v>2.5367</v>
      </c>
      <c r="U27" s="20" t="n">
        <v>2.7686</v>
      </c>
      <c r="V27" s="20" t="n">
        <v>2.9664</v>
      </c>
      <c r="W27" s="20" t="n">
        <v>3.14</v>
      </c>
      <c r="X27" s="20" t="n">
        <v>3.2833</v>
      </c>
      <c r="Y27" s="20" t="n">
        <v>3.385</v>
      </c>
      <c r="Z27" s="20" t="n">
        <v>3.4296</v>
      </c>
      <c r="AA27" s="20" t="n">
        <v>3.4425</v>
      </c>
      <c r="AB27" s="20" t="n">
        <v>3.4183</v>
      </c>
      <c r="AC27" s="20" t="n">
        <v>3.3372</v>
      </c>
      <c r="AD27" s="20" t="n">
        <v>3.2133</v>
      </c>
      <c r="AE27" s="20" t="n">
        <v>3.0655</v>
      </c>
      <c r="AF27" s="20" t="n">
        <v>2.8782</v>
      </c>
      <c r="AG27" s="20" t="n">
        <v>2.6791</v>
      </c>
      <c r="AH27" s="20" t="n">
        <v>2.4396</v>
      </c>
      <c r="AI27" s="20" t="n">
        <v>2.1698</v>
      </c>
      <c r="AJ27" s="20" t="n">
        <v>1.8441</v>
      </c>
      <c r="AK27" s="20" t="n">
        <v>1.5392</v>
      </c>
      <c r="AL27" s="20" t="n">
        <v>1.2259</v>
      </c>
      <c r="AM27" s="20" t="n">
        <v>0.9229000000000001</v>
      </c>
      <c r="AN27" s="20" t="n">
        <v>0.6308</v>
      </c>
      <c r="AO27" s="20" t="n">
        <v>0.3683</v>
      </c>
      <c r="AP27" s="20" t="n">
        <v>0.1072</v>
      </c>
      <c r="AQ27" s="20" t="n">
        <v>0.0198</v>
      </c>
      <c r="AR27" s="20" t="n">
        <v>0</v>
      </c>
      <c r="AS27" s="20" t="n">
        <v>0</v>
      </c>
      <c r="AT27" s="20" t="n">
        <v>0</v>
      </c>
      <c r="AU27" s="20" t="n">
        <v>0</v>
      </c>
      <c r="AV27" s="20" t="n">
        <v>0</v>
      </c>
      <c r="AW27" s="20" t="n">
        <v>0</v>
      </c>
      <c r="AX27" s="20" t="n">
        <v>0</v>
      </c>
    </row>
    <row r="28">
      <c r="A28" s="10" t="inlineStr">
        <is>
          <t>Load_TR2_F3_7</t>
        </is>
      </c>
      <c r="B28" s="12" t="inlineStr">
        <is>
          <t>customer</t>
        </is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  <c r="AD28" s="18" t="n">
        <v>0</v>
      </c>
      <c r="AE28" s="18" t="n">
        <v>0</v>
      </c>
      <c r="AF28" s="18" t="n">
        <v>0</v>
      </c>
      <c r="AG28" s="18" t="n">
        <v>0</v>
      </c>
      <c r="AH28" s="18" t="n">
        <v>0</v>
      </c>
      <c r="AI28" s="18" t="n">
        <v>0</v>
      </c>
      <c r="AJ28" s="18" t="n">
        <v>0</v>
      </c>
      <c r="AK28" s="18" t="n">
        <v>0</v>
      </c>
      <c r="AL28" s="18" t="n">
        <v>0</v>
      </c>
      <c r="AM28" s="18" t="n">
        <v>0</v>
      </c>
      <c r="AN28" s="18" t="n">
        <v>0</v>
      </c>
      <c r="AO28" s="18" t="n">
        <v>0</v>
      </c>
      <c r="AP28" s="18" t="n">
        <v>0</v>
      </c>
      <c r="AQ28" s="18" t="n">
        <v>0</v>
      </c>
      <c r="AR28" s="18" t="n">
        <v>0</v>
      </c>
      <c r="AS28" s="18" t="n">
        <v>0</v>
      </c>
      <c r="AT28" s="18" t="n">
        <v>0</v>
      </c>
      <c r="AU28" s="18" t="n">
        <v>0</v>
      </c>
      <c r="AV28" s="18" t="n">
        <v>0</v>
      </c>
      <c r="AW28" s="18" t="n">
        <v>0</v>
      </c>
      <c r="AX28" s="18" t="n">
        <v>0</v>
      </c>
    </row>
    <row r="29">
      <c r="A29" s="19" t="inlineStr">
        <is>
          <t>Load_TR2_F3_8</t>
        </is>
      </c>
      <c r="B29" s="15" t="inlineStr">
        <is>
          <t>prosumer</t>
        </is>
      </c>
      <c r="C29" s="20" t="n">
        <v>0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0</v>
      </c>
      <c r="I29" s="20" t="n">
        <v>0</v>
      </c>
      <c r="J29" s="20" t="n">
        <v>0.0026</v>
      </c>
      <c r="K29" s="20" t="n">
        <v>0.0373</v>
      </c>
      <c r="L29" s="20" t="n">
        <v>0.1744</v>
      </c>
      <c r="M29" s="20" t="n">
        <v>0.346</v>
      </c>
      <c r="N29" s="20" t="n">
        <v>0.5564</v>
      </c>
      <c r="O29" s="20" t="n">
        <v>0.7859</v>
      </c>
      <c r="P29" s="20" t="n">
        <v>1.0183</v>
      </c>
      <c r="Q29" s="20" t="n">
        <v>1.2495</v>
      </c>
      <c r="R29" s="20" t="n">
        <v>1.481</v>
      </c>
      <c r="S29" s="20" t="n">
        <v>1.6982</v>
      </c>
      <c r="T29" s="20" t="n">
        <v>1.9025</v>
      </c>
      <c r="U29" s="20" t="n">
        <v>2.0764</v>
      </c>
      <c r="V29" s="20" t="n">
        <v>2.2248</v>
      </c>
      <c r="W29" s="20" t="n">
        <v>2.355</v>
      </c>
      <c r="X29" s="20" t="n">
        <v>2.4625</v>
      </c>
      <c r="Y29" s="20" t="n">
        <v>2.5387</v>
      </c>
      <c r="Z29" s="20" t="n">
        <v>2.5722</v>
      </c>
      <c r="AA29" s="20" t="n">
        <v>2.5819</v>
      </c>
      <c r="AB29" s="20" t="n">
        <v>2.5637</v>
      </c>
      <c r="AC29" s="20" t="n">
        <v>2.5029</v>
      </c>
      <c r="AD29" s="20" t="n">
        <v>2.41</v>
      </c>
      <c r="AE29" s="20" t="n">
        <v>2.2991</v>
      </c>
      <c r="AF29" s="20" t="n">
        <v>2.1586</v>
      </c>
      <c r="AG29" s="20" t="n">
        <v>2.0093</v>
      </c>
      <c r="AH29" s="20" t="n">
        <v>1.8297</v>
      </c>
      <c r="AI29" s="20" t="n">
        <v>1.6274</v>
      </c>
      <c r="AJ29" s="20" t="n">
        <v>1.3831</v>
      </c>
      <c r="AK29" s="20" t="n">
        <v>1.1544</v>
      </c>
      <c r="AL29" s="20" t="n">
        <v>0.9195</v>
      </c>
      <c r="AM29" s="20" t="n">
        <v>0.6922</v>
      </c>
      <c r="AN29" s="20" t="n">
        <v>0.4731</v>
      </c>
      <c r="AO29" s="20" t="n">
        <v>0.2762</v>
      </c>
      <c r="AP29" s="20" t="n">
        <v>0.0804</v>
      </c>
      <c r="AQ29" s="20" t="n">
        <v>0.0148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</row>
    <row r="30">
      <c r="A30" s="19" t="inlineStr">
        <is>
          <t>Load_TR2_F3_9</t>
        </is>
      </c>
      <c r="B30" s="15" t="inlineStr">
        <is>
          <t>prosumer</t>
        </is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0.0034</v>
      </c>
      <c r="K30" s="20" t="n">
        <v>0.0497</v>
      </c>
      <c r="L30" s="20" t="n">
        <v>0.2326</v>
      </c>
      <c r="M30" s="20" t="n">
        <v>0.4613</v>
      </c>
      <c r="N30" s="20" t="n">
        <v>0.7419</v>
      </c>
      <c r="O30" s="20" t="n">
        <v>1.0479</v>
      </c>
      <c r="P30" s="20" t="n">
        <v>1.3577</v>
      </c>
      <c r="Q30" s="20" t="n">
        <v>1.666</v>
      </c>
      <c r="R30" s="20" t="n">
        <v>1.9746</v>
      </c>
      <c r="S30" s="20" t="n">
        <v>2.2643</v>
      </c>
      <c r="T30" s="20" t="n">
        <v>2.5367</v>
      </c>
      <c r="U30" s="20" t="n">
        <v>2.7686</v>
      </c>
      <c r="V30" s="20" t="n">
        <v>2.9664</v>
      </c>
      <c r="W30" s="20" t="n">
        <v>3.14</v>
      </c>
      <c r="X30" s="20" t="n">
        <v>3.2833</v>
      </c>
      <c r="Y30" s="20" t="n">
        <v>3.385</v>
      </c>
      <c r="Z30" s="20" t="n">
        <v>3.4296</v>
      </c>
      <c r="AA30" s="20" t="n">
        <v>3.4425</v>
      </c>
      <c r="AB30" s="20" t="n">
        <v>3.4183</v>
      </c>
      <c r="AC30" s="20" t="n">
        <v>3.3372</v>
      </c>
      <c r="AD30" s="20" t="n">
        <v>3.2133</v>
      </c>
      <c r="AE30" s="20" t="n">
        <v>3.0655</v>
      </c>
      <c r="AF30" s="20" t="n">
        <v>2.8782</v>
      </c>
      <c r="AG30" s="20" t="n">
        <v>2.6791</v>
      </c>
      <c r="AH30" s="20" t="n">
        <v>2.4396</v>
      </c>
      <c r="AI30" s="20" t="n">
        <v>2.1698</v>
      </c>
      <c r="AJ30" s="20" t="n">
        <v>1.8441</v>
      </c>
      <c r="AK30" s="20" t="n">
        <v>1.5392</v>
      </c>
      <c r="AL30" s="20" t="n">
        <v>1.2259</v>
      </c>
      <c r="AM30" s="20" t="n">
        <v>0.9229000000000001</v>
      </c>
      <c r="AN30" s="20" t="n">
        <v>0.6308</v>
      </c>
      <c r="AO30" s="20" t="n">
        <v>0.3683</v>
      </c>
      <c r="AP30" s="20" t="n">
        <v>0.1072</v>
      </c>
      <c r="AQ30" s="20" t="n">
        <v>0.0198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</row>
    <row r="31">
      <c r="A31" s="19" t="inlineStr">
        <is>
          <t>Load_TR2_F5_1</t>
        </is>
      </c>
      <c r="B31" s="15" t="inlineStr">
        <is>
          <t>prosumer</t>
        </is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0.0034</v>
      </c>
      <c r="K31" s="20" t="n">
        <v>0.0497</v>
      </c>
      <c r="L31" s="20" t="n">
        <v>0.2326</v>
      </c>
      <c r="M31" s="20" t="n">
        <v>0.4613</v>
      </c>
      <c r="N31" s="20" t="n">
        <v>0.7419</v>
      </c>
      <c r="O31" s="20" t="n">
        <v>1.0479</v>
      </c>
      <c r="P31" s="20" t="n">
        <v>1.3577</v>
      </c>
      <c r="Q31" s="20" t="n">
        <v>1.666</v>
      </c>
      <c r="R31" s="20" t="n">
        <v>1.9746</v>
      </c>
      <c r="S31" s="20" t="n">
        <v>2.2643</v>
      </c>
      <c r="T31" s="20" t="n">
        <v>2.5367</v>
      </c>
      <c r="U31" s="20" t="n">
        <v>2.7686</v>
      </c>
      <c r="V31" s="20" t="n">
        <v>2.9664</v>
      </c>
      <c r="W31" s="20" t="n">
        <v>3.14</v>
      </c>
      <c r="X31" s="20" t="n">
        <v>3.2833</v>
      </c>
      <c r="Y31" s="20" t="n">
        <v>3.385</v>
      </c>
      <c r="Z31" s="20" t="n">
        <v>3.4296</v>
      </c>
      <c r="AA31" s="20" t="n">
        <v>3.4425</v>
      </c>
      <c r="AB31" s="20" t="n">
        <v>3.4183</v>
      </c>
      <c r="AC31" s="20" t="n">
        <v>3.3372</v>
      </c>
      <c r="AD31" s="20" t="n">
        <v>3.2133</v>
      </c>
      <c r="AE31" s="20" t="n">
        <v>3.0655</v>
      </c>
      <c r="AF31" s="20" t="n">
        <v>2.8782</v>
      </c>
      <c r="AG31" s="20" t="n">
        <v>2.6791</v>
      </c>
      <c r="AH31" s="20" t="n">
        <v>2.4396</v>
      </c>
      <c r="AI31" s="20" t="n">
        <v>2.1698</v>
      </c>
      <c r="AJ31" s="20" t="n">
        <v>1.8441</v>
      </c>
      <c r="AK31" s="20" t="n">
        <v>1.5392</v>
      </c>
      <c r="AL31" s="20" t="n">
        <v>1.2259</v>
      </c>
      <c r="AM31" s="20" t="n">
        <v>0.9229000000000001</v>
      </c>
      <c r="AN31" s="20" t="n">
        <v>0.6308</v>
      </c>
      <c r="AO31" s="20" t="n">
        <v>0.3683</v>
      </c>
      <c r="AP31" s="20" t="n">
        <v>0.1072</v>
      </c>
      <c r="AQ31" s="20" t="n">
        <v>0.0198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</row>
    <row r="32">
      <c r="A32" s="19" t="inlineStr">
        <is>
          <t>Load_TR2_F5_10</t>
        </is>
      </c>
      <c r="B32" s="15" t="inlineStr">
        <is>
          <t>prosumer</t>
        </is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0.0034</v>
      </c>
      <c r="K32" s="20" t="n">
        <v>0.0497</v>
      </c>
      <c r="L32" s="20" t="n">
        <v>0.2326</v>
      </c>
      <c r="M32" s="20" t="n">
        <v>0.4613</v>
      </c>
      <c r="N32" s="20" t="n">
        <v>0.7419</v>
      </c>
      <c r="O32" s="20" t="n">
        <v>1.0479</v>
      </c>
      <c r="P32" s="20" t="n">
        <v>1.3577</v>
      </c>
      <c r="Q32" s="20" t="n">
        <v>1.666</v>
      </c>
      <c r="R32" s="20" t="n">
        <v>1.9746</v>
      </c>
      <c r="S32" s="20" t="n">
        <v>2.2643</v>
      </c>
      <c r="T32" s="20" t="n">
        <v>2.5367</v>
      </c>
      <c r="U32" s="20" t="n">
        <v>2.7686</v>
      </c>
      <c r="V32" s="20" t="n">
        <v>2.9664</v>
      </c>
      <c r="W32" s="20" t="n">
        <v>3.14</v>
      </c>
      <c r="X32" s="20" t="n">
        <v>3.2833</v>
      </c>
      <c r="Y32" s="20" t="n">
        <v>3.385</v>
      </c>
      <c r="Z32" s="20" t="n">
        <v>3.4296</v>
      </c>
      <c r="AA32" s="20" t="n">
        <v>3.4425</v>
      </c>
      <c r="AB32" s="20" t="n">
        <v>3.4183</v>
      </c>
      <c r="AC32" s="20" t="n">
        <v>3.3372</v>
      </c>
      <c r="AD32" s="20" t="n">
        <v>3.2133</v>
      </c>
      <c r="AE32" s="20" t="n">
        <v>3.0655</v>
      </c>
      <c r="AF32" s="20" t="n">
        <v>2.8782</v>
      </c>
      <c r="AG32" s="20" t="n">
        <v>2.6791</v>
      </c>
      <c r="AH32" s="20" t="n">
        <v>2.4396</v>
      </c>
      <c r="AI32" s="20" t="n">
        <v>2.1698</v>
      </c>
      <c r="AJ32" s="20" t="n">
        <v>1.8441</v>
      </c>
      <c r="AK32" s="20" t="n">
        <v>1.5392</v>
      </c>
      <c r="AL32" s="20" t="n">
        <v>1.2259</v>
      </c>
      <c r="AM32" s="20" t="n">
        <v>0.9229000000000001</v>
      </c>
      <c r="AN32" s="20" t="n">
        <v>0.6308</v>
      </c>
      <c r="AO32" s="20" t="n">
        <v>0.3683</v>
      </c>
      <c r="AP32" s="20" t="n">
        <v>0.1072</v>
      </c>
      <c r="AQ32" s="20" t="n">
        <v>0.0198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</row>
    <row r="33">
      <c r="A33" s="19" t="inlineStr">
        <is>
          <t>Load_TR2_F5_11</t>
        </is>
      </c>
      <c r="B33" s="15" t="inlineStr">
        <is>
          <t>prosumer</t>
        </is>
      </c>
      <c r="C33" s="20" t="n">
        <v>0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0.0034</v>
      </c>
      <c r="K33" s="20" t="n">
        <v>0.0497</v>
      </c>
      <c r="L33" s="20" t="n">
        <v>0.2326</v>
      </c>
      <c r="M33" s="20" t="n">
        <v>0.4613</v>
      </c>
      <c r="N33" s="20" t="n">
        <v>0.7419</v>
      </c>
      <c r="O33" s="20" t="n">
        <v>1.0479</v>
      </c>
      <c r="P33" s="20" t="n">
        <v>1.3577</v>
      </c>
      <c r="Q33" s="20" t="n">
        <v>1.666</v>
      </c>
      <c r="R33" s="20" t="n">
        <v>1.9746</v>
      </c>
      <c r="S33" s="20" t="n">
        <v>2.2643</v>
      </c>
      <c r="T33" s="20" t="n">
        <v>2.5367</v>
      </c>
      <c r="U33" s="20" t="n">
        <v>2.7686</v>
      </c>
      <c r="V33" s="20" t="n">
        <v>2.9664</v>
      </c>
      <c r="W33" s="20" t="n">
        <v>3.14</v>
      </c>
      <c r="X33" s="20" t="n">
        <v>3.2833</v>
      </c>
      <c r="Y33" s="20" t="n">
        <v>3.385</v>
      </c>
      <c r="Z33" s="20" t="n">
        <v>3.4296</v>
      </c>
      <c r="AA33" s="20" t="n">
        <v>3.4425</v>
      </c>
      <c r="AB33" s="20" t="n">
        <v>3.4183</v>
      </c>
      <c r="AC33" s="20" t="n">
        <v>3.3372</v>
      </c>
      <c r="AD33" s="20" t="n">
        <v>3.2133</v>
      </c>
      <c r="AE33" s="20" t="n">
        <v>3.0655</v>
      </c>
      <c r="AF33" s="20" t="n">
        <v>2.8782</v>
      </c>
      <c r="AG33" s="20" t="n">
        <v>2.6791</v>
      </c>
      <c r="AH33" s="20" t="n">
        <v>2.4396</v>
      </c>
      <c r="AI33" s="20" t="n">
        <v>2.1698</v>
      </c>
      <c r="AJ33" s="20" t="n">
        <v>1.8441</v>
      </c>
      <c r="AK33" s="20" t="n">
        <v>1.5392</v>
      </c>
      <c r="AL33" s="20" t="n">
        <v>1.2259</v>
      </c>
      <c r="AM33" s="20" t="n">
        <v>0.9229000000000001</v>
      </c>
      <c r="AN33" s="20" t="n">
        <v>0.6308</v>
      </c>
      <c r="AO33" s="20" t="n">
        <v>0.3683</v>
      </c>
      <c r="AP33" s="20" t="n">
        <v>0.1072</v>
      </c>
      <c r="AQ33" s="20" t="n">
        <v>0.0198</v>
      </c>
      <c r="AR33" s="20" t="n">
        <v>0</v>
      </c>
      <c r="AS33" s="20" t="n">
        <v>0</v>
      </c>
      <c r="AT33" s="20" t="n">
        <v>0</v>
      </c>
      <c r="AU33" s="20" t="n">
        <v>0</v>
      </c>
      <c r="AV33" s="20" t="n">
        <v>0</v>
      </c>
      <c r="AW33" s="20" t="n">
        <v>0</v>
      </c>
      <c r="AX33" s="20" t="n">
        <v>0</v>
      </c>
    </row>
    <row r="34">
      <c r="A34" s="19" t="inlineStr">
        <is>
          <t>Load_TR2_F5_12</t>
        </is>
      </c>
      <c r="B34" s="15" t="inlineStr">
        <is>
          <t>prosumer</t>
        </is>
      </c>
      <c r="C34" s="20" t="n">
        <v>0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0.0017</v>
      </c>
      <c r="K34" s="20" t="n">
        <v>0.0249</v>
      </c>
      <c r="L34" s="20" t="n">
        <v>0.1163</v>
      </c>
      <c r="M34" s="20" t="n">
        <v>0.2307</v>
      </c>
      <c r="N34" s="20" t="n">
        <v>0.3709</v>
      </c>
      <c r="O34" s="20" t="n">
        <v>0.524</v>
      </c>
      <c r="P34" s="20" t="n">
        <v>0.6788999999999999</v>
      </c>
      <c r="Q34" s="20" t="n">
        <v>0.833</v>
      </c>
      <c r="R34" s="20" t="n">
        <v>0.9873</v>
      </c>
      <c r="S34" s="20" t="n">
        <v>1.1322</v>
      </c>
      <c r="T34" s="20" t="n">
        <v>1.2683</v>
      </c>
      <c r="U34" s="20" t="n">
        <v>1.3843</v>
      </c>
      <c r="V34" s="20" t="n">
        <v>1.4832</v>
      </c>
      <c r="W34" s="20" t="n">
        <v>1.57</v>
      </c>
      <c r="X34" s="20" t="n">
        <v>1.6417</v>
      </c>
      <c r="Y34" s="20" t="n">
        <v>1.6925</v>
      </c>
      <c r="Z34" s="20" t="n">
        <v>1.7148</v>
      </c>
      <c r="AA34" s="20" t="n">
        <v>1.7212</v>
      </c>
      <c r="AB34" s="20" t="n">
        <v>1.7092</v>
      </c>
      <c r="AC34" s="20" t="n">
        <v>1.6686</v>
      </c>
      <c r="AD34" s="20" t="n">
        <v>1.6067</v>
      </c>
      <c r="AE34" s="20" t="n">
        <v>1.5328</v>
      </c>
      <c r="AF34" s="20" t="n">
        <v>1.4391</v>
      </c>
      <c r="AG34" s="20" t="n">
        <v>1.3396</v>
      </c>
      <c r="AH34" s="20" t="n">
        <v>1.2198</v>
      </c>
      <c r="AI34" s="20" t="n">
        <v>1.0849</v>
      </c>
      <c r="AJ34" s="20" t="n">
        <v>0.922</v>
      </c>
      <c r="AK34" s="20" t="n">
        <v>0.7696</v>
      </c>
      <c r="AL34" s="20" t="n">
        <v>0.613</v>
      </c>
      <c r="AM34" s="20" t="n">
        <v>0.4615</v>
      </c>
      <c r="AN34" s="20" t="n">
        <v>0.3154</v>
      </c>
      <c r="AO34" s="20" t="n">
        <v>0.1842</v>
      </c>
      <c r="AP34" s="20" t="n">
        <v>0.0536</v>
      </c>
      <c r="AQ34" s="20" t="n">
        <v>0.009900000000000001</v>
      </c>
      <c r="AR34" s="20" t="n">
        <v>0</v>
      </c>
      <c r="AS34" s="20" t="n">
        <v>0</v>
      </c>
      <c r="AT34" s="20" t="n">
        <v>0</v>
      </c>
      <c r="AU34" s="20" t="n">
        <v>0</v>
      </c>
      <c r="AV34" s="20" t="n">
        <v>0</v>
      </c>
      <c r="AW34" s="20" t="n">
        <v>0</v>
      </c>
      <c r="AX34" s="20" t="n">
        <v>0</v>
      </c>
    </row>
    <row r="35">
      <c r="A35" s="10" t="inlineStr">
        <is>
          <t>Load_TR2_F5_13</t>
        </is>
      </c>
      <c r="B35" s="12" t="inlineStr">
        <is>
          <t>customer</t>
        </is>
      </c>
      <c r="C35" s="18" t="n">
        <v>0</v>
      </c>
      <c r="D35" s="18" t="n">
        <v>0</v>
      </c>
      <c r="E35" s="18" t="n">
        <v>0</v>
      </c>
      <c r="F35" s="18" t="n">
        <v>0</v>
      </c>
      <c r="G35" s="18" t="n">
        <v>0</v>
      </c>
      <c r="H35" s="18" t="n">
        <v>0</v>
      </c>
      <c r="I35" s="18" t="n">
        <v>0</v>
      </c>
      <c r="J35" s="18" t="n">
        <v>0</v>
      </c>
      <c r="K35" s="18" t="n">
        <v>0</v>
      </c>
      <c r="L35" s="18" t="n">
        <v>0</v>
      </c>
      <c r="M35" s="18" t="n">
        <v>0</v>
      </c>
      <c r="N35" s="18" t="n">
        <v>0</v>
      </c>
      <c r="O35" s="18" t="n">
        <v>0</v>
      </c>
      <c r="P35" s="18" t="n">
        <v>0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0</v>
      </c>
      <c r="Z35" s="18" t="n">
        <v>0</v>
      </c>
      <c r="AA35" s="18" t="n">
        <v>0</v>
      </c>
      <c r="AB35" s="18" t="n">
        <v>0</v>
      </c>
      <c r="AC35" s="18" t="n">
        <v>0</v>
      </c>
      <c r="AD35" s="18" t="n">
        <v>0</v>
      </c>
      <c r="AE35" s="18" t="n">
        <v>0</v>
      </c>
      <c r="AF35" s="18" t="n">
        <v>0</v>
      </c>
      <c r="AG35" s="18" t="n">
        <v>0</v>
      </c>
      <c r="AH35" s="18" t="n">
        <v>0</v>
      </c>
      <c r="AI35" s="18" t="n">
        <v>0</v>
      </c>
      <c r="AJ35" s="18" t="n">
        <v>0</v>
      </c>
      <c r="AK35" s="18" t="n">
        <v>0</v>
      </c>
      <c r="AL35" s="18" t="n">
        <v>0</v>
      </c>
      <c r="AM35" s="18" t="n">
        <v>0</v>
      </c>
      <c r="AN35" s="18" t="n">
        <v>0</v>
      </c>
      <c r="AO35" s="18" t="n">
        <v>0</v>
      </c>
      <c r="AP35" s="18" t="n">
        <v>0</v>
      </c>
      <c r="AQ35" s="18" t="n">
        <v>0</v>
      </c>
      <c r="AR35" s="18" t="n">
        <v>0</v>
      </c>
      <c r="AS35" s="18" t="n">
        <v>0</v>
      </c>
      <c r="AT35" s="18" t="n">
        <v>0</v>
      </c>
      <c r="AU35" s="18" t="n">
        <v>0</v>
      </c>
      <c r="AV35" s="18" t="n">
        <v>0</v>
      </c>
      <c r="AW35" s="18" t="n">
        <v>0</v>
      </c>
      <c r="AX35" s="18" t="n">
        <v>0</v>
      </c>
    </row>
    <row r="36">
      <c r="A36" s="19" t="inlineStr">
        <is>
          <t>Load_TR2_F5_14</t>
        </is>
      </c>
      <c r="B36" s="15" t="inlineStr">
        <is>
          <t>prosumer</t>
        </is>
      </c>
      <c r="C36" s="20" t="n">
        <v>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0.0026</v>
      </c>
      <c r="K36" s="20" t="n">
        <v>0.0373</v>
      </c>
      <c r="L36" s="20" t="n">
        <v>0.1744</v>
      </c>
      <c r="M36" s="20" t="n">
        <v>0.346</v>
      </c>
      <c r="N36" s="20" t="n">
        <v>0.5564</v>
      </c>
      <c r="O36" s="20" t="n">
        <v>0.7859</v>
      </c>
      <c r="P36" s="20" t="n">
        <v>1.0183</v>
      </c>
      <c r="Q36" s="20" t="n">
        <v>1.2495</v>
      </c>
      <c r="R36" s="20" t="n">
        <v>1.481</v>
      </c>
      <c r="S36" s="20" t="n">
        <v>1.6982</v>
      </c>
      <c r="T36" s="20" t="n">
        <v>1.9025</v>
      </c>
      <c r="U36" s="20" t="n">
        <v>2.0764</v>
      </c>
      <c r="V36" s="20" t="n">
        <v>2.2248</v>
      </c>
      <c r="W36" s="20" t="n">
        <v>2.355</v>
      </c>
      <c r="X36" s="20" t="n">
        <v>2.4625</v>
      </c>
      <c r="Y36" s="20" t="n">
        <v>2.5387</v>
      </c>
      <c r="Z36" s="20" t="n">
        <v>2.5722</v>
      </c>
      <c r="AA36" s="20" t="n">
        <v>2.5819</v>
      </c>
      <c r="AB36" s="20" t="n">
        <v>2.5637</v>
      </c>
      <c r="AC36" s="20" t="n">
        <v>2.5029</v>
      </c>
      <c r="AD36" s="20" t="n">
        <v>2.41</v>
      </c>
      <c r="AE36" s="20" t="n">
        <v>2.2991</v>
      </c>
      <c r="AF36" s="20" t="n">
        <v>2.1586</v>
      </c>
      <c r="AG36" s="20" t="n">
        <v>2.0093</v>
      </c>
      <c r="AH36" s="20" t="n">
        <v>1.8297</v>
      </c>
      <c r="AI36" s="20" t="n">
        <v>1.6274</v>
      </c>
      <c r="AJ36" s="20" t="n">
        <v>1.3831</v>
      </c>
      <c r="AK36" s="20" t="n">
        <v>1.1544</v>
      </c>
      <c r="AL36" s="20" t="n">
        <v>0.9195</v>
      </c>
      <c r="AM36" s="20" t="n">
        <v>0.6922</v>
      </c>
      <c r="AN36" s="20" t="n">
        <v>0.4731</v>
      </c>
      <c r="AO36" s="20" t="n">
        <v>0.2762</v>
      </c>
      <c r="AP36" s="20" t="n">
        <v>0.0804</v>
      </c>
      <c r="AQ36" s="20" t="n">
        <v>0.0148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</row>
    <row r="37">
      <c r="A37" s="19" t="inlineStr">
        <is>
          <t>Load_TR2_F5_15</t>
        </is>
      </c>
      <c r="B37" s="15" t="inlineStr">
        <is>
          <t>prosumer</t>
        </is>
      </c>
      <c r="C37" s="20" t="n">
        <v>0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0.0013</v>
      </c>
      <c r="K37" s="20" t="n">
        <v>0.0187</v>
      </c>
      <c r="L37" s="20" t="n">
        <v>0.0872</v>
      </c>
      <c r="M37" s="20" t="n">
        <v>0.173</v>
      </c>
      <c r="N37" s="20" t="n">
        <v>0.2782</v>
      </c>
      <c r="O37" s="20" t="n">
        <v>0.393</v>
      </c>
      <c r="P37" s="20" t="n">
        <v>0.5092</v>
      </c>
      <c r="Q37" s="20" t="n">
        <v>0.6247</v>
      </c>
      <c r="R37" s="20" t="n">
        <v>0.7405</v>
      </c>
      <c r="S37" s="20" t="n">
        <v>0.8491</v>
      </c>
      <c r="T37" s="20" t="n">
        <v>0.9512</v>
      </c>
      <c r="U37" s="20" t="n">
        <v>1.0382</v>
      </c>
      <c r="V37" s="20" t="n">
        <v>1.1124</v>
      </c>
      <c r="W37" s="20" t="n">
        <v>1.1775</v>
      </c>
      <c r="X37" s="20" t="n">
        <v>1.2312</v>
      </c>
      <c r="Y37" s="20" t="n">
        <v>1.2694</v>
      </c>
      <c r="Z37" s="20" t="n">
        <v>1.2861</v>
      </c>
      <c r="AA37" s="20" t="n">
        <v>1.2909</v>
      </c>
      <c r="AB37" s="20" t="n">
        <v>1.2819</v>
      </c>
      <c r="AC37" s="20" t="n">
        <v>1.2514</v>
      </c>
      <c r="AD37" s="20" t="n">
        <v>1.205</v>
      </c>
      <c r="AE37" s="20" t="n">
        <v>1.1496</v>
      </c>
      <c r="AF37" s="20" t="n">
        <v>1.0793</v>
      </c>
      <c r="AG37" s="20" t="n">
        <v>1.0047</v>
      </c>
      <c r="AH37" s="20" t="n">
        <v>0.9147999999999999</v>
      </c>
      <c r="AI37" s="20" t="n">
        <v>0.8137</v>
      </c>
      <c r="AJ37" s="20" t="n">
        <v>0.6915</v>
      </c>
      <c r="AK37" s="20" t="n">
        <v>0.5772</v>
      </c>
      <c r="AL37" s="20" t="n">
        <v>0.4597</v>
      </c>
      <c r="AM37" s="20" t="n">
        <v>0.3461</v>
      </c>
      <c r="AN37" s="20" t="n">
        <v>0.2365</v>
      </c>
      <c r="AO37" s="20" t="n">
        <v>0.1381</v>
      </c>
      <c r="AP37" s="20" t="n">
        <v>0.0402</v>
      </c>
      <c r="AQ37" s="20" t="n">
        <v>0.0074</v>
      </c>
      <c r="AR37" s="20" t="n">
        <v>0</v>
      </c>
      <c r="AS37" s="20" t="n">
        <v>0</v>
      </c>
      <c r="AT37" s="20" t="n">
        <v>0</v>
      </c>
      <c r="AU37" s="20" t="n">
        <v>0</v>
      </c>
      <c r="AV37" s="20" t="n">
        <v>0</v>
      </c>
      <c r="AW37" s="20" t="n">
        <v>0</v>
      </c>
      <c r="AX37" s="20" t="n">
        <v>0</v>
      </c>
    </row>
    <row r="38">
      <c r="A38" s="10" t="inlineStr">
        <is>
          <t>Load_TR2_F5_16</t>
        </is>
      </c>
      <c r="B38" s="12" t="inlineStr">
        <is>
          <t>customer</t>
        </is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0</v>
      </c>
      <c r="AA38" s="18" t="n">
        <v>0</v>
      </c>
      <c r="AB38" s="18" t="n">
        <v>0</v>
      </c>
      <c r="AC38" s="18" t="n">
        <v>0</v>
      </c>
      <c r="AD38" s="18" t="n">
        <v>0</v>
      </c>
      <c r="AE38" s="18" t="n">
        <v>0</v>
      </c>
      <c r="AF38" s="18" t="n">
        <v>0</v>
      </c>
      <c r="AG38" s="18" t="n">
        <v>0</v>
      </c>
      <c r="AH38" s="18" t="n">
        <v>0</v>
      </c>
      <c r="AI38" s="18" t="n">
        <v>0</v>
      </c>
      <c r="AJ38" s="18" t="n">
        <v>0</v>
      </c>
      <c r="AK38" s="18" t="n">
        <v>0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0</v>
      </c>
      <c r="AQ38" s="18" t="n">
        <v>0</v>
      </c>
      <c r="AR38" s="18" t="n">
        <v>0</v>
      </c>
      <c r="AS38" s="18" t="n">
        <v>0</v>
      </c>
      <c r="AT38" s="18" t="n">
        <v>0</v>
      </c>
      <c r="AU38" s="18" t="n">
        <v>0</v>
      </c>
      <c r="AV38" s="18" t="n">
        <v>0</v>
      </c>
      <c r="AW38" s="18" t="n">
        <v>0</v>
      </c>
      <c r="AX38" s="18" t="n">
        <v>0</v>
      </c>
    </row>
    <row r="39">
      <c r="A39" s="10" t="inlineStr">
        <is>
          <t>Load_TR2_F5_17</t>
        </is>
      </c>
      <c r="B39" s="12" t="inlineStr">
        <is>
          <t>customer</t>
        </is>
      </c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0</v>
      </c>
      <c r="M39" s="18" t="n">
        <v>0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0</v>
      </c>
      <c r="AA39" s="18" t="n">
        <v>0</v>
      </c>
      <c r="AB39" s="18" t="n">
        <v>0</v>
      </c>
      <c r="AC39" s="18" t="n">
        <v>0</v>
      </c>
      <c r="AD39" s="18" t="n">
        <v>0</v>
      </c>
      <c r="AE39" s="18" t="n">
        <v>0</v>
      </c>
      <c r="AF39" s="18" t="n">
        <v>0</v>
      </c>
      <c r="AG39" s="18" t="n">
        <v>0</v>
      </c>
      <c r="AH39" s="18" t="n">
        <v>0</v>
      </c>
      <c r="AI39" s="18" t="n">
        <v>0</v>
      </c>
      <c r="AJ39" s="18" t="n">
        <v>0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0</v>
      </c>
      <c r="AQ39" s="18" t="n">
        <v>0</v>
      </c>
      <c r="AR39" s="18" t="n">
        <v>0</v>
      </c>
      <c r="AS39" s="18" t="n">
        <v>0</v>
      </c>
      <c r="AT39" s="18" t="n">
        <v>0</v>
      </c>
      <c r="AU39" s="18" t="n">
        <v>0</v>
      </c>
      <c r="AV39" s="18" t="n">
        <v>0</v>
      </c>
      <c r="AW39" s="18" t="n">
        <v>0</v>
      </c>
      <c r="AX39" s="18" t="n">
        <v>0</v>
      </c>
    </row>
    <row r="40">
      <c r="A40" s="10" t="inlineStr">
        <is>
          <t>Load_TR2_F5_18</t>
        </is>
      </c>
      <c r="B40" s="12" t="inlineStr">
        <is>
          <t>customer</t>
        </is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0</v>
      </c>
      <c r="AA40" s="18" t="n">
        <v>0</v>
      </c>
      <c r="AB40" s="18" t="n">
        <v>0</v>
      </c>
      <c r="AC40" s="18" t="n">
        <v>0</v>
      </c>
      <c r="AD40" s="18" t="n">
        <v>0</v>
      </c>
      <c r="AE40" s="18" t="n">
        <v>0</v>
      </c>
      <c r="AF40" s="18" t="n">
        <v>0</v>
      </c>
      <c r="AG40" s="18" t="n">
        <v>0</v>
      </c>
      <c r="AH40" s="18" t="n">
        <v>0</v>
      </c>
      <c r="AI40" s="18" t="n">
        <v>0</v>
      </c>
      <c r="AJ40" s="18" t="n">
        <v>0</v>
      </c>
      <c r="AK40" s="18" t="n">
        <v>0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0</v>
      </c>
      <c r="AQ40" s="18" t="n">
        <v>0</v>
      </c>
      <c r="AR40" s="18" t="n">
        <v>0</v>
      </c>
      <c r="AS40" s="18" t="n">
        <v>0</v>
      </c>
      <c r="AT40" s="18" t="n">
        <v>0</v>
      </c>
      <c r="AU40" s="18" t="n">
        <v>0</v>
      </c>
      <c r="AV40" s="18" t="n">
        <v>0</v>
      </c>
      <c r="AW40" s="18" t="n">
        <v>0</v>
      </c>
      <c r="AX40" s="18" t="n">
        <v>0</v>
      </c>
    </row>
    <row r="41">
      <c r="A41" s="10" t="inlineStr">
        <is>
          <t>Load_TR2_F5_19</t>
        </is>
      </c>
      <c r="B41" s="12" t="inlineStr">
        <is>
          <t>customer</t>
        </is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0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0</v>
      </c>
      <c r="AI41" s="18" t="n">
        <v>0</v>
      </c>
      <c r="AJ41" s="18" t="n">
        <v>0</v>
      </c>
      <c r="AK41" s="18" t="n">
        <v>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8" t="n">
        <v>0</v>
      </c>
      <c r="AT41" s="18" t="n">
        <v>0</v>
      </c>
      <c r="AU41" s="18" t="n">
        <v>0</v>
      </c>
      <c r="AV41" s="18" t="n">
        <v>0</v>
      </c>
      <c r="AW41" s="18" t="n">
        <v>0</v>
      </c>
      <c r="AX41" s="18" t="n">
        <v>0</v>
      </c>
    </row>
    <row r="42">
      <c r="A42" s="19" t="inlineStr">
        <is>
          <t>Load_TR2_F5_2</t>
        </is>
      </c>
      <c r="B42" s="15" t="inlineStr">
        <is>
          <t>prosumer</t>
        </is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0</v>
      </c>
      <c r="I42" s="20" t="n">
        <v>0</v>
      </c>
      <c r="J42" s="20" t="n">
        <v>0.0034</v>
      </c>
      <c r="K42" s="20" t="n">
        <v>0.0497</v>
      </c>
      <c r="L42" s="20" t="n">
        <v>0.2326</v>
      </c>
      <c r="M42" s="20" t="n">
        <v>0.4613</v>
      </c>
      <c r="N42" s="20" t="n">
        <v>0.7419</v>
      </c>
      <c r="O42" s="20" t="n">
        <v>1.0479</v>
      </c>
      <c r="P42" s="20" t="n">
        <v>1.3577</v>
      </c>
      <c r="Q42" s="20" t="n">
        <v>1.666</v>
      </c>
      <c r="R42" s="20" t="n">
        <v>1.9746</v>
      </c>
      <c r="S42" s="20" t="n">
        <v>2.2643</v>
      </c>
      <c r="T42" s="20" t="n">
        <v>2.5367</v>
      </c>
      <c r="U42" s="20" t="n">
        <v>2.7686</v>
      </c>
      <c r="V42" s="20" t="n">
        <v>2.9664</v>
      </c>
      <c r="W42" s="20" t="n">
        <v>3.14</v>
      </c>
      <c r="X42" s="20" t="n">
        <v>3.2833</v>
      </c>
      <c r="Y42" s="20" t="n">
        <v>3.385</v>
      </c>
      <c r="Z42" s="20" t="n">
        <v>3.4296</v>
      </c>
      <c r="AA42" s="20" t="n">
        <v>3.4425</v>
      </c>
      <c r="AB42" s="20" t="n">
        <v>3.4183</v>
      </c>
      <c r="AC42" s="20" t="n">
        <v>3.3372</v>
      </c>
      <c r="AD42" s="20" t="n">
        <v>3.2133</v>
      </c>
      <c r="AE42" s="20" t="n">
        <v>3.0655</v>
      </c>
      <c r="AF42" s="20" t="n">
        <v>2.8782</v>
      </c>
      <c r="AG42" s="20" t="n">
        <v>2.6791</v>
      </c>
      <c r="AH42" s="20" t="n">
        <v>2.4396</v>
      </c>
      <c r="AI42" s="20" t="n">
        <v>2.1698</v>
      </c>
      <c r="AJ42" s="20" t="n">
        <v>1.8441</v>
      </c>
      <c r="AK42" s="20" t="n">
        <v>1.5392</v>
      </c>
      <c r="AL42" s="20" t="n">
        <v>1.2259</v>
      </c>
      <c r="AM42" s="20" t="n">
        <v>0.9229000000000001</v>
      </c>
      <c r="AN42" s="20" t="n">
        <v>0.6308</v>
      </c>
      <c r="AO42" s="20" t="n">
        <v>0.3683</v>
      </c>
      <c r="AP42" s="20" t="n">
        <v>0.1072</v>
      </c>
      <c r="AQ42" s="20" t="n">
        <v>0.0198</v>
      </c>
      <c r="AR42" s="20" t="n">
        <v>0</v>
      </c>
      <c r="AS42" s="20" t="n">
        <v>0</v>
      </c>
      <c r="AT42" s="20" t="n">
        <v>0</v>
      </c>
      <c r="AU42" s="20" t="n">
        <v>0</v>
      </c>
      <c r="AV42" s="20" t="n">
        <v>0</v>
      </c>
      <c r="AW42" s="20" t="n">
        <v>0</v>
      </c>
      <c r="AX42" s="20" t="n">
        <v>0</v>
      </c>
    </row>
    <row r="43">
      <c r="A43" s="10" t="inlineStr">
        <is>
          <t>Load_TR2_F5_20</t>
        </is>
      </c>
      <c r="B43" s="12" t="inlineStr">
        <is>
          <t>customer</t>
        </is>
      </c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0</v>
      </c>
      <c r="Q43" s="18" t="n">
        <v>0</v>
      </c>
      <c r="R43" s="18" t="n">
        <v>0</v>
      </c>
      <c r="S43" s="18" t="n">
        <v>0</v>
      </c>
      <c r="T43" s="18" t="n">
        <v>0</v>
      </c>
      <c r="U43" s="18" t="n">
        <v>0</v>
      </c>
      <c r="V43" s="18" t="n">
        <v>0</v>
      </c>
      <c r="W43" s="18" t="n">
        <v>0</v>
      </c>
      <c r="X43" s="18" t="n">
        <v>0</v>
      </c>
      <c r="Y43" s="18" t="n">
        <v>0</v>
      </c>
      <c r="Z43" s="18" t="n">
        <v>0</v>
      </c>
      <c r="AA43" s="18" t="n">
        <v>0</v>
      </c>
      <c r="AB43" s="18" t="n">
        <v>0</v>
      </c>
      <c r="AC43" s="18" t="n">
        <v>0</v>
      </c>
      <c r="AD43" s="18" t="n">
        <v>0</v>
      </c>
      <c r="AE43" s="18" t="n">
        <v>0</v>
      </c>
      <c r="AF43" s="18" t="n">
        <v>0</v>
      </c>
      <c r="AG43" s="18" t="n">
        <v>0</v>
      </c>
      <c r="AH43" s="18" t="n">
        <v>0</v>
      </c>
      <c r="AI43" s="18" t="n">
        <v>0</v>
      </c>
      <c r="AJ43" s="18" t="n">
        <v>0</v>
      </c>
      <c r="AK43" s="18" t="n">
        <v>0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0</v>
      </c>
      <c r="AQ43" s="18" t="n">
        <v>0</v>
      </c>
      <c r="AR43" s="18" t="n">
        <v>0</v>
      </c>
      <c r="AS43" s="18" t="n">
        <v>0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0</v>
      </c>
    </row>
    <row r="44">
      <c r="A44" s="10" t="inlineStr">
        <is>
          <t>Load_TR2_F5_21</t>
        </is>
      </c>
      <c r="B44" s="12" t="inlineStr">
        <is>
          <t>customer</t>
        </is>
      </c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0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0</v>
      </c>
      <c r="AA44" s="18" t="n">
        <v>0</v>
      </c>
      <c r="AB44" s="18" t="n">
        <v>0</v>
      </c>
      <c r="AC44" s="18" t="n">
        <v>0</v>
      </c>
      <c r="AD44" s="18" t="n">
        <v>0</v>
      </c>
      <c r="AE44" s="18" t="n">
        <v>0</v>
      </c>
      <c r="AF44" s="18" t="n">
        <v>0</v>
      </c>
      <c r="AG44" s="18" t="n">
        <v>0</v>
      </c>
      <c r="AH44" s="18" t="n">
        <v>0</v>
      </c>
      <c r="AI44" s="18" t="n">
        <v>0</v>
      </c>
      <c r="AJ44" s="18" t="n">
        <v>0</v>
      </c>
      <c r="AK44" s="18" t="n">
        <v>0</v>
      </c>
      <c r="AL44" s="18" t="n">
        <v>0</v>
      </c>
      <c r="AM44" s="18" t="n">
        <v>0</v>
      </c>
      <c r="AN44" s="18" t="n">
        <v>0</v>
      </c>
      <c r="AO44" s="18" t="n">
        <v>0</v>
      </c>
      <c r="AP44" s="18" t="n">
        <v>0</v>
      </c>
      <c r="AQ44" s="18" t="n">
        <v>0</v>
      </c>
      <c r="AR44" s="18" t="n">
        <v>0</v>
      </c>
      <c r="AS44" s="18" t="n">
        <v>0</v>
      </c>
      <c r="AT44" s="18" t="n">
        <v>0</v>
      </c>
      <c r="AU44" s="18" t="n">
        <v>0</v>
      </c>
      <c r="AV44" s="18" t="n">
        <v>0</v>
      </c>
      <c r="AW44" s="18" t="n">
        <v>0</v>
      </c>
      <c r="AX44" s="18" t="n">
        <v>0</v>
      </c>
    </row>
    <row r="45">
      <c r="A45" s="19" t="inlineStr">
        <is>
          <t>Load_TR2_F5_22</t>
        </is>
      </c>
      <c r="B45" s="15" t="inlineStr">
        <is>
          <t>prosumer</t>
        </is>
      </c>
      <c r="C45" s="20" t="n">
        <v>0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0</v>
      </c>
      <c r="I45" s="20" t="n">
        <v>0</v>
      </c>
      <c r="J45" s="20" t="n">
        <v>0.0034</v>
      </c>
      <c r="K45" s="20" t="n">
        <v>0.0497</v>
      </c>
      <c r="L45" s="20" t="n">
        <v>0.2326</v>
      </c>
      <c r="M45" s="20" t="n">
        <v>0.4613</v>
      </c>
      <c r="N45" s="20" t="n">
        <v>0.7419</v>
      </c>
      <c r="O45" s="20" t="n">
        <v>1.0479</v>
      </c>
      <c r="P45" s="20" t="n">
        <v>1.3577</v>
      </c>
      <c r="Q45" s="20" t="n">
        <v>1.666</v>
      </c>
      <c r="R45" s="20" t="n">
        <v>1.9746</v>
      </c>
      <c r="S45" s="20" t="n">
        <v>2.2643</v>
      </c>
      <c r="T45" s="20" t="n">
        <v>2.5367</v>
      </c>
      <c r="U45" s="20" t="n">
        <v>2.7686</v>
      </c>
      <c r="V45" s="20" t="n">
        <v>2.9664</v>
      </c>
      <c r="W45" s="20" t="n">
        <v>3.14</v>
      </c>
      <c r="X45" s="20" t="n">
        <v>3.2833</v>
      </c>
      <c r="Y45" s="20" t="n">
        <v>3.385</v>
      </c>
      <c r="Z45" s="20" t="n">
        <v>3.4296</v>
      </c>
      <c r="AA45" s="20" t="n">
        <v>3.4425</v>
      </c>
      <c r="AB45" s="20" t="n">
        <v>3.4183</v>
      </c>
      <c r="AC45" s="20" t="n">
        <v>3.3372</v>
      </c>
      <c r="AD45" s="20" t="n">
        <v>3.2133</v>
      </c>
      <c r="AE45" s="20" t="n">
        <v>3.0655</v>
      </c>
      <c r="AF45" s="20" t="n">
        <v>2.8782</v>
      </c>
      <c r="AG45" s="20" t="n">
        <v>2.6791</v>
      </c>
      <c r="AH45" s="20" t="n">
        <v>2.4396</v>
      </c>
      <c r="AI45" s="20" t="n">
        <v>2.1698</v>
      </c>
      <c r="AJ45" s="20" t="n">
        <v>1.8441</v>
      </c>
      <c r="AK45" s="20" t="n">
        <v>1.5392</v>
      </c>
      <c r="AL45" s="20" t="n">
        <v>1.2259</v>
      </c>
      <c r="AM45" s="20" t="n">
        <v>0.9229000000000001</v>
      </c>
      <c r="AN45" s="20" t="n">
        <v>0.6308</v>
      </c>
      <c r="AO45" s="20" t="n">
        <v>0.3683</v>
      </c>
      <c r="AP45" s="20" t="n">
        <v>0.1072</v>
      </c>
      <c r="AQ45" s="20" t="n">
        <v>0.0198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</row>
    <row r="46">
      <c r="A46" s="19" t="inlineStr">
        <is>
          <t>Load_TR2_F5_23</t>
        </is>
      </c>
      <c r="B46" s="15" t="inlineStr">
        <is>
          <t>prosumer</t>
        </is>
      </c>
      <c r="C46" s="20" t="n">
        <v>0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0.0017</v>
      </c>
      <c r="K46" s="20" t="n">
        <v>0.0249</v>
      </c>
      <c r="L46" s="20" t="n">
        <v>0.1163</v>
      </c>
      <c r="M46" s="20" t="n">
        <v>0.2307</v>
      </c>
      <c r="N46" s="20" t="n">
        <v>0.3709</v>
      </c>
      <c r="O46" s="20" t="n">
        <v>0.524</v>
      </c>
      <c r="P46" s="20" t="n">
        <v>0.6788999999999999</v>
      </c>
      <c r="Q46" s="20" t="n">
        <v>0.833</v>
      </c>
      <c r="R46" s="20" t="n">
        <v>0.9873</v>
      </c>
      <c r="S46" s="20" t="n">
        <v>1.1322</v>
      </c>
      <c r="T46" s="20" t="n">
        <v>1.2683</v>
      </c>
      <c r="U46" s="20" t="n">
        <v>1.3843</v>
      </c>
      <c r="V46" s="20" t="n">
        <v>1.4832</v>
      </c>
      <c r="W46" s="20" t="n">
        <v>1.57</v>
      </c>
      <c r="X46" s="20" t="n">
        <v>1.6417</v>
      </c>
      <c r="Y46" s="20" t="n">
        <v>1.6925</v>
      </c>
      <c r="Z46" s="20" t="n">
        <v>1.7148</v>
      </c>
      <c r="AA46" s="20" t="n">
        <v>1.7212</v>
      </c>
      <c r="AB46" s="20" t="n">
        <v>1.7092</v>
      </c>
      <c r="AC46" s="20" t="n">
        <v>1.6686</v>
      </c>
      <c r="AD46" s="20" t="n">
        <v>1.6067</v>
      </c>
      <c r="AE46" s="20" t="n">
        <v>1.5328</v>
      </c>
      <c r="AF46" s="20" t="n">
        <v>1.4391</v>
      </c>
      <c r="AG46" s="20" t="n">
        <v>1.3396</v>
      </c>
      <c r="AH46" s="20" t="n">
        <v>1.2198</v>
      </c>
      <c r="AI46" s="20" t="n">
        <v>1.0849</v>
      </c>
      <c r="AJ46" s="20" t="n">
        <v>0.922</v>
      </c>
      <c r="AK46" s="20" t="n">
        <v>0.7696</v>
      </c>
      <c r="AL46" s="20" t="n">
        <v>0.613</v>
      </c>
      <c r="AM46" s="20" t="n">
        <v>0.4615</v>
      </c>
      <c r="AN46" s="20" t="n">
        <v>0.3154</v>
      </c>
      <c r="AO46" s="20" t="n">
        <v>0.1842</v>
      </c>
      <c r="AP46" s="20" t="n">
        <v>0.0536</v>
      </c>
      <c r="AQ46" s="20" t="n">
        <v>0.009900000000000001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</row>
    <row r="47">
      <c r="A47" s="19" t="inlineStr">
        <is>
          <t>Load_TR2_F5_24</t>
        </is>
      </c>
      <c r="B47" s="15" t="inlineStr">
        <is>
          <t>prosumer</t>
        </is>
      </c>
      <c r="C47" s="20" t="n">
        <v>0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0</v>
      </c>
      <c r="I47" s="20" t="n">
        <v>0</v>
      </c>
      <c r="J47" s="20" t="n">
        <v>0.0034</v>
      </c>
      <c r="K47" s="20" t="n">
        <v>0.0497</v>
      </c>
      <c r="L47" s="20" t="n">
        <v>0.2326</v>
      </c>
      <c r="M47" s="20" t="n">
        <v>0.4613</v>
      </c>
      <c r="N47" s="20" t="n">
        <v>0.7419</v>
      </c>
      <c r="O47" s="20" t="n">
        <v>1.0479</v>
      </c>
      <c r="P47" s="20" t="n">
        <v>1.3577</v>
      </c>
      <c r="Q47" s="20" t="n">
        <v>1.666</v>
      </c>
      <c r="R47" s="20" t="n">
        <v>1.9746</v>
      </c>
      <c r="S47" s="20" t="n">
        <v>2.2643</v>
      </c>
      <c r="T47" s="20" t="n">
        <v>2.5367</v>
      </c>
      <c r="U47" s="20" t="n">
        <v>2.7686</v>
      </c>
      <c r="V47" s="20" t="n">
        <v>2.9664</v>
      </c>
      <c r="W47" s="20" t="n">
        <v>3.14</v>
      </c>
      <c r="X47" s="20" t="n">
        <v>3.2833</v>
      </c>
      <c r="Y47" s="20" t="n">
        <v>3.385</v>
      </c>
      <c r="Z47" s="20" t="n">
        <v>3.4296</v>
      </c>
      <c r="AA47" s="20" t="n">
        <v>3.4425</v>
      </c>
      <c r="AB47" s="20" t="n">
        <v>3.4183</v>
      </c>
      <c r="AC47" s="20" t="n">
        <v>3.3372</v>
      </c>
      <c r="AD47" s="20" t="n">
        <v>3.2133</v>
      </c>
      <c r="AE47" s="20" t="n">
        <v>3.0655</v>
      </c>
      <c r="AF47" s="20" t="n">
        <v>2.8782</v>
      </c>
      <c r="AG47" s="20" t="n">
        <v>2.6791</v>
      </c>
      <c r="AH47" s="20" t="n">
        <v>2.4396</v>
      </c>
      <c r="AI47" s="20" t="n">
        <v>2.1698</v>
      </c>
      <c r="AJ47" s="20" t="n">
        <v>1.8441</v>
      </c>
      <c r="AK47" s="20" t="n">
        <v>1.5392</v>
      </c>
      <c r="AL47" s="20" t="n">
        <v>1.2259</v>
      </c>
      <c r="AM47" s="20" t="n">
        <v>0.9229000000000001</v>
      </c>
      <c r="AN47" s="20" t="n">
        <v>0.6308</v>
      </c>
      <c r="AO47" s="20" t="n">
        <v>0.3683</v>
      </c>
      <c r="AP47" s="20" t="n">
        <v>0.1072</v>
      </c>
      <c r="AQ47" s="20" t="n">
        <v>0.0198</v>
      </c>
      <c r="AR47" s="20" t="n">
        <v>0</v>
      </c>
      <c r="AS47" s="20" t="n">
        <v>0</v>
      </c>
      <c r="AT47" s="20" t="n">
        <v>0</v>
      </c>
      <c r="AU47" s="20" t="n">
        <v>0</v>
      </c>
      <c r="AV47" s="20" t="n">
        <v>0</v>
      </c>
      <c r="AW47" s="20" t="n">
        <v>0</v>
      </c>
      <c r="AX47" s="20" t="n">
        <v>0</v>
      </c>
    </row>
    <row r="48">
      <c r="A48" s="19" t="inlineStr">
        <is>
          <t>Load_TR2_F5_25</t>
        </is>
      </c>
      <c r="B48" s="15" t="inlineStr">
        <is>
          <t>prosumer</t>
        </is>
      </c>
      <c r="C48" s="20" t="n">
        <v>0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0</v>
      </c>
      <c r="I48" s="20" t="n">
        <v>0</v>
      </c>
      <c r="J48" s="20" t="n">
        <v>0.0034</v>
      </c>
      <c r="K48" s="20" t="n">
        <v>0.0497</v>
      </c>
      <c r="L48" s="20" t="n">
        <v>0.2326</v>
      </c>
      <c r="M48" s="20" t="n">
        <v>0.4613</v>
      </c>
      <c r="N48" s="20" t="n">
        <v>0.7419</v>
      </c>
      <c r="O48" s="20" t="n">
        <v>1.0479</v>
      </c>
      <c r="P48" s="20" t="n">
        <v>1.3577</v>
      </c>
      <c r="Q48" s="20" t="n">
        <v>1.666</v>
      </c>
      <c r="R48" s="20" t="n">
        <v>1.9746</v>
      </c>
      <c r="S48" s="20" t="n">
        <v>2.2643</v>
      </c>
      <c r="T48" s="20" t="n">
        <v>2.5367</v>
      </c>
      <c r="U48" s="20" t="n">
        <v>2.7686</v>
      </c>
      <c r="V48" s="20" t="n">
        <v>2.9664</v>
      </c>
      <c r="W48" s="20" t="n">
        <v>3.14</v>
      </c>
      <c r="X48" s="20" t="n">
        <v>3.2833</v>
      </c>
      <c r="Y48" s="20" t="n">
        <v>3.385</v>
      </c>
      <c r="Z48" s="20" t="n">
        <v>3.4296</v>
      </c>
      <c r="AA48" s="20" t="n">
        <v>3.4425</v>
      </c>
      <c r="AB48" s="20" t="n">
        <v>3.4183</v>
      </c>
      <c r="AC48" s="20" t="n">
        <v>3.3372</v>
      </c>
      <c r="AD48" s="20" t="n">
        <v>3.2133</v>
      </c>
      <c r="AE48" s="20" t="n">
        <v>3.0655</v>
      </c>
      <c r="AF48" s="20" t="n">
        <v>2.8782</v>
      </c>
      <c r="AG48" s="20" t="n">
        <v>2.6791</v>
      </c>
      <c r="AH48" s="20" t="n">
        <v>2.4396</v>
      </c>
      <c r="AI48" s="20" t="n">
        <v>2.1698</v>
      </c>
      <c r="AJ48" s="20" t="n">
        <v>1.8441</v>
      </c>
      <c r="AK48" s="20" t="n">
        <v>1.5392</v>
      </c>
      <c r="AL48" s="20" t="n">
        <v>1.2259</v>
      </c>
      <c r="AM48" s="20" t="n">
        <v>0.9229000000000001</v>
      </c>
      <c r="AN48" s="20" t="n">
        <v>0.6308</v>
      </c>
      <c r="AO48" s="20" t="n">
        <v>0.3683</v>
      </c>
      <c r="AP48" s="20" t="n">
        <v>0.1072</v>
      </c>
      <c r="AQ48" s="20" t="n">
        <v>0.0198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</row>
    <row r="49">
      <c r="A49" s="10" t="inlineStr">
        <is>
          <t>Load_TR2_F5_26</t>
        </is>
      </c>
      <c r="B49" s="12" t="inlineStr">
        <is>
          <t>customer</t>
        </is>
      </c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  <c r="P49" s="18" t="n">
        <v>0</v>
      </c>
      <c r="Q49" s="18" t="n">
        <v>0</v>
      </c>
      <c r="R49" s="18" t="n">
        <v>0</v>
      </c>
      <c r="S49" s="18" t="n">
        <v>0</v>
      </c>
      <c r="T49" s="18" t="n">
        <v>0</v>
      </c>
      <c r="U49" s="18" t="n">
        <v>0</v>
      </c>
      <c r="V49" s="18" t="n">
        <v>0</v>
      </c>
      <c r="W49" s="18" t="n">
        <v>0</v>
      </c>
      <c r="X49" s="18" t="n">
        <v>0</v>
      </c>
      <c r="Y49" s="18" t="n">
        <v>0</v>
      </c>
      <c r="Z49" s="18" t="n">
        <v>0</v>
      </c>
      <c r="AA49" s="18" t="n">
        <v>0</v>
      </c>
      <c r="AB49" s="18" t="n">
        <v>0</v>
      </c>
      <c r="AC49" s="18" t="n">
        <v>0</v>
      </c>
      <c r="AD49" s="18" t="n">
        <v>0</v>
      </c>
      <c r="AE49" s="18" t="n">
        <v>0</v>
      </c>
      <c r="AF49" s="18" t="n">
        <v>0</v>
      </c>
      <c r="AG49" s="18" t="n">
        <v>0</v>
      </c>
      <c r="AH49" s="18" t="n">
        <v>0</v>
      </c>
      <c r="AI49" s="18" t="n">
        <v>0</v>
      </c>
      <c r="AJ49" s="18" t="n">
        <v>0</v>
      </c>
      <c r="AK49" s="18" t="n">
        <v>0</v>
      </c>
      <c r="AL49" s="18" t="n">
        <v>0</v>
      </c>
      <c r="AM49" s="18" t="n">
        <v>0</v>
      </c>
      <c r="AN49" s="18" t="n">
        <v>0</v>
      </c>
      <c r="AO49" s="18" t="n">
        <v>0</v>
      </c>
      <c r="AP49" s="18" t="n">
        <v>0</v>
      </c>
      <c r="AQ49" s="18" t="n">
        <v>0</v>
      </c>
      <c r="AR49" s="18" t="n">
        <v>0</v>
      </c>
      <c r="AS49" s="18" t="n">
        <v>0</v>
      </c>
      <c r="AT49" s="18" t="n">
        <v>0</v>
      </c>
      <c r="AU49" s="18" t="n">
        <v>0</v>
      </c>
      <c r="AV49" s="18" t="n">
        <v>0</v>
      </c>
      <c r="AW49" s="18" t="n">
        <v>0</v>
      </c>
      <c r="AX49" s="18" t="n">
        <v>0</v>
      </c>
    </row>
    <row r="50">
      <c r="A50" s="19" t="inlineStr">
        <is>
          <t>Load_TR2_F5_27</t>
        </is>
      </c>
      <c r="B50" s="15" t="inlineStr">
        <is>
          <t>prosumer</t>
        </is>
      </c>
      <c r="C50" s="20" t="n">
        <v>0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0.0034</v>
      </c>
      <c r="K50" s="20" t="n">
        <v>0.0497</v>
      </c>
      <c r="L50" s="20" t="n">
        <v>0.2326</v>
      </c>
      <c r="M50" s="20" t="n">
        <v>0.4613</v>
      </c>
      <c r="N50" s="20" t="n">
        <v>0.7419</v>
      </c>
      <c r="O50" s="20" t="n">
        <v>1.0479</v>
      </c>
      <c r="P50" s="20" t="n">
        <v>1.3577</v>
      </c>
      <c r="Q50" s="20" t="n">
        <v>1.666</v>
      </c>
      <c r="R50" s="20" t="n">
        <v>1.9746</v>
      </c>
      <c r="S50" s="20" t="n">
        <v>2.2643</v>
      </c>
      <c r="T50" s="20" t="n">
        <v>2.5367</v>
      </c>
      <c r="U50" s="20" t="n">
        <v>2.7686</v>
      </c>
      <c r="V50" s="20" t="n">
        <v>2.9664</v>
      </c>
      <c r="W50" s="20" t="n">
        <v>3.14</v>
      </c>
      <c r="X50" s="20" t="n">
        <v>3.2833</v>
      </c>
      <c r="Y50" s="20" t="n">
        <v>3.385</v>
      </c>
      <c r="Z50" s="20" t="n">
        <v>3.4296</v>
      </c>
      <c r="AA50" s="20" t="n">
        <v>3.4425</v>
      </c>
      <c r="AB50" s="20" t="n">
        <v>3.4183</v>
      </c>
      <c r="AC50" s="20" t="n">
        <v>3.3372</v>
      </c>
      <c r="AD50" s="20" t="n">
        <v>3.2133</v>
      </c>
      <c r="AE50" s="20" t="n">
        <v>3.0655</v>
      </c>
      <c r="AF50" s="20" t="n">
        <v>2.8782</v>
      </c>
      <c r="AG50" s="20" t="n">
        <v>2.6791</v>
      </c>
      <c r="AH50" s="20" t="n">
        <v>2.4396</v>
      </c>
      <c r="AI50" s="20" t="n">
        <v>2.1698</v>
      </c>
      <c r="AJ50" s="20" t="n">
        <v>1.8441</v>
      </c>
      <c r="AK50" s="20" t="n">
        <v>1.5392</v>
      </c>
      <c r="AL50" s="20" t="n">
        <v>1.2259</v>
      </c>
      <c r="AM50" s="20" t="n">
        <v>0.9229000000000001</v>
      </c>
      <c r="AN50" s="20" t="n">
        <v>0.6308</v>
      </c>
      <c r="AO50" s="20" t="n">
        <v>0.3683</v>
      </c>
      <c r="AP50" s="20" t="n">
        <v>0.1072</v>
      </c>
      <c r="AQ50" s="20" t="n">
        <v>0.0198</v>
      </c>
      <c r="AR50" s="20" t="n">
        <v>0</v>
      </c>
      <c r="AS50" s="20" t="n">
        <v>0</v>
      </c>
      <c r="AT50" s="20" t="n">
        <v>0</v>
      </c>
      <c r="AU50" s="20" t="n">
        <v>0</v>
      </c>
      <c r="AV50" s="20" t="n">
        <v>0</v>
      </c>
      <c r="AW50" s="20" t="n">
        <v>0</v>
      </c>
      <c r="AX50" s="20" t="n">
        <v>0</v>
      </c>
    </row>
    <row r="51">
      <c r="A51" s="10" t="inlineStr">
        <is>
          <t>Load_TR2_F5_28</t>
        </is>
      </c>
      <c r="B51" s="12" t="inlineStr">
        <is>
          <t>customer</t>
        </is>
      </c>
      <c r="C51" s="18" t="n">
        <v>0</v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0</v>
      </c>
      <c r="N51" s="18" t="n">
        <v>0</v>
      </c>
      <c r="O51" s="18" t="n">
        <v>0</v>
      </c>
      <c r="P51" s="18" t="n">
        <v>0</v>
      </c>
      <c r="Q51" s="18" t="n">
        <v>0</v>
      </c>
      <c r="R51" s="18" t="n">
        <v>0</v>
      </c>
      <c r="S51" s="18" t="n">
        <v>0</v>
      </c>
      <c r="T51" s="18" t="n">
        <v>0</v>
      </c>
      <c r="U51" s="18" t="n">
        <v>0</v>
      </c>
      <c r="V51" s="18" t="n">
        <v>0</v>
      </c>
      <c r="W51" s="18" t="n">
        <v>0</v>
      </c>
      <c r="X51" s="18" t="n">
        <v>0</v>
      </c>
      <c r="Y51" s="18" t="n">
        <v>0</v>
      </c>
      <c r="Z51" s="18" t="n">
        <v>0</v>
      </c>
      <c r="AA51" s="18" t="n">
        <v>0</v>
      </c>
      <c r="AB51" s="18" t="n">
        <v>0</v>
      </c>
      <c r="AC51" s="18" t="n">
        <v>0</v>
      </c>
      <c r="AD51" s="18" t="n">
        <v>0</v>
      </c>
      <c r="AE51" s="18" t="n">
        <v>0</v>
      </c>
      <c r="AF51" s="18" t="n">
        <v>0</v>
      </c>
      <c r="AG51" s="18" t="n">
        <v>0</v>
      </c>
      <c r="AH51" s="18" t="n">
        <v>0</v>
      </c>
      <c r="AI51" s="18" t="n">
        <v>0</v>
      </c>
      <c r="AJ51" s="18" t="n">
        <v>0</v>
      </c>
      <c r="AK51" s="18" t="n">
        <v>0</v>
      </c>
      <c r="AL51" s="18" t="n">
        <v>0</v>
      </c>
      <c r="AM51" s="18" t="n">
        <v>0</v>
      </c>
      <c r="AN51" s="18" t="n">
        <v>0</v>
      </c>
      <c r="AO51" s="18" t="n">
        <v>0</v>
      </c>
      <c r="AP51" s="18" t="n">
        <v>0</v>
      </c>
      <c r="AQ51" s="18" t="n">
        <v>0</v>
      </c>
      <c r="AR51" s="18" t="n">
        <v>0</v>
      </c>
      <c r="AS51" s="18" t="n">
        <v>0</v>
      </c>
      <c r="AT51" s="18" t="n">
        <v>0</v>
      </c>
      <c r="AU51" s="18" t="n">
        <v>0</v>
      </c>
      <c r="AV51" s="18" t="n">
        <v>0</v>
      </c>
      <c r="AW51" s="18" t="n">
        <v>0</v>
      </c>
      <c r="AX51" s="18" t="n">
        <v>0</v>
      </c>
    </row>
    <row r="52">
      <c r="A52" s="19" t="inlineStr">
        <is>
          <t>Load_TR2_F5_29</t>
        </is>
      </c>
      <c r="B52" s="15" t="inlineStr">
        <is>
          <t>prosumer</t>
        </is>
      </c>
      <c r="C52" s="20" t="n">
        <v>0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0</v>
      </c>
      <c r="I52" s="20" t="n">
        <v>0</v>
      </c>
      <c r="J52" s="20" t="n">
        <v>0.0026</v>
      </c>
      <c r="K52" s="20" t="n">
        <v>0.0373</v>
      </c>
      <c r="L52" s="20" t="n">
        <v>0.1744</v>
      </c>
      <c r="M52" s="20" t="n">
        <v>0.346</v>
      </c>
      <c r="N52" s="20" t="n">
        <v>0.5564</v>
      </c>
      <c r="O52" s="20" t="n">
        <v>0.7859</v>
      </c>
      <c r="P52" s="20" t="n">
        <v>1.0183</v>
      </c>
      <c r="Q52" s="20" t="n">
        <v>1.2495</v>
      </c>
      <c r="R52" s="20" t="n">
        <v>1.481</v>
      </c>
      <c r="S52" s="20" t="n">
        <v>1.6982</v>
      </c>
      <c r="T52" s="20" t="n">
        <v>1.9025</v>
      </c>
      <c r="U52" s="20" t="n">
        <v>2.0764</v>
      </c>
      <c r="V52" s="20" t="n">
        <v>2.2248</v>
      </c>
      <c r="W52" s="20" t="n">
        <v>2.355</v>
      </c>
      <c r="X52" s="20" t="n">
        <v>2.4625</v>
      </c>
      <c r="Y52" s="20" t="n">
        <v>2.5387</v>
      </c>
      <c r="Z52" s="20" t="n">
        <v>2.5722</v>
      </c>
      <c r="AA52" s="20" t="n">
        <v>2.5819</v>
      </c>
      <c r="AB52" s="20" t="n">
        <v>2.5637</v>
      </c>
      <c r="AC52" s="20" t="n">
        <v>2.5029</v>
      </c>
      <c r="AD52" s="20" t="n">
        <v>2.41</v>
      </c>
      <c r="AE52" s="20" t="n">
        <v>2.2991</v>
      </c>
      <c r="AF52" s="20" t="n">
        <v>2.1586</v>
      </c>
      <c r="AG52" s="20" t="n">
        <v>2.0093</v>
      </c>
      <c r="AH52" s="20" t="n">
        <v>1.8297</v>
      </c>
      <c r="AI52" s="20" t="n">
        <v>1.6274</v>
      </c>
      <c r="AJ52" s="20" t="n">
        <v>1.3831</v>
      </c>
      <c r="AK52" s="20" t="n">
        <v>1.1544</v>
      </c>
      <c r="AL52" s="20" t="n">
        <v>0.9195</v>
      </c>
      <c r="AM52" s="20" t="n">
        <v>0.6922</v>
      </c>
      <c r="AN52" s="20" t="n">
        <v>0.4731</v>
      </c>
      <c r="AO52" s="20" t="n">
        <v>0.2762</v>
      </c>
      <c r="AP52" s="20" t="n">
        <v>0.0804</v>
      </c>
      <c r="AQ52" s="20" t="n">
        <v>0.0148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</row>
    <row r="53">
      <c r="A53" s="10" t="inlineStr">
        <is>
          <t>Load_TR2_F5_3</t>
        </is>
      </c>
      <c r="B53" s="12" t="inlineStr">
        <is>
          <t>customer</t>
        </is>
      </c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  <c r="Q53" s="18" t="n">
        <v>0</v>
      </c>
      <c r="R53" s="18" t="n">
        <v>0</v>
      </c>
      <c r="S53" s="18" t="n">
        <v>0</v>
      </c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0</v>
      </c>
      <c r="Y53" s="18" t="n">
        <v>0</v>
      </c>
      <c r="Z53" s="18" t="n">
        <v>0</v>
      </c>
      <c r="AA53" s="18" t="n">
        <v>0</v>
      </c>
      <c r="AB53" s="18" t="n">
        <v>0</v>
      </c>
      <c r="AC53" s="18" t="n">
        <v>0</v>
      </c>
      <c r="AD53" s="18" t="n">
        <v>0</v>
      </c>
      <c r="AE53" s="18" t="n">
        <v>0</v>
      </c>
      <c r="AF53" s="18" t="n">
        <v>0</v>
      </c>
      <c r="AG53" s="18" t="n">
        <v>0</v>
      </c>
      <c r="AH53" s="18" t="n">
        <v>0</v>
      </c>
      <c r="AI53" s="18" t="n">
        <v>0</v>
      </c>
      <c r="AJ53" s="18" t="n">
        <v>0</v>
      </c>
      <c r="AK53" s="18" t="n">
        <v>0</v>
      </c>
      <c r="AL53" s="18" t="n">
        <v>0</v>
      </c>
      <c r="AM53" s="18" t="n">
        <v>0</v>
      </c>
      <c r="AN53" s="18" t="n">
        <v>0</v>
      </c>
      <c r="AO53" s="18" t="n">
        <v>0</v>
      </c>
      <c r="AP53" s="18" t="n">
        <v>0</v>
      </c>
      <c r="AQ53" s="18" t="n">
        <v>0</v>
      </c>
      <c r="AR53" s="18" t="n">
        <v>0</v>
      </c>
      <c r="AS53" s="18" t="n">
        <v>0</v>
      </c>
      <c r="AT53" s="18" t="n">
        <v>0</v>
      </c>
      <c r="AU53" s="18" t="n">
        <v>0</v>
      </c>
      <c r="AV53" s="18" t="n">
        <v>0</v>
      </c>
      <c r="AW53" s="18" t="n">
        <v>0</v>
      </c>
      <c r="AX53" s="18" t="n">
        <v>0</v>
      </c>
    </row>
    <row r="54">
      <c r="A54" s="19" t="inlineStr">
        <is>
          <t>Load_TR2_F5_30</t>
        </is>
      </c>
      <c r="B54" s="15" t="inlineStr">
        <is>
          <t>prosumer</t>
        </is>
      </c>
      <c r="C54" s="20" t="n">
        <v>0</v>
      </c>
      <c r="D54" s="20" t="n">
        <v>0</v>
      </c>
      <c r="E54" s="20" t="n">
        <v>0</v>
      </c>
      <c r="F54" s="20" t="n">
        <v>0</v>
      </c>
      <c r="G54" s="20" t="n">
        <v>0</v>
      </c>
      <c r="H54" s="20" t="n">
        <v>0</v>
      </c>
      <c r="I54" s="20" t="n">
        <v>0</v>
      </c>
      <c r="J54" s="20" t="n">
        <v>0.003</v>
      </c>
      <c r="K54" s="20" t="n">
        <v>0.0435</v>
      </c>
      <c r="L54" s="20" t="n">
        <v>0.2035</v>
      </c>
      <c r="M54" s="20" t="n">
        <v>0.4037</v>
      </c>
      <c r="N54" s="20" t="n">
        <v>0.6491</v>
      </c>
      <c r="O54" s="20" t="n">
        <v>0.9169</v>
      </c>
      <c r="P54" s="20" t="n">
        <v>1.188</v>
      </c>
      <c r="Q54" s="20" t="n">
        <v>1.4577</v>
      </c>
      <c r="R54" s="20" t="n">
        <v>1.7278</v>
      </c>
      <c r="S54" s="20" t="n">
        <v>1.9813</v>
      </c>
      <c r="T54" s="20" t="n">
        <v>2.2196</v>
      </c>
      <c r="U54" s="20" t="n">
        <v>2.4225</v>
      </c>
      <c r="V54" s="20" t="n">
        <v>2.5956</v>
      </c>
      <c r="W54" s="20" t="n">
        <v>2.7475</v>
      </c>
      <c r="X54" s="20" t="n">
        <v>2.8729</v>
      </c>
      <c r="Y54" s="20" t="n">
        <v>2.9619</v>
      </c>
      <c r="Z54" s="20" t="n">
        <v>3.0009</v>
      </c>
      <c r="AA54" s="20" t="n">
        <v>3.0122</v>
      </c>
      <c r="AB54" s="20" t="n">
        <v>2.991</v>
      </c>
      <c r="AC54" s="20" t="n">
        <v>2.92</v>
      </c>
      <c r="AD54" s="20" t="n">
        <v>2.8117</v>
      </c>
      <c r="AE54" s="20" t="n">
        <v>2.6823</v>
      </c>
      <c r="AF54" s="20" t="n">
        <v>2.5184</v>
      </c>
      <c r="AG54" s="20" t="n">
        <v>2.3442</v>
      </c>
      <c r="AH54" s="20" t="n">
        <v>2.1346</v>
      </c>
      <c r="AI54" s="20" t="n">
        <v>1.8986</v>
      </c>
      <c r="AJ54" s="20" t="n">
        <v>1.6136</v>
      </c>
      <c r="AK54" s="20" t="n">
        <v>1.3468</v>
      </c>
      <c r="AL54" s="20" t="n">
        <v>1.0727</v>
      </c>
      <c r="AM54" s="20" t="n">
        <v>0.8076</v>
      </c>
      <c r="AN54" s="20" t="n">
        <v>0.5518999999999999</v>
      </c>
      <c r="AO54" s="20" t="n">
        <v>0.3223</v>
      </c>
      <c r="AP54" s="20" t="n">
        <v>0.09379999999999999</v>
      </c>
      <c r="AQ54" s="20" t="n">
        <v>0.0173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</row>
    <row r="55">
      <c r="A55" s="10" t="inlineStr">
        <is>
          <t>Load_TR2_F5_31</t>
        </is>
      </c>
      <c r="B55" s="12" t="inlineStr">
        <is>
          <t>customer</t>
        </is>
      </c>
      <c r="C55" s="18" t="n">
        <v>0</v>
      </c>
      <c r="D55" s="18" t="n">
        <v>0</v>
      </c>
      <c r="E55" s="18" t="n">
        <v>0</v>
      </c>
      <c r="F55" s="18" t="n">
        <v>0</v>
      </c>
      <c r="G55" s="18" t="n">
        <v>0</v>
      </c>
      <c r="H55" s="18" t="n">
        <v>0</v>
      </c>
      <c r="I55" s="18" t="n">
        <v>0</v>
      </c>
      <c r="J55" s="18" t="n">
        <v>0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0</v>
      </c>
      <c r="Q55" s="18" t="n">
        <v>0</v>
      </c>
      <c r="R55" s="18" t="n">
        <v>0</v>
      </c>
      <c r="S55" s="18" t="n">
        <v>0</v>
      </c>
      <c r="T55" s="18" t="n">
        <v>0</v>
      </c>
      <c r="U55" s="18" t="n">
        <v>0</v>
      </c>
      <c r="V55" s="18" t="n">
        <v>0</v>
      </c>
      <c r="W55" s="18" t="n">
        <v>0</v>
      </c>
      <c r="X55" s="18" t="n">
        <v>0</v>
      </c>
      <c r="Y55" s="18" t="n">
        <v>0</v>
      </c>
      <c r="Z55" s="18" t="n">
        <v>0</v>
      </c>
      <c r="AA55" s="18" t="n">
        <v>0</v>
      </c>
      <c r="AB55" s="18" t="n">
        <v>0</v>
      </c>
      <c r="AC55" s="18" t="n">
        <v>0</v>
      </c>
      <c r="AD55" s="18" t="n">
        <v>0</v>
      </c>
      <c r="AE55" s="18" t="n">
        <v>0</v>
      </c>
      <c r="AF55" s="18" t="n">
        <v>0</v>
      </c>
      <c r="AG55" s="18" t="n">
        <v>0</v>
      </c>
      <c r="AH55" s="18" t="n">
        <v>0</v>
      </c>
      <c r="AI55" s="18" t="n">
        <v>0</v>
      </c>
      <c r="AJ55" s="18" t="n">
        <v>0</v>
      </c>
      <c r="AK55" s="18" t="n">
        <v>0</v>
      </c>
      <c r="AL55" s="18" t="n">
        <v>0</v>
      </c>
      <c r="AM55" s="18" t="n">
        <v>0</v>
      </c>
      <c r="AN55" s="18" t="n">
        <v>0</v>
      </c>
      <c r="AO55" s="18" t="n">
        <v>0</v>
      </c>
      <c r="AP55" s="18" t="n">
        <v>0</v>
      </c>
      <c r="AQ55" s="18" t="n">
        <v>0</v>
      </c>
      <c r="AR55" s="18" t="n">
        <v>0</v>
      </c>
      <c r="AS55" s="18" t="n">
        <v>0</v>
      </c>
      <c r="AT55" s="18" t="n">
        <v>0</v>
      </c>
      <c r="AU55" s="18" t="n">
        <v>0</v>
      </c>
      <c r="AV55" s="18" t="n">
        <v>0</v>
      </c>
      <c r="AW55" s="18" t="n">
        <v>0</v>
      </c>
      <c r="AX55" s="18" t="n">
        <v>0</v>
      </c>
    </row>
    <row r="56">
      <c r="A56" s="10" t="inlineStr">
        <is>
          <t>Load_TR2_F5_32</t>
        </is>
      </c>
      <c r="B56" s="12" t="inlineStr">
        <is>
          <t>customer</t>
        </is>
      </c>
      <c r="C56" s="18" t="n">
        <v>0</v>
      </c>
      <c r="D56" s="18" t="n">
        <v>0</v>
      </c>
      <c r="E56" s="18" t="n">
        <v>0</v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0</v>
      </c>
      <c r="Y56" s="18" t="n">
        <v>0</v>
      </c>
      <c r="Z56" s="18" t="n">
        <v>0</v>
      </c>
      <c r="AA56" s="18" t="n">
        <v>0</v>
      </c>
      <c r="AB56" s="18" t="n">
        <v>0</v>
      </c>
      <c r="AC56" s="18" t="n">
        <v>0</v>
      </c>
      <c r="AD56" s="18" t="n">
        <v>0</v>
      </c>
      <c r="AE56" s="18" t="n">
        <v>0</v>
      </c>
      <c r="AF56" s="18" t="n">
        <v>0</v>
      </c>
      <c r="AG56" s="18" t="n">
        <v>0</v>
      </c>
      <c r="AH56" s="18" t="n">
        <v>0</v>
      </c>
      <c r="AI56" s="18" t="n">
        <v>0</v>
      </c>
      <c r="AJ56" s="18" t="n">
        <v>0</v>
      </c>
      <c r="AK56" s="18" t="n">
        <v>0</v>
      </c>
      <c r="AL56" s="18" t="n">
        <v>0</v>
      </c>
      <c r="AM56" s="18" t="n">
        <v>0</v>
      </c>
      <c r="AN56" s="18" t="n">
        <v>0</v>
      </c>
      <c r="AO56" s="18" t="n">
        <v>0</v>
      </c>
      <c r="AP56" s="18" t="n">
        <v>0</v>
      </c>
      <c r="AQ56" s="18" t="n">
        <v>0</v>
      </c>
      <c r="AR56" s="18" t="n">
        <v>0</v>
      </c>
      <c r="AS56" s="18" t="n">
        <v>0</v>
      </c>
      <c r="AT56" s="18" t="n">
        <v>0</v>
      </c>
      <c r="AU56" s="18" t="n">
        <v>0</v>
      </c>
      <c r="AV56" s="18" t="n">
        <v>0</v>
      </c>
      <c r="AW56" s="18" t="n">
        <v>0</v>
      </c>
      <c r="AX56" s="18" t="n">
        <v>0</v>
      </c>
    </row>
    <row r="57">
      <c r="A57" s="19" t="inlineStr">
        <is>
          <t>Load_TR2_F5_33</t>
        </is>
      </c>
      <c r="B57" s="15" t="inlineStr">
        <is>
          <t>prosumer</t>
        </is>
      </c>
      <c r="C57" s="20" t="n">
        <v>0</v>
      </c>
      <c r="D57" s="20" t="n">
        <v>0</v>
      </c>
      <c r="E57" s="20" t="n">
        <v>0</v>
      </c>
      <c r="F57" s="20" t="n">
        <v>0</v>
      </c>
      <c r="G57" s="20" t="n">
        <v>0</v>
      </c>
      <c r="H57" s="20" t="n">
        <v>0</v>
      </c>
      <c r="I57" s="20" t="n">
        <v>0</v>
      </c>
      <c r="J57" s="20" t="n">
        <v>0.0022</v>
      </c>
      <c r="K57" s="20" t="n">
        <v>0.0311</v>
      </c>
      <c r="L57" s="20" t="n">
        <v>0.1454</v>
      </c>
      <c r="M57" s="20" t="n">
        <v>0.2883</v>
      </c>
      <c r="N57" s="20" t="n">
        <v>0.4637</v>
      </c>
      <c r="O57" s="20" t="n">
        <v>0.6549</v>
      </c>
      <c r="P57" s="20" t="n">
        <v>0.8486</v>
      </c>
      <c r="Q57" s="20" t="n">
        <v>1.0412</v>
      </c>
      <c r="R57" s="20" t="n">
        <v>1.2341</v>
      </c>
      <c r="S57" s="20" t="n">
        <v>1.4152</v>
      </c>
      <c r="T57" s="20" t="n">
        <v>1.5854</v>
      </c>
      <c r="U57" s="20" t="n">
        <v>1.7304</v>
      </c>
      <c r="V57" s="20" t="n">
        <v>1.854</v>
      </c>
      <c r="W57" s="20" t="n">
        <v>1.9625</v>
      </c>
      <c r="X57" s="20" t="n">
        <v>2.0521</v>
      </c>
      <c r="Y57" s="20" t="n">
        <v>2.1156</v>
      </c>
      <c r="Z57" s="20" t="n">
        <v>2.1435</v>
      </c>
      <c r="AA57" s="20" t="n">
        <v>2.1516</v>
      </c>
      <c r="AB57" s="20" t="n">
        <v>2.1365</v>
      </c>
      <c r="AC57" s="20" t="n">
        <v>2.0857</v>
      </c>
      <c r="AD57" s="20" t="n">
        <v>2.0083</v>
      </c>
      <c r="AE57" s="20" t="n">
        <v>1.9159</v>
      </c>
      <c r="AF57" s="20" t="n">
        <v>1.7989</v>
      </c>
      <c r="AG57" s="20" t="n">
        <v>1.6745</v>
      </c>
      <c r="AH57" s="20" t="n">
        <v>1.5247</v>
      </c>
      <c r="AI57" s="20" t="n">
        <v>1.3561</v>
      </c>
      <c r="AJ57" s="20" t="n">
        <v>1.1525</v>
      </c>
      <c r="AK57" s="20" t="n">
        <v>0.962</v>
      </c>
      <c r="AL57" s="20" t="n">
        <v>0.7662</v>
      </c>
      <c r="AM57" s="20" t="n">
        <v>0.5768</v>
      </c>
      <c r="AN57" s="20" t="n">
        <v>0.3942</v>
      </c>
      <c r="AO57" s="20" t="n">
        <v>0.2302</v>
      </c>
      <c r="AP57" s="20" t="n">
        <v>0.067</v>
      </c>
      <c r="AQ57" s="20" t="n">
        <v>0.0124</v>
      </c>
      <c r="AR57" s="20" t="n">
        <v>0</v>
      </c>
      <c r="AS57" s="20" t="n">
        <v>0</v>
      </c>
      <c r="AT57" s="20" t="n">
        <v>0</v>
      </c>
      <c r="AU57" s="20" t="n">
        <v>0</v>
      </c>
      <c r="AV57" s="20" t="n">
        <v>0</v>
      </c>
      <c r="AW57" s="20" t="n">
        <v>0</v>
      </c>
      <c r="AX57" s="20" t="n">
        <v>0</v>
      </c>
    </row>
    <row r="58">
      <c r="A58" s="10" t="inlineStr">
        <is>
          <t>Load_TR2_F5_34</t>
        </is>
      </c>
      <c r="B58" s="12" t="inlineStr">
        <is>
          <t>customer</t>
        </is>
      </c>
      <c r="C58" s="18" t="n">
        <v>0</v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18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0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s="18" t="n">
        <v>0</v>
      </c>
      <c r="AD58" s="18" t="n">
        <v>0</v>
      </c>
      <c r="AE58" s="18" t="n">
        <v>0</v>
      </c>
      <c r="AF58" s="18" t="n">
        <v>0</v>
      </c>
      <c r="AG58" s="18" t="n">
        <v>0</v>
      </c>
      <c r="AH58" s="18" t="n">
        <v>0</v>
      </c>
      <c r="AI58" s="18" t="n">
        <v>0</v>
      </c>
      <c r="AJ58" s="18" t="n">
        <v>0</v>
      </c>
      <c r="AK58" s="18" t="n">
        <v>0</v>
      </c>
      <c r="AL58" s="18" t="n">
        <v>0</v>
      </c>
      <c r="AM58" s="18" t="n">
        <v>0</v>
      </c>
      <c r="AN58" s="18" t="n">
        <v>0</v>
      </c>
      <c r="AO58" s="18" t="n">
        <v>0</v>
      </c>
      <c r="AP58" s="18" t="n">
        <v>0</v>
      </c>
      <c r="AQ58" s="18" t="n">
        <v>0</v>
      </c>
      <c r="AR58" s="18" t="n">
        <v>0</v>
      </c>
      <c r="AS58" s="18" t="n">
        <v>0</v>
      </c>
      <c r="AT58" s="18" t="n">
        <v>0</v>
      </c>
      <c r="AU58" s="18" t="n">
        <v>0</v>
      </c>
      <c r="AV58" s="18" t="n">
        <v>0</v>
      </c>
      <c r="AW58" s="18" t="n">
        <v>0</v>
      </c>
      <c r="AX58" s="18" t="n">
        <v>0</v>
      </c>
    </row>
    <row r="59">
      <c r="A59" s="19" t="inlineStr">
        <is>
          <t>Load_TR2_F5_35</t>
        </is>
      </c>
      <c r="B59" s="15" t="inlineStr">
        <is>
          <t>prosumer</t>
        </is>
      </c>
      <c r="C59" s="20" t="n">
        <v>0</v>
      </c>
      <c r="D59" s="20" t="n">
        <v>0</v>
      </c>
      <c r="E59" s="20" t="n">
        <v>0</v>
      </c>
      <c r="F59" s="20" t="n">
        <v>0</v>
      </c>
      <c r="G59" s="20" t="n">
        <v>0</v>
      </c>
      <c r="H59" s="20" t="n">
        <v>0</v>
      </c>
      <c r="I59" s="20" t="n">
        <v>0</v>
      </c>
      <c r="J59" s="20" t="n">
        <v>0.0013</v>
      </c>
      <c r="K59" s="20" t="n">
        <v>0.0187</v>
      </c>
      <c r="L59" s="20" t="n">
        <v>0.0872</v>
      </c>
      <c r="M59" s="20" t="n">
        <v>0.173</v>
      </c>
      <c r="N59" s="20" t="n">
        <v>0.2782</v>
      </c>
      <c r="O59" s="20" t="n">
        <v>0.393</v>
      </c>
      <c r="P59" s="20" t="n">
        <v>0.5092</v>
      </c>
      <c r="Q59" s="20" t="n">
        <v>0.6247</v>
      </c>
      <c r="R59" s="20" t="n">
        <v>0.7405</v>
      </c>
      <c r="S59" s="20" t="n">
        <v>0.8491</v>
      </c>
      <c r="T59" s="20" t="n">
        <v>0.9512</v>
      </c>
      <c r="U59" s="20" t="n">
        <v>1.0382</v>
      </c>
      <c r="V59" s="20" t="n">
        <v>1.1124</v>
      </c>
      <c r="W59" s="20" t="n">
        <v>1.1775</v>
      </c>
      <c r="X59" s="20" t="n">
        <v>1.2312</v>
      </c>
      <c r="Y59" s="20" t="n">
        <v>1.2694</v>
      </c>
      <c r="Z59" s="20" t="n">
        <v>1.2861</v>
      </c>
      <c r="AA59" s="20" t="n">
        <v>1.2909</v>
      </c>
      <c r="AB59" s="20" t="n">
        <v>1.2819</v>
      </c>
      <c r="AC59" s="20" t="n">
        <v>1.2514</v>
      </c>
      <c r="AD59" s="20" t="n">
        <v>1.205</v>
      </c>
      <c r="AE59" s="20" t="n">
        <v>1.1496</v>
      </c>
      <c r="AF59" s="20" t="n">
        <v>1.0793</v>
      </c>
      <c r="AG59" s="20" t="n">
        <v>1.0047</v>
      </c>
      <c r="AH59" s="20" t="n">
        <v>0.9147999999999999</v>
      </c>
      <c r="AI59" s="20" t="n">
        <v>0.8137</v>
      </c>
      <c r="AJ59" s="20" t="n">
        <v>0.6915</v>
      </c>
      <c r="AK59" s="20" t="n">
        <v>0.5772</v>
      </c>
      <c r="AL59" s="20" t="n">
        <v>0.4597</v>
      </c>
      <c r="AM59" s="20" t="n">
        <v>0.3461</v>
      </c>
      <c r="AN59" s="20" t="n">
        <v>0.2365</v>
      </c>
      <c r="AO59" s="20" t="n">
        <v>0.1381</v>
      </c>
      <c r="AP59" s="20" t="n">
        <v>0.0402</v>
      </c>
      <c r="AQ59" s="20" t="n">
        <v>0.0074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</row>
    <row r="60">
      <c r="A60" s="10" t="inlineStr">
        <is>
          <t>Load_TR2_F5_36</t>
        </is>
      </c>
      <c r="B60" s="12" t="inlineStr">
        <is>
          <t>customer</t>
        </is>
      </c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0</v>
      </c>
      <c r="I60" s="18" t="n">
        <v>0</v>
      </c>
      <c r="J60" s="18" t="n">
        <v>0</v>
      </c>
      <c r="K60" s="18" t="n">
        <v>0</v>
      </c>
      <c r="L60" s="18" t="n">
        <v>0</v>
      </c>
      <c r="M60" s="18" t="n">
        <v>0</v>
      </c>
      <c r="N60" s="18" t="n">
        <v>0</v>
      </c>
      <c r="O60" s="18" t="n">
        <v>0</v>
      </c>
      <c r="P60" s="18" t="n">
        <v>0</v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n">
        <v>0</v>
      </c>
      <c r="W60" s="18" t="n">
        <v>0</v>
      </c>
      <c r="X60" s="18" t="n">
        <v>0</v>
      </c>
      <c r="Y60" s="18" t="n">
        <v>0</v>
      </c>
      <c r="Z60" s="18" t="n">
        <v>0</v>
      </c>
      <c r="AA60" s="18" t="n">
        <v>0</v>
      </c>
      <c r="AB60" s="18" t="n">
        <v>0</v>
      </c>
      <c r="AC60" s="18" t="n">
        <v>0</v>
      </c>
      <c r="AD60" s="18" t="n">
        <v>0</v>
      </c>
      <c r="AE60" s="18" t="n">
        <v>0</v>
      </c>
      <c r="AF60" s="18" t="n">
        <v>0</v>
      </c>
      <c r="AG60" s="18" t="n">
        <v>0</v>
      </c>
      <c r="AH60" s="18" t="n">
        <v>0</v>
      </c>
      <c r="AI60" s="18" t="n">
        <v>0</v>
      </c>
      <c r="AJ60" s="18" t="n">
        <v>0</v>
      </c>
      <c r="AK60" s="18" t="n">
        <v>0</v>
      </c>
      <c r="AL60" s="18" t="n">
        <v>0</v>
      </c>
      <c r="AM60" s="18" t="n">
        <v>0</v>
      </c>
      <c r="AN60" s="18" t="n">
        <v>0</v>
      </c>
      <c r="AO60" s="18" t="n">
        <v>0</v>
      </c>
      <c r="AP60" s="18" t="n">
        <v>0</v>
      </c>
      <c r="AQ60" s="18" t="n">
        <v>0</v>
      </c>
      <c r="AR60" s="18" t="n">
        <v>0</v>
      </c>
      <c r="AS60" s="18" t="n">
        <v>0</v>
      </c>
      <c r="AT60" s="18" t="n">
        <v>0</v>
      </c>
      <c r="AU60" s="18" t="n">
        <v>0</v>
      </c>
      <c r="AV60" s="18" t="n">
        <v>0</v>
      </c>
      <c r="AW60" s="18" t="n">
        <v>0</v>
      </c>
      <c r="AX60" s="18" t="n">
        <v>0</v>
      </c>
    </row>
    <row r="61">
      <c r="A61" s="10" t="inlineStr">
        <is>
          <t>Load_TR2_F5_37</t>
        </is>
      </c>
      <c r="B61" s="12" t="inlineStr">
        <is>
          <t>customer</t>
        </is>
      </c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0</v>
      </c>
      <c r="M61" s="18" t="n">
        <v>0</v>
      </c>
      <c r="N61" s="18" t="n">
        <v>0</v>
      </c>
      <c r="O61" s="18" t="n">
        <v>0</v>
      </c>
      <c r="P61" s="18" t="n">
        <v>0</v>
      </c>
      <c r="Q61" s="18" t="n">
        <v>0</v>
      </c>
      <c r="R61" s="18" t="n">
        <v>0</v>
      </c>
      <c r="S61" s="18" t="n">
        <v>0</v>
      </c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0</v>
      </c>
      <c r="Y61" s="18" t="n">
        <v>0</v>
      </c>
      <c r="Z61" s="18" t="n">
        <v>0</v>
      </c>
      <c r="AA61" s="18" t="n">
        <v>0</v>
      </c>
      <c r="AB61" s="18" t="n">
        <v>0</v>
      </c>
      <c r="AC61" s="18" t="n">
        <v>0</v>
      </c>
      <c r="AD61" s="18" t="n">
        <v>0</v>
      </c>
      <c r="AE61" s="18" t="n">
        <v>0</v>
      </c>
      <c r="AF61" s="18" t="n">
        <v>0</v>
      </c>
      <c r="AG61" s="18" t="n">
        <v>0</v>
      </c>
      <c r="AH61" s="18" t="n">
        <v>0</v>
      </c>
      <c r="AI61" s="18" t="n">
        <v>0</v>
      </c>
      <c r="AJ61" s="18" t="n">
        <v>0</v>
      </c>
      <c r="AK61" s="18" t="n">
        <v>0</v>
      </c>
      <c r="AL61" s="18" t="n">
        <v>0</v>
      </c>
      <c r="AM61" s="18" t="n">
        <v>0</v>
      </c>
      <c r="AN61" s="18" t="n">
        <v>0</v>
      </c>
      <c r="AO61" s="18" t="n">
        <v>0</v>
      </c>
      <c r="AP61" s="18" t="n">
        <v>0</v>
      </c>
      <c r="AQ61" s="18" t="n">
        <v>0</v>
      </c>
      <c r="AR61" s="18" t="n">
        <v>0</v>
      </c>
      <c r="AS61" s="18" t="n">
        <v>0</v>
      </c>
      <c r="AT61" s="18" t="n">
        <v>0</v>
      </c>
      <c r="AU61" s="18" t="n">
        <v>0</v>
      </c>
      <c r="AV61" s="18" t="n">
        <v>0</v>
      </c>
      <c r="AW61" s="18" t="n">
        <v>0</v>
      </c>
      <c r="AX61" s="18" t="n">
        <v>0</v>
      </c>
    </row>
    <row r="62">
      <c r="A62" s="19" t="inlineStr">
        <is>
          <t>Load_TR2_F5_38</t>
        </is>
      </c>
      <c r="B62" s="15" t="inlineStr">
        <is>
          <t>prosumer</t>
        </is>
      </c>
      <c r="C62" s="20" t="n">
        <v>0</v>
      </c>
      <c r="D62" s="20" t="n">
        <v>0</v>
      </c>
      <c r="E62" s="20" t="n">
        <v>0</v>
      </c>
      <c r="F62" s="20" t="n">
        <v>0</v>
      </c>
      <c r="G62" s="20" t="n">
        <v>0</v>
      </c>
      <c r="H62" s="20" t="n">
        <v>0</v>
      </c>
      <c r="I62" s="20" t="n">
        <v>0</v>
      </c>
      <c r="J62" s="20" t="n">
        <v>0.0013</v>
      </c>
      <c r="K62" s="20" t="n">
        <v>0.0187</v>
      </c>
      <c r="L62" s="20" t="n">
        <v>0.0872</v>
      </c>
      <c r="M62" s="20" t="n">
        <v>0.173</v>
      </c>
      <c r="N62" s="20" t="n">
        <v>0.2782</v>
      </c>
      <c r="O62" s="20" t="n">
        <v>0.393</v>
      </c>
      <c r="P62" s="20" t="n">
        <v>0.5092</v>
      </c>
      <c r="Q62" s="20" t="n">
        <v>0.6247</v>
      </c>
      <c r="R62" s="20" t="n">
        <v>0.7405</v>
      </c>
      <c r="S62" s="20" t="n">
        <v>0.8491</v>
      </c>
      <c r="T62" s="20" t="n">
        <v>0.9512</v>
      </c>
      <c r="U62" s="20" t="n">
        <v>1.0382</v>
      </c>
      <c r="V62" s="20" t="n">
        <v>1.1124</v>
      </c>
      <c r="W62" s="20" t="n">
        <v>1.1775</v>
      </c>
      <c r="X62" s="20" t="n">
        <v>1.2312</v>
      </c>
      <c r="Y62" s="20" t="n">
        <v>1.2694</v>
      </c>
      <c r="Z62" s="20" t="n">
        <v>1.2861</v>
      </c>
      <c r="AA62" s="20" t="n">
        <v>1.2909</v>
      </c>
      <c r="AB62" s="20" t="n">
        <v>1.2819</v>
      </c>
      <c r="AC62" s="20" t="n">
        <v>1.2514</v>
      </c>
      <c r="AD62" s="20" t="n">
        <v>1.205</v>
      </c>
      <c r="AE62" s="20" t="n">
        <v>1.1496</v>
      </c>
      <c r="AF62" s="20" t="n">
        <v>1.0793</v>
      </c>
      <c r="AG62" s="20" t="n">
        <v>1.0047</v>
      </c>
      <c r="AH62" s="20" t="n">
        <v>0.9147999999999999</v>
      </c>
      <c r="AI62" s="20" t="n">
        <v>0.8137</v>
      </c>
      <c r="AJ62" s="20" t="n">
        <v>0.6915</v>
      </c>
      <c r="AK62" s="20" t="n">
        <v>0.5772</v>
      </c>
      <c r="AL62" s="20" t="n">
        <v>0.4597</v>
      </c>
      <c r="AM62" s="20" t="n">
        <v>0.3461</v>
      </c>
      <c r="AN62" s="20" t="n">
        <v>0.2365</v>
      </c>
      <c r="AO62" s="20" t="n">
        <v>0.1381</v>
      </c>
      <c r="AP62" s="20" t="n">
        <v>0.0402</v>
      </c>
      <c r="AQ62" s="20" t="n">
        <v>0.0074</v>
      </c>
      <c r="AR62" s="20" t="n">
        <v>0</v>
      </c>
      <c r="AS62" s="20" t="n">
        <v>0</v>
      </c>
      <c r="AT62" s="20" t="n">
        <v>0</v>
      </c>
      <c r="AU62" s="20" t="n">
        <v>0</v>
      </c>
      <c r="AV62" s="20" t="n">
        <v>0</v>
      </c>
      <c r="AW62" s="20" t="n">
        <v>0</v>
      </c>
      <c r="AX62" s="20" t="n">
        <v>0</v>
      </c>
    </row>
    <row r="63">
      <c r="A63" s="10" t="inlineStr">
        <is>
          <t>Load_TR2_F5_39</t>
        </is>
      </c>
      <c r="B63" s="12" t="inlineStr">
        <is>
          <t>customer</t>
        </is>
      </c>
      <c r="C63" s="18" t="n">
        <v>0</v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0</v>
      </c>
      <c r="N63" s="18" t="n">
        <v>0</v>
      </c>
      <c r="O63" s="18" t="n">
        <v>0</v>
      </c>
      <c r="P63" s="18" t="n">
        <v>0</v>
      </c>
      <c r="Q63" s="18" t="n">
        <v>0</v>
      </c>
      <c r="R63" s="18" t="n">
        <v>0</v>
      </c>
      <c r="S63" s="18" t="n">
        <v>0</v>
      </c>
      <c r="T63" s="18" t="n">
        <v>0</v>
      </c>
      <c r="U63" s="18" t="n">
        <v>0</v>
      </c>
      <c r="V63" s="18" t="n">
        <v>0</v>
      </c>
      <c r="W63" s="18" t="n">
        <v>0</v>
      </c>
      <c r="X63" s="18" t="n">
        <v>0</v>
      </c>
      <c r="Y63" s="18" t="n">
        <v>0</v>
      </c>
      <c r="Z63" s="18" t="n">
        <v>0</v>
      </c>
      <c r="AA63" s="18" t="n">
        <v>0</v>
      </c>
      <c r="AB63" s="18" t="n">
        <v>0</v>
      </c>
      <c r="AC63" s="18" t="n">
        <v>0</v>
      </c>
      <c r="AD63" s="18" t="n">
        <v>0</v>
      </c>
      <c r="AE63" s="18" t="n">
        <v>0</v>
      </c>
      <c r="AF63" s="18" t="n">
        <v>0</v>
      </c>
      <c r="AG63" s="18" t="n">
        <v>0</v>
      </c>
      <c r="AH63" s="18" t="n">
        <v>0</v>
      </c>
      <c r="AI63" s="18" t="n">
        <v>0</v>
      </c>
      <c r="AJ63" s="18" t="n">
        <v>0</v>
      </c>
      <c r="AK63" s="18" t="n">
        <v>0</v>
      </c>
      <c r="AL63" s="18" t="n">
        <v>0</v>
      </c>
      <c r="AM63" s="18" t="n">
        <v>0</v>
      </c>
      <c r="AN63" s="18" t="n">
        <v>0</v>
      </c>
      <c r="AO63" s="18" t="n">
        <v>0</v>
      </c>
      <c r="AP63" s="18" t="n">
        <v>0</v>
      </c>
      <c r="AQ63" s="18" t="n">
        <v>0</v>
      </c>
      <c r="AR63" s="18" t="n">
        <v>0</v>
      </c>
      <c r="AS63" s="18" t="n">
        <v>0</v>
      </c>
      <c r="AT63" s="18" t="n">
        <v>0</v>
      </c>
      <c r="AU63" s="18" t="n">
        <v>0</v>
      </c>
      <c r="AV63" s="18" t="n">
        <v>0</v>
      </c>
      <c r="AW63" s="18" t="n">
        <v>0</v>
      </c>
      <c r="AX63" s="18" t="n">
        <v>0</v>
      </c>
    </row>
    <row r="64">
      <c r="A64" s="10" t="inlineStr">
        <is>
          <t>Load_TR2_F5_4</t>
        </is>
      </c>
      <c r="B64" s="12" t="inlineStr">
        <is>
          <t>customer</t>
        </is>
      </c>
      <c r="C64" s="18" t="n">
        <v>0</v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0</v>
      </c>
      <c r="Q64" s="18" t="n">
        <v>0</v>
      </c>
      <c r="R64" s="18" t="n">
        <v>0</v>
      </c>
      <c r="S64" s="18" t="n">
        <v>0</v>
      </c>
      <c r="T64" s="18" t="n">
        <v>0</v>
      </c>
      <c r="U64" s="18" t="n">
        <v>0</v>
      </c>
      <c r="V64" s="18" t="n">
        <v>0</v>
      </c>
      <c r="W64" s="18" t="n">
        <v>0</v>
      </c>
      <c r="X64" s="18" t="n">
        <v>0</v>
      </c>
      <c r="Y64" s="18" t="n">
        <v>0</v>
      </c>
      <c r="Z64" s="18" t="n">
        <v>0</v>
      </c>
      <c r="AA64" s="18" t="n">
        <v>0</v>
      </c>
      <c r="AB64" s="18" t="n">
        <v>0</v>
      </c>
      <c r="AC64" s="18" t="n">
        <v>0</v>
      </c>
      <c r="AD64" s="18" t="n">
        <v>0</v>
      </c>
      <c r="AE64" s="18" t="n">
        <v>0</v>
      </c>
      <c r="AF64" s="18" t="n">
        <v>0</v>
      </c>
      <c r="AG64" s="18" t="n">
        <v>0</v>
      </c>
      <c r="AH64" s="18" t="n">
        <v>0</v>
      </c>
      <c r="AI64" s="18" t="n">
        <v>0</v>
      </c>
      <c r="AJ64" s="18" t="n">
        <v>0</v>
      </c>
      <c r="AK64" s="18" t="n">
        <v>0</v>
      </c>
      <c r="AL64" s="18" t="n">
        <v>0</v>
      </c>
      <c r="AM64" s="18" t="n">
        <v>0</v>
      </c>
      <c r="AN64" s="18" t="n">
        <v>0</v>
      </c>
      <c r="AO64" s="18" t="n">
        <v>0</v>
      </c>
      <c r="AP64" s="18" t="n">
        <v>0</v>
      </c>
      <c r="AQ64" s="18" t="n">
        <v>0</v>
      </c>
      <c r="AR64" s="18" t="n">
        <v>0</v>
      </c>
      <c r="AS64" s="18" t="n">
        <v>0</v>
      </c>
      <c r="AT64" s="18" t="n">
        <v>0</v>
      </c>
      <c r="AU64" s="18" t="n">
        <v>0</v>
      </c>
      <c r="AV64" s="18" t="n">
        <v>0</v>
      </c>
      <c r="AW64" s="18" t="n">
        <v>0</v>
      </c>
      <c r="AX64" s="18" t="n">
        <v>0</v>
      </c>
    </row>
    <row r="65">
      <c r="A65" s="19" t="inlineStr">
        <is>
          <t>Load_TR2_F5_40</t>
        </is>
      </c>
      <c r="B65" s="15" t="inlineStr">
        <is>
          <t>prosumer</t>
        </is>
      </c>
      <c r="C65" s="20" t="n">
        <v>0</v>
      </c>
      <c r="D65" s="20" t="n">
        <v>0</v>
      </c>
      <c r="E65" s="20" t="n">
        <v>0</v>
      </c>
      <c r="F65" s="20" t="n">
        <v>0</v>
      </c>
      <c r="G65" s="20" t="n">
        <v>0</v>
      </c>
      <c r="H65" s="20" t="n">
        <v>0</v>
      </c>
      <c r="I65" s="20" t="n">
        <v>0</v>
      </c>
      <c r="J65" s="20" t="n">
        <v>0.0017</v>
      </c>
      <c r="K65" s="20" t="n">
        <v>0.0249</v>
      </c>
      <c r="L65" s="20" t="n">
        <v>0.1163</v>
      </c>
      <c r="M65" s="20" t="n">
        <v>0.2307</v>
      </c>
      <c r="N65" s="20" t="n">
        <v>0.3709</v>
      </c>
      <c r="O65" s="20" t="n">
        <v>0.524</v>
      </c>
      <c r="P65" s="20" t="n">
        <v>0.6788999999999999</v>
      </c>
      <c r="Q65" s="20" t="n">
        <v>0.833</v>
      </c>
      <c r="R65" s="20" t="n">
        <v>0.9873</v>
      </c>
      <c r="S65" s="20" t="n">
        <v>1.1322</v>
      </c>
      <c r="T65" s="20" t="n">
        <v>1.2683</v>
      </c>
      <c r="U65" s="20" t="n">
        <v>1.3843</v>
      </c>
      <c r="V65" s="20" t="n">
        <v>1.4832</v>
      </c>
      <c r="W65" s="20" t="n">
        <v>1.57</v>
      </c>
      <c r="X65" s="20" t="n">
        <v>1.6417</v>
      </c>
      <c r="Y65" s="20" t="n">
        <v>1.6925</v>
      </c>
      <c r="Z65" s="20" t="n">
        <v>1.7148</v>
      </c>
      <c r="AA65" s="20" t="n">
        <v>1.7212</v>
      </c>
      <c r="AB65" s="20" t="n">
        <v>1.7092</v>
      </c>
      <c r="AC65" s="20" t="n">
        <v>1.6686</v>
      </c>
      <c r="AD65" s="20" t="n">
        <v>1.6067</v>
      </c>
      <c r="AE65" s="20" t="n">
        <v>1.5328</v>
      </c>
      <c r="AF65" s="20" t="n">
        <v>1.4391</v>
      </c>
      <c r="AG65" s="20" t="n">
        <v>1.3396</v>
      </c>
      <c r="AH65" s="20" t="n">
        <v>1.2198</v>
      </c>
      <c r="AI65" s="20" t="n">
        <v>1.0849</v>
      </c>
      <c r="AJ65" s="20" t="n">
        <v>0.922</v>
      </c>
      <c r="AK65" s="20" t="n">
        <v>0.7696</v>
      </c>
      <c r="AL65" s="20" t="n">
        <v>0.613</v>
      </c>
      <c r="AM65" s="20" t="n">
        <v>0.4615</v>
      </c>
      <c r="AN65" s="20" t="n">
        <v>0.3154</v>
      </c>
      <c r="AO65" s="20" t="n">
        <v>0.1842</v>
      </c>
      <c r="AP65" s="20" t="n">
        <v>0.0536</v>
      </c>
      <c r="AQ65" s="20" t="n">
        <v>0.009900000000000001</v>
      </c>
      <c r="AR65" s="20" t="n">
        <v>0</v>
      </c>
      <c r="AS65" s="20" t="n">
        <v>0</v>
      </c>
      <c r="AT65" s="20" t="n">
        <v>0</v>
      </c>
      <c r="AU65" s="20" t="n">
        <v>0</v>
      </c>
      <c r="AV65" s="20" t="n">
        <v>0</v>
      </c>
      <c r="AW65" s="20" t="n">
        <v>0</v>
      </c>
      <c r="AX65" s="20" t="n">
        <v>0</v>
      </c>
    </row>
    <row r="66">
      <c r="A66" s="10" t="inlineStr">
        <is>
          <t>Load_TR2_F5_41</t>
        </is>
      </c>
      <c r="B66" s="12" t="inlineStr">
        <is>
          <t>customer</t>
        </is>
      </c>
      <c r="C66" s="18" t="n">
        <v>0</v>
      </c>
      <c r="D66" s="18" t="n">
        <v>0</v>
      </c>
      <c r="E66" s="18" t="n">
        <v>0</v>
      </c>
      <c r="F66" s="18" t="n">
        <v>0</v>
      </c>
      <c r="G66" s="18" t="n">
        <v>0</v>
      </c>
      <c r="H66" s="18" t="n">
        <v>0</v>
      </c>
      <c r="I66" s="18" t="n">
        <v>0</v>
      </c>
      <c r="J66" s="18" t="n">
        <v>0</v>
      </c>
      <c r="K66" s="18" t="n">
        <v>0</v>
      </c>
      <c r="L66" s="18" t="n">
        <v>0</v>
      </c>
      <c r="M66" s="18" t="n">
        <v>0</v>
      </c>
      <c r="N66" s="18" t="n">
        <v>0</v>
      </c>
      <c r="O66" s="18" t="n">
        <v>0</v>
      </c>
      <c r="P66" s="18" t="n">
        <v>0</v>
      </c>
      <c r="Q66" s="18" t="n">
        <v>0</v>
      </c>
      <c r="R66" s="18" t="n">
        <v>0</v>
      </c>
      <c r="S66" s="18" t="n">
        <v>0</v>
      </c>
      <c r="T66" s="18" t="n">
        <v>0</v>
      </c>
      <c r="U66" s="18" t="n">
        <v>0</v>
      </c>
      <c r="V66" s="18" t="n">
        <v>0</v>
      </c>
      <c r="W66" s="18" t="n">
        <v>0</v>
      </c>
      <c r="X66" s="18" t="n">
        <v>0</v>
      </c>
      <c r="Y66" s="18" t="n">
        <v>0</v>
      </c>
      <c r="Z66" s="18" t="n">
        <v>0</v>
      </c>
      <c r="AA66" s="18" t="n">
        <v>0</v>
      </c>
      <c r="AB66" s="18" t="n">
        <v>0</v>
      </c>
      <c r="AC66" s="18" t="n">
        <v>0</v>
      </c>
      <c r="AD66" s="18" t="n">
        <v>0</v>
      </c>
      <c r="AE66" s="18" t="n">
        <v>0</v>
      </c>
      <c r="AF66" s="18" t="n">
        <v>0</v>
      </c>
      <c r="AG66" s="18" t="n">
        <v>0</v>
      </c>
      <c r="AH66" s="18" t="n">
        <v>0</v>
      </c>
      <c r="AI66" s="18" t="n">
        <v>0</v>
      </c>
      <c r="AJ66" s="18" t="n">
        <v>0</v>
      </c>
      <c r="AK66" s="18" t="n">
        <v>0</v>
      </c>
      <c r="AL66" s="18" t="n">
        <v>0</v>
      </c>
      <c r="AM66" s="18" t="n">
        <v>0</v>
      </c>
      <c r="AN66" s="18" t="n">
        <v>0</v>
      </c>
      <c r="AO66" s="18" t="n">
        <v>0</v>
      </c>
      <c r="AP66" s="18" t="n">
        <v>0</v>
      </c>
      <c r="AQ66" s="18" t="n">
        <v>0</v>
      </c>
      <c r="AR66" s="18" t="n">
        <v>0</v>
      </c>
      <c r="AS66" s="18" t="n">
        <v>0</v>
      </c>
      <c r="AT66" s="18" t="n">
        <v>0</v>
      </c>
      <c r="AU66" s="18" t="n">
        <v>0</v>
      </c>
      <c r="AV66" s="18" t="n">
        <v>0</v>
      </c>
      <c r="AW66" s="18" t="n">
        <v>0</v>
      </c>
      <c r="AX66" s="18" t="n">
        <v>0</v>
      </c>
    </row>
    <row r="67">
      <c r="A67" s="19" t="inlineStr">
        <is>
          <t>Load_TR2_F5_42</t>
        </is>
      </c>
      <c r="B67" s="15" t="inlineStr">
        <is>
          <t>prosumer</t>
        </is>
      </c>
      <c r="C67" s="20" t="n">
        <v>0</v>
      </c>
      <c r="D67" s="20" t="n">
        <v>0</v>
      </c>
      <c r="E67" s="20" t="n">
        <v>0</v>
      </c>
      <c r="F67" s="20" t="n">
        <v>0</v>
      </c>
      <c r="G67" s="20" t="n">
        <v>0</v>
      </c>
      <c r="H67" s="20" t="n">
        <v>0</v>
      </c>
      <c r="I67" s="20" t="n">
        <v>0</v>
      </c>
      <c r="J67" s="20" t="n">
        <v>0.0013</v>
      </c>
      <c r="K67" s="20" t="n">
        <v>0.0187</v>
      </c>
      <c r="L67" s="20" t="n">
        <v>0.0872</v>
      </c>
      <c r="M67" s="20" t="n">
        <v>0.173</v>
      </c>
      <c r="N67" s="20" t="n">
        <v>0.2782</v>
      </c>
      <c r="O67" s="20" t="n">
        <v>0.393</v>
      </c>
      <c r="P67" s="20" t="n">
        <v>0.5092</v>
      </c>
      <c r="Q67" s="20" t="n">
        <v>0.6247</v>
      </c>
      <c r="R67" s="20" t="n">
        <v>0.7405</v>
      </c>
      <c r="S67" s="20" t="n">
        <v>0.8491</v>
      </c>
      <c r="T67" s="20" t="n">
        <v>0.9512</v>
      </c>
      <c r="U67" s="20" t="n">
        <v>1.0382</v>
      </c>
      <c r="V67" s="20" t="n">
        <v>1.1124</v>
      </c>
      <c r="W67" s="20" t="n">
        <v>1.1775</v>
      </c>
      <c r="X67" s="20" t="n">
        <v>1.2312</v>
      </c>
      <c r="Y67" s="20" t="n">
        <v>1.2694</v>
      </c>
      <c r="Z67" s="20" t="n">
        <v>1.2861</v>
      </c>
      <c r="AA67" s="20" t="n">
        <v>1.2909</v>
      </c>
      <c r="AB67" s="20" t="n">
        <v>1.2819</v>
      </c>
      <c r="AC67" s="20" t="n">
        <v>1.2514</v>
      </c>
      <c r="AD67" s="20" t="n">
        <v>1.205</v>
      </c>
      <c r="AE67" s="20" t="n">
        <v>1.1496</v>
      </c>
      <c r="AF67" s="20" t="n">
        <v>1.0793</v>
      </c>
      <c r="AG67" s="20" t="n">
        <v>1.0047</v>
      </c>
      <c r="AH67" s="20" t="n">
        <v>0.9147999999999999</v>
      </c>
      <c r="AI67" s="20" t="n">
        <v>0.8137</v>
      </c>
      <c r="AJ67" s="20" t="n">
        <v>0.6915</v>
      </c>
      <c r="AK67" s="20" t="n">
        <v>0.5772</v>
      </c>
      <c r="AL67" s="20" t="n">
        <v>0.4597</v>
      </c>
      <c r="AM67" s="20" t="n">
        <v>0.3461</v>
      </c>
      <c r="AN67" s="20" t="n">
        <v>0.2365</v>
      </c>
      <c r="AO67" s="20" t="n">
        <v>0.1381</v>
      </c>
      <c r="AP67" s="20" t="n">
        <v>0.0402</v>
      </c>
      <c r="AQ67" s="20" t="n">
        <v>0.0074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</row>
    <row r="68">
      <c r="A68" s="10" t="inlineStr">
        <is>
          <t>Load_TR2_F5_43</t>
        </is>
      </c>
      <c r="B68" s="12" t="inlineStr">
        <is>
          <t>customer</t>
        </is>
      </c>
      <c r="C68" s="18" t="n">
        <v>0</v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  <c r="P68" s="18" t="n">
        <v>0</v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0</v>
      </c>
      <c r="Y68" s="18" t="n">
        <v>0</v>
      </c>
      <c r="Z68" s="18" t="n">
        <v>0</v>
      </c>
      <c r="AA68" s="18" t="n">
        <v>0</v>
      </c>
      <c r="AB68" s="18" t="n">
        <v>0</v>
      </c>
      <c r="AC68" s="18" t="n">
        <v>0</v>
      </c>
      <c r="AD68" s="18" t="n">
        <v>0</v>
      </c>
      <c r="AE68" s="18" t="n">
        <v>0</v>
      </c>
      <c r="AF68" s="18" t="n">
        <v>0</v>
      </c>
      <c r="AG68" s="18" t="n">
        <v>0</v>
      </c>
      <c r="AH68" s="18" t="n">
        <v>0</v>
      </c>
      <c r="AI68" s="18" t="n">
        <v>0</v>
      </c>
      <c r="AJ68" s="18" t="n">
        <v>0</v>
      </c>
      <c r="AK68" s="18" t="n">
        <v>0</v>
      </c>
      <c r="AL68" s="18" t="n">
        <v>0</v>
      </c>
      <c r="AM68" s="18" t="n">
        <v>0</v>
      </c>
      <c r="AN68" s="18" t="n">
        <v>0</v>
      </c>
      <c r="AO68" s="18" t="n">
        <v>0</v>
      </c>
      <c r="AP68" s="18" t="n">
        <v>0</v>
      </c>
      <c r="AQ68" s="18" t="n">
        <v>0</v>
      </c>
      <c r="AR68" s="18" t="n">
        <v>0</v>
      </c>
      <c r="AS68" s="18" t="n">
        <v>0</v>
      </c>
      <c r="AT68" s="18" t="n">
        <v>0</v>
      </c>
      <c r="AU68" s="18" t="n">
        <v>0</v>
      </c>
      <c r="AV68" s="18" t="n">
        <v>0</v>
      </c>
      <c r="AW68" s="18" t="n">
        <v>0</v>
      </c>
      <c r="AX68" s="18" t="n">
        <v>0</v>
      </c>
    </row>
    <row r="69">
      <c r="A69" s="19" t="inlineStr">
        <is>
          <t>Load_TR2_F5_44</t>
        </is>
      </c>
      <c r="B69" s="15" t="inlineStr">
        <is>
          <t>prosumer</t>
        </is>
      </c>
      <c r="C69" s="20" t="n">
        <v>0</v>
      </c>
      <c r="D69" s="20" t="n">
        <v>0</v>
      </c>
      <c r="E69" s="20" t="n">
        <v>0</v>
      </c>
      <c r="F69" s="20" t="n">
        <v>0</v>
      </c>
      <c r="G69" s="20" t="n">
        <v>0</v>
      </c>
      <c r="H69" s="20" t="n">
        <v>0</v>
      </c>
      <c r="I69" s="20" t="n">
        <v>0</v>
      </c>
      <c r="J69" s="20" t="n">
        <v>0.0034</v>
      </c>
      <c r="K69" s="20" t="n">
        <v>0.0497</v>
      </c>
      <c r="L69" s="20" t="n">
        <v>0.2326</v>
      </c>
      <c r="M69" s="20" t="n">
        <v>0.4613</v>
      </c>
      <c r="N69" s="20" t="n">
        <v>0.7419</v>
      </c>
      <c r="O69" s="20" t="n">
        <v>1.0479</v>
      </c>
      <c r="P69" s="20" t="n">
        <v>1.3577</v>
      </c>
      <c r="Q69" s="20" t="n">
        <v>1.666</v>
      </c>
      <c r="R69" s="20" t="n">
        <v>1.9746</v>
      </c>
      <c r="S69" s="20" t="n">
        <v>2.2643</v>
      </c>
      <c r="T69" s="20" t="n">
        <v>2.5367</v>
      </c>
      <c r="U69" s="20" t="n">
        <v>2.7686</v>
      </c>
      <c r="V69" s="20" t="n">
        <v>2.9664</v>
      </c>
      <c r="W69" s="20" t="n">
        <v>3.14</v>
      </c>
      <c r="X69" s="20" t="n">
        <v>3.2833</v>
      </c>
      <c r="Y69" s="20" t="n">
        <v>3.385</v>
      </c>
      <c r="Z69" s="20" t="n">
        <v>3.4296</v>
      </c>
      <c r="AA69" s="20" t="n">
        <v>3.4425</v>
      </c>
      <c r="AB69" s="20" t="n">
        <v>3.4183</v>
      </c>
      <c r="AC69" s="20" t="n">
        <v>3.3372</v>
      </c>
      <c r="AD69" s="20" t="n">
        <v>3.2133</v>
      </c>
      <c r="AE69" s="20" t="n">
        <v>3.0655</v>
      </c>
      <c r="AF69" s="20" t="n">
        <v>2.8782</v>
      </c>
      <c r="AG69" s="20" t="n">
        <v>2.6791</v>
      </c>
      <c r="AH69" s="20" t="n">
        <v>2.4396</v>
      </c>
      <c r="AI69" s="20" t="n">
        <v>2.1698</v>
      </c>
      <c r="AJ69" s="20" t="n">
        <v>1.8441</v>
      </c>
      <c r="AK69" s="20" t="n">
        <v>1.5392</v>
      </c>
      <c r="AL69" s="20" t="n">
        <v>1.2259</v>
      </c>
      <c r="AM69" s="20" t="n">
        <v>0.9229000000000001</v>
      </c>
      <c r="AN69" s="20" t="n">
        <v>0.6308</v>
      </c>
      <c r="AO69" s="20" t="n">
        <v>0.3683</v>
      </c>
      <c r="AP69" s="20" t="n">
        <v>0.1072</v>
      </c>
      <c r="AQ69" s="20" t="n">
        <v>0.0198</v>
      </c>
      <c r="AR69" s="20" t="n">
        <v>0</v>
      </c>
      <c r="AS69" s="20" t="n">
        <v>0</v>
      </c>
      <c r="AT69" s="20" t="n">
        <v>0</v>
      </c>
      <c r="AU69" s="20" t="n">
        <v>0</v>
      </c>
      <c r="AV69" s="20" t="n">
        <v>0</v>
      </c>
      <c r="AW69" s="20" t="n">
        <v>0</v>
      </c>
      <c r="AX69" s="20" t="n">
        <v>0</v>
      </c>
    </row>
    <row r="70">
      <c r="A70" s="10" t="inlineStr">
        <is>
          <t>Load_TR2_F5_45</t>
        </is>
      </c>
      <c r="B70" s="12" t="inlineStr">
        <is>
          <t>customer</t>
        </is>
      </c>
      <c r="C70" s="18" t="n">
        <v>0</v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  <c r="Q70" s="18" t="n">
        <v>0</v>
      </c>
      <c r="R70" s="18" t="n">
        <v>0</v>
      </c>
      <c r="S70" s="18" t="n">
        <v>0</v>
      </c>
      <c r="T70" s="18" t="n">
        <v>0</v>
      </c>
      <c r="U70" s="18" t="n">
        <v>0</v>
      </c>
      <c r="V70" s="18" t="n">
        <v>0</v>
      </c>
      <c r="W70" s="18" t="n">
        <v>0</v>
      </c>
      <c r="X70" s="18" t="n">
        <v>0</v>
      </c>
      <c r="Y70" s="18" t="n">
        <v>0</v>
      </c>
      <c r="Z70" s="18" t="n">
        <v>0</v>
      </c>
      <c r="AA70" s="18" t="n">
        <v>0</v>
      </c>
      <c r="AB70" s="18" t="n">
        <v>0</v>
      </c>
      <c r="AC70" s="18" t="n">
        <v>0</v>
      </c>
      <c r="AD70" s="18" t="n">
        <v>0</v>
      </c>
      <c r="AE70" s="18" t="n">
        <v>0</v>
      </c>
      <c r="AF70" s="18" t="n">
        <v>0</v>
      </c>
      <c r="AG70" s="18" t="n">
        <v>0</v>
      </c>
      <c r="AH70" s="18" t="n">
        <v>0</v>
      </c>
      <c r="AI70" s="18" t="n">
        <v>0</v>
      </c>
      <c r="AJ70" s="18" t="n">
        <v>0</v>
      </c>
      <c r="AK70" s="18" t="n">
        <v>0</v>
      </c>
      <c r="AL70" s="18" t="n">
        <v>0</v>
      </c>
      <c r="AM70" s="18" t="n">
        <v>0</v>
      </c>
      <c r="AN70" s="18" t="n">
        <v>0</v>
      </c>
      <c r="AO70" s="18" t="n">
        <v>0</v>
      </c>
      <c r="AP70" s="18" t="n">
        <v>0</v>
      </c>
      <c r="AQ70" s="18" t="n">
        <v>0</v>
      </c>
      <c r="AR70" s="18" t="n">
        <v>0</v>
      </c>
      <c r="AS70" s="18" t="n">
        <v>0</v>
      </c>
      <c r="AT70" s="18" t="n">
        <v>0</v>
      </c>
      <c r="AU70" s="18" t="n">
        <v>0</v>
      </c>
      <c r="AV70" s="18" t="n">
        <v>0</v>
      </c>
      <c r="AW70" s="18" t="n">
        <v>0</v>
      </c>
      <c r="AX70" s="18" t="n">
        <v>0</v>
      </c>
    </row>
    <row r="71">
      <c r="A71" s="10" t="inlineStr">
        <is>
          <t>Load_TR2_F5_46</t>
        </is>
      </c>
      <c r="B71" s="12" t="inlineStr">
        <is>
          <t>customer</t>
        </is>
      </c>
      <c r="C71" s="18" t="n">
        <v>0</v>
      </c>
      <c r="D71" s="18" t="n">
        <v>0</v>
      </c>
      <c r="E71" s="18" t="n">
        <v>0</v>
      </c>
      <c r="F71" s="18" t="n">
        <v>0</v>
      </c>
      <c r="G71" s="18" t="n">
        <v>0</v>
      </c>
      <c r="H71" s="18" t="n">
        <v>0</v>
      </c>
      <c r="I71" s="18" t="n">
        <v>0</v>
      </c>
      <c r="J71" s="18" t="n">
        <v>0</v>
      </c>
      <c r="K71" s="18" t="n">
        <v>0</v>
      </c>
      <c r="L71" s="18" t="n">
        <v>0</v>
      </c>
      <c r="M71" s="18" t="n">
        <v>0</v>
      </c>
      <c r="N71" s="18" t="n">
        <v>0</v>
      </c>
      <c r="O71" s="18" t="n">
        <v>0</v>
      </c>
      <c r="P71" s="18" t="n">
        <v>0</v>
      </c>
      <c r="Q71" s="18" t="n">
        <v>0</v>
      </c>
      <c r="R71" s="18" t="n">
        <v>0</v>
      </c>
      <c r="S71" s="18" t="n">
        <v>0</v>
      </c>
      <c r="T71" s="18" t="n">
        <v>0</v>
      </c>
      <c r="U71" s="18" t="n">
        <v>0</v>
      </c>
      <c r="V71" s="18" t="n">
        <v>0</v>
      </c>
      <c r="W71" s="18" t="n">
        <v>0</v>
      </c>
      <c r="X71" s="18" t="n">
        <v>0</v>
      </c>
      <c r="Y71" s="18" t="n">
        <v>0</v>
      </c>
      <c r="Z71" s="18" t="n">
        <v>0</v>
      </c>
      <c r="AA71" s="18" t="n">
        <v>0</v>
      </c>
      <c r="AB71" s="18" t="n">
        <v>0</v>
      </c>
      <c r="AC71" s="18" t="n">
        <v>0</v>
      </c>
      <c r="AD71" s="18" t="n">
        <v>0</v>
      </c>
      <c r="AE71" s="18" t="n">
        <v>0</v>
      </c>
      <c r="AF71" s="18" t="n">
        <v>0</v>
      </c>
      <c r="AG71" s="18" t="n">
        <v>0</v>
      </c>
      <c r="AH71" s="18" t="n">
        <v>0</v>
      </c>
      <c r="AI71" s="18" t="n">
        <v>0</v>
      </c>
      <c r="AJ71" s="18" t="n">
        <v>0</v>
      </c>
      <c r="AK71" s="18" t="n">
        <v>0</v>
      </c>
      <c r="AL71" s="18" t="n">
        <v>0</v>
      </c>
      <c r="AM71" s="18" t="n">
        <v>0</v>
      </c>
      <c r="AN71" s="18" t="n">
        <v>0</v>
      </c>
      <c r="AO71" s="18" t="n">
        <v>0</v>
      </c>
      <c r="AP71" s="18" t="n">
        <v>0</v>
      </c>
      <c r="AQ71" s="18" t="n">
        <v>0</v>
      </c>
      <c r="AR71" s="18" t="n">
        <v>0</v>
      </c>
      <c r="AS71" s="18" t="n">
        <v>0</v>
      </c>
      <c r="AT71" s="18" t="n">
        <v>0</v>
      </c>
      <c r="AU71" s="18" t="n">
        <v>0</v>
      </c>
      <c r="AV71" s="18" t="n">
        <v>0</v>
      </c>
      <c r="AW71" s="18" t="n">
        <v>0</v>
      </c>
      <c r="AX71" s="18" t="n">
        <v>0</v>
      </c>
    </row>
    <row r="72">
      <c r="A72" s="10" t="inlineStr">
        <is>
          <t>Load_TR2_F5_47</t>
        </is>
      </c>
      <c r="B72" s="12" t="inlineStr">
        <is>
          <t>customer</t>
        </is>
      </c>
      <c r="C72" s="18" t="n">
        <v>0</v>
      </c>
      <c r="D72" s="18" t="n">
        <v>0</v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0</v>
      </c>
      <c r="J72" s="18" t="n">
        <v>0</v>
      </c>
      <c r="K72" s="18" t="n">
        <v>0</v>
      </c>
      <c r="L72" s="18" t="n">
        <v>0</v>
      </c>
      <c r="M72" s="18" t="n">
        <v>0</v>
      </c>
      <c r="N72" s="18" t="n">
        <v>0</v>
      </c>
      <c r="O72" s="18" t="n">
        <v>0</v>
      </c>
      <c r="P72" s="18" t="n">
        <v>0</v>
      </c>
      <c r="Q72" s="18" t="n">
        <v>0</v>
      </c>
      <c r="R72" s="18" t="n">
        <v>0</v>
      </c>
      <c r="S72" s="18" t="n">
        <v>0</v>
      </c>
      <c r="T72" s="18" t="n">
        <v>0</v>
      </c>
      <c r="U72" s="18" t="n">
        <v>0</v>
      </c>
      <c r="V72" s="18" t="n">
        <v>0</v>
      </c>
      <c r="W72" s="18" t="n">
        <v>0</v>
      </c>
      <c r="X72" s="18" t="n">
        <v>0</v>
      </c>
      <c r="Y72" s="18" t="n">
        <v>0</v>
      </c>
      <c r="Z72" s="18" t="n">
        <v>0</v>
      </c>
      <c r="AA72" s="18" t="n">
        <v>0</v>
      </c>
      <c r="AB72" s="18" t="n">
        <v>0</v>
      </c>
      <c r="AC72" s="18" t="n">
        <v>0</v>
      </c>
      <c r="AD72" s="18" t="n">
        <v>0</v>
      </c>
      <c r="AE72" s="18" t="n">
        <v>0</v>
      </c>
      <c r="AF72" s="18" t="n">
        <v>0</v>
      </c>
      <c r="AG72" s="18" t="n">
        <v>0</v>
      </c>
      <c r="AH72" s="18" t="n">
        <v>0</v>
      </c>
      <c r="AI72" s="18" t="n">
        <v>0</v>
      </c>
      <c r="AJ72" s="18" t="n">
        <v>0</v>
      </c>
      <c r="AK72" s="18" t="n">
        <v>0</v>
      </c>
      <c r="AL72" s="18" t="n">
        <v>0</v>
      </c>
      <c r="AM72" s="18" t="n">
        <v>0</v>
      </c>
      <c r="AN72" s="18" t="n">
        <v>0</v>
      </c>
      <c r="AO72" s="18" t="n">
        <v>0</v>
      </c>
      <c r="AP72" s="18" t="n">
        <v>0</v>
      </c>
      <c r="AQ72" s="18" t="n">
        <v>0</v>
      </c>
      <c r="AR72" s="18" t="n">
        <v>0</v>
      </c>
      <c r="AS72" s="18" t="n">
        <v>0</v>
      </c>
      <c r="AT72" s="18" t="n">
        <v>0</v>
      </c>
      <c r="AU72" s="18" t="n">
        <v>0</v>
      </c>
      <c r="AV72" s="18" t="n">
        <v>0</v>
      </c>
      <c r="AW72" s="18" t="n">
        <v>0</v>
      </c>
      <c r="AX72" s="18" t="n">
        <v>0</v>
      </c>
    </row>
    <row r="73">
      <c r="A73" s="19" t="inlineStr">
        <is>
          <t>Load_TR2_F5_48</t>
        </is>
      </c>
      <c r="B73" s="15" t="inlineStr">
        <is>
          <t>prosumer</t>
        </is>
      </c>
      <c r="C73" s="20" t="n">
        <v>0</v>
      </c>
      <c r="D73" s="20" t="n">
        <v>0</v>
      </c>
      <c r="E73" s="20" t="n">
        <v>0</v>
      </c>
      <c r="F73" s="20" t="n">
        <v>0</v>
      </c>
      <c r="G73" s="20" t="n">
        <v>0</v>
      </c>
      <c r="H73" s="20" t="n">
        <v>0</v>
      </c>
      <c r="I73" s="20" t="n">
        <v>0</v>
      </c>
      <c r="J73" s="20" t="n">
        <v>0.0022</v>
      </c>
      <c r="K73" s="20" t="n">
        <v>0.0311</v>
      </c>
      <c r="L73" s="20" t="n">
        <v>0.1454</v>
      </c>
      <c r="M73" s="20" t="n">
        <v>0.2883</v>
      </c>
      <c r="N73" s="20" t="n">
        <v>0.4637</v>
      </c>
      <c r="O73" s="20" t="n">
        <v>0.6549</v>
      </c>
      <c r="P73" s="20" t="n">
        <v>0.8486</v>
      </c>
      <c r="Q73" s="20" t="n">
        <v>1.0412</v>
      </c>
      <c r="R73" s="20" t="n">
        <v>1.2341</v>
      </c>
      <c r="S73" s="20" t="n">
        <v>1.4152</v>
      </c>
      <c r="T73" s="20" t="n">
        <v>1.5854</v>
      </c>
      <c r="U73" s="20" t="n">
        <v>1.7304</v>
      </c>
      <c r="V73" s="20" t="n">
        <v>1.854</v>
      </c>
      <c r="W73" s="20" t="n">
        <v>1.9625</v>
      </c>
      <c r="X73" s="20" t="n">
        <v>2.0521</v>
      </c>
      <c r="Y73" s="20" t="n">
        <v>2.1156</v>
      </c>
      <c r="Z73" s="20" t="n">
        <v>2.1435</v>
      </c>
      <c r="AA73" s="20" t="n">
        <v>2.1516</v>
      </c>
      <c r="AB73" s="20" t="n">
        <v>2.1365</v>
      </c>
      <c r="AC73" s="20" t="n">
        <v>2.0857</v>
      </c>
      <c r="AD73" s="20" t="n">
        <v>2.0083</v>
      </c>
      <c r="AE73" s="20" t="n">
        <v>1.9159</v>
      </c>
      <c r="AF73" s="20" t="n">
        <v>1.7989</v>
      </c>
      <c r="AG73" s="20" t="n">
        <v>1.6745</v>
      </c>
      <c r="AH73" s="20" t="n">
        <v>1.5247</v>
      </c>
      <c r="AI73" s="20" t="n">
        <v>1.3561</v>
      </c>
      <c r="AJ73" s="20" t="n">
        <v>1.1525</v>
      </c>
      <c r="AK73" s="20" t="n">
        <v>0.962</v>
      </c>
      <c r="AL73" s="20" t="n">
        <v>0.7662</v>
      </c>
      <c r="AM73" s="20" t="n">
        <v>0.5768</v>
      </c>
      <c r="AN73" s="20" t="n">
        <v>0.3942</v>
      </c>
      <c r="AO73" s="20" t="n">
        <v>0.2302</v>
      </c>
      <c r="AP73" s="20" t="n">
        <v>0.067</v>
      </c>
      <c r="AQ73" s="20" t="n">
        <v>0.0124</v>
      </c>
      <c r="AR73" s="20" t="n">
        <v>0</v>
      </c>
      <c r="AS73" s="20" t="n">
        <v>0</v>
      </c>
      <c r="AT73" s="20" t="n">
        <v>0</v>
      </c>
      <c r="AU73" s="20" t="n">
        <v>0</v>
      </c>
      <c r="AV73" s="20" t="n">
        <v>0</v>
      </c>
      <c r="AW73" s="20" t="n">
        <v>0</v>
      </c>
      <c r="AX73" s="20" t="n">
        <v>0</v>
      </c>
    </row>
    <row r="74">
      <c r="A74" s="10" t="inlineStr">
        <is>
          <t>Load_TR2_F5_49</t>
        </is>
      </c>
      <c r="B74" s="12" t="inlineStr">
        <is>
          <t>customer</t>
        </is>
      </c>
      <c r="C74" s="18" t="n">
        <v>0</v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18" t="n">
        <v>0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  <c r="Q74" s="18" t="n">
        <v>0</v>
      </c>
      <c r="R74" s="18" t="n">
        <v>0</v>
      </c>
      <c r="S74" s="18" t="n">
        <v>0</v>
      </c>
      <c r="T74" s="18" t="n">
        <v>0</v>
      </c>
      <c r="U74" s="18" t="n">
        <v>0</v>
      </c>
      <c r="V74" s="18" t="n">
        <v>0</v>
      </c>
      <c r="W74" s="18" t="n">
        <v>0</v>
      </c>
      <c r="X74" s="18" t="n">
        <v>0</v>
      </c>
      <c r="Y74" s="18" t="n">
        <v>0</v>
      </c>
      <c r="Z74" s="18" t="n">
        <v>0</v>
      </c>
      <c r="AA74" s="18" t="n">
        <v>0</v>
      </c>
      <c r="AB74" s="18" t="n">
        <v>0</v>
      </c>
      <c r="AC74" s="18" t="n">
        <v>0</v>
      </c>
      <c r="AD74" s="18" t="n">
        <v>0</v>
      </c>
      <c r="AE74" s="18" t="n">
        <v>0</v>
      </c>
      <c r="AF74" s="18" t="n">
        <v>0</v>
      </c>
      <c r="AG74" s="18" t="n">
        <v>0</v>
      </c>
      <c r="AH74" s="18" t="n">
        <v>0</v>
      </c>
      <c r="AI74" s="18" t="n">
        <v>0</v>
      </c>
      <c r="AJ74" s="18" t="n">
        <v>0</v>
      </c>
      <c r="AK74" s="18" t="n">
        <v>0</v>
      </c>
      <c r="AL74" s="18" t="n">
        <v>0</v>
      </c>
      <c r="AM74" s="18" t="n">
        <v>0</v>
      </c>
      <c r="AN74" s="18" t="n">
        <v>0</v>
      </c>
      <c r="AO74" s="18" t="n">
        <v>0</v>
      </c>
      <c r="AP74" s="18" t="n">
        <v>0</v>
      </c>
      <c r="AQ74" s="18" t="n">
        <v>0</v>
      </c>
      <c r="AR74" s="18" t="n">
        <v>0</v>
      </c>
      <c r="AS74" s="18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0</v>
      </c>
    </row>
    <row r="75">
      <c r="A75" s="10" t="inlineStr">
        <is>
          <t>Load_TR2_F5_5</t>
        </is>
      </c>
      <c r="B75" s="12" t="inlineStr">
        <is>
          <t>customer</t>
        </is>
      </c>
      <c r="C75" s="18" t="n">
        <v>0</v>
      </c>
      <c r="D75" s="18" t="n">
        <v>0</v>
      </c>
      <c r="E75" s="18" t="n">
        <v>0</v>
      </c>
      <c r="F75" s="18" t="n">
        <v>0</v>
      </c>
      <c r="G75" s="18" t="n">
        <v>0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0</v>
      </c>
      <c r="N75" s="18" t="n">
        <v>0</v>
      </c>
      <c r="O75" s="18" t="n">
        <v>0</v>
      </c>
      <c r="P75" s="18" t="n">
        <v>0</v>
      </c>
      <c r="Q75" s="18" t="n">
        <v>0</v>
      </c>
      <c r="R75" s="18" t="n">
        <v>0</v>
      </c>
      <c r="S75" s="18" t="n">
        <v>0</v>
      </c>
      <c r="T75" s="18" t="n">
        <v>0</v>
      </c>
      <c r="U75" s="18" t="n">
        <v>0</v>
      </c>
      <c r="V75" s="18" t="n">
        <v>0</v>
      </c>
      <c r="W75" s="18" t="n">
        <v>0</v>
      </c>
      <c r="X75" s="18" t="n">
        <v>0</v>
      </c>
      <c r="Y75" s="18" t="n">
        <v>0</v>
      </c>
      <c r="Z75" s="18" t="n">
        <v>0</v>
      </c>
      <c r="AA75" s="18" t="n">
        <v>0</v>
      </c>
      <c r="AB75" s="18" t="n">
        <v>0</v>
      </c>
      <c r="AC75" s="18" t="n">
        <v>0</v>
      </c>
      <c r="AD75" s="18" t="n">
        <v>0</v>
      </c>
      <c r="AE75" s="18" t="n">
        <v>0</v>
      </c>
      <c r="AF75" s="18" t="n">
        <v>0</v>
      </c>
      <c r="AG75" s="18" t="n">
        <v>0</v>
      </c>
      <c r="AH75" s="18" t="n">
        <v>0</v>
      </c>
      <c r="AI75" s="18" t="n">
        <v>0</v>
      </c>
      <c r="AJ75" s="18" t="n">
        <v>0</v>
      </c>
      <c r="AK75" s="18" t="n">
        <v>0</v>
      </c>
      <c r="AL75" s="18" t="n">
        <v>0</v>
      </c>
      <c r="AM75" s="18" t="n">
        <v>0</v>
      </c>
      <c r="AN75" s="18" t="n">
        <v>0</v>
      </c>
      <c r="AO75" s="18" t="n">
        <v>0</v>
      </c>
      <c r="AP75" s="18" t="n">
        <v>0</v>
      </c>
      <c r="AQ75" s="18" t="n">
        <v>0</v>
      </c>
      <c r="AR75" s="18" t="n">
        <v>0</v>
      </c>
      <c r="AS75" s="18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0</v>
      </c>
    </row>
    <row r="76">
      <c r="A76" s="19" t="inlineStr">
        <is>
          <t>Load_TR2_F5_50</t>
        </is>
      </c>
      <c r="B76" s="15" t="inlineStr">
        <is>
          <t>prosumer</t>
        </is>
      </c>
      <c r="C76" s="20" t="n">
        <v>0</v>
      </c>
      <c r="D76" s="20" t="n">
        <v>0</v>
      </c>
      <c r="E76" s="20" t="n">
        <v>0</v>
      </c>
      <c r="F76" s="20" t="n">
        <v>0</v>
      </c>
      <c r="G76" s="20" t="n">
        <v>0</v>
      </c>
      <c r="H76" s="20" t="n">
        <v>0</v>
      </c>
      <c r="I76" s="20" t="n">
        <v>0</v>
      </c>
      <c r="J76" s="20" t="n">
        <v>0.0034</v>
      </c>
      <c r="K76" s="20" t="n">
        <v>0.0497</v>
      </c>
      <c r="L76" s="20" t="n">
        <v>0.2326</v>
      </c>
      <c r="M76" s="20" t="n">
        <v>0.4613</v>
      </c>
      <c r="N76" s="20" t="n">
        <v>0.7419</v>
      </c>
      <c r="O76" s="20" t="n">
        <v>1.0479</v>
      </c>
      <c r="P76" s="20" t="n">
        <v>1.3577</v>
      </c>
      <c r="Q76" s="20" t="n">
        <v>1.666</v>
      </c>
      <c r="R76" s="20" t="n">
        <v>1.9746</v>
      </c>
      <c r="S76" s="20" t="n">
        <v>2.2643</v>
      </c>
      <c r="T76" s="20" t="n">
        <v>2.5367</v>
      </c>
      <c r="U76" s="20" t="n">
        <v>2.7686</v>
      </c>
      <c r="V76" s="20" t="n">
        <v>2.9664</v>
      </c>
      <c r="W76" s="20" t="n">
        <v>3.14</v>
      </c>
      <c r="X76" s="20" t="n">
        <v>3.2833</v>
      </c>
      <c r="Y76" s="20" t="n">
        <v>3.385</v>
      </c>
      <c r="Z76" s="20" t="n">
        <v>3.4296</v>
      </c>
      <c r="AA76" s="20" t="n">
        <v>3.4425</v>
      </c>
      <c r="AB76" s="20" t="n">
        <v>3.4183</v>
      </c>
      <c r="AC76" s="20" t="n">
        <v>3.3372</v>
      </c>
      <c r="AD76" s="20" t="n">
        <v>3.2133</v>
      </c>
      <c r="AE76" s="20" t="n">
        <v>3.0655</v>
      </c>
      <c r="AF76" s="20" t="n">
        <v>2.8782</v>
      </c>
      <c r="AG76" s="20" t="n">
        <v>2.6791</v>
      </c>
      <c r="AH76" s="20" t="n">
        <v>2.4396</v>
      </c>
      <c r="AI76" s="20" t="n">
        <v>2.1698</v>
      </c>
      <c r="AJ76" s="20" t="n">
        <v>1.8441</v>
      </c>
      <c r="AK76" s="20" t="n">
        <v>1.5392</v>
      </c>
      <c r="AL76" s="20" t="n">
        <v>1.2259</v>
      </c>
      <c r="AM76" s="20" t="n">
        <v>0.9229000000000001</v>
      </c>
      <c r="AN76" s="20" t="n">
        <v>0.6308</v>
      </c>
      <c r="AO76" s="20" t="n">
        <v>0.3683</v>
      </c>
      <c r="AP76" s="20" t="n">
        <v>0.1072</v>
      </c>
      <c r="AQ76" s="20" t="n">
        <v>0.0198</v>
      </c>
      <c r="AR76" s="20" t="n">
        <v>0</v>
      </c>
      <c r="AS76" s="20" t="n">
        <v>0</v>
      </c>
      <c r="AT76" s="20" t="n">
        <v>0</v>
      </c>
      <c r="AU76" s="20" t="n">
        <v>0</v>
      </c>
      <c r="AV76" s="20" t="n">
        <v>0</v>
      </c>
      <c r="AW76" s="20" t="n">
        <v>0</v>
      </c>
      <c r="AX76" s="20" t="n">
        <v>0</v>
      </c>
    </row>
    <row r="77">
      <c r="A77" s="19" t="inlineStr">
        <is>
          <t>Load_TR2_F5_51</t>
        </is>
      </c>
      <c r="B77" s="15" t="inlineStr">
        <is>
          <t>prosumer</t>
        </is>
      </c>
      <c r="C77" s="20" t="n">
        <v>0</v>
      </c>
      <c r="D77" s="20" t="n">
        <v>0</v>
      </c>
      <c r="E77" s="20" t="n">
        <v>0</v>
      </c>
      <c r="F77" s="20" t="n">
        <v>0</v>
      </c>
      <c r="G77" s="20" t="n">
        <v>0</v>
      </c>
      <c r="H77" s="20" t="n">
        <v>0</v>
      </c>
      <c r="I77" s="20" t="n">
        <v>0</v>
      </c>
      <c r="J77" s="20" t="n">
        <v>0.0013</v>
      </c>
      <c r="K77" s="20" t="n">
        <v>0.0187</v>
      </c>
      <c r="L77" s="20" t="n">
        <v>0.0872</v>
      </c>
      <c r="M77" s="20" t="n">
        <v>0.173</v>
      </c>
      <c r="N77" s="20" t="n">
        <v>0.2782</v>
      </c>
      <c r="O77" s="20" t="n">
        <v>0.393</v>
      </c>
      <c r="P77" s="20" t="n">
        <v>0.5092</v>
      </c>
      <c r="Q77" s="20" t="n">
        <v>0.6247</v>
      </c>
      <c r="R77" s="20" t="n">
        <v>0.7405</v>
      </c>
      <c r="S77" s="20" t="n">
        <v>0.8491</v>
      </c>
      <c r="T77" s="20" t="n">
        <v>0.9512</v>
      </c>
      <c r="U77" s="20" t="n">
        <v>1.0382</v>
      </c>
      <c r="V77" s="20" t="n">
        <v>1.1124</v>
      </c>
      <c r="W77" s="20" t="n">
        <v>1.1775</v>
      </c>
      <c r="X77" s="20" t="n">
        <v>1.2312</v>
      </c>
      <c r="Y77" s="20" t="n">
        <v>1.2694</v>
      </c>
      <c r="Z77" s="20" t="n">
        <v>1.2861</v>
      </c>
      <c r="AA77" s="20" t="n">
        <v>1.2909</v>
      </c>
      <c r="AB77" s="20" t="n">
        <v>1.2819</v>
      </c>
      <c r="AC77" s="20" t="n">
        <v>1.2514</v>
      </c>
      <c r="AD77" s="20" t="n">
        <v>1.205</v>
      </c>
      <c r="AE77" s="20" t="n">
        <v>1.1496</v>
      </c>
      <c r="AF77" s="20" t="n">
        <v>1.0793</v>
      </c>
      <c r="AG77" s="20" t="n">
        <v>1.0047</v>
      </c>
      <c r="AH77" s="20" t="n">
        <v>0.9147999999999999</v>
      </c>
      <c r="AI77" s="20" t="n">
        <v>0.8137</v>
      </c>
      <c r="AJ77" s="20" t="n">
        <v>0.6915</v>
      </c>
      <c r="AK77" s="20" t="n">
        <v>0.5772</v>
      </c>
      <c r="AL77" s="20" t="n">
        <v>0.4597</v>
      </c>
      <c r="AM77" s="20" t="n">
        <v>0.3461</v>
      </c>
      <c r="AN77" s="20" t="n">
        <v>0.2365</v>
      </c>
      <c r="AO77" s="20" t="n">
        <v>0.1381</v>
      </c>
      <c r="AP77" s="20" t="n">
        <v>0.0402</v>
      </c>
      <c r="AQ77" s="20" t="n">
        <v>0.0074</v>
      </c>
      <c r="AR77" s="20" t="n">
        <v>0</v>
      </c>
      <c r="AS77" s="20" t="n">
        <v>0</v>
      </c>
      <c r="AT77" s="20" t="n">
        <v>0</v>
      </c>
      <c r="AU77" s="20" t="n">
        <v>0</v>
      </c>
      <c r="AV77" s="20" t="n">
        <v>0</v>
      </c>
      <c r="AW77" s="20" t="n">
        <v>0</v>
      </c>
      <c r="AX77" s="20" t="n">
        <v>0</v>
      </c>
    </row>
    <row r="78">
      <c r="A78" s="10" t="inlineStr">
        <is>
          <t>Load_TR2_F5_52</t>
        </is>
      </c>
      <c r="B78" s="12" t="inlineStr">
        <is>
          <t>customer</t>
        </is>
      </c>
      <c r="C78" s="18" t="n">
        <v>0</v>
      </c>
      <c r="D78" s="18" t="n">
        <v>0</v>
      </c>
      <c r="E78" s="18" t="n">
        <v>0</v>
      </c>
      <c r="F78" s="18" t="n">
        <v>0</v>
      </c>
      <c r="G78" s="18" t="n">
        <v>0</v>
      </c>
      <c r="H78" s="18" t="n">
        <v>0</v>
      </c>
      <c r="I78" s="18" t="n">
        <v>0</v>
      </c>
      <c r="J78" s="18" t="n">
        <v>0</v>
      </c>
      <c r="K78" s="18" t="n">
        <v>0</v>
      </c>
      <c r="L78" s="18" t="n">
        <v>0</v>
      </c>
      <c r="M78" s="18" t="n">
        <v>0</v>
      </c>
      <c r="N78" s="18" t="n">
        <v>0</v>
      </c>
      <c r="O78" s="18" t="n">
        <v>0</v>
      </c>
      <c r="P78" s="18" t="n">
        <v>0</v>
      </c>
      <c r="Q78" s="18" t="n">
        <v>0</v>
      </c>
      <c r="R78" s="18" t="n">
        <v>0</v>
      </c>
      <c r="S78" s="18" t="n">
        <v>0</v>
      </c>
      <c r="T78" s="18" t="n">
        <v>0</v>
      </c>
      <c r="U78" s="18" t="n">
        <v>0</v>
      </c>
      <c r="V78" s="18" t="n">
        <v>0</v>
      </c>
      <c r="W78" s="18" t="n">
        <v>0</v>
      </c>
      <c r="X78" s="18" t="n">
        <v>0</v>
      </c>
      <c r="Y78" s="18" t="n">
        <v>0</v>
      </c>
      <c r="Z78" s="18" t="n">
        <v>0</v>
      </c>
      <c r="AA78" s="18" t="n">
        <v>0</v>
      </c>
      <c r="AB78" s="18" t="n">
        <v>0</v>
      </c>
      <c r="AC78" s="18" t="n">
        <v>0</v>
      </c>
      <c r="AD78" s="18" t="n">
        <v>0</v>
      </c>
      <c r="AE78" s="18" t="n">
        <v>0</v>
      </c>
      <c r="AF78" s="18" t="n">
        <v>0</v>
      </c>
      <c r="AG78" s="18" t="n">
        <v>0</v>
      </c>
      <c r="AH78" s="18" t="n">
        <v>0</v>
      </c>
      <c r="AI78" s="18" t="n">
        <v>0</v>
      </c>
      <c r="AJ78" s="18" t="n">
        <v>0</v>
      </c>
      <c r="AK78" s="18" t="n">
        <v>0</v>
      </c>
      <c r="AL78" s="18" t="n">
        <v>0</v>
      </c>
      <c r="AM78" s="18" t="n">
        <v>0</v>
      </c>
      <c r="AN78" s="18" t="n">
        <v>0</v>
      </c>
      <c r="AO78" s="18" t="n">
        <v>0</v>
      </c>
      <c r="AP78" s="18" t="n">
        <v>0</v>
      </c>
      <c r="AQ78" s="18" t="n">
        <v>0</v>
      </c>
      <c r="AR78" s="18" t="n">
        <v>0</v>
      </c>
      <c r="AS78" s="18" t="n">
        <v>0</v>
      </c>
      <c r="AT78" s="18" t="n">
        <v>0</v>
      </c>
      <c r="AU78" s="18" t="n">
        <v>0</v>
      </c>
      <c r="AV78" s="18" t="n">
        <v>0</v>
      </c>
      <c r="AW78" s="18" t="n">
        <v>0</v>
      </c>
      <c r="AX78" s="18" t="n">
        <v>0</v>
      </c>
    </row>
    <row r="79">
      <c r="A79" s="19" t="inlineStr">
        <is>
          <t>Load_TR2_F5_53</t>
        </is>
      </c>
      <c r="B79" s="15" t="inlineStr">
        <is>
          <t>prosumer</t>
        </is>
      </c>
      <c r="C79" s="20" t="n">
        <v>0</v>
      </c>
      <c r="D79" s="20" t="n">
        <v>0</v>
      </c>
      <c r="E79" s="20" t="n">
        <v>0</v>
      </c>
      <c r="F79" s="20" t="n">
        <v>0</v>
      </c>
      <c r="G79" s="20" t="n">
        <v>0</v>
      </c>
      <c r="H79" s="20" t="n">
        <v>0</v>
      </c>
      <c r="I79" s="20" t="n">
        <v>0</v>
      </c>
      <c r="J79" s="20" t="n">
        <v>0.0034</v>
      </c>
      <c r="K79" s="20" t="n">
        <v>0.0497</v>
      </c>
      <c r="L79" s="20" t="n">
        <v>0.2326</v>
      </c>
      <c r="M79" s="20" t="n">
        <v>0.4613</v>
      </c>
      <c r="N79" s="20" t="n">
        <v>0.7419</v>
      </c>
      <c r="O79" s="20" t="n">
        <v>1.0479</v>
      </c>
      <c r="P79" s="20" t="n">
        <v>1.3577</v>
      </c>
      <c r="Q79" s="20" t="n">
        <v>1.666</v>
      </c>
      <c r="R79" s="20" t="n">
        <v>1.9746</v>
      </c>
      <c r="S79" s="20" t="n">
        <v>2.2643</v>
      </c>
      <c r="T79" s="20" t="n">
        <v>2.5367</v>
      </c>
      <c r="U79" s="20" t="n">
        <v>2.7686</v>
      </c>
      <c r="V79" s="20" t="n">
        <v>2.9664</v>
      </c>
      <c r="W79" s="20" t="n">
        <v>3.14</v>
      </c>
      <c r="X79" s="20" t="n">
        <v>3.2833</v>
      </c>
      <c r="Y79" s="20" t="n">
        <v>3.385</v>
      </c>
      <c r="Z79" s="20" t="n">
        <v>3.4296</v>
      </c>
      <c r="AA79" s="20" t="n">
        <v>3.4425</v>
      </c>
      <c r="AB79" s="20" t="n">
        <v>3.4183</v>
      </c>
      <c r="AC79" s="20" t="n">
        <v>3.3372</v>
      </c>
      <c r="AD79" s="20" t="n">
        <v>3.2133</v>
      </c>
      <c r="AE79" s="20" t="n">
        <v>3.0655</v>
      </c>
      <c r="AF79" s="20" t="n">
        <v>2.8782</v>
      </c>
      <c r="AG79" s="20" t="n">
        <v>2.6791</v>
      </c>
      <c r="AH79" s="20" t="n">
        <v>2.4396</v>
      </c>
      <c r="AI79" s="20" t="n">
        <v>2.1698</v>
      </c>
      <c r="AJ79" s="20" t="n">
        <v>1.8441</v>
      </c>
      <c r="AK79" s="20" t="n">
        <v>1.5392</v>
      </c>
      <c r="AL79" s="20" t="n">
        <v>1.2259</v>
      </c>
      <c r="AM79" s="20" t="n">
        <v>0.9229000000000001</v>
      </c>
      <c r="AN79" s="20" t="n">
        <v>0.6308</v>
      </c>
      <c r="AO79" s="20" t="n">
        <v>0.3683</v>
      </c>
      <c r="AP79" s="20" t="n">
        <v>0.1072</v>
      </c>
      <c r="AQ79" s="20" t="n">
        <v>0.0198</v>
      </c>
      <c r="AR79" s="20" t="n">
        <v>0</v>
      </c>
      <c r="AS79" s="20" t="n">
        <v>0</v>
      </c>
      <c r="AT79" s="20" t="n">
        <v>0</v>
      </c>
      <c r="AU79" s="20" t="n">
        <v>0</v>
      </c>
      <c r="AV79" s="20" t="n">
        <v>0</v>
      </c>
      <c r="AW79" s="20" t="n">
        <v>0</v>
      </c>
      <c r="AX79" s="20" t="n">
        <v>0</v>
      </c>
    </row>
    <row r="80">
      <c r="A80" s="19" t="inlineStr">
        <is>
          <t>Load_TR2_F5_54</t>
        </is>
      </c>
      <c r="B80" s="15" t="inlineStr">
        <is>
          <t>prosumer</t>
        </is>
      </c>
      <c r="C80" s="20" t="n">
        <v>0</v>
      </c>
      <c r="D80" s="20" t="n">
        <v>0</v>
      </c>
      <c r="E80" s="20" t="n">
        <v>0</v>
      </c>
      <c r="F80" s="20" t="n">
        <v>0</v>
      </c>
      <c r="G80" s="20" t="n">
        <v>0</v>
      </c>
      <c r="H80" s="20" t="n">
        <v>0</v>
      </c>
      <c r="I80" s="20" t="n">
        <v>0</v>
      </c>
      <c r="J80" s="20" t="n">
        <v>0.0034</v>
      </c>
      <c r="K80" s="20" t="n">
        <v>0.0497</v>
      </c>
      <c r="L80" s="20" t="n">
        <v>0.2326</v>
      </c>
      <c r="M80" s="20" t="n">
        <v>0.4613</v>
      </c>
      <c r="N80" s="20" t="n">
        <v>0.7419</v>
      </c>
      <c r="O80" s="20" t="n">
        <v>1.0479</v>
      </c>
      <c r="P80" s="20" t="n">
        <v>1.3577</v>
      </c>
      <c r="Q80" s="20" t="n">
        <v>1.666</v>
      </c>
      <c r="R80" s="20" t="n">
        <v>1.9746</v>
      </c>
      <c r="S80" s="20" t="n">
        <v>2.2643</v>
      </c>
      <c r="T80" s="20" t="n">
        <v>2.5367</v>
      </c>
      <c r="U80" s="20" t="n">
        <v>2.7686</v>
      </c>
      <c r="V80" s="20" t="n">
        <v>2.9664</v>
      </c>
      <c r="W80" s="20" t="n">
        <v>3.14</v>
      </c>
      <c r="X80" s="20" t="n">
        <v>3.2833</v>
      </c>
      <c r="Y80" s="20" t="n">
        <v>3.385</v>
      </c>
      <c r="Z80" s="20" t="n">
        <v>3.4296</v>
      </c>
      <c r="AA80" s="20" t="n">
        <v>3.4425</v>
      </c>
      <c r="AB80" s="20" t="n">
        <v>3.4183</v>
      </c>
      <c r="AC80" s="20" t="n">
        <v>3.3372</v>
      </c>
      <c r="AD80" s="20" t="n">
        <v>3.2133</v>
      </c>
      <c r="AE80" s="20" t="n">
        <v>3.0655</v>
      </c>
      <c r="AF80" s="20" t="n">
        <v>2.8782</v>
      </c>
      <c r="AG80" s="20" t="n">
        <v>2.6791</v>
      </c>
      <c r="AH80" s="20" t="n">
        <v>2.4396</v>
      </c>
      <c r="AI80" s="20" t="n">
        <v>2.1698</v>
      </c>
      <c r="AJ80" s="20" t="n">
        <v>1.8441</v>
      </c>
      <c r="AK80" s="20" t="n">
        <v>1.5392</v>
      </c>
      <c r="AL80" s="20" t="n">
        <v>1.2259</v>
      </c>
      <c r="AM80" s="20" t="n">
        <v>0.9229000000000001</v>
      </c>
      <c r="AN80" s="20" t="n">
        <v>0.6308</v>
      </c>
      <c r="AO80" s="20" t="n">
        <v>0.3683</v>
      </c>
      <c r="AP80" s="20" t="n">
        <v>0.1072</v>
      </c>
      <c r="AQ80" s="20" t="n">
        <v>0.0198</v>
      </c>
      <c r="AR80" s="20" t="n">
        <v>0</v>
      </c>
      <c r="AS80" s="20" t="n">
        <v>0</v>
      </c>
      <c r="AT80" s="20" t="n">
        <v>0</v>
      </c>
      <c r="AU80" s="20" t="n">
        <v>0</v>
      </c>
      <c r="AV80" s="20" t="n">
        <v>0</v>
      </c>
      <c r="AW80" s="20" t="n">
        <v>0</v>
      </c>
      <c r="AX80" s="20" t="n">
        <v>0</v>
      </c>
    </row>
    <row r="81">
      <c r="A81" s="19" t="inlineStr">
        <is>
          <t>Load_TR2_F5_55</t>
        </is>
      </c>
      <c r="B81" s="15" t="inlineStr">
        <is>
          <t>prosumer</t>
        </is>
      </c>
      <c r="C81" s="20" t="n">
        <v>0</v>
      </c>
      <c r="D81" s="20" t="n">
        <v>0</v>
      </c>
      <c r="E81" s="20" t="n">
        <v>0</v>
      </c>
      <c r="F81" s="20" t="n">
        <v>0</v>
      </c>
      <c r="G81" s="20" t="n">
        <v>0</v>
      </c>
      <c r="H81" s="20" t="n">
        <v>0</v>
      </c>
      <c r="I81" s="20" t="n">
        <v>0</v>
      </c>
      <c r="J81" s="20" t="n">
        <v>0.0026</v>
      </c>
      <c r="K81" s="20" t="n">
        <v>0.0373</v>
      </c>
      <c r="L81" s="20" t="n">
        <v>0.1744</v>
      </c>
      <c r="M81" s="20" t="n">
        <v>0.346</v>
      </c>
      <c r="N81" s="20" t="n">
        <v>0.5564</v>
      </c>
      <c r="O81" s="20" t="n">
        <v>0.7859</v>
      </c>
      <c r="P81" s="20" t="n">
        <v>1.0183</v>
      </c>
      <c r="Q81" s="20" t="n">
        <v>1.2495</v>
      </c>
      <c r="R81" s="20" t="n">
        <v>1.481</v>
      </c>
      <c r="S81" s="20" t="n">
        <v>1.6982</v>
      </c>
      <c r="T81" s="20" t="n">
        <v>1.9025</v>
      </c>
      <c r="U81" s="20" t="n">
        <v>2.0764</v>
      </c>
      <c r="V81" s="20" t="n">
        <v>2.2248</v>
      </c>
      <c r="W81" s="20" t="n">
        <v>2.355</v>
      </c>
      <c r="X81" s="20" t="n">
        <v>2.4625</v>
      </c>
      <c r="Y81" s="20" t="n">
        <v>2.5387</v>
      </c>
      <c r="Z81" s="20" t="n">
        <v>2.5722</v>
      </c>
      <c r="AA81" s="20" t="n">
        <v>2.5819</v>
      </c>
      <c r="AB81" s="20" t="n">
        <v>2.5637</v>
      </c>
      <c r="AC81" s="20" t="n">
        <v>2.5029</v>
      </c>
      <c r="AD81" s="20" t="n">
        <v>2.41</v>
      </c>
      <c r="AE81" s="20" t="n">
        <v>2.2991</v>
      </c>
      <c r="AF81" s="20" t="n">
        <v>2.1586</v>
      </c>
      <c r="AG81" s="20" t="n">
        <v>2.0093</v>
      </c>
      <c r="AH81" s="20" t="n">
        <v>1.8297</v>
      </c>
      <c r="AI81" s="20" t="n">
        <v>1.6274</v>
      </c>
      <c r="AJ81" s="20" t="n">
        <v>1.3831</v>
      </c>
      <c r="AK81" s="20" t="n">
        <v>1.1544</v>
      </c>
      <c r="AL81" s="20" t="n">
        <v>0.9195</v>
      </c>
      <c r="AM81" s="20" t="n">
        <v>0.6922</v>
      </c>
      <c r="AN81" s="20" t="n">
        <v>0.4731</v>
      </c>
      <c r="AO81" s="20" t="n">
        <v>0.2762</v>
      </c>
      <c r="AP81" s="20" t="n">
        <v>0.0804</v>
      </c>
      <c r="AQ81" s="20" t="n">
        <v>0.0148</v>
      </c>
      <c r="AR81" s="20" t="n">
        <v>0</v>
      </c>
      <c r="AS81" s="20" t="n">
        <v>0</v>
      </c>
      <c r="AT81" s="20" t="n">
        <v>0</v>
      </c>
      <c r="AU81" s="20" t="n">
        <v>0</v>
      </c>
      <c r="AV81" s="20" t="n">
        <v>0</v>
      </c>
      <c r="AW81" s="20" t="n">
        <v>0</v>
      </c>
      <c r="AX81" s="20" t="n">
        <v>0</v>
      </c>
    </row>
    <row r="82">
      <c r="A82" s="10" t="inlineStr">
        <is>
          <t>Load_TR2_F5_56</t>
        </is>
      </c>
      <c r="B82" s="12" t="inlineStr">
        <is>
          <t>customer</t>
        </is>
      </c>
      <c r="C82" s="18" t="n">
        <v>0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18" t="n">
        <v>0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</v>
      </c>
      <c r="R82" s="18" t="n">
        <v>0</v>
      </c>
      <c r="S82" s="18" t="n">
        <v>0</v>
      </c>
      <c r="T82" s="18" t="n">
        <v>0</v>
      </c>
      <c r="U82" s="18" t="n">
        <v>0</v>
      </c>
      <c r="V82" s="18" t="n">
        <v>0</v>
      </c>
      <c r="W82" s="18" t="n">
        <v>0</v>
      </c>
      <c r="X82" s="18" t="n">
        <v>0</v>
      </c>
      <c r="Y82" s="18" t="n">
        <v>0</v>
      </c>
      <c r="Z82" s="18" t="n">
        <v>0</v>
      </c>
      <c r="AA82" s="18" t="n">
        <v>0</v>
      </c>
      <c r="AB82" s="18" t="n">
        <v>0</v>
      </c>
      <c r="AC82" s="18" t="n">
        <v>0</v>
      </c>
      <c r="AD82" s="18" t="n">
        <v>0</v>
      </c>
      <c r="AE82" s="18" t="n">
        <v>0</v>
      </c>
      <c r="AF82" s="18" t="n">
        <v>0</v>
      </c>
      <c r="AG82" s="18" t="n">
        <v>0</v>
      </c>
      <c r="AH82" s="18" t="n">
        <v>0</v>
      </c>
      <c r="AI82" s="18" t="n">
        <v>0</v>
      </c>
      <c r="AJ82" s="18" t="n">
        <v>0</v>
      </c>
      <c r="AK82" s="18" t="n">
        <v>0</v>
      </c>
      <c r="AL82" s="18" t="n">
        <v>0</v>
      </c>
      <c r="AM82" s="18" t="n">
        <v>0</v>
      </c>
      <c r="AN82" s="18" t="n">
        <v>0</v>
      </c>
      <c r="AO82" s="18" t="n">
        <v>0</v>
      </c>
      <c r="AP82" s="18" t="n">
        <v>0</v>
      </c>
      <c r="AQ82" s="18" t="n">
        <v>0</v>
      </c>
      <c r="AR82" s="18" t="n">
        <v>0</v>
      </c>
      <c r="AS82" s="18" t="n">
        <v>0</v>
      </c>
      <c r="AT82" s="18" t="n">
        <v>0</v>
      </c>
      <c r="AU82" s="18" t="n">
        <v>0</v>
      </c>
      <c r="AV82" s="18" t="n">
        <v>0</v>
      </c>
      <c r="AW82" s="18" t="n">
        <v>0</v>
      </c>
      <c r="AX82" s="18" t="n">
        <v>0</v>
      </c>
    </row>
    <row r="83">
      <c r="A83" s="19" t="inlineStr">
        <is>
          <t>Load_TR2_F5_57</t>
        </is>
      </c>
      <c r="B83" s="15" t="inlineStr">
        <is>
          <t>prosumer</t>
        </is>
      </c>
      <c r="C83" s="20" t="n">
        <v>0</v>
      </c>
      <c r="D83" s="20" t="n">
        <v>0</v>
      </c>
      <c r="E83" s="20" t="n">
        <v>0</v>
      </c>
      <c r="F83" s="20" t="n">
        <v>0</v>
      </c>
      <c r="G83" s="20" t="n">
        <v>0</v>
      </c>
      <c r="H83" s="20" t="n">
        <v>0</v>
      </c>
      <c r="I83" s="20" t="n">
        <v>0</v>
      </c>
      <c r="J83" s="20" t="n">
        <v>0.0017</v>
      </c>
      <c r="K83" s="20" t="n">
        <v>0.0249</v>
      </c>
      <c r="L83" s="20" t="n">
        <v>0.1163</v>
      </c>
      <c r="M83" s="20" t="n">
        <v>0.2307</v>
      </c>
      <c r="N83" s="20" t="n">
        <v>0.3709</v>
      </c>
      <c r="O83" s="20" t="n">
        <v>0.524</v>
      </c>
      <c r="P83" s="20" t="n">
        <v>0.6788999999999999</v>
      </c>
      <c r="Q83" s="20" t="n">
        <v>0.833</v>
      </c>
      <c r="R83" s="20" t="n">
        <v>0.9873</v>
      </c>
      <c r="S83" s="20" t="n">
        <v>1.1322</v>
      </c>
      <c r="T83" s="20" t="n">
        <v>1.2683</v>
      </c>
      <c r="U83" s="20" t="n">
        <v>1.3843</v>
      </c>
      <c r="V83" s="20" t="n">
        <v>1.4832</v>
      </c>
      <c r="W83" s="20" t="n">
        <v>1.57</v>
      </c>
      <c r="X83" s="20" t="n">
        <v>1.6417</v>
      </c>
      <c r="Y83" s="20" t="n">
        <v>1.6925</v>
      </c>
      <c r="Z83" s="20" t="n">
        <v>1.7148</v>
      </c>
      <c r="AA83" s="20" t="n">
        <v>1.7212</v>
      </c>
      <c r="AB83" s="20" t="n">
        <v>1.7092</v>
      </c>
      <c r="AC83" s="20" t="n">
        <v>1.6686</v>
      </c>
      <c r="AD83" s="20" t="n">
        <v>1.6067</v>
      </c>
      <c r="AE83" s="20" t="n">
        <v>1.5328</v>
      </c>
      <c r="AF83" s="20" t="n">
        <v>1.4391</v>
      </c>
      <c r="AG83" s="20" t="n">
        <v>1.3396</v>
      </c>
      <c r="AH83" s="20" t="n">
        <v>1.2198</v>
      </c>
      <c r="AI83" s="20" t="n">
        <v>1.0849</v>
      </c>
      <c r="AJ83" s="20" t="n">
        <v>0.922</v>
      </c>
      <c r="AK83" s="20" t="n">
        <v>0.7696</v>
      </c>
      <c r="AL83" s="20" t="n">
        <v>0.613</v>
      </c>
      <c r="AM83" s="20" t="n">
        <v>0.4615</v>
      </c>
      <c r="AN83" s="20" t="n">
        <v>0.3154</v>
      </c>
      <c r="AO83" s="20" t="n">
        <v>0.1842</v>
      </c>
      <c r="AP83" s="20" t="n">
        <v>0.0536</v>
      </c>
      <c r="AQ83" s="20" t="n">
        <v>0.009900000000000001</v>
      </c>
      <c r="AR83" s="20" t="n">
        <v>0</v>
      </c>
      <c r="AS83" s="20" t="n">
        <v>0</v>
      </c>
      <c r="AT83" s="20" t="n">
        <v>0</v>
      </c>
      <c r="AU83" s="20" t="n">
        <v>0</v>
      </c>
      <c r="AV83" s="20" t="n">
        <v>0</v>
      </c>
      <c r="AW83" s="20" t="n">
        <v>0</v>
      </c>
      <c r="AX83" s="20" t="n">
        <v>0</v>
      </c>
    </row>
    <row r="84">
      <c r="A84" s="10" t="inlineStr">
        <is>
          <t>Load_TR2_F5_58</t>
        </is>
      </c>
      <c r="B84" s="12" t="inlineStr">
        <is>
          <t>customer</t>
        </is>
      </c>
      <c r="C84" s="18" t="n">
        <v>0</v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0</v>
      </c>
      <c r="N84" s="18" t="n">
        <v>0</v>
      </c>
      <c r="O84" s="18" t="n">
        <v>0</v>
      </c>
      <c r="P84" s="18" t="n">
        <v>0</v>
      </c>
      <c r="Q84" s="18" t="n">
        <v>0</v>
      </c>
      <c r="R84" s="18" t="n">
        <v>0</v>
      </c>
      <c r="S84" s="18" t="n">
        <v>0</v>
      </c>
      <c r="T84" s="18" t="n">
        <v>0</v>
      </c>
      <c r="U84" s="18" t="n">
        <v>0</v>
      </c>
      <c r="V84" s="18" t="n">
        <v>0</v>
      </c>
      <c r="W84" s="18" t="n">
        <v>0</v>
      </c>
      <c r="X84" s="18" t="n">
        <v>0</v>
      </c>
      <c r="Y84" s="18" t="n">
        <v>0</v>
      </c>
      <c r="Z84" s="18" t="n">
        <v>0</v>
      </c>
      <c r="AA84" s="18" t="n">
        <v>0</v>
      </c>
      <c r="AB84" s="18" t="n">
        <v>0</v>
      </c>
      <c r="AC84" s="18" t="n">
        <v>0</v>
      </c>
      <c r="AD84" s="18" t="n">
        <v>0</v>
      </c>
      <c r="AE84" s="18" t="n">
        <v>0</v>
      </c>
      <c r="AF84" s="18" t="n">
        <v>0</v>
      </c>
      <c r="AG84" s="18" t="n">
        <v>0</v>
      </c>
      <c r="AH84" s="18" t="n">
        <v>0</v>
      </c>
      <c r="AI84" s="18" t="n">
        <v>0</v>
      </c>
      <c r="AJ84" s="18" t="n">
        <v>0</v>
      </c>
      <c r="AK84" s="18" t="n">
        <v>0</v>
      </c>
      <c r="AL84" s="18" t="n">
        <v>0</v>
      </c>
      <c r="AM84" s="18" t="n">
        <v>0</v>
      </c>
      <c r="AN84" s="18" t="n">
        <v>0</v>
      </c>
      <c r="AO84" s="18" t="n">
        <v>0</v>
      </c>
      <c r="AP84" s="18" t="n">
        <v>0</v>
      </c>
      <c r="AQ84" s="18" t="n">
        <v>0</v>
      </c>
      <c r="AR84" s="18" t="n">
        <v>0</v>
      </c>
      <c r="AS84" s="18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0</v>
      </c>
    </row>
    <row r="85">
      <c r="A85" s="10" t="inlineStr">
        <is>
          <t>Load_TR2_F5_59</t>
        </is>
      </c>
      <c r="B85" s="12" t="inlineStr">
        <is>
          <t>customer</t>
        </is>
      </c>
      <c r="C85" s="18" t="n">
        <v>0</v>
      </c>
      <c r="D85" s="18" t="n">
        <v>0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  <c r="Q85" s="18" t="n">
        <v>0</v>
      </c>
      <c r="R85" s="18" t="n">
        <v>0</v>
      </c>
      <c r="S85" s="18" t="n">
        <v>0</v>
      </c>
      <c r="T85" s="18" t="n">
        <v>0</v>
      </c>
      <c r="U85" s="18" t="n">
        <v>0</v>
      </c>
      <c r="V85" s="18" t="n">
        <v>0</v>
      </c>
      <c r="W85" s="18" t="n">
        <v>0</v>
      </c>
      <c r="X85" s="18" t="n">
        <v>0</v>
      </c>
      <c r="Y85" s="18" t="n">
        <v>0</v>
      </c>
      <c r="Z85" s="18" t="n">
        <v>0</v>
      </c>
      <c r="AA85" s="18" t="n">
        <v>0</v>
      </c>
      <c r="AB85" s="18" t="n">
        <v>0</v>
      </c>
      <c r="AC85" s="18" t="n">
        <v>0</v>
      </c>
      <c r="AD85" s="18" t="n">
        <v>0</v>
      </c>
      <c r="AE85" s="18" t="n">
        <v>0</v>
      </c>
      <c r="AF85" s="18" t="n">
        <v>0</v>
      </c>
      <c r="AG85" s="18" t="n">
        <v>0</v>
      </c>
      <c r="AH85" s="18" t="n">
        <v>0</v>
      </c>
      <c r="AI85" s="18" t="n">
        <v>0</v>
      </c>
      <c r="AJ85" s="18" t="n">
        <v>0</v>
      </c>
      <c r="AK85" s="18" t="n">
        <v>0</v>
      </c>
      <c r="AL85" s="18" t="n">
        <v>0</v>
      </c>
      <c r="AM85" s="18" t="n">
        <v>0</v>
      </c>
      <c r="AN85" s="18" t="n">
        <v>0</v>
      </c>
      <c r="AO85" s="18" t="n">
        <v>0</v>
      </c>
      <c r="AP85" s="18" t="n">
        <v>0</v>
      </c>
      <c r="AQ85" s="18" t="n">
        <v>0</v>
      </c>
      <c r="AR85" s="18" t="n">
        <v>0</v>
      </c>
      <c r="AS85" s="18" t="n">
        <v>0</v>
      </c>
      <c r="AT85" s="18" t="n">
        <v>0</v>
      </c>
      <c r="AU85" s="18" t="n">
        <v>0</v>
      </c>
      <c r="AV85" s="18" t="n">
        <v>0</v>
      </c>
      <c r="AW85" s="18" t="n">
        <v>0</v>
      </c>
      <c r="AX85" s="18" t="n">
        <v>0</v>
      </c>
    </row>
    <row r="86">
      <c r="A86" s="19" t="inlineStr">
        <is>
          <t>Load_TR2_F5_6</t>
        </is>
      </c>
      <c r="B86" s="15" t="inlineStr">
        <is>
          <t>prosumer</t>
        </is>
      </c>
      <c r="C86" s="20" t="n">
        <v>0</v>
      </c>
      <c r="D86" s="20" t="n">
        <v>0</v>
      </c>
      <c r="E86" s="20" t="n">
        <v>0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0.0034</v>
      </c>
      <c r="K86" s="20" t="n">
        <v>0.0497</v>
      </c>
      <c r="L86" s="20" t="n">
        <v>0.2326</v>
      </c>
      <c r="M86" s="20" t="n">
        <v>0.4613</v>
      </c>
      <c r="N86" s="20" t="n">
        <v>0.7419</v>
      </c>
      <c r="O86" s="20" t="n">
        <v>1.0479</v>
      </c>
      <c r="P86" s="20" t="n">
        <v>1.3577</v>
      </c>
      <c r="Q86" s="20" t="n">
        <v>1.666</v>
      </c>
      <c r="R86" s="20" t="n">
        <v>1.9746</v>
      </c>
      <c r="S86" s="20" t="n">
        <v>2.2643</v>
      </c>
      <c r="T86" s="20" t="n">
        <v>2.5367</v>
      </c>
      <c r="U86" s="20" t="n">
        <v>2.7686</v>
      </c>
      <c r="V86" s="20" t="n">
        <v>2.9664</v>
      </c>
      <c r="W86" s="20" t="n">
        <v>3.14</v>
      </c>
      <c r="X86" s="20" t="n">
        <v>3.2833</v>
      </c>
      <c r="Y86" s="20" t="n">
        <v>3.385</v>
      </c>
      <c r="Z86" s="20" t="n">
        <v>3.4296</v>
      </c>
      <c r="AA86" s="20" t="n">
        <v>3.4425</v>
      </c>
      <c r="AB86" s="20" t="n">
        <v>3.4183</v>
      </c>
      <c r="AC86" s="20" t="n">
        <v>3.3372</v>
      </c>
      <c r="AD86" s="20" t="n">
        <v>3.2133</v>
      </c>
      <c r="AE86" s="20" t="n">
        <v>3.0655</v>
      </c>
      <c r="AF86" s="20" t="n">
        <v>2.8782</v>
      </c>
      <c r="AG86" s="20" t="n">
        <v>2.6791</v>
      </c>
      <c r="AH86" s="20" t="n">
        <v>2.4396</v>
      </c>
      <c r="AI86" s="20" t="n">
        <v>2.1698</v>
      </c>
      <c r="AJ86" s="20" t="n">
        <v>1.8441</v>
      </c>
      <c r="AK86" s="20" t="n">
        <v>1.5392</v>
      </c>
      <c r="AL86" s="20" t="n">
        <v>1.2259</v>
      </c>
      <c r="AM86" s="20" t="n">
        <v>0.9229000000000001</v>
      </c>
      <c r="AN86" s="20" t="n">
        <v>0.6308</v>
      </c>
      <c r="AO86" s="20" t="n">
        <v>0.3683</v>
      </c>
      <c r="AP86" s="20" t="n">
        <v>0.1072</v>
      </c>
      <c r="AQ86" s="20" t="n">
        <v>0.0198</v>
      </c>
      <c r="AR86" s="20" t="n">
        <v>0</v>
      </c>
      <c r="AS86" s="20" t="n">
        <v>0</v>
      </c>
      <c r="AT86" s="20" t="n">
        <v>0</v>
      </c>
      <c r="AU86" s="20" t="n">
        <v>0</v>
      </c>
      <c r="AV86" s="20" t="n">
        <v>0</v>
      </c>
      <c r="AW86" s="20" t="n">
        <v>0</v>
      </c>
      <c r="AX86" s="20" t="n">
        <v>0</v>
      </c>
    </row>
    <row r="87">
      <c r="A87" s="10" t="inlineStr">
        <is>
          <t>Load_TR2_F5_60</t>
        </is>
      </c>
      <c r="B87" s="12" t="inlineStr">
        <is>
          <t>customer</t>
        </is>
      </c>
      <c r="C87" s="18" t="n">
        <v>0</v>
      </c>
      <c r="D87" s="18" t="n">
        <v>0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0</v>
      </c>
      <c r="N87" s="18" t="n">
        <v>0</v>
      </c>
      <c r="O87" s="18" t="n">
        <v>0</v>
      </c>
      <c r="P87" s="18" t="n">
        <v>0</v>
      </c>
      <c r="Q87" s="18" t="n">
        <v>0</v>
      </c>
      <c r="R87" s="18" t="n">
        <v>0</v>
      </c>
      <c r="S87" s="18" t="n">
        <v>0</v>
      </c>
      <c r="T87" s="18" t="n">
        <v>0</v>
      </c>
      <c r="U87" s="18" t="n">
        <v>0</v>
      </c>
      <c r="V87" s="18" t="n">
        <v>0</v>
      </c>
      <c r="W87" s="18" t="n">
        <v>0</v>
      </c>
      <c r="X87" s="18" t="n">
        <v>0</v>
      </c>
      <c r="Y87" s="18" t="n">
        <v>0</v>
      </c>
      <c r="Z87" s="18" t="n">
        <v>0</v>
      </c>
      <c r="AA87" s="18" t="n">
        <v>0</v>
      </c>
      <c r="AB87" s="18" t="n">
        <v>0</v>
      </c>
      <c r="AC87" s="18" t="n">
        <v>0</v>
      </c>
      <c r="AD87" s="18" t="n">
        <v>0</v>
      </c>
      <c r="AE87" s="18" t="n">
        <v>0</v>
      </c>
      <c r="AF87" s="18" t="n">
        <v>0</v>
      </c>
      <c r="AG87" s="18" t="n">
        <v>0</v>
      </c>
      <c r="AH87" s="18" t="n">
        <v>0</v>
      </c>
      <c r="AI87" s="18" t="n">
        <v>0</v>
      </c>
      <c r="AJ87" s="18" t="n">
        <v>0</v>
      </c>
      <c r="AK87" s="18" t="n">
        <v>0</v>
      </c>
      <c r="AL87" s="18" t="n">
        <v>0</v>
      </c>
      <c r="AM87" s="18" t="n">
        <v>0</v>
      </c>
      <c r="AN87" s="18" t="n">
        <v>0</v>
      </c>
      <c r="AO87" s="18" t="n">
        <v>0</v>
      </c>
      <c r="AP87" s="18" t="n">
        <v>0</v>
      </c>
      <c r="AQ87" s="18" t="n">
        <v>0</v>
      </c>
      <c r="AR87" s="18" t="n">
        <v>0</v>
      </c>
      <c r="AS87" s="18" t="n">
        <v>0</v>
      </c>
      <c r="AT87" s="18" t="n">
        <v>0</v>
      </c>
      <c r="AU87" s="18" t="n">
        <v>0</v>
      </c>
      <c r="AV87" s="18" t="n">
        <v>0</v>
      </c>
      <c r="AW87" s="18" t="n">
        <v>0</v>
      </c>
      <c r="AX87" s="18" t="n">
        <v>0</v>
      </c>
    </row>
    <row r="88">
      <c r="A88" s="19" t="inlineStr">
        <is>
          <t>Load_TR2_F5_61</t>
        </is>
      </c>
      <c r="B88" s="15" t="inlineStr">
        <is>
          <t>prosumer</t>
        </is>
      </c>
      <c r="C88" s="20" t="n">
        <v>0</v>
      </c>
      <c r="D88" s="20" t="n">
        <v>0</v>
      </c>
      <c r="E88" s="20" t="n">
        <v>0</v>
      </c>
      <c r="F88" s="20" t="n">
        <v>0</v>
      </c>
      <c r="G88" s="20" t="n">
        <v>0</v>
      </c>
      <c r="H88" s="20" t="n">
        <v>0</v>
      </c>
      <c r="I88" s="20" t="n">
        <v>0</v>
      </c>
      <c r="J88" s="20" t="n">
        <v>0.0034</v>
      </c>
      <c r="K88" s="20" t="n">
        <v>0.0497</v>
      </c>
      <c r="L88" s="20" t="n">
        <v>0.2326</v>
      </c>
      <c r="M88" s="20" t="n">
        <v>0.4613</v>
      </c>
      <c r="N88" s="20" t="n">
        <v>0.7419</v>
      </c>
      <c r="O88" s="20" t="n">
        <v>1.0479</v>
      </c>
      <c r="P88" s="20" t="n">
        <v>1.3577</v>
      </c>
      <c r="Q88" s="20" t="n">
        <v>1.666</v>
      </c>
      <c r="R88" s="20" t="n">
        <v>1.9746</v>
      </c>
      <c r="S88" s="20" t="n">
        <v>2.2643</v>
      </c>
      <c r="T88" s="20" t="n">
        <v>2.5367</v>
      </c>
      <c r="U88" s="20" t="n">
        <v>2.7686</v>
      </c>
      <c r="V88" s="20" t="n">
        <v>2.9664</v>
      </c>
      <c r="W88" s="20" t="n">
        <v>3.14</v>
      </c>
      <c r="X88" s="20" t="n">
        <v>3.2833</v>
      </c>
      <c r="Y88" s="20" t="n">
        <v>3.385</v>
      </c>
      <c r="Z88" s="20" t="n">
        <v>3.4296</v>
      </c>
      <c r="AA88" s="20" t="n">
        <v>3.4425</v>
      </c>
      <c r="AB88" s="20" t="n">
        <v>3.4183</v>
      </c>
      <c r="AC88" s="20" t="n">
        <v>3.3372</v>
      </c>
      <c r="AD88" s="20" t="n">
        <v>3.2133</v>
      </c>
      <c r="AE88" s="20" t="n">
        <v>3.0655</v>
      </c>
      <c r="AF88" s="20" t="n">
        <v>2.8782</v>
      </c>
      <c r="AG88" s="20" t="n">
        <v>2.6791</v>
      </c>
      <c r="AH88" s="20" t="n">
        <v>2.4396</v>
      </c>
      <c r="AI88" s="20" t="n">
        <v>2.1698</v>
      </c>
      <c r="AJ88" s="20" t="n">
        <v>1.8441</v>
      </c>
      <c r="AK88" s="20" t="n">
        <v>1.5392</v>
      </c>
      <c r="AL88" s="20" t="n">
        <v>1.2259</v>
      </c>
      <c r="AM88" s="20" t="n">
        <v>0.9229000000000001</v>
      </c>
      <c r="AN88" s="20" t="n">
        <v>0.6308</v>
      </c>
      <c r="AO88" s="20" t="n">
        <v>0.3683</v>
      </c>
      <c r="AP88" s="20" t="n">
        <v>0.1072</v>
      </c>
      <c r="AQ88" s="20" t="n">
        <v>0.0198</v>
      </c>
      <c r="AR88" s="20" t="n">
        <v>0</v>
      </c>
      <c r="AS88" s="20" t="n">
        <v>0</v>
      </c>
      <c r="AT88" s="20" t="n">
        <v>0</v>
      </c>
      <c r="AU88" s="20" t="n">
        <v>0</v>
      </c>
      <c r="AV88" s="20" t="n">
        <v>0</v>
      </c>
      <c r="AW88" s="20" t="n">
        <v>0</v>
      </c>
      <c r="AX88" s="20" t="n">
        <v>0</v>
      </c>
    </row>
    <row r="89">
      <c r="A89" s="10" t="inlineStr">
        <is>
          <t>Load_TR2_F5_62</t>
        </is>
      </c>
      <c r="B89" s="12" t="inlineStr">
        <is>
          <t>customer</t>
        </is>
      </c>
      <c r="C89" s="18" t="n">
        <v>0</v>
      </c>
      <c r="D89" s="18" t="n">
        <v>0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0</v>
      </c>
      <c r="M89" s="18" t="n">
        <v>0</v>
      </c>
      <c r="N89" s="18" t="n">
        <v>0</v>
      </c>
      <c r="O89" s="18" t="n">
        <v>0</v>
      </c>
      <c r="P89" s="18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18" t="n">
        <v>0</v>
      </c>
      <c r="V89" s="18" t="n">
        <v>0</v>
      </c>
      <c r="W89" s="18" t="n">
        <v>0</v>
      </c>
      <c r="X89" s="18" t="n">
        <v>0</v>
      </c>
      <c r="Y89" s="18" t="n">
        <v>0</v>
      </c>
      <c r="Z89" s="18" t="n">
        <v>0</v>
      </c>
      <c r="AA89" s="18" t="n">
        <v>0</v>
      </c>
      <c r="AB89" s="18" t="n">
        <v>0</v>
      </c>
      <c r="AC89" s="18" t="n">
        <v>0</v>
      </c>
      <c r="AD89" s="18" t="n">
        <v>0</v>
      </c>
      <c r="AE89" s="18" t="n">
        <v>0</v>
      </c>
      <c r="AF89" s="18" t="n">
        <v>0</v>
      </c>
      <c r="AG89" s="18" t="n">
        <v>0</v>
      </c>
      <c r="AH89" s="18" t="n">
        <v>0</v>
      </c>
      <c r="AI89" s="18" t="n">
        <v>0</v>
      </c>
      <c r="AJ89" s="18" t="n">
        <v>0</v>
      </c>
      <c r="AK89" s="18" t="n">
        <v>0</v>
      </c>
      <c r="AL89" s="18" t="n">
        <v>0</v>
      </c>
      <c r="AM89" s="18" t="n">
        <v>0</v>
      </c>
      <c r="AN89" s="18" t="n">
        <v>0</v>
      </c>
      <c r="AO89" s="18" t="n">
        <v>0</v>
      </c>
      <c r="AP89" s="18" t="n">
        <v>0</v>
      </c>
      <c r="AQ89" s="18" t="n">
        <v>0</v>
      </c>
      <c r="AR89" s="18" t="n">
        <v>0</v>
      </c>
      <c r="AS89" s="18" t="n">
        <v>0</v>
      </c>
      <c r="AT89" s="18" t="n">
        <v>0</v>
      </c>
      <c r="AU89" s="18" t="n">
        <v>0</v>
      </c>
      <c r="AV89" s="18" t="n">
        <v>0</v>
      </c>
      <c r="AW89" s="18" t="n">
        <v>0</v>
      </c>
      <c r="AX89" s="18" t="n">
        <v>0</v>
      </c>
    </row>
    <row r="90">
      <c r="A90" s="19" t="inlineStr">
        <is>
          <t>Load_TR2_F5_63</t>
        </is>
      </c>
      <c r="B90" s="15" t="inlineStr">
        <is>
          <t>prosumer</t>
        </is>
      </c>
      <c r="C90" s="20" t="n">
        <v>0</v>
      </c>
      <c r="D90" s="20" t="n">
        <v>0</v>
      </c>
      <c r="E90" s="20" t="n">
        <v>0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0.0034</v>
      </c>
      <c r="K90" s="20" t="n">
        <v>0.0497</v>
      </c>
      <c r="L90" s="20" t="n">
        <v>0.2326</v>
      </c>
      <c r="M90" s="20" t="n">
        <v>0.4613</v>
      </c>
      <c r="N90" s="20" t="n">
        <v>0.7419</v>
      </c>
      <c r="O90" s="20" t="n">
        <v>1.0479</v>
      </c>
      <c r="P90" s="20" t="n">
        <v>1.3577</v>
      </c>
      <c r="Q90" s="20" t="n">
        <v>1.666</v>
      </c>
      <c r="R90" s="20" t="n">
        <v>1.9746</v>
      </c>
      <c r="S90" s="20" t="n">
        <v>2.2643</v>
      </c>
      <c r="T90" s="20" t="n">
        <v>2.5367</v>
      </c>
      <c r="U90" s="20" t="n">
        <v>2.7686</v>
      </c>
      <c r="V90" s="20" t="n">
        <v>2.9664</v>
      </c>
      <c r="W90" s="20" t="n">
        <v>3.14</v>
      </c>
      <c r="X90" s="20" t="n">
        <v>3.2833</v>
      </c>
      <c r="Y90" s="20" t="n">
        <v>3.385</v>
      </c>
      <c r="Z90" s="20" t="n">
        <v>3.4296</v>
      </c>
      <c r="AA90" s="20" t="n">
        <v>3.4425</v>
      </c>
      <c r="AB90" s="20" t="n">
        <v>3.4183</v>
      </c>
      <c r="AC90" s="20" t="n">
        <v>3.3372</v>
      </c>
      <c r="AD90" s="20" t="n">
        <v>3.2133</v>
      </c>
      <c r="AE90" s="20" t="n">
        <v>3.0655</v>
      </c>
      <c r="AF90" s="20" t="n">
        <v>2.8782</v>
      </c>
      <c r="AG90" s="20" t="n">
        <v>2.6791</v>
      </c>
      <c r="AH90" s="20" t="n">
        <v>2.4396</v>
      </c>
      <c r="AI90" s="20" t="n">
        <v>2.1698</v>
      </c>
      <c r="AJ90" s="20" t="n">
        <v>1.8441</v>
      </c>
      <c r="AK90" s="20" t="n">
        <v>1.5392</v>
      </c>
      <c r="AL90" s="20" t="n">
        <v>1.2259</v>
      </c>
      <c r="AM90" s="20" t="n">
        <v>0.9229000000000001</v>
      </c>
      <c r="AN90" s="20" t="n">
        <v>0.6308</v>
      </c>
      <c r="AO90" s="20" t="n">
        <v>0.3683</v>
      </c>
      <c r="AP90" s="20" t="n">
        <v>0.1072</v>
      </c>
      <c r="AQ90" s="20" t="n">
        <v>0.0198</v>
      </c>
      <c r="AR90" s="20" t="n">
        <v>0</v>
      </c>
      <c r="AS90" s="20" t="n">
        <v>0</v>
      </c>
      <c r="AT90" s="20" t="n">
        <v>0</v>
      </c>
      <c r="AU90" s="20" t="n">
        <v>0</v>
      </c>
      <c r="AV90" s="20" t="n">
        <v>0</v>
      </c>
      <c r="AW90" s="20" t="n">
        <v>0</v>
      </c>
      <c r="AX90" s="20" t="n">
        <v>0</v>
      </c>
    </row>
    <row r="91">
      <c r="A91" s="19" t="inlineStr">
        <is>
          <t>Load_TR2_F5_64</t>
        </is>
      </c>
      <c r="B91" s="15" t="inlineStr">
        <is>
          <t>prosumer</t>
        </is>
      </c>
      <c r="C91" s="20" t="n">
        <v>0</v>
      </c>
      <c r="D91" s="20" t="n">
        <v>0</v>
      </c>
      <c r="E91" s="20" t="n">
        <v>0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0.0034</v>
      </c>
      <c r="K91" s="20" t="n">
        <v>0.0497</v>
      </c>
      <c r="L91" s="20" t="n">
        <v>0.2326</v>
      </c>
      <c r="M91" s="20" t="n">
        <v>0.4613</v>
      </c>
      <c r="N91" s="20" t="n">
        <v>0.7419</v>
      </c>
      <c r="O91" s="20" t="n">
        <v>1.0479</v>
      </c>
      <c r="P91" s="20" t="n">
        <v>1.3577</v>
      </c>
      <c r="Q91" s="20" t="n">
        <v>1.666</v>
      </c>
      <c r="R91" s="20" t="n">
        <v>1.9746</v>
      </c>
      <c r="S91" s="20" t="n">
        <v>2.2643</v>
      </c>
      <c r="T91" s="20" t="n">
        <v>2.5367</v>
      </c>
      <c r="U91" s="20" t="n">
        <v>2.7686</v>
      </c>
      <c r="V91" s="20" t="n">
        <v>2.9664</v>
      </c>
      <c r="W91" s="20" t="n">
        <v>3.14</v>
      </c>
      <c r="X91" s="20" t="n">
        <v>3.2833</v>
      </c>
      <c r="Y91" s="20" t="n">
        <v>3.385</v>
      </c>
      <c r="Z91" s="20" t="n">
        <v>3.4296</v>
      </c>
      <c r="AA91" s="20" t="n">
        <v>3.4425</v>
      </c>
      <c r="AB91" s="20" t="n">
        <v>3.4183</v>
      </c>
      <c r="AC91" s="20" t="n">
        <v>3.3372</v>
      </c>
      <c r="AD91" s="20" t="n">
        <v>3.2133</v>
      </c>
      <c r="AE91" s="20" t="n">
        <v>3.0655</v>
      </c>
      <c r="AF91" s="20" t="n">
        <v>2.8782</v>
      </c>
      <c r="AG91" s="20" t="n">
        <v>2.6791</v>
      </c>
      <c r="AH91" s="20" t="n">
        <v>2.4396</v>
      </c>
      <c r="AI91" s="20" t="n">
        <v>2.1698</v>
      </c>
      <c r="AJ91" s="20" t="n">
        <v>1.8441</v>
      </c>
      <c r="AK91" s="20" t="n">
        <v>1.5392</v>
      </c>
      <c r="AL91" s="20" t="n">
        <v>1.2259</v>
      </c>
      <c r="AM91" s="20" t="n">
        <v>0.9229000000000001</v>
      </c>
      <c r="AN91" s="20" t="n">
        <v>0.6308</v>
      </c>
      <c r="AO91" s="20" t="n">
        <v>0.3683</v>
      </c>
      <c r="AP91" s="20" t="n">
        <v>0.1072</v>
      </c>
      <c r="AQ91" s="20" t="n">
        <v>0.0198</v>
      </c>
      <c r="AR91" s="20" t="n">
        <v>0</v>
      </c>
      <c r="AS91" s="20" t="n">
        <v>0</v>
      </c>
      <c r="AT91" s="20" t="n">
        <v>0</v>
      </c>
      <c r="AU91" s="20" t="n">
        <v>0</v>
      </c>
      <c r="AV91" s="20" t="n">
        <v>0</v>
      </c>
      <c r="AW91" s="20" t="n">
        <v>0</v>
      </c>
      <c r="AX91" s="20" t="n">
        <v>0</v>
      </c>
    </row>
    <row r="92">
      <c r="A92" s="10" t="inlineStr">
        <is>
          <t>Load_TR2_F5_65</t>
        </is>
      </c>
      <c r="B92" s="12" t="inlineStr">
        <is>
          <t>customer</t>
        </is>
      </c>
      <c r="C92" s="18" t="n">
        <v>0</v>
      </c>
      <c r="D92" s="18" t="n">
        <v>0</v>
      </c>
      <c r="E92" s="18" t="n">
        <v>0</v>
      </c>
      <c r="F92" s="18" t="n">
        <v>0</v>
      </c>
      <c r="G92" s="18" t="n">
        <v>0</v>
      </c>
      <c r="H92" s="18" t="n">
        <v>0</v>
      </c>
      <c r="I92" s="18" t="n">
        <v>0</v>
      </c>
      <c r="J92" s="18" t="n">
        <v>0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18" t="n">
        <v>0</v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0</v>
      </c>
      <c r="Z92" s="18" t="n">
        <v>0</v>
      </c>
      <c r="AA92" s="18" t="n">
        <v>0</v>
      </c>
      <c r="AB92" s="18" t="n">
        <v>0</v>
      </c>
      <c r="AC92" s="18" t="n">
        <v>0</v>
      </c>
      <c r="AD92" s="18" t="n">
        <v>0</v>
      </c>
      <c r="AE92" s="18" t="n">
        <v>0</v>
      </c>
      <c r="AF92" s="18" t="n">
        <v>0</v>
      </c>
      <c r="AG92" s="18" t="n">
        <v>0</v>
      </c>
      <c r="AH92" s="18" t="n">
        <v>0</v>
      </c>
      <c r="AI92" s="18" t="n">
        <v>0</v>
      </c>
      <c r="AJ92" s="18" t="n">
        <v>0</v>
      </c>
      <c r="AK92" s="18" t="n">
        <v>0</v>
      </c>
      <c r="AL92" s="18" t="n">
        <v>0</v>
      </c>
      <c r="AM92" s="18" t="n">
        <v>0</v>
      </c>
      <c r="AN92" s="18" t="n">
        <v>0</v>
      </c>
      <c r="AO92" s="18" t="n">
        <v>0</v>
      </c>
      <c r="AP92" s="18" t="n">
        <v>0</v>
      </c>
      <c r="AQ92" s="18" t="n">
        <v>0</v>
      </c>
      <c r="AR92" s="18" t="n">
        <v>0</v>
      </c>
      <c r="AS92" s="18" t="n">
        <v>0</v>
      </c>
      <c r="AT92" s="18" t="n">
        <v>0</v>
      </c>
      <c r="AU92" s="18" t="n">
        <v>0</v>
      </c>
      <c r="AV92" s="18" t="n">
        <v>0</v>
      </c>
      <c r="AW92" s="18" t="n">
        <v>0</v>
      </c>
      <c r="AX92" s="18" t="n">
        <v>0</v>
      </c>
    </row>
    <row r="93">
      <c r="A93" s="19" t="inlineStr">
        <is>
          <t>Load_TR2_F5_66</t>
        </is>
      </c>
      <c r="B93" s="15" t="inlineStr">
        <is>
          <t>prosumer</t>
        </is>
      </c>
      <c r="C93" s="20" t="n">
        <v>0</v>
      </c>
      <c r="D93" s="20" t="n">
        <v>0</v>
      </c>
      <c r="E93" s="20" t="n">
        <v>0</v>
      </c>
      <c r="F93" s="20" t="n">
        <v>0</v>
      </c>
      <c r="G93" s="20" t="n">
        <v>0</v>
      </c>
      <c r="H93" s="20" t="n">
        <v>0</v>
      </c>
      <c r="I93" s="20" t="n">
        <v>0</v>
      </c>
      <c r="J93" s="20" t="n">
        <v>0.0022</v>
      </c>
      <c r="K93" s="20" t="n">
        <v>0.0311</v>
      </c>
      <c r="L93" s="20" t="n">
        <v>0.1454</v>
      </c>
      <c r="M93" s="20" t="n">
        <v>0.2883</v>
      </c>
      <c r="N93" s="20" t="n">
        <v>0.4637</v>
      </c>
      <c r="O93" s="20" t="n">
        <v>0.6549</v>
      </c>
      <c r="P93" s="20" t="n">
        <v>0.8486</v>
      </c>
      <c r="Q93" s="20" t="n">
        <v>1.0412</v>
      </c>
      <c r="R93" s="20" t="n">
        <v>1.2341</v>
      </c>
      <c r="S93" s="20" t="n">
        <v>1.4152</v>
      </c>
      <c r="T93" s="20" t="n">
        <v>1.5854</v>
      </c>
      <c r="U93" s="20" t="n">
        <v>1.7304</v>
      </c>
      <c r="V93" s="20" t="n">
        <v>1.854</v>
      </c>
      <c r="W93" s="20" t="n">
        <v>1.9625</v>
      </c>
      <c r="X93" s="20" t="n">
        <v>2.0521</v>
      </c>
      <c r="Y93" s="20" t="n">
        <v>2.1156</v>
      </c>
      <c r="Z93" s="20" t="n">
        <v>2.1435</v>
      </c>
      <c r="AA93" s="20" t="n">
        <v>2.1516</v>
      </c>
      <c r="AB93" s="20" t="n">
        <v>2.1365</v>
      </c>
      <c r="AC93" s="20" t="n">
        <v>2.0857</v>
      </c>
      <c r="AD93" s="20" t="n">
        <v>2.0083</v>
      </c>
      <c r="AE93" s="20" t="n">
        <v>1.9159</v>
      </c>
      <c r="AF93" s="20" t="n">
        <v>1.7989</v>
      </c>
      <c r="AG93" s="20" t="n">
        <v>1.6745</v>
      </c>
      <c r="AH93" s="20" t="n">
        <v>1.5247</v>
      </c>
      <c r="AI93" s="20" t="n">
        <v>1.3561</v>
      </c>
      <c r="AJ93" s="20" t="n">
        <v>1.1525</v>
      </c>
      <c r="AK93" s="20" t="n">
        <v>0.962</v>
      </c>
      <c r="AL93" s="20" t="n">
        <v>0.7662</v>
      </c>
      <c r="AM93" s="20" t="n">
        <v>0.5768</v>
      </c>
      <c r="AN93" s="20" t="n">
        <v>0.3942</v>
      </c>
      <c r="AO93" s="20" t="n">
        <v>0.2302</v>
      </c>
      <c r="AP93" s="20" t="n">
        <v>0.067</v>
      </c>
      <c r="AQ93" s="20" t="n">
        <v>0.0124</v>
      </c>
      <c r="AR93" s="20" t="n">
        <v>0</v>
      </c>
      <c r="AS93" s="20" t="n">
        <v>0</v>
      </c>
      <c r="AT93" s="20" t="n">
        <v>0</v>
      </c>
      <c r="AU93" s="20" t="n">
        <v>0</v>
      </c>
      <c r="AV93" s="20" t="n">
        <v>0</v>
      </c>
      <c r="AW93" s="20" t="n">
        <v>0</v>
      </c>
      <c r="AX93" s="20" t="n">
        <v>0</v>
      </c>
    </row>
    <row r="94">
      <c r="A94" s="19" t="inlineStr">
        <is>
          <t>Load_TR2_F5_67</t>
        </is>
      </c>
      <c r="B94" s="15" t="inlineStr">
        <is>
          <t>prosumer</t>
        </is>
      </c>
      <c r="C94" s="20" t="n">
        <v>0</v>
      </c>
      <c r="D94" s="20" t="n">
        <v>0</v>
      </c>
      <c r="E94" s="20" t="n">
        <v>0</v>
      </c>
      <c r="F94" s="20" t="n">
        <v>0</v>
      </c>
      <c r="G94" s="20" t="n">
        <v>0</v>
      </c>
      <c r="H94" s="20" t="n">
        <v>0</v>
      </c>
      <c r="I94" s="20" t="n">
        <v>0</v>
      </c>
      <c r="J94" s="20" t="n">
        <v>0.0017</v>
      </c>
      <c r="K94" s="20" t="n">
        <v>0.0249</v>
      </c>
      <c r="L94" s="20" t="n">
        <v>0.1163</v>
      </c>
      <c r="M94" s="20" t="n">
        <v>0.2307</v>
      </c>
      <c r="N94" s="20" t="n">
        <v>0.3709</v>
      </c>
      <c r="O94" s="20" t="n">
        <v>0.524</v>
      </c>
      <c r="P94" s="20" t="n">
        <v>0.6788999999999999</v>
      </c>
      <c r="Q94" s="20" t="n">
        <v>0.833</v>
      </c>
      <c r="R94" s="20" t="n">
        <v>0.9873</v>
      </c>
      <c r="S94" s="20" t="n">
        <v>1.1322</v>
      </c>
      <c r="T94" s="20" t="n">
        <v>1.2683</v>
      </c>
      <c r="U94" s="20" t="n">
        <v>1.3843</v>
      </c>
      <c r="V94" s="20" t="n">
        <v>1.4832</v>
      </c>
      <c r="W94" s="20" t="n">
        <v>1.57</v>
      </c>
      <c r="X94" s="20" t="n">
        <v>1.6417</v>
      </c>
      <c r="Y94" s="20" t="n">
        <v>1.6925</v>
      </c>
      <c r="Z94" s="20" t="n">
        <v>1.7148</v>
      </c>
      <c r="AA94" s="20" t="n">
        <v>1.7212</v>
      </c>
      <c r="AB94" s="20" t="n">
        <v>1.7092</v>
      </c>
      <c r="AC94" s="20" t="n">
        <v>1.6686</v>
      </c>
      <c r="AD94" s="20" t="n">
        <v>1.6067</v>
      </c>
      <c r="AE94" s="20" t="n">
        <v>1.5328</v>
      </c>
      <c r="AF94" s="20" t="n">
        <v>1.4391</v>
      </c>
      <c r="AG94" s="20" t="n">
        <v>1.3396</v>
      </c>
      <c r="AH94" s="20" t="n">
        <v>1.2198</v>
      </c>
      <c r="AI94" s="20" t="n">
        <v>1.0849</v>
      </c>
      <c r="AJ94" s="20" t="n">
        <v>0.922</v>
      </c>
      <c r="AK94" s="20" t="n">
        <v>0.7696</v>
      </c>
      <c r="AL94" s="20" t="n">
        <v>0.613</v>
      </c>
      <c r="AM94" s="20" t="n">
        <v>0.4615</v>
      </c>
      <c r="AN94" s="20" t="n">
        <v>0.3154</v>
      </c>
      <c r="AO94" s="20" t="n">
        <v>0.1842</v>
      </c>
      <c r="AP94" s="20" t="n">
        <v>0.0536</v>
      </c>
      <c r="AQ94" s="20" t="n">
        <v>0.009900000000000001</v>
      </c>
      <c r="AR94" s="20" t="n">
        <v>0</v>
      </c>
      <c r="AS94" s="20" t="n">
        <v>0</v>
      </c>
      <c r="AT94" s="20" t="n">
        <v>0</v>
      </c>
      <c r="AU94" s="20" t="n">
        <v>0</v>
      </c>
      <c r="AV94" s="20" t="n">
        <v>0</v>
      </c>
      <c r="AW94" s="20" t="n">
        <v>0</v>
      </c>
      <c r="AX94" s="20" t="n">
        <v>0</v>
      </c>
    </row>
    <row r="95">
      <c r="A95" s="10" t="inlineStr">
        <is>
          <t>Load_TR2_F5_68</t>
        </is>
      </c>
      <c r="B95" s="12" t="inlineStr">
        <is>
          <t>customer</t>
        </is>
      </c>
      <c r="C95" s="18" t="n">
        <v>0</v>
      </c>
      <c r="D95" s="18" t="n">
        <v>0</v>
      </c>
      <c r="E95" s="18" t="n">
        <v>0</v>
      </c>
      <c r="F95" s="18" t="n">
        <v>0</v>
      </c>
      <c r="G95" s="18" t="n">
        <v>0</v>
      </c>
      <c r="H95" s="18" t="n">
        <v>0</v>
      </c>
      <c r="I95" s="18" t="n">
        <v>0</v>
      </c>
      <c r="J95" s="18" t="n">
        <v>0</v>
      </c>
      <c r="K95" s="18" t="n">
        <v>0</v>
      </c>
      <c r="L95" s="18" t="n">
        <v>0</v>
      </c>
      <c r="M95" s="18" t="n">
        <v>0</v>
      </c>
      <c r="N95" s="18" t="n">
        <v>0</v>
      </c>
      <c r="O95" s="18" t="n">
        <v>0</v>
      </c>
      <c r="P95" s="18" t="n">
        <v>0</v>
      </c>
      <c r="Q95" s="18" t="n">
        <v>0</v>
      </c>
      <c r="R95" s="18" t="n">
        <v>0</v>
      </c>
      <c r="S95" s="18" t="n">
        <v>0</v>
      </c>
      <c r="T95" s="18" t="n">
        <v>0</v>
      </c>
      <c r="U95" s="18" t="n">
        <v>0</v>
      </c>
      <c r="V95" s="18" t="n">
        <v>0</v>
      </c>
      <c r="W95" s="18" t="n">
        <v>0</v>
      </c>
      <c r="X95" s="18" t="n">
        <v>0</v>
      </c>
      <c r="Y95" s="18" t="n">
        <v>0</v>
      </c>
      <c r="Z95" s="18" t="n">
        <v>0</v>
      </c>
      <c r="AA95" s="18" t="n">
        <v>0</v>
      </c>
      <c r="AB95" s="18" t="n">
        <v>0</v>
      </c>
      <c r="AC95" s="18" t="n">
        <v>0</v>
      </c>
      <c r="AD95" s="18" t="n">
        <v>0</v>
      </c>
      <c r="AE95" s="18" t="n">
        <v>0</v>
      </c>
      <c r="AF95" s="18" t="n">
        <v>0</v>
      </c>
      <c r="AG95" s="18" t="n">
        <v>0</v>
      </c>
      <c r="AH95" s="18" t="n">
        <v>0</v>
      </c>
      <c r="AI95" s="18" t="n">
        <v>0</v>
      </c>
      <c r="AJ95" s="18" t="n">
        <v>0</v>
      </c>
      <c r="AK95" s="18" t="n">
        <v>0</v>
      </c>
      <c r="AL95" s="18" t="n">
        <v>0</v>
      </c>
      <c r="AM95" s="18" t="n">
        <v>0</v>
      </c>
      <c r="AN95" s="18" t="n">
        <v>0</v>
      </c>
      <c r="AO95" s="18" t="n">
        <v>0</v>
      </c>
      <c r="AP95" s="18" t="n">
        <v>0</v>
      </c>
      <c r="AQ95" s="18" t="n">
        <v>0</v>
      </c>
      <c r="AR95" s="18" t="n">
        <v>0</v>
      </c>
      <c r="AS95" s="18" t="n">
        <v>0</v>
      </c>
      <c r="AT95" s="18" t="n">
        <v>0</v>
      </c>
      <c r="AU95" s="18" t="n">
        <v>0</v>
      </c>
      <c r="AV95" s="18" t="n">
        <v>0</v>
      </c>
      <c r="AW95" s="18" t="n">
        <v>0</v>
      </c>
      <c r="AX95" s="18" t="n">
        <v>0</v>
      </c>
    </row>
    <row r="96">
      <c r="A96" s="19" t="inlineStr">
        <is>
          <t>Load_TR2_F5_7</t>
        </is>
      </c>
      <c r="B96" s="15" t="inlineStr">
        <is>
          <t>prosumer</t>
        </is>
      </c>
      <c r="C96" s="20" t="n">
        <v>0</v>
      </c>
      <c r="D96" s="20" t="n">
        <v>0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0.0034</v>
      </c>
      <c r="K96" s="20" t="n">
        <v>0.0497</v>
      </c>
      <c r="L96" s="20" t="n">
        <v>0.2326</v>
      </c>
      <c r="M96" s="20" t="n">
        <v>0.4613</v>
      </c>
      <c r="N96" s="20" t="n">
        <v>0.7419</v>
      </c>
      <c r="O96" s="20" t="n">
        <v>1.0479</v>
      </c>
      <c r="P96" s="20" t="n">
        <v>1.3577</v>
      </c>
      <c r="Q96" s="20" t="n">
        <v>1.666</v>
      </c>
      <c r="R96" s="20" t="n">
        <v>1.9746</v>
      </c>
      <c r="S96" s="20" t="n">
        <v>2.2643</v>
      </c>
      <c r="T96" s="20" t="n">
        <v>2.5367</v>
      </c>
      <c r="U96" s="20" t="n">
        <v>2.7686</v>
      </c>
      <c r="V96" s="20" t="n">
        <v>2.9664</v>
      </c>
      <c r="W96" s="20" t="n">
        <v>3.14</v>
      </c>
      <c r="X96" s="20" t="n">
        <v>3.2833</v>
      </c>
      <c r="Y96" s="20" t="n">
        <v>3.385</v>
      </c>
      <c r="Z96" s="20" t="n">
        <v>3.4296</v>
      </c>
      <c r="AA96" s="20" t="n">
        <v>3.4425</v>
      </c>
      <c r="AB96" s="20" t="n">
        <v>3.4183</v>
      </c>
      <c r="AC96" s="20" t="n">
        <v>3.3372</v>
      </c>
      <c r="AD96" s="20" t="n">
        <v>3.2133</v>
      </c>
      <c r="AE96" s="20" t="n">
        <v>3.0655</v>
      </c>
      <c r="AF96" s="20" t="n">
        <v>2.8782</v>
      </c>
      <c r="AG96" s="20" t="n">
        <v>2.6791</v>
      </c>
      <c r="AH96" s="20" t="n">
        <v>2.4396</v>
      </c>
      <c r="AI96" s="20" t="n">
        <v>2.1698</v>
      </c>
      <c r="AJ96" s="20" t="n">
        <v>1.8441</v>
      </c>
      <c r="AK96" s="20" t="n">
        <v>1.5392</v>
      </c>
      <c r="AL96" s="20" t="n">
        <v>1.2259</v>
      </c>
      <c r="AM96" s="20" t="n">
        <v>0.9229000000000001</v>
      </c>
      <c r="AN96" s="20" t="n">
        <v>0.6308</v>
      </c>
      <c r="AO96" s="20" t="n">
        <v>0.3683</v>
      </c>
      <c r="AP96" s="20" t="n">
        <v>0.1072</v>
      </c>
      <c r="AQ96" s="20" t="n">
        <v>0.0198</v>
      </c>
      <c r="AR96" s="20" t="n">
        <v>0</v>
      </c>
      <c r="AS96" s="20" t="n">
        <v>0</v>
      </c>
      <c r="AT96" s="20" t="n">
        <v>0</v>
      </c>
      <c r="AU96" s="20" t="n">
        <v>0</v>
      </c>
      <c r="AV96" s="20" t="n">
        <v>0</v>
      </c>
      <c r="AW96" s="20" t="n">
        <v>0</v>
      </c>
      <c r="AX96" s="20" t="n">
        <v>0</v>
      </c>
    </row>
    <row r="97">
      <c r="A97" s="10" t="inlineStr">
        <is>
          <t>Load_TR2_F5_8</t>
        </is>
      </c>
      <c r="B97" s="12" t="inlineStr">
        <is>
          <t>customer</t>
        </is>
      </c>
      <c r="C97" s="18" t="n">
        <v>0</v>
      </c>
      <c r="D97" s="18" t="n">
        <v>0</v>
      </c>
      <c r="E97" s="18" t="n">
        <v>0</v>
      </c>
      <c r="F97" s="18" t="n">
        <v>0</v>
      </c>
      <c r="G97" s="18" t="n">
        <v>0</v>
      </c>
      <c r="H97" s="18" t="n">
        <v>0</v>
      </c>
      <c r="I97" s="18" t="n">
        <v>0</v>
      </c>
      <c r="J97" s="18" t="n">
        <v>0</v>
      </c>
      <c r="K97" s="18" t="n">
        <v>0</v>
      </c>
      <c r="L97" s="18" t="n">
        <v>0</v>
      </c>
      <c r="M97" s="18" t="n">
        <v>0</v>
      </c>
      <c r="N97" s="18" t="n">
        <v>0</v>
      </c>
      <c r="O97" s="18" t="n">
        <v>0</v>
      </c>
      <c r="P97" s="18" t="n">
        <v>0</v>
      </c>
      <c r="Q97" s="18" t="n">
        <v>0</v>
      </c>
      <c r="R97" s="18" t="n">
        <v>0</v>
      </c>
      <c r="S97" s="18" t="n">
        <v>0</v>
      </c>
      <c r="T97" s="18" t="n">
        <v>0</v>
      </c>
      <c r="U97" s="18" t="n">
        <v>0</v>
      </c>
      <c r="V97" s="18" t="n">
        <v>0</v>
      </c>
      <c r="W97" s="18" t="n">
        <v>0</v>
      </c>
      <c r="X97" s="18" t="n">
        <v>0</v>
      </c>
      <c r="Y97" s="18" t="n">
        <v>0</v>
      </c>
      <c r="Z97" s="18" t="n">
        <v>0</v>
      </c>
      <c r="AA97" s="18" t="n">
        <v>0</v>
      </c>
      <c r="AB97" s="18" t="n">
        <v>0</v>
      </c>
      <c r="AC97" s="18" t="n">
        <v>0</v>
      </c>
      <c r="AD97" s="18" t="n">
        <v>0</v>
      </c>
      <c r="AE97" s="18" t="n">
        <v>0</v>
      </c>
      <c r="AF97" s="18" t="n">
        <v>0</v>
      </c>
      <c r="AG97" s="18" t="n">
        <v>0</v>
      </c>
      <c r="AH97" s="18" t="n">
        <v>0</v>
      </c>
      <c r="AI97" s="18" t="n">
        <v>0</v>
      </c>
      <c r="AJ97" s="18" t="n">
        <v>0</v>
      </c>
      <c r="AK97" s="18" t="n">
        <v>0</v>
      </c>
      <c r="AL97" s="18" t="n">
        <v>0</v>
      </c>
      <c r="AM97" s="18" t="n">
        <v>0</v>
      </c>
      <c r="AN97" s="18" t="n">
        <v>0</v>
      </c>
      <c r="AO97" s="18" t="n">
        <v>0</v>
      </c>
      <c r="AP97" s="18" t="n">
        <v>0</v>
      </c>
      <c r="AQ97" s="18" t="n">
        <v>0</v>
      </c>
      <c r="AR97" s="18" t="n">
        <v>0</v>
      </c>
      <c r="AS97" s="18" t="n">
        <v>0</v>
      </c>
      <c r="AT97" s="18" t="n">
        <v>0</v>
      </c>
      <c r="AU97" s="18" t="n">
        <v>0</v>
      </c>
      <c r="AV97" s="18" t="n">
        <v>0</v>
      </c>
      <c r="AW97" s="18" t="n">
        <v>0</v>
      </c>
      <c r="AX97" s="18" t="n">
        <v>0</v>
      </c>
    </row>
    <row r="98">
      <c r="A98" s="10" t="inlineStr">
        <is>
          <t>Load_TR2_F5_9</t>
        </is>
      </c>
      <c r="B98" s="12" t="inlineStr">
        <is>
          <t>customer</t>
        </is>
      </c>
      <c r="C98" s="18" t="n">
        <v>0</v>
      </c>
      <c r="D98" s="18" t="n">
        <v>0</v>
      </c>
      <c r="E98" s="18" t="n">
        <v>0</v>
      </c>
      <c r="F98" s="18" t="n">
        <v>0</v>
      </c>
      <c r="G98" s="18" t="n">
        <v>0</v>
      </c>
      <c r="H98" s="18" t="n">
        <v>0</v>
      </c>
      <c r="I98" s="18" t="n">
        <v>0</v>
      </c>
      <c r="J98" s="18" t="n">
        <v>0</v>
      </c>
      <c r="K98" s="18" t="n">
        <v>0</v>
      </c>
      <c r="L98" s="18" t="n">
        <v>0</v>
      </c>
      <c r="M98" s="18" t="n">
        <v>0</v>
      </c>
      <c r="N98" s="18" t="n">
        <v>0</v>
      </c>
      <c r="O98" s="18" t="n">
        <v>0</v>
      </c>
      <c r="P98" s="18" t="n">
        <v>0</v>
      </c>
      <c r="Q98" s="18" t="n">
        <v>0</v>
      </c>
      <c r="R98" s="18" t="n">
        <v>0</v>
      </c>
      <c r="S98" s="18" t="n">
        <v>0</v>
      </c>
      <c r="T98" s="18" t="n">
        <v>0</v>
      </c>
      <c r="U98" s="18" t="n">
        <v>0</v>
      </c>
      <c r="V98" s="18" t="n">
        <v>0</v>
      </c>
      <c r="W98" s="18" t="n">
        <v>0</v>
      </c>
      <c r="X98" s="18" t="n">
        <v>0</v>
      </c>
      <c r="Y98" s="18" t="n">
        <v>0</v>
      </c>
      <c r="Z98" s="18" t="n">
        <v>0</v>
      </c>
      <c r="AA98" s="18" t="n">
        <v>0</v>
      </c>
      <c r="AB98" s="18" t="n">
        <v>0</v>
      </c>
      <c r="AC98" s="18" t="n">
        <v>0</v>
      </c>
      <c r="AD98" s="18" t="n">
        <v>0</v>
      </c>
      <c r="AE98" s="18" t="n">
        <v>0</v>
      </c>
      <c r="AF98" s="18" t="n">
        <v>0</v>
      </c>
      <c r="AG98" s="18" t="n">
        <v>0</v>
      </c>
      <c r="AH98" s="18" t="n">
        <v>0</v>
      </c>
      <c r="AI98" s="18" t="n">
        <v>0</v>
      </c>
      <c r="AJ98" s="18" t="n">
        <v>0</v>
      </c>
      <c r="AK98" s="18" t="n">
        <v>0</v>
      </c>
      <c r="AL98" s="18" t="n">
        <v>0</v>
      </c>
      <c r="AM98" s="18" t="n">
        <v>0</v>
      </c>
      <c r="AN98" s="18" t="n">
        <v>0</v>
      </c>
      <c r="AO98" s="18" t="n">
        <v>0</v>
      </c>
      <c r="AP98" s="18" t="n">
        <v>0</v>
      </c>
      <c r="AQ98" s="18" t="n">
        <v>0</v>
      </c>
      <c r="AR98" s="18" t="n">
        <v>0</v>
      </c>
      <c r="AS98" s="18" t="n">
        <v>0</v>
      </c>
      <c r="AT98" s="18" t="n">
        <v>0</v>
      </c>
      <c r="AU98" s="18" t="n">
        <v>0</v>
      </c>
      <c r="AV98" s="18" t="n">
        <v>0</v>
      </c>
      <c r="AW98" s="18" t="n">
        <v>0</v>
      </c>
      <c r="AX98" s="18" t="n">
        <v>0</v>
      </c>
    </row>
    <row r="99">
      <c r="A99" s="19" t="inlineStr">
        <is>
          <t>Load_TR2_F6_1</t>
        </is>
      </c>
      <c r="B99" s="15" t="inlineStr">
        <is>
          <t>prosumer</t>
        </is>
      </c>
      <c r="C99" s="20" t="n">
        <v>0</v>
      </c>
      <c r="D99" s="20" t="n">
        <v>0</v>
      </c>
      <c r="E99" s="20" t="n">
        <v>0</v>
      </c>
      <c r="F99" s="20" t="n">
        <v>0</v>
      </c>
      <c r="G99" s="20" t="n">
        <v>0</v>
      </c>
      <c r="H99" s="20" t="n">
        <v>0</v>
      </c>
      <c r="I99" s="20" t="n">
        <v>0</v>
      </c>
      <c r="J99" s="20" t="n">
        <v>0.0026</v>
      </c>
      <c r="K99" s="20" t="n">
        <v>0.0373</v>
      </c>
      <c r="L99" s="20" t="n">
        <v>0.1744</v>
      </c>
      <c r="M99" s="20" t="n">
        <v>0.346</v>
      </c>
      <c r="N99" s="20" t="n">
        <v>0.5564</v>
      </c>
      <c r="O99" s="20" t="n">
        <v>0.7859</v>
      </c>
      <c r="P99" s="20" t="n">
        <v>1.0183</v>
      </c>
      <c r="Q99" s="20" t="n">
        <v>1.2495</v>
      </c>
      <c r="R99" s="20" t="n">
        <v>1.481</v>
      </c>
      <c r="S99" s="20" t="n">
        <v>1.6982</v>
      </c>
      <c r="T99" s="20" t="n">
        <v>1.9025</v>
      </c>
      <c r="U99" s="20" t="n">
        <v>2.0764</v>
      </c>
      <c r="V99" s="20" t="n">
        <v>2.2248</v>
      </c>
      <c r="W99" s="20" t="n">
        <v>2.355</v>
      </c>
      <c r="X99" s="20" t="n">
        <v>2.4625</v>
      </c>
      <c r="Y99" s="20" t="n">
        <v>2.5387</v>
      </c>
      <c r="Z99" s="20" t="n">
        <v>2.5722</v>
      </c>
      <c r="AA99" s="20" t="n">
        <v>2.5819</v>
      </c>
      <c r="AB99" s="20" t="n">
        <v>2.5637</v>
      </c>
      <c r="AC99" s="20" t="n">
        <v>2.5029</v>
      </c>
      <c r="AD99" s="20" t="n">
        <v>2.41</v>
      </c>
      <c r="AE99" s="20" t="n">
        <v>2.2991</v>
      </c>
      <c r="AF99" s="20" t="n">
        <v>2.1586</v>
      </c>
      <c r="AG99" s="20" t="n">
        <v>2.0093</v>
      </c>
      <c r="AH99" s="20" t="n">
        <v>1.8297</v>
      </c>
      <c r="AI99" s="20" t="n">
        <v>1.6274</v>
      </c>
      <c r="AJ99" s="20" t="n">
        <v>1.3831</v>
      </c>
      <c r="AK99" s="20" t="n">
        <v>1.1544</v>
      </c>
      <c r="AL99" s="20" t="n">
        <v>0.9195</v>
      </c>
      <c r="AM99" s="20" t="n">
        <v>0.6922</v>
      </c>
      <c r="AN99" s="20" t="n">
        <v>0.4731</v>
      </c>
      <c r="AO99" s="20" t="n">
        <v>0.2762</v>
      </c>
      <c r="AP99" s="20" t="n">
        <v>0.0804</v>
      </c>
      <c r="AQ99" s="20" t="n">
        <v>0.0148</v>
      </c>
      <c r="AR99" s="20" t="n">
        <v>0</v>
      </c>
      <c r="AS99" s="20" t="n">
        <v>0</v>
      </c>
      <c r="AT99" s="20" t="n">
        <v>0</v>
      </c>
      <c r="AU99" s="20" t="n">
        <v>0</v>
      </c>
      <c r="AV99" s="20" t="n">
        <v>0</v>
      </c>
      <c r="AW99" s="20" t="n">
        <v>0</v>
      </c>
      <c r="AX99" s="20" t="n">
        <v>0</v>
      </c>
    </row>
    <row r="100">
      <c r="A100" s="19" t="inlineStr">
        <is>
          <t>Load_TR2_F6_10</t>
        </is>
      </c>
      <c r="B100" s="15" t="inlineStr">
        <is>
          <t>prosumer</t>
        </is>
      </c>
      <c r="C100" s="20" t="n">
        <v>0</v>
      </c>
      <c r="D100" s="20" t="n">
        <v>0</v>
      </c>
      <c r="E100" s="20" t="n">
        <v>0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0.0017</v>
      </c>
      <c r="K100" s="20" t="n">
        <v>0.0249</v>
      </c>
      <c r="L100" s="20" t="n">
        <v>0.1163</v>
      </c>
      <c r="M100" s="20" t="n">
        <v>0.2307</v>
      </c>
      <c r="N100" s="20" t="n">
        <v>0.3709</v>
      </c>
      <c r="O100" s="20" t="n">
        <v>0.524</v>
      </c>
      <c r="P100" s="20" t="n">
        <v>0.6788999999999999</v>
      </c>
      <c r="Q100" s="20" t="n">
        <v>0.833</v>
      </c>
      <c r="R100" s="20" t="n">
        <v>0.9873</v>
      </c>
      <c r="S100" s="20" t="n">
        <v>1.1322</v>
      </c>
      <c r="T100" s="20" t="n">
        <v>1.2683</v>
      </c>
      <c r="U100" s="20" t="n">
        <v>1.3843</v>
      </c>
      <c r="V100" s="20" t="n">
        <v>1.4832</v>
      </c>
      <c r="W100" s="20" t="n">
        <v>1.57</v>
      </c>
      <c r="X100" s="20" t="n">
        <v>1.6417</v>
      </c>
      <c r="Y100" s="20" t="n">
        <v>1.6925</v>
      </c>
      <c r="Z100" s="20" t="n">
        <v>1.7148</v>
      </c>
      <c r="AA100" s="20" t="n">
        <v>1.7212</v>
      </c>
      <c r="AB100" s="20" t="n">
        <v>1.7092</v>
      </c>
      <c r="AC100" s="20" t="n">
        <v>1.6686</v>
      </c>
      <c r="AD100" s="20" t="n">
        <v>1.6067</v>
      </c>
      <c r="AE100" s="20" t="n">
        <v>1.5328</v>
      </c>
      <c r="AF100" s="20" t="n">
        <v>1.4391</v>
      </c>
      <c r="AG100" s="20" t="n">
        <v>1.3396</v>
      </c>
      <c r="AH100" s="20" t="n">
        <v>1.2198</v>
      </c>
      <c r="AI100" s="20" t="n">
        <v>1.0849</v>
      </c>
      <c r="AJ100" s="20" t="n">
        <v>0.922</v>
      </c>
      <c r="AK100" s="20" t="n">
        <v>0.7696</v>
      </c>
      <c r="AL100" s="20" t="n">
        <v>0.613</v>
      </c>
      <c r="AM100" s="20" t="n">
        <v>0.4615</v>
      </c>
      <c r="AN100" s="20" t="n">
        <v>0.3154</v>
      </c>
      <c r="AO100" s="20" t="n">
        <v>0.1842</v>
      </c>
      <c r="AP100" s="20" t="n">
        <v>0.0536</v>
      </c>
      <c r="AQ100" s="20" t="n">
        <v>0.009900000000000001</v>
      </c>
      <c r="AR100" s="20" t="n">
        <v>0</v>
      </c>
      <c r="AS100" s="20" t="n">
        <v>0</v>
      </c>
      <c r="AT100" s="20" t="n">
        <v>0</v>
      </c>
      <c r="AU100" s="20" t="n">
        <v>0</v>
      </c>
      <c r="AV100" s="20" t="n">
        <v>0</v>
      </c>
      <c r="AW100" s="20" t="n">
        <v>0</v>
      </c>
      <c r="AX100" s="20" t="n">
        <v>0</v>
      </c>
    </row>
    <row r="101">
      <c r="A101" s="19" t="inlineStr">
        <is>
          <t>Load_TR2_F6_11</t>
        </is>
      </c>
      <c r="B101" s="15" t="inlineStr">
        <is>
          <t>prosumer</t>
        </is>
      </c>
      <c r="C101" s="20" t="n">
        <v>0</v>
      </c>
      <c r="D101" s="20" t="n">
        <v>0</v>
      </c>
      <c r="E101" s="20" t="n">
        <v>0</v>
      </c>
      <c r="F101" s="20" t="n">
        <v>0</v>
      </c>
      <c r="G101" s="20" t="n">
        <v>0</v>
      </c>
      <c r="H101" s="20" t="n">
        <v>0</v>
      </c>
      <c r="I101" s="20" t="n">
        <v>0</v>
      </c>
      <c r="J101" s="20" t="n">
        <v>0.0034</v>
      </c>
      <c r="K101" s="20" t="n">
        <v>0.0497</v>
      </c>
      <c r="L101" s="20" t="n">
        <v>0.2326</v>
      </c>
      <c r="M101" s="20" t="n">
        <v>0.4613</v>
      </c>
      <c r="N101" s="20" t="n">
        <v>0.7419</v>
      </c>
      <c r="O101" s="20" t="n">
        <v>1.0479</v>
      </c>
      <c r="P101" s="20" t="n">
        <v>1.3577</v>
      </c>
      <c r="Q101" s="20" t="n">
        <v>1.666</v>
      </c>
      <c r="R101" s="20" t="n">
        <v>1.9746</v>
      </c>
      <c r="S101" s="20" t="n">
        <v>2.2643</v>
      </c>
      <c r="T101" s="20" t="n">
        <v>2.5367</v>
      </c>
      <c r="U101" s="20" t="n">
        <v>2.7686</v>
      </c>
      <c r="V101" s="20" t="n">
        <v>2.9664</v>
      </c>
      <c r="W101" s="20" t="n">
        <v>3.14</v>
      </c>
      <c r="X101" s="20" t="n">
        <v>3.2833</v>
      </c>
      <c r="Y101" s="20" t="n">
        <v>3.385</v>
      </c>
      <c r="Z101" s="20" t="n">
        <v>3.4296</v>
      </c>
      <c r="AA101" s="20" t="n">
        <v>3.4425</v>
      </c>
      <c r="AB101" s="20" t="n">
        <v>3.4183</v>
      </c>
      <c r="AC101" s="20" t="n">
        <v>3.3372</v>
      </c>
      <c r="AD101" s="20" t="n">
        <v>3.2133</v>
      </c>
      <c r="AE101" s="20" t="n">
        <v>3.0655</v>
      </c>
      <c r="AF101" s="20" t="n">
        <v>2.8782</v>
      </c>
      <c r="AG101" s="20" t="n">
        <v>2.6791</v>
      </c>
      <c r="AH101" s="20" t="n">
        <v>2.4396</v>
      </c>
      <c r="AI101" s="20" t="n">
        <v>2.1698</v>
      </c>
      <c r="AJ101" s="20" t="n">
        <v>1.8441</v>
      </c>
      <c r="AK101" s="20" t="n">
        <v>1.5392</v>
      </c>
      <c r="AL101" s="20" t="n">
        <v>1.2259</v>
      </c>
      <c r="AM101" s="20" t="n">
        <v>0.9229000000000001</v>
      </c>
      <c r="AN101" s="20" t="n">
        <v>0.6308</v>
      </c>
      <c r="AO101" s="20" t="n">
        <v>0.3683</v>
      </c>
      <c r="AP101" s="20" t="n">
        <v>0.1072</v>
      </c>
      <c r="AQ101" s="20" t="n">
        <v>0.0198</v>
      </c>
      <c r="AR101" s="20" t="n">
        <v>0</v>
      </c>
      <c r="AS101" s="20" t="n">
        <v>0</v>
      </c>
      <c r="AT101" s="20" t="n">
        <v>0</v>
      </c>
      <c r="AU101" s="20" t="n">
        <v>0</v>
      </c>
      <c r="AV101" s="20" t="n">
        <v>0</v>
      </c>
      <c r="AW101" s="20" t="n">
        <v>0</v>
      </c>
      <c r="AX101" s="20" t="n">
        <v>0</v>
      </c>
    </row>
    <row r="102">
      <c r="A102" s="19" t="inlineStr">
        <is>
          <t>Load_TR2_F6_12</t>
        </is>
      </c>
      <c r="B102" s="15" t="inlineStr">
        <is>
          <t>prosumer</t>
        </is>
      </c>
      <c r="C102" s="20" t="n">
        <v>0</v>
      </c>
      <c r="D102" s="20" t="n">
        <v>0</v>
      </c>
      <c r="E102" s="20" t="n">
        <v>0</v>
      </c>
      <c r="F102" s="20" t="n">
        <v>0</v>
      </c>
      <c r="G102" s="20" t="n">
        <v>0</v>
      </c>
      <c r="H102" s="20" t="n">
        <v>0</v>
      </c>
      <c r="I102" s="20" t="n">
        <v>0</v>
      </c>
      <c r="J102" s="20" t="n">
        <v>0.0034</v>
      </c>
      <c r="K102" s="20" t="n">
        <v>0.0497</v>
      </c>
      <c r="L102" s="20" t="n">
        <v>0.2326</v>
      </c>
      <c r="M102" s="20" t="n">
        <v>0.4613</v>
      </c>
      <c r="N102" s="20" t="n">
        <v>0.7419</v>
      </c>
      <c r="O102" s="20" t="n">
        <v>1.0479</v>
      </c>
      <c r="P102" s="20" t="n">
        <v>1.3577</v>
      </c>
      <c r="Q102" s="20" t="n">
        <v>1.666</v>
      </c>
      <c r="R102" s="20" t="n">
        <v>1.9746</v>
      </c>
      <c r="S102" s="20" t="n">
        <v>2.2643</v>
      </c>
      <c r="T102" s="20" t="n">
        <v>2.5367</v>
      </c>
      <c r="U102" s="20" t="n">
        <v>2.7686</v>
      </c>
      <c r="V102" s="20" t="n">
        <v>2.9664</v>
      </c>
      <c r="W102" s="20" t="n">
        <v>3.14</v>
      </c>
      <c r="X102" s="20" t="n">
        <v>3.2833</v>
      </c>
      <c r="Y102" s="20" t="n">
        <v>3.385</v>
      </c>
      <c r="Z102" s="20" t="n">
        <v>3.4296</v>
      </c>
      <c r="AA102" s="20" t="n">
        <v>3.4425</v>
      </c>
      <c r="AB102" s="20" t="n">
        <v>3.4183</v>
      </c>
      <c r="AC102" s="20" t="n">
        <v>3.3372</v>
      </c>
      <c r="AD102" s="20" t="n">
        <v>3.2133</v>
      </c>
      <c r="AE102" s="20" t="n">
        <v>3.0655</v>
      </c>
      <c r="AF102" s="20" t="n">
        <v>2.8782</v>
      </c>
      <c r="AG102" s="20" t="n">
        <v>2.6791</v>
      </c>
      <c r="AH102" s="20" t="n">
        <v>2.4396</v>
      </c>
      <c r="AI102" s="20" t="n">
        <v>2.1698</v>
      </c>
      <c r="AJ102" s="20" t="n">
        <v>1.8441</v>
      </c>
      <c r="AK102" s="20" t="n">
        <v>1.5392</v>
      </c>
      <c r="AL102" s="20" t="n">
        <v>1.2259</v>
      </c>
      <c r="AM102" s="20" t="n">
        <v>0.9229000000000001</v>
      </c>
      <c r="AN102" s="20" t="n">
        <v>0.6308</v>
      </c>
      <c r="AO102" s="20" t="n">
        <v>0.3683</v>
      </c>
      <c r="AP102" s="20" t="n">
        <v>0.1072</v>
      </c>
      <c r="AQ102" s="20" t="n">
        <v>0.0198</v>
      </c>
      <c r="AR102" s="20" t="n">
        <v>0</v>
      </c>
      <c r="AS102" s="20" t="n">
        <v>0</v>
      </c>
      <c r="AT102" s="20" t="n">
        <v>0</v>
      </c>
      <c r="AU102" s="20" t="n">
        <v>0</v>
      </c>
      <c r="AV102" s="20" t="n">
        <v>0</v>
      </c>
      <c r="AW102" s="20" t="n">
        <v>0</v>
      </c>
      <c r="AX102" s="20" t="n">
        <v>0</v>
      </c>
    </row>
    <row r="103">
      <c r="A103" s="19" t="inlineStr">
        <is>
          <t>Load_TR2_F6_13</t>
        </is>
      </c>
      <c r="B103" s="15" t="inlineStr">
        <is>
          <t>prosumer</t>
        </is>
      </c>
      <c r="C103" s="20" t="n">
        <v>0</v>
      </c>
      <c r="D103" s="20" t="n">
        <v>0</v>
      </c>
      <c r="E103" s="20" t="n">
        <v>0</v>
      </c>
      <c r="F103" s="20" t="n">
        <v>0</v>
      </c>
      <c r="G103" s="20" t="n">
        <v>0</v>
      </c>
      <c r="H103" s="20" t="n">
        <v>0</v>
      </c>
      <c r="I103" s="20" t="n">
        <v>0</v>
      </c>
      <c r="J103" s="20" t="n">
        <v>0.0026</v>
      </c>
      <c r="K103" s="20" t="n">
        <v>0.0373</v>
      </c>
      <c r="L103" s="20" t="n">
        <v>0.1744</v>
      </c>
      <c r="M103" s="20" t="n">
        <v>0.346</v>
      </c>
      <c r="N103" s="20" t="n">
        <v>0.5564</v>
      </c>
      <c r="O103" s="20" t="n">
        <v>0.7859</v>
      </c>
      <c r="P103" s="20" t="n">
        <v>1.0183</v>
      </c>
      <c r="Q103" s="20" t="n">
        <v>1.2495</v>
      </c>
      <c r="R103" s="20" t="n">
        <v>1.481</v>
      </c>
      <c r="S103" s="20" t="n">
        <v>1.6982</v>
      </c>
      <c r="T103" s="20" t="n">
        <v>1.9025</v>
      </c>
      <c r="U103" s="20" t="n">
        <v>2.0764</v>
      </c>
      <c r="V103" s="20" t="n">
        <v>2.2248</v>
      </c>
      <c r="W103" s="20" t="n">
        <v>2.355</v>
      </c>
      <c r="X103" s="20" t="n">
        <v>2.4625</v>
      </c>
      <c r="Y103" s="20" t="n">
        <v>2.5387</v>
      </c>
      <c r="Z103" s="20" t="n">
        <v>2.5722</v>
      </c>
      <c r="AA103" s="20" t="n">
        <v>2.5819</v>
      </c>
      <c r="AB103" s="20" t="n">
        <v>2.5637</v>
      </c>
      <c r="AC103" s="20" t="n">
        <v>2.5029</v>
      </c>
      <c r="AD103" s="20" t="n">
        <v>2.41</v>
      </c>
      <c r="AE103" s="20" t="n">
        <v>2.2991</v>
      </c>
      <c r="AF103" s="20" t="n">
        <v>2.1586</v>
      </c>
      <c r="AG103" s="20" t="n">
        <v>2.0093</v>
      </c>
      <c r="AH103" s="20" t="n">
        <v>1.8297</v>
      </c>
      <c r="AI103" s="20" t="n">
        <v>1.6274</v>
      </c>
      <c r="AJ103" s="20" t="n">
        <v>1.3831</v>
      </c>
      <c r="AK103" s="20" t="n">
        <v>1.1544</v>
      </c>
      <c r="AL103" s="20" t="n">
        <v>0.9195</v>
      </c>
      <c r="AM103" s="20" t="n">
        <v>0.6922</v>
      </c>
      <c r="AN103" s="20" t="n">
        <v>0.4731</v>
      </c>
      <c r="AO103" s="20" t="n">
        <v>0.2762</v>
      </c>
      <c r="AP103" s="20" t="n">
        <v>0.0804</v>
      </c>
      <c r="AQ103" s="20" t="n">
        <v>0.0148</v>
      </c>
      <c r="AR103" s="20" t="n">
        <v>0</v>
      </c>
      <c r="AS103" s="20" t="n">
        <v>0</v>
      </c>
      <c r="AT103" s="20" t="n">
        <v>0</v>
      </c>
      <c r="AU103" s="20" t="n">
        <v>0</v>
      </c>
      <c r="AV103" s="20" t="n">
        <v>0</v>
      </c>
      <c r="AW103" s="20" t="n">
        <v>0</v>
      </c>
      <c r="AX103" s="20" t="n">
        <v>0</v>
      </c>
    </row>
    <row r="104">
      <c r="A104" s="19" t="inlineStr">
        <is>
          <t>Load_TR2_F6_14</t>
        </is>
      </c>
      <c r="B104" s="15" t="inlineStr">
        <is>
          <t>prosumer</t>
        </is>
      </c>
      <c r="C104" s="20" t="n">
        <v>0</v>
      </c>
      <c r="D104" s="20" t="n">
        <v>0</v>
      </c>
      <c r="E104" s="20" t="n">
        <v>0</v>
      </c>
      <c r="F104" s="20" t="n">
        <v>0</v>
      </c>
      <c r="G104" s="20" t="n">
        <v>0</v>
      </c>
      <c r="H104" s="20" t="n">
        <v>0</v>
      </c>
      <c r="I104" s="20" t="n">
        <v>0</v>
      </c>
      <c r="J104" s="20" t="n">
        <v>0.0026</v>
      </c>
      <c r="K104" s="20" t="n">
        <v>0.0373</v>
      </c>
      <c r="L104" s="20" t="n">
        <v>0.1744</v>
      </c>
      <c r="M104" s="20" t="n">
        <v>0.346</v>
      </c>
      <c r="N104" s="20" t="n">
        <v>0.5564</v>
      </c>
      <c r="O104" s="20" t="n">
        <v>0.7859</v>
      </c>
      <c r="P104" s="20" t="n">
        <v>1.0183</v>
      </c>
      <c r="Q104" s="20" t="n">
        <v>1.2495</v>
      </c>
      <c r="R104" s="20" t="n">
        <v>1.481</v>
      </c>
      <c r="S104" s="20" t="n">
        <v>1.6982</v>
      </c>
      <c r="T104" s="20" t="n">
        <v>1.9025</v>
      </c>
      <c r="U104" s="20" t="n">
        <v>2.0764</v>
      </c>
      <c r="V104" s="20" t="n">
        <v>2.2248</v>
      </c>
      <c r="W104" s="20" t="n">
        <v>2.355</v>
      </c>
      <c r="X104" s="20" t="n">
        <v>2.4625</v>
      </c>
      <c r="Y104" s="20" t="n">
        <v>2.5387</v>
      </c>
      <c r="Z104" s="20" t="n">
        <v>2.5722</v>
      </c>
      <c r="AA104" s="20" t="n">
        <v>2.5819</v>
      </c>
      <c r="AB104" s="20" t="n">
        <v>2.5637</v>
      </c>
      <c r="AC104" s="20" t="n">
        <v>2.5029</v>
      </c>
      <c r="AD104" s="20" t="n">
        <v>2.41</v>
      </c>
      <c r="AE104" s="20" t="n">
        <v>2.2991</v>
      </c>
      <c r="AF104" s="20" t="n">
        <v>2.1586</v>
      </c>
      <c r="AG104" s="20" t="n">
        <v>2.0093</v>
      </c>
      <c r="AH104" s="20" t="n">
        <v>1.8297</v>
      </c>
      <c r="AI104" s="20" t="n">
        <v>1.6274</v>
      </c>
      <c r="AJ104" s="20" t="n">
        <v>1.3831</v>
      </c>
      <c r="AK104" s="20" t="n">
        <v>1.1544</v>
      </c>
      <c r="AL104" s="20" t="n">
        <v>0.9195</v>
      </c>
      <c r="AM104" s="20" t="n">
        <v>0.6922</v>
      </c>
      <c r="AN104" s="20" t="n">
        <v>0.4731</v>
      </c>
      <c r="AO104" s="20" t="n">
        <v>0.2762</v>
      </c>
      <c r="AP104" s="20" t="n">
        <v>0.0804</v>
      </c>
      <c r="AQ104" s="20" t="n">
        <v>0.0148</v>
      </c>
      <c r="AR104" s="20" t="n">
        <v>0</v>
      </c>
      <c r="AS104" s="20" t="n">
        <v>0</v>
      </c>
      <c r="AT104" s="20" t="n">
        <v>0</v>
      </c>
      <c r="AU104" s="20" t="n">
        <v>0</v>
      </c>
      <c r="AV104" s="20" t="n">
        <v>0</v>
      </c>
      <c r="AW104" s="20" t="n">
        <v>0</v>
      </c>
      <c r="AX104" s="20" t="n">
        <v>0</v>
      </c>
    </row>
    <row r="105">
      <c r="A105" s="19" t="inlineStr">
        <is>
          <t>Load_TR2_F6_15</t>
        </is>
      </c>
      <c r="B105" s="15" t="inlineStr">
        <is>
          <t>prosumer</t>
        </is>
      </c>
      <c r="C105" s="20" t="n">
        <v>0</v>
      </c>
      <c r="D105" s="20" t="n">
        <v>0</v>
      </c>
      <c r="E105" s="20" t="n">
        <v>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0.0022</v>
      </c>
      <c r="K105" s="20" t="n">
        <v>0.0311</v>
      </c>
      <c r="L105" s="20" t="n">
        <v>0.1454</v>
      </c>
      <c r="M105" s="20" t="n">
        <v>0.2883</v>
      </c>
      <c r="N105" s="20" t="n">
        <v>0.4637</v>
      </c>
      <c r="O105" s="20" t="n">
        <v>0.6549</v>
      </c>
      <c r="P105" s="20" t="n">
        <v>0.8486</v>
      </c>
      <c r="Q105" s="20" t="n">
        <v>1.0412</v>
      </c>
      <c r="R105" s="20" t="n">
        <v>1.2341</v>
      </c>
      <c r="S105" s="20" t="n">
        <v>1.4152</v>
      </c>
      <c r="T105" s="20" t="n">
        <v>1.5854</v>
      </c>
      <c r="U105" s="20" t="n">
        <v>1.7304</v>
      </c>
      <c r="V105" s="20" t="n">
        <v>1.854</v>
      </c>
      <c r="W105" s="20" t="n">
        <v>1.9625</v>
      </c>
      <c r="X105" s="20" t="n">
        <v>2.0521</v>
      </c>
      <c r="Y105" s="20" t="n">
        <v>2.1156</v>
      </c>
      <c r="Z105" s="20" t="n">
        <v>2.1435</v>
      </c>
      <c r="AA105" s="20" t="n">
        <v>2.1516</v>
      </c>
      <c r="AB105" s="20" t="n">
        <v>2.1365</v>
      </c>
      <c r="AC105" s="20" t="n">
        <v>2.0857</v>
      </c>
      <c r="AD105" s="20" t="n">
        <v>2.0083</v>
      </c>
      <c r="AE105" s="20" t="n">
        <v>1.9159</v>
      </c>
      <c r="AF105" s="20" t="n">
        <v>1.7989</v>
      </c>
      <c r="AG105" s="20" t="n">
        <v>1.6745</v>
      </c>
      <c r="AH105" s="20" t="n">
        <v>1.5247</v>
      </c>
      <c r="AI105" s="20" t="n">
        <v>1.3561</v>
      </c>
      <c r="AJ105" s="20" t="n">
        <v>1.1525</v>
      </c>
      <c r="AK105" s="20" t="n">
        <v>0.962</v>
      </c>
      <c r="AL105" s="20" t="n">
        <v>0.7662</v>
      </c>
      <c r="AM105" s="20" t="n">
        <v>0.5768</v>
      </c>
      <c r="AN105" s="20" t="n">
        <v>0.3942</v>
      </c>
      <c r="AO105" s="20" t="n">
        <v>0.2302</v>
      </c>
      <c r="AP105" s="20" t="n">
        <v>0.067</v>
      </c>
      <c r="AQ105" s="20" t="n">
        <v>0.0124</v>
      </c>
      <c r="AR105" s="20" t="n">
        <v>0</v>
      </c>
      <c r="AS105" s="20" t="n">
        <v>0</v>
      </c>
      <c r="AT105" s="20" t="n">
        <v>0</v>
      </c>
      <c r="AU105" s="20" t="n">
        <v>0</v>
      </c>
      <c r="AV105" s="20" t="n">
        <v>0</v>
      </c>
      <c r="AW105" s="20" t="n">
        <v>0</v>
      </c>
      <c r="AX105" s="20" t="n">
        <v>0</v>
      </c>
    </row>
    <row r="106">
      <c r="A106" s="19" t="inlineStr">
        <is>
          <t>Load_TR2_F6_16</t>
        </is>
      </c>
      <c r="B106" s="15" t="inlineStr">
        <is>
          <t>prosumer</t>
        </is>
      </c>
      <c r="C106" s="20" t="n">
        <v>0</v>
      </c>
      <c r="D106" s="20" t="n">
        <v>0</v>
      </c>
      <c r="E106" s="20" t="n">
        <v>0</v>
      </c>
      <c r="F106" s="20" t="n">
        <v>0</v>
      </c>
      <c r="G106" s="20" t="n">
        <v>0</v>
      </c>
      <c r="H106" s="20" t="n">
        <v>0</v>
      </c>
      <c r="I106" s="20" t="n">
        <v>0</v>
      </c>
      <c r="J106" s="20" t="n">
        <v>0.003</v>
      </c>
      <c r="K106" s="20" t="n">
        <v>0.0435</v>
      </c>
      <c r="L106" s="20" t="n">
        <v>0.2035</v>
      </c>
      <c r="M106" s="20" t="n">
        <v>0.4037</v>
      </c>
      <c r="N106" s="20" t="n">
        <v>0.6491</v>
      </c>
      <c r="O106" s="20" t="n">
        <v>0.9169</v>
      </c>
      <c r="P106" s="20" t="n">
        <v>1.188</v>
      </c>
      <c r="Q106" s="20" t="n">
        <v>1.4577</v>
      </c>
      <c r="R106" s="20" t="n">
        <v>1.7278</v>
      </c>
      <c r="S106" s="20" t="n">
        <v>1.9813</v>
      </c>
      <c r="T106" s="20" t="n">
        <v>2.2196</v>
      </c>
      <c r="U106" s="20" t="n">
        <v>2.4225</v>
      </c>
      <c r="V106" s="20" t="n">
        <v>2.5956</v>
      </c>
      <c r="W106" s="20" t="n">
        <v>2.7475</v>
      </c>
      <c r="X106" s="20" t="n">
        <v>2.8729</v>
      </c>
      <c r="Y106" s="20" t="n">
        <v>2.9619</v>
      </c>
      <c r="Z106" s="20" t="n">
        <v>3.0009</v>
      </c>
      <c r="AA106" s="20" t="n">
        <v>3.0122</v>
      </c>
      <c r="AB106" s="20" t="n">
        <v>2.991</v>
      </c>
      <c r="AC106" s="20" t="n">
        <v>2.92</v>
      </c>
      <c r="AD106" s="20" t="n">
        <v>2.8117</v>
      </c>
      <c r="AE106" s="20" t="n">
        <v>2.6823</v>
      </c>
      <c r="AF106" s="20" t="n">
        <v>2.5184</v>
      </c>
      <c r="AG106" s="20" t="n">
        <v>2.3442</v>
      </c>
      <c r="AH106" s="20" t="n">
        <v>2.1346</v>
      </c>
      <c r="AI106" s="20" t="n">
        <v>1.8986</v>
      </c>
      <c r="AJ106" s="20" t="n">
        <v>1.6136</v>
      </c>
      <c r="AK106" s="20" t="n">
        <v>1.3468</v>
      </c>
      <c r="AL106" s="20" t="n">
        <v>1.0727</v>
      </c>
      <c r="AM106" s="20" t="n">
        <v>0.8076</v>
      </c>
      <c r="AN106" s="20" t="n">
        <v>0.5518999999999999</v>
      </c>
      <c r="AO106" s="20" t="n">
        <v>0.3223</v>
      </c>
      <c r="AP106" s="20" t="n">
        <v>0.09379999999999999</v>
      </c>
      <c r="AQ106" s="20" t="n">
        <v>0.0173</v>
      </c>
      <c r="AR106" s="20" t="n">
        <v>0</v>
      </c>
      <c r="AS106" s="20" t="n">
        <v>0</v>
      </c>
      <c r="AT106" s="20" t="n">
        <v>0</v>
      </c>
      <c r="AU106" s="20" t="n">
        <v>0</v>
      </c>
      <c r="AV106" s="20" t="n">
        <v>0</v>
      </c>
      <c r="AW106" s="20" t="n">
        <v>0</v>
      </c>
      <c r="AX106" s="20" t="n">
        <v>0</v>
      </c>
    </row>
    <row r="107">
      <c r="A107" s="19" t="inlineStr">
        <is>
          <t>Load_TR2_F6_17</t>
        </is>
      </c>
      <c r="B107" s="15" t="inlineStr">
        <is>
          <t>prosumer</t>
        </is>
      </c>
      <c r="C107" s="20" t="n">
        <v>0</v>
      </c>
      <c r="D107" s="20" t="n">
        <v>0</v>
      </c>
      <c r="E107" s="20" t="n">
        <v>0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0.0026</v>
      </c>
      <c r="K107" s="20" t="n">
        <v>0.0373</v>
      </c>
      <c r="L107" s="20" t="n">
        <v>0.1744</v>
      </c>
      <c r="M107" s="20" t="n">
        <v>0.346</v>
      </c>
      <c r="N107" s="20" t="n">
        <v>0.5564</v>
      </c>
      <c r="O107" s="20" t="n">
        <v>0.7859</v>
      </c>
      <c r="P107" s="20" t="n">
        <v>1.0183</v>
      </c>
      <c r="Q107" s="20" t="n">
        <v>1.2495</v>
      </c>
      <c r="R107" s="20" t="n">
        <v>1.481</v>
      </c>
      <c r="S107" s="20" t="n">
        <v>1.6982</v>
      </c>
      <c r="T107" s="20" t="n">
        <v>1.9025</v>
      </c>
      <c r="U107" s="20" t="n">
        <v>2.0764</v>
      </c>
      <c r="V107" s="20" t="n">
        <v>2.2248</v>
      </c>
      <c r="W107" s="20" t="n">
        <v>2.355</v>
      </c>
      <c r="X107" s="20" t="n">
        <v>2.4625</v>
      </c>
      <c r="Y107" s="20" t="n">
        <v>2.5387</v>
      </c>
      <c r="Z107" s="20" t="n">
        <v>2.5722</v>
      </c>
      <c r="AA107" s="20" t="n">
        <v>2.5819</v>
      </c>
      <c r="AB107" s="20" t="n">
        <v>2.5637</v>
      </c>
      <c r="AC107" s="20" t="n">
        <v>2.5029</v>
      </c>
      <c r="AD107" s="20" t="n">
        <v>2.41</v>
      </c>
      <c r="AE107" s="20" t="n">
        <v>2.2991</v>
      </c>
      <c r="AF107" s="20" t="n">
        <v>2.1586</v>
      </c>
      <c r="AG107" s="20" t="n">
        <v>2.0093</v>
      </c>
      <c r="AH107" s="20" t="n">
        <v>1.8297</v>
      </c>
      <c r="AI107" s="20" t="n">
        <v>1.6274</v>
      </c>
      <c r="AJ107" s="20" t="n">
        <v>1.3831</v>
      </c>
      <c r="AK107" s="20" t="n">
        <v>1.1544</v>
      </c>
      <c r="AL107" s="20" t="n">
        <v>0.9195</v>
      </c>
      <c r="AM107" s="20" t="n">
        <v>0.6922</v>
      </c>
      <c r="AN107" s="20" t="n">
        <v>0.4731</v>
      </c>
      <c r="AO107" s="20" t="n">
        <v>0.2762</v>
      </c>
      <c r="AP107" s="20" t="n">
        <v>0.0804</v>
      </c>
      <c r="AQ107" s="20" t="n">
        <v>0.0148</v>
      </c>
      <c r="AR107" s="20" t="n">
        <v>0</v>
      </c>
      <c r="AS107" s="20" t="n">
        <v>0</v>
      </c>
      <c r="AT107" s="20" t="n">
        <v>0</v>
      </c>
      <c r="AU107" s="20" t="n">
        <v>0</v>
      </c>
      <c r="AV107" s="20" t="n">
        <v>0</v>
      </c>
      <c r="AW107" s="20" t="n">
        <v>0</v>
      </c>
      <c r="AX107" s="20" t="n">
        <v>0</v>
      </c>
    </row>
    <row r="108">
      <c r="A108" s="19" t="inlineStr">
        <is>
          <t>Load_TR2_F6_18</t>
        </is>
      </c>
      <c r="B108" s="15" t="inlineStr">
        <is>
          <t>prosumer</t>
        </is>
      </c>
      <c r="C108" s="20" t="n">
        <v>0</v>
      </c>
      <c r="D108" s="20" t="n">
        <v>0</v>
      </c>
      <c r="E108" s="20" t="n">
        <v>0</v>
      </c>
      <c r="F108" s="20" t="n">
        <v>0</v>
      </c>
      <c r="G108" s="20" t="n">
        <v>0</v>
      </c>
      <c r="H108" s="20" t="n">
        <v>0</v>
      </c>
      <c r="I108" s="20" t="n">
        <v>0</v>
      </c>
      <c r="J108" s="20" t="n">
        <v>0.0034</v>
      </c>
      <c r="K108" s="20" t="n">
        <v>0.0497</v>
      </c>
      <c r="L108" s="20" t="n">
        <v>0.2326</v>
      </c>
      <c r="M108" s="20" t="n">
        <v>0.4613</v>
      </c>
      <c r="N108" s="20" t="n">
        <v>0.7419</v>
      </c>
      <c r="O108" s="20" t="n">
        <v>1.0479</v>
      </c>
      <c r="P108" s="20" t="n">
        <v>1.3577</v>
      </c>
      <c r="Q108" s="20" t="n">
        <v>1.666</v>
      </c>
      <c r="R108" s="20" t="n">
        <v>1.9746</v>
      </c>
      <c r="S108" s="20" t="n">
        <v>2.2643</v>
      </c>
      <c r="T108" s="20" t="n">
        <v>2.5367</v>
      </c>
      <c r="U108" s="20" t="n">
        <v>2.7686</v>
      </c>
      <c r="V108" s="20" t="n">
        <v>2.9664</v>
      </c>
      <c r="W108" s="20" t="n">
        <v>3.14</v>
      </c>
      <c r="X108" s="20" t="n">
        <v>3.2833</v>
      </c>
      <c r="Y108" s="20" t="n">
        <v>3.385</v>
      </c>
      <c r="Z108" s="20" t="n">
        <v>3.4296</v>
      </c>
      <c r="AA108" s="20" t="n">
        <v>3.4425</v>
      </c>
      <c r="AB108" s="20" t="n">
        <v>3.4183</v>
      </c>
      <c r="AC108" s="20" t="n">
        <v>3.3372</v>
      </c>
      <c r="AD108" s="20" t="n">
        <v>3.2133</v>
      </c>
      <c r="AE108" s="20" t="n">
        <v>3.0655</v>
      </c>
      <c r="AF108" s="20" t="n">
        <v>2.8782</v>
      </c>
      <c r="AG108" s="20" t="n">
        <v>2.6791</v>
      </c>
      <c r="AH108" s="20" t="n">
        <v>2.4396</v>
      </c>
      <c r="AI108" s="20" t="n">
        <v>2.1698</v>
      </c>
      <c r="AJ108" s="20" t="n">
        <v>1.8441</v>
      </c>
      <c r="AK108" s="20" t="n">
        <v>1.5392</v>
      </c>
      <c r="AL108" s="20" t="n">
        <v>1.2259</v>
      </c>
      <c r="AM108" s="20" t="n">
        <v>0.9229000000000001</v>
      </c>
      <c r="AN108" s="20" t="n">
        <v>0.6308</v>
      </c>
      <c r="AO108" s="20" t="n">
        <v>0.3683</v>
      </c>
      <c r="AP108" s="20" t="n">
        <v>0.1072</v>
      </c>
      <c r="AQ108" s="20" t="n">
        <v>0.0198</v>
      </c>
      <c r="AR108" s="20" t="n">
        <v>0</v>
      </c>
      <c r="AS108" s="20" t="n">
        <v>0</v>
      </c>
      <c r="AT108" s="20" t="n">
        <v>0</v>
      </c>
      <c r="AU108" s="20" t="n">
        <v>0</v>
      </c>
      <c r="AV108" s="20" t="n">
        <v>0</v>
      </c>
      <c r="AW108" s="20" t="n">
        <v>0</v>
      </c>
      <c r="AX108" s="20" t="n">
        <v>0</v>
      </c>
    </row>
    <row r="109">
      <c r="A109" s="19" t="inlineStr">
        <is>
          <t>Load_TR2_F6_19</t>
        </is>
      </c>
      <c r="B109" s="15" t="inlineStr">
        <is>
          <t>prosumer</t>
        </is>
      </c>
      <c r="C109" s="20" t="n">
        <v>0</v>
      </c>
      <c r="D109" s="20" t="n">
        <v>0</v>
      </c>
      <c r="E109" s="20" t="n">
        <v>0</v>
      </c>
      <c r="F109" s="20" t="n">
        <v>0</v>
      </c>
      <c r="G109" s="20" t="n">
        <v>0</v>
      </c>
      <c r="H109" s="20" t="n">
        <v>0</v>
      </c>
      <c r="I109" s="20" t="n">
        <v>0</v>
      </c>
      <c r="J109" s="20" t="n">
        <v>0.003</v>
      </c>
      <c r="K109" s="20" t="n">
        <v>0.0435</v>
      </c>
      <c r="L109" s="20" t="n">
        <v>0.2035</v>
      </c>
      <c r="M109" s="20" t="n">
        <v>0.4037</v>
      </c>
      <c r="N109" s="20" t="n">
        <v>0.6491</v>
      </c>
      <c r="O109" s="20" t="n">
        <v>0.9169</v>
      </c>
      <c r="P109" s="20" t="n">
        <v>1.188</v>
      </c>
      <c r="Q109" s="20" t="n">
        <v>1.4577</v>
      </c>
      <c r="R109" s="20" t="n">
        <v>1.7278</v>
      </c>
      <c r="S109" s="20" t="n">
        <v>1.9813</v>
      </c>
      <c r="T109" s="20" t="n">
        <v>2.2196</v>
      </c>
      <c r="U109" s="20" t="n">
        <v>2.4225</v>
      </c>
      <c r="V109" s="20" t="n">
        <v>2.5956</v>
      </c>
      <c r="W109" s="20" t="n">
        <v>2.7475</v>
      </c>
      <c r="X109" s="20" t="n">
        <v>2.8729</v>
      </c>
      <c r="Y109" s="20" t="n">
        <v>2.9619</v>
      </c>
      <c r="Z109" s="20" t="n">
        <v>3.0009</v>
      </c>
      <c r="AA109" s="20" t="n">
        <v>3.0122</v>
      </c>
      <c r="AB109" s="20" t="n">
        <v>2.991</v>
      </c>
      <c r="AC109" s="20" t="n">
        <v>2.92</v>
      </c>
      <c r="AD109" s="20" t="n">
        <v>2.8117</v>
      </c>
      <c r="AE109" s="20" t="n">
        <v>2.6823</v>
      </c>
      <c r="AF109" s="20" t="n">
        <v>2.5184</v>
      </c>
      <c r="AG109" s="20" t="n">
        <v>2.3442</v>
      </c>
      <c r="AH109" s="20" t="n">
        <v>2.1346</v>
      </c>
      <c r="AI109" s="20" t="n">
        <v>1.8986</v>
      </c>
      <c r="AJ109" s="20" t="n">
        <v>1.6136</v>
      </c>
      <c r="AK109" s="20" t="n">
        <v>1.3468</v>
      </c>
      <c r="AL109" s="20" t="n">
        <v>1.0727</v>
      </c>
      <c r="AM109" s="20" t="n">
        <v>0.8076</v>
      </c>
      <c r="AN109" s="20" t="n">
        <v>0.5518999999999999</v>
      </c>
      <c r="AO109" s="20" t="n">
        <v>0.3223</v>
      </c>
      <c r="AP109" s="20" t="n">
        <v>0.09379999999999999</v>
      </c>
      <c r="AQ109" s="20" t="n">
        <v>0.0173</v>
      </c>
      <c r="AR109" s="20" t="n">
        <v>0</v>
      </c>
      <c r="AS109" s="20" t="n">
        <v>0</v>
      </c>
      <c r="AT109" s="20" t="n">
        <v>0</v>
      </c>
      <c r="AU109" s="20" t="n">
        <v>0</v>
      </c>
      <c r="AV109" s="20" t="n">
        <v>0</v>
      </c>
      <c r="AW109" s="20" t="n">
        <v>0</v>
      </c>
      <c r="AX109" s="20" t="n">
        <v>0</v>
      </c>
    </row>
    <row r="110">
      <c r="A110" s="10" t="inlineStr">
        <is>
          <t>Load_TR2_F6_2</t>
        </is>
      </c>
      <c r="B110" s="12" t="inlineStr">
        <is>
          <t>customer</t>
        </is>
      </c>
      <c r="C110" s="18" t="n">
        <v>0</v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  <c r="Q110" s="18" t="n">
        <v>0</v>
      </c>
      <c r="R110" s="18" t="n">
        <v>0</v>
      </c>
      <c r="S110" s="18" t="n">
        <v>0</v>
      </c>
      <c r="T110" s="18" t="n">
        <v>0</v>
      </c>
      <c r="U110" s="18" t="n">
        <v>0</v>
      </c>
      <c r="V110" s="18" t="n">
        <v>0</v>
      </c>
      <c r="W110" s="18" t="n">
        <v>0</v>
      </c>
      <c r="X110" s="18" t="n">
        <v>0</v>
      </c>
      <c r="Y110" s="18" t="n">
        <v>0</v>
      </c>
      <c r="Z110" s="18" t="n">
        <v>0</v>
      </c>
      <c r="AA110" s="18" t="n">
        <v>0</v>
      </c>
      <c r="AB110" s="18" t="n">
        <v>0</v>
      </c>
      <c r="AC110" s="18" t="n">
        <v>0</v>
      </c>
      <c r="AD110" s="18" t="n">
        <v>0</v>
      </c>
      <c r="AE110" s="18" t="n">
        <v>0</v>
      </c>
      <c r="AF110" s="18" t="n">
        <v>0</v>
      </c>
      <c r="AG110" s="18" t="n">
        <v>0</v>
      </c>
      <c r="AH110" s="18" t="n">
        <v>0</v>
      </c>
      <c r="AI110" s="18" t="n">
        <v>0</v>
      </c>
      <c r="AJ110" s="18" t="n">
        <v>0</v>
      </c>
      <c r="AK110" s="18" t="n">
        <v>0</v>
      </c>
      <c r="AL110" s="18" t="n">
        <v>0</v>
      </c>
      <c r="AM110" s="18" t="n">
        <v>0</v>
      </c>
      <c r="AN110" s="18" t="n">
        <v>0</v>
      </c>
      <c r="AO110" s="18" t="n">
        <v>0</v>
      </c>
      <c r="AP110" s="18" t="n">
        <v>0</v>
      </c>
      <c r="AQ110" s="18" t="n">
        <v>0</v>
      </c>
      <c r="AR110" s="18" t="n">
        <v>0</v>
      </c>
      <c r="AS110" s="18" t="n">
        <v>0</v>
      </c>
      <c r="AT110" s="18" t="n">
        <v>0</v>
      </c>
      <c r="AU110" s="18" t="n">
        <v>0</v>
      </c>
      <c r="AV110" s="18" t="n">
        <v>0</v>
      </c>
      <c r="AW110" s="18" t="n">
        <v>0</v>
      </c>
      <c r="AX110" s="18" t="n">
        <v>0</v>
      </c>
    </row>
    <row r="111">
      <c r="A111" s="19" t="inlineStr">
        <is>
          <t>Load_TR2_F6_20</t>
        </is>
      </c>
      <c r="B111" s="15" t="inlineStr">
        <is>
          <t>prosumer</t>
        </is>
      </c>
      <c r="C111" s="20" t="n">
        <v>0</v>
      </c>
      <c r="D111" s="20" t="n">
        <v>0</v>
      </c>
      <c r="E111" s="20" t="n">
        <v>0</v>
      </c>
      <c r="F111" s="20" t="n">
        <v>0</v>
      </c>
      <c r="G111" s="20" t="n">
        <v>0</v>
      </c>
      <c r="H111" s="20" t="n">
        <v>0</v>
      </c>
      <c r="I111" s="20" t="n">
        <v>0</v>
      </c>
      <c r="J111" s="20" t="n">
        <v>0.003</v>
      </c>
      <c r="K111" s="20" t="n">
        <v>0.0435</v>
      </c>
      <c r="L111" s="20" t="n">
        <v>0.2035</v>
      </c>
      <c r="M111" s="20" t="n">
        <v>0.4037</v>
      </c>
      <c r="N111" s="20" t="n">
        <v>0.6491</v>
      </c>
      <c r="O111" s="20" t="n">
        <v>0.9169</v>
      </c>
      <c r="P111" s="20" t="n">
        <v>1.188</v>
      </c>
      <c r="Q111" s="20" t="n">
        <v>1.4577</v>
      </c>
      <c r="R111" s="20" t="n">
        <v>1.7278</v>
      </c>
      <c r="S111" s="20" t="n">
        <v>1.9813</v>
      </c>
      <c r="T111" s="20" t="n">
        <v>2.2196</v>
      </c>
      <c r="U111" s="20" t="n">
        <v>2.4225</v>
      </c>
      <c r="V111" s="20" t="n">
        <v>2.5956</v>
      </c>
      <c r="W111" s="20" t="n">
        <v>2.7475</v>
      </c>
      <c r="X111" s="20" t="n">
        <v>2.8729</v>
      </c>
      <c r="Y111" s="20" t="n">
        <v>2.9619</v>
      </c>
      <c r="Z111" s="20" t="n">
        <v>3.0009</v>
      </c>
      <c r="AA111" s="20" t="n">
        <v>3.0122</v>
      </c>
      <c r="AB111" s="20" t="n">
        <v>2.991</v>
      </c>
      <c r="AC111" s="20" t="n">
        <v>2.92</v>
      </c>
      <c r="AD111" s="20" t="n">
        <v>2.8117</v>
      </c>
      <c r="AE111" s="20" t="n">
        <v>2.6823</v>
      </c>
      <c r="AF111" s="20" t="n">
        <v>2.5184</v>
      </c>
      <c r="AG111" s="20" t="n">
        <v>2.3442</v>
      </c>
      <c r="AH111" s="20" t="n">
        <v>2.1346</v>
      </c>
      <c r="AI111" s="20" t="n">
        <v>1.8986</v>
      </c>
      <c r="AJ111" s="20" t="n">
        <v>1.6136</v>
      </c>
      <c r="AK111" s="20" t="n">
        <v>1.3468</v>
      </c>
      <c r="AL111" s="20" t="n">
        <v>1.0727</v>
      </c>
      <c r="AM111" s="20" t="n">
        <v>0.8076</v>
      </c>
      <c r="AN111" s="20" t="n">
        <v>0.5518999999999999</v>
      </c>
      <c r="AO111" s="20" t="n">
        <v>0.3223</v>
      </c>
      <c r="AP111" s="20" t="n">
        <v>0.09379999999999999</v>
      </c>
      <c r="AQ111" s="20" t="n">
        <v>0.0173</v>
      </c>
      <c r="AR111" s="20" t="n">
        <v>0</v>
      </c>
      <c r="AS111" s="20" t="n">
        <v>0</v>
      </c>
      <c r="AT111" s="20" t="n">
        <v>0</v>
      </c>
      <c r="AU111" s="20" t="n">
        <v>0</v>
      </c>
      <c r="AV111" s="20" t="n">
        <v>0</v>
      </c>
      <c r="AW111" s="20" t="n">
        <v>0</v>
      </c>
      <c r="AX111" s="20" t="n">
        <v>0</v>
      </c>
    </row>
    <row r="112">
      <c r="A112" s="19" t="inlineStr">
        <is>
          <t>Load_TR2_F6_21</t>
        </is>
      </c>
      <c r="B112" s="15" t="inlineStr">
        <is>
          <t>prosumer</t>
        </is>
      </c>
      <c r="C112" s="20" t="n">
        <v>0</v>
      </c>
      <c r="D112" s="20" t="n">
        <v>0</v>
      </c>
      <c r="E112" s="20" t="n">
        <v>0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0.0034</v>
      </c>
      <c r="K112" s="20" t="n">
        <v>0.0497</v>
      </c>
      <c r="L112" s="20" t="n">
        <v>0.2326</v>
      </c>
      <c r="M112" s="20" t="n">
        <v>0.4613</v>
      </c>
      <c r="N112" s="20" t="n">
        <v>0.7419</v>
      </c>
      <c r="O112" s="20" t="n">
        <v>1.0479</v>
      </c>
      <c r="P112" s="20" t="n">
        <v>1.3577</v>
      </c>
      <c r="Q112" s="20" t="n">
        <v>1.666</v>
      </c>
      <c r="R112" s="20" t="n">
        <v>1.9746</v>
      </c>
      <c r="S112" s="20" t="n">
        <v>2.2643</v>
      </c>
      <c r="T112" s="20" t="n">
        <v>2.5367</v>
      </c>
      <c r="U112" s="20" t="n">
        <v>2.7686</v>
      </c>
      <c r="V112" s="20" t="n">
        <v>2.9664</v>
      </c>
      <c r="W112" s="20" t="n">
        <v>3.14</v>
      </c>
      <c r="X112" s="20" t="n">
        <v>3.2833</v>
      </c>
      <c r="Y112" s="20" t="n">
        <v>3.385</v>
      </c>
      <c r="Z112" s="20" t="n">
        <v>3.4296</v>
      </c>
      <c r="AA112" s="20" t="n">
        <v>3.4425</v>
      </c>
      <c r="AB112" s="20" t="n">
        <v>3.4183</v>
      </c>
      <c r="AC112" s="20" t="n">
        <v>3.3372</v>
      </c>
      <c r="AD112" s="20" t="n">
        <v>3.2133</v>
      </c>
      <c r="AE112" s="20" t="n">
        <v>3.0655</v>
      </c>
      <c r="AF112" s="20" t="n">
        <v>2.8782</v>
      </c>
      <c r="AG112" s="20" t="n">
        <v>2.6791</v>
      </c>
      <c r="AH112" s="20" t="n">
        <v>2.4396</v>
      </c>
      <c r="AI112" s="20" t="n">
        <v>2.1698</v>
      </c>
      <c r="AJ112" s="20" t="n">
        <v>1.8441</v>
      </c>
      <c r="AK112" s="20" t="n">
        <v>1.5392</v>
      </c>
      <c r="AL112" s="20" t="n">
        <v>1.2259</v>
      </c>
      <c r="AM112" s="20" t="n">
        <v>0.9229000000000001</v>
      </c>
      <c r="AN112" s="20" t="n">
        <v>0.6308</v>
      </c>
      <c r="AO112" s="20" t="n">
        <v>0.3683</v>
      </c>
      <c r="AP112" s="20" t="n">
        <v>0.1072</v>
      </c>
      <c r="AQ112" s="20" t="n">
        <v>0.0198</v>
      </c>
      <c r="AR112" s="20" t="n">
        <v>0</v>
      </c>
      <c r="AS112" s="20" t="n">
        <v>0</v>
      </c>
      <c r="AT112" s="20" t="n">
        <v>0</v>
      </c>
      <c r="AU112" s="20" t="n">
        <v>0</v>
      </c>
      <c r="AV112" s="20" t="n">
        <v>0</v>
      </c>
      <c r="AW112" s="20" t="n">
        <v>0</v>
      </c>
      <c r="AX112" s="20" t="n">
        <v>0</v>
      </c>
    </row>
    <row r="113">
      <c r="A113" s="19" t="inlineStr">
        <is>
          <t>Load_TR2_F6_22</t>
        </is>
      </c>
      <c r="B113" s="15" t="inlineStr">
        <is>
          <t>prosumer</t>
        </is>
      </c>
      <c r="C113" s="20" t="n">
        <v>0</v>
      </c>
      <c r="D113" s="20" t="n">
        <v>0</v>
      </c>
      <c r="E113" s="20" t="n">
        <v>0</v>
      </c>
      <c r="F113" s="20" t="n">
        <v>0</v>
      </c>
      <c r="G113" s="20" t="n">
        <v>0</v>
      </c>
      <c r="H113" s="20" t="n">
        <v>0</v>
      </c>
      <c r="I113" s="20" t="n">
        <v>0</v>
      </c>
      <c r="J113" s="20" t="n">
        <v>0.003</v>
      </c>
      <c r="K113" s="20" t="n">
        <v>0.0435</v>
      </c>
      <c r="L113" s="20" t="n">
        <v>0.2035</v>
      </c>
      <c r="M113" s="20" t="n">
        <v>0.4037</v>
      </c>
      <c r="N113" s="20" t="n">
        <v>0.6491</v>
      </c>
      <c r="O113" s="20" t="n">
        <v>0.9169</v>
      </c>
      <c r="P113" s="20" t="n">
        <v>1.188</v>
      </c>
      <c r="Q113" s="20" t="n">
        <v>1.4577</v>
      </c>
      <c r="R113" s="20" t="n">
        <v>1.7278</v>
      </c>
      <c r="S113" s="20" t="n">
        <v>1.9813</v>
      </c>
      <c r="T113" s="20" t="n">
        <v>2.2196</v>
      </c>
      <c r="U113" s="20" t="n">
        <v>2.4225</v>
      </c>
      <c r="V113" s="20" t="n">
        <v>2.5956</v>
      </c>
      <c r="W113" s="20" t="n">
        <v>2.7475</v>
      </c>
      <c r="X113" s="20" t="n">
        <v>2.8729</v>
      </c>
      <c r="Y113" s="20" t="n">
        <v>2.9619</v>
      </c>
      <c r="Z113" s="20" t="n">
        <v>3.0009</v>
      </c>
      <c r="AA113" s="20" t="n">
        <v>3.0122</v>
      </c>
      <c r="AB113" s="20" t="n">
        <v>2.991</v>
      </c>
      <c r="AC113" s="20" t="n">
        <v>2.92</v>
      </c>
      <c r="AD113" s="20" t="n">
        <v>2.8117</v>
      </c>
      <c r="AE113" s="20" t="n">
        <v>2.6823</v>
      </c>
      <c r="AF113" s="20" t="n">
        <v>2.5184</v>
      </c>
      <c r="AG113" s="20" t="n">
        <v>2.3442</v>
      </c>
      <c r="AH113" s="20" t="n">
        <v>2.1346</v>
      </c>
      <c r="AI113" s="20" t="n">
        <v>1.8986</v>
      </c>
      <c r="AJ113" s="20" t="n">
        <v>1.6136</v>
      </c>
      <c r="AK113" s="20" t="n">
        <v>1.3468</v>
      </c>
      <c r="AL113" s="20" t="n">
        <v>1.0727</v>
      </c>
      <c r="AM113" s="20" t="n">
        <v>0.8076</v>
      </c>
      <c r="AN113" s="20" t="n">
        <v>0.5518999999999999</v>
      </c>
      <c r="AO113" s="20" t="n">
        <v>0.3223</v>
      </c>
      <c r="AP113" s="20" t="n">
        <v>0.09379999999999999</v>
      </c>
      <c r="AQ113" s="20" t="n">
        <v>0.0173</v>
      </c>
      <c r="AR113" s="20" t="n">
        <v>0</v>
      </c>
      <c r="AS113" s="20" t="n">
        <v>0</v>
      </c>
      <c r="AT113" s="20" t="n">
        <v>0</v>
      </c>
      <c r="AU113" s="20" t="n">
        <v>0</v>
      </c>
      <c r="AV113" s="20" t="n">
        <v>0</v>
      </c>
      <c r="AW113" s="20" t="n">
        <v>0</v>
      </c>
      <c r="AX113" s="20" t="n">
        <v>0</v>
      </c>
    </row>
    <row r="114">
      <c r="A114" s="19" t="inlineStr">
        <is>
          <t>Load_TR2_F6_23</t>
        </is>
      </c>
      <c r="B114" s="15" t="inlineStr">
        <is>
          <t>prosumer</t>
        </is>
      </c>
      <c r="C114" s="20" t="n">
        <v>0</v>
      </c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0.0034</v>
      </c>
      <c r="K114" s="20" t="n">
        <v>0.0497</v>
      </c>
      <c r="L114" s="20" t="n">
        <v>0.2326</v>
      </c>
      <c r="M114" s="20" t="n">
        <v>0.4613</v>
      </c>
      <c r="N114" s="20" t="n">
        <v>0.7419</v>
      </c>
      <c r="O114" s="20" t="n">
        <v>1.0479</v>
      </c>
      <c r="P114" s="20" t="n">
        <v>1.3577</v>
      </c>
      <c r="Q114" s="20" t="n">
        <v>1.666</v>
      </c>
      <c r="R114" s="20" t="n">
        <v>1.9746</v>
      </c>
      <c r="S114" s="20" t="n">
        <v>2.2643</v>
      </c>
      <c r="T114" s="20" t="n">
        <v>2.5367</v>
      </c>
      <c r="U114" s="20" t="n">
        <v>2.7686</v>
      </c>
      <c r="V114" s="20" t="n">
        <v>2.9664</v>
      </c>
      <c r="W114" s="20" t="n">
        <v>3.14</v>
      </c>
      <c r="X114" s="20" t="n">
        <v>3.2833</v>
      </c>
      <c r="Y114" s="20" t="n">
        <v>3.385</v>
      </c>
      <c r="Z114" s="20" t="n">
        <v>3.4296</v>
      </c>
      <c r="AA114" s="20" t="n">
        <v>3.4425</v>
      </c>
      <c r="AB114" s="20" t="n">
        <v>3.4183</v>
      </c>
      <c r="AC114" s="20" t="n">
        <v>3.3372</v>
      </c>
      <c r="AD114" s="20" t="n">
        <v>3.2133</v>
      </c>
      <c r="AE114" s="20" t="n">
        <v>3.0655</v>
      </c>
      <c r="AF114" s="20" t="n">
        <v>2.8782</v>
      </c>
      <c r="AG114" s="20" t="n">
        <v>2.6791</v>
      </c>
      <c r="AH114" s="20" t="n">
        <v>2.4396</v>
      </c>
      <c r="AI114" s="20" t="n">
        <v>2.1698</v>
      </c>
      <c r="AJ114" s="20" t="n">
        <v>1.8441</v>
      </c>
      <c r="AK114" s="20" t="n">
        <v>1.5392</v>
      </c>
      <c r="AL114" s="20" t="n">
        <v>1.2259</v>
      </c>
      <c r="AM114" s="20" t="n">
        <v>0.9229000000000001</v>
      </c>
      <c r="AN114" s="20" t="n">
        <v>0.6308</v>
      </c>
      <c r="AO114" s="20" t="n">
        <v>0.3683</v>
      </c>
      <c r="AP114" s="20" t="n">
        <v>0.1072</v>
      </c>
      <c r="AQ114" s="20" t="n">
        <v>0.0198</v>
      </c>
      <c r="AR114" s="20" t="n">
        <v>0</v>
      </c>
      <c r="AS114" s="20" t="n">
        <v>0</v>
      </c>
      <c r="AT114" s="20" t="n">
        <v>0</v>
      </c>
      <c r="AU114" s="20" t="n">
        <v>0</v>
      </c>
      <c r="AV114" s="20" t="n">
        <v>0</v>
      </c>
      <c r="AW114" s="20" t="n">
        <v>0</v>
      </c>
      <c r="AX114" s="20" t="n">
        <v>0</v>
      </c>
    </row>
    <row r="115">
      <c r="A115" s="19" t="inlineStr">
        <is>
          <t>Load_TR2_F6_24</t>
        </is>
      </c>
      <c r="B115" s="15" t="inlineStr">
        <is>
          <t>prosumer</t>
        </is>
      </c>
      <c r="C115" s="20" t="n">
        <v>0</v>
      </c>
      <c r="D115" s="20" t="n">
        <v>0</v>
      </c>
      <c r="E115" s="20" t="n">
        <v>0</v>
      </c>
      <c r="F115" s="20" t="n">
        <v>0</v>
      </c>
      <c r="G115" s="20" t="n">
        <v>0</v>
      </c>
      <c r="H115" s="20" t="n">
        <v>0</v>
      </c>
      <c r="I115" s="20" t="n">
        <v>0</v>
      </c>
      <c r="J115" s="20" t="n">
        <v>0.0022</v>
      </c>
      <c r="K115" s="20" t="n">
        <v>0.0311</v>
      </c>
      <c r="L115" s="20" t="n">
        <v>0.1454</v>
      </c>
      <c r="M115" s="20" t="n">
        <v>0.2883</v>
      </c>
      <c r="N115" s="20" t="n">
        <v>0.4637</v>
      </c>
      <c r="O115" s="20" t="n">
        <v>0.6549</v>
      </c>
      <c r="P115" s="20" t="n">
        <v>0.8486</v>
      </c>
      <c r="Q115" s="20" t="n">
        <v>1.0412</v>
      </c>
      <c r="R115" s="20" t="n">
        <v>1.2341</v>
      </c>
      <c r="S115" s="20" t="n">
        <v>1.4152</v>
      </c>
      <c r="T115" s="20" t="n">
        <v>1.5854</v>
      </c>
      <c r="U115" s="20" t="n">
        <v>1.7304</v>
      </c>
      <c r="V115" s="20" t="n">
        <v>1.854</v>
      </c>
      <c r="W115" s="20" t="n">
        <v>1.9625</v>
      </c>
      <c r="X115" s="20" t="n">
        <v>2.0521</v>
      </c>
      <c r="Y115" s="20" t="n">
        <v>2.1156</v>
      </c>
      <c r="Z115" s="20" t="n">
        <v>2.1435</v>
      </c>
      <c r="AA115" s="20" t="n">
        <v>2.1516</v>
      </c>
      <c r="AB115" s="20" t="n">
        <v>2.1365</v>
      </c>
      <c r="AC115" s="20" t="n">
        <v>2.0857</v>
      </c>
      <c r="AD115" s="20" t="n">
        <v>2.0083</v>
      </c>
      <c r="AE115" s="20" t="n">
        <v>1.9159</v>
      </c>
      <c r="AF115" s="20" t="n">
        <v>1.7989</v>
      </c>
      <c r="AG115" s="20" t="n">
        <v>1.6745</v>
      </c>
      <c r="AH115" s="20" t="n">
        <v>1.5247</v>
      </c>
      <c r="AI115" s="20" t="n">
        <v>1.3561</v>
      </c>
      <c r="AJ115" s="20" t="n">
        <v>1.1525</v>
      </c>
      <c r="AK115" s="20" t="n">
        <v>0.962</v>
      </c>
      <c r="AL115" s="20" t="n">
        <v>0.7662</v>
      </c>
      <c r="AM115" s="20" t="n">
        <v>0.5768</v>
      </c>
      <c r="AN115" s="20" t="n">
        <v>0.3942</v>
      </c>
      <c r="AO115" s="20" t="n">
        <v>0.2302</v>
      </c>
      <c r="AP115" s="20" t="n">
        <v>0.067</v>
      </c>
      <c r="AQ115" s="20" t="n">
        <v>0.0124</v>
      </c>
      <c r="AR115" s="20" t="n">
        <v>0</v>
      </c>
      <c r="AS115" s="20" t="n">
        <v>0</v>
      </c>
      <c r="AT115" s="20" t="n">
        <v>0</v>
      </c>
      <c r="AU115" s="20" t="n">
        <v>0</v>
      </c>
      <c r="AV115" s="20" t="n">
        <v>0</v>
      </c>
      <c r="AW115" s="20" t="n">
        <v>0</v>
      </c>
      <c r="AX115" s="20" t="n">
        <v>0</v>
      </c>
    </row>
    <row r="116">
      <c r="A116" s="19" t="inlineStr">
        <is>
          <t>Load_TR2_F6_25</t>
        </is>
      </c>
      <c r="B116" s="15" t="inlineStr">
        <is>
          <t>prosumer</t>
        </is>
      </c>
      <c r="C116" s="20" t="n">
        <v>0</v>
      </c>
      <c r="D116" s="20" t="n">
        <v>0</v>
      </c>
      <c r="E116" s="20" t="n">
        <v>0</v>
      </c>
      <c r="F116" s="20" t="n">
        <v>0</v>
      </c>
      <c r="G116" s="20" t="n">
        <v>0</v>
      </c>
      <c r="H116" s="20" t="n">
        <v>0</v>
      </c>
      <c r="I116" s="20" t="n">
        <v>0</v>
      </c>
      <c r="J116" s="20" t="n">
        <v>0.0017</v>
      </c>
      <c r="K116" s="20" t="n">
        <v>0.0249</v>
      </c>
      <c r="L116" s="20" t="n">
        <v>0.1163</v>
      </c>
      <c r="M116" s="20" t="n">
        <v>0.2307</v>
      </c>
      <c r="N116" s="20" t="n">
        <v>0.3709</v>
      </c>
      <c r="O116" s="20" t="n">
        <v>0.524</v>
      </c>
      <c r="P116" s="20" t="n">
        <v>0.6788999999999999</v>
      </c>
      <c r="Q116" s="20" t="n">
        <v>0.833</v>
      </c>
      <c r="R116" s="20" t="n">
        <v>0.9873</v>
      </c>
      <c r="S116" s="20" t="n">
        <v>1.1322</v>
      </c>
      <c r="T116" s="20" t="n">
        <v>1.2683</v>
      </c>
      <c r="U116" s="20" t="n">
        <v>1.3843</v>
      </c>
      <c r="V116" s="20" t="n">
        <v>1.4832</v>
      </c>
      <c r="W116" s="20" t="n">
        <v>1.57</v>
      </c>
      <c r="X116" s="20" t="n">
        <v>1.6417</v>
      </c>
      <c r="Y116" s="20" t="n">
        <v>1.6925</v>
      </c>
      <c r="Z116" s="20" t="n">
        <v>1.7148</v>
      </c>
      <c r="AA116" s="20" t="n">
        <v>1.7212</v>
      </c>
      <c r="AB116" s="20" t="n">
        <v>1.7092</v>
      </c>
      <c r="AC116" s="20" t="n">
        <v>1.6686</v>
      </c>
      <c r="AD116" s="20" t="n">
        <v>1.6067</v>
      </c>
      <c r="AE116" s="20" t="n">
        <v>1.5328</v>
      </c>
      <c r="AF116" s="20" t="n">
        <v>1.4391</v>
      </c>
      <c r="AG116" s="20" t="n">
        <v>1.3396</v>
      </c>
      <c r="AH116" s="20" t="n">
        <v>1.2198</v>
      </c>
      <c r="AI116" s="20" t="n">
        <v>1.0849</v>
      </c>
      <c r="AJ116" s="20" t="n">
        <v>0.922</v>
      </c>
      <c r="AK116" s="20" t="n">
        <v>0.7696</v>
      </c>
      <c r="AL116" s="20" t="n">
        <v>0.613</v>
      </c>
      <c r="AM116" s="20" t="n">
        <v>0.4615</v>
      </c>
      <c r="AN116" s="20" t="n">
        <v>0.3154</v>
      </c>
      <c r="AO116" s="20" t="n">
        <v>0.1842</v>
      </c>
      <c r="AP116" s="20" t="n">
        <v>0.0536</v>
      </c>
      <c r="AQ116" s="20" t="n">
        <v>0.009900000000000001</v>
      </c>
      <c r="AR116" s="20" t="n">
        <v>0</v>
      </c>
      <c r="AS116" s="20" t="n">
        <v>0</v>
      </c>
      <c r="AT116" s="20" t="n">
        <v>0</v>
      </c>
      <c r="AU116" s="20" t="n">
        <v>0</v>
      </c>
      <c r="AV116" s="20" t="n">
        <v>0</v>
      </c>
      <c r="AW116" s="20" t="n">
        <v>0</v>
      </c>
      <c r="AX116" s="20" t="n">
        <v>0</v>
      </c>
    </row>
    <row r="117">
      <c r="A117" s="19" t="inlineStr">
        <is>
          <t>Load_TR2_F6_26</t>
        </is>
      </c>
      <c r="B117" s="15" t="inlineStr">
        <is>
          <t>prosumer</t>
        </is>
      </c>
      <c r="C117" s="20" t="n">
        <v>0</v>
      </c>
      <c r="D117" s="20" t="n">
        <v>0</v>
      </c>
      <c r="E117" s="20" t="n">
        <v>0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0.0026</v>
      </c>
      <c r="K117" s="20" t="n">
        <v>0.0373</v>
      </c>
      <c r="L117" s="20" t="n">
        <v>0.1744</v>
      </c>
      <c r="M117" s="20" t="n">
        <v>0.346</v>
      </c>
      <c r="N117" s="20" t="n">
        <v>0.5564</v>
      </c>
      <c r="O117" s="20" t="n">
        <v>0.7859</v>
      </c>
      <c r="P117" s="20" t="n">
        <v>1.0183</v>
      </c>
      <c r="Q117" s="20" t="n">
        <v>1.2495</v>
      </c>
      <c r="R117" s="20" t="n">
        <v>1.481</v>
      </c>
      <c r="S117" s="20" t="n">
        <v>1.6982</v>
      </c>
      <c r="T117" s="20" t="n">
        <v>1.9025</v>
      </c>
      <c r="U117" s="20" t="n">
        <v>2.0764</v>
      </c>
      <c r="V117" s="20" t="n">
        <v>2.2248</v>
      </c>
      <c r="W117" s="20" t="n">
        <v>2.355</v>
      </c>
      <c r="X117" s="20" t="n">
        <v>2.4625</v>
      </c>
      <c r="Y117" s="20" t="n">
        <v>2.5387</v>
      </c>
      <c r="Z117" s="20" t="n">
        <v>2.5722</v>
      </c>
      <c r="AA117" s="20" t="n">
        <v>2.5819</v>
      </c>
      <c r="AB117" s="20" t="n">
        <v>2.5637</v>
      </c>
      <c r="AC117" s="20" t="n">
        <v>2.5029</v>
      </c>
      <c r="AD117" s="20" t="n">
        <v>2.41</v>
      </c>
      <c r="AE117" s="20" t="n">
        <v>2.2991</v>
      </c>
      <c r="AF117" s="20" t="n">
        <v>2.1586</v>
      </c>
      <c r="AG117" s="20" t="n">
        <v>2.0093</v>
      </c>
      <c r="AH117" s="20" t="n">
        <v>1.8297</v>
      </c>
      <c r="AI117" s="20" t="n">
        <v>1.6274</v>
      </c>
      <c r="AJ117" s="20" t="n">
        <v>1.3831</v>
      </c>
      <c r="AK117" s="20" t="n">
        <v>1.1544</v>
      </c>
      <c r="AL117" s="20" t="n">
        <v>0.9195</v>
      </c>
      <c r="AM117" s="20" t="n">
        <v>0.6922</v>
      </c>
      <c r="AN117" s="20" t="n">
        <v>0.4731</v>
      </c>
      <c r="AO117" s="20" t="n">
        <v>0.2762</v>
      </c>
      <c r="AP117" s="20" t="n">
        <v>0.0804</v>
      </c>
      <c r="AQ117" s="20" t="n">
        <v>0.0148</v>
      </c>
      <c r="AR117" s="20" t="n">
        <v>0</v>
      </c>
      <c r="AS117" s="20" t="n">
        <v>0</v>
      </c>
      <c r="AT117" s="20" t="n">
        <v>0</v>
      </c>
      <c r="AU117" s="20" t="n">
        <v>0</v>
      </c>
      <c r="AV117" s="20" t="n">
        <v>0</v>
      </c>
      <c r="AW117" s="20" t="n">
        <v>0</v>
      </c>
      <c r="AX117" s="20" t="n">
        <v>0</v>
      </c>
    </row>
    <row r="118">
      <c r="A118" s="19" t="inlineStr">
        <is>
          <t>Load_TR2_F6_27</t>
        </is>
      </c>
      <c r="B118" s="15" t="inlineStr">
        <is>
          <t>prosumer</t>
        </is>
      </c>
      <c r="C118" s="20" t="n">
        <v>0</v>
      </c>
      <c r="D118" s="20" t="n">
        <v>0</v>
      </c>
      <c r="E118" s="20" t="n">
        <v>0</v>
      </c>
      <c r="F118" s="20" t="n">
        <v>0</v>
      </c>
      <c r="G118" s="20" t="n">
        <v>0</v>
      </c>
      <c r="H118" s="20" t="n">
        <v>0</v>
      </c>
      <c r="I118" s="20" t="n">
        <v>0</v>
      </c>
      <c r="J118" s="20" t="n">
        <v>0.0013</v>
      </c>
      <c r="K118" s="20" t="n">
        <v>0.0187</v>
      </c>
      <c r="L118" s="20" t="n">
        <v>0.0872</v>
      </c>
      <c r="M118" s="20" t="n">
        <v>0.173</v>
      </c>
      <c r="N118" s="20" t="n">
        <v>0.2782</v>
      </c>
      <c r="O118" s="20" t="n">
        <v>0.393</v>
      </c>
      <c r="P118" s="20" t="n">
        <v>0.5092</v>
      </c>
      <c r="Q118" s="20" t="n">
        <v>0.6247</v>
      </c>
      <c r="R118" s="20" t="n">
        <v>0.7405</v>
      </c>
      <c r="S118" s="20" t="n">
        <v>0.8491</v>
      </c>
      <c r="T118" s="20" t="n">
        <v>0.9512</v>
      </c>
      <c r="U118" s="20" t="n">
        <v>1.0382</v>
      </c>
      <c r="V118" s="20" t="n">
        <v>1.1124</v>
      </c>
      <c r="W118" s="20" t="n">
        <v>1.1775</v>
      </c>
      <c r="X118" s="20" t="n">
        <v>1.2312</v>
      </c>
      <c r="Y118" s="20" t="n">
        <v>1.2694</v>
      </c>
      <c r="Z118" s="20" t="n">
        <v>1.2861</v>
      </c>
      <c r="AA118" s="20" t="n">
        <v>1.2909</v>
      </c>
      <c r="AB118" s="20" t="n">
        <v>1.2819</v>
      </c>
      <c r="AC118" s="20" t="n">
        <v>1.2514</v>
      </c>
      <c r="AD118" s="20" t="n">
        <v>1.205</v>
      </c>
      <c r="AE118" s="20" t="n">
        <v>1.1496</v>
      </c>
      <c r="AF118" s="20" t="n">
        <v>1.0793</v>
      </c>
      <c r="AG118" s="20" t="n">
        <v>1.0047</v>
      </c>
      <c r="AH118" s="20" t="n">
        <v>0.9147999999999999</v>
      </c>
      <c r="AI118" s="20" t="n">
        <v>0.8137</v>
      </c>
      <c r="AJ118" s="20" t="n">
        <v>0.6915</v>
      </c>
      <c r="AK118" s="20" t="n">
        <v>0.5772</v>
      </c>
      <c r="AL118" s="20" t="n">
        <v>0.4597</v>
      </c>
      <c r="AM118" s="20" t="n">
        <v>0.3461</v>
      </c>
      <c r="AN118" s="20" t="n">
        <v>0.2365</v>
      </c>
      <c r="AO118" s="20" t="n">
        <v>0.1381</v>
      </c>
      <c r="AP118" s="20" t="n">
        <v>0.0402</v>
      </c>
      <c r="AQ118" s="20" t="n">
        <v>0.0074</v>
      </c>
      <c r="AR118" s="20" t="n">
        <v>0</v>
      </c>
      <c r="AS118" s="20" t="n">
        <v>0</v>
      </c>
      <c r="AT118" s="20" t="n">
        <v>0</v>
      </c>
      <c r="AU118" s="20" t="n">
        <v>0</v>
      </c>
      <c r="AV118" s="20" t="n">
        <v>0</v>
      </c>
      <c r="AW118" s="20" t="n">
        <v>0</v>
      </c>
      <c r="AX118" s="20" t="n">
        <v>0</v>
      </c>
    </row>
    <row r="119">
      <c r="A119" s="19" t="inlineStr">
        <is>
          <t>Load_TR2_F6_28</t>
        </is>
      </c>
      <c r="B119" s="15" t="inlineStr">
        <is>
          <t>prosumer</t>
        </is>
      </c>
      <c r="C119" s="20" t="n">
        <v>0</v>
      </c>
      <c r="D119" s="20" t="n">
        <v>0</v>
      </c>
      <c r="E119" s="20" t="n">
        <v>0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0.0034</v>
      </c>
      <c r="K119" s="20" t="n">
        <v>0.0497</v>
      </c>
      <c r="L119" s="20" t="n">
        <v>0.2326</v>
      </c>
      <c r="M119" s="20" t="n">
        <v>0.4613</v>
      </c>
      <c r="N119" s="20" t="n">
        <v>0.7419</v>
      </c>
      <c r="O119" s="20" t="n">
        <v>1.0479</v>
      </c>
      <c r="P119" s="20" t="n">
        <v>1.3577</v>
      </c>
      <c r="Q119" s="20" t="n">
        <v>1.666</v>
      </c>
      <c r="R119" s="20" t="n">
        <v>1.9746</v>
      </c>
      <c r="S119" s="20" t="n">
        <v>2.2643</v>
      </c>
      <c r="T119" s="20" t="n">
        <v>2.5367</v>
      </c>
      <c r="U119" s="20" t="n">
        <v>2.7686</v>
      </c>
      <c r="V119" s="20" t="n">
        <v>2.9664</v>
      </c>
      <c r="W119" s="20" t="n">
        <v>3.14</v>
      </c>
      <c r="X119" s="20" t="n">
        <v>3.2833</v>
      </c>
      <c r="Y119" s="20" t="n">
        <v>3.385</v>
      </c>
      <c r="Z119" s="20" t="n">
        <v>3.4296</v>
      </c>
      <c r="AA119" s="20" t="n">
        <v>3.4425</v>
      </c>
      <c r="AB119" s="20" t="n">
        <v>3.4183</v>
      </c>
      <c r="AC119" s="20" t="n">
        <v>3.3372</v>
      </c>
      <c r="AD119" s="20" t="n">
        <v>3.2133</v>
      </c>
      <c r="AE119" s="20" t="n">
        <v>3.0655</v>
      </c>
      <c r="AF119" s="20" t="n">
        <v>2.8782</v>
      </c>
      <c r="AG119" s="20" t="n">
        <v>2.6791</v>
      </c>
      <c r="AH119" s="20" t="n">
        <v>2.4396</v>
      </c>
      <c r="AI119" s="20" t="n">
        <v>2.1698</v>
      </c>
      <c r="AJ119" s="20" t="n">
        <v>1.8441</v>
      </c>
      <c r="AK119" s="20" t="n">
        <v>1.5392</v>
      </c>
      <c r="AL119" s="20" t="n">
        <v>1.2259</v>
      </c>
      <c r="AM119" s="20" t="n">
        <v>0.9229000000000001</v>
      </c>
      <c r="AN119" s="20" t="n">
        <v>0.6308</v>
      </c>
      <c r="AO119" s="20" t="n">
        <v>0.3683</v>
      </c>
      <c r="AP119" s="20" t="n">
        <v>0.1072</v>
      </c>
      <c r="AQ119" s="20" t="n">
        <v>0.0198</v>
      </c>
      <c r="AR119" s="20" t="n">
        <v>0</v>
      </c>
      <c r="AS119" s="20" t="n">
        <v>0</v>
      </c>
      <c r="AT119" s="20" t="n">
        <v>0</v>
      </c>
      <c r="AU119" s="20" t="n">
        <v>0</v>
      </c>
      <c r="AV119" s="20" t="n">
        <v>0</v>
      </c>
      <c r="AW119" s="20" t="n">
        <v>0</v>
      </c>
      <c r="AX119" s="20" t="n">
        <v>0</v>
      </c>
    </row>
    <row r="120">
      <c r="A120" s="19" t="inlineStr">
        <is>
          <t>Load_TR2_F6_29</t>
        </is>
      </c>
      <c r="B120" s="15" t="inlineStr">
        <is>
          <t>prosumer</t>
        </is>
      </c>
      <c r="C120" s="20" t="n">
        <v>0</v>
      </c>
      <c r="D120" s="20" t="n">
        <v>0</v>
      </c>
      <c r="E120" s="20" t="n">
        <v>0</v>
      </c>
      <c r="F120" s="20" t="n">
        <v>0</v>
      </c>
      <c r="G120" s="20" t="n">
        <v>0</v>
      </c>
      <c r="H120" s="20" t="n">
        <v>0</v>
      </c>
      <c r="I120" s="20" t="n">
        <v>0</v>
      </c>
      <c r="J120" s="20" t="n">
        <v>0.0026</v>
      </c>
      <c r="K120" s="20" t="n">
        <v>0.0373</v>
      </c>
      <c r="L120" s="20" t="n">
        <v>0.1744</v>
      </c>
      <c r="M120" s="20" t="n">
        <v>0.346</v>
      </c>
      <c r="N120" s="20" t="n">
        <v>0.5564</v>
      </c>
      <c r="O120" s="20" t="n">
        <v>0.7859</v>
      </c>
      <c r="P120" s="20" t="n">
        <v>1.0183</v>
      </c>
      <c r="Q120" s="20" t="n">
        <v>1.2495</v>
      </c>
      <c r="R120" s="20" t="n">
        <v>1.481</v>
      </c>
      <c r="S120" s="20" t="n">
        <v>1.6982</v>
      </c>
      <c r="T120" s="20" t="n">
        <v>1.9025</v>
      </c>
      <c r="U120" s="20" t="n">
        <v>2.0764</v>
      </c>
      <c r="V120" s="20" t="n">
        <v>2.2248</v>
      </c>
      <c r="W120" s="20" t="n">
        <v>2.355</v>
      </c>
      <c r="X120" s="20" t="n">
        <v>2.4625</v>
      </c>
      <c r="Y120" s="20" t="n">
        <v>2.5387</v>
      </c>
      <c r="Z120" s="20" t="n">
        <v>2.5722</v>
      </c>
      <c r="AA120" s="20" t="n">
        <v>2.5819</v>
      </c>
      <c r="AB120" s="20" t="n">
        <v>2.5637</v>
      </c>
      <c r="AC120" s="20" t="n">
        <v>2.5029</v>
      </c>
      <c r="AD120" s="20" t="n">
        <v>2.41</v>
      </c>
      <c r="AE120" s="20" t="n">
        <v>2.2991</v>
      </c>
      <c r="AF120" s="20" t="n">
        <v>2.1586</v>
      </c>
      <c r="AG120" s="20" t="n">
        <v>2.0093</v>
      </c>
      <c r="AH120" s="20" t="n">
        <v>1.8297</v>
      </c>
      <c r="AI120" s="20" t="n">
        <v>1.6274</v>
      </c>
      <c r="AJ120" s="20" t="n">
        <v>1.3831</v>
      </c>
      <c r="AK120" s="20" t="n">
        <v>1.1544</v>
      </c>
      <c r="AL120" s="20" t="n">
        <v>0.9195</v>
      </c>
      <c r="AM120" s="20" t="n">
        <v>0.6922</v>
      </c>
      <c r="AN120" s="20" t="n">
        <v>0.4731</v>
      </c>
      <c r="AO120" s="20" t="n">
        <v>0.2762</v>
      </c>
      <c r="AP120" s="20" t="n">
        <v>0.0804</v>
      </c>
      <c r="AQ120" s="20" t="n">
        <v>0.0148</v>
      </c>
      <c r="AR120" s="20" t="n">
        <v>0</v>
      </c>
      <c r="AS120" s="20" t="n">
        <v>0</v>
      </c>
      <c r="AT120" s="20" t="n">
        <v>0</v>
      </c>
      <c r="AU120" s="20" t="n">
        <v>0</v>
      </c>
      <c r="AV120" s="20" t="n">
        <v>0</v>
      </c>
      <c r="AW120" s="20" t="n">
        <v>0</v>
      </c>
      <c r="AX120" s="20" t="n">
        <v>0</v>
      </c>
    </row>
    <row r="121">
      <c r="A121" s="10" t="inlineStr">
        <is>
          <t>Load_TR2_F6_3</t>
        </is>
      </c>
      <c r="B121" s="12" t="inlineStr">
        <is>
          <t>customer</t>
        </is>
      </c>
      <c r="C121" s="18" t="n">
        <v>0</v>
      </c>
      <c r="D121" s="18" t="n">
        <v>0</v>
      </c>
      <c r="E121" s="18" t="n">
        <v>0</v>
      </c>
      <c r="F121" s="18" t="n">
        <v>0</v>
      </c>
      <c r="G121" s="18" t="n">
        <v>0</v>
      </c>
      <c r="H121" s="18" t="n">
        <v>0</v>
      </c>
      <c r="I121" s="18" t="n">
        <v>0</v>
      </c>
      <c r="J121" s="18" t="n">
        <v>0</v>
      </c>
      <c r="K121" s="18" t="n">
        <v>0</v>
      </c>
      <c r="L121" s="18" t="n">
        <v>0</v>
      </c>
      <c r="M121" s="18" t="n">
        <v>0</v>
      </c>
      <c r="N121" s="18" t="n">
        <v>0</v>
      </c>
      <c r="O121" s="18" t="n">
        <v>0</v>
      </c>
      <c r="P121" s="18" t="n">
        <v>0</v>
      </c>
      <c r="Q121" s="18" t="n">
        <v>0</v>
      </c>
      <c r="R121" s="18" t="n">
        <v>0</v>
      </c>
      <c r="S121" s="18" t="n">
        <v>0</v>
      </c>
      <c r="T121" s="18" t="n">
        <v>0</v>
      </c>
      <c r="U121" s="18" t="n">
        <v>0</v>
      </c>
      <c r="V121" s="18" t="n">
        <v>0</v>
      </c>
      <c r="W121" s="18" t="n">
        <v>0</v>
      </c>
      <c r="X121" s="18" t="n">
        <v>0</v>
      </c>
      <c r="Y121" s="18" t="n">
        <v>0</v>
      </c>
      <c r="Z121" s="18" t="n">
        <v>0</v>
      </c>
      <c r="AA121" s="18" t="n">
        <v>0</v>
      </c>
      <c r="AB121" s="18" t="n">
        <v>0</v>
      </c>
      <c r="AC121" s="18" t="n">
        <v>0</v>
      </c>
      <c r="AD121" s="18" t="n">
        <v>0</v>
      </c>
      <c r="AE121" s="18" t="n">
        <v>0</v>
      </c>
      <c r="AF121" s="18" t="n">
        <v>0</v>
      </c>
      <c r="AG121" s="18" t="n">
        <v>0</v>
      </c>
      <c r="AH121" s="18" t="n">
        <v>0</v>
      </c>
      <c r="AI121" s="18" t="n">
        <v>0</v>
      </c>
      <c r="AJ121" s="18" t="n">
        <v>0</v>
      </c>
      <c r="AK121" s="18" t="n">
        <v>0</v>
      </c>
      <c r="AL121" s="18" t="n">
        <v>0</v>
      </c>
      <c r="AM121" s="18" t="n">
        <v>0</v>
      </c>
      <c r="AN121" s="18" t="n">
        <v>0</v>
      </c>
      <c r="AO121" s="18" t="n">
        <v>0</v>
      </c>
      <c r="AP121" s="18" t="n">
        <v>0</v>
      </c>
      <c r="AQ121" s="18" t="n">
        <v>0</v>
      </c>
      <c r="AR121" s="18" t="n">
        <v>0</v>
      </c>
      <c r="AS121" s="18" t="n">
        <v>0</v>
      </c>
      <c r="AT121" s="18" t="n">
        <v>0</v>
      </c>
      <c r="AU121" s="18" t="n">
        <v>0</v>
      </c>
      <c r="AV121" s="18" t="n">
        <v>0</v>
      </c>
      <c r="AW121" s="18" t="n">
        <v>0</v>
      </c>
      <c r="AX121" s="18" t="n">
        <v>0</v>
      </c>
    </row>
    <row r="122">
      <c r="A122" s="19" t="inlineStr">
        <is>
          <t>Load_TR2_F6_30</t>
        </is>
      </c>
      <c r="B122" s="15" t="inlineStr">
        <is>
          <t>prosumer</t>
        </is>
      </c>
      <c r="C122" s="20" t="n">
        <v>0</v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0.0022</v>
      </c>
      <c r="K122" s="20" t="n">
        <v>0.0311</v>
      </c>
      <c r="L122" s="20" t="n">
        <v>0.1454</v>
      </c>
      <c r="M122" s="20" t="n">
        <v>0.2883</v>
      </c>
      <c r="N122" s="20" t="n">
        <v>0.4637</v>
      </c>
      <c r="O122" s="20" t="n">
        <v>0.6549</v>
      </c>
      <c r="P122" s="20" t="n">
        <v>0.8486</v>
      </c>
      <c r="Q122" s="20" t="n">
        <v>1.0412</v>
      </c>
      <c r="R122" s="20" t="n">
        <v>1.2341</v>
      </c>
      <c r="S122" s="20" t="n">
        <v>1.4152</v>
      </c>
      <c r="T122" s="20" t="n">
        <v>1.5854</v>
      </c>
      <c r="U122" s="20" t="n">
        <v>1.7304</v>
      </c>
      <c r="V122" s="20" t="n">
        <v>1.854</v>
      </c>
      <c r="W122" s="20" t="n">
        <v>1.9625</v>
      </c>
      <c r="X122" s="20" t="n">
        <v>2.0521</v>
      </c>
      <c r="Y122" s="20" t="n">
        <v>2.1156</v>
      </c>
      <c r="Z122" s="20" t="n">
        <v>2.1435</v>
      </c>
      <c r="AA122" s="20" t="n">
        <v>2.1516</v>
      </c>
      <c r="AB122" s="20" t="n">
        <v>2.1365</v>
      </c>
      <c r="AC122" s="20" t="n">
        <v>2.0857</v>
      </c>
      <c r="AD122" s="20" t="n">
        <v>2.0083</v>
      </c>
      <c r="AE122" s="20" t="n">
        <v>1.9159</v>
      </c>
      <c r="AF122" s="20" t="n">
        <v>1.7989</v>
      </c>
      <c r="AG122" s="20" t="n">
        <v>1.6745</v>
      </c>
      <c r="AH122" s="20" t="n">
        <v>1.5247</v>
      </c>
      <c r="AI122" s="20" t="n">
        <v>1.3561</v>
      </c>
      <c r="AJ122" s="20" t="n">
        <v>1.1525</v>
      </c>
      <c r="AK122" s="20" t="n">
        <v>0.962</v>
      </c>
      <c r="AL122" s="20" t="n">
        <v>0.7662</v>
      </c>
      <c r="AM122" s="20" t="n">
        <v>0.5768</v>
      </c>
      <c r="AN122" s="20" t="n">
        <v>0.3942</v>
      </c>
      <c r="AO122" s="20" t="n">
        <v>0.2302</v>
      </c>
      <c r="AP122" s="20" t="n">
        <v>0.067</v>
      </c>
      <c r="AQ122" s="20" t="n">
        <v>0.0124</v>
      </c>
      <c r="AR122" s="20" t="n">
        <v>0</v>
      </c>
      <c r="AS122" s="20" t="n">
        <v>0</v>
      </c>
      <c r="AT122" s="20" t="n">
        <v>0</v>
      </c>
      <c r="AU122" s="20" t="n">
        <v>0</v>
      </c>
      <c r="AV122" s="20" t="n">
        <v>0</v>
      </c>
      <c r="AW122" s="20" t="n">
        <v>0</v>
      </c>
      <c r="AX122" s="20" t="n">
        <v>0</v>
      </c>
    </row>
    <row r="123">
      <c r="A123" s="19" t="inlineStr">
        <is>
          <t>Load_TR2_F6_31</t>
        </is>
      </c>
      <c r="B123" s="15" t="inlineStr">
        <is>
          <t>prosumer</t>
        </is>
      </c>
      <c r="C123" s="20" t="n">
        <v>0</v>
      </c>
      <c r="D123" s="20" t="n">
        <v>0</v>
      </c>
      <c r="E123" s="20" t="n">
        <v>0</v>
      </c>
      <c r="F123" s="20" t="n">
        <v>0</v>
      </c>
      <c r="G123" s="20" t="n">
        <v>0</v>
      </c>
      <c r="H123" s="20" t="n">
        <v>0</v>
      </c>
      <c r="I123" s="20" t="n">
        <v>0</v>
      </c>
      <c r="J123" s="20" t="n">
        <v>0.0034</v>
      </c>
      <c r="K123" s="20" t="n">
        <v>0.0497</v>
      </c>
      <c r="L123" s="20" t="n">
        <v>0.2326</v>
      </c>
      <c r="M123" s="20" t="n">
        <v>0.4613</v>
      </c>
      <c r="N123" s="20" t="n">
        <v>0.7419</v>
      </c>
      <c r="O123" s="20" t="n">
        <v>1.0479</v>
      </c>
      <c r="P123" s="20" t="n">
        <v>1.3577</v>
      </c>
      <c r="Q123" s="20" t="n">
        <v>1.666</v>
      </c>
      <c r="R123" s="20" t="n">
        <v>1.9746</v>
      </c>
      <c r="S123" s="20" t="n">
        <v>2.2643</v>
      </c>
      <c r="T123" s="20" t="n">
        <v>2.5367</v>
      </c>
      <c r="U123" s="20" t="n">
        <v>2.7686</v>
      </c>
      <c r="V123" s="20" t="n">
        <v>2.9664</v>
      </c>
      <c r="W123" s="20" t="n">
        <v>3.14</v>
      </c>
      <c r="X123" s="20" t="n">
        <v>3.2833</v>
      </c>
      <c r="Y123" s="20" t="n">
        <v>3.385</v>
      </c>
      <c r="Z123" s="20" t="n">
        <v>3.4296</v>
      </c>
      <c r="AA123" s="20" t="n">
        <v>3.4425</v>
      </c>
      <c r="AB123" s="20" t="n">
        <v>3.4183</v>
      </c>
      <c r="AC123" s="20" t="n">
        <v>3.3372</v>
      </c>
      <c r="AD123" s="20" t="n">
        <v>3.2133</v>
      </c>
      <c r="AE123" s="20" t="n">
        <v>3.0655</v>
      </c>
      <c r="AF123" s="20" t="n">
        <v>2.8782</v>
      </c>
      <c r="AG123" s="20" t="n">
        <v>2.6791</v>
      </c>
      <c r="AH123" s="20" t="n">
        <v>2.4396</v>
      </c>
      <c r="AI123" s="20" t="n">
        <v>2.1698</v>
      </c>
      <c r="AJ123" s="20" t="n">
        <v>1.8441</v>
      </c>
      <c r="AK123" s="20" t="n">
        <v>1.5392</v>
      </c>
      <c r="AL123" s="20" t="n">
        <v>1.2259</v>
      </c>
      <c r="AM123" s="20" t="n">
        <v>0.9229000000000001</v>
      </c>
      <c r="AN123" s="20" t="n">
        <v>0.6308</v>
      </c>
      <c r="AO123" s="20" t="n">
        <v>0.3683</v>
      </c>
      <c r="AP123" s="20" t="n">
        <v>0.1072</v>
      </c>
      <c r="AQ123" s="20" t="n">
        <v>0.0198</v>
      </c>
      <c r="AR123" s="20" t="n">
        <v>0</v>
      </c>
      <c r="AS123" s="20" t="n">
        <v>0</v>
      </c>
      <c r="AT123" s="20" t="n">
        <v>0</v>
      </c>
      <c r="AU123" s="20" t="n">
        <v>0</v>
      </c>
      <c r="AV123" s="20" t="n">
        <v>0</v>
      </c>
      <c r="AW123" s="20" t="n">
        <v>0</v>
      </c>
      <c r="AX123" s="20" t="n">
        <v>0</v>
      </c>
    </row>
    <row r="124">
      <c r="A124" s="19" t="inlineStr">
        <is>
          <t>Load_TR2_F6_32</t>
        </is>
      </c>
      <c r="B124" s="15" t="inlineStr">
        <is>
          <t>prosumer</t>
        </is>
      </c>
      <c r="C124" s="20" t="n">
        <v>0</v>
      </c>
      <c r="D124" s="20" t="n">
        <v>0</v>
      </c>
      <c r="E124" s="20" t="n">
        <v>0</v>
      </c>
      <c r="F124" s="20" t="n">
        <v>0</v>
      </c>
      <c r="G124" s="20" t="n">
        <v>0</v>
      </c>
      <c r="H124" s="20" t="n">
        <v>0</v>
      </c>
      <c r="I124" s="20" t="n">
        <v>0</v>
      </c>
      <c r="J124" s="20" t="n">
        <v>0.003</v>
      </c>
      <c r="K124" s="20" t="n">
        <v>0.0435</v>
      </c>
      <c r="L124" s="20" t="n">
        <v>0.2035</v>
      </c>
      <c r="M124" s="20" t="n">
        <v>0.4037</v>
      </c>
      <c r="N124" s="20" t="n">
        <v>0.6491</v>
      </c>
      <c r="O124" s="20" t="n">
        <v>0.9169</v>
      </c>
      <c r="P124" s="20" t="n">
        <v>1.188</v>
      </c>
      <c r="Q124" s="20" t="n">
        <v>1.4577</v>
      </c>
      <c r="R124" s="20" t="n">
        <v>1.7278</v>
      </c>
      <c r="S124" s="20" t="n">
        <v>1.9813</v>
      </c>
      <c r="T124" s="20" t="n">
        <v>2.2196</v>
      </c>
      <c r="U124" s="20" t="n">
        <v>2.4225</v>
      </c>
      <c r="V124" s="20" t="n">
        <v>2.5956</v>
      </c>
      <c r="W124" s="20" t="n">
        <v>2.7475</v>
      </c>
      <c r="X124" s="20" t="n">
        <v>2.8729</v>
      </c>
      <c r="Y124" s="20" t="n">
        <v>2.9619</v>
      </c>
      <c r="Z124" s="20" t="n">
        <v>3.0009</v>
      </c>
      <c r="AA124" s="20" t="n">
        <v>3.0122</v>
      </c>
      <c r="AB124" s="20" t="n">
        <v>2.991</v>
      </c>
      <c r="AC124" s="20" t="n">
        <v>2.92</v>
      </c>
      <c r="AD124" s="20" t="n">
        <v>2.8117</v>
      </c>
      <c r="AE124" s="20" t="n">
        <v>2.6823</v>
      </c>
      <c r="AF124" s="20" t="n">
        <v>2.5184</v>
      </c>
      <c r="AG124" s="20" t="n">
        <v>2.3442</v>
      </c>
      <c r="AH124" s="20" t="n">
        <v>2.1346</v>
      </c>
      <c r="AI124" s="20" t="n">
        <v>1.8986</v>
      </c>
      <c r="AJ124" s="20" t="n">
        <v>1.6136</v>
      </c>
      <c r="AK124" s="20" t="n">
        <v>1.3468</v>
      </c>
      <c r="AL124" s="20" t="n">
        <v>1.0727</v>
      </c>
      <c r="AM124" s="20" t="n">
        <v>0.8076</v>
      </c>
      <c r="AN124" s="20" t="n">
        <v>0.5518999999999999</v>
      </c>
      <c r="AO124" s="20" t="n">
        <v>0.3223</v>
      </c>
      <c r="AP124" s="20" t="n">
        <v>0.09379999999999999</v>
      </c>
      <c r="AQ124" s="20" t="n">
        <v>0.0173</v>
      </c>
      <c r="AR124" s="20" t="n">
        <v>0</v>
      </c>
      <c r="AS124" s="20" t="n">
        <v>0</v>
      </c>
      <c r="AT124" s="20" t="n">
        <v>0</v>
      </c>
      <c r="AU124" s="20" t="n">
        <v>0</v>
      </c>
      <c r="AV124" s="20" t="n">
        <v>0</v>
      </c>
      <c r="AW124" s="20" t="n">
        <v>0</v>
      </c>
      <c r="AX124" s="20" t="n">
        <v>0</v>
      </c>
    </row>
    <row r="125">
      <c r="A125" s="19" t="inlineStr">
        <is>
          <t>Load_TR2_F6_33</t>
        </is>
      </c>
      <c r="B125" s="15" t="inlineStr">
        <is>
          <t>prosumer</t>
        </is>
      </c>
      <c r="C125" s="20" t="n">
        <v>0</v>
      </c>
      <c r="D125" s="20" t="n">
        <v>0</v>
      </c>
      <c r="E125" s="20" t="n">
        <v>0</v>
      </c>
      <c r="F125" s="20" t="n">
        <v>0</v>
      </c>
      <c r="G125" s="20" t="n">
        <v>0</v>
      </c>
      <c r="H125" s="20" t="n">
        <v>0</v>
      </c>
      <c r="I125" s="20" t="n">
        <v>0</v>
      </c>
      <c r="J125" s="20" t="n">
        <v>0.0034</v>
      </c>
      <c r="K125" s="20" t="n">
        <v>0.0497</v>
      </c>
      <c r="L125" s="20" t="n">
        <v>0.2326</v>
      </c>
      <c r="M125" s="20" t="n">
        <v>0.4613</v>
      </c>
      <c r="N125" s="20" t="n">
        <v>0.7419</v>
      </c>
      <c r="O125" s="20" t="n">
        <v>1.0479</v>
      </c>
      <c r="P125" s="20" t="n">
        <v>1.3577</v>
      </c>
      <c r="Q125" s="20" t="n">
        <v>1.666</v>
      </c>
      <c r="R125" s="20" t="n">
        <v>1.9746</v>
      </c>
      <c r="S125" s="20" t="n">
        <v>2.2643</v>
      </c>
      <c r="T125" s="20" t="n">
        <v>2.5367</v>
      </c>
      <c r="U125" s="20" t="n">
        <v>2.7686</v>
      </c>
      <c r="V125" s="20" t="n">
        <v>2.9664</v>
      </c>
      <c r="W125" s="20" t="n">
        <v>3.14</v>
      </c>
      <c r="X125" s="20" t="n">
        <v>3.2833</v>
      </c>
      <c r="Y125" s="20" t="n">
        <v>3.385</v>
      </c>
      <c r="Z125" s="20" t="n">
        <v>3.4296</v>
      </c>
      <c r="AA125" s="20" t="n">
        <v>3.4425</v>
      </c>
      <c r="AB125" s="20" t="n">
        <v>3.4183</v>
      </c>
      <c r="AC125" s="20" t="n">
        <v>3.3372</v>
      </c>
      <c r="AD125" s="20" t="n">
        <v>3.2133</v>
      </c>
      <c r="AE125" s="20" t="n">
        <v>3.0655</v>
      </c>
      <c r="AF125" s="20" t="n">
        <v>2.8782</v>
      </c>
      <c r="AG125" s="20" t="n">
        <v>2.6791</v>
      </c>
      <c r="AH125" s="20" t="n">
        <v>2.4396</v>
      </c>
      <c r="AI125" s="20" t="n">
        <v>2.1698</v>
      </c>
      <c r="AJ125" s="20" t="n">
        <v>1.8441</v>
      </c>
      <c r="AK125" s="20" t="n">
        <v>1.5392</v>
      </c>
      <c r="AL125" s="20" t="n">
        <v>1.2259</v>
      </c>
      <c r="AM125" s="20" t="n">
        <v>0.9229000000000001</v>
      </c>
      <c r="AN125" s="20" t="n">
        <v>0.6308</v>
      </c>
      <c r="AO125" s="20" t="n">
        <v>0.3683</v>
      </c>
      <c r="AP125" s="20" t="n">
        <v>0.1072</v>
      </c>
      <c r="AQ125" s="20" t="n">
        <v>0.0198</v>
      </c>
      <c r="AR125" s="20" t="n">
        <v>0</v>
      </c>
      <c r="AS125" s="20" t="n">
        <v>0</v>
      </c>
      <c r="AT125" s="20" t="n">
        <v>0</v>
      </c>
      <c r="AU125" s="20" t="n">
        <v>0</v>
      </c>
      <c r="AV125" s="20" t="n">
        <v>0</v>
      </c>
      <c r="AW125" s="20" t="n">
        <v>0</v>
      </c>
      <c r="AX125" s="20" t="n">
        <v>0</v>
      </c>
    </row>
    <row r="126">
      <c r="A126" s="19" t="inlineStr">
        <is>
          <t>Load_TR2_F6_34</t>
        </is>
      </c>
      <c r="B126" s="15" t="inlineStr">
        <is>
          <t>prosumer</t>
        </is>
      </c>
      <c r="C126" s="20" t="n">
        <v>0</v>
      </c>
      <c r="D126" s="20" t="n">
        <v>0</v>
      </c>
      <c r="E126" s="20" t="n">
        <v>0</v>
      </c>
      <c r="F126" s="20" t="n">
        <v>0</v>
      </c>
      <c r="G126" s="20" t="n">
        <v>0</v>
      </c>
      <c r="H126" s="20" t="n">
        <v>0</v>
      </c>
      <c r="I126" s="20" t="n">
        <v>0</v>
      </c>
      <c r="J126" s="20" t="n">
        <v>0.0034</v>
      </c>
      <c r="K126" s="20" t="n">
        <v>0.0497</v>
      </c>
      <c r="L126" s="20" t="n">
        <v>0.2326</v>
      </c>
      <c r="M126" s="20" t="n">
        <v>0.4613</v>
      </c>
      <c r="N126" s="20" t="n">
        <v>0.7419</v>
      </c>
      <c r="O126" s="20" t="n">
        <v>1.0479</v>
      </c>
      <c r="P126" s="20" t="n">
        <v>1.3577</v>
      </c>
      <c r="Q126" s="20" t="n">
        <v>1.666</v>
      </c>
      <c r="R126" s="20" t="n">
        <v>1.9746</v>
      </c>
      <c r="S126" s="20" t="n">
        <v>2.2643</v>
      </c>
      <c r="T126" s="20" t="n">
        <v>2.5367</v>
      </c>
      <c r="U126" s="20" t="n">
        <v>2.7686</v>
      </c>
      <c r="V126" s="20" t="n">
        <v>2.9664</v>
      </c>
      <c r="W126" s="20" t="n">
        <v>3.14</v>
      </c>
      <c r="X126" s="20" t="n">
        <v>3.2833</v>
      </c>
      <c r="Y126" s="20" t="n">
        <v>3.385</v>
      </c>
      <c r="Z126" s="20" t="n">
        <v>3.4296</v>
      </c>
      <c r="AA126" s="20" t="n">
        <v>3.4425</v>
      </c>
      <c r="AB126" s="20" t="n">
        <v>3.4183</v>
      </c>
      <c r="AC126" s="20" t="n">
        <v>3.3372</v>
      </c>
      <c r="AD126" s="20" t="n">
        <v>3.2133</v>
      </c>
      <c r="AE126" s="20" t="n">
        <v>3.0655</v>
      </c>
      <c r="AF126" s="20" t="n">
        <v>2.8782</v>
      </c>
      <c r="AG126" s="20" t="n">
        <v>2.6791</v>
      </c>
      <c r="AH126" s="20" t="n">
        <v>2.4396</v>
      </c>
      <c r="AI126" s="20" t="n">
        <v>2.1698</v>
      </c>
      <c r="AJ126" s="20" t="n">
        <v>1.8441</v>
      </c>
      <c r="AK126" s="20" t="n">
        <v>1.5392</v>
      </c>
      <c r="AL126" s="20" t="n">
        <v>1.2259</v>
      </c>
      <c r="AM126" s="20" t="n">
        <v>0.9229000000000001</v>
      </c>
      <c r="AN126" s="20" t="n">
        <v>0.6308</v>
      </c>
      <c r="AO126" s="20" t="n">
        <v>0.3683</v>
      </c>
      <c r="AP126" s="20" t="n">
        <v>0.1072</v>
      </c>
      <c r="AQ126" s="20" t="n">
        <v>0.0198</v>
      </c>
      <c r="AR126" s="20" t="n">
        <v>0</v>
      </c>
      <c r="AS126" s="20" t="n">
        <v>0</v>
      </c>
      <c r="AT126" s="20" t="n">
        <v>0</v>
      </c>
      <c r="AU126" s="20" t="n">
        <v>0</v>
      </c>
      <c r="AV126" s="20" t="n">
        <v>0</v>
      </c>
      <c r="AW126" s="20" t="n">
        <v>0</v>
      </c>
      <c r="AX126" s="20" t="n">
        <v>0</v>
      </c>
    </row>
    <row r="127">
      <c r="A127" s="10" t="inlineStr">
        <is>
          <t>Load_TR2_F6_35</t>
        </is>
      </c>
      <c r="B127" s="12" t="inlineStr">
        <is>
          <t>customer</t>
        </is>
      </c>
      <c r="C127" s="18" t="n">
        <v>0</v>
      </c>
      <c r="D127" s="18" t="n">
        <v>0</v>
      </c>
      <c r="E127" s="18" t="n">
        <v>0</v>
      </c>
      <c r="F127" s="18" t="n">
        <v>0</v>
      </c>
      <c r="G127" s="18" t="n">
        <v>0</v>
      </c>
      <c r="H127" s="18" t="n">
        <v>0</v>
      </c>
      <c r="I127" s="18" t="n">
        <v>0</v>
      </c>
      <c r="J127" s="18" t="n">
        <v>0</v>
      </c>
      <c r="K127" s="18" t="n">
        <v>0</v>
      </c>
      <c r="L127" s="18" t="n">
        <v>0</v>
      </c>
      <c r="M127" s="18" t="n">
        <v>0</v>
      </c>
      <c r="N127" s="18" t="n">
        <v>0</v>
      </c>
      <c r="O127" s="18" t="n">
        <v>0</v>
      </c>
      <c r="P127" s="18" t="n">
        <v>0</v>
      </c>
      <c r="Q127" s="18" t="n">
        <v>0</v>
      </c>
      <c r="R127" s="18" t="n">
        <v>0</v>
      </c>
      <c r="S127" s="18" t="n">
        <v>0</v>
      </c>
      <c r="T127" s="18" t="n">
        <v>0</v>
      </c>
      <c r="U127" s="18" t="n">
        <v>0</v>
      </c>
      <c r="V127" s="18" t="n">
        <v>0</v>
      </c>
      <c r="W127" s="18" t="n">
        <v>0</v>
      </c>
      <c r="X127" s="18" t="n">
        <v>0</v>
      </c>
      <c r="Y127" s="18" t="n">
        <v>0</v>
      </c>
      <c r="Z127" s="18" t="n">
        <v>0</v>
      </c>
      <c r="AA127" s="18" t="n">
        <v>0</v>
      </c>
      <c r="AB127" s="18" t="n">
        <v>0</v>
      </c>
      <c r="AC127" s="18" t="n">
        <v>0</v>
      </c>
      <c r="AD127" s="18" t="n">
        <v>0</v>
      </c>
      <c r="AE127" s="18" t="n">
        <v>0</v>
      </c>
      <c r="AF127" s="18" t="n">
        <v>0</v>
      </c>
      <c r="AG127" s="18" t="n">
        <v>0</v>
      </c>
      <c r="AH127" s="18" t="n">
        <v>0</v>
      </c>
      <c r="AI127" s="18" t="n">
        <v>0</v>
      </c>
      <c r="AJ127" s="18" t="n">
        <v>0</v>
      </c>
      <c r="AK127" s="18" t="n">
        <v>0</v>
      </c>
      <c r="AL127" s="18" t="n">
        <v>0</v>
      </c>
      <c r="AM127" s="18" t="n">
        <v>0</v>
      </c>
      <c r="AN127" s="18" t="n">
        <v>0</v>
      </c>
      <c r="AO127" s="18" t="n">
        <v>0</v>
      </c>
      <c r="AP127" s="18" t="n">
        <v>0</v>
      </c>
      <c r="AQ127" s="18" t="n">
        <v>0</v>
      </c>
      <c r="AR127" s="18" t="n">
        <v>0</v>
      </c>
      <c r="AS127" s="18" t="n">
        <v>0</v>
      </c>
      <c r="AT127" s="18" t="n">
        <v>0</v>
      </c>
      <c r="AU127" s="18" t="n">
        <v>0</v>
      </c>
      <c r="AV127" s="18" t="n">
        <v>0</v>
      </c>
      <c r="AW127" s="18" t="n">
        <v>0</v>
      </c>
      <c r="AX127" s="18" t="n">
        <v>0</v>
      </c>
    </row>
    <row r="128">
      <c r="A128" s="19" t="inlineStr">
        <is>
          <t>Load_TR2_F6_36</t>
        </is>
      </c>
      <c r="B128" s="15" t="inlineStr">
        <is>
          <t>prosumer</t>
        </is>
      </c>
      <c r="C128" s="20" t="n">
        <v>0</v>
      </c>
      <c r="D128" s="20" t="n">
        <v>0</v>
      </c>
      <c r="E128" s="20" t="n">
        <v>0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0.0022</v>
      </c>
      <c r="K128" s="20" t="n">
        <v>0.0311</v>
      </c>
      <c r="L128" s="20" t="n">
        <v>0.1454</v>
      </c>
      <c r="M128" s="20" t="n">
        <v>0.2883</v>
      </c>
      <c r="N128" s="20" t="n">
        <v>0.4637</v>
      </c>
      <c r="O128" s="20" t="n">
        <v>0.6549</v>
      </c>
      <c r="P128" s="20" t="n">
        <v>0.8486</v>
      </c>
      <c r="Q128" s="20" t="n">
        <v>1.0412</v>
      </c>
      <c r="R128" s="20" t="n">
        <v>1.2341</v>
      </c>
      <c r="S128" s="20" t="n">
        <v>1.4152</v>
      </c>
      <c r="T128" s="20" t="n">
        <v>1.5854</v>
      </c>
      <c r="U128" s="20" t="n">
        <v>1.7304</v>
      </c>
      <c r="V128" s="20" t="n">
        <v>1.854</v>
      </c>
      <c r="W128" s="20" t="n">
        <v>1.9625</v>
      </c>
      <c r="X128" s="20" t="n">
        <v>2.0521</v>
      </c>
      <c r="Y128" s="20" t="n">
        <v>2.1156</v>
      </c>
      <c r="Z128" s="20" t="n">
        <v>2.1435</v>
      </c>
      <c r="AA128" s="20" t="n">
        <v>2.1516</v>
      </c>
      <c r="AB128" s="20" t="n">
        <v>2.1365</v>
      </c>
      <c r="AC128" s="20" t="n">
        <v>2.0857</v>
      </c>
      <c r="AD128" s="20" t="n">
        <v>2.0083</v>
      </c>
      <c r="AE128" s="20" t="n">
        <v>1.9159</v>
      </c>
      <c r="AF128" s="20" t="n">
        <v>1.7989</v>
      </c>
      <c r="AG128" s="20" t="n">
        <v>1.6745</v>
      </c>
      <c r="AH128" s="20" t="n">
        <v>1.5247</v>
      </c>
      <c r="AI128" s="20" t="n">
        <v>1.3561</v>
      </c>
      <c r="AJ128" s="20" t="n">
        <v>1.1525</v>
      </c>
      <c r="AK128" s="20" t="n">
        <v>0.962</v>
      </c>
      <c r="AL128" s="20" t="n">
        <v>0.7662</v>
      </c>
      <c r="AM128" s="20" t="n">
        <v>0.5768</v>
      </c>
      <c r="AN128" s="20" t="n">
        <v>0.3942</v>
      </c>
      <c r="AO128" s="20" t="n">
        <v>0.2302</v>
      </c>
      <c r="AP128" s="20" t="n">
        <v>0.067</v>
      </c>
      <c r="AQ128" s="20" t="n">
        <v>0.0124</v>
      </c>
      <c r="AR128" s="20" t="n">
        <v>0</v>
      </c>
      <c r="AS128" s="20" t="n">
        <v>0</v>
      </c>
      <c r="AT128" s="20" t="n">
        <v>0</v>
      </c>
      <c r="AU128" s="20" t="n">
        <v>0</v>
      </c>
      <c r="AV128" s="20" t="n">
        <v>0</v>
      </c>
      <c r="AW128" s="20" t="n">
        <v>0</v>
      </c>
      <c r="AX128" s="20" t="n">
        <v>0</v>
      </c>
    </row>
    <row r="129">
      <c r="A129" s="10" t="inlineStr">
        <is>
          <t>Load_TR2_F6_37</t>
        </is>
      </c>
      <c r="B129" s="12" t="inlineStr">
        <is>
          <t>customer</t>
        </is>
      </c>
      <c r="C129" s="18" t="n">
        <v>0</v>
      </c>
      <c r="D129" s="18" t="n">
        <v>0</v>
      </c>
      <c r="E129" s="18" t="n">
        <v>0</v>
      </c>
      <c r="F129" s="18" t="n">
        <v>0</v>
      </c>
      <c r="G129" s="18" t="n">
        <v>0</v>
      </c>
      <c r="H129" s="18" t="n">
        <v>0</v>
      </c>
      <c r="I129" s="18" t="n">
        <v>0</v>
      </c>
      <c r="J129" s="18" t="n">
        <v>0</v>
      </c>
      <c r="K129" s="18" t="n">
        <v>0</v>
      </c>
      <c r="L129" s="18" t="n">
        <v>0</v>
      </c>
      <c r="M129" s="18" t="n">
        <v>0</v>
      </c>
      <c r="N129" s="18" t="n">
        <v>0</v>
      </c>
      <c r="O129" s="18" t="n">
        <v>0</v>
      </c>
      <c r="P129" s="18" t="n">
        <v>0</v>
      </c>
      <c r="Q129" s="18" t="n">
        <v>0</v>
      </c>
      <c r="R129" s="18" t="n">
        <v>0</v>
      </c>
      <c r="S129" s="18" t="n">
        <v>0</v>
      </c>
      <c r="T129" s="18" t="n">
        <v>0</v>
      </c>
      <c r="U129" s="18" t="n">
        <v>0</v>
      </c>
      <c r="V129" s="18" t="n">
        <v>0</v>
      </c>
      <c r="W129" s="18" t="n">
        <v>0</v>
      </c>
      <c r="X129" s="18" t="n">
        <v>0</v>
      </c>
      <c r="Y129" s="18" t="n">
        <v>0</v>
      </c>
      <c r="Z129" s="18" t="n">
        <v>0</v>
      </c>
      <c r="AA129" s="18" t="n">
        <v>0</v>
      </c>
      <c r="AB129" s="18" t="n">
        <v>0</v>
      </c>
      <c r="AC129" s="18" t="n">
        <v>0</v>
      </c>
      <c r="AD129" s="18" t="n">
        <v>0</v>
      </c>
      <c r="AE129" s="18" t="n">
        <v>0</v>
      </c>
      <c r="AF129" s="18" t="n">
        <v>0</v>
      </c>
      <c r="AG129" s="18" t="n">
        <v>0</v>
      </c>
      <c r="AH129" s="18" t="n">
        <v>0</v>
      </c>
      <c r="AI129" s="18" t="n">
        <v>0</v>
      </c>
      <c r="AJ129" s="18" t="n">
        <v>0</v>
      </c>
      <c r="AK129" s="18" t="n">
        <v>0</v>
      </c>
      <c r="AL129" s="18" t="n">
        <v>0</v>
      </c>
      <c r="AM129" s="18" t="n">
        <v>0</v>
      </c>
      <c r="AN129" s="18" t="n">
        <v>0</v>
      </c>
      <c r="AO129" s="18" t="n">
        <v>0</v>
      </c>
      <c r="AP129" s="18" t="n">
        <v>0</v>
      </c>
      <c r="AQ129" s="18" t="n">
        <v>0</v>
      </c>
      <c r="AR129" s="18" t="n">
        <v>0</v>
      </c>
      <c r="AS129" s="18" t="n">
        <v>0</v>
      </c>
      <c r="AT129" s="18" t="n">
        <v>0</v>
      </c>
      <c r="AU129" s="18" t="n">
        <v>0</v>
      </c>
      <c r="AV129" s="18" t="n">
        <v>0</v>
      </c>
      <c r="AW129" s="18" t="n">
        <v>0</v>
      </c>
      <c r="AX129" s="18" t="n">
        <v>0</v>
      </c>
    </row>
    <row r="130">
      <c r="A130" s="19" t="inlineStr">
        <is>
          <t>Load_TR2_F6_38</t>
        </is>
      </c>
      <c r="B130" s="15" t="inlineStr">
        <is>
          <t>prosumer</t>
        </is>
      </c>
      <c r="C130" s="20" t="n">
        <v>0</v>
      </c>
      <c r="D130" s="20" t="n">
        <v>0</v>
      </c>
      <c r="E130" s="20" t="n">
        <v>0</v>
      </c>
      <c r="F130" s="20" t="n">
        <v>0</v>
      </c>
      <c r="G130" s="20" t="n">
        <v>0</v>
      </c>
      <c r="H130" s="20" t="n">
        <v>0</v>
      </c>
      <c r="I130" s="20" t="n">
        <v>0</v>
      </c>
      <c r="J130" s="20" t="n">
        <v>0.0034</v>
      </c>
      <c r="K130" s="20" t="n">
        <v>0.0497</v>
      </c>
      <c r="L130" s="20" t="n">
        <v>0.2326</v>
      </c>
      <c r="M130" s="20" t="n">
        <v>0.4613</v>
      </c>
      <c r="N130" s="20" t="n">
        <v>0.7419</v>
      </c>
      <c r="O130" s="20" t="n">
        <v>1.0479</v>
      </c>
      <c r="P130" s="20" t="n">
        <v>1.3577</v>
      </c>
      <c r="Q130" s="20" t="n">
        <v>1.666</v>
      </c>
      <c r="R130" s="20" t="n">
        <v>1.9746</v>
      </c>
      <c r="S130" s="20" t="n">
        <v>2.2643</v>
      </c>
      <c r="T130" s="20" t="n">
        <v>2.5367</v>
      </c>
      <c r="U130" s="20" t="n">
        <v>2.7686</v>
      </c>
      <c r="V130" s="20" t="n">
        <v>2.9664</v>
      </c>
      <c r="W130" s="20" t="n">
        <v>3.14</v>
      </c>
      <c r="X130" s="20" t="n">
        <v>3.2833</v>
      </c>
      <c r="Y130" s="20" t="n">
        <v>3.385</v>
      </c>
      <c r="Z130" s="20" t="n">
        <v>3.4296</v>
      </c>
      <c r="AA130" s="20" t="n">
        <v>3.4425</v>
      </c>
      <c r="AB130" s="20" t="n">
        <v>3.4183</v>
      </c>
      <c r="AC130" s="20" t="n">
        <v>3.3372</v>
      </c>
      <c r="AD130" s="20" t="n">
        <v>3.2133</v>
      </c>
      <c r="AE130" s="20" t="n">
        <v>3.0655</v>
      </c>
      <c r="AF130" s="20" t="n">
        <v>2.8782</v>
      </c>
      <c r="AG130" s="20" t="n">
        <v>2.6791</v>
      </c>
      <c r="AH130" s="20" t="n">
        <v>2.4396</v>
      </c>
      <c r="AI130" s="20" t="n">
        <v>2.1698</v>
      </c>
      <c r="AJ130" s="20" t="n">
        <v>1.8441</v>
      </c>
      <c r="AK130" s="20" t="n">
        <v>1.5392</v>
      </c>
      <c r="AL130" s="20" t="n">
        <v>1.2259</v>
      </c>
      <c r="AM130" s="20" t="n">
        <v>0.9229000000000001</v>
      </c>
      <c r="AN130" s="20" t="n">
        <v>0.6308</v>
      </c>
      <c r="AO130" s="20" t="n">
        <v>0.3683</v>
      </c>
      <c r="AP130" s="20" t="n">
        <v>0.1072</v>
      </c>
      <c r="AQ130" s="20" t="n">
        <v>0.0198</v>
      </c>
      <c r="AR130" s="20" t="n">
        <v>0</v>
      </c>
      <c r="AS130" s="20" t="n">
        <v>0</v>
      </c>
      <c r="AT130" s="20" t="n">
        <v>0</v>
      </c>
      <c r="AU130" s="20" t="n">
        <v>0</v>
      </c>
      <c r="AV130" s="20" t="n">
        <v>0</v>
      </c>
      <c r="AW130" s="20" t="n">
        <v>0</v>
      </c>
      <c r="AX130" s="20" t="n">
        <v>0</v>
      </c>
    </row>
    <row r="131">
      <c r="A131" s="19" t="inlineStr">
        <is>
          <t>Load_TR2_F6_39</t>
        </is>
      </c>
      <c r="B131" s="15" t="inlineStr">
        <is>
          <t>prosumer</t>
        </is>
      </c>
      <c r="C131" s="20" t="n">
        <v>0</v>
      </c>
      <c r="D131" s="20" t="n">
        <v>0</v>
      </c>
      <c r="E131" s="20" t="n">
        <v>0</v>
      </c>
      <c r="F131" s="20" t="n">
        <v>0</v>
      </c>
      <c r="G131" s="20" t="n">
        <v>0</v>
      </c>
      <c r="H131" s="20" t="n">
        <v>0</v>
      </c>
      <c r="I131" s="20" t="n">
        <v>0</v>
      </c>
      <c r="J131" s="20" t="n">
        <v>0.0017</v>
      </c>
      <c r="K131" s="20" t="n">
        <v>0.0249</v>
      </c>
      <c r="L131" s="20" t="n">
        <v>0.1163</v>
      </c>
      <c r="M131" s="20" t="n">
        <v>0.2307</v>
      </c>
      <c r="N131" s="20" t="n">
        <v>0.3709</v>
      </c>
      <c r="O131" s="20" t="n">
        <v>0.524</v>
      </c>
      <c r="P131" s="20" t="n">
        <v>0.6788999999999999</v>
      </c>
      <c r="Q131" s="20" t="n">
        <v>0.833</v>
      </c>
      <c r="R131" s="20" t="n">
        <v>0.9873</v>
      </c>
      <c r="S131" s="20" t="n">
        <v>1.1322</v>
      </c>
      <c r="T131" s="20" t="n">
        <v>1.2683</v>
      </c>
      <c r="U131" s="20" t="n">
        <v>1.3843</v>
      </c>
      <c r="V131" s="20" t="n">
        <v>1.4832</v>
      </c>
      <c r="W131" s="20" t="n">
        <v>1.57</v>
      </c>
      <c r="X131" s="20" t="n">
        <v>1.6417</v>
      </c>
      <c r="Y131" s="20" t="n">
        <v>1.6925</v>
      </c>
      <c r="Z131" s="20" t="n">
        <v>1.7148</v>
      </c>
      <c r="AA131" s="20" t="n">
        <v>1.7212</v>
      </c>
      <c r="AB131" s="20" t="n">
        <v>1.7092</v>
      </c>
      <c r="AC131" s="20" t="n">
        <v>1.6686</v>
      </c>
      <c r="AD131" s="20" t="n">
        <v>1.6067</v>
      </c>
      <c r="AE131" s="20" t="n">
        <v>1.5328</v>
      </c>
      <c r="AF131" s="20" t="n">
        <v>1.4391</v>
      </c>
      <c r="AG131" s="20" t="n">
        <v>1.3396</v>
      </c>
      <c r="AH131" s="20" t="n">
        <v>1.2198</v>
      </c>
      <c r="AI131" s="20" t="n">
        <v>1.0849</v>
      </c>
      <c r="AJ131" s="20" t="n">
        <v>0.922</v>
      </c>
      <c r="AK131" s="20" t="n">
        <v>0.7696</v>
      </c>
      <c r="AL131" s="20" t="n">
        <v>0.613</v>
      </c>
      <c r="AM131" s="20" t="n">
        <v>0.4615</v>
      </c>
      <c r="AN131" s="20" t="n">
        <v>0.3154</v>
      </c>
      <c r="AO131" s="20" t="n">
        <v>0.1842</v>
      </c>
      <c r="AP131" s="20" t="n">
        <v>0.0536</v>
      </c>
      <c r="AQ131" s="20" t="n">
        <v>0.009900000000000001</v>
      </c>
      <c r="AR131" s="20" t="n">
        <v>0</v>
      </c>
      <c r="AS131" s="20" t="n">
        <v>0</v>
      </c>
      <c r="AT131" s="20" t="n">
        <v>0</v>
      </c>
      <c r="AU131" s="20" t="n">
        <v>0</v>
      </c>
      <c r="AV131" s="20" t="n">
        <v>0</v>
      </c>
      <c r="AW131" s="20" t="n">
        <v>0</v>
      </c>
      <c r="AX131" s="20" t="n">
        <v>0</v>
      </c>
    </row>
    <row r="132">
      <c r="A132" s="10" t="inlineStr">
        <is>
          <t>Load_TR2_F6_4</t>
        </is>
      </c>
      <c r="B132" s="12" t="inlineStr">
        <is>
          <t>customer</t>
        </is>
      </c>
      <c r="C132" s="18" t="n">
        <v>0</v>
      </c>
      <c r="D132" s="18" t="n">
        <v>0</v>
      </c>
      <c r="E132" s="18" t="n">
        <v>0</v>
      </c>
      <c r="F132" s="18" t="n">
        <v>0</v>
      </c>
      <c r="G132" s="18" t="n">
        <v>0</v>
      </c>
      <c r="H132" s="18" t="n">
        <v>0</v>
      </c>
      <c r="I132" s="18" t="n">
        <v>0</v>
      </c>
      <c r="J132" s="18" t="n">
        <v>0</v>
      </c>
      <c r="K132" s="18" t="n">
        <v>0</v>
      </c>
      <c r="L132" s="18" t="n">
        <v>0</v>
      </c>
      <c r="M132" s="18" t="n">
        <v>0</v>
      </c>
      <c r="N132" s="18" t="n">
        <v>0</v>
      </c>
      <c r="O132" s="18" t="n">
        <v>0</v>
      </c>
      <c r="P132" s="18" t="n">
        <v>0</v>
      </c>
      <c r="Q132" s="18" t="n">
        <v>0</v>
      </c>
      <c r="R132" s="18" t="n">
        <v>0</v>
      </c>
      <c r="S132" s="18" t="n">
        <v>0</v>
      </c>
      <c r="T132" s="18" t="n">
        <v>0</v>
      </c>
      <c r="U132" s="18" t="n">
        <v>0</v>
      </c>
      <c r="V132" s="18" t="n">
        <v>0</v>
      </c>
      <c r="W132" s="18" t="n">
        <v>0</v>
      </c>
      <c r="X132" s="18" t="n">
        <v>0</v>
      </c>
      <c r="Y132" s="18" t="n">
        <v>0</v>
      </c>
      <c r="Z132" s="18" t="n">
        <v>0</v>
      </c>
      <c r="AA132" s="18" t="n">
        <v>0</v>
      </c>
      <c r="AB132" s="18" t="n">
        <v>0</v>
      </c>
      <c r="AC132" s="18" t="n">
        <v>0</v>
      </c>
      <c r="AD132" s="18" t="n">
        <v>0</v>
      </c>
      <c r="AE132" s="18" t="n">
        <v>0</v>
      </c>
      <c r="AF132" s="18" t="n">
        <v>0</v>
      </c>
      <c r="AG132" s="18" t="n">
        <v>0</v>
      </c>
      <c r="AH132" s="18" t="n">
        <v>0</v>
      </c>
      <c r="AI132" s="18" t="n">
        <v>0</v>
      </c>
      <c r="AJ132" s="18" t="n">
        <v>0</v>
      </c>
      <c r="AK132" s="18" t="n">
        <v>0</v>
      </c>
      <c r="AL132" s="18" t="n">
        <v>0</v>
      </c>
      <c r="AM132" s="18" t="n">
        <v>0</v>
      </c>
      <c r="AN132" s="18" t="n">
        <v>0</v>
      </c>
      <c r="AO132" s="18" t="n">
        <v>0</v>
      </c>
      <c r="AP132" s="18" t="n">
        <v>0</v>
      </c>
      <c r="AQ132" s="18" t="n">
        <v>0</v>
      </c>
      <c r="AR132" s="18" t="n">
        <v>0</v>
      </c>
      <c r="AS132" s="18" t="n">
        <v>0</v>
      </c>
      <c r="AT132" s="18" t="n">
        <v>0</v>
      </c>
      <c r="AU132" s="18" t="n">
        <v>0</v>
      </c>
      <c r="AV132" s="18" t="n">
        <v>0</v>
      </c>
      <c r="AW132" s="18" t="n">
        <v>0</v>
      </c>
      <c r="AX132" s="18" t="n">
        <v>0</v>
      </c>
    </row>
    <row r="133">
      <c r="A133" s="19" t="inlineStr">
        <is>
          <t>Load_TR2_F6_40</t>
        </is>
      </c>
      <c r="B133" s="15" t="inlineStr">
        <is>
          <t>prosumer</t>
        </is>
      </c>
      <c r="C133" s="20" t="n">
        <v>0</v>
      </c>
      <c r="D133" s="20" t="n">
        <v>0</v>
      </c>
      <c r="E133" s="20" t="n">
        <v>0</v>
      </c>
      <c r="F133" s="20" t="n">
        <v>0</v>
      </c>
      <c r="G133" s="20" t="n">
        <v>0</v>
      </c>
      <c r="H133" s="20" t="n">
        <v>0</v>
      </c>
      <c r="I133" s="20" t="n">
        <v>0</v>
      </c>
      <c r="J133" s="20" t="n">
        <v>0.0017</v>
      </c>
      <c r="K133" s="20" t="n">
        <v>0.0249</v>
      </c>
      <c r="L133" s="20" t="n">
        <v>0.1163</v>
      </c>
      <c r="M133" s="20" t="n">
        <v>0.2307</v>
      </c>
      <c r="N133" s="20" t="n">
        <v>0.3709</v>
      </c>
      <c r="O133" s="20" t="n">
        <v>0.524</v>
      </c>
      <c r="P133" s="20" t="n">
        <v>0.6788999999999999</v>
      </c>
      <c r="Q133" s="20" t="n">
        <v>0.833</v>
      </c>
      <c r="R133" s="20" t="n">
        <v>0.9873</v>
      </c>
      <c r="S133" s="20" t="n">
        <v>1.1322</v>
      </c>
      <c r="T133" s="20" t="n">
        <v>1.2683</v>
      </c>
      <c r="U133" s="20" t="n">
        <v>1.3843</v>
      </c>
      <c r="V133" s="20" t="n">
        <v>1.4832</v>
      </c>
      <c r="W133" s="20" t="n">
        <v>1.57</v>
      </c>
      <c r="X133" s="20" t="n">
        <v>1.6417</v>
      </c>
      <c r="Y133" s="20" t="n">
        <v>1.6925</v>
      </c>
      <c r="Z133" s="20" t="n">
        <v>1.7148</v>
      </c>
      <c r="AA133" s="20" t="n">
        <v>1.7212</v>
      </c>
      <c r="AB133" s="20" t="n">
        <v>1.7092</v>
      </c>
      <c r="AC133" s="20" t="n">
        <v>1.6686</v>
      </c>
      <c r="AD133" s="20" t="n">
        <v>1.6067</v>
      </c>
      <c r="AE133" s="20" t="n">
        <v>1.5328</v>
      </c>
      <c r="AF133" s="20" t="n">
        <v>1.4391</v>
      </c>
      <c r="AG133" s="20" t="n">
        <v>1.3396</v>
      </c>
      <c r="AH133" s="20" t="n">
        <v>1.2198</v>
      </c>
      <c r="AI133" s="20" t="n">
        <v>1.0849</v>
      </c>
      <c r="AJ133" s="20" t="n">
        <v>0.922</v>
      </c>
      <c r="AK133" s="20" t="n">
        <v>0.7696</v>
      </c>
      <c r="AL133" s="20" t="n">
        <v>0.613</v>
      </c>
      <c r="AM133" s="20" t="n">
        <v>0.4615</v>
      </c>
      <c r="AN133" s="20" t="n">
        <v>0.3154</v>
      </c>
      <c r="AO133" s="20" t="n">
        <v>0.1842</v>
      </c>
      <c r="AP133" s="20" t="n">
        <v>0.0536</v>
      </c>
      <c r="AQ133" s="20" t="n">
        <v>0.009900000000000001</v>
      </c>
      <c r="AR133" s="20" t="n">
        <v>0</v>
      </c>
      <c r="AS133" s="20" t="n">
        <v>0</v>
      </c>
      <c r="AT133" s="20" t="n">
        <v>0</v>
      </c>
      <c r="AU133" s="20" t="n">
        <v>0</v>
      </c>
      <c r="AV133" s="20" t="n">
        <v>0</v>
      </c>
      <c r="AW133" s="20" t="n">
        <v>0</v>
      </c>
      <c r="AX133" s="20" t="n">
        <v>0</v>
      </c>
    </row>
    <row r="134">
      <c r="A134" s="10" t="inlineStr">
        <is>
          <t>Load_TR2_F6_41</t>
        </is>
      </c>
      <c r="B134" s="12" t="inlineStr">
        <is>
          <t>customer</t>
        </is>
      </c>
      <c r="C134" s="18" t="n">
        <v>0</v>
      </c>
      <c r="D134" s="18" t="n">
        <v>0</v>
      </c>
      <c r="E134" s="18" t="n">
        <v>0</v>
      </c>
      <c r="F134" s="18" t="n">
        <v>0</v>
      </c>
      <c r="G134" s="18" t="n">
        <v>0</v>
      </c>
      <c r="H134" s="18" t="n">
        <v>0</v>
      </c>
      <c r="I134" s="18" t="n">
        <v>0</v>
      </c>
      <c r="J134" s="18" t="n">
        <v>0</v>
      </c>
      <c r="K134" s="18" t="n">
        <v>0</v>
      </c>
      <c r="L134" s="18" t="n">
        <v>0</v>
      </c>
      <c r="M134" s="18" t="n">
        <v>0</v>
      </c>
      <c r="N134" s="18" t="n">
        <v>0</v>
      </c>
      <c r="O134" s="18" t="n">
        <v>0</v>
      </c>
      <c r="P134" s="18" t="n">
        <v>0</v>
      </c>
      <c r="Q134" s="18" t="n">
        <v>0</v>
      </c>
      <c r="R134" s="18" t="n">
        <v>0</v>
      </c>
      <c r="S134" s="18" t="n">
        <v>0</v>
      </c>
      <c r="T134" s="18" t="n">
        <v>0</v>
      </c>
      <c r="U134" s="18" t="n">
        <v>0</v>
      </c>
      <c r="V134" s="18" t="n">
        <v>0</v>
      </c>
      <c r="W134" s="18" t="n">
        <v>0</v>
      </c>
      <c r="X134" s="18" t="n">
        <v>0</v>
      </c>
      <c r="Y134" s="18" t="n">
        <v>0</v>
      </c>
      <c r="Z134" s="18" t="n">
        <v>0</v>
      </c>
      <c r="AA134" s="18" t="n">
        <v>0</v>
      </c>
      <c r="AB134" s="18" t="n">
        <v>0</v>
      </c>
      <c r="AC134" s="18" t="n">
        <v>0</v>
      </c>
      <c r="AD134" s="18" t="n">
        <v>0</v>
      </c>
      <c r="AE134" s="18" t="n">
        <v>0</v>
      </c>
      <c r="AF134" s="18" t="n">
        <v>0</v>
      </c>
      <c r="AG134" s="18" t="n">
        <v>0</v>
      </c>
      <c r="AH134" s="18" t="n">
        <v>0</v>
      </c>
      <c r="AI134" s="18" t="n">
        <v>0</v>
      </c>
      <c r="AJ134" s="18" t="n">
        <v>0</v>
      </c>
      <c r="AK134" s="18" t="n">
        <v>0</v>
      </c>
      <c r="AL134" s="18" t="n">
        <v>0</v>
      </c>
      <c r="AM134" s="18" t="n">
        <v>0</v>
      </c>
      <c r="AN134" s="18" t="n">
        <v>0</v>
      </c>
      <c r="AO134" s="18" t="n">
        <v>0</v>
      </c>
      <c r="AP134" s="18" t="n">
        <v>0</v>
      </c>
      <c r="AQ134" s="18" t="n">
        <v>0</v>
      </c>
      <c r="AR134" s="18" t="n">
        <v>0</v>
      </c>
      <c r="AS134" s="18" t="n">
        <v>0</v>
      </c>
      <c r="AT134" s="18" t="n">
        <v>0</v>
      </c>
      <c r="AU134" s="18" t="n">
        <v>0</v>
      </c>
      <c r="AV134" s="18" t="n">
        <v>0</v>
      </c>
      <c r="AW134" s="18" t="n">
        <v>0</v>
      </c>
      <c r="AX134" s="18" t="n">
        <v>0</v>
      </c>
    </row>
    <row r="135">
      <c r="A135" s="19" t="inlineStr">
        <is>
          <t>Load_TR2_F6_42</t>
        </is>
      </c>
      <c r="B135" s="15" t="inlineStr">
        <is>
          <t>prosumer</t>
        </is>
      </c>
      <c r="C135" s="20" t="n">
        <v>0</v>
      </c>
      <c r="D135" s="20" t="n">
        <v>0</v>
      </c>
      <c r="E135" s="20" t="n">
        <v>0</v>
      </c>
      <c r="F135" s="20" t="n">
        <v>0</v>
      </c>
      <c r="G135" s="20" t="n">
        <v>0</v>
      </c>
      <c r="H135" s="20" t="n">
        <v>0</v>
      </c>
      <c r="I135" s="20" t="n">
        <v>0</v>
      </c>
      <c r="J135" s="20" t="n">
        <v>0.0026</v>
      </c>
      <c r="K135" s="20" t="n">
        <v>0.0373</v>
      </c>
      <c r="L135" s="20" t="n">
        <v>0.1744</v>
      </c>
      <c r="M135" s="20" t="n">
        <v>0.346</v>
      </c>
      <c r="N135" s="20" t="n">
        <v>0.5564</v>
      </c>
      <c r="O135" s="20" t="n">
        <v>0.7859</v>
      </c>
      <c r="P135" s="20" t="n">
        <v>1.0183</v>
      </c>
      <c r="Q135" s="20" t="n">
        <v>1.2495</v>
      </c>
      <c r="R135" s="20" t="n">
        <v>1.481</v>
      </c>
      <c r="S135" s="20" t="n">
        <v>1.6982</v>
      </c>
      <c r="T135" s="20" t="n">
        <v>1.9025</v>
      </c>
      <c r="U135" s="20" t="n">
        <v>2.0764</v>
      </c>
      <c r="V135" s="20" t="n">
        <v>2.2248</v>
      </c>
      <c r="W135" s="20" t="n">
        <v>2.355</v>
      </c>
      <c r="X135" s="20" t="n">
        <v>2.4625</v>
      </c>
      <c r="Y135" s="20" t="n">
        <v>2.5387</v>
      </c>
      <c r="Z135" s="20" t="n">
        <v>2.5722</v>
      </c>
      <c r="AA135" s="20" t="n">
        <v>2.5819</v>
      </c>
      <c r="AB135" s="20" t="n">
        <v>2.5637</v>
      </c>
      <c r="AC135" s="20" t="n">
        <v>2.5029</v>
      </c>
      <c r="AD135" s="20" t="n">
        <v>2.41</v>
      </c>
      <c r="AE135" s="20" t="n">
        <v>2.2991</v>
      </c>
      <c r="AF135" s="20" t="n">
        <v>2.1586</v>
      </c>
      <c r="AG135" s="20" t="n">
        <v>2.0093</v>
      </c>
      <c r="AH135" s="20" t="n">
        <v>1.8297</v>
      </c>
      <c r="AI135" s="20" t="n">
        <v>1.6274</v>
      </c>
      <c r="AJ135" s="20" t="n">
        <v>1.3831</v>
      </c>
      <c r="AK135" s="20" t="n">
        <v>1.1544</v>
      </c>
      <c r="AL135" s="20" t="n">
        <v>0.9195</v>
      </c>
      <c r="AM135" s="20" t="n">
        <v>0.6922</v>
      </c>
      <c r="AN135" s="20" t="n">
        <v>0.4731</v>
      </c>
      <c r="AO135" s="20" t="n">
        <v>0.2762</v>
      </c>
      <c r="AP135" s="20" t="n">
        <v>0.0804</v>
      </c>
      <c r="AQ135" s="20" t="n">
        <v>0.0148</v>
      </c>
      <c r="AR135" s="20" t="n">
        <v>0</v>
      </c>
      <c r="AS135" s="20" t="n">
        <v>0</v>
      </c>
      <c r="AT135" s="20" t="n">
        <v>0</v>
      </c>
      <c r="AU135" s="20" t="n">
        <v>0</v>
      </c>
      <c r="AV135" s="20" t="n">
        <v>0</v>
      </c>
      <c r="AW135" s="20" t="n">
        <v>0</v>
      </c>
      <c r="AX135" s="20" t="n">
        <v>0</v>
      </c>
    </row>
    <row r="136">
      <c r="A136" s="19" t="inlineStr">
        <is>
          <t>Load_TR2_F6_43</t>
        </is>
      </c>
      <c r="B136" s="15" t="inlineStr">
        <is>
          <t>prosumer</t>
        </is>
      </c>
      <c r="C136" s="20" t="n">
        <v>0</v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0</v>
      </c>
      <c r="I136" s="20" t="n">
        <v>0</v>
      </c>
      <c r="J136" s="20" t="n">
        <v>0.003</v>
      </c>
      <c r="K136" s="20" t="n">
        <v>0.0435</v>
      </c>
      <c r="L136" s="20" t="n">
        <v>0.2035</v>
      </c>
      <c r="M136" s="20" t="n">
        <v>0.4037</v>
      </c>
      <c r="N136" s="20" t="n">
        <v>0.6491</v>
      </c>
      <c r="O136" s="20" t="n">
        <v>0.9169</v>
      </c>
      <c r="P136" s="20" t="n">
        <v>1.188</v>
      </c>
      <c r="Q136" s="20" t="n">
        <v>1.4577</v>
      </c>
      <c r="R136" s="20" t="n">
        <v>1.7278</v>
      </c>
      <c r="S136" s="20" t="n">
        <v>1.9813</v>
      </c>
      <c r="T136" s="20" t="n">
        <v>2.2196</v>
      </c>
      <c r="U136" s="20" t="n">
        <v>2.4225</v>
      </c>
      <c r="V136" s="20" t="n">
        <v>2.5956</v>
      </c>
      <c r="W136" s="20" t="n">
        <v>2.7475</v>
      </c>
      <c r="X136" s="20" t="n">
        <v>2.8729</v>
      </c>
      <c r="Y136" s="20" t="n">
        <v>2.9619</v>
      </c>
      <c r="Z136" s="20" t="n">
        <v>3.0009</v>
      </c>
      <c r="AA136" s="20" t="n">
        <v>3.0122</v>
      </c>
      <c r="AB136" s="20" t="n">
        <v>2.991</v>
      </c>
      <c r="AC136" s="20" t="n">
        <v>2.92</v>
      </c>
      <c r="AD136" s="20" t="n">
        <v>2.8117</v>
      </c>
      <c r="AE136" s="20" t="n">
        <v>2.6823</v>
      </c>
      <c r="AF136" s="20" t="n">
        <v>2.5184</v>
      </c>
      <c r="AG136" s="20" t="n">
        <v>2.3442</v>
      </c>
      <c r="AH136" s="20" t="n">
        <v>2.1346</v>
      </c>
      <c r="AI136" s="20" t="n">
        <v>1.8986</v>
      </c>
      <c r="AJ136" s="20" t="n">
        <v>1.6136</v>
      </c>
      <c r="AK136" s="20" t="n">
        <v>1.3468</v>
      </c>
      <c r="AL136" s="20" t="n">
        <v>1.0727</v>
      </c>
      <c r="AM136" s="20" t="n">
        <v>0.8076</v>
      </c>
      <c r="AN136" s="20" t="n">
        <v>0.5518999999999999</v>
      </c>
      <c r="AO136" s="20" t="n">
        <v>0.3223</v>
      </c>
      <c r="AP136" s="20" t="n">
        <v>0.09379999999999999</v>
      </c>
      <c r="AQ136" s="20" t="n">
        <v>0.0173</v>
      </c>
      <c r="AR136" s="20" t="n">
        <v>0</v>
      </c>
      <c r="AS136" s="20" t="n">
        <v>0</v>
      </c>
      <c r="AT136" s="20" t="n">
        <v>0</v>
      </c>
      <c r="AU136" s="20" t="n">
        <v>0</v>
      </c>
      <c r="AV136" s="20" t="n">
        <v>0</v>
      </c>
      <c r="AW136" s="20" t="n">
        <v>0</v>
      </c>
      <c r="AX136" s="20" t="n">
        <v>0</v>
      </c>
    </row>
    <row r="137">
      <c r="A137" s="10" t="inlineStr">
        <is>
          <t>Load_TR2_F6_44</t>
        </is>
      </c>
      <c r="B137" s="12" t="inlineStr">
        <is>
          <t>customer</t>
        </is>
      </c>
      <c r="C137" s="18" t="n">
        <v>0</v>
      </c>
      <c r="D137" s="18" t="n">
        <v>0</v>
      </c>
      <c r="E137" s="18" t="n">
        <v>0</v>
      </c>
      <c r="F137" s="18" t="n">
        <v>0</v>
      </c>
      <c r="G137" s="18" t="n">
        <v>0</v>
      </c>
      <c r="H137" s="18" t="n">
        <v>0</v>
      </c>
      <c r="I137" s="18" t="n">
        <v>0</v>
      </c>
      <c r="J137" s="18" t="n">
        <v>0</v>
      </c>
      <c r="K137" s="18" t="n">
        <v>0</v>
      </c>
      <c r="L137" s="18" t="n">
        <v>0</v>
      </c>
      <c r="M137" s="18" t="n">
        <v>0</v>
      </c>
      <c r="N137" s="18" t="n">
        <v>0</v>
      </c>
      <c r="O137" s="18" t="n">
        <v>0</v>
      </c>
      <c r="P137" s="18" t="n">
        <v>0</v>
      </c>
      <c r="Q137" s="18" t="n">
        <v>0</v>
      </c>
      <c r="R137" s="18" t="n">
        <v>0</v>
      </c>
      <c r="S137" s="18" t="n">
        <v>0</v>
      </c>
      <c r="T137" s="18" t="n">
        <v>0</v>
      </c>
      <c r="U137" s="18" t="n">
        <v>0</v>
      </c>
      <c r="V137" s="18" t="n">
        <v>0</v>
      </c>
      <c r="W137" s="18" t="n">
        <v>0</v>
      </c>
      <c r="X137" s="18" t="n">
        <v>0</v>
      </c>
      <c r="Y137" s="18" t="n">
        <v>0</v>
      </c>
      <c r="Z137" s="18" t="n">
        <v>0</v>
      </c>
      <c r="AA137" s="18" t="n">
        <v>0</v>
      </c>
      <c r="AB137" s="18" t="n">
        <v>0</v>
      </c>
      <c r="AC137" s="18" t="n">
        <v>0</v>
      </c>
      <c r="AD137" s="18" t="n">
        <v>0</v>
      </c>
      <c r="AE137" s="18" t="n">
        <v>0</v>
      </c>
      <c r="AF137" s="18" t="n">
        <v>0</v>
      </c>
      <c r="AG137" s="18" t="n">
        <v>0</v>
      </c>
      <c r="AH137" s="18" t="n">
        <v>0</v>
      </c>
      <c r="AI137" s="18" t="n">
        <v>0</v>
      </c>
      <c r="AJ137" s="18" t="n">
        <v>0</v>
      </c>
      <c r="AK137" s="18" t="n">
        <v>0</v>
      </c>
      <c r="AL137" s="18" t="n">
        <v>0</v>
      </c>
      <c r="AM137" s="18" t="n">
        <v>0</v>
      </c>
      <c r="AN137" s="18" t="n">
        <v>0</v>
      </c>
      <c r="AO137" s="18" t="n">
        <v>0</v>
      </c>
      <c r="AP137" s="18" t="n">
        <v>0</v>
      </c>
      <c r="AQ137" s="18" t="n">
        <v>0</v>
      </c>
      <c r="AR137" s="18" t="n">
        <v>0</v>
      </c>
      <c r="AS137" s="18" t="n">
        <v>0</v>
      </c>
      <c r="AT137" s="18" t="n">
        <v>0</v>
      </c>
      <c r="AU137" s="18" t="n">
        <v>0</v>
      </c>
      <c r="AV137" s="18" t="n">
        <v>0</v>
      </c>
      <c r="AW137" s="18" t="n">
        <v>0</v>
      </c>
      <c r="AX137" s="18" t="n">
        <v>0</v>
      </c>
    </row>
    <row r="138">
      <c r="A138" s="10" t="inlineStr">
        <is>
          <t>Load_TR2_F6_45</t>
        </is>
      </c>
      <c r="B138" s="12" t="inlineStr">
        <is>
          <t>customer</t>
        </is>
      </c>
      <c r="C138" s="18" t="n">
        <v>0</v>
      </c>
      <c r="D138" s="18" t="n">
        <v>0</v>
      </c>
      <c r="E138" s="18" t="n">
        <v>0</v>
      </c>
      <c r="F138" s="18" t="n">
        <v>0</v>
      </c>
      <c r="G138" s="18" t="n">
        <v>0</v>
      </c>
      <c r="H138" s="18" t="n">
        <v>0</v>
      </c>
      <c r="I138" s="18" t="n">
        <v>0</v>
      </c>
      <c r="J138" s="18" t="n">
        <v>0</v>
      </c>
      <c r="K138" s="18" t="n">
        <v>0</v>
      </c>
      <c r="L138" s="18" t="n">
        <v>0</v>
      </c>
      <c r="M138" s="18" t="n">
        <v>0</v>
      </c>
      <c r="N138" s="18" t="n">
        <v>0</v>
      </c>
      <c r="O138" s="18" t="n">
        <v>0</v>
      </c>
      <c r="P138" s="18" t="n">
        <v>0</v>
      </c>
      <c r="Q138" s="18" t="n">
        <v>0</v>
      </c>
      <c r="R138" s="18" t="n">
        <v>0</v>
      </c>
      <c r="S138" s="18" t="n">
        <v>0</v>
      </c>
      <c r="T138" s="18" t="n">
        <v>0</v>
      </c>
      <c r="U138" s="18" t="n">
        <v>0</v>
      </c>
      <c r="V138" s="18" t="n">
        <v>0</v>
      </c>
      <c r="W138" s="18" t="n">
        <v>0</v>
      </c>
      <c r="X138" s="18" t="n">
        <v>0</v>
      </c>
      <c r="Y138" s="18" t="n">
        <v>0</v>
      </c>
      <c r="Z138" s="18" t="n">
        <v>0</v>
      </c>
      <c r="AA138" s="18" t="n">
        <v>0</v>
      </c>
      <c r="AB138" s="18" t="n">
        <v>0</v>
      </c>
      <c r="AC138" s="18" t="n">
        <v>0</v>
      </c>
      <c r="AD138" s="18" t="n">
        <v>0</v>
      </c>
      <c r="AE138" s="18" t="n">
        <v>0</v>
      </c>
      <c r="AF138" s="18" t="n">
        <v>0</v>
      </c>
      <c r="AG138" s="18" t="n">
        <v>0</v>
      </c>
      <c r="AH138" s="18" t="n">
        <v>0</v>
      </c>
      <c r="AI138" s="18" t="n">
        <v>0</v>
      </c>
      <c r="AJ138" s="18" t="n">
        <v>0</v>
      </c>
      <c r="AK138" s="18" t="n">
        <v>0</v>
      </c>
      <c r="AL138" s="18" t="n">
        <v>0</v>
      </c>
      <c r="AM138" s="18" t="n">
        <v>0</v>
      </c>
      <c r="AN138" s="18" t="n">
        <v>0</v>
      </c>
      <c r="AO138" s="18" t="n">
        <v>0</v>
      </c>
      <c r="AP138" s="18" t="n">
        <v>0</v>
      </c>
      <c r="AQ138" s="18" t="n">
        <v>0</v>
      </c>
      <c r="AR138" s="18" t="n">
        <v>0</v>
      </c>
      <c r="AS138" s="18" t="n">
        <v>0</v>
      </c>
      <c r="AT138" s="18" t="n">
        <v>0</v>
      </c>
      <c r="AU138" s="18" t="n">
        <v>0</v>
      </c>
      <c r="AV138" s="18" t="n">
        <v>0</v>
      </c>
      <c r="AW138" s="18" t="n">
        <v>0</v>
      </c>
      <c r="AX138" s="18" t="n">
        <v>0</v>
      </c>
    </row>
    <row r="139">
      <c r="A139" s="19" t="inlineStr">
        <is>
          <t>Load_TR2_F6_46</t>
        </is>
      </c>
      <c r="B139" s="15" t="inlineStr">
        <is>
          <t>prosumer</t>
        </is>
      </c>
      <c r="C139" s="20" t="n">
        <v>0</v>
      </c>
      <c r="D139" s="20" t="n">
        <v>0</v>
      </c>
      <c r="E139" s="20" t="n">
        <v>0</v>
      </c>
      <c r="F139" s="20" t="n">
        <v>0</v>
      </c>
      <c r="G139" s="20" t="n">
        <v>0</v>
      </c>
      <c r="H139" s="20" t="n">
        <v>0</v>
      </c>
      <c r="I139" s="20" t="n">
        <v>0</v>
      </c>
      <c r="J139" s="20" t="n">
        <v>0.0026</v>
      </c>
      <c r="K139" s="20" t="n">
        <v>0.0373</v>
      </c>
      <c r="L139" s="20" t="n">
        <v>0.1744</v>
      </c>
      <c r="M139" s="20" t="n">
        <v>0.346</v>
      </c>
      <c r="N139" s="20" t="n">
        <v>0.5564</v>
      </c>
      <c r="O139" s="20" t="n">
        <v>0.7859</v>
      </c>
      <c r="P139" s="20" t="n">
        <v>1.0183</v>
      </c>
      <c r="Q139" s="20" t="n">
        <v>1.2495</v>
      </c>
      <c r="R139" s="20" t="n">
        <v>1.481</v>
      </c>
      <c r="S139" s="20" t="n">
        <v>1.6982</v>
      </c>
      <c r="T139" s="20" t="n">
        <v>1.9025</v>
      </c>
      <c r="U139" s="20" t="n">
        <v>2.0764</v>
      </c>
      <c r="V139" s="20" t="n">
        <v>2.2248</v>
      </c>
      <c r="W139" s="20" t="n">
        <v>2.355</v>
      </c>
      <c r="X139" s="20" t="n">
        <v>2.4625</v>
      </c>
      <c r="Y139" s="20" t="n">
        <v>2.5387</v>
      </c>
      <c r="Z139" s="20" t="n">
        <v>2.5722</v>
      </c>
      <c r="AA139" s="20" t="n">
        <v>2.5819</v>
      </c>
      <c r="AB139" s="20" t="n">
        <v>2.5637</v>
      </c>
      <c r="AC139" s="20" t="n">
        <v>2.5029</v>
      </c>
      <c r="AD139" s="20" t="n">
        <v>2.41</v>
      </c>
      <c r="AE139" s="20" t="n">
        <v>2.2991</v>
      </c>
      <c r="AF139" s="20" t="n">
        <v>2.1586</v>
      </c>
      <c r="AG139" s="20" t="n">
        <v>2.0093</v>
      </c>
      <c r="AH139" s="20" t="n">
        <v>1.8297</v>
      </c>
      <c r="AI139" s="20" t="n">
        <v>1.6274</v>
      </c>
      <c r="AJ139" s="20" t="n">
        <v>1.3831</v>
      </c>
      <c r="AK139" s="20" t="n">
        <v>1.1544</v>
      </c>
      <c r="AL139" s="20" t="n">
        <v>0.9195</v>
      </c>
      <c r="AM139" s="20" t="n">
        <v>0.6922</v>
      </c>
      <c r="AN139" s="20" t="n">
        <v>0.4731</v>
      </c>
      <c r="AO139" s="20" t="n">
        <v>0.2762</v>
      </c>
      <c r="AP139" s="20" t="n">
        <v>0.0804</v>
      </c>
      <c r="AQ139" s="20" t="n">
        <v>0.0148</v>
      </c>
      <c r="AR139" s="20" t="n">
        <v>0</v>
      </c>
      <c r="AS139" s="20" t="n">
        <v>0</v>
      </c>
      <c r="AT139" s="20" t="n">
        <v>0</v>
      </c>
      <c r="AU139" s="20" t="n">
        <v>0</v>
      </c>
      <c r="AV139" s="20" t="n">
        <v>0</v>
      </c>
      <c r="AW139" s="20" t="n">
        <v>0</v>
      </c>
      <c r="AX139" s="20" t="n">
        <v>0</v>
      </c>
    </row>
    <row r="140">
      <c r="A140" s="10" t="inlineStr">
        <is>
          <t>Load_TR2_F6_47</t>
        </is>
      </c>
      <c r="B140" s="12" t="inlineStr">
        <is>
          <t>customer</t>
        </is>
      </c>
      <c r="C140" s="18" t="n">
        <v>0</v>
      </c>
      <c r="D140" s="18" t="n">
        <v>0</v>
      </c>
      <c r="E140" s="18" t="n">
        <v>0</v>
      </c>
      <c r="F140" s="18" t="n">
        <v>0</v>
      </c>
      <c r="G140" s="18" t="n">
        <v>0</v>
      </c>
      <c r="H140" s="18" t="n">
        <v>0</v>
      </c>
      <c r="I140" s="18" t="n">
        <v>0</v>
      </c>
      <c r="J140" s="18" t="n">
        <v>0</v>
      </c>
      <c r="K140" s="18" t="n">
        <v>0</v>
      </c>
      <c r="L140" s="18" t="n">
        <v>0</v>
      </c>
      <c r="M140" s="18" t="n">
        <v>0</v>
      </c>
      <c r="N140" s="18" t="n">
        <v>0</v>
      </c>
      <c r="O140" s="18" t="n">
        <v>0</v>
      </c>
      <c r="P140" s="18" t="n">
        <v>0</v>
      </c>
      <c r="Q140" s="18" t="n">
        <v>0</v>
      </c>
      <c r="R140" s="18" t="n">
        <v>0</v>
      </c>
      <c r="S140" s="18" t="n">
        <v>0</v>
      </c>
      <c r="T140" s="18" t="n">
        <v>0</v>
      </c>
      <c r="U140" s="18" t="n">
        <v>0</v>
      </c>
      <c r="V140" s="18" t="n">
        <v>0</v>
      </c>
      <c r="W140" s="18" t="n">
        <v>0</v>
      </c>
      <c r="X140" s="18" t="n">
        <v>0</v>
      </c>
      <c r="Y140" s="18" t="n">
        <v>0</v>
      </c>
      <c r="Z140" s="18" t="n">
        <v>0</v>
      </c>
      <c r="AA140" s="18" t="n">
        <v>0</v>
      </c>
      <c r="AB140" s="18" t="n">
        <v>0</v>
      </c>
      <c r="AC140" s="18" t="n">
        <v>0</v>
      </c>
      <c r="AD140" s="18" t="n">
        <v>0</v>
      </c>
      <c r="AE140" s="18" t="n">
        <v>0</v>
      </c>
      <c r="AF140" s="18" t="n">
        <v>0</v>
      </c>
      <c r="AG140" s="18" t="n">
        <v>0</v>
      </c>
      <c r="AH140" s="18" t="n">
        <v>0</v>
      </c>
      <c r="AI140" s="18" t="n">
        <v>0</v>
      </c>
      <c r="AJ140" s="18" t="n">
        <v>0</v>
      </c>
      <c r="AK140" s="18" t="n">
        <v>0</v>
      </c>
      <c r="AL140" s="18" t="n">
        <v>0</v>
      </c>
      <c r="AM140" s="18" t="n">
        <v>0</v>
      </c>
      <c r="AN140" s="18" t="n">
        <v>0</v>
      </c>
      <c r="AO140" s="18" t="n">
        <v>0</v>
      </c>
      <c r="AP140" s="18" t="n">
        <v>0</v>
      </c>
      <c r="AQ140" s="18" t="n">
        <v>0</v>
      </c>
      <c r="AR140" s="18" t="n">
        <v>0</v>
      </c>
      <c r="AS140" s="18" t="n">
        <v>0</v>
      </c>
      <c r="AT140" s="18" t="n">
        <v>0</v>
      </c>
      <c r="AU140" s="18" t="n">
        <v>0</v>
      </c>
      <c r="AV140" s="18" t="n">
        <v>0</v>
      </c>
      <c r="AW140" s="18" t="n">
        <v>0</v>
      </c>
      <c r="AX140" s="18" t="n">
        <v>0</v>
      </c>
    </row>
    <row r="141">
      <c r="A141" s="19" t="inlineStr">
        <is>
          <t>Load_TR2_F6_48</t>
        </is>
      </c>
      <c r="B141" s="15" t="inlineStr">
        <is>
          <t>prosumer</t>
        </is>
      </c>
      <c r="C141" s="20" t="n">
        <v>0</v>
      </c>
      <c r="D141" s="20" t="n">
        <v>0</v>
      </c>
      <c r="E141" s="20" t="n">
        <v>0</v>
      </c>
      <c r="F141" s="20" t="n">
        <v>0</v>
      </c>
      <c r="G141" s="20" t="n">
        <v>0</v>
      </c>
      <c r="H141" s="20" t="n">
        <v>0</v>
      </c>
      <c r="I141" s="20" t="n">
        <v>0</v>
      </c>
      <c r="J141" s="20" t="n">
        <v>0.003</v>
      </c>
      <c r="K141" s="20" t="n">
        <v>0.0435</v>
      </c>
      <c r="L141" s="20" t="n">
        <v>0.2035</v>
      </c>
      <c r="M141" s="20" t="n">
        <v>0.4037</v>
      </c>
      <c r="N141" s="20" t="n">
        <v>0.6491</v>
      </c>
      <c r="O141" s="20" t="n">
        <v>0.9169</v>
      </c>
      <c r="P141" s="20" t="n">
        <v>1.188</v>
      </c>
      <c r="Q141" s="20" t="n">
        <v>1.4577</v>
      </c>
      <c r="R141" s="20" t="n">
        <v>1.7278</v>
      </c>
      <c r="S141" s="20" t="n">
        <v>1.9813</v>
      </c>
      <c r="T141" s="20" t="n">
        <v>2.2196</v>
      </c>
      <c r="U141" s="20" t="n">
        <v>2.4225</v>
      </c>
      <c r="V141" s="20" t="n">
        <v>2.5956</v>
      </c>
      <c r="W141" s="20" t="n">
        <v>2.7475</v>
      </c>
      <c r="X141" s="20" t="n">
        <v>2.8729</v>
      </c>
      <c r="Y141" s="20" t="n">
        <v>2.9619</v>
      </c>
      <c r="Z141" s="20" t="n">
        <v>3.0009</v>
      </c>
      <c r="AA141" s="20" t="n">
        <v>3.0122</v>
      </c>
      <c r="AB141" s="20" t="n">
        <v>2.991</v>
      </c>
      <c r="AC141" s="20" t="n">
        <v>2.92</v>
      </c>
      <c r="AD141" s="20" t="n">
        <v>2.8117</v>
      </c>
      <c r="AE141" s="20" t="n">
        <v>2.6823</v>
      </c>
      <c r="AF141" s="20" t="n">
        <v>2.5184</v>
      </c>
      <c r="AG141" s="20" t="n">
        <v>2.3442</v>
      </c>
      <c r="AH141" s="20" t="n">
        <v>2.1346</v>
      </c>
      <c r="AI141" s="20" t="n">
        <v>1.8986</v>
      </c>
      <c r="AJ141" s="20" t="n">
        <v>1.6136</v>
      </c>
      <c r="AK141" s="20" t="n">
        <v>1.3468</v>
      </c>
      <c r="AL141" s="20" t="n">
        <v>1.0727</v>
      </c>
      <c r="AM141" s="20" t="n">
        <v>0.8076</v>
      </c>
      <c r="AN141" s="20" t="n">
        <v>0.5518999999999999</v>
      </c>
      <c r="AO141" s="20" t="n">
        <v>0.3223</v>
      </c>
      <c r="AP141" s="20" t="n">
        <v>0.09379999999999999</v>
      </c>
      <c r="AQ141" s="20" t="n">
        <v>0.0173</v>
      </c>
      <c r="AR141" s="20" t="n">
        <v>0</v>
      </c>
      <c r="AS141" s="20" t="n">
        <v>0</v>
      </c>
      <c r="AT141" s="20" t="n">
        <v>0</v>
      </c>
      <c r="AU141" s="20" t="n">
        <v>0</v>
      </c>
      <c r="AV141" s="20" t="n">
        <v>0</v>
      </c>
      <c r="AW141" s="20" t="n">
        <v>0</v>
      </c>
      <c r="AX141" s="20" t="n">
        <v>0</v>
      </c>
    </row>
    <row r="142">
      <c r="A142" s="10" t="inlineStr">
        <is>
          <t>Load_TR2_F6_49</t>
        </is>
      </c>
      <c r="B142" s="12" t="inlineStr">
        <is>
          <t>customer</t>
        </is>
      </c>
      <c r="C142" s="18" t="n">
        <v>0</v>
      </c>
      <c r="D142" s="18" t="n">
        <v>0</v>
      </c>
      <c r="E142" s="18" t="n">
        <v>0</v>
      </c>
      <c r="F142" s="18" t="n">
        <v>0</v>
      </c>
      <c r="G142" s="18" t="n">
        <v>0</v>
      </c>
      <c r="H142" s="18" t="n">
        <v>0</v>
      </c>
      <c r="I142" s="18" t="n">
        <v>0</v>
      </c>
      <c r="J142" s="18" t="n">
        <v>0</v>
      </c>
      <c r="K142" s="18" t="n">
        <v>0</v>
      </c>
      <c r="L142" s="18" t="n">
        <v>0</v>
      </c>
      <c r="M142" s="18" t="n">
        <v>0</v>
      </c>
      <c r="N142" s="18" t="n">
        <v>0</v>
      </c>
      <c r="O142" s="18" t="n">
        <v>0</v>
      </c>
      <c r="P142" s="18" t="n">
        <v>0</v>
      </c>
      <c r="Q142" s="18" t="n">
        <v>0</v>
      </c>
      <c r="R142" s="18" t="n">
        <v>0</v>
      </c>
      <c r="S142" s="18" t="n">
        <v>0</v>
      </c>
      <c r="T142" s="18" t="n">
        <v>0</v>
      </c>
      <c r="U142" s="18" t="n">
        <v>0</v>
      </c>
      <c r="V142" s="18" t="n">
        <v>0</v>
      </c>
      <c r="W142" s="18" t="n">
        <v>0</v>
      </c>
      <c r="X142" s="18" t="n">
        <v>0</v>
      </c>
      <c r="Y142" s="18" t="n">
        <v>0</v>
      </c>
      <c r="Z142" s="18" t="n">
        <v>0</v>
      </c>
      <c r="AA142" s="18" t="n">
        <v>0</v>
      </c>
      <c r="AB142" s="18" t="n">
        <v>0</v>
      </c>
      <c r="AC142" s="18" t="n">
        <v>0</v>
      </c>
      <c r="AD142" s="18" t="n">
        <v>0</v>
      </c>
      <c r="AE142" s="18" t="n">
        <v>0</v>
      </c>
      <c r="AF142" s="18" t="n">
        <v>0</v>
      </c>
      <c r="AG142" s="18" t="n">
        <v>0</v>
      </c>
      <c r="AH142" s="18" t="n">
        <v>0</v>
      </c>
      <c r="AI142" s="18" t="n">
        <v>0</v>
      </c>
      <c r="AJ142" s="18" t="n">
        <v>0</v>
      </c>
      <c r="AK142" s="18" t="n">
        <v>0</v>
      </c>
      <c r="AL142" s="18" t="n">
        <v>0</v>
      </c>
      <c r="AM142" s="18" t="n">
        <v>0</v>
      </c>
      <c r="AN142" s="18" t="n">
        <v>0</v>
      </c>
      <c r="AO142" s="18" t="n">
        <v>0</v>
      </c>
      <c r="AP142" s="18" t="n">
        <v>0</v>
      </c>
      <c r="AQ142" s="18" t="n">
        <v>0</v>
      </c>
      <c r="AR142" s="18" t="n">
        <v>0</v>
      </c>
      <c r="AS142" s="18" t="n">
        <v>0</v>
      </c>
      <c r="AT142" s="18" t="n">
        <v>0</v>
      </c>
      <c r="AU142" s="18" t="n">
        <v>0</v>
      </c>
      <c r="AV142" s="18" t="n">
        <v>0</v>
      </c>
      <c r="AW142" s="18" t="n">
        <v>0</v>
      </c>
      <c r="AX142" s="18" t="n">
        <v>0</v>
      </c>
    </row>
    <row r="143">
      <c r="A143" s="19" t="inlineStr">
        <is>
          <t>Load_TR2_F6_5</t>
        </is>
      </c>
      <c r="B143" s="15" t="inlineStr">
        <is>
          <t>prosumer</t>
        </is>
      </c>
      <c r="C143" s="20" t="n">
        <v>0</v>
      </c>
      <c r="D143" s="20" t="n">
        <v>0</v>
      </c>
      <c r="E143" s="20" t="n">
        <v>0</v>
      </c>
      <c r="F143" s="20" t="n">
        <v>0</v>
      </c>
      <c r="G143" s="20" t="n">
        <v>0</v>
      </c>
      <c r="H143" s="20" t="n">
        <v>0</v>
      </c>
      <c r="I143" s="20" t="n">
        <v>0</v>
      </c>
      <c r="J143" s="20" t="n">
        <v>0.0022</v>
      </c>
      <c r="K143" s="20" t="n">
        <v>0.0311</v>
      </c>
      <c r="L143" s="20" t="n">
        <v>0.1454</v>
      </c>
      <c r="M143" s="20" t="n">
        <v>0.2883</v>
      </c>
      <c r="N143" s="20" t="n">
        <v>0.4637</v>
      </c>
      <c r="O143" s="20" t="n">
        <v>0.6549</v>
      </c>
      <c r="P143" s="20" t="n">
        <v>0.8486</v>
      </c>
      <c r="Q143" s="20" t="n">
        <v>1.0412</v>
      </c>
      <c r="R143" s="20" t="n">
        <v>1.2341</v>
      </c>
      <c r="S143" s="20" t="n">
        <v>1.4152</v>
      </c>
      <c r="T143" s="20" t="n">
        <v>1.5854</v>
      </c>
      <c r="U143" s="20" t="n">
        <v>1.7304</v>
      </c>
      <c r="V143" s="20" t="n">
        <v>1.854</v>
      </c>
      <c r="W143" s="20" t="n">
        <v>1.9625</v>
      </c>
      <c r="X143" s="20" t="n">
        <v>2.0521</v>
      </c>
      <c r="Y143" s="20" t="n">
        <v>2.1156</v>
      </c>
      <c r="Z143" s="20" t="n">
        <v>2.1435</v>
      </c>
      <c r="AA143" s="20" t="n">
        <v>2.1516</v>
      </c>
      <c r="AB143" s="20" t="n">
        <v>2.1365</v>
      </c>
      <c r="AC143" s="20" t="n">
        <v>2.0857</v>
      </c>
      <c r="AD143" s="20" t="n">
        <v>2.0083</v>
      </c>
      <c r="AE143" s="20" t="n">
        <v>1.9159</v>
      </c>
      <c r="AF143" s="20" t="n">
        <v>1.7989</v>
      </c>
      <c r="AG143" s="20" t="n">
        <v>1.6745</v>
      </c>
      <c r="AH143" s="20" t="n">
        <v>1.5247</v>
      </c>
      <c r="AI143" s="20" t="n">
        <v>1.3561</v>
      </c>
      <c r="AJ143" s="20" t="n">
        <v>1.1525</v>
      </c>
      <c r="AK143" s="20" t="n">
        <v>0.962</v>
      </c>
      <c r="AL143" s="20" t="n">
        <v>0.7662</v>
      </c>
      <c r="AM143" s="20" t="n">
        <v>0.5768</v>
      </c>
      <c r="AN143" s="20" t="n">
        <v>0.3942</v>
      </c>
      <c r="AO143" s="20" t="n">
        <v>0.2302</v>
      </c>
      <c r="AP143" s="20" t="n">
        <v>0.067</v>
      </c>
      <c r="AQ143" s="20" t="n">
        <v>0.0124</v>
      </c>
      <c r="AR143" s="20" t="n">
        <v>0</v>
      </c>
      <c r="AS143" s="20" t="n">
        <v>0</v>
      </c>
      <c r="AT143" s="20" t="n">
        <v>0</v>
      </c>
      <c r="AU143" s="20" t="n">
        <v>0</v>
      </c>
      <c r="AV143" s="20" t="n">
        <v>0</v>
      </c>
      <c r="AW143" s="20" t="n">
        <v>0</v>
      </c>
      <c r="AX143" s="20" t="n">
        <v>0</v>
      </c>
    </row>
    <row r="144">
      <c r="A144" s="19" t="inlineStr">
        <is>
          <t>Load_TR2_F6_50</t>
        </is>
      </c>
      <c r="B144" s="15" t="inlineStr">
        <is>
          <t>prosumer</t>
        </is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0.0034</v>
      </c>
      <c r="K144" s="20" t="n">
        <v>0.0497</v>
      </c>
      <c r="L144" s="20" t="n">
        <v>0.2326</v>
      </c>
      <c r="M144" s="20" t="n">
        <v>0.4613</v>
      </c>
      <c r="N144" s="20" t="n">
        <v>0.7419</v>
      </c>
      <c r="O144" s="20" t="n">
        <v>1.0479</v>
      </c>
      <c r="P144" s="20" t="n">
        <v>1.3577</v>
      </c>
      <c r="Q144" s="20" t="n">
        <v>1.666</v>
      </c>
      <c r="R144" s="20" t="n">
        <v>1.9746</v>
      </c>
      <c r="S144" s="20" t="n">
        <v>2.2643</v>
      </c>
      <c r="T144" s="20" t="n">
        <v>2.5367</v>
      </c>
      <c r="U144" s="20" t="n">
        <v>2.7686</v>
      </c>
      <c r="V144" s="20" t="n">
        <v>2.9664</v>
      </c>
      <c r="W144" s="20" t="n">
        <v>3.14</v>
      </c>
      <c r="X144" s="20" t="n">
        <v>3.2833</v>
      </c>
      <c r="Y144" s="20" t="n">
        <v>3.385</v>
      </c>
      <c r="Z144" s="20" t="n">
        <v>3.4296</v>
      </c>
      <c r="AA144" s="20" t="n">
        <v>3.4425</v>
      </c>
      <c r="AB144" s="20" t="n">
        <v>3.4183</v>
      </c>
      <c r="AC144" s="20" t="n">
        <v>3.3372</v>
      </c>
      <c r="AD144" s="20" t="n">
        <v>3.2133</v>
      </c>
      <c r="AE144" s="20" t="n">
        <v>3.0655</v>
      </c>
      <c r="AF144" s="20" t="n">
        <v>2.8782</v>
      </c>
      <c r="AG144" s="20" t="n">
        <v>2.6791</v>
      </c>
      <c r="AH144" s="20" t="n">
        <v>2.4396</v>
      </c>
      <c r="AI144" s="20" t="n">
        <v>2.1698</v>
      </c>
      <c r="AJ144" s="20" t="n">
        <v>1.8441</v>
      </c>
      <c r="AK144" s="20" t="n">
        <v>1.5392</v>
      </c>
      <c r="AL144" s="20" t="n">
        <v>1.2259</v>
      </c>
      <c r="AM144" s="20" t="n">
        <v>0.9229000000000001</v>
      </c>
      <c r="AN144" s="20" t="n">
        <v>0.6308</v>
      </c>
      <c r="AO144" s="20" t="n">
        <v>0.3683</v>
      </c>
      <c r="AP144" s="20" t="n">
        <v>0.1072</v>
      </c>
      <c r="AQ144" s="20" t="n">
        <v>0.0198</v>
      </c>
      <c r="AR144" s="20" t="n">
        <v>0</v>
      </c>
      <c r="AS144" s="20" t="n">
        <v>0</v>
      </c>
      <c r="AT144" s="20" t="n">
        <v>0</v>
      </c>
      <c r="AU144" s="20" t="n">
        <v>0</v>
      </c>
      <c r="AV144" s="20" t="n">
        <v>0</v>
      </c>
      <c r="AW144" s="20" t="n">
        <v>0</v>
      </c>
      <c r="AX144" s="20" t="n">
        <v>0</v>
      </c>
    </row>
    <row r="145">
      <c r="A145" s="19" t="inlineStr">
        <is>
          <t>Load_TR2_F6_51</t>
        </is>
      </c>
      <c r="B145" s="15" t="inlineStr">
        <is>
          <t>prosumer</t>
        </is>
      </c>
      <c r="C145" s="20" t="n">
        <v>0</v>
      </c>
      <c r="D145" s="20" t="n">
        <v>0</v>
      </c>
      <c r="E145" s="20" t="n">
        <v>0</v>
      </c>
      <c r="F145" s="20" t="n">
        <v>0</v>
      </c>
      <c r="G145" s="20" t="n">
        <v>0</v>
      </c>
      <c r="H145" s="20" t="n">
        <v>0</v>
      </c>
      <c r="I145" s="20" t="n">
        <v>0</v>
      </c>
      <c r="J145" s="20" t="n">
        <v>0.0034</v>
      </c>
      <c r="K145" s="20" t="n">
        <v>0.0497</v>
      </c>
      <c r="L145" s="20" t="n">
        <v>0.2326</v>
      </c>
      <c r="M145" s="20" t="n">
        <v>0.4613</v>
      </c>
      <c r="N145" s="20" t="n">
        <v>0.7419</v>
      </c>
      <c r="O145" s="20" t="n">
        <v>1.0479</v>
      </c>
      <c r="P145" s="20" t="n">
        <v>1.3577</v>
      </c>
      <c r="Q145" s="20" t="n">
        <v>1.666</v>
      </c>
      <c r="R145" s="20" t="n">
        <v>1.9746</v>
      </c>
      <c r="S145" s="20" t="n">
        <v>2.2643</v>
      </c>
      <c r="T145" s="20" t="n">
        <v>2.5367</v>
      </c>
      <c r="U145" s="20" t="n">
        <v>2.7686</v>
      </c>
      <c r="V145" s="20" t="n">
        <v>2.9664</v>
      </c>
      <c r="W145" s="20" t="n">
        <v>3.14</v>
      </c>
      <c r="X145" s="20" t="n">
        <v>3.2833</v>
      </c>
      <c r="Y145" s="20" t="n">
        <v>3.385</v>
      </c>
      <c r="Z145" s="20" t="n">
        <v>3.4296</v>
      </c>
      <c r="AA145" s="20" t="n">
        <v>3.4425</v>
      </c>
      <c r="AB145" s="20" t="n">
        <v>3.4183</v>
      </c>
      <c r="AC145" s="20" t="n">
        <v>3.3372</v>
      </c>
      <c r="AD145" s="20" t="n">
        <v>3.2133</v>
      </c>
      <c r="AE145" s="20" t="n">
        <v>3.0655</v>
      </c>
      <c r="AF145" s="20" t="n">
        <v>2.8782</v>
      </c>
      <c r="AG145" s="20" t="n">
        <v>2.6791</v>
      </c>
      <c r="AH145" s="20" t="n">
        <v>2.4396</v>
      </c>
      <c r="AI145" s="20" t="n">
        <v>2.1698</v>
      </c>
      <c r="AJ145" s="20" t="n">
        <v>1.8441</v>
      </c>
      <c r="AK145" s="20" t="n">
        <v>1.5392</v>
      </c>
      <c r="AL145" s="20" t="n">
        <v>1.2259</v>
      </c>
      <c r="AM145" s="20" t="n">
        <v>0.9229000000000001</v>
      </c>
      <c r="AN145" s="20" t="n">
        <v>0.6308</v>
      </c>
      <c r="AO145" s="20" t="n">
        <v>0.3683</v>
      </c>
      <c r="AP145" s="20" t="n">
        <v>0.1072</v>
      </c>
      <c r="AQ145" s="20" t="n">
        <v>0.0198</v>
      </c>
      <c r="AR145" s="20" t="n">
        <v>0</v>
      </c>
      <c r="AS145" s="20" t="n">
        <v>0</v>
      </c>
      <c r="AT145" s="20" t="n">
        <v>0</v>
      </c>
      <c r="AU145" s="20" t="n">
        <v>0</v>
      </c>
      <c r="AV145" s="20" t="n">
        <v>0</v>
      </c>
      <c r="AW145" s="20" t="n">
        <v>0</v>
      </c>
      <c r="AX145" s="20" t="n">
        <v>0</v>
      </c>
    </row>
    <row r="146">
      <c r="A146" s="19" t="inlineStr">
        <is>
          <t>Load_TR2_F6_52</t>
        </is>
      </c>
      <c r="B146" s="15" t="inlineStr">
        <is>
          <t>prosumer</t>
        </is>
      </c>
      <c r="C146" s="20" t="n">
        <v>0</v>
      </c>
      <c r="D146" s="20" t="n">
        <v>0</v>
      </c>
      <c r="E146" s="20" t="n">
        <v>0</v>
      </c>
      <c r="F146" s="20" t="n">
        <v>0</v>
      </c>
      <c r="G146" s="20" t="n">
        <v>0</v>
      </c>
      <c r="H146" s="20" t="n">
        <v>0</v>
      </c>
      <c r="I146" s="20" t="n">
        <v>0</v>
      </c>
      <c r="J146" s="20" t="n">
        <v>0.0022</v>
      </c>
      <c r="K146" s="20" t="n">
        <v>0.0311</v>
      </c>
      <c r="L146" s="20" t="n">
        <v>0.1454</v>
      </c>
      <c r="M146" s="20" t="n">
        <v>0.2883</v>
      </c>
      <c r="N146" s="20" t="n">
        <v>0.4637</v>
      </c>
      <c r="O146" s="20" t="n">
        <v>0.6549</v>
      </c>
      <c r="P146" s="20" t="n">
        <v>0.8486</v>
      </c>
      <c r="Q146" s="20" t="n">
        <v>1.0412</v>
      </c>
      <c r="R146" s="20" t="n">
        <v>1.2341</v>
      </c>
      <c r="S146" s="20" t="n">
        <v>1.4152</v>
      </c>
      <c r="T146" s="20" t="n">
        <v>1.5854</v>
      </c>
      <c r="U146" s="20" t="n">
        <v>1.7304</v>
      </c>
      <c r="V146" s="20" t="n">
        <v>1.854</v>
      </c>
      <c r="W146" s="20" t="n">
        <v>1.9625</v>
      </c>
      <c r="X146" s="20" t="n">
        <v>2.0521</v>
      </c>
      <c r="Y146" s="20" t="n">
        <v>2.1156</v>
      </c>
      <c r="Z146" s="20" t="n">
        <v>2.1435</v>
      </c>
      <c r="AA146" s="20" t="n">
        <v>2.1516</v>
      </c>
      <c r="AB146" s="20" t="n">
        <v>2.1365</v>
      </c>
      <c r="AC146" s="20" t="n">
        <v>2.0857</v>
      </c>
      <c r="AD146" s="20" t="n">
        <v>2.0083</v>
      </c>
      <c r="AE146" s="20" t="n">
        <v>1.9159</v>
      </c>
      <c r="AF146" s="20" t="n">
        <v>1.7989</v>
      </c>
      <c r="AG146" s="20" t="n">
        <v>1.6745</v>
      </c>
      <c r="AH146" s="20" t="n">
        <v>1.5247</v>
      </c>
      <c r="AI146" s="20" t="n">
        <v>1.3561</v>
      </c>
      <c r="AJ146" s="20" t="n">
        <v>1.1525</v>
      </c>
      <c r="AK146" s="20" t="n">
        <v>0.962</v>
      </c>
      <c r="AL146" s="20" t="n">
        <v>0.7662</v>
      </c>
      <c r="AM146" s="20" t="n">
        <v>0.5768</v>
      </c>
      <c r="AN146" s="20" t="n">
        <v>0.3942</v>
      </c>
      <c r="AO146" s="20" t="n">
        <v>0.2302</v>
      </c>
      <c r="AP146" s="20" t="n">
        <v>0.067</v>
      </c>
      <c r="AQ146" s="20" t="n">
        <v>0.0124</v>
      </c>
      <c r="AR146" s="20" t="n">
        <v>0</v>
      </c>
      <c r="AS146" s="20" t="n">
        <v>0</v>
      </c>
      <c r="AT146" s="20" t="n">
        <v>0</v>
      </c>
      <c r="AU146" s="20" t="n">
        <v>0</v>
      </c>
      <c r="AV146" s="20" t="n">
        <v>0</v>
      </c>
      <c r="AW146" s="20" t="n">
        <v>0</v>
      </c>
      <c r="AX146" s="20" t="n">
        <v>0</v>
      </c>
    </row>
    <row r="147">
      <c r="A147" s="10" t="inlineStr">
        <is>
          <t>Load_TR2_F6_53</t>
        </is>
      </c>
      <c r="B147" s="12" t="inlineStr">
        <is>
          <t>customer</t>
        </is>
      </c>
      <c r="C147" s="18" t="n">
        <v>0</v>
      </c>
      <c r="D147" s="18" t="n">
        <v>0</v>
      </c>
      <c r="E147" s="18" t="n">
        <v>0</v>
      </c>
      <c r="F147" s="18" t="n">
        <v>0</v>
      </c>
      <c r="G147" s="18" t="n">
        <v>0</v>
      </c>
      <c r="H147" s="18" t="n">
        <v>0</v>
      </c>
      <c r="I147" s="18" t="n">
        <v>0</v>
      </c>
      <c r="J147" s="18" t="n">
        <v>0</v>
      </c>
      <c r="K147" s="18" t="n">
        <v>0</v>
      </c>
      <c r="L147" s="18" t="n">
        <v>0</v>
      </c>
      <c r="M147" s="18" t="n">
        <v>0</v>
      </c>
      <c r="N147" s="18" t="n">
        <v>0</v>
      </c>
      <c r="O147" s="18" t="n">
        <v>0</v>
      </c>
      <c r="P147" s="18" t="n">
        <v>0</v>
      </c>
      <c r="Q147" s="18" t="n">
        <v>0</v>
      </c>
      <c r="R147" s="18" t="n">
        <v>0</v>
      </c>
      <c r="S147" s="18" t="n">
        <v>0</v>
      </c>
      <c r="T147" s="18" t="n">
        <v>0</v>
      </c>
      <c r="U147" s="18" t="n">
        <v>0</v>
      </c>
      <c r="V147" s="18" t="n">
        <v>0</v>
      </c>
      <c r="W147" s="18" t="n">
        <v>0</v>
      </c>
      <c r="X147" s="18" t="n">
        <v>0</v>
      </c>
      <c r="Y147" s="18" t="n">
        <v>0</v>
      </c>
      <c r="Z147" s="18" t="n">
        <v>0</v>
      </c>
      <c r="AA147" s="18" t="n">
        <v>0</v>
      </c>
      <c r="AB147" s="18" t="n">
        <v>0</v>
      </c>
      <c r="AC147" s="18" t="n">
        <v>0</v>
      </c>
      <c r="AD147" s="18" t="n">
        <v>0</v>
      </c>
      <c r="AE147" s="18" t="n">
        <v>0</v>
      </c>
      <c r="AF147" s="18" t="n">
        <v>0</v>
      </c>
      <c r="AG147" s="18" t="n">
        <v>0</v>
      </c>
      <c r="AH147" s="18" t="n">
        <v>0</v>
      </c>
      <c r="AI147" s="18" t="n">
        <v>0</v>
      </c>
      <c r="AJ147" s="18" t="n">
        <v>0</v>
      </c>
      <c r="AK147" s="18" t="n">
        <v>0</v>
      </c>
      <c r="AL147" s="18" t="n">
        <v>0</v>
      </c>
      <c r="AM147" s="18" t="n">
        <v>0</v>
      </c>
      <c r="AN147" s="18" t="n">
        <v>0</v>
      </c>
      <c r="AO147" s="18" t="n">
        <v>0</v>
      </c>
      <c r="AP147" s="18" t="n">
        <v>0</v>
      </c>
      <c r="AQ147" s="18" t="n">
        <v>0</v>
      </c>
      <c r="AR147" s="18" t="n">
        <v>0</v>
      </c>
      <c r="AS147" s="18" t="n">
        <v>0</v>
      </c>
      <c r="AT147" s="18" t="n">
        <v>0</v>
      </c>
      <c r="AU147" s="18" t="n">
        <v>0</v>
      </c>
      <c r="AV147" s="18" t="n">
        <v>0</v>
      </c>
      <c r="AW147" s="18" t="n">
        <v>0</v>
      </c>
      <c r="AX147" s="18" t="n">
        <v>0</v>
      </c>
    </row>
    <row r="148">
      <c r="A148" s="10" t="inlineStr">
        <is>
          <t>Load_TR2_F6_54</t>
        </is>
      </c>
      <c r="B148" s="12" t="inlineStr">
        <is>
          <t>customer</t>
        </is>
      </c>
      <c r="C148" s="18" t="n">
        <v>0</v>
      </c>
      <c r="D148" s="18" t="n">
        <v>0</v>
      </c>
      <c r="E148" s="18" t="n">
        <v>0</v>
      </c>
      <c r="F148" s="18" t="n">
        <v>0</v>
      </c>
      <c r="G148" s="18" t="n">
        <v>0</v>
      </c>
      <c r="H148" s="18" t="n">
        <v>0</v>
      </c>
      <c r="I148" s="18" t="n">
        <v>0</v>
      </c>
      <c r="J148" s="18" t="n">
        <v>0</v>
      </c>
      <c r="K148" s="18" t="n">
        <v>0</v>
      </c>
      <c r="L148" s="18" t="n">
        <v>0</v>
      </c>
      <c r="M148" s="18" t="n">
        <v>0</v>
      </c>
      <c r="N148" s="18" t="n">
        <v>0</v>
      </c>
      <c r="O148" s="18" t="n">
        <v>0</v>
      </c>
      <c r="P148" s="18" t="n">
        <v>0</v>
      </c>
      <c r="Q148" s="18" t="n">
        <v>0</v>
      </c>
      <c r="R148" s="18" t="n">
        <v>0</v>
      </c>
      <c r="S148" s="18" t="n">
        <v>0</v>
      </c>
      <c r="T148" s="18" t="n">
        <v>0</v>
      </c>
      <c r="U148" s="18" t="n">
        <v>0</v>
      </c>
      <c r="V148" s="18" t="n">
        <v>0</v>
      </c>
      <c r="W148" s="18" t="n">
        <v>0</v>
      </c>
      <c r="X148" s="18" t="n">
        <v>0</v>
      </c>
      <c r="Y148" s="18" t="n">
        <v>0</v>
      </c>
      <c r="Z148" s="18" t="n">
        <v>0</v>
      </c>
      <c r="AA148" s="18" t="n">
        <v>0</v>
      </c>
      <c r="AB148" s="18" t="n">
        <v>0</v>
      </c>
      <c r="AC148" s="18" t="n">
        <v>0</v>
      </c>
      <c r="AD148" s="18" t="n">
        <v>0</v>
      </c>
      <c r="AE148" s="18" t="n">
        <v>0</v>
      </c>
      <c r="AF148" s="18" t="n">
        <v>0</v>
      </c>
      <c r="AG148" s="18" t="n">
        <v>0</v>
      </c>
      <c r="AH148" s="18" t="n">
        <v>0</v>
      </c>
      <c r="AI148" s="18" t="n">
        <v>0</v>
      </c>
      <c r="AJ148" s="18" t="n">
        <v>0</v>
      </c>
      <c r="AK148" s="18" t="n">
        <v>0</v>
      </c>
      <c r="AL148" s="18" t="n">
        <v>0</v>
      </c>
      <c r="AM148" s="18" t="n">
        <v>0</v>
      </c>
      <c r="AN148" s="18" t="n">
        <v>0</v>
      </c>
      <c r="AO148" s="18" t="n">
        <v>0</v>
      </c>
      <c r="AP148" s="18" t="n">
        <v>0</v>
      </c>
      <c r="AQ148" s="18" t="n">
        <v>0</v>
      </c>
      <c r="AR148" s="18" t="n">
        <v>0</v>
      </c>
      <c r="AS148" s="18" t="n">
        <v>0</v>
      </c>
      <c r="AT148" s="18" t="n">
        <v>0</v>
      </c>
      <c r="AU148" s="18" t="n">
        <v>0</v>
      </c>
      <c r="AV148" s="18" t="n">
        <v>0</v>
      </c>
      <c r="AW148" s="18" t="n">
        <v>0</v>
      </c>
      <c r="AX148" s="18" t="n">
        <v>0</v>
      </c>
    </row>
    <row r="149">
      <c r="A149" s="19" t="inlineStr">
        <is>
          <t>Load_TR2_F6_55</t>
        </is>
      </c>
      <c r="B149" s="15" t="inlineStr">
        <is>
          <t>prosumer</t>
        </is>
      </c>
      <c r="C149" s="20" t="n">
        <v>0</v>
      </c>
      <c r="D149" s="20" t="n">
        <v>0</v>
      </c>
      <c r="E149" s="20" t="n">
        <v>0</v>
      </c>
      <c r="F149" s="20" t="n">
        <v>0</v>
      </c>
      <c r="G149" s="20" t="n">
        <v>0</v>
      </c>
      <c r="H149" s="20" t="n">
        <v>0</v>
      </c>
      <c r="I149" s="20" t="n">
        <v>0</v>
      </c>
      <c r="J149" s="20" t="n">
        <v>0.0017</v>
      </c>
      <c r="K149" s="20" t="n">
        <v>0.0249</v>
      </c>
      <c r="L149" s="20" t="n">
        <v>0.1163</v>
      </c>
      <c r="M149" s="20" t="n">
        <v>0.2307</v>
      </c>
      <c r="N149" s="20" t="n">
        <v>0.3709</v>
      </c>
      <c r="O149" s="20" t="n">
        <v>0.524</v>
      </c>
      <c r="P149" s="20" t="n">
        <v>0.6788999999999999</v>
      </c>
      <c r="Q149" s="20" t="n">
        <v>0.833</v>
      </c>
      <c r="R149" s="20" t="n">
        <v>0.9873</v>
      </c>
      <c r="S149" s="20" t="n">
        <v>1.1322</v>
      </c>
      <c r="T149" s="20" t="n">
        <v>1.2683</v>
      </c>
      <c r="U149" s="20" t="n">
        <v>1.3843</v>
      </c>
      <c r="V149" s="20" t="n">
        <v>1.4832</v>
      </c>
      <c r="W149" s="20" t="n">
        <v>1.57</v>
      </c>
      <c r="X149" s="20" t="n">
        <v>1.6417</v>
      </c>
      <c r="Y149" s="20" t="n">
        <v>1.6925</v>
      </c>
      <c r="Z149" s="20" t="n">
        <v>1.7148</v>
      </c>
      <c r="AA149" s="20" t="n">
        <v>1.7212</v>
      </c>
      <c r="AB149" s="20" t="n">
        <v>1.7092</v>
      </c>
      <c r="AC149" s="20" t="n">
        <v>1.6686</v>
      </c>
      <c r="AD149" s="20" t="n">
        <v>1.6067</v>
      </c>
      <c r="AE149" s="20" t="n">
        <v>1.5328</v>
      </c>
      <c r="AF149" s="20" t="n">
        <v>1.4391</v>
      </c>
      <c r="AG149" s="20" t="n">
        <v>1.3396</v>
      </c>
      <c r="AH149" s="20" t="n">
        <v>1.2198</v>
      </c>
      <c r="AI149" s="20" t="n">
        <v>1.0849</v>
      </c>
      <c r="AJ149" s="20" t="n">
        <v>0.922</v>
      </c>
      <c r="AK149" s="20" t="n">
        <v>0.7696</v>
      </c>
      <c r="AL149" s="20" t="n">
        <v>0.613</v>
      </c>
      <c r="AM149" s="20" t="n">
        <v>0.4615</v>
      </c>
      <c r="AN149" s="20" t="n">
        <v>0.3154</v>
      </c>
      <c r="AO149" s="20" t="n">
        <v>0.1842</v>
      </c>
      <c r="AP149" s="20" t="n">
        <v>0.0536</v>
      </c>
      <c r="AQ149" s="20" t="n">
        <v>0.009900000000000001</v>
      </c>
      <c r="AR149" s="20" t="n">
        <v>0</v>
      </c>
      <c r="AS149" s="20" t="n">
        <v>0</v>
      </c>
      <c r="AT149" s="20" t="n">
        <v>0</v>
      </c>
      <c r="AU149" s="20" t="n">
        <v>0</v>
      </c>
      <c r="AV149" s="20" t="n">
        <v>0</v>
      </c>
      <c r="AW149" s="20" t="n">
        <v>0</v>
      </c>
      <c r="AX149" s="20" t="n">
        <v>0</v>
      </c>
    </row>
    <row r="150">
      <c r="A150" s="10" t="inlineStr">
        <is>
          <t>Load_TR2_F6_56</t>
        </is>
      </c>
      <c r="B150" s="12" t="inlineStr">
        <is>
          <t>customer</t>
        </is>
      </c>
      <c r="C150" s="18" t="n">
        <v>0</v>
      </c>
      <c r="D150" s="18" t="n">
        <v>0</v>
      </c>
      <c r="E150" s="18" t="n">
        <v>0</v>
      </c>
      <c r="F150" s="18" t="n">
        <v>0</v>
      </c>
      <c r="G150" s="18" t="n">
        <v>0</v>
      </c>
      <c r="H150" s="18" t="n">
        <v>0</v>
      </c>
      <c r="I150" s="18" t="n">
        <v>0</v>
      </c>
      <c r="J150" s="18" t="n">
        <v>0</v>
      </c>
      <c r="K150" s="18" t="n">
        <v>0</v>
      </c>
      <c r="L150" s="18" t="n">
        <v>0</v>
      </c>
      <c r="M150" s="18" t="n">
        <v>0</v>
      </c>
      <c r="N150" s="18" t="n">
        <v>0</v>
      </c>
      <c r="O150" s="18" t="n">
        <v>0</v>
      </c>
      <c r="P150" s="18" t="n">
        <v>0</v>
      </c>
      <c r="Q150" s="18" t="n">
        <v>0</v>
      </c>
      <c r="R150" s="18" t="n">
        <v>0</v>
      </c>
      <c r="S150" s="18" t="n">
        <v>0</v>
      </c>
      <c r="T150" s="18" t="n">
        <v>0</v>
      </c>
      <c r="U150" s="18" t="n">
        <v>0</v>
      </c>
      <c r="V150" s="18" t="n">
        <v>0</v>
      </c>
      <c r="W150" s="18" t="n">
        <v>0</v>
      </c>
      <c r="X150" s="18" t="n">
        <v>0</v>
      </c>
      <c r="Y150" s="18" t="n">
        <v>0</v>
      </c>
      <c r="Z150" s="18" t="n">
        <v>0</v>
      </c>
      <c r="AA150" s="18" t="n">
        <v>0</v>
      </c>
      <c r="AB150" s="18" t="n">
        <v>0</v>
      </c>
      <c r="AC150" s="18" t="n">
        <v>0</v>
      </c>
      <c r="AD150" s="18" t="n">
        <v>0</v>
      </c>
      <c r="AE150" s="18" t="n">
        <v>0</v>
      </c>
      <c r="AF150" s="18" t="n">
        <v>0</v>
      </c>
      <c r="AG150" s="18" t="n">
        <v>0</v>
      </c>
      <c r="AH150" s="18" t="n">
        <v>0</v>
      </c>
      <c r="AI150" s="18" t="n">
        <v>0</v>
      </c>
      <c r="AJ150" s="18" t="n">
        <v>0</v>
      </c>
      <c r="AK150" s="18" t="n">
        <v>0</v>
      </c>
      <c r="AL150" s="18" t="n">
        <v>0</v>
      </c>
      <c r="AM150" s="18" t="n">
        <v>0</v>
      </c>
      <c r="AN150" s="18" t="n">
        <v>0</v>
      </c>
      <c r="AO150" s="18" t="n">
        <v>0</v>
      </c>
      <c r="AP150" s="18" t="n">
        <v>0</v>
      </c>
      <c r="AQ150" s="18" t="n">
        <v>0</v>
      </c>
      <c r="AR150" s="18" t="n">
        <v>0</v>
      </c>
      <c r="AS150" s="18" t="n">
        <v>0</v>
      </c>
      <c r="AT150" s="18" t="n">
        <v>0</v>
      </c>
      <c r="AU150" s="18" t="n">
        <v>0</v>
      </c>
      <c r="AV150" s="18" t="n">
        <v>0</v>
      </c>
      <c r="AW150" s="18" t="n">
        <v>0</v>
      </c>
      <c r="AX150" s="18" t="n">
        <v>0</v>
      </c>
    </row>
    <row r="151">
      <c r="A151" s="19" t="inlineStr">
        <is>
          <t>Load_TR2_F6_57</t>
        </is>
      </c>
      <c r="B151" s="15" t="inlineStr">
        <is>
          <t>prosumer</t>
        </is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J151" s="20" t="n">
        <v>0.003</v>
      </c>
      <c r="K151" s="20" t="n">
        <v>0.0435</v>
      </c>
      <c r="L151" s="20" t="n">
        <v>0.2035</v>
      </c>
      <c r="M151" s="20" t="n">
        <v>0.4037</v>
      </c>
      <c r="N151" s="20" t="n">
        <v>0.6491</v>
      </c>
      <c r="O151" s="20" t="n">
        <v>0.9169</v>
      </c>
      <c r="P151" s="20" t="n">
        <v>1.188</v>
      </c>
      <c r="Q151" s="20" t="n">
        <v>1.4577</v>
      </c>
      <c r="R151" s="20" t="n">
        <v>1.7278</v>
      </c>
      <c r="S151" s="20" t="n">
        <v>1.9813</v>
      </c>
      <c r="T151" s="20" t="n">
        <v>2.2196</v>
      </c>
      <c r="U151" s="20" t="n">
        <v>2.4225</v>
      </c>
      <c r="V151" s="20" t="n">
        <v>2.5956</v>
      </c>
      <c r="W151" s="20" t="n">
        <v>2.7475</v>
      </c>
      <c r="X151" s="20" t="n">
        <v>2.8729</v>
      </c>
      <c r="Y151" s="20" t="n">
        <v>2.9619</v>
      </c>
      <c r="Z151" s="20" t="n">
        <v>3.0009</v>
      </c>
      <c r="AA151" s="20" t="n">
        <v>3.0122</v>
      </c>
      <c r="AB151" s="20" t="n">
        <v>2.991</v>
      </c>
      <c r="AC151" s="20" t="n">
        <v>2.92</v>
      </c>
      <c r="AD151" s="20" t="n">
        <v>2.8117</v>
      </c>
      <c r="AE151" s="20" t="n">
        <v>2.6823</v>
      </c>
      <c r="AF151" s="20" t="n">
        <v>2.5184</v>
      </c>
      <c r="AG151" s="20" t="n">
        <v>2.3442</v>
      </c>
      <c r="AH151" s="20" t="n">
        <v>2.1346</v>
      </c>
      <c r="AI151" s="20" t="n">
        <v>1.8986</v>
      </c>
      <c r="AJ151" s="20" t="n">
        <v>1.6136</v>
      </c>
      <c r="AK151" s="20" t="n">
        <v>1.3468</v>
      </c>
      <c r="AL151" s="20" t="n">
        <v>1.0727</v>
      </c>
      <c r="AM151" s="20" t="n">
        <v>0.8076</v>
      </c>
      <c r="AN151" s="20" t="n">
        <v>0.5518999999999999</v>
      </c>
      <c r="AO151" s="20" t="n">
        <v>0.3223</v>
      </c>
      <c r="AP151" s="20" t="n">
        <v>0.09379999999999999</v>
      </c>
      <c r="AQ151" s="20" t="n">
        <v>0.0173</v>
      </c>
      <c r="AR151" s="20" t="n">
        <v>0</v>
      </c>
      <c r="AS151" s="20" t="n">
        <v>0</v>
      </c>
      <c r="AT151" s="20" t="n">
        <v>0</v>
      </c>
      <c r="AU151" s="20" t="n">
        <v>0</v>
      </c>
      <c r="AV151" s="20" t="n">
        <v>0</v>
      </c>
      <c r="AW151" s="20" t="n">
        <v>0</v>
      </c>
      <c r="AX151" s="20" t="n">
        <v>0</v>
      </c>
    </row>
    <row r="152">
      <c r="A152" s="19" t="inlineStr">
        <is>
          <t>Load_TR2_F6_58</t>
        </is>
      </c>
      <c r="B152" s="15" t="inlineStr">
        <is>
          <t>prosumer</t>
        </is>
      </c>
      <c r="C152" s="20" t="n">
        <v>0</v>
      </c>
      <c r="D152" s="20" t="n">
        <v>0</v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0.0022</v>
      </c>
      <c r="K152" s="20" t="n">
        <v>0.0311</v>
      </c>
      <c r="L152" s="20" t="n">
        <v>0.1454</v>
      </c>
      <c r="M152" s="20" t="n">
        <v>0.2883</v>
      </c>
      <c r="N152" s="20" t="n">
        <v>0.4637</v>
      </c>
      <c r="O152" s="20" t="n">
        <v>0.6549</v>
      </c>
      <c r="P152" s="20" t="n">
        <v>0.8486</v>
      </c>
      <c r="Q152" s="20" t="n">
        <v>1.0412</v>
      </c>
      <c r="R152" s="20" t="n">
        <v>1.2341</v>
      </c>
      <c r="S152" s="20" t="n">
        <v>1.4152</v>
      </c>
      <c r="T152" s="20" t="n">
        <v>1.5854</v>
      </c>
      <c r="U152" s="20" t="n">
        <v>1.7304</v>
      </c>
      <c r="V152" s="20" t="n">
        <v>1.854</v>
      </c>
      <c r="W152" s="20" t="n">
        <v>1.9625</v>
      </c>
      <c r="X152" s="20" t="n">
        <v>2.0521</v>
      </c>
      <c r="Y152" s="20" t="n">
        <v>2.1156</v>
      </c>
      <c r="Z152" s="20" t="n">
        <v>2.1435</v>
      </c>
      <c r="AA152" s="20" t="n">
        <v>2.1516</v>
      </c>
      <c r="AB152" s="20" t="n">
        <v>2.1365</v>
      </c>
      <c r="AC152" s="20" t="n">
        <v>2.0857</v>
      </c>
      <c r="AD152" s="20" t="n">
        <v>2.0083</v>
      </c>
      <c r="AE152" s="20" t="n">
        <v>1.9159</v>
      </c>
      <c r="AF152" s="20" t="n">
        <v>1.7989</v>
      </c>
      <c r="AG152" s="20" t="n">
        <v>1.6745</v>
      </c>
      <c r="AH152" s="20" t="n">
        <v>1.5247</v>
      </c>
      <c r="AI152" s="20" t="n">
        <v>1.3561</v>
      </c>
      <c r="AJ152" s="20" t="n">
        <v>1.1525</v>
      </c>
      <c r="AK152" s="20" t="n">
        <v>0.962</v>
      </c>
      <c r="AL152" s="20" t="n">
        <v>0.7662</v>
      </c>
      <c r="AM152" s="20" t="n">
        <v>0.5768</v>
      </c>
      <c r="AN152" s="20" t="n">
        <v>0.3942</v>
      </c>
      <c r="AO152" s="20" t="n">
        <v>0.2302</v>
      </c>
      <c r="AP152" s="20" t="n">
        <v>0.067</v>
      </c>
      <c r="AQ152" s="20" t="n">
        <v>0.0124</v>
      </c>
      <c r="AR152" s="20" t="n">
        <v>0</v>
      </c>
      <c r="AS152" s="20" t="n">
        <v>0</v>
      </c>
      <c r="AT152" s="20" t="n">
        <v>0</v>
      </c>
      <c r="AU152" s="20" t="n">
        <v>0</v>
      </c>
      <c r="AV152" s="20" t="n">
        <v>0</v>
      </c>
      <c r="AW152" s="20" t="n">
        <v>0</v>
      </c>
      <c r="AX152" s="20" t="n">
        <v>0</v>
      </c>
    </row>
    <row r="153">
      <c r="A153" s="19" t="inlineStr">
        <is>
          <t>Load_TR2_F6_59</t>
        </is>
      </c>
      <c r="B153" s="15" t="inlineStr">
        <is>
          <t>prosumer</t>
        </is>
      </c>
      <c r="C153" s="20" t="n">
        <v>0</v>
      </c>
      <c r="D153" s="20" t="n">
        <v>0</v>
      </c>
      <c r="E153" s="20" t="n">
        <v>0</v>
      </c>
      <c r="F153" s="20" t="n">
        <v>0</v>
      </c>
      <c r="G153" s="20" t="n">
        <v>0</v>
      </c>
      <c r="H153" s="20" t="n">
        <v>0</v>
      </c>
      <c r="I153" s="20" t="n">
        <v>0</v>
      </c>
      <c r="J153" s="20" t="n">
        <v>0.0017</v>
      </c>
      <c r="K153" s="20" t="n">
        <v>0.0249</v>
      </c>
      <c r="L153" s="20" t="n">
        <v>0.1163</v>
      </c>
      <c r="M153" s="20" t="n">
        <v>0.2307</v>
      </c>
      <c r="N153" s="20" t="n">
        <v>0.3709</v>
      </c>
      <c r="O153" s="20" t="n">
        <v>0.524</v>
      </c>
      <c r="P153" s="20" t="n">
        <v>0.6788999999999999</v>
      </c>
      <c r="Q153" s="20" t="n">
        <v>0.833</v>
      </c>
      <c r="R153" s="20" t="n">
        <v>0.9873</v>
      </c>
      <c r="S153" s="20" t="n">
        <v>1.1322</v>
      </c>
      <c r="T153" s="20" t="n">
        <v>1.2683</v>
      </c>
      <c r="U153" s="20" t="n">
        <v>1.3843</v>
      </c>
      <c r="V153" s="20" t="n">
        <v>1.4832</v>
      </c>
      <c r="W153" s="20" t="n">
        <v>1.57</v>
      </c>
      <c r="X153" s="20" t="n">
        <v>1.6417</v>
      </c>
      <c r="Y153" s="20" t="n">
        <v>1.6925</v>
      </c>
      <c r="Z153" s="20" t="n">
        <v>1.7148</v>
      </c>
      <c r="AA153" s="20" t="n">
        <v>1.7212</v>
      </c>
      <c r="AB153" s="20" t="n">
        <v>1.7092</v>
      </c>
      <c r="AC153" s="20" t="n">
        <v>1.6686</v>
      </c>
      <c r="AD153" s="20" t="n">
        <v>1.6067</v>
      </c>
      <c r="AE153" s="20" t="n">
        <v>1.5328</v>
      </c>
      <c r="AF153" s="20" t="n">
        <v>1.4391</v>
      </c>
      <c r="AG153" s="20" t="n">
        <v>1.3396</v>
      </c>
      <c r="AH153" s="20" t="n">
        <v>1.2198</v>
      </c>
      <c r="AI153" s="20" t="n">
        <v>1.0849</v>
      </c>
      <c r="AJ153" s="20" t="n">
        <v>0.922</v>
      </c>
      <c r="AK153" s="20" t="n">
        <v>0.7696</v>
      </c>
      <c r="AL153" s="20" t="n">
        <v>0.613</v>
      </c>
      <c r="AM153" s="20" t="n">
        <v>0.4615</v>
      </c>
      <c r="AN153" s="20" t="n">
        <v>0.3154</v>
      </c>
      <c r="AO153" s="20" t="n">
        <v>0.1842</v>
      </c>
      <c r="AP153" s="20" t="n">
        <v>0.0536</v>
      </c>
      <c r="AQ153" s="20" t="n">
        <v>0.009900000000000001</v>
      </c>
      <c r="AR153" s="20" t="n">
        <v>0</v>
      </c>
      <c r="AS153" s="20" t="n">
        <v>0</v>
      </c>
      <c r="AT153" s="20" t="n">
        <v>0</v>
      </c>
      <c r="AU153" s="20" t="n">
        <v>0</v>
      </c>
      <c r="AV153" s="20" t="n">
        <v>0</v>
      </c>
      <c r="AW153" s="20" t="n">
        <v>0</v>
      </c>
      <c r="AX153" s="20" t="n">
        <v>0</v>
      </c>
    </row>
    <row r="154">
      <c r="A154" s="10" t="inlineStr">
        <is>
          <t>Load_TR2_F6_6</t>
        </is>
      </c>
      <c r="B154" s="12" t="inlineStr">
        <is>
          <t>customer</t>
        </is>
      </c>
      <c r="C154" s="18" t="n">
        <v>0</v>
      </c>
      <c r="D154" s="18" t="n">
        <v>0</v>
      </c>
      <c r="E154" s="18" t="n">
        <v>0</v>
      </c>
      <c r="F154" s="18" t="n">
        <v>0</v>
      </c>
      <c r="G154" s="18" t="n">
        <v>0</v>
      </c>
      <c r="H154" s="18" t="n">
        <v>0</v>
      </c>
      <c r="I154" s="18" t="n">
        <v>0</v>
      </c>
      <c r="J154" s="18" t="n">
        <v>0</v>
      </c>
      <c r="K154" s="18" t="n">
        <v>0</v>
      </c>
      <c r="L154" s="18" t="n">
        <v>0</v>
      </c>
      <c r="M154" s="18" t="n">
        <v>0</v>
      </c>
      <c r="N154" s="18" t="n">
        <v>0</v>
      </c>
      <c r="O154" s="18" t="n">
        <v>0</v>
      </c>
      <c r="P154" s="18" t="n">
        <v>0</v>
      </c>
      <c r="Q154" s="18" t="n">
        <v>0</v>
      </c>
      <c r="R154" s="18" t="n">
        <v>0</v>
      </c>
      <c r="S154" s="18" t="n">
        <v>0</v>
      </c>
      <c r="T154" s="18" t="n">
        <v>0</v>
      </c>
      <c r="U154" s="18" t="n">
        <v>0</v>
      </c>
      <c r="V154" s="18" t="n">
        <v>0</v>
      </c>
      <c r="W154" s="18" t="n">
        <v>0</v>
      </c>
      <c r="X154" s="18" t="n">
        <v>0</v>
      </c>
      <c r="Y154" s="18" t="n">
        <v>0</v>
      </c>
      <c r="Z154" s="18" t="n">
        <v>0</v>
      </c>
      <c r="AA154" s="18" t="n">
        <v>0</v>
      </c>
      <c r="AB154" s="18" t="n">
        <v>0</v>
      </c>
      <c r="AC154" s="18" t="n">
        <v>0</v>
      </c>
      <c r="AD154" s="18" t="n">
        <v>0</v>
      </c>
      <c r="AE154" s="18" t="n">
        <v>0</v>
      </c>
      <c r="AF154" s="18" t="n">
        <v>0</v>
      </c>
      <c r="AG154" s="18" t="n">
        <v>0</v>
      </c>
      <c r="AH154" s="18" t="n">
        <v>0</v>
      </c>
      <c r="AI154" s="18" t="n">
        <v>0</v>
      </c>
      <c r="AJ154" s="18" t="n">
        <v>0</v>
      </c>
      <c r="AK154" s="18" t="n">
        <v>0</v>
      </c>
      <c r="AL154" s="18" t="n">
        <v>0</v>
      </c>
      <c r="AM154" s="18" t="n">
        <v>0</v>
      </c>
      <c r="AN154" s="18" t="n">
        <v>0</v>
      </c>
      <c r="AO154" s="18" t="n">
        <v>0</v>
      </c>
      <c r="AP154" s="18" t="n">
        <v>0</v>
      </c>
      <c r="AQ154" s="18" t="n">
        <v>0</v>
      </c>
      <c r="AR154" s="18" t="n">
        <v>0</v>
      </c>
      <c r="AS154" s="18" t="n">
        <v>0</v>
      </c>
      <c r="AT154" s="18" t="n">
        <v>0</v>
      </c>
      <c r="AU154" s="18" t="n">
        <v>0</v>
      </c>
      <c r="AV154" s="18" t="n">
        <v>0</v>
      </c>
      <c r="AW154" s="18" t="n">
        <v>0</v>
      </c>
      <c r="AX154" s="18" t="n">
        <v>0</v>
      </c>
    </row>
    <row r="155">
      <c r="A155" s="19" t="inlineStr">
        <is>
          <t>Load_TR2_F6_60</t>
        </is>
      </c>
      <c r="B155" s="15" t="inlineStr">
        <is>
          <t>prosumer</t>
        </is>
      </c>
      <c r="C155" s="20" t="n">
        <v>0</v>
      </c>
      <c r="D155" s="20" t="n">
        <v>0</v>
      </c>
      <c r="E155" s="20" t="n">
        <v>0</v>
      </c>
      <c r="F155" s="20" t="n">
        <v>0</v>
      </c>
      <c r="G155" s="20" t="n">
        <v>0</v>
      </c>
      <c r="H155" s="20" t="n">
        <v>0</v>
      </c>
      <c r="I155" s="20" t="n">
        <v>0</v>
      </c>
      <c r="J155" s="20" t="n">
        <v>0.0017</v>
      </c>
      <c r="K155" s="20" t="n">
        <v>0.0249</v>
      </c>
      <c r="L155" s="20" t="n">
        <v>0.1163</v>
      </c>
      <c r="M155" s="20" t="n">
        <v>0.2307</v>
      </c>
      <c r="N155" s="20" t="n">
        <v>0.3709</v>
      </c>
      <c r="O155" s="20" t="n">
        <v>0.524</v>
      </c>
      <c r="P155" s="20" t="n">
        <v>0.6788999999999999</v>
      </c>
      <c r="Q155" s="20" t="n">
        <v>0.833</v>
      </c>
      <c r="R155" s="20" t="n">
        <v>0.9873</v>
      </c>
      <c r="S155" s="20" t="n">
        <v>1.1322</v>
      </c>
      <c r="T155" s="20" t="n">
        <v>1.2683</v>
      </c>
      <c r="U155" s="20" t="n">
        <v>1.3843</v>
      </c>
      <c r="V155" s="20" t="n">
        <v>1.4832</v>
      </c>
      <c r="W155" s="20" t="n">
        <v>1.57</v>
      </c>
      <c r="X155" s="20" t="n">
        <v>1.6417</v>
      </c>
      <c r="Y155" s="20" t="n">
        <v>1.6925</v>
      </c>
      <c r="Z155" s="20" t="n">
        <v>1.7148</v>
      </c>
      <c r="AA155" s="20" t="n">
        <v>1.7212</v>
      </c>
      <c r="AB155" s="20" t="n">
        <v>1.7092</v>
      </c>
      <c r="AC155" s="20" t="n">
        <v>1.6686</v>
      </c>
      <c r="AD155" s="20" t="n">
        <v>1.6067</v>
      </c>
      <c r="AE155" s="20" t="n">
        <v>1.5328</v>
      </c>
      <c r="AF155" s="20" t="n">
        <v>1.4391</v>
      </c>
      <c r="AG155" s="20" t="n">
        <v>1.3396</v>
      </c>
      <c r="AH155" s="20" t="n">
        <v>1.2198</v>
      </c>
      <c r="AI155" s="20" t="n">
        <v>1.0849</v>
      </c>
      <c r="AJ155" s="20" t="n">
        <v>0.922</v>
      </c>
      <c r="AK155" s="20" t="n">
        <v>0.7696</v>
      </c>
      <c r="AL155" s="20" t="n">
        <v>0.613</v>
      </c>
      <c r="AM155" s="20" t="n">
        <v>0.4615</v>
      </c>
      <c r="AN155" s="20" t="n">
        <v>0.3154</v>
      </c>
      <c r="AO155" s="20" t="n">
        <v>0.1842</v>
      </c>
      <c r="AP155" s="20" t="n">
        <v>0.0536</v>
      </c>
      <c r="AQ155" s="20" t="n">
        <v>0.009900000000000001</v>
      </c>
      <c r="AR155" s="20" t="n">
        <v>0</v>
      </c>
      <c r="AS155" s="20" t="n">
        <v>0</v>
      </c>
      <c r="AT155" s="20" t="n">
        <v>0</v>
      </c>
      <c r="AU155" s="20" t="n">
        <v>0</v>
      </c>
      <c r="AV155" s="20" t="n">
        <v>0</v>
      </c>
      <c r="AW155" s="20" t="n">
        <v>0</v>
      </c>
      <c r="AX155" s="20" t="n">
        <v>0</v>
      </c>
    </row>
    <row r="156">
      <c r="A156" s="10" t="inlineStr">
        <is>
          <t>Load_TR2_F6_61</t>
        </is>
      </c>
      <c r="B156" s="12" t="inlineStr">
        <is>
          <t>customer</t>
        </is>
      </c>
      <c r="C156" s="18" t="n">
        <v>0</v>
      </c>
      <c r="D156" s="18" t="n">
        <v>0</v>
      </c>
      <c r="E156" s="18" t="n">
        <v>0</v>
      </c>
      <c r="F156" s="18" t="n">
        <v>0</v>
      </c>
      <c r="G156" s="18" t="n">
        <v>0</v>
      </c>
      <c r="H156" s="18" t="n">
        <v>0</v>
      </c>
      <c r="I156" s="18" t="n">
        <v>0</v>
      </c>
      <c r="J156" s="18" t="n">
        <v>0</v>
      </c>
      <c r="K156" s="18" t="n">
        <v>0</v>
      </c>
      <c r="L156" s="18" t="n">
        <v>0</v>
      </c>
      <c r="M156" s="18" t="n">
        <v>0</v>
      </c>
      <c r="N156" s="18" t="n">
        <v>0</v>
      </c>
      <c r="O156" s="18" t="n">
        <v>0</v>
      </c>
      <c r="P156" s="18" t="n">
        <v>0</v>
      </c>
      <c r="Q156" s="18" t="n">
        <v>0</v>
      </c>
      <c r="R156" s="18" t="n">
        <v>0</v>
      </c>
      <c r="S156" s="18" t="n">
        <v>0</v>
      </c>
      <c r="T156" s="18" t="n">
        <v>0</v>
      </c>
      <c r="U156" s="18" t="n">
        <v>0</v>
      </c>
      <c r="V156" s="18" t="n">
        <v>0</v>
      </c>
      <c r="W156" s="18" t="n">
        <v>0</v>
      </c>
      <c r="X156" s="18" t="n">
        <v>0</v>
      </c>
      <c r="Y156" s="18" t="n">
        <v>0</v>
      </c>
      <c r="Z156" s="18" t="n">
        <v>0</v>
      </c>
      <c r="AA156" s="18" t="n">
        <v>0</v>
      </c>
      <c r="AB156" s="18" t="n">
        <v>0</v>
      </c>
      <c r="AC156" s="18" t="n">
        <v>0</v>
      </c>
      <c r="AD156" s="18" t="n">
        <v>0</v>
      </c>
      <c r="AE156" s="18" t="n">
        <v>0</v>
      </c>
      <c r="AF156" s="18" t="n">
        <v>0</v>
      </c>
      <c r="AG156" s="18" t="n">
        <v>0</v>
      </c>
      <c r="AH156" s="18" t="n">
        <v>0</v>
      </c>
      <c r="AI156" s="18" t="n">
        <v>0</v>
      </c>
      <c r="AJ156" s="18" t="n">
        <v>0</v>
      </c>
      <c r="AK156" s="18" t="n">
        <v>0</v>
      </c>
      <c r="AL156" s="18" t="n">
        <v>0</v>
      </c>
      <c r="AM156" s="18" t="n">
        <v>0</v>
      </c>
      <c r="AN156" s="18" t="n">
        <v>0</v>
      </c>
      <c r="AO156" s="18" t="n">
        <v>0</v>
      </c>
      <c r="AP156" s="18" t="n">
        <v>0</v>
      </c>
      <c r="AQ156" s="18" t="n">
        <v>0</v>
      </c>
      <c r="AR156" s="18" t="n">
        <v>0</v>
      </c>
      <c r="AS156" s="18" t="n">
        <v>0</v>
      </c>
      <c r="AT156" s="18" t="n">
        <v>0</v>
      </c>
      <c r="AU156" s="18" t="n">
        <v>0</v>
      </c>
      <c r="AV156" s="18" t="n">
        <v>0</v>
      </c>
      <c r="AW156" s="18" t="n">
        <v>0</v>
      </c>
      <c r="AX156" s="18" t="n">
        <v>0</v>
      </c>
    </row>
    <row r="157">
      <c r="A157" s="19" t="inlineStr">
        <is>
          <t>Load_TR2_F6_62</t>
        </is>
      </c>
      <c r="B157" s="15" t="inlineStr">
        <is>
          <t>prosumer</t>
        </is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0.003</v>
      </c>
      <c r="K157" s="20" t="n">
        <v>0.0435</v>
      </c>
      <c r="L157" s="20" t="n">
        <v>0.2035</v>
      </c>
      <c r="M157" s="20" t="n">
        <v>0.4037</v>
      </c>
      <c r="N157" s="20" t="n">
        <v>0.6491</v>
      </c>
      <c r="O157" s="20" t="n">
        <v>0.9169</v>
      </c>
      <c r="P157" s="20" t="n">
        <v>1.188</v>
      </c>
      <c r="Q157" s="20" t="n">
        <v>1.4577</v>
      </c>
      <c r="R157" s="20" t="n">
        <v>1.7278</v>
      </c>
      <c r="S157" s="20" t="n">
        <v>1.9813</v>
      </c>
      <c r="T157" s="20" t="n">
        <v>2.2196</v>
      </c>
      <c r="U157" s="20" t="n">
        <v>2.4225</v>
      </c>
      <c r="V157" s="20" t="n">
        <v>2.5956</v>
      </c>
      <c r="W157" s="20" t="n">
        <v>2.7475</v>
      </c>
      <c r="X157" s="20" t="n">
        <v>2.8729</v>
      </c>
      <c r="Y157" s="20" t="n">
        <v>2.9619</v>
      </c>
      <c r="Z157" s="20" t="n">
        <v>3.0009</v>
      </c>
      <c r="AA157" s="20" t="n">
        <v>3.0122</v>
      </c>
      <c r="AB157" s="20" t="n">
        <v>2.991</v>
      </c>
      <c r="AC157" s="20" t="n">
        <v>2.92</v>
      </c>
      <c r="AD157" s="20" t="n">
        <v>2.8117</v>
      </c>
      <c r="AE157" s="20" t="n">
        <v>2.6823</v>
      </c>
      <c r="AF157" s="20" t="n">
        <v>2.5184</v>
      </c>
      <c r="AG157" s="20" t="n">
        <v>2.3442</v>
      </c>
      <c r="AH157" s="20" t="n">
        <v>2.1346</v>
      </c>
      <c r="AI157" s="20" t="n">
        <v>1.8986</v>
      </c>
      <c r="AJ157" s="20" t="n">
        <v>1.6136</v>
      </c>
      <c r="AK157" s="20" t="n">
        <v>1.3468</v>
      </c>
      <c r="AL157" s="20" t="n">
        <v>1.0727</v>
      </c>
      <c r="AM157" s="20" t="n">
        <v>0.8076</v>
      </c>
      <c r="AN157" s="20" t="n">
        <v>0.5518999999999999</v>
      </c>
      <c r="AO157" s="20" t="n">
        <v>0.3223</v>
      </c>
      <c r="AP157" s="20" t="n">
        <v>0.09379999999999999</v>
      </c>
      <c r="AQ157" s="20" t="n">
        <v>0.0173</v>
      </c>
      <c r="AR157" s="20" t="n">
        <v>0</v>
      </c>
      <c r="AS157" s="20" t="n">
        <v>0</v>
      </c>
      <c r="AT157" s="20" t="n">
        <v>0</v>
      </c>
      <c r="AU157" s="20" t="n">
        <v>0</v>
      </c>
      <c r="AV157" s="20" t="n">
        <v>0</v>
      </c>
      <c r="AW157" s="20" t="n">
        <v>0</v>
      </c>
      <c r="AX157" s="20" t="n">
        <v>0</v>
      </c>
    </row>
    <row r="158">
      <c r="A158" s="10" t="inlineStr">
        <is>
          <t>Load_TR2_F6_63</t>
        </is>
      </c>
      <c r="B158" s="12" t="inlineStr">
        <is>
          <t>customer</t>
        </is>
      </c>
      <c r="C158" s="18" t="n">
        <v>0</v>
      </c>
      <c r="D158" s="18" t="n">
        <v>0</v>
      </c>
      <c r="E158" s="18" t="n">
        <v>0</v>
      </c>
      <c r="F158" s="18" t="n">
        <v>0</v>
      </c>
      <c r="G158" s="18" t="n">
        <v>0</v>
      </c>
      <c r="H158" s="18" t="n">
        <v>0</v>
      </c>
      <c r="I158" s="18" t="n">
        <v>0</v>
      </c>
      <c r="J158" s="18" t="n">
        <v>0</v>
      </c>
      <c r="K158" s="18" t="n">
        <v>0</v>
      </c>
      <c r="L158" s="18" t="n">
        <v>0</v>
      </c>
      <c r="M158" s="18" t="n">
        <v>0</v>
      </c>
      <c r="N158" s="18" t="n">
        <v>0</v>
      </c>
      <c r="O158" s="18" t="n">
        <v>0</v>
      </c>
      <c r="P158" s="18" t="n">
        <v>0</v>
      </c>
      <c r="Q158" s="18" t="n">
        <v>0</v>
      </c>
      <c r="R158" s="18" t="n">
        <v>0</v>
      </c>
      <c r="S158" s="18" t="n">
        <v>0</v>
      </c>
      <c r="T158" s="18" t="n">
        <v>0</v>
      </c>
      <c r="U158" s="18" t="n">
        <v>0</v>
      </c>
      <c r="V158" s="18" t="n">
        <v>0</v>
      </c>
      <c r="W158" s="18" t="n">
        <v>0</v>
      </c>
      <c r="X158" s="18" t="n">
        <v>0</v>
      </c>
      <c r="Y158" s="18" t="n">
        <v>0</v>
      </c>
      <c r="Z158" s="18" t="n">
        <v>0</v>
      </c>
      <c r="AA158" s="18" t="n">
        <v>0</v>
      </c>
      <c r="AB158" s="18" t="n">
        <v>0</v>
      </c>
      <c r="AC158" s="18" t="n">
        <v>0</v>
      </c>
      <c r="AD158" s="18" t="n">
        <v>0</v>
      </c>
      <c r="AE158" s="18" t="n">
        <v>0</v>
      </c>
      <c r="AF158" s="18" t="n">
        <v>0</v>
      </c>
      <c r="AG158" s="18" t="n">
        <v>0</v>
      </c>
      <c r="AH158" s="18" t="n">
        <v>0</v>
      </c>
      <c r="AI158" s="18" t="n">
        <v>0</v>
      </c>
      <c r="AJ158" s="18" t="n">
        <v>0</v>
      </c>
      <c r="AK158" s="18" t="n">
        <v>0</v>
      </c>
      <c r="AL158" s="18" t="n">
        <v>0</v>
      </c>
      <c r="AM158" s="18" t="n">
        <v>0</v>
      </c>
      <c r="AN158" s="18" t="n">
        <v>0</v>
      </c>
      <c r="AO158" s="18" t="n">
        <v>0</v>
      </c>
      <c r="AP158" s="18" t="n">
        <v>0</v>
      </c>
      <c r="AQ158" s="18" t="n">
        <v>0</v>
      </c>
      <c r="AR158" s="18" t="n">
        <v>0</v>
      </c>
      <c r="AS158" s="18" t="n">
        <v>0</v>
      </c>
      <c r="AT158" s="18" t="n">
        <v>0</v>
      </c>
      <c r="AU158" s="18" t="n">
        <v>0</v>
      </c>
      <c r="AV158" s="18" t="n">
        <v>0</v>
      </c>
      <c r="AW158" s="18" t="n">
        <v>0</v>
      </c>
      <c r="AX158" s="18" t="n">
        <v>0</v>
      </c>
    </row>
    <row r="159">
      <c r="A159" s="10" t="inlineStr">
        <is>
          <t>Load_TR2_F6_64</t>
        </is>
      </c>
      <c r="B159" s="12" t="inlineStr">
        <is>
          <t>customer</t>
        </is>
      </c>
      <c r="C159" s="18" t="n">
        <v>0</v>
      </c>
      <c r="D159" s="18" t="n">
        <v>0</v>
      </c>
      <c r="E159" s="18" t="n">
        <v>0</v>
      </c>
      <c r="F159" s="18" t="n">
        <v>0</v>
      </c>
      <c r="G159" s="18" t="n">
        <v>0</v>
      </c>
      <c r="H159" s="18" t="n">
        <v>0</v>
      </c>
      <c r="I159" s="18" t="n">
        <v>0</v>
      </c>
      <c r="J159" s="18" t="n">
        <v>0</v>
      </c>
      <c r="K159" s="18" t="n">
        <v>0</v>
      </c>
      <c r="L159" s="18" t="n">
        <v>0</v>
      </c>
      <c r="M159" s="18" t="n">
        <v>0</v>
      </c>
      <c r="N159" s="18" t="n">
        <v>0</v>
      </c>
      <c r="O159" s="18" t="n">
        <v>0</v>
      </c>
      <c r="P159" s="18" t="n">
        <v>0</v>
      </c>
      <c r="Q159" s="18" t="n">
        <v>0</v>
      </c>
      <c r="R159" s="18" t="n">
        <v>0</v>
      </c>
      <c r="S159" s="18" t="n">
        <v>0</v>
      </c>
      <c r="T159" s="18" t="n">
        <v>0</v>
      </c>
      <c r="U159" s="18" t="n">
        <v>0</v>
      </c>
      <c r="V159" s="18" t="n">
        <v>0</v>
      </c>
      <c r="W159" s="18" t="n">
        <v>0</v>
      </c>
      <c r="X159" s="18" t="n">
        <v>0</v>
      </c>
      <c r="Y159" s="18" t="n">
        <v>0</v>
      </c>
      <c r="Z159" s="18" t="n">
        <v>0</v>
      </c>
      <c r="AA159" s="18" t="n">
        <v>0</v>
      </c>
      <c r="AB159" s="18" t="n">
        <v>0</v>
      </c>
      <c r="AC159" s="18" t="n">
        <v>0</v>
      </c>
      <c r="AD159" s="18" t="n">
        <v>0</v>
      </c>
      <c r="AE159" s="18" t="n">
        <v>0</v>
      </c>
      <c r="AF159" s="18" t="n">
        <v>0</v>
      </c>
      <c r="AG159" s="18" t="n">
        <v>0</v>
      </c>
      <c r="AH159" s="18" t="n">
        <v>0</v>
      </c>
      <c r="AI159" s="18" t="n">
        <v>0</v>
      </c>
      <c r="AJ159" s="18" t="n">
        <v>0</v>
      </c>
      <c r="AK159" s="18" t="n">
        <v>0</v>
      </c>
      <c r="AL159" s="18" t="n">
        <v>0</v>
      </c>
      <c r="AM159" s="18" t="n">
        <v>0</v>
      </c>
      <c r="AN159" s="18" t="n">
        <v>0</v>
      </c>
      <c r="AO159" s="18" t="n">
        <v>0</v>
      </c>
      <c r="AP159" s="18" t="n">
        <v>0</v>
      </c>
      <c r="AQ159" s="18" t="n">
        <v>0</v>
      </c>
      <c r="AR159" s="18" t="n">
        <v>0</v>
      </c>
      <c r="AS159" s="18" t="n">
        <v>0</v>
      </c>
      <c r="AT159" s="18" t="n">
        <v>0</v>
      </c>
      <c r="AU159" s="18" t="n">
        <v>0</v>
      </c>
      <c r="AV159" s="18" t="n">
        <v>0</v>
      </c>
      <c r="AW159" s="18" t="n">
        <v>0</v>
      </c>
      <c r="AX159" s="18" t="n">
        <v>0</v>
      </c>
    </row>
    <row r="160">
      <c r="A160" s="10" t="inlineStr">
        <is>
          <t>Load_TR2_F6_65</t>
        </is>
      </c>
      <c r="B160" s="12" t="inlineStr">
        <is>
          <t>customer</t>
        </is>
      </c>
      <c r="C160" s="18" t="n">
        <v>0</v>
      </c>
      <c r="D160" s="18" t="n">
        <v>0</v>
      </c>
      <c r="E160" s="18" t="n">
        <v>0</v>
      </c>
      <c r="F160" s="18" t="n">
        <v>0</v>
      </c>
      <c r="G160" s="18" t="n">
        <v>0</v>
      </c>
      <c r="H160" s="18" t="n">
        <v>0</v>
      </c>
      <c r="I160" s="18" t="n">
        <v>0</v>
      </c>
      <c r="J160" s="18" t="n">
        <v>0</v>
      </c>
      <c r="K160" s="18" t="n">
        <v>0</v>
      </c>
      <c r="L160" s="18" t="n">
        <v>0</v>
      </c>
      <c r="M160" s="18" t="n">
        <v>0</v>
      </c>
      <c r="N160" s="18" t="n">
        <v>0</v>
      </c>
      <c r="O160" s="18" t="n">
        <v>0</v>
      </c>
      <c r="P160" s="18" t="n">
        <v>0</v>
      </c>
      <c r="Q160" s="18" t="n">
        <v>0</v>
      </c>
      <c r="R160" s="18" t="n">
        <v>0</v>
      </c>
      <c r="S160" s="18" t="n">
        <v>0</v>
      </c>
      <c r="T160" s="18" t="n">
        <v>0</v>
      </c>
      <c r="U160" s="18" t="n">
        <v>0</v>
      </c>
      <c r="V160" s="18" t="n">
        <v>0</v>
      </c>
      <c r="W160" s="18" t="n">
        <v>0</v>
      </c>
      <c r="X160" s="18" t="n">
        <v>0</v>
      </c>
      <c r="Y160" s="18" t="n">
        <v>0</v>
      </c>
      <c r="Z160" s="18" t="n">
        <v>0</v>
      </c>
      <c r="AA160" s="18" t="n">
        <v>0</v>
      </c>
      <c r="AB160" s="18" t="n">
        <v>0</v>
      </c>
      <c r="AC160" s="18" t="n">
        <v>0</v>
      </c>
      <c r="AD160" s="18" t="n">
        <v>0</v>
      </c>
      <c r="AE160" s="18" t="n">
        <v>0</v>
      </c>
      <c r="AF160" s="18" t="n">
        <v>0</v>
      </c>
      <c r="AG160" s="18" t="n">
        <v>0</v>
      </c>
      <c r="AH160" s="18" t="n">
        <v>0</v>
      </c>
      <c r="AI160" s="18" t="n">
        <v>0</v>
      </c>
      <c r="AJ160" s="18" t="n">
        <v>0</v>
      </c>
      <c r="AK160" s="18" t="n">
        <v>0</v>
      </c>
      <c r="AL160" s="18" t="n">
        <v>0</v>
      </c>
      <c r="AM160" s="18" t="n">
        <v>0</v>
      </c>
      <c r="AN160" s="18" t="n">
        <v>0</v>
      </c>
      <c r="AO160" s="18" t="n">
        <v>0</v>
      </c>
      <c r="AP160" s="18" t="n">
        <v>0</v>
      </c>
      <c r="AQ160" s="18" t="n">
        <v>0</v>
      </c>
      <c r="AR160" s="18" t="n">
        <v>0</v>
      </c>
      <c r="AS160" s="18" t="n">
        <v>0</v>
      </c>
      <c r="AT160" s="18" t="n">
        <v>0</v>
      </c>
      <c r="AU160" s="18" t="n">
        <v>0</v>
      </c>
      <c r="AV160" s="18" t="n">
        <v>0</v>
      </c>
      <c r="AW160" s="18" t="n">
        <v>0</v>
      </c>
      <c r="AX160" s="18" t="n">
        <v>0</v>
      </c>
    </row>
    <row r="161">
      <c r="A161" s="10" t="inlineStr">
        <is>
          <t>Load_TR2_F6_66</t>
        </is>
      </c>
      <c r="B161" s="12" t="inlineStr">
        <is>
          <t>customer</t>
        </is>
      </c>
      <c r="C161" s="18" t="n">
        <v>0</v>
      </c>
      <c r="D161" s="18" t="n">
        <v>0</v>
      </c>
      <c r="E161" s="18" t="n">
        <v>0</v>
      </c>
      <c r="F161" s="18" t="n">
        <v>0</v>
      </c>
      <c r="G161" s="18" t="n">
        <v>0</v>
      </c>
      <c r="H161" s="18" t="n">
        <v>0</v>
      </c>
      <c r="I161" s="18" t="n">
        <v>0</v>
      </c>
      <c r="J161" s="18" t="n">
        <v>0</v>
      </c>
      <c r="K161" s="18" t="n">
        <v>0</v>
      </c>
      <c r="L161" s="18" t="n">
        <v>0</v>
      </c>
      <c r="M161" s="18" t="n">
        <v>0</v>
      </c>
      <c r="N161" s="18" t="n">
        <v>0</v>
      </c>
      <c r="O161" s="18" t="n">
        <v>0</v>
      </c>
      <c r="P161" s="18" t="n">
        <v>0</v>
      </c>
      <c r="Q161" s="18" t="n">
        <v>0</v>
      </c>
      <c r="R161" s="18" t="n">
        <v>0</v>
      </c>
      <c r="S161" s="18" t="n">
        <v>0</v>
      </c>
      <c r="T161" s="18" t="n">
        <v>0</v>
      </c>
      <c r="U161" s="18" t="n">
        <v>0</v>
      </c>
      <c r="V161" s="18" t="n">
        <v>0</v>
      </c>
      <c r="W161" s="18" t="n">
        <v>0</v>
      </c>
      <c r="X161" s="18" t="n">
        <v>0</v>
      </c>
      <c r="Y161" s="18" t="n">
        <v>0</v>
      </c>
      <c r="Z161" s="18" t="n">
        <v>0</v>
      </c>
      <c r="AA161" s="18" t="n">
        <v>0</v>
      </c>
      <c r="AB161" s="18" t="n">
        <v>0</v>
      </c>
      <c r="AC161" s="18" t="n">
        <v>0</v>
      </c>
      <c r="AD161" s="18" t="n">
        <v>0</v>
      </c>
      <c r="AE161" s="18" t="n">
        <v>0</v>
      </c>
      <c r="AF161" s="18" t="n">
        <v>0</v>
      </c>
      <c r="AG161" s="18" t="n">
        <v>0</v>
      </c>
      <c r="AH161" s="18" t="n">
        <v>0</v>
      </c>
      <c r="AI161" s="18" t="n">
        <v>0</v>
      </c>
      <c r="AJ161" s="18" t="n">
        <v>0</v>
      </c>
      <c r="AK161" s="18" t="n">
        <v>0</v>
      </c>
      <c r="AL161" s="18" t="n">
        <v>0</v>
      </c>
      <c r="AM161" s="18" t="n">
        <v>0</v>
      </c>
      <c r="AN161" s="18" t="n">
        <v>0</v>
      </c>
      <c r="AO161" s="18" t="n">
        <v>0</v>
      </c>
      <c r="AP161" s="18" t="n">
        <v>0</v>
      </c>
      <c r="AQ161" s="18" t="n">
        <v>0</v>
      </c>
      <c r="AR161" s="18" t="n">
        <v>0</v>
      </c>
      <c r="AS161" s="18" t="n">
        <v>0</v>
      </c>
      <c r="AT161" s="18" t="n">
        <v>0</v>
      </c>
      <c r="AU161" s="18" t="n">
        <v>0</v>
      </c>
      <c r="AV161" s="18" t="n">
        <v>0</v>
      </c>
      <c r="AW161" s="18" t="n">
        <v>0</v>
      </c>
      <c r="AX161" s="18" t="n">
        <v>0</v>
      </c>
    </row>
    <row r="162">
      <c r="A162" s="19" t="inlineStr">
        <is>
          <t>Load_TR2_F6_67</t>
        </is>
      </c>
      <c r="B162" s="15" t="inlineStr">
        <is>
          <t>prosumer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0.003</v>
      </c>
      <c r="K162" s="20" t="n">
        <v>0.0435</v>
      </c>
      <c r="L162" s="20" t="n">
        <v>0.2035</v>
      </c>
      <c r="M162" s="20" t="n">
        <v>0.4037</v>
      </c>
      <c r="N162" s="20" t="n">
        <v>0.6491</v>
      </c>
      <c r="O162" s="20" t="n">
        <v>0.9169</v>
      </c>
      <c r="P162" s="20" t="n">
        <v>1.188</v>
      </c>
      <c r="Q162" s="20" t="n">
        <v>1.4577</v>
      </c>
      <c r="R162" s="20" t="n">
        <v>1.7278</v>
      </c>
      <c r="S162" s="20" t="n">
        <v>1.9813</v>
      </c>
      <c r="T162" s="20" t="n">
        <v>2.2196</v>
      </c>
      <c r="U162" s="20" t="n">
        <v>2.4225</v>
      </c>
      <c r="V162" s="20" t="n">
        <v>2.5956</v>
      </c>
      <c r="W162" s="20" t="n">
        <v>2.7475</v>
      </c>
      <c r="X162" s="20" t="n">
        <v>2.8729</v>
      </c>
      <c r="Y162" s="20" t="n">
        <v>2.9619</v>
      </c>
      <c r="Z162" s="20" t="n">
        <v>3.0009</v>
      </c>
      <c r="AA162" s="20" t="n">
        <v>3.0122</v>
      </c>
      <c r="AB162" s="20" t="n">
        <v>2.991</v>
      </c>
      <c r="AC162" s="20" t="n">
        <v>2.92</v>
      </c>
      <c r="AD162" s="20" t="n">
        <v>2.8117</v>
      </c>
      <c r="AE162" s="20" t="n">
        <v>2.6823</v>
      </c>
      <c r="AF162" s="20" t="n">
        <v>2.5184</v>
      </c>
      <c r="AG162" s="20" t="n">
        <v>2.3442</v>
      </c>
      <c r="AH162" s="20" t="n">
        <v>2.1346</v>
      </c>
      <c r="AI162" s="20" t="n">
        <v>1.8986</v>
      </c>
      <c r="AJ162" s="20" t="n">
        <v>1.6136</v>
      </c>
      <c r="AK162" s="20" t="n">
        <v>1.3468</v>
      </c>
      <c r="AL162" s="20" t="n">
        <v>1.0727</v>
      </c>
      <c r="AM162" s="20" t="n">
        <v>0.8076</v>
      </c>
      <c r="AN162" s="20" t="n">
        <v>0.5518999999999999</v>
      </c>
      <c r="AO162" s="20" t="n">
        <v>0.3223</v>
      </c>
      <c r="AP162" s="20" t="n">
        <v>0.09379999999999999</v>
      </c>
      <c r="AQ162" s="20" t="n">
        <v>0.0173</v>
      </c>
      <c r="AR162" s="20" t="n">
        <v>0</v>
      </c>
      <c r="AS162" s="20" t="n">
        <v>0</v>
      </c>
      <c r="AT162" s="20" t="n">
        <v>0</v>
      </c>
      <c r="AU162" s="20" t="n">
        <v>0</v>
      </c>
      <c r="AV162" s="20" t="n">
        <v>0</v>
      </c>
      <c r="AW162" s="20" t="n">
        <v>0</v>
      </c>
      <c r="AX162" s="20" t="n">
        <v>0</v>
      </c>
    </row>
    <row r="163">
      <c r="A163" s="19" t="inlineStr">
        <is>
          <t>Load_TR2_F6_68</t>
        </is>
      </c>
      <c r="B163" s="15" t="inlineStr">
        <is>
          <t>prosumer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0.0013</v>
      </c>
      <c r="K163" s="20" t="n">
        <v>0.0187</v>
      </c>
      <c r="L163" s="20" t="n">
        <v>0.0872</v>
      </c>
      <c r="M163" s="20" t="n">
        <v>0.173</v>
      </c>
      <c r="N163" s="20" t="n">
        <v>0.2782</v>
      </c>
      <c r="O163" s="20" t="n">
        <v>0.393</v>
      </c>
      <c r="P163" s="20" t="n">
        <v>0.5092</v>
      </c>
      <c r="Q163" s="20" t="n">
        <v>0.6247</v>
      </c>
      <c r="R163" s="20" t="n">
        <v>0.7405</v>
      </c>
      <c r="S163" s="20" t="n">
        <v>0.8491</v>
      </c>
      <c r="T163" s="20" t="n">
        <v>0.9512</v>
      </c>
      <c r="U163" s="20" t="n">
        <v>1.0382</v>
      </c>
      <c r="V163" s="20" t="n">
        <v>1.1124</v>
      </c>
      <c r="W163" s="20" t="n">
        <v>1.1775</v>
      </c>
      <c r="X163" s="20" t="n">
        <v>1.2312</v>
      </c>
      <c r="Y163" s="20" t="n">
        <v>1.2694</v>
      </c>
      <c r="Z163" s="20" t="n">
        <v>1.2861</v>
      </c>
      <c r="AA163" s="20" t="n">
        <v>1.2909</v>
      </c>
      <c r="AB163" s="20" t="n">
        <v>1.2819</v>
      </c>
      <c r="AC163" s="20" t="n">
        <v>1.2514</v>
      </c>
      <c r="AD163" s="20" t="n">
        <v>1.205</v>
      </c>
      <c r="AE163" s="20" t="n">
        <v>1.1496</v>
      </c>
      <c r="AF163" s="20" t="n">
        <v>1.0793</v>
      </c>
      <c r="AG163" s="20" t="n">
        <v>1.0047</v>
      </c>
      <c r="AH163" s="20" t="n">
        <v>0.9147999999999999</v>
      </c>
      <c r="AI163" s="20" t="n">
        <v>0.8137</v>
      </c>
      <c r="AJ163" s="20" t="n">
        <v>0.6915</v>
      </c>
      <c r="AK163" s="20" t="n">
        <v>0.5772</v>
      </c>
      <c r="AL163" s="20" t="n">
        <v>0.4597</v>
      </c>
      <c r="AM163" s="20" t="n">
        <v>0.3461</v>
      </c>
      <c r="AN163" s="20" t="n">
        <v>0.2365</v>
      </c>
      <c r="AO163" s="20" t="n">
        <v>0.1381</v>
      </c>
      <c r="AP163" s="20" t="n">
        <v>0.0402</v>
      </c>
      <c r="AQ163" s="20" t="n">
        <v>0.0074</v>
      </c>
      <c r="AR163" s="20" t="n">
        <v>0</v>
      </c>
      <c r="AS163" s="20" t="n">
        <v>0</v>
      </c>
      <c r="AT163" s="20" t="n">
        <v>0</v>
      </c>
      <c r="AU163" s="20" t="n">
        <v>0</v>
      </c>
      <c r="AV163" s="20" t="n">
        <v>0</v>
      </c>
      <c r="AW163" s="20" t="n">
        <v>0</v>
      </c>
      <c r="AX163" s="20" t="n">
        <v>0</v>
      </c>
    </row>
    <row r="164">
      <c r="A164" s="10" t="inlineStr">
        <is>
          <t>Load_TR2_F6_69</t>
        </is>
      </c>
      <c r="B164" s="12" t="inlineStr">
        <is>
          <t>customer</t>
        </is>
      </c>
      <c r="C164" s="18" t="n">
        <v>0</v>
      </c>
      <c r="D164" s="18" t="n">
        <v>0</v>
      </c>
      <c r="E164" s="18" t="n">
        <v>0</v>
      </c>
      <c r="F164" s="18" t="n">
        <v>0</v>
      </c>
      <c r="G164" s="18" t="n">
        <v>0</v>
      </c>
      <c r="H164" s="18" t="n">
        <v>0</v>
      </c>
      <c r="I164" s="18" t="n">
        <v>0</v>
      </c>
      <c r="J164" s="18" t="n">
        <v>0</v>
      </c>
      <c r="K164" s="18" t="n">
        <v>0</v>
      </c>
      <c r="L164" s="18" t="n">
        <v>0</v>
      </c>
      <c r="M164" s="18" t="n">
        <v>0</v>
      </c>
      <c r="N164" s="18" t="n">
        <v>0</v>
      </c>
      <c r="O164" s="18" t="n">
        <v>0</v>
      </c>
      <c r="P164" s="18" t="n">
        <v>0</v>
      </c>
      <c r="Q164" s="18" t="n">
        <v>0</v>
      </c>
      <c r="R164" s="18" t="n">
        <v>0</v>
      </c>
      <c r="S164" s="18" t="n">
        <v>0</v>
      </c>
      <c r="T164" s="18" t="n">
        <v>0</v>
      </c>
      <c r="U164" s="18" t="n">
        <v>0</v>
      </c>
      <c r="V164" s="18" t="n">
        <v>0</v>
      </c>
      <c r="W164" s="18" t="n">
        <v>0</v>
      </c>
      <c r="X164" s="18" t="n">
        <v>0</v>
      </c>
      <c r="Y164" s="18" t="n">
        <v>0</v>
      </c>
      <c r="Z164" s="18" t="n">
        <v>0</v>
      </c>
      <c r="AA164" s="18" t="n">
        <v>0</v>
      </c>
      <c r="AB164" s="18" t="n">
        <v>0</v>
      </c>
      <c r="AC164" s="18" t="n">
        <v>0</v>
      </c>
      <c r="AD164" s="18" t="n">
        <v>0</v>
      </c>
      <c r="AE164" s="18" t="n">
        <v>0</v>
      </c>
      <c r="AF164" s="18" t="n">
        <v>0</v>
      </c>
      <c r="AG164" s="18" t="n">
        <v>0</v>
      </c>
      <c r="AH164" s="18" t="n">
        <v>0</v>
      </c>
      <c r="AI164" s="18" t="n">
        <v>0</v>
      </c>
      <c r="AJ164" s="18" t="n">
        <v>0</v>
      </c>
      <c r="AK164" s="18" t="n">
        <v>0</v>
      </c>
      <c r="AL164" s="18" t="n">
        <v>0</v>
      </c>
      <c r="AM164" s="18" t="n">
        <v>0</v>
      </c>
      <c r="AN164" s="18" t="n">
        <v>0</v>
      </c>
      <c r="AO164" s="18" t="n">
        <v>0</v>
      </c>
      <c r="AP164" s="18" t="n">
        <v>0</v>
      </c>
      <c r="AQ164" s="18" t="n">
        <v>0</v>
      </c>
      <c r="AR164" s="18" t="n">
        <v>0</v>
      </c>
      <c r="AS164" s="18" t="n">
        <v>0</v>
      </c>
      <c r="AT164" s="18" t="n">
        <v>0</v>
      </c>
      <c r="AU164" s="18" t="n">
        <v>0</v>
      </c>
      <c r="AV164" s="18" t="n">
        <v>0</v>
      </c>
      <c r="AW164" s="18" t="n">
        <v>0</v>
      </c>
      <c r="AX164" s="18" t="n">
        <v>0</v>
      </c>
    </row>
    <row r="165">
      <c r="A165" s="10" t="inlineStr">
        <is>
          <t>Load_TR2_F6_7</t>
        </is>
      </c>
      <c r="B165" s="12" t="inlineStr">
        <is>
          <t>customer</t>
        </is>
      </c>
      <c r="C165" s="18" t="n">
        <v>0</v>
      </c>
      <c r="D165" s="18" t="n">
        <v>0</v>
      </c>
      <c r="E165" s="18" t="n">
        <v>0</v>
      </c>
      <c r="F165" s="18" t="n">
        <v>0</v>
      </c>
      <c r="G165" s="18" t="n">
        <v>0</v>
      </c>
      <c r="H165" s="18" t="n">
        <v>0</v>
      </c>
      <c r="I165" s="18" t="n">
        <v>0</v>
      </c>
      <c r="J165" s="18" t="n">
        <v>0</v>
      </c>
      <c r="K165" s="18" t="n">
        <v>0</v>
      </c>
      <c r="L165" s="18" t="n">
        <v>0</v>
      </c>
      <c r="M165" s="18" t="n">
        <v>0</v>
      </c>
      <c r="N165" s="18" t="n">
        <v>0</v>
      </c>
      <c r="O165" s="18" t="n">
        <v>0</v>
      </c>
      <c r="P165" s="18" t="n">
        <v>0</v>
      </c>
      <c r="Q165" s="18" t="n">
        <v>0</v>
      </c>
      <c r="R165" s="18" t="n">
        <v>0</v>
      </c>
      <c r="S165" s="18" t="n">
        <v>0</v>
      </c>
      <c r="T165" s="18" t="n">
        <v>0</v>
      </c>
      <c r="U165" s="18" t="n">
        <v>0</v>
      </c>
      <c r="V165" s="18" t="n">
        <v>0</v>
      </c>
      <c r="W165" s="18" t="n">
        <v>0</v>
      </c>
      <c r="X165" s="18" t="n">
        <v>0</v>
      </c>
      <c r="Y165" s="18" t="n">
        <v>0</v>
      </c>
      <c r="Z165" s="18" t="n">
        <v>0</v>
      </c>
      <c r="AA165" s="18" t="n">
        <v>0</v>
      </c>
      <c r="AB165" s="18" t="n">
        <v>0</v>
      </c>
      <c r="AC165" s="18" t="n">
        <v>0</v>
      </c>
      <c r="AD165" s="18" t="n">
        <v>0</v>
      </c>
      <c r="AE165" s="18" t="n">
        <v>0</v>
      </c>
      <c r="AF165" s="18" t="n">
        <v>0</v>
      </c>
      <c r="AG165" s="18" t="n">
        <v>0</v>
      </c>
      <c r="AH165" s="18" t="n">
        <v>0</v>
      </c>
      <c r="AI165" s="18" t="n">
        <v>0</v>
      </c>
      <c r="AJ165" s="18" t="n">
        <v>0</v>
      </c>
      <c r="AK165" s="18" t="n">
        <v>0</v>
      </c>
      <c r="AL165" s="18" t="n">
        <v>0</v>
      </c>
      <c r="AM165" s="18" t="n">
        <v>0</v>
      </c>
      <c r="AN165" s="18" t="n">
        <v>0</v>
      </c>
      <c r="AO165" s="18" t="n">
        <v>0</v>
      </c>
      <c r="AP165" s="18" t="n">
        <v>0</v>
      </c>
      <c r="AQ165" s="18" t="n">
        <v>0</v>
      </c>
      <c r="AR165" s="18" t="n">
        <v>0</v>
      </c>
      <c r="AS165" s="18" t="n">
        <v>0</v>
      </c>
      <c r="AT165" s="18" t="n">
        <v>0</v>
      </c>
      <c r="AU165" s="18" t="n">
        <v>0</v>
      </c>
      <c r="AV165" s="18" t="n">
        <v>0</v>
      </c>
      <c r="AW165" s="18" t="n">
        <v>0</v>
      </c>
      <c r="AX165" s="18" t="n">
        <v>0</v>
      </c>
    </row>
    <row r="166">
      <c r="A166" s="19" t="inlineStr">
        <is>
          <t>Load_TR2_F6_70</t>
        </is>
      </c>
      <c r="B166" s="15" t="inlineStr">
        <is>
          <t>prosumer</t>
        </is>
      </c>
      <c r="C166" s="20" t="n">
        <v>0</v>
      </c>
      <c r="D166" s="20" t="n">
        <v>0</v>
      </c>
      <c r="E166" s="20" t="n">
        <v>0</v>
      </c>
      <c r="F166" s="20" t="n">
        <v>0</v>
      </c>
      <c r="G166" s="20" t="n">
        <v>0</v>
      </c>
      <c r="H166" s="20" t="n">
        <v>0</v>
      </c>
      <c r="I166" s="20" t="n">
        <v>0</v>
      </c>
      <c r="J166" s="20" t="n">
        <v>0.0013</v>
      </c>
      <c r="K166" s="20" t="n">
        <v>0.0187</v>
      </c>
      <c r="L166" s="20" t="n">
        <v>0.0872</v>
      </c>
      <c r="M166" s="20" t="n">
        <v>0.173</v>
      </c>
      <c r="N166" s="20" t="n">
        <v>0.2782</v>
      </c>
      <c r="O166" s="20" t="n">
        <v>0.393</v>
      </c>
      <c r="P166" s="20" t="n">
        <v>0.5092</v>
      </c>
      <c r="Q166" s="20" t="n">
        <v>0.6247</v>
      </c>
      <c r="R166" s="20" t="n">
        <v>0.7405</v>
      </c>
      <c r="S166" s="20" t="n">
        <v>0.8491</v>
      </c>
      <c r="T166" s="20" t="n">
        <v>0.9512</v>
      </c>
      <c r="U166" s="20" t="n">
        <v>1.0382</v>
      </c>
      <c r="V166" s="20" t="n">
        <v>1.1124</v>
      </c>
      <c r="W166" s="20" t="n">
        <v>1.1775</v>
      </c>
      <c r="X166" s="20" t="n">
        <v>1.2312</v>
      </c>
      <c r="Y166" s="20" t="n">
        <v>1.2694</v>
      </c>
      <c r="Z166" s="20" t="n">
        <v>1.2861</v>
      </c>
      <c r="AA166" s="20" t="n">
        <v>1.2909</v>
      </c>
      <c r="AB166" s="20" t="n">
        <v>1.2819</v>
      </c>
      <c r="AC166" s="20" t="n">
        <v>1.2514</v>
      </c>
      <c r="AD166" s="20" t="n">
        <v>1.205</v>
      </c>
      <c r="AE166" s="20" t="n">
        <v>1.1496</v>
      </c>
      <c r="AF166" s="20" t="n">
        <v>1.0793</v>
      </c>
      <c r="AG166" s="20" t="n">
        <v>1.0047</v>
      </c>
      <c r="AH166" s="20" t="n">
        <v>0.9147999999999999</v>
      </c>
      <c r="AI166" s="20" t="n">
        <v>0.8137</v>
      </c>
      <c r="AJ166" s="20" t="n">
        <v>0.6915</v>
      </c>
      <c r="AK166" s="20" t="n">
        <v>0.5772</v>
      </c>
      <c r="AL166" s="20" t="n">
        <v>0.4597</v>
      </c>
      <c r="AM166" s="20" t="n">
        <v>0.3461</v>
      </c>
      <c r="AN166" s="20" t="n">
        <v>0.2365</v>
      </c>
      <c r="AO166" s="20" t="n">
        <v>0.1381</v>
      </c>
      <c r="AP166" s="20" t="n">
        <v>0.0402</v>
      </c>
      <c r="AQ166" s="20" t="n">
        <v>0.0074</v>
      </c>
      <c r="AR166" s="20" t="n">
        <v>0</v>
      </c>
      <c r="AS166" s="20" t="n">
        <v>0</v>
      </c>
      <c r="AT166" s="20" t="n">
        <v>0</v>
      </c>
      <c r="AU166" s="20" t="n">
        <v>0</v>
      </c>
      <c r="AV166" s="20" t="n">
        <v>0</v>
      </c>
      <c r="AW166" s="20" t="n">
        <v>0</v>
      </c>
      <c r="AX166" s="20" t="n">
        <v>0</v>
      </c>
    </row>
    <row r="167">
      <c r="A167" s="19" t="inlineStr">
        <is>
          <t>Load_TR2_F6_71</t>
        </is>
      </c>
      <c r="B167" s="15" t="inlineStr">
        <is>
          <t>prosumer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0.003</v>
      </c>
      <c r="K167" s="20" t="n">
        <v>0.0435</v>
      </c>
      <c r="L167" s="20" t="n">
        <v>0.2035</v>
      </c>
      <c r="M167" s="20" t="n">
        <v>0.4037</v>
      </c>
      <c r="N167" s="20" t="n">
        <v>0.6491</v>
      </c>
      <c r="O167" s="20" t="n">
        <v>0.9169</v>
      </c>
      <c r="P167" s="20" t="n">
        <v>1.188</v>
      </c>
      <c r="Q167" s="20" t="n">
        <v>1.4577</v>
      </c>
      <c r="R167" s="20" t="n">
        <v>1.7278</v>
      </c>
      <c r="S167" s="20" t="n">
        <v>1.9813</v>
      </c>
      <c r="T167" s="20" t="n">
        <v>2.2196</v>
      </c>
      <c r="U167" s="20" t="n">
        <v>2.4225</v>
      </c>
      <c r="V167" s="20" t="n">
        <v>2.5956</v>
      </c>
      <c r="W167" s="20" t="n">
        <v>2.7475</v>
      </c>
      <c r="X167" s="20" t="n">
        <v>2.8729</v>
      </c>
      <c r="Y167" s="20" t="n">
        <v>2.9619</v>
      </c>
      <c r="Z167" s="20" t="n">
        <v>3.0009</v>
      </c>
      <c r="AA167" s="20" t="n">
        <v>3.0122</v>
      </c>
      <c r="AB167" s="20" t="n">
        <v>2.991</v>
      </c>
      <c r="AC167" s="20" t="n">
        <v>2.92</v>
      </c>
      <c r="AD167" s="20" t="n">
        <v>2.8117</v>
      </c>
      <c r="AE167" s="20" t="n">
        <v>2.6823</v>
      </c>
      <c r="AF167" s="20" t="n">
        <v>2.5184</v>
      </c>
      <c r="AG167" s="20" t="n">
        <v>2.3442</v>
      </c>
      <c r="AH167" s="20" t="n">
        <v>2.1346</v>
      </c>
      <c r="AI167" s="20" t="n">
        <v>1.8986</v>
      </c>
      <c r="AJ167" s="20" t="n">
        <v>1.6136</v>
      </c>
      <c r="AK167" s="20" t="n">
        <v>1.3468</v>
      </c>
      <c r="AL167" s="20" t="n">
        <v>1.0727</v>
      </c>
      <c r="AM167" s="20" t="n">
        <v>0.8076</v>
      </c>
      <c r="AN167" s="20" t="n">
        <v>0.5518999999999999</v>
      </c>
      <c r="AO167" s="20" t="n">
        <v>0.3223</v>
      </c>
      <c r="AP167" s="20" t="n">
        <v>0.09379999999999999</v>
      </c>
      <c r="AQ167" s="20" t="n">
        <v>0.0173</v>
      </c>
      <c r="AR167" s="20" t="n">
        <v>0</v>
      </c>
      <c r="AS167" s="20" t="n">
        <v>0</v>
      </c>
      <c r="AT167" s="20" t="n">
        <v>0</v>
      </c>
      <c r="AU167" s="20" t="n">
        <v>0</v>
      </c>
      <c r="AV167" s="20" t="n">
        <v>0</v>
      </c>
      <c r="AW167" s="20" t="n">
        <v>0</v>
      </c>
      <c r="AX167" s="20" t="n">
        <v>0</v>
      </c>
    </row>
    <row r="168">
      <c r="A168" s="19" t="inlineStr">
        <is>
          <t>Load_TR2_F6_72</t>
        </is>
      </c>
      <c r="B168" s="15" t="inlineStr">
        <is>
          <t>prosumer</t>
        </is>
      </c>
      <c r="C168" s="20" t="n">
        <v>0</v>
      </c>
      <c r="D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0.0013</v>
      </c>
      <c r="K168" s="20" t="n">
        <v>0.0187</v>
      </c>
      <c r="L168" s="20" t="n">
        <v>0.0872</v>
      </c>
      <c r="M168" s="20" t="n">
        <v>0.173</v>
      </c>
      <c r="N168" s="20" t="n">
        <v>0.2782</v>
      </c>
      <c r="O168" s="20" t="n">
        <v>0.393</v>
      </c>
      <c r="P168" s="20" t="n">
        <v>0.5092</v>
      </c>
      <c r="Q168" s="20" t="n">
        <v>0.6247</v>
      </c>
      <c r="R168" s="20" t="n">
        <v>0.7405</v>
      </c>
      <c r="S168" s="20" t="n">
        <v>0.8491</v>
      </c>
      <c r="T168" s="20" t="n">
        <v>0.9512</v>
      </c>
      <c r="U168" s="20" t="n">
        <v>1.0382</v>
      </c>
      <c r="V168" s="20" t="n">
        <v>1.1124</v>
      </c>
      <c r="W168" s="20" t="n">
        <v>1.1775</v>
      </c>
      <c r="X168" s="20" t="n">
        <v>1.2312</v>
      </c>
      <c r="Y168" s="20" t="n">
        <v>1.2694</v>
      </c>
      <c r="Z168" s="20" t="n">
        <v>1.2861</v>
      </c>
      <c r="AA168" s="20" t="n">
        <v>1.2909</v>
      </c>
      <c r="AB168" s="20" t="n">
        <v>1.2819</v>
      </c>
      <c r="AC168" s="20" t="n">
        <v>1.2514</v>
      </c>
      <c r="AD168" s="20" t="n">
        <v>1.205</v>
      </c>
      <c r="AE168" s="20" t="n">
        <v>1.1496</v>
      </c>
      <c r="AF168" s="20" t="n">
        <v>1.0793</v>
      </c>
      <c r="AG168" s="20" t="n">
        <v>1.0047</v>
      </c>
      <c r="AH168" s="20" t="n">
        <v>0.9147999999999999</v>
      </c>
      <c r="AI168" s="20" t="n">
        <v>0.8137</v>
      </c>
      <c r="AJ168" s="20" t="n">
        <v>0.6915</v>
      </c>
      <c r="AK168" s="20" t="n">
        <v>0.5772</v>
      </c>
      <c r="AL168" s="20" t="n">
        <v>0.4597</v>
      </c>
      <c r="AM168" s="20" t="n">
        <v>0.3461</v>
      </c>
      <c r="AN168" s="20" t="n">
        <v>0.2365</v>
      </c>
      <c r="AO168" s="20" t="n">
        <v>0.1381</v>
      </c>
      <c r="AP168" s="20" t="n">
        <v>0.0402</v>
      </c>
      <c r="AQ168" s="20" t="n">
        <v>0.0074</v>
      </c>
      <c r="AR168" s="20" t="n">
        <v>0</v>
      </c>
      <c r="AS168" s="20" t="n">
        <v>0</v>
      </c>
      <c r="AT168" s="20" t="n">
        <v>0</v>
      </c>
      <c r="AU168" s="20" t="n">
        <v>0</v>
      </c>
      <c r="AV168" s="20" t="n">
        <v>0</v>
      </c>
      <c r="AW168" s="20" t="n">
        <v>0</v>
      </c>
      <c r="AX168" s="20" t="n">
        <v>0</v>
      </c>
    </row>
    <row r="169">
      <c r="A169" s="19" t="inlineStr">
        <is>
          <t>Load_TR2_F6_73</t>
        </is>
      </c>
      <c r="B169" s="15" t="inlineStr">
        <is>
          <t>prosumer</t>
        </is>
      </c>
      <c r="C169" s="20" t="n">
        <v>0</v>
      </c>
      <c r="D169" s="20" t="n">
        <v>0</v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0.0034</v>
      </c>
      <c r="K169" s="20" t="n">
        <v>0.0497</v>
      </c>
      <c r="L169" s="20" t="n">
        <v>0.2326</v>
      </c>
      <c r="M169" s="20" t="n">
        <v>0.4613</v>
      </c>
      <c r="N169" s="20" t="n">
        <v>0.7419</v>
      </c>
      <c r="O169" s="20" t="n">
        <v>1.0479</v>
      </c>
      <c r="P169" s="20" t="n">
        <v>1.3577</v>
      </c>
      <c r="Q169" s="20" t="n">
        <v>1.666</v>
      </c>
      <c r="R169" s="20" t="n">
        <v>1.9746</v>
      </c>
      <c r="S169" s="20" t="n">
        <v>2.2643</v>
      </c>
      <c r="T169" s="20" t="n">
        <v>2.5367</v>
      </c>
      <c r="U169" s="20" t="n">
        <v>2.7686</v>
      </c>
      <c r="V169" s="20" t="n">
        <v>2.9664</v>
      </c>
      <c r="W169" s="20" t="n">
        <v>3.14</v>
      </c>
      <c r="X169" s="20" t="n">
        <v>3.2833</v>
      </c>
      <c r="Y169" s="20" t="n">
        <v>3.385</v>
      </c>
      <c r="Z169" s="20" t="n">
        <v>3.4296</v>
      </c>
      <c r="AA169" s="20" t="n">
        <v>3.4425</v>
      </c>
      <c r="AB169" s="20" t="n">
        <v>3.4183</v>
      </c>
      <c r="AC169" s="20" t="n">
        <v>3.3372</v>
      </c>
      <c r="AD169" s="20" t="n">
        <v>3.2133</v>
      </c>
      <c r="AE169" s="20" t="n">
        <v>3.0655</v>
      </c>
      <c r="AF169" s="20" t="n">
        <v>2.8782</v>
      </c>
      <c r="AG169" s="20" t="n">
        <v>2.6791</v>
      </c>
      <c r="AH169" s="20" t="n">
        <v>2.4396</v>
      </c>
      <c r="AI169" s="20" t="n">
        <v>2.1698</v>
      </c>
      <c r="AJ169" s="20" t="n">
        <v>1.8441</v>
      </c>
      <c r="AK169" s="20" t="n">
        <v>1.5392</v>
      </c>
      <c r="AL169" s="20" t="n">
        <v>1.2259</v>
      </c>
      <c r="AM169" s="20" t="n">
        <v>0.9229000000000001</v>
      </c>
      <c r="AN169" s="20" t="n">
        <v>0.6308</v>
      </c>
      <c r="AO169" s="20" t="n">
        <v>0.3683</v>
      </c>
      <c r="AP169" s="20" t="n">
        <v>0.1072</v>
      </c>
      <c r="AQ169" s="20" t="n">
        <v>0.0198</v>
      </c>
      <c r="AR169" s="20" t="n">
        <v>0</v>
      </c>
      <c r="AS169" s="20" t="n">
        <v>0</v>
      </c>
      <c r="AT169" s="20" t="n">
        <v>0</v>
      </c>
      <c r="AU169" s="20" t="n">
        <v>0</v>
      </c>
      <c r="AV169" s="20" t="n">
        <v>0</v>
      </c>
      <c r="AW169" s="20" t="n">
        <v>0</v>
      </c>
      <c r="AX169" s="20" t="n">
        <v>0</v>
      </c>
    </row>
    <row r="170">
      <c r="A170" s="10" t="inlineStr">
        <is>
          <t>Load_TR2_F6_74</t>
        </is>
      </c>
      <c r="B170" s="12" t="inlineStr">
        <is>
          <t>customer</t>
        </is>
      </c>
      <c r="C170" s="18" t="n">
        <v>0</v>
      </c>
      <c r="D170" s="18" t="n">
        <v>0</v>
      </c>
      <c r="E170" s="18" t="n">
        <v>0</v>
      </c>
      <c r="F170" s="18" t="n">
        <v>0</v>
      </c>
      <c r="G170" s="18" t="n">
        <v>0</v>
      </c>
      <c r="H170" s="18" t="n">
        <v>0</v>
      </c>
      <c r="I170" s="18" t="n">
        <v>0</v>
      </c>
      <c r="J170" s="18" t="n">
        <v>0</v>
      </c>
      <c r="K170" s="18" t="n">
        <v>0</v>
      </c>
      <c r="L170" s="18" t="n">
        <v>0</v>
      </c>
      <c r="M170" s="18" t="n">
        <v>0</v>
      </c>
      <c r="N170" s="18" t="n">
        <v>0</v>
      </c>
      <c r="O170" s="18" t="n">
        <v>0</v>
      </c>
      <c r="P170" s="18" t="n">
        <v>0</v>
      </c>
      <c r="Q170" s="18" t="n">
        <v>0</v>
      </c>
      <c r="R170" s="18" t="n">
        <v>0</v>
      </c>
      <c r="S170" s="18" t="n">
        <v>0</v>
      </c>
      <c r="T170" s="18" t="n">
        <v>0</v>
      </c>
      <c r="U170" s="18" t="n">
        <v>0</v>
      </c>
      <c r="V170" s="18" t="n">
        <v>0</v>
      </c>
      <c r="W170" s="18" t="n">
        <v>0</v>
      </c>
      <c r="X170" s="18" t="n">
        <v>0</v>
      </c>
      <c r="Y170" s="18" t="n">
        <v>0</v>
      </c>
      <c r="Z170" s="18" t="n">
        <v>0</v>
      </c>
      <c r="AA170" s="18" t="n">
        <v>0</v>
      </c>
      <c r="AB170" s="18" t="n">
        <v>0</v>
      </c>
      <c r="AC170" s="18" t="n">
        <v>0</v>
      </c>
      <c r="AD170" s="18" t="n">
        <v>0</v>
      </c>
      <c r="AE170" s="18" t="n">
        <v>0</v>
      </c>
      <c r="AF170" s="18" t="n">
        <v>0</v>
      </c>
      <c r="AG170" s="18" t="n">
        <v>0</v>
      </c>
      <c r="AH170" s="18" t="n">
        <v>0</v>
      </c>
      <c r="AI170" s="18" t="n">
        <v>0</v>
      </c>
      <c r="AJ170" s="18" t="n">
        <v>0</v>
      </c>
      <c r="AK170" s="18" t="n">
        <v>0</v>
      </c>
      <c r="AL170" s="18" t="n">
        <v>0</v>
      </c>
      <c r="AM170" s="18" t="n">
        <v>0</v>
      </c>
      <c r="AN170" s="18" t="n">
        <v>0</v>
      </c>
      <c r="AO170" s="18" t="n">
        <v>0</v>
      </c>
      <c r="AP170" s="18" t="n">
        <v>0</v>
      </c>
      <c r="AQ170" s="18" t="n">
        <v>0</v>
      </c>
      <c r="AR170" s="18" t="n">
        <v>0</v>
      </c>
      <c r="AS170" s="18" t="n">
        <v>0</v>
      </c>
      <c r="AT170" s="18" t="n">
        <v>0</v>
      </c>
      <c r="AU170" s="18" t="n">
        <v>0</v>
      </c>
      <c r="AV170" s="18" t="n">
        <v>0</v>
      </c>
      <c r="AW170" s="18" t="n">
        <v>0</v>
      </c>
      <c r="AX170" s="18" t="n">
        <v>0</v>
      </c>
    </row>
    <row r="171">
      <c r="A171" s="10" t="inlineStr">
        <is>
          <t>Load_TR2_F6_75</t>
        </is>
      </c>
      <c r="B171" s="12" t="inlineStr">
        <is>
          <t>customer</t>
        </is>
      </c>
      <c r="C171" s="18" t="n">
        <v>0</v>
      </c>
      <c r="D171" s="18" t="n">
        <v>0</v>
      </c>
      <c r="E171" s="18" t="n">
        <v>0</v>
      </c>
      <c r="F171" s="18" t="n">
        <v>0</v>
      </c>
      <c r="G171" s="18" t="n">
        <v>0</v>
      </c>
      <c r="H171" s="18" t="n">
        <v>0</v>
      </c>
      <c r="I171" s="18" t="n">
        <v>0</v>
      </c>
      <c r="J171" s="18" t="n">
        <v>0</v>
      </c>
      <c r="K171" s="18" t="n">
        <v>0</v>
      </c>
      <c r="L171" s="18" t="n">
        <v>0</v>
      </c>
      <c r="M171" s="18" t="n">
        <v>0</v>
      </c>
      <c r="N171" s="18" t="n">
        <v>0</v>
      </c>
      <c r="O171" s="18" t="n">
        <v>0</v>
      </c>
      <c r="P171" s="18" t="n">
        <v>0</v>
      </c>
      <c r="Q171" s="18" t="n">
        <v>0</v>
      </c>
      <c r="R171" s="18" t="n">
        <v>0</v>
      </c>
      <c r="S171" s="18" t="n">
        <v>0</v>
      </c>
      <c r="T171" s="18" t="n">
        <v>0</v>
      </c>
      <c r="U171" s="18" t="n">
        <v>0</v>
      </c>
      <c r="V171" s="18" t="n">
        <v>0</v>
      </c>
      <c r="W171" s="18" t="n">
        <v>0</v>
      </c>
      <c r="X171" s="18" t="n">
        <v>0</v>
      </c>
      <c r="Y171" s="18" t="n">
        <v>0</v>
      </c>
      <c r="Z171" s="18" t="n">
        <v>0</v>
      </c>
      <c r="AA171" s="18" t="n">
        <v>0</v>
      </c>
      <c r="AB171" s="18" t="n">
        <v>0</v>
      </c>
      <c r="AC171" s="18" t="n">
        <v>0</v>
      </c>
      <c r="AD171" s="18" t="n">
        <v>0</v>
      </c>
      <c r="AE171" s="18" t="n">
        <v>0</v>
      </c>
      <c r="AF171" s="18" t="n">
        <v>0</v>
      </c>
      <c r="AG171" s="18" t="n">
        <v>0</v>
      </c>
      <c r="AH171" s="18" t="n">
        <v>0</v>
      </c>
      <c r="AI171" s="18" t="n">
        <v>0</v>
      </c>
      <c r="AJ171" s="18" t="n">
        <v>0</v>
      </c>
      <c r="AK171" s="18" t="n">
        <v>0</v>
      </c>
      <c r="AL171" s="18" t="n">
        <v>0</v>
      </c>
      <c r="AM171" s="18" t="n">
        <v>0</v>
      </c>
      <c r="AN171" s="18" t="n">
        <v>0</v>
      </c>
      <c r="AO171" s="18" t="n">
        <v>0</v>
      </c>
      <c r="AP171" s="18" t="n">
        <v>0</v>
      </c>
      <c r="AQ171" s="18" t="n">
        <v>0</v>
      </c>
      <c r="AR171" s="18" t="n">
        <v>0</v>
      </c>
      <c r="AS171" s="18" t="n">
        <v>0</v>
      </c>
      <c r="AT171" s="18" t="n">
        <v>0</v>
      </c>
      <c r="AU171" s="18" t="n">
        <v>0</v>
      </c>
      <c r="AV171" s="18" t="n">
        <v>0</v>
      </c>
      <c r="AW171" s="18" t="n">
        <v>0</v>
      </c>
      <c r="AX171" s="18" t="n">
        <v>0</v>
      </c>
    </row>
    <row r="172">
      <c r="A172" s="10" t="inlineStr">
        <is>
          <t>Load_TR2_F6_76</t>
        </is>
      </c>
      <c r="B172" s="12" t="inlineStr">
        <is>
          <t>customer</t>
        </is>
      </c>
      <c r="C172" s="18" t="n">
        <v>0</v>
      </c>
      <c r="D172" s="18" t="n">
        <v>0</v>
      </c>
      <c r="E172" s="18" t="n">
        <v>0</v>
      </c>
      <c r="F172" s="18" t="n">
        <v>0</v>
      </c>
      <c r="G172" s="18" t="n">
        <v>0</v>
      </c>
      <c r="H172" s="18" t="n">
        <v>0</v>
      </c>
      <c r="I172" s="18" t="n">
        <v>0</v>
      </c>
      <c r="J172" s="18" t="n">
        <v>0</v>
      </c>
      <c r="K172" s="18" t="n">
        <v>0</v>
      </c>
      <c r="L172" s="18" t="n">
        <v>0</v>
      </c>
      <c r="M172" s="18" t="n">
        <v>0</v>
      </c>
      <c r="N172" s="18" t="n">
        <v>0</v>
      </c>
      <c r="O172" s="18" t="n">
        <v>0</v>
      </c>
      <c r="P172" s="18" t="n">
        <v>0</v>
      </c>
      <c r="Q172" s="18" t="n">
        <v>0</v>
      </c>
      <c r="R172" s="18" t="n">
        <v>0</v>
      </c>
      <c r="S172" s="18" t="n">
        <v>0</v>
      </c>
      <c r="T172" s="18" t="n">
        <v>0</v>
      </c>
      <c r="U172" s="18" t="n">
        <v>0</v>
      </c>
      <c r="V172" s="18" t="n">
        <v>0</v>
      </c>
      <c r="W172" s="18" t="n">
        <v>0</v>
      </c>
      <c r="X172" s="18" t="n">
        <v>0</v>
      </c>
      <c r="Y172" s="18" t="n">
        <v>0</v>
      </c>
      <c r="Z172" s="18" t="n">
        <v>0</v>
      </c>
      <c r="AA172" s="18" t="n">
        <v>0</v>
      </c>
      <c r="AB172" s="18" t="n">
        <v>0</v>
      </c>
      <c r="AC172" s="18" t="n">
        <v>0</v>
      </c>
      <c r="AD172" s="18" t="n">
        <v>0</v>
      </c>
      <c r="AE172" s="18" t="n">
        <v>0</v>
      </c>
      <c r="AF172" s="18" t="n">
        <v>0</v>
      </c>
      <c r="AG172" s="18" t="n">
        <v>0</v>
      </c>
      <c r="AH172" s="18" t="n">
        <v>0</v>
      </c>
      <c r="AI172" s="18" t="n">
        <v>0</v>
      </c>
      <c r="AJ172" s="18" t="n">
        <v>0</v>
      </c>
      <c r="AK172" s="18" t="n">
        <v>0</v>
      </c>
      <c r="AL172" s="18" t="n">
        <v>0</v>
      </c>
      <c r="AM172" s="18" t="n">
        <v>0</v>
      </c>
      <c r="AN172" s="18" t="n">
        <v>0</v>
      </c>
      <c r="AO172" s="18" t="n">
        <v>0</v>
      </c>
      <c r="AP172" s="18" t="n">
        <v>0</v>
      </c>
      <c r="AQ172" s="18" t="n">
        <v>0</v>
      </c>
      <c r="AR172" s="18" t="n">
        <v>0</v>
      </c>
      <c r="AS172" s="18" t="n">
        <v>0</v>
      </c>
      <c r="AT172" s="18" t="n">
        <v>0</v>
      </c>
      <c r="AU172" s="18" t="n">
        <v>0</v>
      </c>
      <c r="AV172" s="18" t="n">
        <v>0</v>
      </c>
      <c r="AW172" s="18" t="n">
        <v>0</v>
      </c>
      <c r="AX172" s="18" t="n">
        <v>0</v>
      </c>
    </row>
    <row r="173">
      <c r="A173" s="10" t="inlineStr">
        <is>
          <t>Load_TR2_F6_77</t>
        </is>
      </c>
      <c r="B173" s="12" t="inlineStr">
        <is>
          <t>customer</t>
        </is>
      </c>
      <c r="C173" s="18" t="n">
        <v>0</v>
      </c>
      <c r="D173" s="18" t="n">
        <v>0</v>
      </c>
      <c r="E173" s="18" t="n">
        <v>0</v>
      </c>
      <c r="F173" s="18" t="n">
        <v>0</v>
      </c>
      <c r="G173" s="18" t="n">
        <v>0</v>
      </c>
      <c r="H173" s="18" t="n">
        <v>0</v>
      </c>
      <c r="I173" s="18" t="n">
        <v>0</v>
      </c>
      <c r="J173" s="18" t="n">
        <v>0</v>
      </c>
      <c r="K173" s="18" t="n">
        <v>0</v>
      </c>
      <c r="L173" s="18" t="n">
        <v>0</v>
      </c>
      <c r="M173" s="18" t="n">
        <v>0</v>
      </c>
      <c r="N173" s="18" t="n">
        <v>0</v>
      </c>
      <c r="O173" s="18" t="n">
        <v>0</v>
      </c>
      <c r="P173" s="18" t="n">
        <v>0</v>
      </c>
      <c r="Q173" s="18" t="n">
        <v>0</v>
      </c>
      <c r="R173" s="18" t="n">
        <v>0</v>
      </c>
      <c r="S173" s="18" t="n">
        <v>0</v>
      </c>
      <c r="T173" s="18" t="n">
        <v>0</v>
      </c>
      <c r="U173" s="18" t="n">
        <v>0</v>
      </c>
      <c r="V173" s="18" t="n">
        <v>0</v>
      </c>
      <c r="W173" s="18" t="n">
        <v>0</v>
      </c>
      <c r="X173" s="18" t="n">
        <v>0</v>
      </c>
      <c r="Y173" s="18" t="n">
        <v>0</v>
      </c>
      <c r="Z173" s="18" t="n">
        <v>0</v>
      </c>
      <c r="AA173" s="18" t="n">
        <v>0</v>
      </c>
      <c r="AB173" s="18" t="n">
        <v>0</v>
      </c>
      <c r="AC173" s="18" t="n">
        <v>0</v>
      </c>
      <c r="AD173" s="18" t="n">
        <v>0</v>
      </c>
      <c r="AE173" s="18" t="n">
        <v>0</v>
      </c>
      <c r="AF173" s="18" t="n">
        <v>0</v>
      </c>
      <c r="AG173" s="18" t="n">
        <v>0</v>
      </c>
      <c r="AH173" s="18" t="n">
        <v>0</v>
      </c>
      <c r="AI173" s="18" t="n">
        <v>0</v>
      </c>
      <c r="AJ173" s="18" t="n">
        <v>0</v>
      </c>
      <c r="AK173" s="18" t="n">
        <v>0</v>
      </c>
      <c r="AL173" s="18" t="n">
        <v>0</v>
      </c>
      <c r="AM173" s="18" t="n">
        <v>0</v>
      </c>
      <c r="AN173" s="18" t="n">
        <v>0</v>
      </c>
      <c r="AO173" s="18" t="n">
        <v>0</v>
      </c>
      <c r="AP173" s="18" t="n">
        <v>0</v>
      </c>
      <c r="AQ173" s="18" t="n">
        <v>0</v>
      </c>
      <c r="AR173" s="18" t="n">
        <v>0</v>
      </c>
      <c r="AS173" s="18" t="n">
        <v>0</v>
      </c>
      <c r="AT173" s="18" t="n">
        <v>0</v>
      </c>
      <c r="AU173" s="18" t="n">
        <v>0</v>
      </c>
      <c r="AV173" s="18" t="n">
        <v>0</v>
      </c>
      <c r="AW173" s="18" t="n">
        <v>0</v>
      </c>
      <c r="AX173" s="18" t="n">
        <v>0</v>
      </c>
    </row>
    <row r="174">
      <c r="A174" s="10" t="inlineStr">
        <is>
          <t>Load_TR2_F6_78</t>
        </is>
      </c>
      <c r="B174" s="12" t="inlineStr">
        <is>
          <t>customer</t>
        </is>
      </c>
      <c r="C174" s="18" t="n">
        <v>0</v>
      </c>
      <c r="D174" s="18" t="n">
        <v>0</v>
      </c>
      <c r="E174" s="18" t="n">
        <v>0</v>
      </c>
      <c r="F174" s="18" t="n">
        <v>0</v>
      </c>
      <c r="G174" s="18" t="n">
        <v>0</v>
      </c>
      <c r="H174" s="18" t="n">
        <v>0</v>
      </c>
      <c r="I174" s="18" t="n">
        <v>0</v>
      </c>
      <c r="J174" s="18" t="n">
        <v>0</v>
      </c>
      <c r="K174" s="18" t="n">
        <v>0</v>
      </c>
      <c r="L174" s="18" t="n">
        <v>0</v>
      </c>
      <c r="M174" s="18" t="n">
        <v>0</v>
      </c>
      <c r="N174" s="18" t="n">
        <v>0</v>
      </c>
      <c r="O174" s="18" t="n">
        <v>0</v>
      </c>
      <c r="P174" s="18" t="n">
        <v>0</v>
      </c>
      <c r="Q174" s="18" t="n">
        <v>0</v>
      </c>
      <c r="R174" s="18" t="n">
        <v>0</v>
      </c>
      <c r="S174" s="18" t="n">
        <v>0</v>
      </c>
      <c r="T174" s="18" t="n">
        <v>0</v>
      </c>
      <c r="U174" s="18" t="n">
        <v>0</v>
      </c>
      <c r="V174" s="18" t="n">
        <v>0</v>
      </c>
      <c r="W174" s="18" t="n">
        <v>0</v>
      </c>
      <c r="X174" s="18" t="n">
        <v>0</v>
      </c>
      <c r="Y174" s="18" t="n">
        <v>0</v>
      </c>
      <c r="Z174" s="18" t="n">
        <v>0</v>
      </c>
      <c r="AA174" s="18" t="n">
        <v>0</v>
      </c>
      <c r="AB174" s="18" t="n">
        <v>0</v>
      </c>
      <c r="AC174" s="18" t="n">
        <v>0</v>
      </c>
      <c r="AD174" s="18" t="n">
        <v>0</v>
      </c>
      <c r="AE174" s="18" t="n">
        <v>0</v>
      </c>
      <c r="AF174" s="18" t="n">
        <v>0</v>
      </c>
      <c r="AG174" s="18" t="n">
        <v>0</v>
      </c>
      <c r="AH174" s="18" t="n">
        <v>0</v>
      </c>
      <c r="AI174" s="18" t="n">
        <v>0</v>
      </c>
      <c r="AJ174" s="18" t="n">
        <v>0</v>
      </c>
      <c r="AK174" s="18" t="n">
        <v>0</v>
      </c>
      <c r="AL174" s="18" t="n">
        <v>0</v>
      </c>
      <c r="AM174" s="18" t="n">
        <v>0</v>
      </c>
      <c r="AN174" s="18" t="n">
        <v>0</v>
      </c>
      <c r="AO174" s="18" t="n">
        <v>0</v>
      </c>
      <c r="AP174" s="18" t="n">
        <v>0</v>
      </c>
      <c r="AQ174" s="18" t="n">
        <v>0</v>
      </c>
      <c r="AR174" s="18" t="n">
        <v>0</v>
      </c>
      <c r="AS174" s="18" t="n">
        <v>0</v>
      </c>
      <c r="AT174" s="18" t="n">
        <v>0</v>
      </c>
      <c r="AU174" s="18" t="n">
        <v>0</v>
      </c>
      <c r="AV174" s="18" t="n">
        <v>0</v>
      </c>
      <c r="AW174" s="18" t="n">
        <v>0</v>
      </c>
      <c r="AX174" s="18" t="n">
        <v>0</v>
      </c>
    </row>
    <row r="175">
      <c r="A175" s="19" t="inlineStr">
        <is>
          <t>Load_TR2_F6_79</t>
        </is>
      </c>
      <c r="B175" s="15" t="inlineStr">
        <is>
          <t>prosumer</t>
        </is>
      </c>
      <c r="C175" s="20" t="n">
        <v>0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0.0026</v>
      </c>
      <c r="K175" s="20" t="n">
        <v>0.0373</v>
      </c>
      <c r="L175" s="20" t="n">
        <v>0.1744</v>
      </c>
      <c r="M175" s="20" t="n">
        <v>0.346</v>
      </c>
      <c r="N175" s="20" t="n">
        <v>0.5564</v>
      </c>
      <c r="O175" s="20" t="n">
        <v>0.7859</v>
      </c>
      <c r="P175" s="20" t="n">
        <v>1.0183</v>
      </c>
      <c r="Q175" s="20" t="n">
        <v>1.2495</v>
      </c>
      <c r="R175" s="20" t="n">
        <v>1.481</v>
      </c>
      <c r="S175" s="20" t="n">
        <v>1.6982</v>
      </c>
      <c r="T175" s="20" t="n">
        <v>1.9025</v>
      </c>
      <c r="U175" s="20" t="n">
        <v>2.0764</v>
      </c>
      <c r="V175" s="20" t="n">
        <v>2.2248</v>
      </c>
      <c r="W175" s="20" t="n">
        <v>2.355</v>
      </c>
      <c r="X175" s="20" t="n">
        <v>2.4625</v>
      </c>
      <c r="Y175" s="20" t="n">
        <v>2.5387</v>
      </c>
      <c r="Z175" s="20" t="n">
        <v>2.5722</v>
      </c>
      <c r="AA175" s="20" t="n">
        <v>2.5819</v>
      </c>
      <c r="AB175" s="20" t="n">
        <v>2.5637</v>
      </c>
      <c r="AC175" s="20" t="n">
        <v>2.5029</v>
      </c>
      <c r="AD175" s="20" t="n">
        <v>2.41</v>
      </c>
      <c r="AE175" s="20" t="n">
        <v>2.2991</v>
      </c>
      <c r="AF175" s="20" t="n">
        <v>2.1586</v>
      </c>
      <c r="AG175" s="20" t="n">
        <v>2.0093</v>
      </c>
      <c r="AH175" s="20" t="n">
        <v>1.8297</v>
      </c>
      <c r="AI175" s="20" t="n">
        <v>1.6274</v>
      </c>
      <c r="AJ175" s="20" t="n">
        <v>1.3831</v>
      </c>
      <c r="AK175" s="20" t="n">
        <v>1.1544</v>
      </c>
      <c r="AL175" s="20" t="n">
        <v>0.9195</v>
      </c>
      <c r="AM175" s="20" t="n">
        <v>0.6922</v>
      </c>
      <c r="AN175" s="20" t="n">
        <v>0.4731</v>
      </c>
      <c r="AO175" s="20" t="n">
        <v>0.2762</v>
      </c>
      <c r="AP175" s="20" t="n">
        <v>0.0804</v>
      </c>
      <c r="AQ175" s="20" t="n">
        <v>0.0148</v>
      </c>
      <c r="AR175" s="20" t="n">
        <v>0</v>
      </c>
      <c r="AS175" s="20" t="n">
        <v>0</v>
      </c>
      <c r="AT175" s="20" t="n">
        <v>0</v>
      </c>
      <c r="AU175" s="20" t="n">
        <v>0</v>
      </c>
      <c r="AV175" s="20" t="n">
        <v>0</v>
      </c>
      <c r="AW175" s="20" t="n">
        <v>0</v>
      </c>
      <c r="AX175" s="20" t="n">
        <v>0</v>
      </c>
    </row>
    <row r="176">
      <c r="A176" s="10" t="inlineStr">
        <is>
          <t>Load_TR2_F6_8</t>
        </is>
      </c>
      <c r="B176" s="12" t="inlineStr">
        <is>
          <t>customer</t>
        </is>
      </c>
      <c r="C176" s="18" t="n">
        <v>0</v>
      </c>
      <c r="D176" s="18" t="n">
        <v>0</v>
      </c>
      <c r="E176" s="18" t="n">
        <v>0</v>
      </c>
      <c r="F176" s="18" t="n">
        <v>0</v>
      </c>
      <c r="G176" s="18" t="n">
        <v>0</v>
      </c>
      <c r="H176" s="18" t="n">
        <v>0</v>
      </c>
      <c r="I176" s="18" t="n">
        <v>0</v>
      </c>
      <c r="J176" s="18" t="n">
        <v>0</v>
      </c>
      <c r="K176" s="18" t="n">
        <v>0</v>
      </c>
      <c r="L176" s="18" t="n">
        <v>0</v>
      </c>
      <c r="M176" s="18" t="n">
        <v>0</v>
      </c>
      <c r="N176" s="18" t="n">
        <v>0</v>
      </c>
      <c r="O176" s="18" t="n">
        <v>0</v>
      </c>
      <c r="P176" s="18" t="n">
        <v>0</v>
      </c>
      <c r="Q176" s="18" t="n">
        <v>0</v>
      </c>
      <c r="R176" s="18" t="n">
        <v>0</v>
      </c>
      <c r="S176" s="18" t="n">
        <v>0</v>
      </c>
      <c r="T176" s="18" t="n">
        <v>0</v>
      </c>
      <c r="U176" s="18" t="n">
        <v>0</v>
      </c>
      <c r="V176" s="18" t="n">
        <v>0</v>
      </c>
      <c r="W176" s="18" t="n">
        <v>0</v>
      </c>
      <c r="X176" s="18" t="n">
        <v>0</v>
      </c>
      <c r="Y176" s="18" t="n">
        <v>0</v>
      </c>
      <c r="Z176" s="18" t="n">
        <v>0</v>
      </c>
      <c r="AA176" s="18" t="n">
        <v>0</v>
      </c>
      <c r="AB176" s="18" t="n">
        <v>0</v>
      </c>
      <c r="AC176" s="18" t="n">
        <v>0</v>
      </c>
      <c r="AD176" s="18" t="n">
        <v>0</v>
      </c>
      <c r="AE176" s="18" t="n">
        <v>0</v>
      </c>
      <c r="AF176" s="18" t="n">
        <v>0</v>
      </c>
      <c r="AG176" s="18" t="n">
        <v>0</v>
      </c>
      <c r="AH176" s="18" t="n">
        <v>0</v>
      </c>
      <c r="AI176" s="18" t="n">
        <v>0</v>
      </c>
      <c r="AJ176" s="18" t="n">
        <v>0</v>
      </c>
      <c r="AK176" s="18" t="n">
        <v>0</v>
      </c>
      <c r="AL176" s="18" t="n">
        <v>0</v>
      </c>
      <c r="AM176" s="18" t="n">
        <v>0</v>
      </c>
      <c r="AN176" s="18" t="n">
        <v>0</v>
      </c>
      <c r="AO176" s="18" t="n">
        <v>0</v>
      </c>
      <c r="AP176" s="18" t="n">
        <v>0</v>
      </c>
      <c r="AQ176" s="18" t="n">
        <v>0</v>
      </c>
      <c r="AR176" s="18" t="n">
        <v>0</v>
      </c>
      <c r="AS176" s="18" t="n">
        <v>0</v>
      </c>
      <c r="AT176" s="18" t="n">
        <v>0</v>
      </c>
      <c r="AU176" s="18" t="n">
        <v>0</v>
      </c>
      <c r="AV176" s="18" t="n">
        <v>0</v>
      </c>
      <c r="AW176" s="18" t="n">
        <v>0</v>
      </c>
      <c r="AX176" s="18" t="n">
        <v>0</v>
      </c>
    </row>
    <row r="177">
      <c r="A177" s="10" t="inlineStr">
        <is>
          <t>Load_TR2_F6_80</t>
        </is>
      </c>
      <c r="B177" s="12" t="inlineStr">
        <is>
          <t>customer</t>
        </is>
      </c>
      <c r="C177" s="18" t="n">
        <v>0</v>
      </c>
      <c r="D177" s="18" t="n">
        <v>0</v>
      </c>
      <c r="E177" s="18" t="n">
        <v>0</v>
      </c>
      <c r="F177" s="18" t="n">
        <v>0</v>
      </c>
      <c r="G177" s="18" t="n">
        <v>0</v>
      </c>
      <c r="H177" s="18" t="n">
        <v>0</v>
      </c>
      <c r="I177" s="18" t="n">
        <v>0</v>
      </c>
      <c r="J177" s="18" t="n">
        <v>0</v>
      </c>
      <c r="K177" s="18" t="n">
        <v>0</v>
      </c>
      <c r="L177" s="18" t="n">
        <v>0</v>
      </c>
      <c r="M177" s="18" t="n">
        <v>0</v>
      </c>
      <c r="N177" s="18" t="n">
        <v>0</v>
      </c>
      <c r="O177" s="18" t="n">
        <v>0</v>
      </c>
      <c r="P177" s="18" t="n">
        <v>0</v>
      </c>
      <c r="Q177" s="18" t="n">
        <v>0</v>
      </c>
      <c r="R177" s="18" t="n">
        <v>0</v>
      </c>
      <c r="S177" s="18" t="n">
        <v>0</v>
      </c>
      <c r="T177" s="18" t="n">
        <v>0</v>
      </c>
      <c r="U177" s="18" t="n">
        <v>0</v>
      </c>
      <c r="V177" s="18" t="n">
        <v>0</v>
      </c>
      <c r="W177" s="18" t="n">
        <v>0</v>
      </c>
      <c r="X177" s="18" t="n">
        <v>0</v>
      </c>
      <c r="Y177" s="18" t="n">
        <v>0</v>
      </c>
      <c r="Z177" s="18" t="n">
        <v>0</v>
      </c>
      <c r="AA177" s="18" t="n">
        <v>0</v>
      </c>
      <c r="AB177" s="18" t="n">
        <v>0</v>
      </c>
      <c r="AC177" s="18" t="n">
        <v>0</v>
      </c>
      <c r="AD177" s="18" t="n">
        <v>0</v>
      </c>
      <c r="AE177" s="18" t="n">
        <v>0</v>
      </c>
      <c r="AF177" s="18" t="n">
        <v>0</v>
      </c>
      <c r="AG177" s="18" t="n">
        <v>0</v>
      </c>
      <c r="AH177" s="18" t="n">
        <v>0</v>
      </c>
      <c r="AI177" s="18" t="n">
        <v>0</v>
      </c>
      <c r="AJ177" s="18" t="n">
        <v>0</v>
      </c>
      <c r="AK177" s="18" t="n">
        <v>0</v>
      </c>
      <c r="AL177" s="18" t="n">
        <v>0</v>
      </c>
      <c r="AM177" s="18" t="n">
        <v>0</v>
      </c>
      <c r="AN177" s="18" t="n">
        <v>0</v>
      </c>
      <c r="AO177" s="18" t="n">
        <v>0</v>
      </c>
      <c r="AP177" s="18" t="n">
        <v>0</v>
      </c>
      <c r="AQ177" s="18" t="n">
        <v>0</v>
      </c>
      <c r="AR177" s="18" t="n">
        <v>0</v>
      </c>
      <c r="AS177" s="18" t="n">
        <v>0</v>
      </c>
      <c r="AT177" s="18" t="n">
        <v>0</v>
      </c>
      <c r="AU177" s="18" t="n">
        <v>0</v>
      </c>
      <c r="AV177" s="18" t="n">
        <v>0</v>
      </c>
      <c r="AW177" s="18" t="n">
        <v>0</v>
      </c>
      <c r="AX177" s="18" t="n">
        <v>0</v>
      </c>
    </row>
    <row r="178">
      <c r="A178" s="19" t="inlineStr">
        <is>
          <t>Load_TR2_F6_81</t>
        </is>
      </c>
      <c r="B178" s="15" t="inlineStr">
        <is>
          <t>prosumer</t>
        </is>
      </c>
      <c r="C178" s="20" t="n">
        <v>0</v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0.0017</v>
      </c>
      <c r="K178" s="20" t="n">
        <v>0.0249</v>
      </c>
      <c r="L178" s="20" t="n">
        <v>0.1163</v>
      </c>
      <c r="M178" s="20" t="n">
        <v>0.2307</v>
      </c>
      <c r="N178" s="20" t="n">
        <v>0.3709</v>
      </c>
      <c r="O178" s="20" t="n">
        <v>0.524</v>
      </c>
      <c r="P178" s="20" t="n">
        <v>0.6788999999999999</v>
      </c>
      <c r="Q178" s="20" t="n">
        <v>0.833</v>
      </c>
      <c r="R178" s="20" t="n">
        <v>0.9873</v>
      </c>
      <c r="S178" s="20" t="n">
        <v>1.1322</v>
      </c>
      <c r="T178" s="20" t="n">
        <v>1.2683</v>
      </c>
      <c r="U178" s="20" t="n">
        <v>1.3843</v>
      </c>
      <c r="V178" s="20" t="n">
        <v>1.4832</v>
      </c>
      <c r="W178" s="20" t="n">
        <v>1.57</v>
      </c>
      <c r="X178" s="20" t="n">
        <v>1.6417</v>
      </c>
      <c r="Y178" s="20" t="n">
        <v>1.6925</v>
      </c>
      <c r="Z178" s="20" t="n">
        <v>1.7148</v>
      </c>
      <c r="AA178" s="20" t="n">
        <v>1.7212</v>
      </c>
      <c r="AB178" s="20" t="n">
        <v>1.7092</v>
      </c>
      <c r="AC178" s="20" t="n">
        <v>1.6686</v>
      </c>
      <c r="AD178" s="20" t="n">
        <v>1.6067</v>
      </c>
      <c r="AE178" s="20" t="n">
        <v>1.5328</v>
      </c>
      <c r="AF178" s="20" t="n">
        <v>1.4391</v>
      </c>
      <c r="AG178" s="20" t="n">
        <v>1.3396</v>
      </c>
      <c r="AH178" s="20" t="n">
        <v>1.2198</v>
      </c>
      <c r="AI178" s="20" t="n">
        <v>1.0849</v>
      </c>
      <c r="AJ178" s="20" t="n">
        <v>0.922</v>
      </c>
      <c r="AK178" s="20" t="n">
        <v>0.7696</v>
      </c>
      <c r="AL178" s="20" t="n">
        <v>0.613</v>
      </c>
      <c r="AM178" s="20" t="n">
        <v>0.4615</v>
      </c>
      <c r="AN178" s="20" t="n">
        <v>0.3154</v>
      </c>
      <c r="AO178" s="20" t="n">
        <v>0.1842</v>
      </c>
      <c r="AP178" s="20" t="n">
        <v>0.0536</v>
      </c>
      <c r="AQ178" s="20" t="n">
        <v>0.009900000000000001</v>
      </c>
      <c r="AR178" s="20" t="n">
        <v>0</v>
      </c>
      <c r="AS178" s="20" t="n">
        <v>0</v>
      </c>
      <c r="AT178" s="20" t="n">
        <v>0</v>
      </c>
      <c r="AU178" s="20" t="n">
        <v>0</v>
      </c>
      <c r="AV178" s="20" t="n">
        <v>0</v>
      </c>
      <c r="AW178" s="20" t="n">
        <v>0</v>
      </c>
      <c r="AX178" s="20" t="n">
        <v>0</v>
      </c>
    </row>
    <row r="179">
      <c r="A179" s="10" t="inlineStr">
        <is>
          <t>Load_TR2_F6_82</t>
        </is>
      </c>
      <c r="B179" s="12" t="inlineStr">
        <is>
          <t>customer</t>
        </is>
      </c>
      <c r="C179" s="18" t="n">
        <v>0</v>
      </c>
      <c r="D179" s="18" t="n">
        <v>0</v>
      </c>
      <c r="E179" s="18" t="n">
        <v>0</v>
      </c>
      <c r="F179" s="18" t="n">
        <v>0</v>
      </c>
      <c r="G179" s="18" t="n">
        <v>0</v>
      </c>
      <c r="H179" s="18" t="n">
        <v>0</v>
      </c>
      <c r="I179" s="18" t="n">
        <v>0</v>
      </c>
      <c r="J179" s="18" t="n">
        <v>0</v>
      </c>
      <c r="K179" s="18" t="n">
        <v>0</v>
      </c>
      <c r="L179" s="18" t="n">
        <v>0</v>
      </c>
      <c r="M179" s="18" t="n">
        <v>0</v>
      </c>
      <c r="N179" s="18" t="n">
        <v>0</v>
      </c>
      <c r="O179" s="18" t="n">
        <v>0</v>
      </c>
      <c r="P179" s="18" t="n">
        <v>0</v>
      </c>
      <c r="Q179" s="18" t="n">
        <v>0</v>
      </c>
      <c r="R179" s="18" t="n">
        <v>0</v>
      </c>
      <c r="S179" s="18" t="n">
        <v>0</v>
      </c>
      <c r="T179" s="18" t="n">
        <v>0</v>
      </c>
      <c r="U179" s="18" t="n">
        <v>0</v>
      </c>
      <c r="V179" s="18" t="n">
        <v>0</v>
      </c>
      <c r="W179" s="18" t="n">
        <v>0</v>
      </c>
      <c r="X179" s="18" t="n">
        <v>0</v>
      </c>
      <c r="Y179" s="18" t="n">
        <v>0</v>
      </c>
      <c r="Z179" s="18" t="n">
        <v>0</v>
      </c>
      <c r="AA179" s="18" t="n">
        <v>0</v>
      </c>
      <c r="AB179" s="18" t="n">
        <v>0</v>
      </c>
      <c r="AC179" s="18" t="n">
        <v>0</v>
      </c>
      <c r="AD179" s="18" t="n">
        <v>0</v>
      </c>
      <c r="AE179" s="18" t="n">
        <v>0</v>
      </c>
      <c r="AF179" s="18" t="n">
        <v>0</v>
      </c>
      <c r="AG179" s="18" t="n">
        <v>0</v>
      </c>
      <c r="AH179" s="18" t="n">
        <v>0</v>
      </c>
      <c r="AI179" s="18" t="n">
        <v>0</v>
      </c>
      <c r="AJ179" s="18" t="n">
        <v>0</v>
      </c>
      <c r="AK179" s="18" t="n">
        <v>0</v>
      </c>
      <c r="AL179" s="18" t="n">
        <v>0</v>
      </c>
      <c r="AM179" s="18" t="n">
        <v>0</v>
      </c>
      <c r="AN179" s="18" t="n">
        <v>0</v>
      </c>
      <c r="AO179" s="18" t="n">
        <v>0</v>
      </c>
      <c r="AP179" s="18" t="n">
        <v>0</v>
      </c>
      <c r="AQ179" s="18" t="n">
        <v>0</v>
      </c>
      <c r="AR179" s="18" t="n">
        <v>0</v>
      </c>
      <c r="AS179" s="18" t="n">
        <v>0</v>
      </c>
      <c r="AT179" s="18" t="n">
        <v>0</v>
      </c>
      <c r="AU179" s="18" t="n">
        <v>0</v>
      </c>
      <c r="AV179" s="18" t="n">
        <v>0</v>
      </c>
      <c r="AW179" s="18" t="n">
        <v>0</v>
      </c>
      <c r="AX179" s="18" t="n">
        <v>0</v>
      </c>
    </row>
    <row r="180">
      <c r="A180" s="10" t="inlineStr">
        <is>
          <t>Load_TR2_F6_83</t>
        </is>
      </c>
      <c r="B180" s="12" t="inlineStr">
        <is>
          <t>customer</t>
        </is>
      </c>
      <c r="C180" s="18" t="n">
        <v>0</v>
      </c>
      <c r="D180" s="18" t="n">
        <v>0</v>
      </c>
      <c r="E180" s="18" t="n">
        <v>0</v>
      </c>
      <c r="F180" s="18" t="n">
        <v>0</v>
      </c>
      <c r="G180" s="18" t="n">
        <v>0</v>
      </c>
      <c r="H180" s="18" t="n">
        <v>0</v>
      </c>
      <c r="I180" s="18" t="n">
        <v>0</v>
      </c>
      <c r="J180" s="18" t="n">
        <v>0</v>
      </c>
      <c r="K180" s="18" t="n">
        <v>0</v>
      </c>
      <c r="L180" s="18" t="n">
        <v>0</v>
      </c>
      <c r="M180" s="18" t="n">
        <v>0</v>
      </c>
      <c r="N180" s="18" t="n">
        <v>0</v>
      </c>
      <c r="O180" s="18" t="n">
        <v>0</v>
      </c>
      <c r="P180" s="18" t="n">
        <v>0</v>
      </c>
      <c r="Q180" s="18" t="n">
        <v>0</v>
      </c>
      <c r="R180" s="18" t="n">
        <v>0</v>
      </c>
      <c r="S180" s="18" t="n">
        <v>0</v>
      </c>
      <c r="T180" s="18" t="n">
        <v>0</v>
      </c>
      <c r="U180" s="18" t="n">
        <v>0</v>
      </c>
      <c r="V180" s="18" t="n">
        <v>0</v>
      </c>
      <c r="W180" s="18" t="n">
        <v>0</v>
      </c>
      <c r="X180" s="18" t="n">
        <v>0</v>
      </c>
      <c r="Y180" s="18" t="n">
        <v>0</v>
      </c>
      <c r="Z180" s="18" t="n">
        <v>0</v>
      </c>
      <c r="AA180" s="18" t="n">
        <v>0</v>
      </c>
      <c r="AB180" s="18" t="n">
        <v>0</v>
      </c>
      <c r="AC180" s="18" t="n">
        <v>0</v>
      </c>
      <c r="AD180" s="18" t="n">
        <v>0</v>
      </c>
      <c r="AE180" s="18" t="n">
        <v>0</v>
      </c>
      <c r="AF180" s="18" t="n">
        <v>0</v>
      </c>
      <c r="AG180" s="18" t="n">
        <v>0</v>
      </c>
      <c r="AH180" s="18" t="n">
        <v>0</v>
      </c>
      <c r="AI180" s="18" t="n">
        <v>0</v>
      </c>
      <c r="AJ180" s="18" t="n">
        <v>0</v>
      </c>
      <c r="AK180" s="18" t="n">
        <v>0</v>
      </c>
      <c r="AL180" s="18" t="n">
        <v>0</v>
      </c>
      <c r="AM180" s="18" t="n">
        <v>0</v>
      </c>
      <c r="AN180" s="18" t="n">
        <v>0</v>
      </c>
      <c r="AO180" s="18" t="n">
        <v>0</v>
      </c>
      <c r="AP180" s="18" t="n">
        <v>0</v>
      </c>
      <c r="AQ180" s="18" t="n">
        <v>0</v>
      </c>
      <c r="AR180" s="18" t="n">
        <v>0</v>
      </c>
      <c r="AS180" s="18" t="n">
        <v>0</v>
      </c>
      <c r="AT180" s="18" t="n">
        <v>0</v>
      </c>
      <c r="AU180" s="18" t="n">
        <v>0</v>
      </c>
      <c r="AV180" s="18" t="n">
        <v>0</v>
      </c>
      <c r="AW180" s="18" t="n">
        <v>0</v>
      </c>
      <c r="AX180" s="18" t="n">
        <v>0</v>
      </c>
    </row>
    <row r="181">
      <c r="A181" s="10" t="inlineStr">
        <is>
          <t>Load_TR2_F6_9</t>
        </is>
      </c>
      <c r="B181" s="12" t="inlineStr">
        <is>
          <t>customer</t>
        </is>
      </c>
      <c r="C181" s="18" t="n">
        <v>0</v>
      </c>
      <c r="D181" s="18" t="n">
        <v>0</v>
      </c>
      <c r="E181" s="18" t="n">
        <v>0</v>
      </c>
      <c r="F181" s="18" t="n">
        <v>0</v>
      </c>
      <c r="G181" s="18" t="n">
        <v>0</v>
      </c>
      <c r="H181" s="18" t="n">
        <v>0</v>
      </c>
      <c r="I181" s="18" t="n">
        <v>0</v>
      </c>
      <c r="J181" s="18" t="n">
        <v>0</v>
      </c>
      <c r="K181" s="18" t="n">
        <v>0</v>
      </c>
      <c r="L181" s="18" t="n">
        <v>0</v>
      </c>
      <c r="M181" s="18" t="n">
        <v>0</v>
      </c>
      <c r="N181" s="18" t="n">
        <v>0</v>
      </c>
      <c r="O181" s="18" t="n">
        <v>0</v>
      </c>
      <c r="P181" s="18" t="n">
        <v>0</v>
      </c>
      <c r="Q181" s="18" t="n">
        <v>0</v>
      </c>
      <c r="R181" s="18" t="n">
        <v>0</v>
      </c>
      <c r="S181" s="18" t="n">
        <v>0</v>
      </c>
      <c r="T181" s="18" t="n">
        <v>0</v>
      </c>
      <c r="U181" s="18" t="n">
        <v>0</v>
      </c>
      <c r="V181" s="18" t="n">
        <v>0</v>
      </c>
      <c r="W181" s="18" t="n">
        <v>0</v>
      </c>
      <c r="X181" s="18" t="n">
        <v>0</v>
      </c>
      <c r="Y181" s="18" t="n">
        <v>0</v>
      </c>
      <c r="Z181" s="18" t="n">
        <v>0</v>
      </c>
      <c r="AA181" s="18" t="n">
        <v>0</v>
      </c>
      <c r="AB181" s="18" t="n">
        <v>0</v>
      </c>
      <c r="AC181" s="18" t="n">
        <v>0</v>
      </c>
      <c r="AD181" s="18" t="n">
        <v>0</v>
      </c>
      <c r="AE181" s="18" t="n">
        <v>0</v>
      </c>
      <c r="AF181" s="18" t="n">
        <v>0</v>
      </c>
      <c r="AG181" s="18" t="n">
        <v>0</v>
      </c>
      <c r="AH181" s="18" t="n">
        <v>0</v>
      </c>
      <c r="AI181" s="18" t="n">
        <v>0</v>
      </c>
      <c r="AJ181" s="18" t="n">
        <v>0</v>
      </c>
      <c r="AK181" s="18" t="n">
        <v>0</v>
      </c>
      <c r="AL181" s="18" t="n">
        <v>0</v>
      </c>
      <c r="AM181" s="18" t="n">
        <v>0</v>
      </c>
      <c r="AN181" s="18" t="n">
        <v>0</v>
      </c>
      <c r="AO181" s="18" t="n">
        <v>0</v>
      </c>
      <c r="AP181" s="18" t="n">
        <v>0</v>
      </c>
      <c r="AQ181" s="18" t="n">
        <v>0</v>
      </c>
      <c r="AR181" s="18" t="n">
        <v>0</v>
      </c>
      <c r="AS181" s="18" t="n">
        <v>0</v>
      </c>
      <c r="AT181" s="18" t="n">
        <v>0</v>
      </c>
      <c r="AU181" s="18" t="n">
        <v>0</v>
      </c>
      <c r="AV181" s="18" t="n">
        <v>0</v>
      </c>
      <c r="AW181" s="18" t="n">
        <v>0</v>
      </c>
      <c r="AX181" s="18" t="n">
        <v>0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>
      <c r="A1" s="1" t="inlineStr">
        <is>
          <t>Raw load per load</t>
        </is>
      </c>
    </row>
    <row r="2">
      <c r="A2" s="17" t="inlineStr">
        <is>
          <t>Verbatim copy of Load_P_kW (TR2_load_PV_48periods.xlsx), tagged by type. One row per connection, 48 half-hours (kW).</t>
        </is>
      </c>
    </row>
    <row r="4">
      <c r="A4" s="7" t="inlineStr">
        <is>
          <t>Load name</t>
        </is>
      </c>
      <c r="B4" s="7" t="inlineStr">
        <is>
          <t>Type</t>
        </is>
      </c>
      <c r="C4" s="7" t="inlineStr">
        <is>
          <t>p1</t>
        </is>
      </c>
      <c r="D4" s="7" t="inlineStr">
        <is>
          <t>p2</t>
        </is>
      </c>
      <c r="E4" s="7" t="inlineStr">
        <is>
          <t>p3</t>
        </is>
      </c>
      <c r="F4" s="7" t="inlineStr">
        <is>
          <t>p4</t>
        </is>
      </c>
      <c r="G4" s="7" t="inlineStr">
        <is>
          <t>p5</t>
        </is>
      </c>
      <c r="H4" s="7" t="inlineStr">
        <is>
          <t>p6</t>
        </is>
      </c>
      <c r="I4" s="7" t="inlineStr">
        <is>
          <t>p7</t>
        </is>
      </c>
      <c r="J4" s="7" t="inlineStr">
        <is>
          <t>p8</t>
        </is>
      </c>
      <c r="K4" s="7" t="inlineStr">
        <is>
          <t>p9</t>
        </is>
      </c>
      <c r="L4" s="7" t="inlineStr">
        <is>
          <t>p10</t>
        </is>
      </c>
      <c r="M4" s="7" t="inlineStr">
        <is>
          <t>p11</t>
        </is>
      </c>
      <c r="N4" s="7" t="inlineStr">
        <is>
          <t>p12</t>
        </is>
      </c>
      <c r="O4" s="7" t="inlineStr">
        <is>
          <t>p13</t>
        </is>
      </c>
      <c r="P4" s="7" t="inlineStr">
        <is>
          <t>p14</t>
        </is>
      </c>
      <c r="Q4" s="7" t="inlineStr">
        <is>
          <t>p15</t>
        </is>
      </c>
      <c r="R4" s="7" t="inlineStr">
        <is>
          <t>p16</t>
        </is>
      </c>
      <c r="S4" s="7" t="inlineStr">
        <is>
          <t>p17</t>
        </is>
      </c>
      <c r="T4" s="7" t="inlineStr">
        <is>
          <t>p18</t>
        </is>
      </c>
      <c r="U4" s="7" t="inlineStr">
        <is>
          <t>p19</t>
        </is>
      </c>
      <c r="V4" s="7" t="inlineStr">
        <is>
          <t>p20</t>
        </is>
      </c>
      <c r="W4" s="7" t="inlineStr">
        <is>
          <t>p21</t>
        </is>
      </c>
      <c r="X4" s="7" t="inlineStr">
        <is>
          <t>p22</t>
        </is>
      </c>
      <c r="Y4" s="7" t="inlineStr">
        <is>
          <t>p23</t>
        </is>
      </c>
      <c r="Z4" s="7" t="inlineStr">
        <is>
          <t>p24</t>
        </is>
      </c>
      <c r="AA4" s="7" t="inlineStr">
        <is>
          <t>p25</t>
        </is>
      </c>
      <c r="AB4" s="7" t="inlineStr">
        <is>
          <t>p26</t>
        </is>
      </c>
      <c r="AC4" s="7" t="inlineStr">
        <is>
          <t>p27</t>
        </is>
      </c>
      <c r="AD4" s="7" t="inlineStr">
        <is>
          <t>p28</t>
        </is>
      </c>
      <c r="AE4" s="7" t="inlineStr">
        <is>
          <t>p29</t>
        </is>
      </c>
      <c r="AF4" s="7" t="inlineStr">
        <is>
          <t>p30</t>
        </is>
      </c>
      <c r="AG4" s="7" t="inlineStr">
        <is>
          <t>p31</t>
        </is>
      </c>
      <c r="AH4" s="7" t="inlineStr">
        <is>
          <t>p32</t>
        </is>
      </c>
      <c r="AI4" s="7" t="inlineStr">
        <is>
          <t>p33</t>
        </is>
      </c>
      <c r="AJ4" s="7" t="inlineStr">
        <is>
          <t>p34</t>
        </is>
      </c>
      <c r="AK4" s="7" t="inlineStr">
        <is>
          <t>p35</t>
        </is>
      </c>
      <c r="AL4" s="7" t="inlineStr">
        <is>
          <t>p36</t>
        </is>
      </c>
      <c r="AM4" s="7" t="inlineStr">
        <is>
          <t>p37</t>
        </is>
      </c>
      <c r="AN4" s="7" t="inlineStr">
        <is>
          <t>p38</t>
        </is>
      </c>
      <c r="AO4" s="7" t="inlineStr">
        <is>
          <t>p39</t>
        </is>
      </c>
      <c r="AP4" s="7" t="inlineStr">
        <is>
          <t>p40</t>
        </is>
      </c>
      <c r="AQ4" s="7" t="inlineStr">
        <is>
          <t>p41</t>
        </is>
      </c>
      <c r="AR4" s="7" t="inlineStr">
        <is>
          <t>p42</t>
        </is>
      </c>
      <c r="AS4" s="7" t="inlineStr">
        <is>
          <t>p43</t>
        </is>
      </c>
      <c r="AT4" s="7" t="inlineStr">
        <is>
          <t>p44</t>
        </is>
      </c>
      <c r="AU4" s="7" t="inlineStr">
        <is>
          <t>p45</t>
        </is>
      </c>
      <c r="AV4" s="7" t="inlineStr">
        <is>
          <t>p46</t>
        </is>
      </c>
      <c r="AW4" s="7" t="inlineStr">
        <is>
          <t>p47</t>
        </is>
      </c>
      <c r="AX4" s="7" t="inlineStr">
        <is>
          <t>p48</t>
        </is>
      </c>
    </row>
    <row r="5">
      <c r="A5" s="10" t="inlineStr">
        <is>
          <t>Load_TR2_F3_1</t>
        </is>
      </c>
      <c r="B5" s="12" t="inlineStr">
        <is>
          <t>customer</t>
        </is>
      </c>
      <c r="C5" s="18" t="n">
        <v>0.048</v>
      </c>
      <c r="D5" s="18" t="n">
        <v>0.1549</v>
      </c>
      <c r="E5" s="18" t="n">
        <v>0.048</v>
      </c>
      <c r="F5" s="18" t="n">
        <v>0.048</v>
      </c>
      <c r="G5" s="18" t="n">
        <v>0.1549</v>
      </c>
      <c r="H5" s="18" t="n">
        <v>0.048</v>
      </c>
      <c r="I5" s="18" t="n">
        <v>0.048</v>
      </c>
      <c r="J5" s="18" t="n">
        <v>0.1549</v>
      </c>
      <c r="K5" s="18" t="n">
        <v>0.048</v>
      </c>
      <c r="L5" s="18" t="n">
        <v>0.1549</v>
      </c>
      <c r="M5" s="18" t="n">
        <v>0.048</v>
      </c>
      <c r="N5" s="18" t="n">
        <v>0.048</v>
      </c>
      <c r="O5" s="18" t="n">
        <v>0.1549</v>
      </c>
      <c r="P5" s="18" t="n">
        <v>0.1086</v>
      </c>
      <c r="Q5" s="18" t="n">
        <v>0.229</v>
      </c>
      <c r="R5" s="18" t="n">
        <v>0.2045</v>
      </c>
      <c r="S5" s="18" t="n">
        <v>0.3574</v>
      </c>
      <c r="T5" s="18" t="n">
        <v>0.2536</v>
      </c>
      <c r="U5" s="18" t="n">
        <v>0.242</v>
      </c>
      <c r="V5" s="18" t="n">
        <v>0.1343</v>
      </c>
      <c r="W5" s="18" t="n">
        <v>0.1623</v>
      </c>
      <c r="X5" s="18" t="n">
        <v>0.8564000000000001</v>
      </c>
      <c r="Y5" s="18" t="n">
        <v>0.1565</v>
      </c>
      <c r="Z5" s="18" t="n">
        <v>0.048</v>
      </c>
      <c r="AA5" s="18" t="n">
        <v>0.1549</v>
      </c>
      <c r="AB5" s="18" t="n">
        <v>0.0572</v>
      </c>
      <c r="AC5" s="18" t="n">
        <v>0.7935</v>
      </c>
      <c r="AD5" s="18" t="n">
        <v>0.5391</v>
      </c>
      <c r="AE5" s="18" t="n">
        <v>0.048</v>
      </c>
      <c r="AF5" s="18" t="n">
        <v>0.1549</v>
      </c>
      <c r="AG5" s="18" t="n">
        <v>0.048</v>
      </c>
      <c r="AH5" s="18" t="n">
        <v>0.048</v>
      </c>
      <c r="AI5" s="18" t="n">
        <v>0.327</v>
      </c>
      <c r="AJ5" s="18" t="n">
        <v>0.048</v>
      </c>
      <c r="AK5" s="18" t="n">
        <v>0.0487</v>
      </c>
      <c r="AL5" s="18" t="n">
        <v>1.0719</v>
      </c>
      <c r="AM5" s="18" t="n">
        <v>0.283</v>
      </c>
      <c r="AN5" s="18" t="n">
        <v>0.0893</v>
      </c>
      <c r="AO5" s="18" t="n">
        <v>0.1549</v>
      </c>
      <c r="AP5" s="18" t="n">
        <v>0.048</v>
      </c>
      <c r="AQ5" s="18" t="n">
        <v>0.1091</v>
      </c>
      <c r="AR5" s="18" t="n">
        <v>0.09379999999999999</v>
      </c>
      <c r="AS5" s="18" t="n">
        <v>0.048</v>
      </c>
      <c r="AT5" s="18" t="n">
        <v>0.0556</v>
      </c>
      <c r="AU5" s="18" t="n">
        <v>0.1473</v>
      </c>
      <c r="AV5" s="18" t="n">
        <v>0.048</v>
      </c>
      <c r="AW5" s="18" t="n">
        <v>0.048</v>
      </c>
      <c r="AX5" s="18" t="n">
        <v>0.0862</v>
      </c>
    </row>
    <row r="6">
      <c r="A6" s="10" t="inlineStr">
        <is>
          <t>Load_TR2_F3_10</t>
        </is>
      </c>
      <c r="B6" s="12" t="inlineStr">
        <is>
          <t>customer</t>
        </is>
      </c>
      <c r="C6" s="18" t="n">
        <v>0.1726</v>
      </c>
      <c r="D6" s="18" t="n">
        <v>0.1003</v>
      </c>
      <c r="E6" s="18" t="n">
        <v>0.057</v>
      </c>
      <c r="F6" s="18" t="n">
        <v>0.2159</v>
      </c>
      <c r="G6" s="18" t="n">
        <v>0.057</v>
      </c>
      <c r="H6" s="18" t="n">
        <v>0.057</v>
      </c>
      <c r="I6" s="18" t="n">
        <v>0.1653</v>
      </c>
      <c r="J6" s="18" t="n">
        <v>0.1076</v>
      </c>
      <c r="K6" s="18" t="n">
        <v>0.057</v>
      </c>
      <c r="L6" s="18" t="n">
        <v>0.057</v>
      </c>
      <c r="M6" s="18" t="n">
        <v>0.2087</v>
      </c>
      <c r="N6" s="18" t="n">
        <v>0.06419999999999999</v>
      </c>
      <c r="O6" s="18" t="n">
        <v>0.07870000000000001</v>
      </c>
      <c r="P6" s="18" t="n">
        <v>1.2415</v>
      </c>
      <c r="Q6" s="18" t="n">
        <v>0.097</v>
      </c>
      <c r="R6" s="18" t="n">
        <v>0.1993</v>
      </c>
      <c r="S6" s="18" t="n">
        <v>1.3792</v>
      </c>
      <c r="T6" s="18" t="n">
        <v>1.0353</v>
      </c>
      <c r="U6" s="18" t="n">
        <v>1.3393</v>
      </c>
      <c r="V6" s="18" t="n">
        <v>0.9762999999999999</v>
      </c>
      <c r="W6" s="18" t="n">
        <v>2.497</v>
      </c>
      <c r="X6" s="18" t="n">
        <v>0.3245</v>
      </c>
      <c r="Y6" s="18" t="n">
        <v>0.2334</v>
      </c>
      <c r="Z6" s="18" t="n">
        <v>1.6163</v>
      </c>
      <c r="AA6" s="18" t="n">
        <v>0.3725</v>
      </c>
      <c r="AB6" s="18" t="n">
        <v>1.4164</v>
      </c>
      <c r="AC6" s="18" t="n">
        <v>0.057</v>
      </c>
      <c r="AD6" s="18" t="n">
        <v>0.9998</v>
      </c>
      <c r="AE6" s="18" t="n">
        <v>0.8418</v>
      </c>
      <c r="AF6" s="18" t="n">
        <v>1.623</v>
      </c>
      <c r="AG6" s="18" t="n">
        <v>0.3558</v>
      </c>
      <c r="AH6" s="18" t="n">
        <v>0.2091</v>
      </c>
      <c r="AI6" s="18" t="n">
        <v>0.2035</v>
      </c>
      <c r="AJ6" s="18" t="n">
        <v>0.2833</v>
      </c>
      <c r="AK6" s="18" t="n">
        <v>0.5547</v>
      </c>
      <c r="AL6" s="18" t="n">
        <v>1.5895</v>
      </c>
      <c r="AM6" s="18" t="n">
        <v>0.2121</v>
      </c>
      <c r="AN6" s="18" t="n">
        <v>0.5087</v>
      </c>
      <c r="AO6" s="18" t="n">
        <v>0.2669</v>
      </c>
      <c r="AP6" s="18" t="n">
        <v>0.7302999999999999</v>
      </c>
      <c r="AQ6" s="18" t="n">
        <v>0.543</v>
      </c>
      <c r="AR6" s="18" t="n">
        <v>0.7202</v>
      </c>
      <c r="AS6" s="18" t="n">
        <v>2.1174</v>
      </c>
      <c r="AT6" s="18" t="n">
        <v>0.6897</v>
      </c>
      <c r="AU6" s="18" t="n">
        <v>0.3038</v>
      </c>
      <c r="AV6" s="18" t="n">
        <v>0.3734</v>
      </c>
      <c r="AW6" s="18" t="n">
        <v>0.3972</v>
      </c>
      <c r="AX6" s="18" t="n">
        <v>0.3092</v>
      </c>
    </row>
    <row r="7">
      <c r="A7" s="10" t="inlineStr">
        <is>
          <t>Load_TR2_F3_11</t>
        </is>
      </c>
      <c r="B7" s="12" t="inlineStr">
        <is>
          <t>customer</t>
        </is>
      </c>
      <c r="C7" s="18" t="n">
        <v>0.2667</v>
      </c>
      <c r="D7" s="18" t="n">
        <v>0.053</v>
      </c>
      <c r="E7" s="18" t="n">
        <v>0.0589</v>
      </c>
      <c r="F7" s="18" t="n">
        <v>0.207</v>
      </c>
      <c r="G7" s="18" t="n">
        <v>0.1069</v>
      </c>
      <c r="H7" s="18" t="n">
        <v>0.1</v>
      </c>
      <c r="I7" s="18" t="n">
        <v>0.2197</v>
      </c>
      <c r="J7" s="18" t="n">
        <v>0.053</v>
      </c>
      <c r="K7" s="18" t="n">
        <v>0.2667</v>
      </c>
      <c r="L7" s="18" t="n">
        <v>0.053</v>
      </c>
      <c r="M7" s="18" t="n">
        <v>0.094</v>
      </c>
      <c r="N7" s="18" t="n">
        <v>0.2257</v>
      </c>
      <c r="O7" s="18" t="n">
        <v>0.1116</v>
      </c>
      <c r="P7" s="18" t="n">
        <v>1.9659</v>
      </c>
      <c r="Q7" s="18" t="n">
        <v>0.8411999999999999</v>
      </c>
      <c r="R7" s="18" t="n">
        <v>1.3094</v>
      </c>
      <c r="S7" s="18" t="n">
        <v>0.2877</v>
      </c>
      <c r="T7" s="18" t="n">
        <v>0.1727</v>
      </c>
      <c r="U7" s="18" t="n">
        <v>0.3508</v>
      </c>
      <c r="V7" s="18" t="n">
        <v>0.4026</v>
      </c>
      <c r="W7" s="18" t="n">
        <v>1.3043</v>
      </c>
      <c r="X7" s="18" t="n">
        <v>0.193</v>
      </c>
      <c r="Y7" s="18" t="n">
        <v>0.1351</v>
      </c>
      <c r="Z7" s="18" t="n">
        <v>0.053</v>
      </c>
      <c r="AA7" s="18" t="n">
        <v>0.2331</v>
      </c>
      <c r="AB7" s="18" t="n">
        <v>0.1259</v>
      </c>
      <c r="AC7" s="18" t="n">
        <v>0.1205</v>
      </c>
      <c r="AD7" s="18" t="n">
        <v>0.3801</v>
      </c>
      <c r="AE7" s="18" t="n">
        <v>0.2548</v>
      </c>
      <c r="AF7" s="18" t="n">
        <v>0.2657</v>
      </c>
      <c r="AG7" s="18" t="n">
        <v>0.094</v>
      </c>
      <c r="AH7" s="18" t="n">
        <v>0.3154</v>
      </c>
      <c r="AI7" s="18" t="n">
        <v>0.1869</v>
      </c>
      <c r="AJ7" s="18" t="n">
        <v>0.1706</v>
      </c>
      <c r="AK7" s="18" t="n">
        <v>0.2199</v>
      </c>
      <c r="AL7" s="18" t="n">
        <v>0.3245</v>
      </c>
      <c r="AM7" s="18" t="n">
        <v>0.3902</v>
      </c>
      <c r="AN7" s="18" t="n">
        <v>0.2385</v>
      </c>
      <c r="AO7" s="18" t="n">
        <v>0.9998</v>
      </c>
      <c r="AP7" s="18" t="n">
        <v>0.804</v>
      </c>
      <c r="AQ7" s="18" t="n">
        <v>0.3483</v>
      </c>
      <c r="AR7" s="18" t="n">
        <v>0.278</v>
      </c>
      <c r="AS7" s="18" t="n">
        <v>0.2454</v>
      </c>
      <c r="AT7" s="18" t="n">
        <v>0.5865</v>
      </c>
      <c r="AU7" s="18" t="n">
        <v>0.4732</v>
      </c>
      <c r="AV7" s="18" t="n">
        <v>0.1273</v>
      </c>
      <c r="AW7" s="18" t="n">
        <v>0.1175</v>
      </c>
      <c r="AX7" s="18" t="n">
        <v>0.1424</v>
      </c>
    </row>
    <row r="8">
      <c r="A8" s="10" t="inlineStr">
        <is>
          <t>Load_TR2_F3_12</t>
        </is>
      </c>
      <c r="B8" s="12" t="inlineStr">
        <is>
          <t>customer</t>
        </is>
      </c>
      <c r="C8" s="18" t="n">
        <v>0.8069</v>
      </c>
      <c r="D8" s="18" t="n">
        <v>0.4644</v>
      </c>
      <c r="E8" s="18" t="n">
        <v>0.4347</v>
      </c>
      <c r="F8" s="18" t="n">
        <v>0.3725</v>
      </c>
      <c r="G8" s="18" t="n">
        <v>0.4447</v>
      </c>
      <c r="H8" s="18" t="n">
        <v>0.0887</v>
      </c>
      <c r="I8" s="18" t="n">
        <v>0.2177</v>
      </c>
      <c r="J8" s="18" t="n">
        <v>0.1146</v>
      </c>
      <c r="K8" s="18" t="n">
        <v>0.1786</v>
      </c>
      <c r="L8" s="18" t="n">
        <v>0.1742</v>
      </c>
      <c r="M8" s="18" t="n">
        <v>0.07389999999999999</v>
      </c>
      <c r="N8" s="18" t="n">
        <v>0.2193</v>
      </c>
      <c r="O8" s="18" t="n">
        <v>0.1411</v>
      </c>
      <c r="P8" s="18" t="n">
        <v>0.7522</v>
      </c>
      <c r="Q8" s="18" t="n">
        <v>1.055</v>
      </c>
      <c r="R8" s="18" t="n">
        <v>0.237</v>
      </c>
      <c r="S8" s="18" t="n">
        <v>0.1874</v>
      </c>
      <c r="T8" s="18" t="n">
        <v>0.055</v>
      </c>
      <c r="U8" s="18" t="n">
        <v>0.1224</v>
      </c>
      <c r="V8" s="18" t="n">
        <v>0.2436</v>
      </c>
      <c r="W8" s="18" t="n">
        <v>0.1136</v>
      </c>
      <c r="X8" s="18" t="n">
        <v>0.3147</v>
      </c>
      <c r="Y8" s="18" t="n">
        <v>1.2415</v>
      </c>
      <c r="Z8" s="18" t="n">
        <v>2.3482</v>
      </c>
      <c r="AA8" s="18" t="n">
        <v>0.3344</v>
      </c>
      <c r="AB8" s="18" t="n">
        <v>0.2378</v>
      </c>
      <c r="AC8" s="18" t="n">
        <v>0.3921</v>
      </c>
      <c r="AD8" s="18" t="n">
        <v>0.5304</v>
      </c>
      <c r="AE8" s="18" t="n">
        <v>0.6395999999999999</v>
      </c>
      <c r="AF8" s="18" t="n">
        <v>0.7573</v>
      </c>
      <c r="AG8" s="18" t="n">
        <v>0.1964</v>
      </c>
      <c r="AH8" s="18" t="n">
        <v>0.0822</v>
      </c>
      <c r="AI8" s="18" t="n">
        <v>0.232</v>
      </c>
      <c r="AJ8" s="18" t="n">
        <v>1.2149</v>
      </c>
      <c r="AK8" s="18" t="n">
        <v>0.485</v>
      </c>
      <c r="AL8" s="18" t="n">
        <v>2.4083</v>
      </c>
      <c r="AM8" s="18" t="n">
        <v>1.3988</v>
      </c>
      <c r="AN8" s="18" t="n">
        <v>0.4145</v>
      </c>
      <c r="AO8" s="18" t="n">
        <v>0.7633</v>
      </c>
      <c r="AP8" s="18" t="n">
        <v>0.6336000000000001</v>
      </c>
      <c r="AQ8" s="18" t="n">
        <v>0.5807</v>
      </c>
      <c r="AR8" s="18" t="n">
        <v>0.5175999999999999</v>
      </c>
      <c r="AS8" s="18" t="n">
        <v>0.4835</v>
      </c>
      <c r="AT8" s="18" t="n">
        <v>0.6368</v>
      </c>
      <c r="AU8" s="18" t="n">
        <v>0.7579</v>
      </c>
      <c r="AV8" s="18" t="n">
        <v>0.6555</v>
      </c>
      <c r="AW8" s="18" t="n">
        <v>0.5817</v>
      </c>
      <c r="AX8" s="18" t="n">
        <v>0.3233</v>
      </c>
    </row>
    <row r="9">
      <c r="A9" s="10" t="inlineStr">
        <is>
          <t>Load_TR2_F3_13</t>
        </is>
      </c>
      <c r="B9" s="12" t="inlineStr">
        <is>
          <t>customer</t>
        </is>
      </c>
      <c r="C9" s="18" t="n">
        <v>0.07340000000000001</v>
      </c>
      <c r="D9" s="18" t="n">
        <v>0.1549</v>
      </c>
      <c r="E9" s="18" t="n">
        <v>0.056</v>
      </c>
      <c r="F9" s="18" t="n">
        <v>0.056</v>
      </c>
      <c r="G9" s="18" t="n">
        <v>0.1374</v>
      </c>
      <c r="H9" s="18" t="n">
        <v>0.09089999999999999</v>
      </c>
      <c r="I9" s="18" t="n">
        <v>0.056</v>
      </c>
      <c r="J9" s="18" t="n">
        <v>0.1607</v>
      </c>
      <c r="K9" s="18" t="n">
        <v>0.06759999999999999</v>
      </c>
      <c r="L9" s="18" t="n">
        <v>0.1642</v>
      </c>
      <c r="M9" s="18" t="n">
        <v>0.1374</v>
      </c>
      <c r="N9" s="18" t="n">
        <v>0.056</v>
      </c>
      <c r="O9" s="18" t="n">
        <v>0.1723</v>
      </c>
      <c r="P9" s="18" t="n">
        <v>0.056</v>
      </c>
      <c r="Q9" s="18" t="n">
        <v>0.1723</v>
      </c>
      <c r="R9" s="18" t="n">
        <v>0.056</v>
      </c>
      <c r="S9" s="18" t="n">
        <v>0.1549</v>
      </c>
      <c r="T9" s="18" t="n">
        <v>0.07340000000000001</v>
      </c>
      <c r="U9" s="18" t="n">
        <v>0.056</v>
      </c>
      <c r="V9" s="18" t="n">
        <v>0.1723</v>
      </c>
      <c r="W9" s="18" t="n">
        <v>0.056</v>
      </c>
      <c r="X9" s="18" t="n">
        <v>0.056</v>
      </c>
      <c r="Y9" s="18" t="n">
        <v>0.1723</v>
      </c>
      <c r="Z9" s="18" t="n">
        <v>0.056</v>
      </c>
      <c r="AA9" s="18" t="n">
        <v>0.2327</v>
      </c>
      <c r="AB9" s="18" t="n">
        <v>0.2876</v>
      </c>
      <c r="AC9" s="18" t="n">
        <v>0.2331</v>
      </c>
      <c r="AD9" s="18" t="n">
        <v>0.5264</v>
      </c>
      <c r="AE9" s="18" t="n">
        <v>0.2321</v>
      </c>
      <c r="AF9" s="18" t="n">
        <v>0.5089</v>
      </c>
      <c r="AG9" s="18" t="n">
        <v>0.4379</v>
      </c>
      <c r="AH9" s="18" t="n">
        <v>0.5266999999999999</v>
      </c>
      <c r="AI9" s="18" t="n">
        <v>0.2319</v>
      </c>
      <c r="AJ9" s="18" t="n">
        <v>0.0721</v>
      </c>
      <c r="AK9" s="18" t="n">
        <v>0.1142</v>
      </c>
      <c r="AL9" s="18" t="n">
        <v>0.1142</v>
      </c>
      <c r="AM9" s="18" t="n">
        <v>0.056</v>
      </c>
      <c r="AN9" s="18" t="n">
        <v>0.1723</v>
      </c>
      <c r="AO9" s="18" t="n">
        <v>0.1315</v>
      </c>
      <c r="AP9" s="18" t="n">
        <v>0.2103</v>
      </c>
      <c r="AQ9" s="18" t="n">
        <v>0.6784</v>
      </c>
      <c r="AR9" s="18" t="n">
        <v>0.4258</v>
      </c>
      <c r="AS9" s="18" t="n">
        <v>0.5984</v>
      </c>
      <c r="AT9" s="18" t="n">
        <v>0.6139</v>
      </c>
      <c r="AU9" s="18" t="n">
        <v>0.1491</v>
      </c>
      <c r="AV9" s="18" t="n">
        <v>0.0793</v>
      </c>
      <c r="AW9" s="18" t="n">
        <v>0.06759999999999999</v>
      </c>
      <c r="AX9" s="18" t="n">
        <v>0.1607</v>
      </c>
    </row>
    <row r="10">
      <c r="A10" s="10" t="inlineStr">
        <is>
          <t>Load_TR2_F3_14</t>
        </is>
      </c>
      <c r="B10" s="12" t="inlineStr">
        <is>
          <t>customer</t>
        </is>
      </c>
      <c r="C10" s="18" t="n">
        <v>0.1154</v>
      </c>
      <c r="D10" s="18" t="n">
        <v>0.05</v>
      </c>
      <c r="E10" s="18" t="n">
        <v>0.3316</v>
      </c>
      <c r="F10" s="18" t="n">
        <v>0.0745</v>
      </c>
      <c r="G10" s="18" t="n">
        <v>0.209</v>
      </c>
      <c r="H10" s="18" t="n">
        <v>0.1971</v>
      </c>
      <c r="I10" s="18" t="n">
        <v>0.05</v>
      </c>
      <c r="J10" s="18" t="n">
        <v>0.3561</v>
      </c>
      <c r="K10" s="18" t="n">
        <v>0.05</v>
      </c>
      <c r="L10" s="18" t="n">
        <v>0.2744</v>
      </c>
      <c r="M10" s="18" t="n">
        <v>0.1317</v>
      </c>
      <c r="N10" s="18" t="n">
        <v>0.05</v>
      </c>
      <c r="O10" s="18" t="n">
        <v>0.1399</v>
      </c>
      <c r="P10" s="18" t="n">
        <v>0.1715</v>
      </c>
      <c r="Q10" s="18" t="n">
        <v>0.1447</v>
      </c>
      <c r="R10" s="18" t="n">
        <v>0.2551</v>
      </c>
      <c r="S10" s="18" t="n">
        <v>0.1511</v>
      </c>
      <c r="T10" s="18" t="n">
        <v>0.1733</v>
      </c>
      <c r="U10" s="18" t="n">
        <v>0.5874</v>
      </c>
      <c r="V10" s="18" t="n">
        <v>0.6525</v>
      </c>
      <c r="W10" s="18" t="n">
        <v>0.3772</v>
      </c>
      <c r="X10" s="18" t="n">
        <v>0.3213</v>
      </c>
      <c r="Y10" s="18" t="n">
        <v>0.2424</v>
      </c>
      <c r="Z10" s="18" t="n">
        <v>0.05</v>
      </c>
      <c r="AA10" s="18" t="n">
        <v>0.2499</v>
      </c>
      <c r="AB10" s="18" t="n">
        <v>0.1562</v>
      </c>
      <c r="AC10" s="18" t="n">
        <v>0.0891</v>
      </c>
      <c r="AD10" s="18" t="n">
        <v>0.6733</v>
      </c>
      <c r="AE10" s="18" t="n">
        <v>0.1535</v>
      </c>
      <c r="AF10" s="18" t="n">
        <v>0.2995</v>
      </c>
      <c r="AG10" s="18" t="n">
        <v>0.2165</v>
      </c>
      <c r="AH10" s="18" t="n">
        <v>0.355</v>
      </c>
      <c r="AI10" s="18" t="n">
        <v>0.258</v>
      </c>
      <c r="AJ10" s="18" t="n">
        <v>0.2025</v>
      </c>
      <c r="AK10" s="18" t="n">
        <v>0.6346000000000001</v>
      </c>
      <c r="AL10" s="18" t="n">
        <v>0.6913</v>
      </c>
      <c r="AM10" s="18" t="n">
        <v>0.1674</v>
      </c>
      <c r="AN10" s="18" t="n">
        <v>0.3399</v>
      </c>
      <c r="AO10" s="18" t="n">
        <v>0.1808</v>
      </c>
      <c r="AP10" s="18" t="n">
        <v>0.1622</v>
      </c>
      <c r="AQ10" s="18" t="n">
        <v>0.1132</v>
      </c>
      <c r="AR10" s="18" t="n">
        <v>0.05</v>
      </c>
      <c r="AS10" s="18" t="n">
        <v>0.2926</v>
      </c>
      <c r="AT10" s="18" t="n">
        <v>0.1135</v>
      </c>
      <c r="AU10" s="18" t="n">
        <v>0.1648</v>
      </c>
      <c r="AV10" s="18" t="n">
        <v>0.2413</v>
      </c>
      <c r="AW10" s="18" t="n">
        <v>0.05</v>
      </c>
      <c r="AX10" s="18" t="n">
        <v>0.1098</v>
      </c>
    </row>
    <row r="11">
      <c r="A11" s="10" t="inlineStr">
        <is>
          <t>Load_TR2_F3_15</t>
        </is>
      </c>
      <c r="B11" s="12" t="inlineStr">
        <is>
          <t>customer</t>
        </is>
      </c>
      <c r="C11" s="18" t="n">
        <v>0.4363</v>
      </c>
      <c r="D11" s="18" t="n">
        <v>0.4532</v>
      </c>
      <c r="E11" s="18" t="n">
        <v>0.0295</v>
      </c>
      <c r="F11" s="18" t="n">
        <v>0.1874</v>
      </c>
      <c r="G11" s="18" t="n">
        <v>0.0465</v>
      </c>
      <c r="H11" s="18" t="n">
        <v>0.1453</v>
      </c>
      <c r="I11" s="18" t="n">
        <v>0.0931</v>
      </c>
      <c r="J11" s="18" t="n">
        <v>0.025</v>
      </c>
      <c r="K11" s="18" t="n">
        <v>0.1469</v>
      </c>
      <c r="L11" s="18" t="n">
        <v>0.0915</v>
      </c>
      <c r="M11" s="18" t="n">
        <v>0.025</v>
      </c>
      <c r="N11" s="18" t="n">
        <v>0.1109</v>
      </c>
      <c r="O11" s="18" t="n">
        <v>0.0465</v>
      </c>
      <c r="P11" s="18" t="n">
        <v>0.0465</v>
      </c>
      <c r="Q11" s="18" t="n">
        <v>0.1919</v>
      </c>
      <c r="R11" s="18" t="n">
        <v>0.0304</v>
      </c>
      <c r="S11" s="18" t="n">
        <v>0.1636</v>
      </c>
      <c r="T11" s="18" t="n">
        <v>0.1335</v>
      </c>
      <c r="U11" s="18" t="n">
        <v>0.0401</v>
      </c>
      <c r="V11" s="18" t="n">
        <v>0.0565</v>
      </c>
      <c r="W11" s="18" t="n">
        <v>0.1819</v>
      </c>
      <c r="X11" s="18" t="n">
        <v>0.079</v>
      </c>
      <c r="Y11" s="18" t="n">
        <v>0.1594</v>
      </c>
      <c r="Z11" s="18" t="n">
        <v>0.025</v>
      </c>
      <c r="AA11" s="18" t="n">
        <v>0.1382</v>
      </c>
      <c r="AB11" s="18" t="n">
        <v>0.1002</v>
      </c>
      <c r="AC11" s="18" t="n">
        <v>0.052</v>
      </c>
      <c r="AD11" s="18" t="n">
        <v>0.079</v>
      </c>
      <c r="AE11" s="18" t="n">
        <v>0.025</v>
      </c>
      <c r="AF11" s="18" t="n">
        <v>0.165</v>
      </c>
      <c r="AG11" s="18" t="n">
        <v>0.0733</v>
      </c>
      <c r="AH11" s="18" t="n">
        <v>0.0519</v>
      </c>
      <c r="AI11" s="18" t="n">
        <v>0.1056</v>
      </c>
      <c r="AJ11" s="18" t="n">
        <v>0.106</v>
      </c>
      <c r="AK11" s="18" t="n">
        <v>0.0895</v>
      </c>
      <c r="AL11" s="18" t="n">
        <v>0.2177</v>
      </c>
      <c r="AM11" s="18" t="n">
        <v>0.1102</v>
      </c>
      <c r="AN11" s="18" t="n">
        <v>0.2273</v>
      </c>
      <c r="AO11" s="18" t="n">
        <v>0.08840000000000001</v>
      </c>
      <c r="AP11" s="18" t="n">
        <v>0.2069</v>
      </c>
      <c r="AQ11" s="18" t="n">
        <v>0.3915</v>
      </c>
      <c r="AR11" s="18" t="n">
        <v>0.4668</v>
      </c>
      <c r="AS11" s="18" t="n">
        <v>0.4359</v>
      </c>
      <c r="AT11" s="18" t="n">
        <v>0.446</v>
      </c>
      <c r="AU11" s="18" t="n">
        <v>0.7716</v>
      </c>
      <c r="AV11" s="18" t="n">
        <v>0.8114</v>
      </c>
      <c r="AW11" s="18" t="n">
        <v>0.4869</v>
      </c>
      <c r="AX11" s="18" t="n">
        <v>0.1324</v>
      </c>
    </row>
    <row r="12">
      <c r="A12" s="10" t="inlineStr">
        <is>
          <t>Load_TR2_F3_16</t>
        </is>
      </c>
      <c r="B12" s="12" t="inlineStr">
        <is>
          <t>customer</t>
        </is>
      </c>
      <c r="C12" s="18" t="n">
        <v>0.1684</v>
      </c>
      <c r="D12" s="18" t="n">
        <v>0.2135</v>
      </c>
      <c r="E12" s="18" t="n">
        <v>0.065</v>
      </c>
      <c r="F12" s="18" t="n">
        <v>0.3097</v>
      </c>
      <c r="G12" s="18" t="n">
        <v>0.0853</v>
      </c>
      <c r="H12" s="18" t="n">
        <v>0.1009</v>
      </c>
      <c r="I12" s="18" t="n">
        <v>0.3167</v>
      </c>
      <c r="J12" s="18" t="n">
        <v>0.097</v>
      </c>
      <c r="K12" s="18" t="n">
        <v>0.236</v>
      </c>
      <c r="L12" s="18" t="n">
        <v>0.1474</v>
      </c>
      <c r="M12" s="18" t="n">
        <v>0.1233</v>
      </c>
      <c r="N12" s="18" t="n">
        <v>0.0853</v>
      </c>
      <c r="O12" s="18" t="n">
        <v>0.3439</v>
      </c>
      <c r="P12" s="18" t="n">
        <v>0.1009</v>
      </c>
      <c r="Q12" s="18" t="n">
        <v>0.058</v>
      </c>
      <c r="R12" s="18" t="n">
        <v>0.3124</v>
      </c>
      <c r="S12" s="18" t="n">
        <v>0.1324</v>
      </c>
      <c r="T12" s="18" t="n">
        <v>0.7032</v>
      </c>
      <c r="U12" s="18" t="n">
        <v>2.315</v>
      </c>
      <c r="V12" s="18" t="n">
        <v>0.5179</v>
      </c>
      <c r="W12" s="18" t="n">
        <v>0.2474</v>
      </c>
      <c r="X12" s="18" t="n">
        <v>0.5992</v>
      </c>
      <c r="Y12" s="18" t="n">
        <v>0.3827</v>
      </c>
      <c r="Z12" s="18" t="n">
        <v>0.7663</v>
      </c>
      <c r="AA12" s="18" t="n">
        <v>2.1706</v>
      </c>
      <c r="AB12" s="18" t="n">
        <v>2.5795</v>
      </c>
      <c r="AC12" s="18" t="n">
        <v>2.2937</v>
      </c>
      <c r="AD12" s="18" t="n">
        <v>0.2468</v>
      </c>
      <c r="AE12" s="18" t="n">
        <v>0.3021</v>
      </c>
      <c r="AF12" s="18" t="n">
        <v>0.1566</v>
      </c>
      <c r="AG12" s="18" t="n">
        <v>0.1863</v>
      </c>
      <c r="AH12" s="18" t="n">
        <v>0.1404</v>
      </c>
      <c r="AI12" s="18" t="n">
        <v>0.1086</v>
      </c>
      <c r="AJ12" s="18" t="n">
        <v>0.2048</v>
      </c>
      <c r="AK12" s="18" t="n">
        <v>0.2705</v>
      </c>
      <c r="AL12" s="18" t="n">
        <v>0.7733</v>
      </c>
      <c r="AM12" s="18" t="n">
        <v>0.1069</v>
      </c>
      <c r="AN12" s="18" t="n">
        <v>0.1629</v>
      </c>
      <c r="AO12" s="18" t="n">
        <v>0.2819</v>
      </c>
      <c r="AP12" s="18" t="n">
        <v>0.1554</v>
      </c>
      <c r="AQ12" s="18" t="n">
        <v>0.2195</v>
      </c>
      <c r="AR12" s="18" t="n">
        <v>0.1279</v>
      </c>
      <c r="AS12" s="18" t="n">
        <v>0.1629</v>
      </c>
      <c r="AT12" s="18" t="n">
        <v>0.1768</v>
      </c>
      <c r="AU12" s="18" t="n">
        <v>0.1631</v>
      </c>
      <c r="AV12" s="18" t="n">
        <v>0.1838</v>
      </c>
      <c r="AW12" s="18" t="n">
        <v>0.2609</v>
      </c>
      <c r="AX12" s="18" t="n">
        <v>0.1479</v>
      </c>
    </row>
    <row r="13">
      <c r="A13" s="10" t="inlineStr">
        <is>
          <t>Load_TR2_F3_17</t>
        </is>
      </c>
      <c r="B13" s="12" t="inlineStr">
        <is>
          <t>customer</t>
        </is>
      </c>
      <c r="C13" s="18" t="n">
        <v>0.2762</v>
      </c>
      <c r="D13" s="18" t="n">
        <v>0.1562</v>
      </c>
      <c r="E13" s="18" t="n">
        <v>0.1224</v>
      </c>
      <c r="F13" s="18" t="n">
        <v>0.1519</v>
      </c>
      <c r="G13" s="18" t="n">
        <v>0.1961</v>
      </c>
      <c r="H13" s="18" t="n">
        <v>0.142</v>
      </c>
      <c r="I13" s="18" t="n">
        <v>0.4171</v>
      </c>
      <c r="J13" s="18" t="n">
        <v>0.5411</v>
      </c>
      <c r="K13" s="18" t="n">
        <v>0.1522</v>
      </c>
      <c r="L13" s="18" t="n">
        <v>0.1415</v>
      </c>
      <c r="M13" s="18" t="n">
        <v>0.2762</v>
      </c>
      <c r="N13" s="18" t="n">
        <v>0.1656</v>
      </c>
      <c r="O13" s="18" t="n">
        <v>0.128</v>
      </c>
      <c r="P13" s="18" t="n">
        <v>0.2213</v>
      </c>
      <c r="Q13" s="18" t="n">
        <v>0.2112</v>
      </c>
      <c r="R13" s="18" t="n">
        <v>0.0808</v>
      </c>
      <c r="S13" s="18" t="n">
        <v>0.2673</v>
      </c>
      <c r="T13" s="18" t="n">
        <v>0.06710000000000001</v>
      </c>
      <c r="U13" s="18" t="n">
        <v>0.1858</v>
      </c>
      <c r="V13" s="18" t="n">
        <v>0.2326</v>
      </c>
      <c r="W13" s="18" t="n">
        <v>0.1374</v>
      </c>
      <c r="X13" s="18" t="n">
        <v>0.1918</v>
      </c>
      <c r="Y13" s="18" t="n">
        <v>0.0992</v>
      </c>
      <c r="Z13" s="18" t="n">
        <v>0.2638</v>
      </c>
      <c r="AA13" s="18" t="n">
        <v>0.1459</v>
      </c>
      <c r="AB13" s="18" t="n">
        <v>0.114</v>
      </c>
      <c r="AC13" s="18" t="n">
        <v>0.08989999999999999</v>
      </c>
      <c r="AD13" s="18" t="n">
        <v>0.3426</v>
      </c>
      <c r="AE13" s="18" t="n">
        <v>0.0675</v>
      </c>
      <c r="AF13" s="18" t="n">
        <v>0.4327</v>
      </c>
      <c r="AG13" s="18" t="n">
        <v>0.1649</v>
      </c>
      <c r="AH13" s="18" t="n">
        <v>0.3367</v>
      </c>
      <c r="AI13" s="18" t="n">
        <v>0.188</v>
      </c>
      <c r="AJ13" s="18" t="n">
        <v>0.2391</v>
      </c>
      <c r="AK13" s="18" t="n">
        <v>0.1656</v>
      </c>
      <c r="AL13" s="18" t="n">
        <v>0.1327</v>
      </c>
      <c r="AM13" s="18" t="n">
        <v>0.1293</v>
      </c>
      <c r="AN13" s="18" t="n">
        <v>0.2235</v>
      </c>
      <c r="AO13" s="18" t="n">
        <v>0.1374</v>
      </c>
      <c r="AP13" s="18" t="n">
        <v>0.295</v>
      </c>
      <c r="AQ13" s="18" t="n">
        <v>0.053</v>
      </c>
      <c r="AR13" s="18" t="n">
        <v>0.0751</v>
      </c>
      <c r="AS13" s="18" t="n">
        <v>0.2776</v>
      </c>
      <c r="AT13" s="18" t="n">
        <v>0.1327</v>
      </c>
      <c r="AU13" s="18" t="n">
        <v>0.112</v>
      </c>
      <c r="AV13" s="18" t="n">
        <v>0.2454</v>
      </c>
      <c r="AW13" s="18" t="n">
        <v>0.3517</v>
      </c>
      <c r="AX13" s="18" t="n">
        <v>0.2673</v>
      </c>
    </row>
    <row r="14">
      <c r="A14" s="10" t="inlineStr">
        <is>
          <t>Load_TR2_F3_18</t>
        </is>
      </c>
      <c r="B14" s="12" t="inlineStr">
        <is>
          <t>customer</t>
        </is>
      </c>
      <c r="C14" s="18" t="n">
        <v>0.1474</v>
      </c>
      <c r="D14" s="18" t="n">
        <v>0.046</v>
      </c>
      <c r="E14" s="18" t="n">
        <v>0.1334</v>
      </c>
      <c r="F14" s="18" t="n">
        <v>0.2709</v>
      </c>
      <c r="G14" s="18" t="n">
        <v>0.08019999999999999</v>
      </c>
      <c r="H14" s="18" t="n">
        <v>0.1237</v>
      </c>
      <c r="I14" s="18" t="n">
        <v>0.3148</v>
      </c>
      <c r="J14" s="18" t="n">
        <v>0.046</v>
      </c>
      <c r="K14" s="18" t="n">
        <v>0.2215</v>
      </c>
      <c r="L14" s="18" t="n">
        <v>0.217</v>
      </c>
      <c r="M14" s="18" t="n">
        <v>0.1043</v>
      </c>
      <c r="N14" s="18" t="n">
        <v>0.3342</v>
      </c>
      <c r="O14" s="18" t="n">
        <v>0.0897</v>
      </c>
      <c r="P14" s="18" t="n">
        <v>0.0994</v>
      </c>
      <c r="Q14" s="18" t="n">
        <v>0.2954</v>
      </c>
      <c r="R14" s="18" t="n">
        <v>0.1043</v>
      </c>
      <c r="S14" s="18" t="n">
        <v>0.0848</v>
      </c>
      <c r="T14" s="18" t="n">
        <v>0.3099</v>
      </c>
      <c r="U14" s="18" t="n">
        <v>0.1456</v>
      </c>
      <c r="V14" s="18" t="n">
        <v>0.2234</v>
      </c>
      <c r="W14" s="18" t="n">
        <v>0.2236</v>
      </c>
      <c r="X14" s="18" t="n">
        <v>0.0973</v>
      </c>
      <c r="Y14" s="18" t="n">
        <v>0.2526</v>
      </c>
      <c r="Z14" s="18" t="n">
        <v>0.181</v>
      </c>
      <c r="AA14" s="18" t="n">
        <v>0.07439999999999999</v>
      </c>
      <c r="AB14" s="18" t="n">
        <v>0.3204</v>
      </c>
      <c r="AC14" s="18" t="n">
        <v>0.0946</v>
      </c>
      <c r="AD14" s="18" t="n">
        <v>0.2184</v>
      </c>
      <c r="AE14" s="18" t="n">
        <v>0.123</v>
      </c>
      <c r="AF14" s="18" t="n">
        <v>0.198</v>
      </c>
      <c r="AG14" s="18" t="n">
        <v>0.1892</v>
      </c>
      <c r="AH14" s="18" t="n">
        <v>0.1944</v>
      </c>
      <c r="AI14" s="18" t="n">
        <v>0.2526</v>
      </c>
      <c r="AJ14" s="18" t="n">
        <v>0.1033</v>
      </c>
      <c r="AK14" s="18" t="n">
        <v>0.2696</v>
      </c>
      <c r="AL14" s="18" t="n">
        <v>0.1822</v>
      </c>
      <c r="AM14" s="18" t="n">
        <v>0.0998</v>
      </c>
      <c r="AN14" s="18" t="n">
        <v>0.548</v>
      </c>
      <c r="AO14" s="18" t="n">
        <v>0.1323</v>
      </c>
      <c r="AP14" s="18" t="n">
        <v>0.3742</v>
      </c>
      <c r="AQ14" s="18" t="n">
        <v>0.7361</v>
      </c>
      <c r="AR14" s="18" t="n">
        <v>0.6087</v>
      </c>
      <c r="AS14" s="18" t="n">
        <v>0.731</v>
      </c>
      <c r="AT14" s="18" t="n">
        <v>1.0361</v>
      </c>
      <c r="AU14" s="18" t="n">
        <v>0.7173</v>
      </c>
      <c r="AV14" s="18" t="n">
        <v>0.5039</v>
      </c>
      <c r="AW14" s="18" t="n">
        <v>0.6304</v>
      </c>
      <c r="AX14" s="18" t="n">
        <v>0.311</v>
      </c>
    </row>
    <row r="15">
      <c r="A15" s="10" t="inlineStr">
        <is>
          <t>Load_TR2_F3_19</t>
        </is>
      </c>
      <c r="B15" s="12" t="inlineStr">
        <is>
          <t>customer</t>
        </is>
      </c>
      <c r="C15" s="18" t="n">
        <v>0.1256</v>
      </c>
      <c r="D15" s="18" t="n">
        <v>0.051</v>
      </c>
      <c r="E15" s="18" t="n">
        <v>0.0551</v>
      </c>
      <c r="F15" s="18" t="n">
        <v>0.1215</v>
      </c>
      <c r="G15" s="18" t="n">
        <v>0.051</v>
      </c>
      <c r="H15" s="18" t="n">
        <v>0.051</v>
      </c>
      <c r="I15" s="18" t="n">
        <v>0.09660000000000001</v>
      </c>
      <c r="J15" s="18" t="n">
        <v>0.08</v>
      </c>
      <c r="K15" s="18" t="n">
        <v>0.051</v>
      </c>
      <c r="L15" s="18" t="n">
        <v>0.0759</v>
      </c>
      <c r="M15" s="18" t="n">
        <v>0.1008</v>
      </c>
      <c r="N15" s="18" t="n">
        <v>0.051</v>
      </c>
      <c r="O15" s="18" t="n">
        <v>0.051</v>
      </c>
      <c r="P15" s="18" t="n">
        <v>0.051</v>
      </c>
      <c r="Q15" s="18" t="n">
        <v>0.051</v>
      </c>
      <c r="R15" s="18" t="n">
        <v>0.1256</v>
      </c>
      <c r="S15" s="18" t="n">
        <v>0.2975</v>
      </c>
      <c r="T15" s="18" t="n">
        <v>0.4056</v>
      </c>
      <c r="U15" s="18" t="n">
        <v>0.2806</v>
      </c>
      <c r="V15" s="18" t="n">
        <v>0.2372</v>
      </c>
      <c r="W15" s="18" t="n">
        <v>0.0605</v>
      </c>
      <c r="X15" s="18" t="n">
        <v>0.0634</v>
      </c>
      <c r="Y15" s="18" t="n">
        <v>0.1132</v>
      </c>
      <c r="Z15" s="18" t="n">
        <v>0.051</v>
      </c>
      <c r="AA15" s="18" t="n">
        <v>0.2041</v>
      </c>
      <c r="AB15" s="18" t="n">
        <v>0.2141</v>
      </c>
      <c r="AC15" s="18" t="n">
        <v>0.1276</v>
      </c>
      <c r="AD15" s="18" t="n">
        <v>0.051</v>
      </c>
      <c r="AE15" s="18" t="n">
        <v>0.0717</v>
      </c>
      <c r="AF15" s="18" t="n">
        <v>0.1049</v>
      </c>
      <c r="AG15" s="18" t="n">
        <v>0.051</v>
      </c>
      <c r="AH15" s="18" t="n">
        <v>0.051</v>
      </c>
      <c r="AI15" s="18" t="n">
        <v>0.1256</v>
      </c>
      <c r="AJ15" s="18" t="n">
        <v>0.051</v>
      </c>
      <c r="AK15" s="18" t="n">
        <v>0.1091</v>
      </c>
      <c r="AL15" s="18" t="n">
        <v>0.06759999999999999</v>
      </c>
      <c r="AM15" s="18" t="n">
        <v>0.09660000000000001</v>
      </c>
      <c r="AN15" s="18" t="n">
        <v>0.08</v>
      </c>
      <c r="AO15" s="18" t="n">
        <v>0.051</v>
      </c>
      <c r="AP15" s="18" t="n">
        <v>0.051</v>
      </c>
      <c r="AQ15" s="18" t="n">
        <v>0.0883</v>
      </c>
      <c r="AR15" s="18" t="n">
        <v>0.0883</v>
      </c>
      <c r="AS15" s="18" t="n">
        <v>0.051</v>
      </c>
      <c r="AT15" s="18" t="n">
        <v>0.1256</v>
      </c>
      <c r="AU15" s="18" t="n">
        <v>0.051</v>
      </c>
      <c r="AV15" s="18" t="n">
        <v>0.1256</v>
      </c>
      <c r="AW15" s="18" t="n">
        <v>0.051</v>
      </c>
      <c r="AX15" s="18" t="n">
        <v>0.051</v>
      </c>
    </row>
    <row r="16">
      <c r="A16" s="10" t="inlineStr">
        <is>
          <t>Load_TR2_F3_2</t>
        </is>
      </c>
      <c r="B16" s="12" t="inlineStr">
        <is>
          <t>customer</t>
        </is>
      </c>
      <c r="C16" s="18" t="n">
        <v>0.1823</v>
      </c>
      <c r="D16" s="18" t="n">
        <v>0.048</v>
      </c>
      <c r="E16" s="18" t="n">
        <v>0.1512</v>
      </c>
      <c r="F16" s="18" t="n">
        <v>0.1567</v>
      </c>
      <c r="G16" s="18" t="n">
        <v>0.1192</v>
      </c>
      <c r="H16" s="18" t="n">
        <v>0.1887</v>
      </c>
      <c r="I16" s="18" t="n">
        <v>0.048</v>
      </c>
      <c r="J16" s="18" t="n">
        <v>0.1192</v>
      </c>
      <c r="K16" s="18" t="n">
        <v>0.048</v>
      </c>
      <c r="L16" s="18" t="n">
        <v>0.2441</v>
      </c>
      <c r="M16" s="18" t="n">
        <v>0.0638</v>
      </c>
      <c r="N16" s="18" t="n">
        <v>0.1113</v>
      </c>
      <c r="O16" s="18" t="n">
        <v>0.1966</v>
      </c>
      <c r="P16" s="18" t="n">
        <v>0.048</v>
      </c>
      <c r="Q16" s="18" t="n">
        <v>0.048</v>
      </c>
      <c r="R16" s="18" t="n">
        <v>0.1247</v>
      </c>
      <c r="S16" s="18" t="n">
        <v>0.1119</v>
      </c>
      <c r="T16" s="18" t="n">
        <v>1.0913</v>
      </c>
      <c r="U16" s="18" t="n">
        <v>0.3151</v>
      </c>
      <c r="V16" s="18" t="n">
        <v>0.3174</v>
      </c>
      <c r="W16" s="18" t="n">
        <v>0.3007</v>
      </c>
      <c r="X16" s="18" t="n">
        <v>0.3775</v>
      </c>
      <c r="Y16" s="18" t="n">
        <v>0.207</v>
      </c>
      <c r="Z16" s="18" t="n">
        <v>0.3627</v>
      </c>
      <c r="AA16" s="18" t="n">
        <v>0.2224</v>
      </c>
      <c r="AB16" s="18" t="n">
        <v>0.2714</v>
      </c>
      <c r="AC16" s="18" t="n">
        <v>0.3776</v>
      </c>
      <c r="AD16" s="18" t="n">
        <v>0.2642</v>
      </c>
      <c r="AE16" s="18" t="n">
        <v>0.4403</v>
      </c>
      <c r="AF16" s="18" t="n">
        <v>0.5407</v>
      </c>
      <c r="AG16" s="18" t="n">
        <v>1.2901</v>
      </c>
      <c r="AH16" s="18" t="n">
        <v>0.4804</v>
      </c>
      <c r="AI16" s="18" t="n">
        <v>0.3614</v>
      </c>
      <c r="AJ16" s="18" t="n">
        <v>0.2332</v>
      </c>
      <c r="AK16" s="18" t="n">
        <v>0.3552</v>
      </c>
      <c r="AL16" s="18" t="n">
        <v>0.3398</v>
      </c>
      <c r="AM16" s="18" t="n">
        <v>0.2082</v>
      </c>
      <c r="AN16" s="18" t="n">
        <v>0.0762</v>
      </c>
      <c r="AO16" s="18" t="n">
        <v>0.3634</v>
      </c>
      <c r="AP16" s="18" t="n">
        <v>0.4132</v>
      </c>
      <c r="AQ16" s="18" t="n">
        <v>0.7189</v>
      </c>
      <c r="AR16" s="18" t="n">
        <v>0.7294</v>
      </c>
      <c r="AS16" s="18" t="n">
        <v>0.5619</v>
      </c>
      <c r="AT16" s="18" t="n">
        <v>0.7093</v>
      </c>
      <c r="AU16" s="18" t="n">
        <v>0.863</v>
      </c>
      <c r="AV16" s="18" t="n">
        <v>0.6242</v>
      </c>
      <c r="AW16" s="18" t="n">
        <v>0.224</v>
      </c>
      <c r="AX16" s="18" t="n">
        <v>0.0839</v>
      </c>
    </row>
    <row r="17">
      <c r="A17" s="19" t="inlineStr">
        <is>
          <t>Load_TR2_F3_20</t>
        </is>
      </c>
      <c r="B17" s="15" t="inlineStr">
        <is>
          <t>prosumer</t>
        </is>
      </c>
      <c r="C17" s="20" t="n">
        <v>0.2714</v>
      </c>
      <c r="D17" s="20" t="n">
        <v>0.08359999999999999</v>
      </c>
      <c r="E17" s="20" t="n">
        <v>0.1839</v>
      </c>
      <c r="F17" s="20" t="n">
        <v>0.055</v>
      </c>
      <c r="G17" s="20" t="n">
        <v>0.1409</v>
      </c>
      <c r="H17" s="20" t="n">
        <v>0.1266</v>
      </c>
      <c r="I17" s="20" t="n">
        <v>0.055</v>
      </c>
      <c r="J17" s="20" t="n">
        <v>0.1337</v>
      </c>
      <c r="K17" s="20" t="n">
        <v>0.1337</v>
      </c>
      <c r="L17" s="20" t="n">
        <v>0.055</v>
      </c>
      <c r="M17" s="20" t="n">
        <v>0.1767</v>
      </c>
      <c r="N17" s="20" t="n">
        <v>0.09080000000000001</v>
      </c>
      <c r="O17" s="20" t="n">
        <v>0.055</v>
      </c>
      <c r="P17" s="20" t="n">
        <v>0.1624</v>
      </c>
      <c r="Q17" s="20" t="n">
        <v>0.1051</v>
      </c>
      <c r="R17" s="20" t="n">
        <v>0.1009</v>
      </c>
      <c r="S17" s="20" t="n">
        <v>1.178</v>
      </c>
      <c r="T17" s="20" t="n">
        <v>0.2713</v>
      </c>
      <c r="U17" s="20" t="n">
        <v>1.3651</v>
      </c>
      <c r="V17" s="20" t="n">
        <v>2.9296</v>
      </c>
      <c r="W17" s="20" t="n">
        <v>1.8908</v>
      </c>
      <c r="X17" s="20" t="n">
        <v>1.6856</v>
      </c>
      <c r="Y17" s="20" t="n">
        <v>0.0847</v>
      </c>
      <c r="Z17" s="20" t="n">
        <v>0.2808</v>
      </c>
      <c r="AA17" s="20" t="n">
        <v>0.1467</v>
      </c>
      <c r="AB17" s="20" t="n">
        <v>0.306</v>
      </c>
      <c r="AC17" s="20" t="n">
        <v>0.2235</v>
      </c>
      <c r="AD17" s="20" t="n">
        <v>1.7286</v>
      </c>
      <c r="AE17" s="20" t="n">
        <v>2.4446</v>
      </c>
      <c r="AF17" s="20" t="n">
        <v>0.9494</v>
      </c>
      <c r="AG17" s="20" t="n">
        <v>1.8269</v>
      </c>
      <c r="AH17" s="20" t="n">
        <v>0.3568</v>
      </c>
      <c r="AI17" s="20" t="n">
        <v>0.3535</v>
      </c>
      <c r="AJ17" s="20" t="n">
        <v>0.4475</v>
      </c>
      <c r="AK17" s="20" t="n">
        <v>0.614</v>
      </c>
      <c r="AL17" s="20" t="n">
        <v>1.198</v>
      </c>
      <c r="AM17" s="20" t="n">
        <v>1.0537</v>
      </c>
      <c r="AN17" s="20" t="n">
        <v>0.2382</v>
      </c>
      <c r="AO17" s="20" t="n">
        <v>0.2008</v>
      </c>
      <c r="AP17" s="20" t="n">
        <v>0.1695</v>
      </c>
      <c r="AQ17" s="20" t="n">
        <v>0.055</v>
      </c>
      <c r="AR17" s="20" t="n">
        <v>0.2125</v>
      </c>
      <c r="AS17" s="20" t="n">
        <v>0.055</v>
      </c>
      <c r="AT17" s="20" t="n">
        <v>0.055</v>
      </c>
      <c r="AU17" s="20" t="n">
        <v>0.2456</v>
      </c>
      <c r="AV17" s="20" t="n">
        <v>0.412</v>
      </c>
      <c r="AW17" s="20" t="n">
        <v>0.2408</v>
      </c>
      <c r="AX17" s="20" t="n">
        <v>0.4474</v>
      </c>
    </row>
    <row r="18">
      <c r="A18" s="19" t="inlineStr">
        <is>
          <t>Load_TR2_F3_21</t>
        </is>
      </c>
      <c r="B18" s="15" t="inlineStr">
        <is>
          <t>prosumer</t>
        </is>
      </c>
      <c r="C18" s="20" t="n">
        <v>0.043</v>
      </c>
      <c r="D18" s="20" t="n">
        <v>0.2115</v>
      </c>
      <c r="E18" s="20" t="n">
        <v>0.043</v>
      </c>
      <c r="F18" s="20" t="n">
        <v>0.1655</v>
      </c>
      <c r="G18" s="20" t="n">
        <v>0.08890000000000001</v>
      </c>
      <c r="H18" s="20" t="n">
        <v>0.0583</v>
      </c>
      <c r="I18" s="20" t="n">
        <v>0.1961</v>
      </c>
      <c r="J18" s="20" t="n">
        <v>0.043</v>
      </c>
      <c r="K18" s="20" t="n">
        <v>0.2115</v>
      </c>
      <c r="L18" s="20" t="n">
        <v>0.043</v>
      </c>
      <c r="M18" s="20" t="n">
        <v>0.1349</v>
      </c>
      <c r="N18" s="20" t="n">
        <v>0.1196</v>
      </c>
      <c r="O18" s="20" t="n">
        <v>0.0507</v>
      </c>
      <c r="P18" s="20" t="n">
        <v>0.2038</v>
      </c>
      <c r="Q18" s="20" t="n">
        <v>0.053</v>
      </c>
      <c r="R18" s="20" t="n">
        <v>0.1526</v>
      </c>
      <c r="S18" s="20" t="n">
        <v>0.1624</v>
      </c>
      <c r="T18" s="20" t="n">
        <v>0.1651</v>
      </c>
      <c r="U18" s="20" t="n">
        <v>0.2865</v>
      </c>
      <c r="V18" s="20" t="n">
        <v>0.0515</v>
      </c>
      <c r="W18" s="20" t="n">
        <v>0.043</v>
      </c>
      <c r="X18" s="20" t="n">
        <v>0.09660000000000001</v>
      </c>
      <c r="Y18" s="20" t="n">
        <v>0.1579</v>
      </c>
      <c r="Z18" s="20" t="n">
        <v>0.043</v>
      </c>
      <c r="AA18" s="20" t="n">
        <v>0.2671</v>
      </c>
      <c r="AB18" s="20" t="n">
        <v>0.1225</v>
      </c>
      <c r="AC18" s="20" t="n">
        <v>1.1124</v>
      </c>
      <c r="AD18" s="20" t="n">
        <v>0.1043</v>
      </c>
      <c r="AE18" s="20" t="n">
        <v>0.043</v>
      </c>
      <c r="AF18" s="20" t="n">
        <v>0.043</v>
      </c>
      <c r="AG18" s="20" t="n">
        <v>0.1655</v>
      </c>
      <c r="AH18" s="20" t="n">
        <v>0.748</v>
      </c>
      <c r="AI18" s="20" t="n">
        <v>0.2751</v>
      </c>
      <c r="AJ18" s="20" t="n">
        <v>0.3278</v>
      </c>
      <c r="AK18" s="20" t="n">
        <v>0.161</v>
      </c>
      <c r="AL18" s="20" t="n">
        <v>0.2341</v>
      </c>
      <c r="AM18" s="20" t="n">
        <v>0.1431</v>
      </c>
      <c r="AN18" s="20" t="n">
        <v>0.3818</v>
      </c>
      <c r="AO18" s="20" t="n">
        <v>0.5056</v>
      </c>
      <c r="AP18" s="20" t="n">
        <v>0.6541</v>
      </c>
      <c r="AQ18" s="20" t="n">
        <v>1.0704</v>
      </c>
      <c r="AR18" s="20" t="n">
        <v>0.2013</v>
      </c>
      <c r="AS18" s="20" t="n">
        <v>0.3476</v>
      </c>
      <c r="AT18" s="20" t="n">
        <v>0.2203</v>
      </c>
      <c r="AU18" s="20" t="n">
        <v>0.4236</v>
      </c>
      <c r="AV18" s="20" t="n">
        <v>0.263</v>
      </c>
      <c r="AW18" s="20" t="n">
        <v>0.3166</v>
      </c>
      <c r="AX18" s="20" t="n">
        <v>0.043</v>
      </c>
    </row>
    <row r="19">
      <c r="A19" s="19" t="inlineStr">
        <is>
          <t>Load_TR2_F3_22</t>
        </is>
      </c>
      <c r="B19" s="15" t="inlineStr">
        <is>
          <t>prosumer</t>
        </is>
      </c>
      <c r="C19" s="20" t="n">
        <v>0.206</v>
      </c>
      <c r="D19" s="20" t="n">
        <v>0.056</v>
      </c>
      <c r="E19" s="20" t="n">
        <v>0.1958</v>
      </c>
      <c r="F19" s="20" t="n">
        <v>0.206</v>
      </c>
      <c r="G19" s="20" t="n">
        <v>0.056</v>
      </c>
      <c r="H19" s="20" t="n">
        <v>0.3458</v>
      </c>
      <c r="I19" s="20" t="n">
        <v>0.056</v>
      </c>
      <c r="J19" s="20" t="n">
        <v>0.1981</v>
      </c>
      <c r="K19" s="20" t="n">
        <v>0.2037</v>
      </c>
      <c r="L19" s="20" t="n">
        <v>0.056</v>
      </c>
      <c r="M19" s="20" t="n">
        <v>0.2628</v>
      </c>
      <c r="N19" s="20" t="n">
        <v>0.139</v>
      </c>
      <c r="O19" s="20" t="n">
        <v>0.1428</v>
      </c>
      <c r="P19" s="20" t="n">
        <v>0.2471</v>
      </c>
      <c r="Q19" s="20" t="n">
        <v>0.2983</v>
      </c>
      <c r="R19" s="20" t="n">
        <v>0.2656</v>
      </c>
      <c r="S19" s="20" t="n">
        <v>0.1224</v>
      </c>
      <c r="T19" s="20" t="n">
        <v>0.2479</v>
      </c>
      <c r="U19" s="20" t="n">
        <v>1.499</v>
      </c>
      <c r="V19" s="20" t="n">
        <v>0.6079</v>
      </c>
      <c r="W19" s="20" t="n">
        <v>2.2168</v>
      </c>
      <c r="X19" s="20" t="n">
        <v>0.4507</v>
      </c>
      <c r="Y19" s="20" t="n">
        <v>1.3429</v>
      </c>
      <c r="Z19" s="20" t="n">
        <v>0.1822</v>
      </c>
      <c r="AA19" s="20" t="n">
        <v>0.5988</v>
      </c>
      <c r="AB19" s="20" t="n">
        <v>0.3338</v>
      </c>
      <c r="AC19" s="20" t="n">
        <v>0.3518</v>
      </c>
      <c r="AD19" s="20" t="n">
        <v>0.5609</v>
      </c>
      <c r="AE19" s="20" t="n">
        <v>0.317</v>
      </c>
      <c r="AF19" s="20" t="n">
        <v>0.2607</v>
      </c>
      <c r="AG19" s="20" t="n">
        <v>0.2535</v>
      </c>
      <c r="AH19" s="20" t="n">
        <v>0.2695</v>
      </c>
      <c r="AI19" s="20" t="n">
        <v>0.2957</v>
      </c>
      <c r="AJ19" s="20" t="n">
        <v>0.4184</v>
      </c>
      <c r="AK19" s="20" t="n">
        <v>0.2817</v>
      </c>
      <c r="AL19" s="20" t="n">
        <v>1.035</v>
      </c>
      <c r="AM19" s="20" t="n">
        <v>0.4022</v>
      </c>
      <c r="AN19" s="20" t="n">
        <v>1.0756</v>
      </c>
      <c r="AO19" s="20" t="n">
        <v>0.1554</v>
      </c>
      <c r="AP19" s="20" t="n">
        <v>0.4709</v>
      </c>
      <c r="AQ19" s="20" t="n">
        <v>0.2233</v>
      </c>
      <c r="AR19" s="20" t="n">
        <v>0.4452</v>
      </c>
      <c r="AS19" s="20" t="n">
        <v>0.507</v>
      </c>
      <c r="AT19" s="20" t="n">
        <v>0.4055</v>
      </c>
      <c r="AU19" s="20" t="n">
        <v>0.5494</v>
      </c>
      <c r="AV19" s="20" t="n">
        <v>0.2707</v>
      </c>
      <c r="AW19" s="20" t="n">
        <v>0.1727</v>
      </c>
      <c r="AX19" s="20" t="n">
        <v>0.3458</v>
      </c>
    </row>
    <row r="20">
      <c r="A20" s="19" t="inlineStr">
        <is>
          <t>Load_TR2_F3_23</t>
        </is>
      </c>
      <c r="B20" s="15" t="inlineStr">
        <is>
          <t>prosumer</t>
        </is>
      </c>
      <c r="C20" s="20" t="n">
        <v>0.057</v>
      </c>
      <c r="D20" s="20" t="n">
        <v>0.057</v>
      </c>
      <c r="E20" s="20" t="n">
        <v>0.057</v>
      </c>
      <c r="F20" s="20" t="n">
        <v>0.057</v>
      </c>
      <c r="G20" s="20" t="n">
        <v>0.057</v>
      </c>
      <c r="H20" s="20" t="n">
        <v>0.057</v>
      </c>
      <c r="I20" s="20" t="n">
        <v>0.057</v>
      </c>
      <c r="J20" s="20" t="n">
        <v>0.057</v>
      </c>
      <c r="K20" s="20" t="n">
        <v>0.057</v>
      </c>
      <c r="L20" s="20" t="n">
        <v>0.057</v>
      </c>
      <c r="M20" s="20" t="n">
        <v>0.057</v>
      </c>
      <c r="N20" s="20" t="n">
        <v>0.057</v>
      </c>
      <c r="O20" s="20" t="n">
        <v>0.057</v>
      </c>
      <c r="P20" s="20" t="n">
        <v>0.0701</v>
      </c>
      <c r="Q20" s="20" t="n">
        <v>0.1634</v>
      </c>
      <c r="R20" s="20" t="n">
        <v>0.1451</v>
      </c>
      <c r="S20" s="20" t="n">
        <v>1.0588</v>
      </c>
      <c r="T20" s="20" t="n">
        <v>0.2395</v>
      </c>
      <c r="U20" s="20" t="n">
        <v>0.1965</v>
      </c>
      <c r="V20" s="20" t="n">
        <v>0.1865</v>
      </c>
      <c r="W20" s="20" t="n">
        <v>0.057</v>
      </c>
      <c r="X20" s="20" t="n">
        <v>0.057</v>
      </c>
      <c r="Y20" s="20" t="n">
        <v>0.057</v>
      </c>
      <c r="Z20" s="20" t="n">
        <v>0.057</v>
      </c>
      <c r="AA20" s="20" t="n">
        <v>0.057</v>
      </c>
      <c r="AB20" s="20" t="n">
        <v>0.057</v>
      </c>
      <c r="AC20" s="20" t="n">
        <v>0.057</v>
      </c>
      <c r="AD20" s="20" t="n">
        <v>0.057</v>
      </c>
      <c r="AE20" s="20" t="n">
        <v>0.057</v>
      </c>
      <c r="AF20" s="20" t="n">
        <v>0.2109</v>
      </c>
      <c r="AG20" s="20" t="n">
        <v>0.2055</v>
      </c>
      <c r="AH20" s="20" t="n">
        <v>0.2082</v>
      </c>
      <c r="AI20" s="20" t="n">
        <v>0.1858</v>
      </c>
      <c r="AJ20" s="20" t="n">
        <v>0.2418</v>
      </c>
      <c r="AK20" s="20" t="n">
        <v>0.2524</v>
      </c>
      <c r="AL20" s="20" t="n">
        <v>0.2201</v>
      </c>
      <c r="AM20" s="20" t="n">
        <v>0.1164</v>
      </c>
      <c r="AN20" s="20" t="n">
        <v>0.1463</v>
      </c>
      <c r="AO20" s="20" t="n">
        <v>0.333</v>
      </c>
      <c r="AP20" s="20" t="n">
        <v>0.4171</v>
      </c>
      <c r="AQ20" s="20" t="n">
        <v>0.2517</v>
      </c>
      <c r="AR20" s="20" t="n">
        <v>0.1873</v>
      </c>
      <c r="AS20" s="20" t="n">
        <v>0.3023</v>
      </c>
      <c r="AT20" s="20" t="n">
        <v>0.3449</v>
      </c>
      <c r="AU20" s="20" t="n">
        <v>0.2994</v>
      </c>
      <c r="AV20" s="20" t="n">
        <v>0.3211</v>
      </c>
      <c r="AW20" s="20" t="n">
        <v>0.057</v>
      </c>
      <c r="AX20" s="20" t="n">
        <v>0.057</v>
      </c>
    </row>
    <row r="21">
      <c r="A21" s="10" t="inlineStr">
        <is>
          <t>Load_TR2_F3_24</t>
        </is>
      </c>
      <c r="B21" s="12" t="inlineStr">
        <is>
          <t>customer</t>
        </is>
      </c>
      <c r="C21" s="18" t="n">
        <v>0.1758</v>
      </c>
      <c r="D21" s="18" t="n">
        <v>0.1277</v>
      </c>
      <c r="E21" s="18" t="n">
        <v>0.2226</v>
      </c>
      <c r="F21" s="18" t="n">
        <v>0.1277</v>
      </c>
      <c r="G21" s="18" t="n">
        <v>0.051</v>
      </c>
      <c r="H21" s="18" t="n">
        <v>0.2163</v>
      </c>
      <c r="I21" s="18" t="n">
        <v>0.1341</v>
      </c>
      <c r="J21" s="18" t="n">
        <v>0.051</v>
      </c>
      <c r="K21" s="18" t="n">
        <v>0.2993</v>
      </c>
      <c r="L21" s="18" t="n">
        <v>0.051</v>
      </c>
      <c r="M21" s="18" t="n">
        <v>0.051</v>
      </c>
      <c r="N21" s="18" t="n">
        <v>0.2695</v>
      </c>
      <c r="O21" s="18" t="n">
        <v>0.0808</v>
      </c>
      <c r="P21" s="18" t="n">
        <v>0.1446</v>
      </c>
      <c r="Q21" s="18" t="n">
        <v>0.1418</v>
      </c>
      <c r="R21" s="18" t="n">
        <v>0.1617</v>
      </c>
      <c r="S21" s="18" t="n">
        <v>0.1758</v>
      </c>
      <c r="T21" s="18" t="n">
        <v>0.0893</v>
      </c>
      <c r="U21" s="18" t="n">
        <v>0.3248</v>
      </c>
      <c r="V21" s="18" t="n">
        <v>0.2004</v>
      </c>
      <c r="W21" s="18" t="n">
        <v>0.0822</v>
      </c>
      <c r="X21" s="18" t="n">
        <v>0.1914</v>
      </c>
      <c r="Y21" s="18" t="n">
        <v>0.051</v>
      </c>
      <c r="Z21" s="18" t="n">
        <v>0.2737</v>
      </c>
      <c r="AA21" s="18" t="n">
        <v>0.5205</v>
      </c>
      <c r="AB21" s="18" t="n">
        <v>0.051</v>
      </c>
      <c r="AC21" s="18" t="n">
        <v>0.2226</v>
      </c>
      <c r="AD21" s="18" t="n">
        <v>0.051</v>
      </c>
      <c r="AE21" s="18" t="n">
        <v>0.1901</v>
      </c>
      <c r="AF21" s="18" t="n">
        <v>0.1602</v>
      </c>
      <c r="AG21" s="18" t="n">
        <v>0.9086</v>
      </c>
      <c r="AH21" s="18" t="n">
        <v>0.2993</v>
      </c>
      <c r="AI21" s="18" t="n">
        <v>0.051</v>
      </c>
      <c r="AJ21" s="18" t="n">
        <v>0.168</v>
      </c>
      <c r="AK21" s="18" t="n">
        <v>0.1525</v>
      </c>
      <c r="AL21" s="18" t="n">
        <v>0.0808</v>
      </c>
      <c r="AM21" s="18" t="n">
        <v>0.2865</v>
      </c>
      <c r="AN21" s="18" t="n">
        <v>0.426</v>
      </c>
      <c r="AO21" s="18" t="n">
        <v>0.7091</v>
      </c>
      <c r="AP21" s="18" t="n">
        <v>0.2033</v>
      </c>
      <c r="AQ21" s="18" t="n">
        <v>0.1208</v>
      </c>
      <c r="AR21" s="18" t="n">
        <v>0.2567</v>
      </c>
      <c r="AS21" s="18" t="n">
        <v>0.0936</v>
      </c>
      <c r="AT21" s="18" t="n">
        <v>0.051</v>
      </c>
      <c r="AU21" s="18" t="n">
        <v>0.1702</v>
      </c>
      <c r="AV21" s="18" t="n">
        <v>0.1801</v>
      </c>
      <c r="AW21" s="18" t="n">
        <v>0.1852</v>
      </c>
      <c r="AX21" s="18" t="n">
        <v>0.6415</v>
      </c>
    </row>
    <row r="22">
      <c r="A22" s="19" t="inlineStr">
        <is>
          <t>Load_TR2_F3_25</t>
        </is>
      </c>
      <c r="B22" s="15" t="inlineStr">
        <is>
          <t>prosumer</t>
        </is>
      </c>
      <c r="C22" s="20" t="n">
        <v>0.054</v>
      </c>
      <c r="D22" s="20" t="n">
        <v>0.1718</v>
      </c>
      <c r="E22" s="20" t="n">
        <v>0.2131</v>
      </c>
      <c r="F22" s="20" t="n">
        <v>0.054</v>
      </c>
      <c r="G22" s="20" t="n">
        <v>0.1544</v>
      </c>
      <c r="H22" s="20" t="n">
        <v>0.2306</v>
      </c>
      <c r="I22" s="20" t="n">
        <v>0.1042</v>
      </c>
      <c r="J22" s="20" t="n">
        <v>0.2487</v>
      </c>
      <c r="K22" s="20" t="n">
        <v>0.0861</v>
      </c>
      <c r="L22" s="20" t="n">
        <v>0.1544</v>
      </c>
      <c r="M22" s="20" t="n">
        <v>0.2651</v>
      </c>
      <c r="N22" s="20" t="n">
        <v>0.1329</v>
      </c>
      <c r="O22" s="20" t="n">
        <v>0.1237</v>
      </c>
      <c r="P22" s="20" t="n">
        <v>0.1892</v>
      </c>
      <c r="Q22" s="20" t="n">
        <v>0.054</v>
      </c>
      <c r="R22" s="20" t="n">
        <v>0.1544</v>
      </c>
      <c r="S22" s="20" t="n">
        <v>0.054</v>
      </c>
      <c r="T22" s="20" t="n">
        <v>0.1744</v>
      </c>
      <c r="U22" s="20" t="n">
        <v>0.2106</v>
      </c>
      <c r="V22" s="20" t="n">
        <v>0.054</v>
      </c>
      <c r="W22" s="20" t="n">
        <v>0.3597</v>
      </c>
      <c r="X22" s="20" t="n">
        <v>0.2982</v>
      </c>
      <c r="Y22" s="20" t="n">
        <v>0.1988</v>
      </c>
      <c r="Z22" s="20" t="n">
        <v>0.4421</v>
      </c>
      <c r="AA22" s="20" t="n">
        <v>0.2538</v>
      </c>
      <c r="AB22" s="20" t="n">
        <v>0.3262</v>
      </c>
      <c r="AC22" s="20" t="n">
        <v>0.7406</v>
      </c>
      <c r="AD22" s="20" t="n">
        <v>0.2978</v>
      </c>
      <c r="AE22" s="20" t="n">
        <v>0.362</v>
      </c>
      <c r="AF22" s="20" t="n">
        <v>0.4484</v>
      </c>
      <c r="AG22" s="20" t="n">
        <v>0.4954</v>
      </c>
      <c r="AH22" s="20" t="n">
        <v>0.2856</v>
      </c>
      <c r="AI22" s="20" t="n">
        <v>0.3048</v>
      </c>
      <c r="AJ22" s="20" t="n">
        <v>0.1503</v>
      </c>
      <c r="AK22" s="20" t="n">
        <v>0.1932</v>
      </c>
      <c r="AL22" s="20" t="n">
        <v>0.2975</v>
      </c>
      <c r="AM22" s="20" t="n">
        <v>0.3399</v>
      </c>
      <c r="AN22" s="20" t="n">
        <v>0.2899</v>
      </c>
      <c r="AO22" s="20" t="n">
        <v>0.7484</v>
      </c>
      <c r="AP22" s="20" t="n">
        <v>1.8906</v>
      </c>
      <c r="AQ22" s="20" t="n">
        <v>0.1824</v>
      </c>
      <c r="AR22" s="20" t="n">
        <v>0.054</v>
      </c>
      <c r="AS22" s="20" t="n">
        <v>0.2254</v>
      </c>
      <c r="AT22" s="20" t="n">
        <v>0.1595</v>
      </c>
      <c r="AU22" s="20" t="n">
        <v>0.054</v>
      </c>
      <c r="AV22" s="20" t="n">
        <v>0.3023</v>
      </c>
      <c r="AW22" s="20" t="n">
        <v>0.0827</v>
      </c>
      <c r="AX22" s="20" t="n">
        <v>0.054</v>
      </c>
    </row>
    <row r="23">
      <c r="A23" s="19" t="inlineStr">
        <is>
          <t>Load_TR2_F3_29</t>
        </is>
      </c>
      <c r="B23" s="15" t="inlineStr">
        <is>
          <t>prosumer</t>
        </is>
      </c>
      <c r="C23" s="20" t="n">
        <v>0.1615</v>
      </c>
      <c r="D23" s="20" t="n">
        <v>0.1396</v>
      </c>
      <c r="E23" s="20" t="n">
        <v>0.1932</v>
      </c>
      <c r="F23" s="20" t="n">
        <v>0.1557</v>
      </c>
      <c r="G23" s="20" t="n">
        <v>0.1249</v>
      </c>
      <c r="H23" s="20" t="n">
        <v>0.1757</v>
      </c>
      <c r="I23" s="20" t="n">
        <v>0.1049</v>
      </c>
      <c r="J23" s="20" t="n">
        <v>0.1795</v>
      </c>
      <c r="K23" s="20" t="n">
        <v>0.06710000000000001</v>
      </c>
      <c r="L23" s="20" t="n">
        <v>0.2817</v>
      </c>
      <c r="M23" s="20" t="n">
        <v>0.043</v>
      </c>
      <c r="N23" s="20" t="n">
        <v>0.2444</v>
      </c>
      <c r="O23" s="20" t="n">
        <v>0.1044</v>
      </c>
      <c r="P23" s="20" t="n">
        <v>0.043</v>
      </c>
      <c r="Q23" s="20" t="n">
        <v>0.2122</v>
      </c>
      <c r="R23" s="20" t="n">
        <v>0.1366</v>
      </c>
      <c r="S23" s="20" t="n">
        <v>0.043</v>
      </c>
      <c r="T23" s="20" t="n">
        <v>0.3059</v>
      </c>
      <c r="U23" s="20" t="n">
        <v>0.2605</v>
      </c>
      <c r="V23" s="20" t="n">
        <v>0.2383</v>
      </c>
      <c r="W23" s="20" t="n">
        <v>0.1106</v>
      </c>
      <c r="X23" s="20" t="n">
        <v>0.0635</v>
      </c>
      <c r="Y23" s="20" t="n">
        <v>0.3675</v>
      </c>
      <c r="Z23" s="20" t="n">
        <v>1.5558</v>
      </c>
      <c r="AA23" s="20" t="n">
        <v>0.2545</v>
      </c>
      <c r="AB23" s="20" t="n">
        <v>0.3059</v>
      </c>
      <c r="AC23" s="20" t="n">
        <v>0.1069</v>
      </c>
      <c r="AD23" s="20" t="n">
        <v>0.2222</v>
      </c>
      <c r="AE23" s="20" t="n">
        <v>0.304</v>
      </c>
      <c r="AF23" s="20" t="n">
        <v>0.0574</v>
      </c>
      <c r="AG23" s="20" t="n">
        <v>0.1476</v>
      </c>
      <c r="AH23" s="20" t="n">
        <v>0.051</v>
      </c>
      <c r="AI23" s="20" t="n">
        <v>0.1454</v>
      </c>
      <c r="AJ23" s="20" t="n">
        <v>0.1471</v>
      </c>
      <c r="AK23" s="20" t="n">
        <v>0.0993</v>
      </c>
      <c r="AL23" s="20" t="n">
        <v>0.1236</v>
      </c>
      <c r="AM23" s="20" t="n">
        <v>0.2458</v>
      </c>
      <c r="AN23" s="20" t="n">
        <v>0.0572</v>
      </c>
      <c r="AO23" s="20" t="n">
        <v>0.6474</v>
      </c>
      <c r="AP23" s="20" t="n">
        <v>1.0319</v>
      </c>
      <c r="AQ23" s="20" t="n">
        <v>0.3037</v>
      </c>
      <c r="AR23" s="20" t="n">
        <v>0.5238</v>
      </c>
      <c r="AS23" s="20" t="n">
        <v>1.4961</v>
      </c>
      <c r="AT23" s="20" t="n">
        <v>0.1975</v>
      </c>
      <c r="AU23" s="20" t="n">
        <v>0.1932</v>
      </c>
      <c r="AV23" s="20" t="n">
        <v>0.1557</v>
      </c>
      <c r="AW23" s="20" t="n">
        <v>0.0498</v>
      </c>
      <c r="AX23" s="20" t="n">
        <v>0.1944</v>
      </c>
    </row>
    <row r="24">
      <c r="A24" s="10" t="inlineStr">
        <is>
          <t>Load_TR2_F3_3</t>
        </is>
      </c>
      <c r="B24" s="12" t="inlineStr">
        <is>
          <t>customer</t>
        </is>
      </c>
      <c r="C24" s="18" t="n">
        <v>0.1589</v>
      </c>
      <c r="D24" s="18" t="n">
        <v>0.2565</v>
      </c>
      <c r="E24" s="18" t="n">
        <v>0.0867</v>
      </c>
      <c r="F24" s="18" t="n">
        <v>0.2526</v>
      </c>
      <c r="G24" s="18" t="n">
        <v>0.055</v>
      </c>
      <c r="H24" s="18" t="n">
        <v>0.2145</v>
      </c>
      <c r="I24" s="18" t="n">
        <v>0.2326</v>
      </c>
      <c r="J24" s="18" t="n">
        <v>0.055</v>
      </c>
      <c r="K24" s="18" t="n">
        <v>0.1685</v>
      </c>
      <c r="L24" s="18" t="n">
        <v>0.1529</v>
      </c>
      <c r="M24" s="18" t="n">
        <v>0.1749</v>
      </c>
      <c r="N24" s="18" t="n">
        <v>0.2442</v>
      </c>
      <c r="O24" s="18" t="n">
        <v>0.0956</v>
      </c>
      <c r="P24" s="18" t="n">
        <v>0.1818</v>
      </c>
      <c r="Q24" s="18" t="n">
        <v>0.1807</v>
      </c>
      <c r="R24" s="18" t="n">
        <v>0.1586</v>
      </c>
      <c r="S24" s="18" t="n">
        <v>0.188</v>
      </c>
      <c r="T24" s="18" t="n">
        <v>0.2427</v>
      </c>
      <c r="U24" s="18" t="n">
        <v>0.2248</v>
      </c>
      <c r="V24" s="18" t="n">
        <v>0.1891</v>
      </c>
      <c r="W24" s="18" t="n">
        <v>0.2129</v>
      </c>
      <c r="X24" s="18" t="n">
        <v>0.1927</v>
      </c>
      <c r="Y24" s="18" t="n">
        <v>0.2411</v>
      </c>
      <c r="Z24" s="18" t="n">
        <v>0.2595</v>
      </c>
      <c r="AA24" s="18" t="n">
        <v>0.3083</v>
      </c>
      <c r="AB24" s="18" t="n">
        <v>0.1378</v>
      </c>
      <c r="AC24" s="18" t="n">
        <v>0.4259</v>
      </c>
      <c r="AD24" s="18" t="n">
        <v>0.5473</v>
      </c>
      <c r="AE24" s="18" t="n">
        <v>0.4384</v>
      </c>
      <c r="AF24" s="18" t="n">
        <v>0.6389</v>
      </c>
      <c r="AG24" s="18" t="n">
        <v>0.4121</v>
      </c>
      <c r="AH24" s="18" t="n">
        <v>1.6748</v>
      </c>
      <c r="AI24" s="18" t="n">
        <v>2.6703</v>
      </c>
      <c r="AJ24" s="18" t="n">
        <v>1.521</v>
      </c>
      <c r="AK24" s="18" t="n">
        <v>0.07099999999999999</v>
      </c>
      <c r="AL24" s="18" t="n">
        <v>0.055</v>
      </c>
      <c r="AM24" s="18" t="n">
        <v>0.2406</v>
      </c>
      <c r="AN24" s="18" t="n">
        <v>0.2065</v>
      </c>
      <c r="AO24" s="18" t="n">
        <v>0.4073</v>
      </c>
      <c r="AP24" s="18" t="n">
        <v>0.4372</v>
      </c>
      <c r="AQ24" s="18" t="n">
        <v>0.2902</v>
      </c>
      <c r="AR24" s="18" t="n">
        <v>0.2427</v>
      </c>
      <c r="AS24" s="18" t="n">
        <v>0.4791</v>
      </c>
      <c r="AT24" s="18" t="n">
        <v>0.7489</v>
      </c>
      <c r="AU24" s="18" t="n">
        <v>0.5158</v>
      </c>
      <c r="AV24" s="18" t="n">
        <v>0.8341</v>
      </c>
      <c r="AW24" s="18" t="n">
        <v>0.3558</v>
      </c>
      <c r="AX24" s="18" t="n">
        <v>0.136</v>
      </c>
    </row>
    <row r="25">
      <c r="A25" s="10" t="inlineStr">
        <is>
          <t>Load_TR2_F3_4</t>
        </is>
      </c>
      <c r="B25" s="12" t="inlineStr">
        <is>
          <t>customer</t>
        </is>
      </c>
      <c r="C25" s="18" t="n">
        <v>0.2053</v>
      </c>
      <c r="D25" s="18" t="n">
        <v>0.052</v>
      </c>
      <c r="E25" s="18" t="n">
        <v>0.1984</v>
      </c>
      <c r="F25" s="18" t="n">
        <v>0.1212</v>
      </c>
      <c r="G25" s="18" t="n">
        <v>0.133</v>
      </c>
      <c r="H25" s="18" t="n">
        <v>0.1866</v>
      </c>
      <c r="I25" s="18" t="n">
        <v>0.052</v>
      </c>
      <c r="J25" s="18" t="n">
        <v>0.052</v>
      </c>
      <c r="K25" s="18" t="n">
        <v>0.1605</v>
      </c>
      <c r="L25" s="18" t="n">
        <v>0.1591</v>
      </c>
      <c r="M25" s="18" t="n">
        <v>0.0968</v>
      </c>
      <c r="N25" s="18" t="n">
        <v>0.2228</v>
      </c>
      <c r="O25" s="18" t="n">
        <v>0.0764</v>
      </c>
      <c r="P25" s="18" t="n">
        <v>0.1009</v>
      </c>
      <c r="Q25" s="18" t="n">
        <v>0.2162</v>
      </c>
      <c r="R25" s="18" t="n">
        <v>0.0764</v>
      </c>
      <c r="S25" s="18" t="n">
        <v>0.172</v>
      </c>
      <c r="T25" s="18" t="n">
        <v>0.1231</v>
      </c>
      <c r="U25" s="18" t="n">
        <v>0.0601</v>
      </c>
      <c r="V25" s="18" t="n">
        <v>0.1171</v>
      </c>
      <c r="W25" s="18" t="n">
        <v>0.052</v>
      </c>
      <c r="X25" s="18" t="n">
        <v>0.1799</v>
      </c>
      <c r="Y25" s="18" t="n">
        <v>0.1397</v>
      </c>
      <c r="Z25" s="18" t="n">
        <v>0.1167</v>
      </c>
      <c r="AA25" s="18" t="n">
        <v>0.2281</v>
      </c>
      <c r="AB25" s="18" t="n">
        <v>0.0964</v>
      </c>
      <c r="AC25" s="18" t="n">
        <v>0.3313</v>
      </c>
      <c r="AD25" s="18" t="n">
        <v>0.1443</v>
      </c>
      <c r="AE25" s="18" t="n">
        <v>0.1541</v>
      </c>
      <c r="AF25" s="18" t="n">
        <v>0.9182</v>
      </c>
      <c r="AG25" s="18" t="n">
        <v>0.1795</v>
      </c>
      <c r="AH25" s="18" t="n">
        <v>0.6122</v>
      </c>
      <c r="AI25" s="18" t="n">
        <v>0.1258</v>
      </c>
      <c r="AJ25" s="18" t="n">
        <v>0.0968</v>
      </c>
      <c r="AK25" s="18" t="n">
        <v>0.2065</v>
      </c>
      <c r="AL25" s="18" t="n">
        <v>0.1371</v>
      </c>
      <c r="AM25" s="18" t="n">
        <v>0.173</v>
      </c>
      <c r="AN25" s="18" t="n">
        <v>0.3214</v>
      </c>
      <c r="AO25" s="18" t="n">
        <v>0.1559</v>
      </c>
      <c r="AP25" s="18" t="n">
        <v>0.384</v>
      </c>
      <c r="AQ25" s="18" t="n">
        <v>0.3604</v>
      </c>
      <c r="AR25" s="18" t="n">
        <v>0.3798</v>
      </c>
      <c r="AS25" s="18" t="n">
        <v>0.4732</v>
      </c>
      <c r="AT25" s="18" t="n">
        <v>0.2978</v>
      </c>
      <c r="AU25" s="18" t="n">
        <v>0.271</v>
      </c>
      <c r="AV25" s="18" t="n">
        <v>0.4514</v>
      </c>
      <c r="AW25" s="18" t="n">
        <v>0.1102</v>
      </c>
      <c r="AX25" s="18" t="n">
        <v>0.052</v>
      </c>
    </row>
    <row r="26">
      <c r="A26" s="10" t="inlineStr">
        <is>
          <t>Load_TR2_F3_5</t>
        </is>
      </c>
      <c r="B26" s="12" t="inlineStr">
        <is>
          <t>customer</t>
        </is>
      </c>
      <c r="C26" s="18" t="n">
        <v>0.1195</v>
      </c>
      <c r="D26" s="18" t="n">
        <v>0.053</v>
      </c>
      <c r="E26" s="18" t="n">
        <v>0.3061</v>
      </c>
      <c r="F26" s="18" t="n">
        <v>0.053</v>
      </c>
      <c r="G26" s="18" t="n">
        <v>0.053</v>
      </c>
      <c r="H26" s="18" t="n">
        <v>0.3061</v>
      </c>
      <c r="I26" s="18" t="n">
        <v>0.053</v>
      </c>
      <c r="J26" s="18" t="n">
        <v>0.2098</v>
      </c>
      <c r="K26" s="18" t="n">
        <v>0.1493</v>
      </c>
      <c r="L26" s="18" t="n">
        <v>0.1372</v>
      </c>
      <c r="M26" s="18" t="n">
        <v>0.2219</v>
      </c>
      <c r="N26" s="18" t="n">
        <v>0.053</v>
      </c>
      <c r="O26" s="18" t="n">
        <v>0.053</v>
      </c>
      <c r="P26" s="18" t="n">
        <v>0.1611</v>
      </c>
      <c r="Q26" s="18" t="n">
        <v>0.1738</v>
      </c>
      <c r="R26" s="18" t="n">
        <v>0.1252</v>
      </c>
      <c r="S26" s="18" t="n">
        <v>0.1251</v>
      </c>
      <c r="T26" s="18" t="n">
        <v>0.186</v>
      </c>
      <c r="U26" s="18" t="n">
        <v>0.1371</v>
      </c>
      <c r="V26" s="18" t="n">
        <v>0.222</v>
      </c>
      <c r="W26" s="18" t="n">
        <v>0.1344</v>
      </c>
      <c r="X26" s="18" t="n">
        <v>0.0776</v>
      </c>
      <c r="Y26" s="18" t="n">
        <v>0.3584</v>
      </c>
      <c r="Z26" s="18" t="n">
        <v>0.9441000000000001</v>
      </c>
      <c r="AA26" s="18" t="n">
        <v>0.3063</v>
      </c>
      <c r="AB26" s="18" t="n">
        <v>0.1879</v>
      </c>
      <c r="AC26" s="18" t="n">
        <v>0.1385</v>
      </c>
      <c r="AD26" s="18" t="n">
        <v>0.2941</v>
      </c>
      <c r="AE26" s="18" t="n">
        <v>0.053</v>
      </c>
      <c r="AF26" s="18" t="n">
        <v>0.1072</v>
      </c>
      <c r="AG26" s="18" t="n">
        <v>0.2519</v>
      </c>
      <c r="AH26" s="18" t="n">
        <v>0.053</v>
      </c>
      <c r="AI26" s="18" t="n">
        <v>0.2698</v>
      </c>
      <c r="AJ26" s="18" t="n">
        <v>0.0893</v>
      </c>
      <c r="AK26" s="18" t="n">
        <v>0.06510000000000001</v>
      </c>
      <c r="AL26" s="18" t="n">
        <v>0.3642</v>
      </c>
      <c r="AM26" s="18" t="n">
        <v>1.1314</v>
      </c>
      <c r="AN26" s="18" t="n">
        <v>0.2974</v>
      </c>
      <c r="AO26" s="18" t="n">
        <v>0.3327</v>
      </c>
      <c r="AP26" s="18" t="n">
        <v>0.4819</v>
      </c>
      <c r="AQ26" s="18" t="n">
        <v>0.5124</v>
      </c>
      <c r="AR26" s="18" t="n">
        <v>0.7975</v>
      </c>
      <c r="AS26" s="18" t="n">
        <v>0.7171</v>
      </c>
      <c r="AT26" s="18" t="n">
        <v>0.1195</v>
      </c>
      <c r="AU26" s="18" t="n">
        <v>0.1195</v>
      </c>
      <c r="AV26" s="18" t="n">
        <v>0.1671</v>
      </c>
      <c r="AW26" s="18" t="n">
        <v>0.335</v>
      </c>
      <c r="AX26" s="18" t="n">
        <v>0.128</v>
      </c>
    </row>
    <row r="27">
      <c r="A27" s="19" t="inlineStr">
        <is>
          <t>Load_TR2_F3_6</t>
        </is>
      </c>
      <c r="B27" s="15" t="inlineStr">
        <is>
          <t>prosumer</t>
        </is>
      </c>
      <c r="C27" s="20" t="n">
        <v>0.046</v>
      </c>
      <c r="D27" s="20" t="n">
        <v>0.046</v>
      </c>
      <c r="E27" s="20" t="n">
        <v>0.046</v>
      </c>
      <c r="F27" s="20" t="n">
        <v>0.046</v>
      </c>
      <c r="G27" s="20" t="n">
        <v>0.046</v>
      </c>
      <c r="H27" s="20" t="n">
        <v>0.046</v>
      </c>
      <c r="I27" s="20" t="n">
        <v>0.046</v>
      </c>
      <c r="J27" s="20" t="n">
        <v>0.046</v>
      </c>
      <c r="K27" s="20" t="n">
        <v>0.046</v>
      </c>
      <c r="L27" s="20" t="n">
        <v>0.046</v>
      </c>
      <c r="M27" s="20" t="n">
        <v>0.046</v>
      </c>
      <c r="N27" s="20" t="n">
        <v>0.046</v>
      </c>
      <c r="O27" s="20" t="n">
        <v>0.046</v>
      </c>
      <c r="P27" s="20" t="n">
        <v>0.046</v>
      </c>
      <c r="Q27" s="20" t="n">
        <v>0.1908</v>
      </c>
      <c r="R27" s="20" t="n">
        <v>0.0494</v>
      </c>
      <c r="S27" s="20" t="n">
        <v>0.046</v>
      </c>
      <c r="T27" s="20" t="n">
        <v>0.046</v>
      </c>
      <c r="U27" s="20" t="n">
        <v>0.046</v>
      </c>
      <c r="V27" s="20" t="n">
        <v>0.046</v>
      </c>
      <c r="W27" s="20" t="n">
        <v>0.046</v>
      </c>
      <c r="X27" s="20" t="n">
        <v>0.046</v>
      </c>
      <c r="Y27" s="20" t="n">
        <v>0.046</v>
      </c>
      <c r="Z27" s="20" t="n">
        <v>0.046</v>
      </c>
      <c r="AA27" s="20" t="n">
        <v>0.046</v>
      </c>
      <c r="AB27" s="20" t="n">
        <v>0.046</v>
      </c>
      <c r="AC27" s="20" t="n">
        <v>0.046</v>
      </c>
      <c r="AD27" s="20" t="n">
        <v>0.046</v>
      </c>
      <c r="AE27" s="20" t="n">
        <v>0.046</v>
      </c>
      <c r="AF27" s="20" t="n">
        <v>0.046</v>
      </c>
      <c r="AG27" s="20" t="n">
        <v>0.046</v>
      </c>
      <c r="AH27" s="20" t="n">
        <v>0.046</v>
      </c>
      <c r="AI27" s="20" t="n">
        <v>0.046</v>
      </c>
      <c r="AJ27" s="20" t="n">
        <v>0.046</v>
      </c>
      <c r="AK27" s="20" t="n">
        <v>0.046</v>
      </c>
      <c r="AL27" s="20" t="n">
        <v>0.046</v>
      </c>
      <c r="AM27" s="20" t="n">
        <v>0.046</v>
      </c>
      <c r="AN27" s="20" t="n">
        <v>0.046</v>
      </c>
      <c r="AO27" s="20" t="n">
        <v>0.046</v>
      </c>
      <c r="AP27" s="20" t="n">
        <v>0.046</v>
      </c>
      <c r="AQ27" s="20" t="n">
        <v>0.046</v>
      </c>
      <c r="AR27" s="20" t="n">
        <v>0.046</v>
      </c>
      <c r="AS27" s="20" t="n">
        <v>0.046</v>
      </c>
      <c r="AT27" s="20" t="n">
        <v>0.1007</v>
      </c>
      <c r="AU27" s="20" t="n">
        <v>0.2342</v>
      </c>
      <c r="AV27" s="20" t="n">
        <v>0.3516</v>
      </c>
      <c r="AW27" s="20" t="n">
        <v>0.1312</v>
      </c>
      <c r="AX27" s="20" t="n">
        <v>0.0809</v>
      </c>
    </row>
    <row r="28">
      <c r="A28" s="10" t="inlineStr">
        <is>
          <t>Load_TR2_F3_7</t>
        </is>
      </c>
      <c r="B28" s="12" t="inlineStr">
        <is>
          <t>customer</t>
        </is>
      </c>
      <c r="C28" s="18" t="n">
        <v>0.1081</v>
      </c>
      <c r="D28" s="18" t="n">
        <v>0.2098</v>
      </c>
      <c r="E28" s="18" t="n">
        <v>0.1103</v>
      </c>
      <c r="F28" s="18" t="n">
        <v>0.1925</v>
      </c>
      <c r="G28" s="18" t="n">
        <v>0.1492</v>
      </c>
      <c r="H28" s="18" t="n">
        <v>0.119</v>
      </c>
      <c r="I28" s="18" t="n">
        <v>0.2444</v>
      </c>
      <c r="J28" s="18" t="n">
        <v>0.054</v>
      </c>
      <c r="K28" s="18" t="n">
        <v>0.06270000000000001</v>
      </c>
      <c r="L28" s="18" t="n">
        <v>0.3007</v>
      </c>
      <c r="M28" s="18" t="n">
        <v>0.054</v>
      </c>
      <c r="N28" s="18" t="n">
        <v>0.1536</v>
      </c>
      <c r="O28" s="18" t="n">
        <v>0.2098</v>
      </c>
      <c r="P28" s="18" t="n">
        <v>0.054</v>
      </c>
      <c r="Q28" s="18" t="n">
        <v>0.2588</v>
      </c>
      <c r="R28" s="18" t="n">
        <v>0.1045</v>
      </c>
      <c r="S28" s="18" t="n">
        <v>0.2286</v>
      </c>
      <c r="T28" s="18" t="n">
        <v>0.1348</v>
      </c>
      <c r="U28" s="18" t="n">
        <v>0.2567</v>
      </c>
      <c r="V28" s="18" t="n">
        <v>0.3834</v>
      </c>
      <c r="W28" s="18" t="n">
        <v>0.2213</v>
      </c>
      <c r="X28" s="18" t="n">
        <v>0.1495</v>
      </c>
      <c r="Y28" s="18" t="n">
        <v>0.2885</v>
      </c>
      <c r="Z28" s="18" t="n">
        <v>0.125</v>
      </c>
      <c r="AA28" s="18" t="n">
        <v>0.1716</v>
      </c>
      <c r="AB28" s="18" t="n">
        <v>0.4111</v>
      </c>
      <c r="AC28" s="18" t="n">
        <v>0.08649999999999999</v>
      </c>
      <c r="AD28" s="18" t="n">
        <v>0.2444</v>
      </c>
      <c r="AE28" s="18" t="n">
        <v>0.054</v>
      </c>
      <c r="AF28" s="18" t="n">
        <v>0.1882</v>
      </c>
      <c r="AG28" s="18" t="n">
        <v>0.1752</v>
      </c>
      <c r="AH28" s="18" t="n">
        <v>0.054</v>
      </c>
      <c r="AI28" s="18" t="n">
        <v>0.2357</v>
      </c>
      <c r="AJ28" s="18" t="n">
        <v>0.06270000000000001</v>
      </c>
      <c r="AK28" s="18" t="n">
        <v>0.1232</v>
      </c>
      <c r="AL28" s="18" t="n">
        <v>0.2401</v>
      </c>
      <c r="AM28" s="18" t="n">
        <v>0.054</v>
      </c>
      <c r="AN28" s="18" t="n">
        <v>0.2271</v>
      </c>
      <c r="AO28" s="18" t="n">
        <v>0.0713</v>
      </c>
      <c r="AP28" s="18" t="n">
        <v>0.054</v>
      </c>
      <c r="AQ28" s="18" t="n">
        <v>0.0857</v>
      </c>
      <c r="AR28" s="18" t="n">
        <v>0.2776</v>
      </c>
      <c r="AS28" s="18" t="n">
        <v>0.054</v>
      </c>
      <c r="AT28" s="18" t="n">
        <v>0.3007</v>
      </c>
      <c r="AU28" s="18" t="n">
        <v>0.06270000000000001</v>
      </c>
      <c r="AV28" s="18" t="n">
        <v>0.1969</v>
      </c>
      <c r="AW28" s="18" t="n">
        <v>0.1665</v>
      </c>
      <c r="AX28" s="18" t="n">
        <v>0.119</v>
      </c>
    </row>
    <row r="29">
      <c r="A29" s="19" t="inlineStr">
        <is>
          <t>Load_TR2_F3_8</t>
        </is>
      </c>
      <c r="B29" s="15" t="inlineStr">
        <is>
          <t>prosumer</t>
        </is>
      </c>
      <c r="C29" s="20" t="n">
        <v>0.0554</v>
      </c>
      <c r="D29" s="20" t="n">
        <v>0.1155</v>
      </c>
      <c r="E29" s="20" t="n">
        <v>0.1307</v>
      </c>
      <c r="F29" s="20" t="n">
        <v>0.051</v>
      </c>
      <c r="G29" s="20" t="n">
        <v>0.1174</v>
      </c>
      <c r="H29" s="20" t="n">
        <v>0.0643</v>
      </c>
      <c r="I29" s="20" t="n">
        <v>0.1086</v>
      </c>
      <c r="J29" s="20" t="n">
        <v>0.0731</v>
      </c>
      <c r="K29" s="20" t="n">
        <v>0.1263</v>
      </c>
      <c r="L29" s="20" t="n">
        <v>0.0554</v>
      </c>
      <c r="M29" s="20" t="n">
        <v>0.0643</v>
      </c>
      <c r="N29" s="20" t="n">
        <v>0.1174</v>
      </c>
      <c r="O29" s="20" t="n">
        <v>0.051</v>
      </c>
      <c r="P29" s="20" t="n">
        <v>0.1307</v>
      </c>
      <c r="Q29" s="20" t="n">
        <v>0.051</v>
      </c>
      <c r="R29" s="20" t="n">
        <v>0.051</v>
      </c>
      <c r="S29" s="20" t="n">
        <v>0.317</v>
      </c>
      <c r="T29" s="20" t="n">
        <v>0.1131</v>
      </c>
      <c r="U29" s="20" t="n">
        <v>0.2397</v>
      </c>
      <c r="V29" s="20" t="n">
        <v>0.1434</v>
      </c>
      <c r="W29" s="20" t="n">
        <v>0.0599</v>
      </c>
      <c r="X29" s="20" t="n">
        <v>0.1218</v>
      </c>
      <c r="Y29" s="20" t="n">
        <v>0.051</v>
      </c>
      <c r="Z29" s="20" t="n">
        <v>0.2621</v>
      </c>
      <c r="AA29" s="20" t="n">
        <v>0.1591</v>
      </c>
      <c r="AB29" s="20" t="n">
        <v>0.151</v>
      </c>
      <c r="AC29" s="20" t="n">
        <v>0.4616</v>
      </c>
      <c r="AD29" s="20" t="n">
        <v>0.2264</v>
      </c>
      <c r="AE29" s="20" t="n">
        <v>0.3551</v>
      </c>
      <c r="AF29" s="20" t="n">
        <v>0.1462</v>
      </c>
      <c r="AG29" s="20" t="n">
        <v>0.1857</v>
      </c>
      <c r="AH29" s="20" t="n">
        <v>0.1081</v>
      </c>
      <c r="AI29" s="20" t="n">
        <v>0.1174</v>
      </c>
      <c r="AJ29" s="20" t="n">
        <v>0.0554</v>
      </c>
      <c r="AK29" s="20" t="n">
        <v>0.1317</v>
      </c>
      <c r="AL29" s="20" t="n">
        <v>0.8324</v>
      </c>
      <c r="AM29" s="20" t="n">
        <v>1.1293</v>
      </c>
      <c r="AN29" s="20" t="n">
        <v>1.701</v>
      </c>
      <c r="AO29" s="20" t="n">
        <v>0.3391</v>
      </c>
      <c r="AP29" s="20" t="n">
        <v>0.4142</v>
      </c>
      <c r="AQ29" s="20" t="n">
        <v>0.3533</v>
      </c>
      <c r="AR29" s="20" t="n">
        <v>0.0997</v>
      </c>
      <c r="AS29" s="20" t="n">
        <v>0.0997</v>
      </c>
      <c r="AT29" s="20" t="n">
        <v>0.082</v>
      </c>
      <c r="AU29" s="20" t="n">
        <v>0.051</v>
      </c>
      <c r="AV29" s="20" t="n">
        <v>0.205</v>
      </c>
      <c r="AW29" s="20" t="n">
        <v>0.1032</v>
      </c>
      <c r="AX29" s="20" t="n">
        <v>0.0554</v>
      </c>
    </row>
    <row r="30">
      <c r="A30" s="19" t="inlineStr">
        <is>
          <t>Load_TR2_F3_9</t>
        </is>
      </c>
      <c r="B30" s="15" t="inlineStr">
        <is>
          <t>prosumer</t>
        </is>
      </c>
      <c r="C30" s="20" t="n">
        <v>0.6777</v>
      </c>
      <c r="D30" s="20" t="n">
        <v>0.2975</v>
      </c>
      <c r="E30" s="20" t="n">
        <v>0.1331</v>
      </c>
      <c r="F30" s="20" t="n">
        <v>0.2034</v>
      </c>
      <c r="G30" s="20" t="n">
        <v>0.039</v>
      </c>
      <c r="H30" s="20" t="n">
        <v>0.1517</v>
      </c>
      <c r="I30" s="20" t="n">
        <v>0.039</v>
      </c>
      <c r="J30" s="20" t="n">
        <v>0.1782</v>
      </c>
      <c r="K30" s="20" t="n">
        <v>0.1527</v>
      </c>
      <c r="L30" s="20" t="n">
        <v>0.0645</v>
      </c>
      <c r="M30" s="20" t="n">
        <v>0.1706</v>
      </c>
      <c r="N30" s="20" t="n">
        <v>0.1461</v>
      </c>
      <c r="O30" s="20" t="n">
        <v>0.1905</v>
      </c>
      <c r="P30" s="20" t="n">
        <v>0.1461</v>
      </c>
      <c r="Q30" s="20" t="n">
        <v>0.2904</v>
      </c>
      <c r="R30" s="20" t="n">
        <v>0.3235</v>
      </c>
      <c r="S30" s="20" t="n">
        <v>0.1776</v>
      </c>
      <c r="T30" s="20" t="n">
        <v>0.1252</v>
      </c>
      <c r="U30" s="20" t="n">
        <v>0.039</v>
      </c>
      <c r="V30" s="20" t="n">
        <v>0.1252</v>
      </c>
      <c r="W30" s="20" t="n">
        <v>0.2114</v>
      </c>
      <c r="X30" s="20" t="n">
        <v>0.0721</v>
      </c>
      <c r="Y30" s="20" t="n">
        <v>0.2644</v>
      </c>
      <c r="Z30" s="20" t="n">
        <v>0.039</v>
      </c>
      <c r="AA30" s="20" t="n">
        <v>0.2041</v>
      </c>
      <c r="AB30" s="20" t="n">
        <v>0.1325</v>
      </c>
      <c r="AC30" s="20" t="n">
        <v>0.039</v>
      </c>
      <c r="AD30" s="20" t="n">
        <v>0.2074</v>
      </c>
      <c r="AE30" s="20" t="n">
        <v>0.1292</v>
      </c>
      <c r="AF30" s="20" t="n">
        <v>0.0615</v>
      </c>
      <c r="AG30" s="20" t="n">
        <v>1.193</v>
      </c>
      <c r="AH30" s="20" t="n">
        <v>0.5837</v>
      </c>
      <c r="AI30" s="20" t="n">
        <v>0.0629</v>
      </c>
      <c r="AJ30" s="20" t="n">
        <v>0.2745</v>
      </c>
      <c r="AK30" s="20" t="n">
        <v>0.2799</v>
      </c>
      <c r="AL30" s="20" t="n">
        <v>1.707</v>
      </c>
      <c r="AM30" s="20" t="n">
        <v>0.6123</v>
      </c>
      <c r="AN30" s="20" t="n">
        <v>1.0009</v>
      </c>
      <c r="AO30" s="20" t="n">
        <v>2.8028</v>
      </c>
      <c r="AP30" s="20" t="n">
        <v>2.0251</v>
      </c>
      <c r="AQ30" s="20" t="n">
        <v>0.4756</v>
      </c>
      <c r="AR30" s="20" t="n">
        <v>1.4462</v>
      </c>
      <c r="AS30" s="20" t="n">
        <v>0.0954</v>
      </c>
      <c r="AT30" s="20" t="n">
        <v>0.2081</v>
      </c>
      <c r="AU30" s="20" t="n">
        <v>0.1172</v>
      </c>
      <c r="AV30" s="20" t="n">
        <v>0.1066</v>
      </c>
      <c r="AW30" s="20" t="n">
        <v>0.2243</v>
      </c>
      <c r="AX30" s="20" t="n">
        <v>0.1123</v>
      </c>
    </row>
    <row r="31">
      <c r="A31" s="19" t="inlineStr">
        <is>
          <t>Load_TR2_F5_1</t>
        </is>
      </c>
      <c r="B31" s="15" t="inlineStr">
        <is>
          <t>prosumer</t>
        </is>
      </c>
      <c r="C31" s="20" t="n">
        <v>0.2127</v>
      </c>
      <c r="D31" s="20" t="n">
        <v>0.2841</v>
      </c>
      <c r="E31" s="20" t="n">
        <v>0.1348</v>
      </c>
      <c r="F31" s="20" t="n">
        <v>0.041</v>
      </c>
      <c r="G31" s="20" t="n">
        <v>0.2593</v>
      </c>
      <c r="H31" s="20" t="n">
        <v>0.041</v>
      </c>
      <c r="I31" s="20" t="n">
        <v>0.041</v>
      </c>
      <c r="J31" s="20" t="n">
        <v>0.041</v>
      </c>
      <c r="K31" s="20" t="n">
        <v>0.1348</v>
      </c>
      <c r="L31" s="20" t="n">
        <v>0.041</v>
      </c>
      <c r="M31" s="20" t="n">
        <v>0.041</v>
      </c>
      <c r="N31" s="20" t="n">
        <v>0.0544</v>
      </c>
      <c r="O31" s="20" t="n">
        <v>0.1214</v>
      </c>
      <c r="P31" s="20" t="n">
        <v>0.041</v>
      </c>
      <c r="Q31" s="20" t="n">
        <v>0.041</v>
      </c>
      <c r="R31" s="20" t="n">
        <v>0.1348</v>
      </c>
      <c r="S31" s="20" t="n">
        <v>0.041</v>
      </c>
      <c r="T31" s="20" t="n">
        <v>0.8415</v>
      </c>
      <c r="U31" s="20" t="n">
        <v>1.6426</v>
      </c>
      <c r="V31" s="20" t="n">
        <v>1.3606</v>
      </c>
      <c r="W31" s="20" t="n">
        <v>0.9599</v>
      </c>
      <c r="X31" s="20" t="n">
        <v>0.9502</v>
      </c>
      <c r="Y31" s="20" t="n">
        <v>0.1229</v>
      </c>
      <c r="Z31" s="20" t="n">
        <v>0.1002</v>
      </c>
      <c r="AA31" s="20" t="n">
        <v>0.2006</v>
      </c>
      <c r="AB31" s="20" t="n">
        <v>0.0585</v>
      </c>
      <c r="AC31" s="20" t="n">
        <v>0.041</v>
      </c>
      <c r="AD31" s="20" t="n">
        <v>0.1348</v>
      </c>
      <c r="AE31" s="20" t="n">
        <v>0.041</v>
      </c>
      <c r="AF31" s="20" t="n">
        <v>0.1281</v>
      </c>
      <c r="AG31" s="20" t="n">
        <v>0.0477</v>
      </c>
      <c r="AH31" s="20" t="n">
        <v>0.041</v>
      </c>
      <c r="AI31" s="20" t="n">
        <v>0.1523</v>
      </c>
      <c r="AJ31" s="20" t="n">
        <v>0.1778</v>
      </c>
      <c r="AK31" s="20" t="n">
        <v>0.09130000000000001</v>
      </c>
      <c r="AL31" s="20" t="n">
        <v>0.2382</v>
      </c>
      <c r="AM31" s="20" t="n">
        <v>0.1734</v>
      </c>
      <c r="AN31" s="20" t="n">
        <v>0.2543</v>
      </c>
      <c r="AO31" s="20" t="n">
        <v>0.4748</v>
      </c>
      <c r="AP31" s="20" t="n">
        <v>0.3187</v>
      </c>
      <c r="AQ31" s="20" t="n">
        <v>0.1249</v>
      </c>
      <c r="AR31" s="20" t="n">
        <v>0.2941</v>
      </c>
      <c r="AS31" s="20" t="n">
        <v>0.1748</v>
      </c>
      <c r="AT31" s="20" t="n">
        <v>0.5545</v>
      </c>
      <c r="AU31" s="20" t="n">
        <v>0.2439</v>
      </c>
      <c r="AV31" s="20" t="n">
        <v>0.5292</v>
      </c>
      <c r="AW31" s="20" t="n">
        <v>0.3258</v>
      </c>
      <c r="AX31" s="20" t="n">
        <v>0.041</v>
      </c>
    </row>
    <row r="32">
      <c r="A32" s="19" t="inlineStr">
        <is>
          <t>Load_TR2_F5_10</t>
        </is>
      </c>
      <c r="B32" s="15" t="inlineStr">
        <is>
          <t>prosumer</t>
        </is>
      </c>
      <c r="C32" s="20" t="n">
        <v>0.1423</v>
      </c>
      <c r="D32" s="20" t="n">
        <v>0.0871</v>
      </c>
      <c r="E32" s="20" t="n">
        <v>0.0706</v>
      </c>
      <c r="F32" s="20" t="n">
        <v>0.1588</v>
      </c>
      <c r="G32" s="20" t="n">
        <v>0.054</v>
      </c>
      <c r="H32" s="20" t="n">
        <v>0.1147</v>
      </c>
      <c r="I32" s="20" t="n">
        <v>0.1147</v>
      </c>
      <c r="J32" s="20" t="n">
        <v>0.08160000000000001</v>
      </c>
      <c r="K32" s="20" t="n">
        <v>0.1478</v>
      </c>
      <c r="L32" s="20" t="n">
        <v>0.054</v>
      </c>
      <c r="M32" s="20" t="n">
        <v>0.1754</v>
      </c>
      <c r="N32" s="20" t="n">
        <v>0.054</v>
      </c>
      <c r="O32" s="20" t="n">
        <v>0.065</v>
      </c>
      <c r="P32" s="20" t="n">
        <v>0.1643</v>
      </c>
      <c r="Q32" s="20" t="n">
        <v>0.054</v>
      </c>
      <c r="R32" s="20" t="n">
        <v>0.0761</v>
      </c>
      <c r="S32" s="20" t="n">
        <v>0.4422</v>
      </c>
      <c r="T32" s="20" t="n">
        <v>0.3533</v>
      </c>
      <c r="U32" s="20" t="n">
        <v>0.7104</v>
      </c>
      <c r="V32" s="20" t="n">
        <v>0.6381</v>
      </c>
      <c r="W32" s="20" t="n">
        <v>0.2371</v>
      </c>
      <c r="X32" s="20" t="n">
        <v>0.1172</v>
      </c>
      <c r="Y32" s="20" t="n">
        <v>0.1699</v>
      </c>
      <c r="Z32" s="20" t="n">
        <v>0.0595</v>
      </c>
      <c r="AA32" s="20" t="n">
        <v>0.054</v>
      </c>
      <c r="AB32" s="20" t="n">
        <v>0.1147</v>
      </c>
      <c r="AC32" s="20" t="n">
        <v>0.1147</v>
      </c>
      <c r="AD32" s="20" t="n">
        <v>0.054</v>
      </c>
      <c r="AE32" s="20" t="n">
        <v>0.1312</v>
      </c>
      <c r="AF32" s="20" t="n">
        <v>0.09810000000000001</v>
      </c>
      <c r="AG32" s="20" t="n">
        <v>0.0595</v>
      </c>
      <c r="AH32" s="20" t="n">
        <v>0.1699</v>
      </c>
      <c r="AI32" s="20" t="n">
        <v>0.054</v>
      </c>
      <c r="AJ32" s="20" t="n">
        <v>0.1008</v>
      </c>
      <c r="AK32" s="20" t="n">
        <v>0.1727</v>
      </c>
      <c r="AL32" s="20" t="n">
        <v>0.1328</v>
      </c>
      <c r="AM32" s="20" t="n">
        <v>0.2931</v>
      </c>
      <c r="AN32" s="20" t="n">
        <v>0.13</v>
      </c>
      <c r="AO32" s="20" t="n">
        <v>0.2469</v>
      </c>
      <c r="AP32" s="20" t="n">
        <v>0.3251</v>
      </c>
      <c r="AQ32" s="20" t="n">
        <v>0.4142</v>
      </c>
      <c r="AR32" s="20" t="n">
        <v>0.6395</v>
      </c>
      <c r="AS32" s="20" t="n">
        <v>0.6821</v>
      </c>
      <c r="AT32" s="20" t="n">
        <v>0.3721</v>
      </c>
      <c r="AU32" s="20" t="n">
        <v>0.5876</v>
      </c>
      <c r="AV32" s="20" t="n">
        <v>0.5355</v>
      </c>
      <c r="AW32" s="20" t="n">
        <v>0.3411</v>
      </c>
      <c r="AX32" s="20" t="n">
        <v>0.1169</v>
      </c>
    </row>
    <row r="33">
      <c r="A33" s="19" t="inlineStr">
        <is>
          <t>Load_TR2_F5_11</t>
        </is>
      </c>
      <c r="B33" s="15" t="inlineStr">
        <is>
          <t>prosumer</t>
        </is>
      </c>
      <c r="C33" s="20" t="n">
        <v>0.1191</v>
      </c>
      <c r="D33" s="20" t="n">
        <v>0.1001</v>
      </c>
      <c r="E33" s="20" t="n">
        <v>0.1982</v>
      </c>
      <c r="F33" s="20" t="n">
        <v>0.1121</v>
      </c>
      <c r="G33" s="20" t="n">
        <v>0.2205</v>
      </c>
      <c r="H33" s="20" t="n">
        <v>0.1064</v>
      </c>
      <c r="I33" s="20" t="n">
        <v>0.2114</v>
      </c>
      <c r="J33" s="20" t="n">
        <v>0.0926</v>
      </c>
      <c r="K33" s="20" t="n">
        <v>0.2177</v>
      </c>
      <c r="L33" s="20" t="n">
        <v>0.1402</v>
      </c>
      <c r="M33" s="20" t="n">
        <v>0.0851</v>
      </c>
      <c r="N33" s="20" t="n">
        <v>0.2703</v>
      </c>
      <c r="O33" s="20" t="n">
        <v>0.055</v>
      </c>
      <c r="P33" s="20" t="n">
        <v>0.1876</v>
      </c>
      <c r="Q33" s="20" t="n">
        <v>0.1678</v>
      </c>
      <c r="R33" s="20" t="n">
        <v>0.055</v>
      </c>
      <c r="S33" s="20" t="n">
        <v>0.2026</v>
      </c>
      <c r="T33" s="20" t="n">
        <v>0.1528</v>
      </c>
      <c r="U33" s="20" t="n">
        <v>0.135</v>
      </c>
      <c r="V33" s="20" t="n">
        <v>0.2205</v>
      </c>
      <c r="W33" s="20" t="n">
        <v>0.07779999999999999</v>
      </c>
      <c r="X33" s="20" t="n">
        <v>0.1121</v>
      </c>
      <c r="Y33" s="20" t="n">
        <v>0.055</v>
      </c>
      <c r="Z33" s="20" t="n">
        <v>0.2026</v>
      </c>
      <c r="AA33" s="20" t="n">
        <v>0.1528</v>
      </c>
      <c r="AB33" s="20" t="n">
        <v>0.0893</v>
      </c>
      <c r="AC33" s="20" t="n">
        <v>0.2511</v>
      </c>
      <c r="AD33" s="20" t="n">
        <v>0.07000000000000001</v>
      </c>
      <c r="AE33" s="20" t="n">
        <v>0.1368</v>
      </c>
      <c r="AF33" s="20" t="n">
        <v>0.2186</v>
      </c>
      <c r="AG33" s="20" t="n">
        <v>0.055</v>
      </c>
      <c r="AH33" s="20" t="n">
        <v>0.135</v>
      </c>
      <c r="AI33" s="20" t="n">
        <v>0.2205</v>
      </c>
      <c r="AJ33" s="20" t="n">
        <v>0.1399</v>
      </c>
      <c r="AK33" s="20" t="n">
        <v>0.3691</v>
      </c>
      <c r="AL33" s="20" t="n">
        <v>0.1841</v>
      </c>
      <c r="AM33" s="20" t="n">
        <v>0.1625</v>
      </c>
      <c r="AN33" s="20" t="n">
        <v>0.3773</v>
      </c>
      <c r="AO33" s="20" t="n">
        <v>0.1803</v>
      </c>
      <c r="AP33" s="20" t="n">
        <v>0.3071</v>
      </c>
      <c r="AQ33" s="20" t="n">
        <v>0.4958</v>
      </c>
      <c r="AR33" s="20" t="n">
        <v>0.4652</v>
      </c>
      <c r="AS33" s="20" t="n">
        <v>0.7612</v>
      </c>
      <c r="AT33" s="20" t="n">
        <v>0.6137</v>
      </c>
      <c r="AU33" s="20" t="n">
        <v>0.4098</v>
      </c>
      <c r="AV33" s="20" t="n">
        <v>0.6679</v>
      </c>
      <c r="AW33" s="20" t="n">
        <v>0.386</v>
      </c>
      <c r="AX33" s="20" t="n">
        <v>0.055</v>
      </c>
    </row>
    <row r="34">
      <c r="A34" s="19" t="inlineStr">
        <is>
          <t>Load_TR2_F5_12</t>
        </is>
      </c>
      <c r="B34" s="15" t="inlineStr">
        <is>
          <t>prosumer</t>
        </is>
      </c>
      <c r="C34" s="20" t="n">
        <v>0.1386</v>
      </c>
      <c r="D34" s="20" t="n">
        <v>0.054</v>
      </c>
      <c r="E34" s="20" t="n">
        <v>0.101</v>
      </c>
      <c r="F34" s="20" t="n">
        <v>0.0916</v>
      </c>
      <c r="G34" s="20" t="n">
        <v>0.1057</v>
      </c>
      <c r="H34" s="20" t="n">
        <v>0.08690000000000001</v>
      </c>
      <c r="I34" s="20" t="n">
        <v>0.06809999999999999</v>
      </c>
      <c r="J34" s="20" t="n">
        <v>0.1245</v>
      </c>
      <c r="K34" s="20" t="n">
        <v>0.054</v>
      </c>
      <c r="L34" s="20" t="n">
        <v>0.1386</v>
      </c>
      <c r="M34" s="20" t="n">
        <v>0.054</v>
      </c>
      <c r="N34" s="20" t="n">
        <v>0.054</v>
      </c>
      <c r="O34" s="20" t="n">
        <v>0.1151</v>
      </c>
      <c r="P34" s="20" t="n">
        <v>0.0775</v>
      </c>
      <c r="Q34" s="20" t="n">
        <v>0.1198</v>
      </c>
      <c r="R34" s="20" t="n">
        <v>0.0728</v>
      </c>
      <c r="S34" s="20" t="n">
        <v>0.1386</v>
      </c>
      <c r="T34" s="20" t="n">
        <v>0.1449</v>
      </c>
      <c r="U34" s="20" t="n">
        <v>0.2587</v>
      </c>
      <c r="V34" s="20" t="n">
        <v>0.9685</v>
      </c>
      <c r="W34" s="20" t="n">
        <v>0.2824</v>
      </c>
      <c r="X34" s="20" t="n">
        <v>0.2379</v>
      </c>
      <c r="Y34" s="20" t="n">
        <v>0.1757</v>
      </c>
      <c r="Z34" s="20" t="n">
        <v>0.1882</v>
      </c>
      <c r="AA34" s="20" t="n">
        <v>0.1485</v>
      </c>
      <c r="AB34" s="20" t="n">
        <v>0.3368</v>
      </c>
      <c r="AC34" s="20" t="n">
        <v>0.2457</v>
      </c>
      <c r="AD34" s="20" t="n">
        <v>0.1809</v>
      </c>
      <c r="AE34" s="20" t="n">
        <v>0.1031</v>
      </c>
      <c r="AF34" s="20" t="n">
        <v>0.2601</v>
      </c>
      <c r="AG34" s="20" t="n">
        <v>0.1386</v>
      </c>
      <c r="AH34" s="20" t="n">
        <v>0.054</v>
      </c>
      <c r="AI34" s="20" t="n">
        <v>0.054</v>
      </c>
      <c r="AJ34" s="20" t="n">
        <v>0.1386</v>
      </c>
      <c r="AK34" s="20" t="n">
        <v>0.0616</v>
      </c>
      <c r="AL34" s="20" t="n">
        <v>0.1961</v>
      </c>
      <c r="AM34" s="20" t="n">
        <v>0.3623</v>
      </c>
      <c r="AN34" s="20" t="n">
        <v>0.3009</v>
      </c>
      <c r="AO34" s="20" t="n">
        <v>0.4291</v>
      </c>
      <c r="AP34" s="20" t="n">
        <v>0.4174</v>
      </c>
      <c r="AQ34" s="20" t="n">
        <v>0.4297</v>
      </c>
      <c r="AR34" s="20" t="n">
        <v>0.2852</v>
      </c>
      <c r="AS34" s="20" t="n">
        <v>0.1151</v>
      </c>
      <c r="AT34" s="20" t="n">
        <v>0.0963</v>
      </c>
      <c r="AU34" s="20" t="n">
        <v>0.0963</v>
      </c>
      <c r="AV34" s="20" t="n">
        <v>0.2121</v>
      </c>
      <c r="AW34" s="20" t="n">
        <v>0.3658</v>
      </c>
      <c r="AX34" s="20" t="n">
        <v>0.4239</v>
      </c>
    </row>
    <row r="35">
      <c r="A35" s="10" t="inlineStr">
        <is>
          <t>Load_TR2_F5_13</t>
        </is>
      </c>
      <c r="B35" s="12" t="inlineStr">
        <is>
          <t>customer</t>
        </is>
      </c>
      <c r="C35" s="18" t="n">
        <v>0.1079</v>
      </c>
      <c r="D35" s="18" t="n">
        <v>0.1972</v>
      </c>
      <c r="E35" s="18" t="n">
        <v>0.121</v>
      </c>
      <c r="F35" s="18" t="n">
        <v>0.1963</v>
      </c>
      <c r="G35" s="18" t="n">
        <v>0.0561</v>
      </c>
      <c r="H35" s="18" t="n">
        <v>0.042</v>
      </c>
      <c r="I35" s="18" t="n">
        <v>0.1342</v>
      </c>
      <c r="J35" s="18" t="n">
        <v>0.1972</v>
      </c>
      <c r="K35" s="18" t="n">
        <v>0.042</v>
      </c>
      <c r="L35" s="18" t="n">
        <v>0.1342</v>
      </c>
      <c r="M35" s="18" t="n">
        <v>0.1619</v>
      </c>
      <c r="N35" s="18" t="n">
        <v>0.1695</v>
      </c>
      <c r="O35" s="18" t="n">
        <v>0.042</v>
      </c>
      <c r="P35" s="18" t="n">
        <v>0.1897</v>
      </c>
      <c r="Q35" s="18" t="n">
        <v>0.1417</v>
      </c>
      <c r="R35" s="18" t="n">
        <v>0.042</v>
      </c>
      <c r="S35" s="18" t="n">
        <v>0.3202</v>
      </c>
      <c r="T35" s="18" t="n">
        <v>0.0843</v>
      </c>
      <c r="U35" s="18" t="n">
        <v>0.3738</v>
      </c>
      <c r="V35" s="18" t="n">
        <v>1.0797</v>
      </c>
      <c r="W35" s="18" t="n">
        <v>0.1301</v>
      </c>
      <c r="X35" s="18" t="n">
        <v>0.338</v>
      </c>
      <c r="Y35" s="18" t="n">
        <v>0.0552</v>
      </c>
      <c r="Z35" s="18" t="n">
        <v>0.176</v>
      </c>
      <c r="AA35" s="18" t="n">
        <v>0.1554</v>
      </c>
      <c r="AB35" s="18" t="n">
        <v>0.042</v>
      </c>
      <c r="AC35" s="18" t="n">
        <v>0.2339</v>
      </c>
      <c r="AD35" s="18" t="n">
        <v>0.1195</v>
      </c>
      <c r="AE35" s="18" t="n">
        <v>0.1055</v>
      </c>
      <c r="AF35" s="18" t="n">
        <v>0.1798</v>
      </c>
      <c r="AG35" s="18" t="n">
        <v>0.0881</v>
      </c>
      <c r="AH35" s="18" t="n">
        <v>0.1619</v>
      </c>
      <c r="AI35" s="18" t="n">
        <v>0.097</v>
      </c>
      <c r="AJ35" s="18" t="n">
        <v>0.1709</v>
      </c>
      <c r="AK35" s="18" t="n">
        <v>0.1509</v>
      </c>
      <c r="AL35" s="18" t="n">
        <v>0.1342</v>
      </c>
      <c r="AM35" s="18" t="n">
        <v>0.176</v>
      </c>
      <c r="AN35" s="18" t="n">
        <v>0.06320000000000001</v>
      </c>
      <c r="AO35" s="18" t="n">
        <v>0.0953</v>
      </c>
      <c r="AP35" s="18" t="n">
        <v>0.2959</v>
      </c>
      <c r="AQ35" s="18" t="n">
        <v>0.3421</v>
      </c>
      <c r="AR35" s="18" t="n">
        <v>0.3778</v>
      </c>
      <c r="AS35" s="18" t="n">
        <v>0.5919</v>
      </c>
      <c r="AT35" s="18" t="n">
        <v>0.4103</v>
      </c>
      <c r="AU35" s="18" t="n">
        <v>0.2513</v>
      </c>
      <c r="AV35" s="18" t="n">
        <v>0.3658</v>
      </c>
      <c r="AW35" s="18" t="n">
        <v>0.1549</v>
      </c>
      <c r="AX35" s="18" t="n">
        <v>0.2984</v>
      </c>
    </row>
    <row r="36">
      <c r="A36" s="19" t="inlineStr">
        <is>
          <t>Load_TR2_F5_14</t>
        </is>
      </c>
      <c r="B36" s="15" t="inlineStr">
        <is>
          <t>prosumer</t>
        </is>
      </c>
      <c r="C36" s="20" t="n">
        <v>0.1903</v>
      </c>
      <c r="D36" s="20" t="n">
        <v>0.047</v>
      </c>
      <c r="E36" s="20" t="n">
        <v>0.1773</v>
      </c>
      <c r="F36" s="20" t="n">
        <v>0.06</v>
      </c>
      <c r="G36" s="20" t="n">
        <v>0.1382</v>
      </c>
      <c r="H36" s="20" t="n">
        <v>0.09909999999999999</v>
      </c>
      <c r="I36" s="20" t="n">
        <v>0.047</v>
      </c>
      <c r="J36" s="20" t="n">
        <v>0.1903</v>
      </c>
      <c r="K36" s="20" t="n">
        <v>0.047</v>
      </c>
      <c r="L36" s="20" t="n">
        <v>0.0731</v>
      </c>
      <c r="M36" s="20" t="n">
        <v>0.1642</v>
      </c>
      <c r="N36" s="20" t="n">
        <v>0.047</v>
      </c>
      <c r="O36" s="20" t="n">
        <v>0.1838</v>
      </c>
      <c r="P36" s="20" t="n">
        <v>0.2845</v>
      </c>
      <c r="Q36" s="20" t="n">
        <v>0.047</v>
      </c>
      <c r="R36" s="20" t="n">
        <v>0.0673</v>
      </c>
      <c r="S36" s="20" t="n">
        <v>0.1773</v>
      </c>
      <c r="T36" s="20" t="n">
        <v>0.273</v>
      </c>
      <c r="U36" s="20" t="n">
        <v>0.2101</v>
      </c>
      <c r="V36" s="20" t="n">
        <v>0.0843</v>
      </c>
      <c r="W36" s="20" t="n">
        <v>0.1553</v>
      </c>
      <c r="X36" s="20" t="n">
        <v>0.09909999999999999</v>
      </c>
      <c r="Y36" s="20" t="n">
        <v>0.047</v>
      </c>
      <c r="Z36" s="20" t="n">
        <v>0.3681</v>
      </c>
      <c r="AA36" s="20" t="n">
        <v>0.0964</v>
      </c>
      <c r="AB36" s="20" t="n">
        <v>0.2818</v>
      </c>
      <c r="AC36" s="20" t="n">
        <v>0.0699</v>
      </c>
      <c r="AD36" s="20" t="n">
        <v>0.0613</v>
      </c>
      <c r="AE36" s="20" t="n">
        <v>0.1439</v>
      </c>
      <c r="AF36" s="20" t="n">
        <v>0.3797</v>
      </c>
      <c r="AG36" s="20" t="n">
        <v>0.092</v>
      </c>
      <c r="AH36" s="20" t="n">
        <v>0.2357</v>
      </c>
      <c r="AI36" s="20" t="n">
        <v>0.0751</v>
      </c>
      <c r="AJ36" s="20" t="n">
        <v>0.185</v>
      </c>
      <c r="AK36" s="20" t="n">
        <v>0.1024</v>
      </c>
      <c r="AL36" s="20" t="n">
        <v>0.1944</v>
      </c>
      <c r="AM36" s="20" t="n">
        <v>0.2918</v>
      </c>
      <c r="AN36" s="20" t="n">
        <v>0.0573</v>
      </c>
      <c r="AO36" s="20" t="n">
        <v>0.3278</v>
      </c>
      <c r="AP36" s="20" t="n">
        <v>0.3732</v>
      </c>
      <c r="AQ36" s="20" t="n">
        <v>0.5399</v>
      </c>
      <c r="AR36" s="20" t="n">
        <v>0.4781</v>
      </c>
      <c r="AS36" s="20" t="n">
        <v>0.2611</v>
      </c>
      <c r="AT36" s="20" t="n">
        <v>0.047</v>
      </c>
      <c r="AU36" s="20" t="n">
        <v>0.0926</v>
      </c>
      <c r="AV36" s="20" t="n">
        <v>0.1447</v>
      </c>
      <c r="AW36" s="20" t="n">
        <v>0.047</v>
      </c>
      <c r="AX36" s="20" t="n">
        <v>0.047</v>
      </c>
    </row>
    <row r="37">
      <c r="A37" s="19" t="inlineStr">
        <is>
          <t>Load_TR2_F5_15</t>
        </is>
      </c>
      <c r="B37" s="15" t="inlineStr">
        <is>
          <t>prosumer</t>
        </is>
      </c>
      <c r="C37" s="20" t="n">
        <v>0.054</v>
      </c>
      <c r="D37" s="20" t="n">
        <v>0.132</v>
      </c>
      <c r="E37" s="20" t="n">
        <v>0.054</v>
      </c>
      <c r="F37" s="20" t="n">
        <v>0.1233</v>
      </c>
      <c r="G37" s="20" t="n">
        <v>0.06270000000000001</v>
      </c>
      <c r="H37" s="20" t="n">
        <v>0.1103</v>
      </c>
      <c r="I37" s="20" t="n">
        <v>0.0757</v>
      </c>
      <c r="J37" s="20" t="n">
        <v>0.0843</v>
      </c>
      <c r="K37" s="20" t="n">
        <v>0.1016</v>
      </c>
      <c r="L37" s="20" t="n">
        <v>0.054</v>
      </c>
      <c r="M37" s="20" t="n">
        <v>0.132</v>
      </c>
      <c r="N37" s="20" t="n">
        <v>0.054</v>
      </c>
      <c r="O37" s="20" t="n">
        <v>0.054</v>
      </c>
      <c r="P37" s="20" t="n">
        <v>0.054</v>
      </c>
      <c r="Q37" s="20" t="n">
        <v>0.106</v>
      </c>
      <c r="R37" s="20" t="n">
        <v>0.08</v>
      </c>
      <c r="S37" s="20" t="n">
        <v>0.054</v>
      </c>
      <c r="T37" s="20" t="n">
        <v>0.0886</v>
      </c>
      <c r="U37" s="20" t="n">
        <v>0.0973</v>
      </c>
      <c r="V37" s="20" t="n">
        <v>0.09080000000000001</v>
      </c>
      <c r="W37" s="20" t="n">
        <v>0.054</v>
      </c>
      <c r="X37" s="20" t="n">
        <v>0.054</v>
      </c>
      <c r="Y37" s="20" t="n">
        <v>0.1688</v>
      </c>
      <c r="Z37" s="20" t="n">
        <v>0.054</v>
      </c>
      <c r="AA37" s="20" t="n">
        <v>0.1357</v>
      </c>
      <c r="AB37" s="20" t="n">
        <v>0.4827</v>
      </c>
      <c r="AC37" s="20" t="n">
        <v>0.245</v>
      </c>
      <c r="AD37" s="20" t="n">
        <v>0.1841</v>
      </c>
      <c r="AE37" s="20" t="n">
        <v>0.4586</v>
      </c>
      <c r="AF37" s="20" t="n">
        <v>0.2866</v>
      </c>
      <c r="AG37" s="20" t="n">
        <v>0.2456</v>
      </c>
      <c r="AH37" s="20" t="n">
        <v>0.1896</v>
      </c>
      <c r="AI37" s="20" t="n">
        <v>0.1841</v>
      </c>
      <c r="AJ37" s="20" t="n">
        <v>0.0835</v>
      </c>
      <c r="AK37" s="20" t="n">
        <v>0.2436</v>
      </c>
      <c r="AL37" s="20" t="n">
        <v>0.0564</v>
      </c>
      <c r="AM37" s="20" t="n">
        <v>0.054</v>
      </c>
      <c r="AN37" s="20" t="n">
        <v>0.1464</v>
      </c>
      <c r="AO37" s="20" t="n">
        <v>0.2648</v>
      </c>
      <c r="AP37" s="20" t="n">
        <v>0.2765</v>
      </c>
      <c r="AQ37" s="20" t="n">
        <v>0.3085</v>
      </c>
      <c r="AR37" s="20" t="n">
        <v>0.392</v>
      </c>
      <c r="AS37" s="20" t="n">
        <v>0.435</v>
      </c>
      <c r="AT37" s="20" t="n">
        <v>0.362</v>
      </c>
      <c r="AU37" s="20" t="n">
        <v>0.2556</v>
      </c>
      <c r="AV37" s="20" t="n">
        <v>0.3573</v>
      </c>
      <c r="AW37" s="20" t="n">
        <v>0.2166</v>
      </c>
      <c r="AX37" s="20" t="n">
        <v>0.054</v>
      </c>
    </row>
    <row r="38">
      <c r="A38" s="10" t="inlineStr">
        <is>
          <t>Load_TR2_F5_16</t>
        </is>
      </c>
      <c r="B38" s="12" t="inlineStr">
        <is>
          <t>customer</t>
        </is>
      </c>
      <c r="C38" s="18" t="n">
        <v>0.1177</v>
      </c>
      <c r="D38" s="18" t="n">
        <v>0.227</v>
      </c>
      <c r="E38" s="18" t="n">
        <v>0.051</v>
      </c>
      <c r="F38" s="18" t="n">
        <v>0.1177</v>
      </c>
      <c r="G38" s="18" t="n">
        <v>0.075</v>
      </c>
      <c r="H38" s="18" t="n">
        <v>0.2697</v>
      </c>
      <c r="I38" s="18" t="n">
        <v>0.051</v>
      </c>
      <c r="J38" s="18" t="n">
        <v>0.2432</v>
      </c>
      <c r="K38" s="18" t="n">
        <v>0.1015</v>
      </c>
      <c r="L38" s="18" t="n">
        <v>0.051</v>
      </c>
      <c r="M38" s="18" t="n">
        <v>0.2937</v>
      </c>
      <c r="N38" s="18" t="n">
        <v>0.051</v>
      </c>
      <c r="O38" s="18" t="n">
        <v>0.171</v>
      </c>
      <c r="P38" s="18" t="n">
        <v>0.107</v>
      </c>
      <c r="Q38" s="18" t="n">
        <v>0.099</v>
      </c>
      <c r="R38" s="18" t="n">
        <v>0.179</v>
      </c>
      <c r="S38" s="18" t="n">
        <v>0.051</v>
      </c>
      <c r="T38" s="18" t="n">
        <v>0.465</v>
      </c>
      <c r="U38" s="18" t="n">
        <v>0.3526</v>
      </c>
      <c r="V38" s="18" t="n">
        <v>2.8683</v>
      </c>
      <c r="W38" s="18" t="n">
        <v>0.403</v>
      </c>
      <c r="X38" s="18" t="n">
        <v>0.3637</v>
      </c>
      <c r="Y38" s="18" t="n">
        <v>0.2552</v>
      </c>
      <c r="Z38" s="18" t="n">
        <v>0.3151</v>
      </c>
      <c r="AA38" s="18" t="n">
        <v>0.1177</v>
      </c>
      <c r="AB38" s="18" t="n">
        <v>0.1661</v>
      </c>
      <c r="AC38" s="18" t="n">
        <v>0.1786</v>
      </c>
      <c r="AD38" s="18" t="n">
        <v>0.1624</v>
      </c>
      <c r="AE38" s="18" t="n">
        <v>0.2329</v>
      </c>
      <c r="AF38" s="18" t="n">
        <v>1.4727</v>
      </c>
      <c r="AG38" s="18" t="n">
        <v>0.1438</v>
      </c>
      <c r="AH38" s="18" t="n">
        <v>0.1177</v>
      </c>
      <c r="AI38" s="18" t="n">
        <v>0.227</v>
      </c>
      <c r="AJ38" s="18" t="n">
        <v>0.051</v>
      </c>
      <c r="AK38" s="18" t="n">
        <v>0.1737</v>
      </c>
      <c r="AL38" s="18" t="n">
        <v>0.171</v>
      </c>
      <c r="AM38" s="18" t="n">
        <v>0.1177</v>
      </c>
      <c r="AN38" s="18" t="n">
        <v>0.227</v>
      </c>
      <c r="AO38" s="18" t="n">
        <v>0.051</v>
      </c>
      <c r="AP38" s="18" t="n">
        <v>0.1177</v>
      </c>
      <c r="AQ38" s="18" t="n">
        <v>0.227</v>
      </c>
      <c r="AR38" s="18" t="n">
        <v>0.051</v>
      </c>
      <c r="AS38" s="18" t="n">
        <v>0.1355</v>
      </c>
      <c r="AT38" s="18" t="n">
        <v>0.2955</v>
      </c>
      <c r="AU38" s="18" t="n">
        <v>0.195</v>
      </c>
      <c r="AV38" s="18" t="n">
        <v>0.0547</v>
      </c>
      <c r="AW38" s="18" t="n">
        <v>0.226</v>
      </c>
      <c r="AX38" s="18" t="n">
        <v>0.1372</v>
      </c>
    </row>
    <row r="39">
      <c r="A39" s="10" t="inlineStr">
        <is>
          <t>Load_TR2_F5_17</t>
        </is>
      </c>
      <c r="B39" s="12" t="inlineStr">
        <is>
          <t>customer</t>
        </is>
      </c>
      <c r="C39" s="18" t="n">
        <v>0.1362</v>
      </c>
      <c r="D39" s="18" t="n">
        <v>0.047</v>
      </c>
      <c r="E39" s="18" t="n">
        <v>0.047</v>
      </c>
      <c r="F39" s="18" t="n">
        <v>0.047</v>
      </c>
      <c r="G39" s="18" t="n">
        <v>0.1064</v>
      </c>
      <c r="H39" s="18" t="n">
        <v>0.151</v>
      </c>
      <c r="I39" s="18" t="n">
        <v>0.0619</v>
      </c>
      <c r="J39" s="18" t="n">
        <v>0.1956</v>
      </c>
      <c r="K39" s="18" t="n">
        <v>0.047</v>
      </c>
      <c r="L39" s="18" t="n">
        <v>0.151</v>
      </c>
      <c r="M39" s="18" t="n">
        <v>0.1064</v>
      </c>
      <c r="N39" s="18" t="n">
        <v>0.0842</v>
      </c>
      <c r="O39" s="18" t="n">
        <v>0.1733</v>
      </c>
      <c r="P39" s="18" t="n">
        <v>0.047</v>
      </c>
      <c r="Q39" s="18" t="n">
        <v>0.1585</v>
      </c>
      <c r="R39" s="18" t="n">
        <v>0.099</v>
      </c>
      <c r="S39" s="18" t="n">
        <v>0.415</v>
      </c>
      <c r="T39" s="18" t="n">
        <v>1.7066</v>
      </c>
      <c r="U39" s="18" t="n">
        <v>0.047</v>
      </c>
      <c r="V39" s="18" t="n">
        <v>0.4809</v>
      </c>
      <c r="W39" s="18" t="n">
        <v>0.1956</v>
      </c>
      <c r="X39" s="18" t="n">
        <v>0.0619</v>
      </c>
      <c r="Y39" s="18" t="n">
        <v>0.1139</v>
      </c>
      <c r="Z39" s="18" t="n">
        <v>0.1436</v>
      </c>
      <c r="AA39" s="18" t="n">
        <v>0.2033</v>
      </c>
      <c r="AB39" s="18" t="n">
        <v>0.9705</v>
      </c>
      <c r="AC39" s="18" t="n">
        <v>1.2923</v>
      </c>
      <c r="AD39" s="18" t="n">
        <v>1.6727</v>
      </c>
      <c r="AE39" s="18" t="n">
        <v>0.1362</v>
      </c>
      <c r="AF39" s="18" t="n">
        <v>0.136</v>
      </c>
      <c r="AG39" s="18" t="n">
        <v>0.3184</v>
      </c>
      <c r="AH39" s="18" t="n">
        <v>0.2048</v>
      </c>
      <c r="AI39" s="18" t="n">
        <v>0.2282</v>
      </c>
      <c r="AJ39" s="18" t="n">
        <v>0.3873</v>
      </c>
      <c r="AK39" s="18" t="n">
        <v>0.1665</v>
      </c>
      <c r="AL39" s="18" t="n">
        <v>0.047</v>
      </c>
      <c r="AM39" s="18" t="n">
        <v>0.1139</v>
      </c>
      <c r="AN39" s="18" t="n">
        <v>0.1436</v>
      </c>
      <c r="AO39" s="18" t="n">
        <v>0.047</v>
      </c>
      <c r="AP39" s="18" t="n">
        <v>0.2105</v>
      </c>
      <c r="AQ39" s="18" t="n">
        <v>0.047</v>
      </c>
      <c r="AR39" s="18" t="n">
        <v>0.047</v>
      </c>
      <c r="AS39" s="18" t="n">
        <v>0.047</v>
      </c>
      <c r="AT39" s="18" t="n">
        <v>0.1494</v>
      </c>
      <c r="AU39" s="18" t="n">
        <v>0.3245</v>
      </c>
      <c r="AV39" s="18" t="n">
        <v>0.047</v>
      </c>
      <c r="AW39" s="18" t="n">
        <v>0.2105</v>
      </c>
      <c r="AX39" s="18" t="n">
        <v>0.047</v>
      </c>
    </row>
    <row r="40">
      <c r="A40" s="10" t="inlineStr">
        <is>
          <t>Load_TR2_F5_18</t>
        </is>
      </c>
      <c r="B40" s="12" t="inlineStr">
        <is>
          <t>customer</t>
        </is>
      </c>
      <c r="C40" s="18" t="n">
        <v>0.3067</v>
      </c>
      <c r="D40" s="18" t="n">
        <v>0.049</v>
      </c>
      <c r="E40" s="18" t="n">
        <v>0.1817</v>
      </c>
      <c r="F40" s="18" t="n">
        <v>0.049</v>
      </c>
      <c r="G40" s="18" t="n">
        <v>0.1335</v>
      </c>
      <c r="H40" s="18" t="n">
        <v>0.0973</v>
      </c>
      <c r="I40" s="18" t="n">
        <v>0.0852</v>
      </c>
      <c r="J40" s="18" t="n">
        <v>0.1455</v>
      </c>
      <c r="K40" s="18" t="n">
        <v>0.049</v>
      </c>
      <c r="L40" s="18" t="n">
        <v>0.049</v>
      </c>
      <c r="M40" s="18" t="n">
        <v>0.1455</v>
      </c>
      <c r="N40" s="18" t="n">
        <v>0.0852</v>
      </c>
      <c r="O40" s="18" t="n">
        <v>0.049</v>
      </c>
      <c r="P40" s="18" t="n">
        <v>0.1697</v>
      </c>
      <c r="Q40" s="18" t="n">
        <v>0.0611</v>
      </c>
      <c r="R40" s="18" t="n">
        <v>0.06710000000000001</v>
      </c>
      <c r="S40" s="18" t="n">
        <v>1.0818</v>
      </c>
      <c r="T40" s="18" t="n">
        <v>0.1534</v>
      </c>
      <c r="U40" s="18" t="n">
        <v>0.049</v>
      </c>
      <c r="V40" s="18" t="n">
        <v>0.5914</v>
      </c>
      <c r="W40" s="18" t="n">
        <v>0.0669</v>
      </c>
      <c r="X40" s="18" t="n">
        <v>0.0694</v>
      </c>
      <c r="Y40" s="18" t="n">
        <v>1.0402</v>
      </c>
      <c r="Z40" s="18" t="n">
        <v>0.2587</v>
      </c>
      <c r="AA40" s="18" t="n">
        <v>0.049</v>
      </c>
      <c r="AB40" s="18" t="n">
        <v>0.049</v>
      </c>
      <c r="AC40" s="18" t="n">
        <v>0.07920000000000001</v>
      </c>
      <c r="AD40" s="18" t="n">
        <v>0.1516</v>
      </c>
      <c r="AE40" s="18" t="n">
        <v>0.049</v>
      </c>
      <c r="AF40" s="18" t="n">
        <v>0.1817</v>
      </c>
      <c r="AG40" s="18" t="n">
        <v>0.049</v>
      </c>
      <c r="AH40" s="18" t="n">
        <v>0.1576</v>
      </c>
      <c r="AI40" s="18" t="n">
        <v>0.1552</v>
      </c>
      <c r="AJ40" s="18" t="n">
        <v>0.1263</v>
      </c>
      <c r="AK40" s="18" t="n">
        <v>0.1901</v>
      </c>
      <c r="AL40" s="18" t="n">
        <v>0.0548</v>
      </c>
      <c r="AM40" s="18" t="n">
        <v>0.1794</v>
      </c>
      <c r="AN40" s="18" t="n">
        <v>0.1497</v>
      </c>
      <c r="AO40" s="18" t="n">
        <v>0.2</v>
      </c>
      <c r="AP40" s="18" t="n">
        <v>0.4147</v>
      </c>
      <c r="AQ40" s="18" t="n">
        <v>0.3842</v>
      </c>
      <c r="AR40" s="18" t="n">
        <v>0.6581</v>
      </c>
      <c r="AS40" s="18" t="n">
        <v>1.4278</v>
      </c>
      <c r="AT40" s="18" t="n">
        <v>1.2124</v>
      </c>
      <c r="AU40" s="18" t="n">
        <v>0.6323</v>
      </c>
      <c r="AV40" s="18" t="n">
        <v>0.4066</v>
      </c>
      <c r="AW40" s="18" t="n">
        <v>0.3932</v>
      </c>
      <c r="AX40" s="18" t="n">
        <v>0.055</v>
      </c>
    </row>
    <row r="41">
      <c r="A41" s="10" t="inlineStr">
        <is>
          <t>Load_TR2_F5_19</t>
        </is>
      </c>
      <c r="B41" s="12" t="inlineStr">
        <is>
          <t>customer</t>
        </is>
      </c>
      <c r="C41" s="18" t="n">
        <v>0.052</v>
      </c>
      <c r="D41" s="18" t="n">
        <v>0.0876</v>
      </c>
      <c r="E41" s="18" t="n">
        <v>0.1351</v>
      </c>
      <c r="F41" s="18" t="n">
        <v>0.052</v>
      </c>
      <c r="G41" s="18" t="n">
        <v>0.0757</v>
      </c>
      <c r="H41" s="18" t="n">
        <v>0.1469</v>
      </c>
      <c r="I41" s="18" t="n">
        <v>0.052</v>
      </c>
      <c r="J41" s="18" t="n">
        <v>0.1351</v>
      </c>
      <c r="K41" s="18" t="n">
        <v>0.0876</v>
      </c>
      <c r="L41" s="18" t="n">
        <v>0.1291</v>
      </c>
      <c r="M41" s="18" t="n">
        <v>0.0935</v>
      </c>
      <c r="N41" s="18" t="n">
        <v>0.052</v>
      </c>
      <c r="O41" s="18" t="n">
        <v>0.052</v>
      </c>
      <c r="P41" s="18" t="n">
        <v>0.1232</v>
      </c>
      <c r="Q41" s="18" t="n">
        <v>0.09950000000000001</v>
      </c>
      <c r="R41" s="18" t="n">
        <v>0.0698</v>
      </c>
      <c r="S41" s="18" t="n">
        <v>0.1529</v>
      </c>
      <c r="T41" s="18" t="n">
        <v>0.052</v>
      </c>
      <c r="U41" s="18" t="n">
        <v>0.1707</v>
      </c>
      <c r="V41" s="18" t="n">
        <v>0.052</v>
      </c>
      <c r="W41" s="18" t="n">
        <v>0.052</v>
      </c>
      <c r="X41" s="18" t="n">
        <v>0.4893</v>
      </c>
      <c r="Y41" s="18" t="n">
        <v>0.2159</v>
      </c>
      <c r="Z41" s="18" t="n">
        <v>0.1027</v>
      </c>
      <c r="AA41" s="18" t="n">
        <v>0.1441</v>
      </c>
      <c r="AB41" s="18" t="n">
        <v>0.0825</v>
      </c>
      <c r="AC41" s="18" t="n">
        <v>0.107</v>
      </c>
      <c r="AD41" s="18" t="n">
        <v>0.052</v>
      </c>
      <c r="AE41" s="18" t="n">
        <v>0.294</v>
      </c>
      <c r="AF41" s="18" t="n">
        <v>0.1555</v>
      </c>
      <c r="AG41" s="18" t="n">
        <v>0.1465</v>
      </c>
      <c r="AH41" s="18" t="n">
        <v>0.2442</v>
      </c>
      <c r="AI41" s="18" t="n">
        <v>0.2753</v>
      </c>
      <c r="AJ41" s="18" t="n">
        <v>0.052</v>
      </c>
      <c r="AK41" s="18" t="n">
        <v>0.1291</v>
      </c>
      <c r="AL41" s="18" t="n">
        <v>0.0935</v>
      </c>
      <c r="AM41" s="18" t="n">
        <v>0.053</v>
      </c>
      <c r="AN41" s="18" t="n">
        <v>1.8396</v>
      </c>
      <c r="AO41" s="18" t="n">
        <v>0.3741</v>
      </c>
      <c r="AP41" s="18" t="n">
        <v>0.3299</v>
      </c>
      <c r="AQ41" s="18" t="n">
        <v>0.133</v>
      </c>
      <c r="AR41" s="18" t="n">
        <v>0.2521</v>
      </c>
      <c r="AS41" s="18" t="n">
        <v>0.6982</v>
      </c>
      <c r="AT41" s="18" t="n">
        <v>0.2603</v>
      </c>
      <c r="AU41" s="18" t="n">
        <v>0.1605</v>
      </c>
      <c r="AV41" s="18" t="n">
        <v>0.2284</v>
      </c>
      <c r="AW41" s="18" t="n">
        <v>0.3306</v>
      </c>
      <c r="AX41" s="18" t="n">
        <v>0.2109</v>
      </c>
    </row>
    <row r="42">
      <c r="A42" s="19" t="inlineStr">
        <is>
          <t>Load_TR2_F5_2</t>
        </is>
      </c>
      <c r="B42" s="15" t="inlineStr">
        <is>
          <t>prosumer</t>
        </is>
      </c>
      <c r="C42" s="20" t="n">
        <v>0.0944</v>
      </c>
      <c r="D42" s="20" t="n">
        <v>0.1496</v>
      </c>
      <c r="E42" s="20" t="n">
        <v>0.1932</v>
      </c>
      <c r="F42" s="20" t="n">
        <v>0.1823</v>
      </c>
      <c r="G42" s="20" t="n">
        <v>0.1201</v>
      </c>
      <c r="H42" s="20" t="n">
        <v>0.1347</v>
      </c>
      <c r="I42" s="20" t="n">
        <v>0.1349</v>
      </c>
      <c r="J42" s="20" t="n">
        <v>0.2552</v>
      </c>
      <c r="K42" s="20" t="n">
        <v>0.0741</v>
      </c>
      <c r="L42" s="20" t="n">
        <v>0.243</v>
      </c>
      <c r="M42" s="20" t="n">
        <v>0.1201</v>
      </c>
      <c r="N42" s="20" t="n">
        <v>0.047</v>
      </c>
      <c r="O42" s="20" t="n">
        <v>0.2079</v>
      </c>
      <c r="P42" s="20" t="n">
        <v>0.047</v>
      </c>
      <c r="Q42" s="20" t="n">
        <v>0.2609</v>
      </c>
      <c r="R42" s="20" t="n">
        <v>0.1293</v>
      </c>
      <c r="S42" s="20" t="n">
        <v>0.1816</v>
      </c>
      <c r="T42" s="20" t="n">
        <v>0.2086</v>
      </c>
      <c r="U42" s="20" t="n">
        <v>0.0638</v>
      </c>
      <c r="V42" s="20" t="n">
        <v>0.6012999999999999</v>
      </c>
      <c r="W42" s="20" t="n">
        <v>0.0858</v>
      </c>
      <c r="X42" s="20" t="n">
        <v>1.0394</v>
      </c>
      <c r="Y42" s="20" t="n">
        <v>0.194</v>
      </c>
      <c r="Z42" s="20" t="n">
        <v>0.6151</v>
      </c>
      <c r="AA42" s="20" t="n">
        <v>2.744</v>
      </c>
      <c r="AB42" s="20" t="n">
        <v>2.68</v>
      </c>
      <c r="AC42" s="20" t="n">
        <v>0.8407</v>
      </c>
      <c r="AD42" s="20" t="n">
        <v>0.5004999999999999</v>
      </c>
      <c r="AE42" s="20" t="n">
        <v>1.2634</v>
      </c>
      <c r="AF42" s="20" t="n">
        <v>0.4981</v>
      </c>
      <c r="AG42" s="20" t="n">
        <v>0.3215</v>
      </c>
      <c r="AH42" s="20" t="n">
        <v>0.1956</v>
      </c>
      <c r="AI42" s="20" t="n">
        <v>0.3642</v>
      </c>
      <c r="AJ42" s="20" t="n">
        <v>0.4163</v>
      </c>
      <c r="AK42" s="20" t="n">
        <v>0.7701</v>
      </c>
      <c r="AL42" s="20" t="n">
        <v>0.5508999999999999</v>
      </c>
      <c r="AM42" s="20" t="n">
        <v>0.2004</v>
      </c>
      <c r="AN42" s="20" t="n">
        <v>0.3936</v>
      </c>
      <c r="AO42" s="20" t="n">
        <v>0.4989</v>
      </c>
      <c r="AP42" s="20" t="n">
        <v>0.4599</v>
      </c>
      <c r="AQ42" s="20" t="n">
        <v>0.3267</v>
      </c>
      <c r="AR42" s="20" t="n">
        <v>0.2641</v>
      </c>
      <c r="AS42" s="20" t="n">
        <v>0.047</v>
      </c>
      <c r="AT42" s="20" t="n">
        <v>0.2238</v>
      </c>
      <c r="AU42" s="20" t="n">
        <v>0.1664</v>
      </c>
      <c r="AV42" s="20" t="n">
        <v>0.047</v>
      </c>
      <c r="AW42" s="20" t="n">
        <v>0.047</v>
      </c>
      <c r="AX42" s="20" t="n">
        <v>0.3432</v>
      </c>
    </row>
    <row r="43">
      <c r="A43" s="10" t="inlineStr">
        <is>
          <t>Load_TR2_F5_20</t>
        </is>
      </c>
      <c r="B43" s="12" t="inlineStr">
        <is>
          <t>customer</t>
        </is>
      </c>
      <c r="C43" s="18" t="n">
        <v>0.2038</v>
      </c>
      <c r="D43" s="18" t="n">
        <v>0.082</v>
      </c>
      <c r="E43" s="18" t="n">
        <v>0.1526</v>
      </c>
      <c r="F43" s="18" t="n">
        <v>0.057</v>
      </c>
      <c r="G43" s="18" t="n">
        <v>0.1321</v>
      </c>
      <c r="H43" s="18" t="n">
        <v>0.1777</v>
      </c>
      <c r="I43" s="18" t="n">
        <v>0.0946</v>
      </c>
      <c r="J43" s="18" t="n">
        <v>0.057</v>
      </c>
      <c r="K43" s="18" t="n">
        <v>0.2175</v>
      </c>
      <c r="L43" s="18" t="n">
        <v>0.1298</v>
      </c>
      <c r="M43" s="18" t="n">
        <v>0.1321</v>
      </c>
      <c r="N43" s="18" t="n">
        <v>0.2152</v>
      </c>
      <c r="O43" s="18" t="n">
        <v>0.057</v>
      </c>
      <c r="P43" s="18" t="n">
        <v>0.1634</v>
      </c>
      <c r="Q43" s="18" t="n">
        <v>0.1839</v>
      </c>
      <c r="R43" s="18" t="n">
        <v>0.057</v>
      </c>
      <c r="S43" s="18" t="n">
        <v>0.1048</v>
      </c>
      <c r="T43" s="18" t="n">
        <v>0.1611</v>
      </c>
      <c r="U43" s="18" t="n">
        <v>0.1865</v>
      </c>
      <c r="V43" s="18" t="n">
        <v>0.1674</v>
      </c>
      <c r="W43" s="18" t="n">
        <v>0.502</v>
      </c>
      <c r="X43" s="18" t="n">
        <v>1.177</v>
      </c>
      <c r="Y43" s="18" t="n">
        <v>1.7948</v>
      </c>
      <c r="Z43" s="18" t="n">
        <v>0.2823</v>
      </c>
      <c r="AA43" s="18" t="n">
        <v>0.1336</v>
      </c>
      <c r="AB43" s="18" t="n">
        <v>0.2226</v>
      </c>
      <c r="AC43" s="18" t="n">
        <v>0.09279999999999999</v>
      </c>
      <c r="AD43" s="18" t="n">
        <v>0.2486</v>
      </c>
      <c r="AE43" s="18" t="n">
        <v>0.2216</v>
      </c>
      <c r="AF43" s="18" t="n">
        <v>0.062</v>
      </c>
      <c r="AG43" s="18" t="n">
        <v>0.159</v>
      </c>
      <c r="AH43" s="18" t="n">
        <v>0.0718</v>
      </c>
      <c r="AI43" s="18" t="n">
        <v>0.243</v>
      </c>
      <c r="AJ43" s="18" t="n">
        <v>0.2043</v>
      </c>
      <c r="AK43" s="18" t="n">
        <v>0.2673</v>
      </c>
      <c r="AL43" s="18" t="n">
        <v>0.4729</v>
      </c>
      <c r="AM43" s="18" t="n">
        <v>0.5835</v>
      </c>
      <c r="AN43" s="18" t="n">
        <v>0.29</v>
      </c>
      <c r="AO43" s="18" t="n">
        <v>1.0764</v>
      </c>
      <c r="AP43" s="18" t="n">
        <v>1.627</v>
      </c>
      <c r="AQ43" s="18" t="n">
        <v>0.5959</v>
      </c>
      <c r="AR43" s="18" t="n">
        <v>0.4816</v>
      </c>
      <c r="AS43" s="18" t="n">
        <v>0.6031</v>
      </c>
      <c r="AT43" s="18" t="n">
        <v>0.5233</v>
      </c>
      <c r="AU43" s="18" t="n">
        <v>0.6391</v>
      </c>
      <c r="AV43" s="18" t="n">
        <v>0.5402</v>
      </c>
      <c r="AW43" s="18" t="n">
        <v>0.7171999999999999</v>
      </c>
      <c r="AX43" s="18" t="n">
        <v>0.1526</v>
      </c>
    </row>
    <row r="44">
      <c r="A44" s="10" t="inlineStr">
        <is>
          <t>Load_TR2_F5_21</t>
        </is>
      </c>
      <c r="B44" s="12" t="inlineStr">
        <is>
          <t>customer</t>
        </is>
      </c>
      <c r="C44" s="18" t="n">
        <v>0.2174</v>
      </c>
      <c r="D44" s="18" t="n">
        <v>0.1888</v>
      </c>
      <c r="E44" s="18" t="n">
        <v>0.049</v>
      </c>
      <c r="F44" s="18" t="n">
        <v>0.08790000000000001</v>
      </c>
      <c r="G44" s="18" t="n">
        <v>0.1725</v>
      </c>
      <c r="H44" s="18" t="n">
        <v>0.2649</v>
      </c>
      <c r="I44" s="18" t="n">
        <v>0.1233</v>
      </c>
      <c r="J44" s="18" t="n">
        <v>0.049</v>
      </c>
      <c r="K44" s="18" t="n">
        <v>0.2631</v>
      </c>
      <c r="L44" s="18" t="n">
        <v>0.049</v>
      </c>
      <c r="M44" s="18" t="n">
        <v>0.1742</v>
      </c>
      <c r="N44" s="18" t="n">
        <v>0.1379</v>
      </c>
      <c r="O44" s="18" t="n">
        <v>0.1233</v>
      </c>
      <c r="P44" s="18" t="n">
        <v>0.0871</v>
      </c>
      <c r="Q44" s="18" t="n">
        <v>0.225</v>
      </c>
      <c r="R44" s="18" t="n">
        <v>0.049</v>
      </c>
      <c r="S44" s="18" t="n">
        <v>0.5617</v>
      </c>
      <c r="T44" s="18" t="n">
        <v>0.1192</v>
      </c>
      <c r="U44" s="18" t="n">
        <v>0.1189</v>
      </c>
      <c r="V44" s="18" t="n">
        <v>0.2203</v>
      </c>
      <c r="W44" s="18" t="n">
        <v>0.2093</v>
      </c>
      <c r="X44" s="18" t="n">
        <v>0.2811</v>
      </c>
      <c r="Y44" s="18" t="n">
        <v>0.1045</v>
      </c>
      <c r="Z44" s="18" t="n">
        <v>0.2678</v>
      </c>
      <c r="AA44" s="18" t="n">
        <v>0.0696</v>
      </c>
      <c r="AB44" s="18" t="n">
        <v>0.1281</v>
      </c>
      <c r="AC44" s="18" t="n">
        <v>0.184</v>
      </c>
      <c r="AD44" s="18" t="n">
        <v>0.09030000000000001</v>
      </c>
      <c r="AE44" s="18" t="n">
        <v>0.2218</v>
      </c>
      <c r="AF44" s="18" t="n">
        <v>0.091</v>
      </c>
      <c r="AG44" s="18" t="n">
        <v>0.2173</v>
      </c>
      <c r="AH44" s="18" t="n">
        <v>0.0701</v>
      </c>
      <c r="AI44" s="18" t="n">
        <v>0.1959</v>
      </c>
      <c r="AJ44" s="18" t="n">
        <v>0.1556</v>
      </c>
      <c r="AK44" s="18" t="n">
        <v>0.1821</v>
      </c>
      <c r="AL44" s="18" t="n">
        <v>0.6159</v>
      </c>
      <c r="AM44" s="18" t="n">
        <v>0.0718</v>
      </c>
      <c r="AN44" s="18" t="n">
        <v>1.1305</v>
      </c>
      <c r="AO44" s="18" t="n">
        <v>0.09130000000000001</v>
      </c>
      <c r="AP44" s="18" t="n">
        <v>0.4863</v>
      </c>
      <c r="AQ44" s="18" t="n">
        <v>0.154</v>
      </c>
      <c r="AR44" s="18" t="n">
        <v>0.1144</v>
      </c>
      <c r="AS44" s="18" t="n">
        <v>0.1977</v>
      </c>
      <c r="AT44" s="18" t="n">
        <v>0.0531</v>
      </c>
      <c r="AU44" s="18" t="n">
        <v>0.1192</v>
      </c>
      <c r="AV44" s="18" t="n">
        <v>0.049</v>
      </c>
      <c r="AW44" s="18" t="n">
        <v>0.049</v>
      </c>
      <c r="AX44" s="18" t="n">
        <v>0.1805</v>
      </c>
    </row>
    <row r="45">
      <c r="A45" s="19" t="inlineStr">
        <is>
          <t>Load_TR2_F5_22</t>
        </is>
      </c>
      <c r="B45" s="15" t="inlineStr">
        <is>
          <t>prosumer</t>
        </is>
      </c>
      <c r="C45" s="20" t="n">
        <v>0.05</v>
      </c>
      <c r="D45" s="20" t="n">
        <v>0.05</v>
      </c>
      <c r="E45" s="20" t="n">
        <v>0.05</v>
      </c>
      <c r="F45" s="20" t="n">
        <v>0.05</v>
      </c>
      <c r="G45" s="20" t="n">
        <v>0.05</v>
      </c>
      <c r="H45" s="20" t="n">
        <v>0.05</v>
      </c>
      <c r="I45" s="20" t="n">
        <v>0.05</v>
      </c>
      <c r="J45" s="20" t="n">
        <v>0.05</v>
      </c>
      <c r="K45" s="20" t="n">
        <v>0.05</v>
      </c>
      <c r="L45" s="20" t="n">
        <v>0.05</v>
      </c>
      <c r="M45" s="20" t="n">
        <v>0.05</v>
      </c>
      <c r="N45" s="20" t="n">
        <v>0.05</v>
      </c>
      <c r="O45" s="20" t="n">
        <v>0.05</v>
      </c>
      <c r="P45" s="20" t="n">
        <v>0.05</v>
      </c>
      <c r="Q45" s="20" t="n">
        <v>0.05</v>
      </c>
      <c r="R45" s="20" t="n">
        <v>0.05</v>
      </c>
      <c r="S45" s="20" t="n">
        <v>0.09</v>
      </c>
      <c r="T45" s="20" t="n">
        <v>0.8521</v>
      </c>
      <c r="U45" s="20" t="n">
        <v>0.3474</v>
      </c>
      <c r="V45" s="20" t="n">
        <v>0.15</v>
      </c>
      <c r="W45" s="20" t="n">
        <v>0.1798</v>
      </c>
      <c r="X45" s="20" t="n">
        <v>0.0837</v>
      </c>
      <c r="Y45" s="20" t="n">
        <v>0.3225</v>
      </c>
      <c r="Z45" s="20" t="n">
        <v>0.1077</v>
      </c>
      <c r="AA45" s="20" t="n">
        <v>0.0617</v>
      </c>
      <c r="AB45" s="20" t="n">
        <v>1.3952</v>
      </c>
      <c r="AC45" s="20" t="n">
        <v>1.0523</v>
      </c>
      <c r="AD45" s="20" t="n">
        <v>0.7504999999999999</v>
      </c>
      <c r="AE45" s="20" t="n">
        <v>0.05</v>
      </c>
      <c r="AF45" s="20" t="n">
        <v>0.05</v>
      </c>
      <c r="AG45" s="20" t="n">
        <v>0.05</v>
      </c>
      <c r="AH45" s="20" t="n">
        <v>0.05</v>
      </c>
      <c r="AI45" s="20" t="n">
        <v>0.05</v>
      </c>
      <c r="AJ45" s="20" t="n">
        <v>0.05</v>
      </c>
      <c r="AK45" s="20" t="n">
        <v>0.05</v>
      </c>
      <c r="AL45" s="20" t="n">
        <v>0.05</v>
      </c>
      <c r="AM45" s="20" t="n">
        <v>0.05</v>
      </c>
      <c r="AN45" s="20" t="n">
        <v>0.0551</v>
      </c>
      <c r="AO45" s="20" t="n">
        <v>0.0602</v>
      </c>
      <c r="AP45" s="20" t="n">
        <v>0.1638</v>
      </c>
      <c r="AQ45" s="20" t="n">
        <v>0.05</v>
      </c>
      <c r="AR45" s="20" t="n">
        <v>0.05</v>
      </c>
      <c r="AS45" s="20" t="n">
        <v>0.05</v>
      </c>
      <c r="AT45" s="20" t="n">
        <v>0.05</v>
      </c>
      <c r="AU45" s="20" t="n">
        <v>0.05</v>
      </c>
      <c r="AV45" s="20" t="n">
        <v>0.05</v>
      </c>
      <c r="AW45" s="20" t="n">
        <v>0.05</v>
      </c>
      <c r="AX45" s="20" t="n">
        <v>0.05</v>
      </c>
    </row>
    <row r="46">
      <c r="A46" s="19" t="inlineStr">
        <is>
          <t>Load_TR2_F5_23</t>
        </is>
      </c>
      <c r="B46" s="15" t="inlineStr">
        <is>
          <t>prosumer</t>
        </is>
      </c>
      <c r="C46" s="20" t="n">
        <v>0.05</v>
      </c>
      <c r="D46" s="20" t="n">
        <v>0.129</v>
      </c>
      <c r="E46" s="20" t="n">
        <v>0.1951</v>
      </c>
      <c r="F46" s="20" t="n">
        <v>0.1041</v>
      </c>
      <c r="G46" s="20" t="n">
        <v>0.09810000000000001</v>
      </c>
      <c r="H46" s="20" t="n">
        <v>0.2801</v>
      </c>
      <c r="I46" s="20" t="n">
        <v>0.05</v>
      </c>
      <c r="J46" s="20" t="n">
        <v>0.195</v>
      </c>
      <c r="K46" s="20" t="n">
        <v>0.1832</v>
      </c>
      <c r="L46" s="20" t="n">
        <v>0.1003</v>
      </c>
      <c r="M46" s="20" t="n">
        <v>0.2779</v>
      </c>
      <c r="N46" s="20" t="n">
        <v>0.0572</v>
      </c>
      <c r="O46" s="20" t="n">
        <v>0.2008</v>
      </c>
      <c r="P46" s="20" t="n">
        <v>0.05</v>
      </c>
      <c r="Q46" s="20" t="n">
        <v>0.3282</v>
      </c>
      <c r="R46" s="20" t="n">
        <v>0.0992</v>
      </c>
      <c r="S46" s="20" t="n">
        <v>0.4994</v>
      </c>
      <c r="T46" s="20" t="n">
        <v>1.3634</v>
      </c>
      <c r="U46" s="20" t="n">
        <v>0.2825</v>
      </c>
      <c r="V46" s="20" t="n">
        <v>0.1159</v>
      </c>
      <c r="W46" s="20" t="n">
        <v>0.2574</v>
      </c>
      <c r="X46" s="20" t="n">
        <v>0.0921</v>
      </c>
      <c r="Y46" s="20" t="n">
        <v>0.0931</v>
      </c>
      <c r="Z46" s="20" t="n">
        <v>0.237</v>
      </c>
      <c r="AA46" s="20" t="n">
        <v>0.1101</v>
      </c>
      <c r="AB46" s="20" t="n">
        <v>1.4852</v>
      </c>
      <c r="AC46" s="20" t="n">
        <v>0.08749999999999999</v>
      </c>
      <c r="AD46" s="20" t="n">
        <v>0.4494</v>
      </c>
      <c r="AE46" s="20" t="n">
        <v>0.1341</v>
      </c>
      <c r="AF46" s="20" t="n">
        <v>0.244</v>
      </c>
      <c r="AG46" s="20" t="n">
        <v>0.1161</v>
      </c>
      <c r="AH46" s="20" t="n">
        <v>0.1903</v>
      </c>
      <c r="AI46" s="20" t="n">
        <v>0.1218</v>
      </c>
      <c r="AJ46" s="20" t="n">
        <v>0.05</v>
      </c>
      <c r="AK46" s="20" t="n">
        <v>0.1702</v>
      </c>
      <c r="AL46" s="20" t="n">
        <v>0.05</v>
      </c>
      <c r="AM46" s="20" t="n">
        <v>0.3481</v>
      </c>
      <c r="AN46" s="20" t="n">
        <v>0.0673</v>
      </c>
      <c r="AO46" s="20" t="n">
        <v>0.1081</v>
      </c>
      <c r="AP46" s="20" t="n">
        <v>0.4333</v>
      </c>
      <c r="AQ46" s="20" t="n">
        <v>0.5049</v>
      </c>
      <c r="AR46" s="20" t="n">
        <v>0.4805</v>
      </c>
      <c r="AS46" s="20" t="n">
        <v>0.6032999999999999</v>
      </c>
      <c r="AT46" s="20" t="n">
        <v>0.5760999999999999</v>
      </c>
      <c r="AU46" s="20" t="n">
        <v>0.4943</v>
      </c>
      <c r="AV46" s="20" t="n">
        <v>0.5864</v>
      </c>
      <c r="AW46" s="20" t="n">
        <v>0.4953</v>
      </c>
      <c r="AX46" s="20" t="n">
        <v>0.3282</v>
      </c>
    </row>
    <row r="47">
      <c r="A47" s="19" t="inlineStr">
        <is>
          <t>Load_TR2_F5_24</t>
        </is>
      </c>
      <c r="B47" s="15" t="inlineStr">
        <is>
          <t>prosumer</t>
        </is>
      </c>
      <c r="C47" s="20" t="n">
        <v>0.4098</v>
      </c>
      <c r="D47" s="20" t="n">
        <v>0.4859</v>
      </c>
      <c r="E47" s="20" t="n">
        <v>0.5834</v>
      </c>
      <c r="F47" s="20" t="n">
        <v>0.6385</v>
      </c>
      <c r="G47" s="20" t="n">
        <v>0.1726</v>
      </c>
      <c r="H47" s="20" t="n">
        <v>0.056</v>
      </c>
      <c r="I47" s="20" t="n">
        <v>0.056</v>
      </c>
      <c r="J47" s="20" t="n">
        <v>0.056</v>
      </c>
      <c r="K47" s="20" t="n">
        <v>0.056</v>
      </c>
      <c r="L47" s="20" t="n">
        <v>0.056</v>
      </c>
      <c r="M47" s="20" t="n">
        <v>0.056</v>
      </c>
      <c r="N47" s="20" t="n">
        <v>0.056</v>
      </c>
      <c r="O47" s="20" t="n">
        <v>0.056</v>
      </c>
      <c r="P47" s="20" t="n">
        <v>0.056</v>
      </c>
      <c r="Q47" s="20" t="n">
        <v>0.056</v>
      </c>
      <c r="R47" s="20" t="n">
        <v>0.056</v>
      </c>
      <c r="S47" s="20" t="n">
        <v>0.056</v>
      </c>
      <c r="T47" s="20" t="n">
        <v>0.056</v>
      </c>
      <c r="U47" s="20" t="n">
        <v>0.056</v>
      </c>
      <c r="V47" s="20" t="n">
        <v>0.0601</v>
      </c>
      <c r="W47" s="20" t="n">
        <v>0.0779</v>
      </c>
      <c r="X47" s="20" t="n">
        <v>0.1088</v>
      </c>
      <c r="Y47" s="20" t="n">
        <v>0.09130000000000001</v>
      </c>
      <c r="Z47" s="20" t="n">
        <v>0.146</v>
      </c>
      <c r="AA47" s="20" t="n">
        <v>0.2199</v>
      </c>
      <c r="AB47" s="20" t="n">
        <v>0.2545</v>
      </c>
      <c r="AC47" s="20" t="n">
        <v>0.2049</v>
      </c>
      <c r="AD47" s="20" t="n">
        <v>0.2295</v>
      </c>
      <c r="AE47" s="20" t="n">
        <v>0.056</v>
      </c>
      <c r="AF47" s="20" t="n">
        <v>0.056</v>
      </c>
      <c r="AG47" s="20" t="n">
        <v>0.056</v>
      </c>
      <c r="AH47" s="20" t="n">
        <v>0.056</v>
      </c>
      <c r="AI47" s="20" t="n">
        <v>0.056</v>
      </c>
      <c r="AJ47" s="20" t="n">
        <v>0.056</v>
      </c>
      <c r="AK47" s="20" t="n">
        <v>0.176</v>
      </c>
      <c r="AL47" s="20" t="n">
        <v>0.2661</v>
      </c>
      <c r="AM47" s="20" t="n">
        <v>0.4436</v>
      </c>
      <c r="AN47" s="20" t="n">
        <v>0.2896</v>
      </c>
      <c r="AO47" s="20" t="n">
        <v>0.1503</v>
      </c>
      <c r="AP47" s="20" t="n">
        <v>0.056</v>
      </c>
      <c r="AQ47" s="20" t="n">
        <v>0.056</v>
      </c>
      <c r="AR47" s="20" t="n">
        <v>0.056</v>
      </c>
      <c r="AS47" s="20" t="n">
        <v>0.056</v>
      </c>
      <c r="AT47" s="20" t="n">
        <v>0.056</v>
      </c>
      <c r="AU47" s="20" t="n">
        <v>0.4777</v>
      </c>
      <c r="AV47" s="20" t="n">
        <v>0.3902</v>
      </c>
      <c r="AW47" s="20" t="n">
        <v>2.0329</v>
      </c>
      <c r="AX47" s="20" t="n">
        <v>0.486</v>
      </c>
    </row>
    <row r="48">
      <c r="A48" s="19" t="inlineStr">
        <is>
          <t>Load_TR2_F5_25</t>
        </is>
      </c>
      <c r="B48" s="15" t="inlineStr">
        <is>
          <t>prosumer</t>
        </is>
      </c>
      <c r="C48" s="20" t="n">
        <v>0.1487</v>
      </c>
      <c r="D48" s="20" t="n">
        <v>0.1431</v>
      </c>
      <c r="E48" s="20" t="n">
        <v>0.041</v>
      </c>
      <c r="F48" s="20" t="n">
        <v>0.0818</v>
      </c>
      <c r="G48" s="20" t="n">
        <v>0.1499</v>
      </c>
      <c r="H48" s="20" t="n">
        <v>0.041</v>
      </c>
      <c r="I48" s="20" t="n">
        <v>0.1907</v>
      </c>
      <c r="J48" s="20" t="n">
        <v>0.041</v>
      </c>
      <c r="K48" s="20" t="n">
        <v>0.1703</v>
      </c>
      <c r="L48" s="20" t="n">
        <v>0.0614</v>
      </c>
      <c r="M48" s="20" t="n">
        <v>0.041</v>
      </c>
      <c r="N48" s="20" t="n">
        <v>0.041</v>
      </c>
      <c r="O48" s="20" t="n">
        <v>0.1499</v>
      </c>
      <c r="P48" s="20" t="n">
        <v>0.0818</v>
      </c>
      <c r="Q48" s="20" t="n">
        <v>0.0511</v>
      </c>
      <c r="R48" s="20" t="n">
        <v>1.2044</v>
      </c>
      <c r="S48" s="20" t="n">
        <v>0.2037</v>
      </c>
      <c r="T48" s="20" t="n">
        <v>0.0496</v>
      </c>
      <c r="U48" s="20" t="n">
        <v>0.2596</v>
      </c>
      <c r="V48" s="20" t="n">
        <v>0.1495</v>
      </c>
      <c r="W48" s="20" t="n">
        <v>0.2201</v>
      </c>
      <c r="X48" s="20" t="n">
        <v>0.3125</v>
      </c>
      <c r="Y48" s="20" t="n">
        <v>1.9132</v>
      </c>
      <c r="Z48" s="20" t="n">
        <v>1.1068</v>
      </c>
      <c r="AA48" s="20" t="n">
        <v>1.3465</v>
      </c>
      <c r="AB48" s="20" t="n">
        <v>0.1627</v>
      </c>
      <c r="AC48" s="20" t="n">
        <v>0.3299</v>
      </c>
      <c r="AD48" s="20" t="n">
        <v>0.3956</v>
      </c>
      <c r="AE48" s="20" t="n">
        <v>0.3945</v>
      </c>
      <c r="AF48" s="20" t="n">
        <v>0.1728</v>
      </c>
      <c r="AG48" s="20" t="n">
        <v>0.0771</v>
      </c>
      <c r="AH48" s="20" t="n">
        <v>0.5747</v>
      </c>
      <c r="AI48" s="20" t="n">
        <v>0.07480000000000001</v>
      </c>
      <c r="AJ48" s="20" t="n">
        <v>0.239</v>
      </c>
      <c r="AK48" s="20" t="n">
        <v>0.3139</v>
      </c>
      <c r="AL48" s="20" t="n">
        <v>0.1398</v>
      </c>
      <c r="AM48" s="20" t="n">
        <v>0.1204</v>
      </c>
      <c r="AN48" s="20" t="n">
        <v>0.4716</v>
      </c>
      <c r="AO48" s="20" t="n">
        <v>0.1558</v>
      </c>
      <c r="AP48" s="20" t="n">
        <v>0.4471</v>
      </c>
      <c r="AQ48" s="20" t="n">
        <v>0.646</v>
      </c>
      <c r="AR48" s="20" t="n">
        <v>0.744</v>
      </c>
      <c r="AS48" s="20" t="n">
        <v>0.5853</v>
      </c>
      <c r="AT48" s="20" t="n">
        <v>0.6742</v>
      </c>
      <c r="AU48" s="20" t="n">
        <v>0.503</v>
      </c>
      <c r="AV48" s="20" t="n">
        <v>1.8849</v>
      </c>
      <c r="AW48" s="20" t="n">
        <v>0.1839</v>
      </c>
      <c r="AX48" s="20" t="n">
        <v>0.041</v>
      </c>
    </row>
    <row r="49">
      <c r="A49" s="10" t="inlineStr">
        <is>
          <t>Load_TR2_F5_26</t>
        </is>
      </c>
      <c r="B49" s="12" t="inlineStr">
        <is>
          <t>customer</t>
        </is>
      </c>
      <c r="C49" s="18" t="n">
        <v>0.1953</v>
      </c>
      <c r="D49" s="18" t="n">
        <v>0.1549</v>
      </c>
      <c r="E49" s="18" t="n">
        <v>0.052</v>
      </c>
      <c r="F49" s="18" t="n">
        <v>0.2982</v>
      </c>
      <c r="G49" s="18" t="n">
        <v>0.052</v>
      </c>
      <c r="H49" s="18" t="n">
        <v>0.244</v>
      </c>
      <c r="I49" s="18" t="n">
        <v>0.1062</v>
      </c>
      <c r="J49" s="18" t="n">
        <v>0.1073</v>
      </c>
      <c r="K49" s="18" t="n">
        <v>0.1891</v>
      </c>
      <c r="L49" s="18" t="n">
        <v>0.1058</v>
      </c>
      <c r="M49" s="18" t="n">
        <v>0.204</v>
      </c>
      <c r="N49" s="18" t="n">
        <v>0.1462</v>
      </c>
      <c r="O49" s="18" t="n">
        <v>0.052</v>
      </c>
      <c r="P49" s="18" t="n">
        <v>0.204</v>
      </c>
      <c r="Q49" s="18" t="n">
        <v>0.1675</v>
      </c>
      <c r="R49" s="18" t="n">
        <v>0.2674</v>
      </c>
      <c r="S49" s="18" t="n">
        <v>0.2037</v>
      </c>
      <c r="T49" s="18" t="n">
        <v>0.2592</v>
      </c>
      <c r="U49" s="18" t="n">
        <v>0.3863</v>
      </c>
      <c r="V49" s="18" t="n">
        <v>0.2691</v>
      </c>
      <c r="W49" s="18" t="n">
        <v>0.4468</v>
      </c>
      <c r="X49" s="18" t="n">
        <v>0.1462</v>
      </c>
      <c r="Y49" s="18" t="n">
        <v>0.052</v>
      </c>
      <c r="Z49" s="18" t="n">
        <v>0.2781</v>
      </c>
      <c r="AA49" s="18" t="n">
        <v>0.0722</v>
      </c>
      <c r="AB49" s="18" t="n">
        <v>0.052</v>
      </c>
      <c r="AC49" s="18" t="n">
        <v>0.1462</v>
      </c>
      <c r="AD49" s="18" t="n">
        <v>0.1487</v>
      </c>
      <c r="AE49" s="18" t="n">
        <v>0.2015</v>
      </c>
      <c r="AF49" s="18" t="n">
        <v>0.052</v>
      </c>
      <c r="AG49" s="18" t="n">
        <v>0.2037</v>
      </c>
      <c r="AH49" s="18" t="n">
        <v>0.1466</v>
      </c>
      <c r="AI49" s="18" t="n">
        <v>0.1073</v>
      </c>
      <c r="AJ49" s="18" t="n">
        <v>0.243</v>
      </c>
      <c r="AK49" s="18" t="n">
        <v>0.1582</v>
      </c>
      <c r="AL49" s="18" t="n">
        <v>0.451</v>
      </c>
      <c r="AM49" s="18" t="n">
        <v>0.2849</v>
      </c>
      <c r="AN49" s="18" t="n">
        <v>0.3213</v>
      </c>
      <c r="AO49" s="18" t="n">
        <v>0.3677</v>
      </c>
      <c r="AP49" s="18" t="n">
        <v>0.052</v>
      </c>
      <c r="AQ49" s="18" t="n">
        <v>0.1669</v>
      </c>
      <c r="AR49" s="18" t="n">
        <v>0.1833</v>
      </c>
      <c r="AS49" s="18" t="n">
        <v>0.1058</v>
      </c>
      <c r="AT49" s="18" t="n">
        <v>0.4451</v>
      </c>
      <c r="AU49" s="18" t="n">
        <v>0.052</v>
      </c>
      <c r="AV49" s="18" t="n">
        <v>0.1462</v>
      </c>
      <c r="AW49" s="18" t="n">
        <v>0.0589</v>
      </c>
      <c r="AX49" s="18" t="n">
        <v>0.2442</v>
      </c>
    </row>
    <row r="50">
      <c r="A50" s="19" t="inlineStr">
        <is>
          <t>Load_TR2_F5_27</t>
        </is>
      </c>
      <c r="B50" s="15" t="inlineStr">
        <is>
          <t>prosumer</t>
        </is>
      </c>
      <c r="C50" s="20" t="n">
        <v>0.049</v>
      </c>
      <c r="D50" s="20" t="n">
        <v>0.11</v>
      </c>
      <c r="E50" s="20" t="n">
        <v>0.049</v>
      </c>
      <c r="F50" s="20" t="n">
        <v>0.11</v>
      </c>
      <c r="G50" s="20" t="n">
        <v>0.049</v>
      </c>
      <c r="H50" s="20" t="n">
        <v>0.0863</v>
      </c>
      <c r="I50" s="20" t="n">
        <v>0.0727</v>
      </c>
      <c r="J50" s="20" t="n">
        <v>0.049</v>
      </c>
      <c r="K50" s="20" t="n">
        <v>0.049</v>
      </c>
      <c r="L50" s="20" t="n">
        <v>0.11</v>
      </c>
      <c r="M50" s="20" t="n">
        <v>0.049</v>
      </c>
      <c r="N50" s="20" t="n">
        <v>0.049</v>
      </c>
      <c r="O50" s="20" t="n">
        <v>0.0592</v>
      </c>
      <c r="P50" s="20" t="n">
        <v>0.049</v>
      </c>
      <c r="Q50" s="20" t="n">
        <v>0.11</v>
      </c>
      <c r="R50" s="20" t="n">
        <v>0.0625</v>
      </c>
      <c r="S50" s="20" t="n">
        <v>0.0964</v>
      </c>
      <c r="T50" s="20" t="n">
        <v>0.049</v>
      </c>
      <c r="U50" s="20" t="n">
        <v>0.093</v>
      </c>
      <c r="V50" s="20" t="n">
        <v>0.0659</v>
      </c>
      <c r="W50" s="20" t="n">
        <v>0.049</v>
      </c>
      <c r="X50" s="20" t="n">
        <v>0.0541</v>
      </c>
      <c r="Y50" s="20" t="n">
        <v>0.0795</v>
      </c>
      <c r="Z50" s="20" t="n">
        <v>0.3813</v>
      </c>
      <c r="AA50" s="20" t="n">
        <v>0.07049999999999999</v>
      </c>
      <c r="AB50" s="20" t="n">
        <v>0.11</v>
      </c>
      <c r="AC50" s="20" t="n">
        <v>0.049</v>
      </c>
      <c r="AD50" s="20" t="n">
        <v>0.11</v>
      </c>
      <c r="AE50" s="20" t="n">
        <v>0.049</v>
      </c>
      <c r="AF50" s="20" t="n">
        <v>0.049</v>
      </c>
      <c r="AG50" s="20" t="n">
        <v>0.11</v>
      </c>
      <c r="AH50" s="20" t="n">
        <v>0.049</v>
      </c>
      <c r="AI50" s="20" t="n">
        <v>0.0508</v>
      </c>
      <c r="AJ50" s="20" t="n">
        <v>0.1136</v>
      </c>
      <c r="AK50" s="20" t="n">
        <v>0.049</v>
      </c>
      <c r="AL50" s="20" t="n">
        <v>0.11</v>
      </c>
      <c r="AM50" s="20" t="n">
        <v>0.1541</v>
      </c>
      <c r="AN50" s="20" t="n">
        <v>0.2199</v>
      </c>
      <c r="AO50" s="20" t="n">
        <v>0.1536</v>
      </c>
      <c r="AP50" s="20" t="n">
        <v>0.4226</v>
      </c>
      <c r="AQ50" s="20" t="n">
        <v>0.7588</v>
      </c>
      <c r="AR50" s="20" t="n">
        <v>2.7296</v>
      </c>
      <c r="AS50" s="20" t="n">
        <v>2.9558</v>
      </c>
      <c r="AT50" s="20" t="n">
        <v>0.5208</v>
      </c>
      <c r="AU50" s="20" t="n">
        <v>0.2587</v>
      </c>
      <c r="AV50" s="20" t="n">
        <v>0.2317</v>
      </c>
      <c r="AW50" s="20" t="n">
        <v>0.524</v>
      </c>
      <c r="AX50" s="20" t="n">
        <v>0.3624</v>
      </c>
    </row>
    <row r="51">
      <c r="A51" s="10" t="inlineStr">
        <is>
          <t>Load_TR2_F5_28</t>
        </is>
      </c>
      <c r="B51" s="12" t="inlineStr">
        <is>
          <t>customer</t>
        </is>
      </c>
      <c r="C51" s="18" t="n">
        <v>0.2086</v>
      </c>
      <c r="D51" s="18" t="n">
        <v>0.1666</v>
      </c>
      <c r="E51" s="18" t="n">
        <v>0.0888</v>
      </c>
      <c r="F51" s="18" t="n">
        <v>0.1325</v>
      </c>
      <c r="G51" s="18" t="n">
        <v>0.07240000000000001</v>
      </c>
      <c r="H51" s="18" t="n">
        <v>0.2748</v>
      </c>
      <c r="I51" s="18" t="n">
        <v>0.08400000000000001</v>
      </c>
      <c r="J51" s="18" t="n">
        <v>0.1658</v>
      </c>
      <c r="K51" s="18" t="n">
        <v>0.2095</v>
      </c>
      <c r="L51" s="18" t="n">
        <v>0.056</v>
      </c>
      <c r="M51" s="18" t="n">
        <v>0.189</v>
      </c>
      <c r="N51" s="18" t="n">
        <v>0.1862</v>
      </c>
      <c r="O51" s="18" t="n">
        <v>0.056</v>
      </c>
      <c r="P51" s="18" t="n">
        <v>0.1434</v>
      </c>
      <c r="Q51" s="18" t="n">
        <v>0.1618</v>
      </c>
      <c r="R51" s="18" t="n">
        <v>0.1806</v>
      </c>
      <c r="S51" s="18" t="n">
        <v>0.1456</v>
      </c>
      <c r="T51" s="18" t="n">
        <v>0.175</v>
      </c>
      <c r="U51" s="18" t="n">
        <v>0.1052</v>
      </c>
      <c r="V51" s="18" t="n">
        <v>0.2701</v>
      </c>
      <c r="W51" s="18" t="n">
        <v>0.1637</v>
      </c>
      <c r="X51" s="18" t="n">
        <v>0.2729</v>
      </c>
      <c r="Y51" s="18" t="n">
        <v>0.302</v>
      </c>
      <c r="Z51" s="18" t="n">
        <v>0.2066</v>
      </c>
      <c r="AA51" s="18" t="n">
        <v>0.5992</v>
      </c>
      <c r="AB51" s="18" t="n">
        <v>0.2037</v>
      </c>
      <c r="AC51" s="18" t="n">
        <v>0.3296</v>
      </c>
      <c r="AD51" s="18" t="n">
        <v>0.3115</v>
      </c>
      <c r="AE51" s="18" t="n">
        <v>0.2634</v>
      </c>
      <c r="AF51" s="18" t="n">
        <v>0.21</v>
      </c>
      <c r="AG51" s="18" t="n">
        <v>0.1332</v>
      </c>
      <c r="AH51" s="18" t="n">
        <v>0.1161</v>
      </c>
      <c r="AI51" s="18" t="n">
        <v>0.2109</v>
      </c>
      <c r="AJ51" s="18" t="n">
        <v>0.056</v>
      </c>
      <c r="AK51" s="18" t="n">
        <v>1.2823</v>
      </c>
      <c r="AL51" s="18" t="n">
        <v>0.5953000000000001</v>
      </c>
      <c r="AM51" s="18" t="n">
        <v>0.1616</v>
      </c>
      <c r="AN51" s="18" t="n">
        <v>0.3013</v>
      </c>
      <c r="AO51" s="18" t="n">
        <v>0.269</v>
      </c>
      <c r="AP51" s="18" t="n">
        <v>0.2399</v>
      </c>
      <c r="AQ51" s="18" t="n">
        <v>0.5815</v>
      </c>
      <c r="AR51" s="18" t="n">
        <v>0.4152</v>
      </c>
      <c r="AS51" s="18" t="n">
        <v>0.2562</v>
      </c>
      <c r="AT51" s="18" t="n">
        <v>0.119</v>
      </c>
      <c r="AU51" s="18" t="n">
        <v>0.091</v>
      </c>
      <c r="AV51" s="18" t="n">
        <v>0.2842</v>
      </c>
      <c r="AW51" s="18" t="n">
        <v>0.056</v>
      </c>
      <c r="AX51" s="18" t="n">
        <v>0.21</v>
      </c>
    </row>
    <row r="52">
      <c r="A52" s="19" t="inlineStr">
        <is>
          <t>Load_TR2_F5_29</t>
        </is>
      </c>
      <c r="B52" s="15" t="inlineStr">
        <is>
          <t>prosumer</t>
        </is>
      </c>
      <c r="C52" s="20" t="n">
        <v>0.1849</v>
      </c>
      <c r="D52" s="20" t="n">
        <v>0.128</v>
      </c>
      <c r="E52" s="20" t="n">
        <v>0.2753</v>
      </c>
      <c r="F52" s="20" t="n">
        <v>0.0835</v>
      </c>
      <c r="G52" s="20" t="n">
        <v>0.2469</v>
      </c>
      <c r="H52" s="20" t="n">
        <v>0.112</v>
      </c>
      <c r="I52" s="20" t="n">
        <v>0.039</v>
      </c>
      <c r="J52" s="20" t="n">
        <v>0.1503</v>
      </c>
      <c r="K52" s="20" t="n">
        <v>0.2531</v>
      </c>
      <c r="L52" s="20" t="n">
        <v>0.0835</v>
      </c>
      <c r="M52" s="20" t="n">
        <v>0.1577</v>
      </c>
      <c r="N52" s="20" t="n">
        <v>0.039</v>
      </c>
      <c r="O52" s="20" t="n">
        <v>0.1503</v>
      </c>
      <c r="P52" s="20" t="n">
        <v>0.245</v>
      </c>
      <c r="Q52" s="20" t="n">
        <v>0.0842</v>
      </c>
      <c r="R52" s="20" t="n">
        <v>0.2867</v>
      </c>
      <c r="S52" s="20" t="n">
        <v>0.142</v>
      </c>
      <c r="T52" s="20" t="n">
        <v>0.125</v>
      </c>
      <c r="U52" s="20" t="n">
        <v>0.8527</v>
      </c>
      <c r="V52" s="20" t="n">
        <v>0.3009</v>
      </c>
      <c r="W52" s="20" t="n">
        <v>0.151</v>
      </c>
      <c r="X52" s="20" t="n">
        <v>0.2524</v>
      </c>
      <c r="Y52" s="20" t="n">
        <v>0.0538</v>
      </c>
      <c r="Z52" s="20" t="n">
        <v>0.3495</v>
      </c>
      <c r="AA52" s="20" t="n">
        <v>0.039</v>
      </c>
      <c r="AB52" s="20" t="n">
        <v>0.039</v>
      </c>
      <c r="AC52" s="20" t="n">
        <v>0.1038</v>
      </c>
      <c r="AD52" s="20" t="n">
        <v>0.2995</v>
      </c>
      <c r="AE52" s="20" t="n">
        <v>0.039</v>
      </c>
      <c r="AF52" s="20" t="n">
        <v>0.2011</v>
      </c>
      <c r="AG52" s="20" t="n">
        <v>0.0427</v>
      </c>
      <c r="AH52" s="20" t="n">
        <v>0.2011</v>
      </c>
      <c r="AI52" s="20" t="n">
        <v>0.1948</v>
      </c>
      <c r="AJ52" s="20" t="n">
        <v>0.0464</v>
      </c>
      <c r="AK52" s="20" t="n">
        <v>0.2234</v>
      </c>
      <c r="AL52" s="20" t="n">
        <v>0.18</v>
      </c>
      <c r="AM52" s="20" t="n">
        <v>0.039</v>
      </c>
      <c r="AN52" s="20" t="n">
        <v>0.1092</v>
      </c>
      <c r="AO52" s="20" t="n">
        <v>0.2942</v>
      </c>
      <c r="AP52" s="20" t="n">
        <v>0.039</v>
      </c>
      <c r="AQ52" s="20" t="n">
        <v>0.2482</v>
      </c>
      <c r="AR52" s="20" t="n">
        <v>0.5081</v>
      </c>
      <c r="AS52" s="20" t="n">
        <v>0.4723</v>
      </c>
      <c r="AT52" s="20" t="n">
        <v>0.2813</v>
      </c>
      <c r="AU52" s="20" t="n">
        <v>0.2461</v>
      </c>
      <c r="AV52" s="20" t="n">
        <v>0.1429</v>
      </c>
      <c r="AW52" s="20" t="n">
        <v>0.1525</v>
      </c>
      <c r="AX52" s="20" t="n">
        <v>0.0876</v>
      </c>
    </row>
    <row r="53">
      <c r="A53" s="10" t="inlineStr">
        <is>
          <t>Load_TR2_F5_3</t>
        </is>
      </c>
      <c r="B53" s="12" t="inlineStr">
        <is>
          <t>customer</t>
        </is>
      </c>
      <c r="C53" s="18" t="n">
        <v>0.048</v>
      </c>
      <c r="D53" s="18" t="n">
        <v>0.0648</v>
      </c>
      <c r="E53" s="18" t="n">
        <v>0.107</v>
      </c>
      <c r="F53" s="18" t="n">
        <v>0.048</v>
      </c>
      <c r="G53" s="18" t="n">
        <v>0.1238</v>
      </c>
      <c r="H53" s="18" t="n">
        <v>0.048</v>
      </c>
      <c r="I53" s="18" t="n">
        <v>0.048</v>
      </c>
      <c r="J53" s="18" t="n">
        <v>0.2026</v>
      </c>
      <c r="K53" s="18" t="n">
        <v>0.0709</v>
      </c>
      <c r="L53" s="18" t="n">
        <v>0.048</v>
      </c>
      <c r="M53" s="18" t="n">
        <v>0.1238</v>
      </c>
      <c r="N53" s="18" t="n">
        <v>0.048</v>
      </c>
      <c r="O53" s="18" t="n">
        <v>0.048</v>
      </c>
      <c r="P53" s="18" t="n">
        <v>0.048</v>
      </c>
      <c r="Q53" s="18" t="n">
        <v>0.1238</v>
      </c>
      <c r="R53" s="18" t="n">
        <v>0.0579</v>
      </c>
      <c r="S53" s="18" t="n">
        <v>0.1238</v>
      </c>
      <c r="T53" s="18" t="n">
        <v>0.048</v>
      </c>
      <c r="U53" s="18" t="n">
        <v>0.048</v>
      </c>
      <c r="V53" s="18" t="n">
        <v>0.1196</v>
      </c>
      <c r="W53" s="18" t="n">
        <v>0.0522</v>
      </c>
      <c r="X53" s="18" t="n">
        <v>0.0523</v>
      </c>
      <c r="Y53" s="18" t="n">
        <v>0.5601</v>
      </c>
      <c r="Z53" s="18" t="n">
        <v>0.2665</v>
      </c>
      <c r="AA53" s="18" t="n">
        <v>0.1049</v>
      </c>
      <c r="AB53" s="18" t="n">
        <v>0.1523</v>
      </c>
      <c r="AC53" s="18" t="n">
        <v>0.0747</v>
      </c>
      <c r="AD53" s="18" t="n">
        <v>0.0799</v>
      </c>
      <c r="AE53" s="18" t="n">
        <v>0.4127</v>
      </c>
      <c r="AF53" s="18" t="n">
        <v>0.2576</v>
      </c>
      <c r="AG53" s="18" t="n">
        <v>0.3766</v>
      </c>
      <c r="AH53" s="18" t="n">
        <v>0.0564</v>
      </c>
      <c r="AI53" s="18" t="n">
        <v>0.0564</v>
      </c>
      <c r="AJ53" s="18" t="n">
        <v>0.1974</v>
      </c>
      <c r="AK53" s="18" t="n">
        <v>0.0803</v>
      </c>
      <c r="AL53" s="18" t="n">
        <v>0.1699</v>
      </c>
      <c r="AM53" s="18" t="n">
        <v>0.118</v>
      </c>
      <c r="AN53" s="18" t="n">
        <v>0.2443</v>
      </c>
      <c r="AO53" s="18" t="n">
        <v>0.2396</v>
      </c>
      <c r="AP53" s="18" t="n">
        <v>0.5066000000000001</v>
      </c>
      <c r="AQ53" s="18" t="n">
        <v>0.4499</v>
      </c>
      <c r="AR53" s="18" t="n">
        <v>0.3441</v>
      </c>
      <c r="AS53" s="18" t="n">
        <v>0.08169999999999999</v>
      </c>
      <c r="AT53" s="18" t="n">
        <v>0.048</v>
      </c>
      <c r="AU53" s="18" t="n">
        <v>0.1238</v>
      </c>
      <c r="AV53" s="18" t="n">
        <v>0.048</v>
      </c>
      <c r="AW53" s="18" t="n">
        <v>0.0859</v>
      </c>
      <c r="AX53" s="18" t="n">
        <v>0.0859</v>
      </c>
    </row>
    <row r="54">
      <c r="A54" s="19" t="inlineStr">
        <is>
          <t>Load_TR2_F5_30</t>
        </is>
      </c>
      <c r="B54" s="15" t="inlineStr">
        <is>
          <t>prosumer</t>
        </is>
      </c>
      <c r="C54" s="20" t="n">
        <v>1.5652</v>
      </c>
      <c r="D54" s="20" t="n">
        <v>0.058</v>
      </c>
      <c r="E54" s="20" t="n">
        <v>0.1013</v>
      </c>
      <c r="F54" s="20" t="n">
        <v>0.1734</v>
      </c>
      <c r="G54" s="20" t="n">
        <v>0.058</v>
      </c>
      <c r="H54" s="20" t="n">
        <v>0.2167</v>
      </c>
      <c r="I54" s="20" t="n">
        <v>0.058</v>
      </c>
      <c r="J54" s="20" t="n">
        <v>0.1806</v>
      </c>
      <c r="K54" s="20" t="n">
        <v>0.0941</v>
      </c>
      <c r="L54" s="20" t="n">
        <v>0.058</v>
      </c>
      <c r="M54" s="20" t="n">
        <v>0.2167</v>
      </c>
      <c r="N54" s="20" t="n">
        <v>0.058</v>
      </c>
      <c r="O54" s="20" t="n">
        <v>0.1951</v>
      </c>
      <c r="P54" s="20" t="n">
        <v>0.0796</v>
      </c>
      <c r="Q54" s="20" t="n">
        <v>0.058</v>
      </c>
      <c r="R54" s="20" t="n">
        <v>0.058</v>
      </c>
      <c r="S54" s="20" t="n">
        <v>0.1806</v>
      </c>
      <c r="T54" s="20" t="n">
        <v>0.0941</v>
      </c>
      <c r="U54" s="20" t="n">
        <v>0.1575</v>
      </c>
      <c r="V54" s="20" t="n">
        <v>0.1734</v>
      </c>
      <c r="W54" s="20" t="n">
        <v>0.058</v>
      </c>
      <c r="X54" s="20" t="n">
        <v>0.2512</v>
      </c>
      <c r="Y54" s="20" t="n">
        <v>0.129</v>
      </c>
      <c r="Z54" s="20" t="n">
        <v>0.2488</v>
      </c>
      <c r="AA54" s="20" t="n">
        <v>0.1098</v>
      </c>
      <c r="AB54" s="20" t="n">
        <v>0.2167</v>
      </c>
      <c r="AC54" s="20" t="n">
        <v>0.058</v>
      </c>
      <c r="AD54" s="20" t="n">
        <v>0.08690000000000001</v>
      </c>
      <c r="AE54" s="20" t="n">
        <v>0.1878</v>
      </c>
      <c r="AF54" s="20" t="n">
        <v>0.058</v>
      </c>
      <c r="AG54" s="20" t="n">
        <v>0.058</v>
      </c>
      <c r="AH54" s="20" t="n">
        <v>0.2023</v>
      </c>
      <c r="AI54" s="20" t="n">
        <v>0.1242</v>
      </c>
      <c r="AJ54" s="20" t="n">
        <v>0.3855</v>
      </c>
      <c r="AK54" s="20" t="n">
        <v>0.643</v>
      </c>
      <c r="AL54" s="20" t="n">
        <v>0.3245</v>
      </c>
      <c r="AM54" s="20" t="n">
        <v>0.2419</v>
      </c>
      <c r="AN54" s="20" t="n">
        <v>0.252</v>
      </c>
      <c r="AO54" s="20" t="n">
        <v>0.3929</v>
      </c>
      <c r="AP54" s="20" t="n">
        <v>0.6587</v>
      </c>
      <c r="AQ54" s="20" t="n">
        <v>0.5563</v>
      </c>
      <c r="AR54" s="20" t="n">
        <v>0.7328</v>
      </c>
      <c r="AS54" s="20" t="n">
        <v>0.5313</v>
      </c>
      <c r="AT54" s="20" t="n">
        <v>0.6222</v>
      </c>
      <c r="AU54" s="20" t="n">
        <v>0.4331</v>
      </c>
      <c r="AV54" s="20" t="n">
        <v>0.144</v>
      </c>
      <c r="AW54" s="20" t="n">
        <v>0.2167</v>
      </c>
      <c r="AX54" s="20" t="n">
        <v>0.058</v>
      </c>
    </row>
    <row r="55">
      <c r="A55" s="10" t="inlineStr">
        <is>
          <t>Load_TR2_F5_31</t>
        </is>
      </c>
      <c r="B55" s="12" t="inlineStr">
        <is>
          <t>customer</t>
        </is>
      </c>
      <c r="C55" s="18" t="n">
        <v>0.041</v>
      </c>
      <c r="D55" s="18" t="n">
        <v>0.2289</v>
      </c>
      <c r="E55" s="18" t="n">
        <v>0.07290000000000001</v>
      </c>
      <c r="F55" s="18" t="n">
        <v>0.1038</v>
      </c>
      <c r="G55" s="18" t="n">
        <v>0.198</v>
      </c>
      <c r="H55" s="18" t="n">
        <v>0.041</v>
      </c>
      <c r="I55" s="18" t="n">
        <v>0.0537</v>
      </c>
      <c r="J55" s="18" t="n">
        <v>0.1817</v>
      </c>
      <c r="K55" s="18" t="n">
        <v>0.1074</v>
      </c>
      <c r="L55" s="18" t="n">
        <v>0.1238</v>
      </c>
      <c r="M55" s="18" t="n">
        <v>0.0983</v>
      </c>
      <c r="N55" s="18" t="n">
        <v>0.0927</v>
      </c>
      <c r="O55" s="18" t="n">
        <v>0.1672</v>
      </c>
      <c r="P55" s="18" t="n">
        <v>0.041</v>
      </c>
      <c r="Q55" s="18" t="n">
        <v>0.1812</v>
      </c>
      <c r="R55" s="18" t="n">
        <v>0.1206</v>
      </c>
      <c r="S55" s="18" t="n">
        <v>0.1812</v>
      </c>
      <c r="T55" s="18" t="n">
        <v>0.041</v>
      </c>
      <c r="U55" s="18" t="n">
        <v>0.2068</v>
      </c>
      <c r="V55" s="18" t="n">
        <v>0.095</v>
      </c>
      <c r="W55" s="18" t="n">
        <v>0.08500000000000001</v>
      </c>
      <c r="X55" s="18" t="n">
        <v>0.1429</v>
      </c>
      <c r="Y55" s="18" t="n">
        <v>0.1206</v>
      </c>
      <c r="Z55" s="18" t="n">
        <v>0.1682</v>
      </c>
      <c r="AA55" s="18" t="n">
        <v>0.4906</v>
      </c>
      <c r="AB55" s="18" t="n">
        <v>0.286</v>
      </c>
      <c r="AC55" s="18" t="n">
        <v>0.5189</v>
      </c>
      <c r="AD55" s="18" t="n">
        <v>0.3554</v>
      </c>
      <c r="AE55" s="18" t="n">
        <v>0.3869</v>
      </c>
      <c r="AF55" s="18" t="n">
        <v>0.3945</v>
      </c>
      <c r="AG55" s="18" t="n">
        <v>0.3138</v>
      </c>
      <c r="AH55" s="18" t="n">
        <v>0.3703</v>
      </c>
      <c r="AI55" s="18" t="n">
        <v>0.377</v>
      </c>
      <c r="AJ55" s="18" t="n">
        <v>0.3779</v>
      </c>
      <c r="AK55" s="18" t="n">
        <v>0.6748</v>
      </c>
      <c r="AL55" s="18" t="n">
        <v>1.162</v>
      </c>
      <c r="AM55" s="18" t="n">
        <v>0.2321</v>
      </c>
      <c r="AN55" s="18" t="n">
        <v>0.1682</v>
      </c>
      <c r="AO55" s="18" t="n">
        <v>0.2484</v>
      </c>
      <c r="AP55" s="18" t="n">
        <v>0.5214</v>
      </c>
      <c r="AQ55" s="18" t="n">
        <v>0.5387999999999999</v>
      </c>
      <c r="AR55" s="18" t="n">
        <v>0.4236</v>
      </c>
      <c r="AS55" s="18" t="n">
        <v>0.8172</v>
      </c>
      <c r="AT55" s="18" t="n">
        <v>0.6395</v>
      </c>
      <c r="AU55" s="18" t="n">
        <v>0.7078</v>
      </c>
      <c r="AV55" s="18" t="n">
        <v>0.4083</v>
      </c>
      <c r="AW55" s="18" t="n">
        <v>0.3317</v>
      </c>
      <c r="AX55" s="18" t="n">
        <v>0.2921</v>
      </c>
    </row>
    <row r="56">
      <c r="A56" s="10" t="inlineStr">
        <is>
          <t>Load_TR2_F5_32</t>
        </is>
      </c>
      <c r="B56" s="12" t="inlineStr">
        <is>
          <t>customer</t>
        </is>
      </c>
      <c r="C56" s="18" t="n">
        <v>0.0587</v>
      </c>
      <c r="D56" s="18" t="n">
        <v>0.139</v>
      </c>
      <c r="E56" s="18" t="n">
        <v>0.052</v>
      </c>
      <c r="F56" s="18" t="n">
        <v>0.1189</v>
      </c>
      <c r="G56" s="18" t="n">
        <v>0.0788</v>
      </c>
      <c r="H56" s="18" t="n">
        <v>0.052</v>
      </c>
      <c r="I56" s="18" t="n">
        <v>0.1056</v>
      </c>
      <c r="J56" s="18" t="n">
        <v>0.0922</v>
      </c>
      <c r="K56" s="18" t="n">
        <v>0.052</v>
      </c>
      <c r="L56" s="18" t="n">
        <v>0.052</v>
      </c>
      <c r="M56" s="18" t="n">
        <v>0.1457</v>
      </c>
      <c r="N56" s="18" t="n">
        <v>0.052</v>
      </c>
      <c r="O56" s="18" t="n">
        <v>0.0922</v>
      </c>
      <c r="P56" s="18" t="n">
        <v>0.1056</v>
      </c>
      <c r="Q56" s="18" t="n">
        <v>0.052</v>
      </c>
      <c r="R56" s="18" t="n">
        <v>0.1457</v>
      </c>
      <c r="S56" s="18" t="n">
        <v>0.052</v>
      </c>
      <c r="T56" s="18" t="n">
        <v>0.052</v>
      </c>
      <c r="U56" s="18" t="n">
        <v>0.1457</v>
      </c>
      <c r="V56" s="18" t="n">
        <v>0.052</v>
      </c>
      <c r="W56" s="18" t="n">
        <v>0.08550000000000001</v>
      </c>
      <c r="X56" s="18" t="n">
        <v>0.1123</v>
      </c>
      <c r="Y56" s="18" t="n">
        <v>0.052</v>
      </c>
      <c r="Z56" s="18" t="n">
        <v>0.052</v>
      </c>
      <c r="AA56" s="18" t="n">
        <v>0.1457</v>
      </c>
      <c r="AB56" s="18" t="n">
        <v>0.052</v>
      </c>
      <c r="AC56" s="18" t="n">
        <v>0.052</v>
      </c>
      <c r="AD56" s="18" t="n">
        <v>0.0654</v>
      </c>
      <c r="AE56" s="18" t="n">
        <v>0.1323</v>
      </c>
      <c r="AF56" s="18" t="n">
        <v>0.167</v>
      </c>
      <c r="AG56" s="18" t="n">
        <v>0.1754</v>
      </c>
      <c r="AH56" s="18" t="n">
        <v>0.1092</v>
      </c>
      <c r="AI56" s="18" t="n">
        <v>0.1057</v>
      </c>
      <c r="AJ56" s="18" t="n">
        <v>0.1841</v>
      </c>
      <c r="AK56" s="18" t="n">
        <v>0.1494</v>
      </c>
      <c r="AL56" s="18" t="n">
        <v>0.2263</v>
      </c>
      <c r="AM56" s="18" t="n">
        <v>0.3069</v>
      </c>
      <c r="AN56" s="18" t="n">
        <v>0.2691</v>
      </c>
      <c r="AO56" s="18" t="n">
        <v>0.4072</v>
      </c>
      <c r="AP56" s="18" t="n">
        <v>1.1602</v>
      </c>
      <c r="AQ56" s="18" t="n">
        <v>1.1278</v>
      </c>
      <c r="AR56" s="18" t="n">
        <v>0.7377</v>
      </c>
      <c r="AS56" s="18" t="n">
        <v>0.7139</v>
      </c>
      <c r="AT56" s="18" t="n">
        <v>0.8032</v>
      </c>
      <c r="AU56" s="18" t="n">
        <v>0.0654</v>
      </c>
      <c r="AV56" s="18" t="n">
        <v>0.052</v>
      </c>
      <c r="AW56" s="18" t="n">
        <v>0.1457</v>
      </c>
      <c r="AX56" s="18" t="n">
        <v>0.052</v>
      </c>
    </row>
    <row r="57">
      <c r="A57" s="19" t="inlineStr">
        <is>
          <t>Load_TR2_F5_33</t>
        </is>
      </c>
      <c r="B57" s="15" t="inlineStr">
        <is>
          <t>prosumer</t>
        </is>
      </c>
      <c r="C57" s="20" t="n">
        <v>0.1819</v>
      </c>
      <c r="D57" s="20" t="n">
        <v>0.1611</v>
      </c>
      <c r="E57" s="20" t="n">
        <v>0.047</v>
      </c>
      <c r="F57" s="20" t="n">
        <v>0.1287</v>
      </c>
      <c r="G57" s="20" t="n">
        <v>0.1079</v>
      </c>
      <c r="H57" s="20" t="n">
        <v>0.1535</v>
      </c>
      <c r="I57" s="20" t="n">
        <v>0.1112</v>
      </c>
      <c r="J57" s="20" t="n">
        <v>0.07969999999999999</v>
      </c>
      <c r="K57" s="20" t="n">
        <v>0.1991</v>
      </c>
      <c r="L57" s="20" t="n">
        <v>0.1287</v>
      </c>
      <c r="M57" s="20" t="n">
        <v>0.047</v>
      </c>
      <c r="N57" s="20" t="n">
        <v>0.2377</v>
      </c>
      <c r="O57" s="20" t="n">
        <v>0.1053</v>
      </c>
      <c r="P57" s="20" t="n">
        <v>0.1383</v>
      </c>
      <c r="Q57" s="20" t="n">
        <v>0.2138</v>
      </c>
      <c r="R57" s="20" t="n">
        <v>0.047</v>
      </c>
      <c r="S57" s="20" t="n">
        <v>0.1002</v>
      </c>
      <c r="T57" s="20" t="n">
        <v>0.2428</v>
      </c>
      <c r="U57" s="20" t="n">
        <v>0.09950000000000001</v>
      </c>
      <c r="V57" s="20" t="n">
        <v>2.1966</v>
      </c>
      <c r="W57" s="20" t="n">
        <v>0.3534</v>
      </c>
      <c r="X57" s="20" t="n">
        <v>0.4137</v>
      </c>
      <c r="Y57" s="20" t="n">
        <v>0.2086</v>
      </c>
      <c r="Z57" s="20" t="n">
        <v>1.0992</v>
      </c>
      <c r="AA57" s="20" t="n">
        <v>1.0083</v>
      </c>
      <c r="AB57" s="20" t="n">
        <v>0.2235</v>
      </c>
      <c r="AC57" s="20" t="n">
        <v>0.1683</v>
      </c>
      <c r="AD57" s="20" t="n">
        <v>0.1026</v>
      </c>
      <c r="AE57" s="20" t="n">
        <v>0.3336</v>
      </c>
      <c r="AF57" s="20" t="n">
        <v>0.1241</v>
      </c>
      <c r="AG57" s="20" t="n">
        <v>0.2727</v>
      </c>
      <c r="AH57" s="20" t="n">
        <v>0.504</v>
      </c>
      <c r="AI57" s="20" t="n">
        <v>0.2136</v>
      </c>
      <c r="AJ57" s="20" t="n">
        <v>0.1235</v>
      </c>
      <c r="AK57" s="20" t="n">
        <v>0.1222</v>
      </c>
      <c r="AL57" s="20" t="n">
        <v>0.3395</v>
      </c>
      <c r="AM57" s="20" t="n">
        <v>0.3474</v>
      </c>
      <c r="AN57" s="20" t="n">
        <v>0.4177</v>
      </c>
      <c r="AO57" s="20" t="n">
        <v>0.1575</v>
      </c>
      <c r="AP57" s="20" t="n">
        <v>0.0587</v>
      </c>
      <c r="AQ57" s="20" t="n">
        <v>0.2843</v>
      </c>
      <c r="AR57" s="20" t="n">
        <v>0.047</v>
      </c>
      <c r="AS57" s="20" t="n">
        <v>0.1903</v>
      </c>
      <c r="AT57" s="20" t="n">
        <v>0.1528</v>
      </c>
      <c r="AU57" s="20" t="n">
        <v>0.1002</v>
      </c>
      <c r="AV57" s="20" t="n">
        <v>0.1961</v>
      </c>
      <c r="AW57" s="20" t="n">
        <v>0.3762</v>
      </c>
      <c r="AX57" s="20" t="n">
        <v>0.4781</v>
      </c>
    </row>
    <row r="58">
      <c r="A58" s="10" t="inlineStr">
        <is>
          <t>Load_TR2_F5_34</t>
        </is>
      </c>
      <c r="B58" s="12" t="inlineStr">
        <is>
          <t>customer</t>
        </is>
      </c>
      <c r="C58" s="18" t="n">
        <v>0.4513</v>
      </c>
      <c r="D58" s="18" t="n">
        <v>0.3232</v>
      </c>
      <c r="E58" s="18" t="n">
        <v>0.2727</v>
      </c>
      <c r="F58" s="18" t="n">
        <v>0.1363</v>
      </c>
      <c r="G58" s="18" t="n">
        <v>0.057</v>
      </c>
      <c r="H58" s="18" t="n">
        <v>0.1363</v>
      </c>
      <c r="I58" s="18" t="n">
        <v>0.057</v>
      </c>
      <c r="J58" s="18" t="n">
        <v>0.057</v>
      </c>
      <c r="K58" s="18" t="n">
        <v>0.0658</v>
      </c>
      <c r="L58" s="18" t="n">
        <v>0.1275</v>
      </c>
      <c r="M58" s="18" t="n">
        <v>0.057</v>
      </c>
      <c r="N58" s="18" t="n">
        <v>0.057</v>
      </c>
      <c r="O58" s="18" t="n">
        <v>0.1011</v>
      </c>
      <c r="P58" s="18" t="n">
        <v>0.0922</v>
      </c>
      <c r="Q58" s="18" t="n">
        <v>0.057</v>
      </c>
      <c r="R58" s="18" t="n">
        <v>0.1058</v>
      </c>
      <c r="S58" s="18" t="n">
        <v>0.0682</v>
      </c>
      <c r="T58" s="18" t="n">
        <v>0.8861</v>
      </c>
      <c r="U58" s="18" t="n">
        <v>0.1363</v>
      </c>
      <c r="V58" s="18" t="n">
        <v>0.057</v>
      </c>
      <c r="W58" s="18" t="n">
        <v>0.057</v>
      </c>
      <c r="X58" s="18" t="n">
        <v>0.057</v>
      </c>
      <c r="Y58" s="18" t="n">
        <v>0.1099</v>
      </c>
      <c r="Z58" s="18" t="n">
        <v>0.0834</v>
      </c>
      <c r="AA58" s="18" t="n">
        <v>0.057</v>
      </c>
      <c r="AB58" s="18" t="n">
        <v>0.1363</v>
      </c>
      <c r="AC58" s="18" t="n">
        <v>0.057</v>
      </c>
      <c r="AD58" s="18" t="n">
        <v>0.1363</v>
      </c>
      <c r="AE58" s="18" t="n">
        <v>0.057</v>
      </c>
      <c r="AF58" s="18" t="n">
        <v>0.1363</v>
      </c>
      <c r="AG58" s="18" t="n">
        <v>0.057</v>
      </c>
      <c r="AH58" s="18" t="n">
        <v>0.057</v>
      </c>
      <c r="AI58" s="18" t="n">
        <v>0.057</v>
      </c>
      <c r="AJ58" s="18" t="n">
        <v>1.263</v>
      </c>
      <c r="AK58" s="18" t="n">
        <v>0.8385</v>
      </c>
      <c r="AL58" s="18" t="n">
        <v>0.1042</v>
      </c>
      <c r="AM58" s="18" t="n">
        <v>0.1852</v>
      </c>
      <c r="AN58" s="18" t="n">
        <v>0.2467</v>
      </c>
      <c r="AO58" s="18" t="n">
        <v>1.0522</v>
      </c>
      <c r="AP58" s="18" t="n">
        <v>1.3462</v>
      </c>
      <c r="AQ58" s="18" t="n">
        <v>1.3784</v>
      </c>
      <c r="AR58" s="18" t="n">
        <v>0.3542</v>
      </c>
      <c r="AS58" s="18" t="n">
        <v>0.4631</v>
      </c>
      <c r="AT58" s="18" t="n">
        <v>0.838</v>
      </c>
      <c r="AU58" s="18" t="n">
        <v>0.6385</v>
      </c>
      <c r="AV58" s="18" t="n">
        <v>0.5651</v>
      </c>
      <c r="AW58" s="18" t="n">
        <v>0.4399</v>
      </c>
      <c r="AX58" s="18" t="n">
        <v>0.6156</v>
      </c>
    </row>
    <row r="59">
      <c r="A59" s="19" t="inlineStr">
        <is>
          <t>Load_TR2_F5_35</t>
        </is>
      </c>
      <c r="B59" s="15" t="inlineStr">
        <is>
          <t>prosumer</t>
        </is>
      </c>
      <c r="C59" s="20" t="n">
        <v>0.054</v>
      </c>
      <c r="D59" s="20" t="n">
        <v>0.1864</v>
      </c>
      <c r="E59" s="20" t="n">
        <v>0.0603</v>
      </c>
      <c r="F59" s="20" t="n">
        <v>0.054</v>
      </c>
      <c r="G59" s="20" t="n">
        <v>0.1864</v>
      </c>
      <c r="H59" s="20" t="n">
        <v>0.0603</v>
      </c>
      <c r="I59" s="20" t="n">
        <v>0.06660000000000001</v>
      </c>
      <c r="J59" s="20" t="n">
        <v>0.1801</v>
      </c>
      <c r="K59" s="20" t="n">
        <v>0.054</v>
      </c>
      <c r="L59" s="20" t="n">
        <v>0.1801</v>
      </c>
      <c r="M59" s="20" t="n">
        <v>0.06660000000000001</v>
      </c>
      <c r="N59" s="20" t="n">
        <v>0.054</v>
      </c>
      <c r="O59" s="20" t="n">
        <v>0.1927</v>
      </c>
      <c r="P59" s="20" t="n">
        <v>0.054</v>
      </c>
      <c r="Q59" s="20" t="n">
        <v>0.054</v>
      </c>
      <c r="R59" s="20" t="n">
        <v>0.1927</v>
      </c>
      <c r="S59" s="20" t="n">
        <v>0.4951</v>
      </c>
      <c r="T59" s="20" t="n">
        <v>0.2003</v>
      </c>
      <c r="U59" s="20" t="n">
        <v>0.2167</v>
      </c>
      <c r="V59" s="20" t="n">
        <v>0.5054</v>
      </c>
      <c r="W59" s="20" t="n">
        <v>0.2429</v>
      </c>
      <c r="X59" s="20" t="n">
        <v>0.2497</v>
      </c>
      <c r="Y59" s="20" t="n">
        <v>0.1044</v>
      </c>
      <c r="Z59" s="20" t="n">
        <v>0.09810000000000001</v>
      </c>
      <c r="AA59" s="20" t="n">
        <v>0.3204</v>
      </c>
      <c r="AB59" s="20" t="n">
        <v>0.1553</v>
      </c>
      <c r="AC59" s="20" t="n">
        <v>0.1977</v>
      </c>
      <c r="AD59" s="20" t="n">
        <v>0.2044</v>
      </c>
      <c r="AE59" s="20" t="n">
        <v>0.3098</v>
      </c>
      <c r="AF59" s="20" t="n">
        <v>0.1738</v>
      </c>
      <c r="AG59" s="20" t="n">
        <v>0.1261</v>
      </c>
      <c r="AH59" s="20" t="n">
        <v>0.2506</v>
      </c>
      <c r="AI59" s="20" t="n">
        <v>0.2159</v>
      </c>
      <c r="AJ59" s="20" t="n">
        <v>0.8827</v>
      </c>
      <c r="AK59" s="20" t="n">
        <v>1.0173</v>
      </c>
      <c r="AL59" s="20" t="n">
        <v>0.054</v>
      </c>
      <c r="AM59" s="20" t="n">
        <v>0.06660000000000001</v>
      </c>
      <c r="AN59" s="20" t="n">
        <v>0.1801</v>
      </c>
      <c r="AO59" s="20" t="n">
        <v>0.054</v>
      </c>
      <c r="AP59" s="20" t="n">
        <v>0.1927</v>
      </c>
      <c r="AQ59" s="20" t="n">
        <v>0.054</v>
      </c>
      <c r="AR59" s="20" t="n">
        <v>0.054</v>
      </c>
      <c r="AS59" s="20" t="n">
        <v>0.1234</v>
      </c>
      <c r="AT59" s="20" t="n">
        <v>0.1234</v>
      </c>
      <c r="AU59" s="20" t="n">
        <v>0.1357</v>
      </c>
      <c r="AV59" s="20" t="n">
        <v>0.5017</v>
      </c>
      <c r="AW59" s="20" t="n">
        <v>0.054</v>
      </c>
      <c r="AX59" s="20" t="n">
        <v>0.1738</v>
      </c>
    </row>
    <row r="60">
      <c r="A60" s="10" t="inlineStr">
        <is>
          <t>Load_TR2_F5_36</t>
        </is>
      </c>
      <c r="B60" s="12" t="inlineStr">
        <is>
          <t>customer</t>
        </is>
      </c>
      <c r="C60" s="18" t="n">
        <v>0.1547</v>
      </c>
      <c r="D60" s="18" t="n">
        <v>0.047</v>
      </c>
      <c r="E60" s="18" t="n">
        <v>0.047</v>
      </c>
      <c r="F60" s="18" t="n">
        <v>0.1547</v>
      </c>
      <c r="G60" s="18" t="n">
        <v>0.066</v>
      </c>
      <c r="H60" s="18" t="n">
        <v>0.07870000000000001</v>
      </c>
      <c r="I60" s="18" t="n">
        <v>0.142</v>
      </c>
      <c r="J60" s="18" t="n">
        <v>0.047</v>
      </c>
      <c r="K60" s="18" t="n">
        <v>0.08500000000000001</v>
      </c>
      <c r="L60" s="18" t="n">
        <v>0.1357</v>
      </c>
      <c r="M60" s="18" t="n">
        <v>0.047</v>
      </c>
      <c r="N60" s="18" t="n">
        <v>0.047</v>
      </c>
      <c r="O60" s="18" t="n">
        <v>0.1737</v>
      </c>
      <c r="P60" s="18" t="n">
        <v>0.047</v>
      </c>
      <c r="Q60" s="18" t="n">
        <v>0.047</v>
      </c>
      <c r="R60" s="18" t="n">
        <v>0.047</v>
      </c>
      <c r="S60" s="18" t="n">
        <v>0.2194</v>
      </c>
      <c r="T60" s="18" t="n">
        <v>0.1593</v>
      </c>
      <c r="U60" s="18" t="n">
        <v>1.4743</v>
      </c>
      <c r="V60" s="18" t="n">
        <v>0.179</v>
      </c>
      <c r="W60" s="18" t="n">
        <v>0.116</v>
      </c>
      <c r="X60" s="18" t="n">
        <v>0.1625</v>
      </c>
      <c r="Y60" s="18" t="n">
        <v>0.1774</v>
      </c>
      <c r="Z60" s="18" t="n">
        <v>0.1862</v>
      </c>
      <c r="AA60" s="18" t="n">
        <v>1.6277</v>
      </c>
      <c r="AB60" s="18" t="n">
        <v>1.698</v>
      </c>
      <c r="AC60" s="18" t="n">
        <v>0.5062</v>
      </c>
      <c r="AD60" s="18" t="n">
        <v>0.369</v>
      </c>
      <c r="AE60" s="18" t="n">
        <v>0.3038</v>
      </c>
      <c r="AF60" s="18" t="n">
        <v>0.3038</v>
      </c>
      <c r="AG60" s="18" t="n">
        <v>0.2687</v>
      </c>
      <c r="AH60" s="18" t="n">
        <v>0.3347</v>
      </c>
      <c r="AI60" s="18" t="n">
        <v>0.3314</v>
      </c>
      <c r="AJ60" s="18" t="n">
        <v>0.2383</v>
      </c>
      <c r="AK60" s="18" t="n">
        <v>0.1611</v>
      </c>
      <c r="AL60" s="18" t="n">
        <v>0.0597</v>
      </c>
      <c r="AM60" s="18" t="n">
        <v>0.8381999999999999</v>
      </c>
      <c r="AN60" s="18" t="n">
        <v>0.047</v>
      </c>
      <c r="AO60" s="18" t="n">
        <v>0.047</v>
      </c>
      <c r="AP60" s="18" t="n">
        <v>0.1737</v>
      </c>
      <c r="AQ60" s="18" t="n">
        <v>0.047</v>
      </c>
      <c r="AR60" s="18" t="n">
        <v>0.1737</v>
      </c>
      <c r="AS60" s="18" t="n">
        <v>0.047</v>
      </c>
      <c r="AT60" s="18" t="n">
        <v>0.047</v>
      </c>
      <c r="AU60" s="18" t="n">
        <v>0.104</v>
      </c>
      <c r="AV60" s="18" t="n">
        <v>0.1167</v>
      </c>
      <c r="AW60" s="18" t="n">
        <v>0.5075</v>
      </c>
      <c r="AX60" s="18" t="n">
        <v>0.5374</v>
      </c>
    </row>
    <row r="61">
      <c r="A61" s="10" t="inlineStr">
        <is>
          <t>Load_TR2_F5_37</t>
        </is>
      </c>
      <c r="B61" s="12" t="inlineStr">
        <is>
          <t>customer</t>
        </is>
      </c>
      <c r="C61" s="18" t="n">
        <v>1.4919</v>
      </c>
      <c r="D61" s="18" t="n">
        <v>0.198</v>
      </c>
      <c r="E61" s="18" t="n">
        <v>0.054</v>
      </c>
      <c r="F61" s="18" t="n">
        <v>0.2693</v>
      </c>
      <c r="G61" s="18" t="n">
        <v>0.1869</v>
      </c>
      <c r="H61" s="18" t="n">
        <v>0.054</v>
      </c>
      <c r="I61" s="18" t="n">
        <v>0.1632</v>
      </c>
      <c r="J61" s="18" t="n">
        <v>0.1789</v>
      </c>
      <c r="K61" s="18" t="n">
        <v>0.1681</v>
      </c>
      <c r="L61" s="18" t="n">
        <v>0.1632</v>
      </c>
      <c r="M61" s="18" t="n">
        <v>0.2207</v>
      </c>
      <c r="N61" s="18" t="n">
        <v>0.1887</v>
      </c>
      <c r="O61" s="18" t="n">
        <v>0.116</v>
      </c>
      <c r="P61" s="18" t="n">
        <v>0.2778</v>
      </c>
      <c r="Q61" s="18" t="n">
        <v>0.3294</v>
      </c>
      <c r="R61" s="18" t="n">
        <v>1.2673</v>
      </c>
      <c r="S61" s="18" t="n">
        <v>0.231</v>
      </c>
      <c r="T61" s="18" t="n">
        <v>0.1888</v>
      </c>
      <c r="U61" s="18" t="n">
        <v>0.2213</v>
      </c>
      <c r="V61" s="18" t="n">
        <v>0.3032</v>
      </c>
      <c r="W61" s="18" t="n">
        <v>0.4066</v>
      </c>
      <c r="X61" s="18" t="n">
        <v>0.1222</v>
      </c>
      <c r="Y61" s="18" t="n">
        <v>0.2046</v>
      </c>
      <c r="Z61" s="18" t="n">
        <v>0.5446</v>
      </c>
      <c r="AA61" s="18" t="n">
        <v>1.7556</v>
      </c>
      <c r="AB61" s="18" t="n">
        <v>1.6946</v>
      </c>
      <c r="AC61" s="18" t="n">
        <v>0.3591</v>
      </c>
      <c r="AD61" s="18" t="n">
        <v>0.1985</v>
      </c>
      <c r="AE61" s="18" t="n">
        <v>0.3166</v>
      </c>
      <c r="AF61" s="18" t="n">
        <v>1.2721</v>
      </c>
      <c r="AG61" s="18" t="n">
        <v>0.3948</v>
      </c>
      <c r="AH61" s="18" t="n">
        <v>0.1747</v>
      </c>
      <c r="AI61" s="18" t="n">
        <v>0.131</v>
      </c>
      <c r="AJ61" s="18" t="n">
        <v>0.371</v>
      </c>
      <c r="AK61" s="18" t="n">
        <v>0.1453</v>
      </c>
      <c r="AL61" s="18" t="n">
        <v>0.2199</v>
      </c>
      <c r="AM61" s="18" t="n">
        <v>0.2469</v>
      </c>
      <c r="AN61" s="18" t="n">
        <v>0.7333</v>
      </c>
      <c r="AO61" s="18" t="n">
        <v>1.7611</v>
      </c>
      <c r="AP61" s="18" t="n">
        <v>0.4414</v>
      </c>
      <c r="AQ61" s="18" t="n">
        <v>0.4348</v>
      </c>
      <c r="AR61" s="18" t="n">
        <v>0.5174</v>
      </c>
      <c r="AS61" s="18" t="n">
        <v>0.7517</v>
      </c>
      <c r="AT61" s="18" t="n">
        <v>0.5188</v>
      </c>
      <c r="AU61" s="18" t="n">
        <v>0.888</v>
      </c>
      <c r="AV61" s="18" t="n">
        <v>0.4255</v>
      </c>
      <c r="AW61" s="18" t="n">
        <v>0.1615</v>
      </c>
      <c r="AX61" s="18" t="n">
        <v>0.2948</v>
      </c>
    </row>
    <row r="62">
      <c r="A62" s="19" t="inlineStr">
        <is>
          <t>Load_TR2_F5_38</t>
        </is>
      </c>
      <c r="B62" s="15" t="inlineStr">
        <is>
          <t>prosumer</t>
        </is>
      </c>
      <c r="C62" s="20" t="n">
        <v>0.054</v>
      </c>
      <c r="D62" s="20" t="n">
        <v>0.1884</v>
      </c>
      <c r="E62" s="20" t="n">
        <v>0.054</v>
      </c>
      <c r="F62" s="20" t="n">
        <v>0.1884</v>
      </c>
      <c r="G62" s="20" t="n">
        <v>0.054</v>
      </c>
      <c r="H62" s="20" t="n">
        <v>0.1548</v>
      </c>
      <c r="I62" s="20" t="n">
        <v>0.0876</v>
      </c>
      <c r="J62" s="20" t="n">
        <v>0.1077</v>
      </c>
      <c r="K62" s="20" t="n">
        <v>0.1346</v>
      </c>
      <c r="L62" s="20" t="n">
        <v>0.054</v>
      </c>
      <c r="M62" s="20" t="n">
        <v>0.054</v>
      </c>
      <c r="N62" s="20" t="n">
        <v>0.054</v>
      </c>
      <c r="O62" s="20" t="n">
        <v>0.1884</v>
      </c>
      <c r="P62" s="20" t="n">
        <v>0.054</v>
      </c>
      <c r="Q62" s="20" t="n">
        <v>0.0876</v>
      </c>
      <c r="R62" s="20" t="n">
        <v>0.2234</v>
      </c>
      <c r="S62" s="20" t="n">
        <v>0.054</v>
      </c>
      <c r="T62" s="20" t="n">
        <v>0.1749</v>
      </c>
      <c r="U62" s="20" t="n">
        <v>0.0674</v>
      </c>
      <c r="V62" s="20" t="n">
        <v>0.2243</v>
      </c>
      <c r="W62" s="20" t="n">
        <v>0.3149</v>
      </c>
      <c r="X62" s="20" t="n">
        <v>0.2995</v>
      </c>
      <c r="Y62" s="20" t="n">
        <v>0.25</v>
      </c>
      <c r="Z62" s="20" t="n">
        <v>0.5658</v>
      </c>
      <c r="AA62" s="20" t="n">
        <v>0.2361</v>
      </c>
      <c r="AB62" s="20" t="n">
        <v>0.162</v>
      </c>
      <c r="AC62" s="20" t="n">
        <v>0.054</v>
      </c>
      <c r="AD62" s="20" t="n">
        <v>0.054</v>
      </c>
      <c r="AE62" s="20" t="n">
        <v>0.3443</v>
      </c>
      <c r="AF62" s="20" t="n">
        <v>0.3674</v>
      </c>
      <c r="AG62" s="20" t="n">
        <v>1.3489</v>
      </c>
      <c r="AH62" s="20" t="n">
        <v>0.756</v>
      </c>
      <c r="AI62" s="20" t="n">
        <v>1.5054</v>
      </c>
      <c r="AJ62" s="20" t="n">
        <v>1.6958</v>
      </c>
      <c r="AK62" s="20" t="n">
        <v>0.3187</v>
      </c>
      <c r="AL62" s="20" t="n">
        <v>0.3064</v>
      </c>
      <c r="AM62" s="20" t="n">
        <v>0.172</v>
      </c>
      <c r="AN62" s="20" t="n">
        <v>0.1639</v>
      </c>
      <c r="AO62" s="20" t="n">
        <v>0.0863</v>
      </c>
      <c r="AP62" s="20" t="n">
        <v>0.3626</v>
      </c>
      <c r="AQ62" s="20" t="n">
        <v>0.2834</v>
      </c>
      <c r="AR62" s="20" t="n">
        <v>0.3523</v>
      </c>
      <c r="AS62" s="20" t="n">
        <v>0.5009</v>
      </c>
      <c r="AT62" s="20" t="n">
        <v>0.5856</v>
      </c>
      <c r="AU62" s="20" t="n">
        <v>0.6959</v>
      </c>
      <c r="AV62" s="20" t="n">
        <v>0.4609</v>
      </c>
      <c r="AW62" s="20" t="n">
        <v>0.3702</v>
      </c>
      <c r="AX62" s="20" t="n">
        <v>0.1919</v>
      </c>
    </row>
    <row r="63">
      <c r="A63" s="10" t="inlineStr">
        <is>
          <t>Load_TR2_F5_39</t>
        </is>
      </c>
      <c r="B63" s="12" t="inlineStr">
        <is>
          <t>customer</t>
        </is>
      </c>
      <c r="C63" s="18" t="n">
        <v>0.04</v>
      </c>
      <c r="D63" s="18" t="n">
        <v>0.09569999999999999</v>
      </c>
      <c r="E63" s="18" t="n">
        <v>0.1593</v>
      </c>
      <c r="F63" s="18" t="n">
        <v>0.04</v>
      </c>
      <c r="G63" s="18" t="n">
        <v>0.1753</v>
      </c>
      <c r="H63" s="18" t="n">
        <v>0.0798</v>
      </c>
      <c r="I63" s="18" t="n">
        <v>0.04</v>
      </c>
      <c r="J63" s="18" t="n">
        <v>0.1036</v>
      </c>
      <c r="K63" s="18" t="n">
        <v>0.1514</v>
      </c>
      <c r="L63" s="18" t="n">
        <v>0.04</v>
      </c>
      <c r="M63" s="18" t="n">
        <v>0.04</v>
      </c>
      <c r="N63" s="18" t="n">
        <v>0.04</v>
      </c>
      <c r="O63" s="18" t="n">
        <v>0.1673</v>
      </c>
      <c r="P63" s="18" t="n">
        <v>0.0877</v>
      </c>
      <c r="Q63" s="18" t="n">
        <v>0.0877</v>
      </c>
      <c r="R63" s="18" t="n">
        <v>0.1673</v>
      </c>
      <c r="S63" s="18" t="n">
        <v>0.04</v>
      </c>
      <c r="T63" s="18" t="n">
        <v>0.215</v>
      </c>
      <c r="U63" s="18" t="n">
        <v>0.04</v>
      </c>
      <c r="V63" s="18" t="n">
        <v>0.04</v>
      </c>
      <c r="W63" s="18" t="n">
        <v>0.3344</v>
      </c>
      <c r="X63" s="18" t="n">
        <v>0.0867</v>
      </c>
      <c r="Y63" s="18" t="n">
        <v>0.2175</v>
      </c>
      <c r="Z63" s="18" t="n">
        <v>0.1793</v>
      </c>
      <c r="AA63" s="18" t="n">
        <v>0.2959</v>
      </c>
      <c r="AB63" s="18" t="n">
        <v>0.2534</v>
      </c>
      <c r="AC63" s="18" t="n">
        <v>0.2786</v>
      </c>
      <c r="AD63" s="18" t="n">
        <v>0.28</v>
      </c>
      <c r="AE63" s="18" t="n">
        <v>0.048</v>
      </c>
      <c r="AF63" s="18" t="n">
        <v>0.2071</v>
      </c>
      <c r="AG63" s="18" t="n">
        <v>0.04</v>
      </c>
      <c r="AH63" s="18" t="n">
        <v>0.1912</v>
      </c>
      <c r="AI63" s="18" t="n">
        <v>0.2183</v>
      </c>
      <c r="AJ63" s="18" t="n">
        <v>0.5053</v>
      </c>
      <c r="AK63" s="18" t="n">
        <v>0.4533</v>
      </c>
      <c r="AL63" s="18" t="n">
        <v>0.4186</v>
      </c>
      <c r="AM63" s="18" t="n">
        <v>0.2866</v>
      </c>
      <c r="AN63" s="18" t="n">
        <v>0.2874</v>
      </c>
      <c r="AO63" s="18" t="n">
        <v>0.1134</v>
      </c>
      <c r="AP63" s="18" t="n">
        <v>0.1362</v>
      </c>
      <c r="AQ63" s="18" t="n">
        <v>0.3364</v>
      </c>
      <c r="AR63" s="18" t="n">
        <v>0.3469</v>
      </c>
      <c r="AS63" s="18" t="n">
        <v>0.4869</v>
      </c>
      <c r="AT63" s="18" t="n">
        <v>0.286</v>
      </c>
      <c r="AU63" s="18" t="n">
        <v>0.4342</v>
      </c>
      <c r="AV63" s="18" t="n">
        <v>0.7652</v>
      </c>
      <c r="AW63" s="18" t="n">
        <v>0.0559</v>
      </c>
      <c r="AX63" s="18" t="n">
        <v>0.1991</v>
      </c>
    </row>
    <row r="64">
      <c r="A64" s="10" t="inlineStr">
        <is>
          <t>Load_TR2_F5_4</t>
        </is>
      </c>
      <c r="B64" s="12" t="inlineStr">
        <is>
          <t>customer</t>
        </is>
      </c>
      <c r="C64" s="18" t="n">
        <v>0.058</v>
      </c>
      <c r="D64" s="18" t="n">
        <v>0.3031</v>
      </c>
      <c r="E64" s="18" t="n">
        <v>0.0998</v>
      </c>
      <c r="F64" s="18" t="n">
        <v>0.2188</v>
      </c>
      <c r="G64" s="18" t="n">
        <v>0.1995</v>
      </c>
      <c r="H64" s="18" t="n">
        <v>0.1409</v>
      </c>
      <c r="I64" s="18" t="n">
        <v>0.2442</v>
      </c>
      <c r="J64" s="18" t="n">
        <v>0.2085</v>
      </c>
      <c r="K64" s="18" t="n">
        <v>0.1319</v>
      </c>
      <c r="L64" s="18" t="n">
        <v>0.3067</v>
      </c>
      <c r="M64" s="18" t="n">
        <v>0.058</v>
      </c>
      <c r="N64" s="18" t="n">
        <v>0.2771</v>
      </c>
      <c r="O64" s="18" t="n">
        <v>0.0653</v>
      </c>
      <c r="P64" s="18" t="n">
        <v>0.3023</v>
      </c>
      <c r="Q64" s="18" t="n">
        <v>0.058</v>
      </c>
      <c r="R64" s="18" t="n">
        <v>0.2516</v>
      </c>
      <c r="S64" s="18" t="n">
        <v>0.2069</v>
      </c>
      <c r="T64" s="18" t="n">
        <v>0.2791</v>
      </c>
      <c r="U64" s="18" t="n">
        <v>0.1681</v>
      </c>
      <c r="V64" s="18" t="n">
        <v>0.3311</v>
      </c>
      <c r="W64" s="18" t="n">
        <v>0.1981</v>
      </c>
      <c r="X64" s="18" t="n">
        <v>0.2903</v>
      </c>
      <c r="Y64" s="18" t="n">
        <v>0.4739</v>
      </c>
      <c r="Z64" s="18" t="n">
        <v>0.599</v>
      </c>
      <c r="AA64" s="18" t="n">
        <v>1.1839</v>
      </c>
      <c r="AB64" s="18" t="n">
        <v>0.3418</v>
      </c>
      <c r="AC64" s="18" t="n">
        <v>0.4499</v>
      </c>
      <c r="AD64" s="18" t="n">
        <v>0.4598</v>
      </c>
      <c r="AE64" s="18" t="n">
        <v>0.714</v>
      </c>
      <c r="AF64" s="18" t="n">
        <v>0.2566</v>
      </c>
      <c r="AG64" s="18" t="n">
        <v>0.2213</v>
      </c>
      <c r="AH64" s="18" t="n">
        <v>0.1816</v>
      </c>
      <c r="AI64" s="18" t="n">
        <v>0.109</v>
      </c>
      <c r="AJ64" s="18" t="n">
        <v>0.4626</v>
      </c>
      <c r="AK64" s="18" t="n">
        <v>0.2942</v>
      </c>
      <c r="AL64" s="18" t="n">
        <v>0.538</v>
      </c>
      <c r="AM64" s="18" t="n">
        <v>1.2064</v>
      </c>
      <c r="AN64" s="18" t="n">
        <v>0.7282999999999999</v>
      </c>
      <c r="AO64" s="18" t="n">
        <v>3.1452</v>
      </c>
      <c r="AP64" s="18" t="n">
        <v>2.9911</v>
      </c>
      <c r="AQ64" s="18" t="n">
        <v>1.4404</v>
      </c>
      <c r="AR64" s="18" t="n">
        <v>0.5711000000000001</v>
      </c>
      <c r="AS64" s="18" t="n">
        <v>0.6326000000000001</v>
      </c>
      <c r="AT64" s="18" t="n">
        <v>0.6666</v>
      </c>
      <c r="AU64" s="18" t="n">
        <v>0.2959</v>
      </c>
      <c r="AV64" s="18" t="n">
        <v>0.5548</v>
      </c>
      <c r="AW64" s="18" t="n">
        <v>0.1971</v>
      </c>
      <c r="AX64" s="18" t="n">
        <v>0.4961</v>
      </c>
    </row>
    <row r="65">
      <c r="A65" s="19" t="inlineStr">
        <is>
          <t>Load_TR2_F5_40</t>
        </is>
      </c>
      <c r="B65" s="15" t="inlineStr">
        <is>
          <t>prosumer</t>
        </is>
      </c>
      <c r="C65" s="20" t="n">
        <v>0.2571</v>
      </c>
      <c r="D65" s="20" t="n">
        <v>0.056</v>
      </c>
      <c r="E65" s="20" t="n">
        <v>0.056</v>
      </c>
      <c r="F65" s="20" t="n">
        <v>0.056</v>
      </c>
      <c r="G65" s="20" t="n">
        <v>0.0926</v>
      </c>
      <c r="H65" s="20" t="n">
        <v>0.2205</v>
      </c>
      <c r="I65" s="20" t="n">
        <v>0.056</v>
      </c>
      <c r="J65" s="20" t="n">
        <v>0.2571</v>
      </c>
      <c r="K65" s="20" t="n">
        <v>0.056</v>
      </c>
      <c r="L65" s="20" t="n">
        <v>0.056</v>
      </c>
      <c r="M65" s="20" t="n">
        <v>0.1657</v>
      </c>
      <c r="N65" s="20" t="n">
        <v>0.1474</v>
      </c>
      <c r="O65" s="20" t="n">
        <v>0.056</v>
      </c>
      <c r="P65" s="20" t="n">
        <v>0.0948</v>
      </c>
      <c r="Q65" s="20" t="n">
        <v>0.2297</v>
      </c>
      <c r="R65" s="20" t="n">
        <v>0.056</v>
      </c>
      <c r="S65" s="20" t="n">
        <v>0.2205</v>
      </c>
      <c r="T65" s="20" t="n">
        <v>0.0926</v>
      </c>
      <c r="U65" s="20" t="n">
        <v>0.1383</v>
      </c>
      <c r="V65" s="20" t="n">
        <v>0.1748</v>
      </c>
      <c r="W65" s="20" t="n">
        <v>0.101</v>
      </c>
      <c r="X65" s="20" t="n">
        <v>0.3092</v>
      </c>
      <c r="Y65" s="20" t="n">
        <v>1.5479</v>
      </c>
      <c r="Z65" s="20" t="n">
        <v>0.5339</v>
      </c>
      <c r="AA65" s="20" t="n">
        <v>0.429</v>
      </c>
      <c r="AB65" s="20" t="n">
        <v>0.3908</v>
      </c>
      <c r="AC65" s="20" t="n">
        <v>0.197</v>
      </c>
      <c r="AD65" s="20" t="n">
        <v>1.9931</v>
      </c>
      <c r="AE65" s="20" t="n">
        <v>0.0982</v>
      </c>
      <c r="AF65" s="20" t="n">
        <v>0.056</v>
      </c>
      <c r="AG65" s="20" t="n">
        <v>0.2993</v>
      </c>
      <c r="AH65" s="20" t="n">
        <v>0.1827</v>
      </c>
      <c r="AI65" s="20" t="n">
        <v>0.2649</v>
      </c>
      <c r="AJ65" s="20" t="n">
        <v>0.423</v>
      </c>
      <c r="AK65" s="20" t="n">
        <v>0.2508</v>
      </c>
      <c r="AL65" s="20" t="n">
        <v>0.2938</v>
      </c>
      <c r="AM65" s="20" t="n">
        <v>0.2388</v>
      </c>
      <c r="AN65" s="20" t="n">
        <v>0.1074</v>
      </c>
      <c r="AO65" s="20" t="n">
        <v>0.1626</v>
      </c>
      <c r="AP65" s="20" t="n">
        <v>0.7577</v>
      </c>
      <c r="AQ65" s="20" t="n">
        <v>1.1895</v>
      </c>
      <c r="AR65" s="20" t="n">
        <v>1.15</v>
      </c>
      <c r="AS65" s="20" t="n">
        <v>0.6617</v>
      </c>
      <c r="AT65" s="20" t="n">
        <v>0.6074000000000001</v>
      </c>
      <c r="AU65" s="20" t="n">
        <v>0.4599</v>
      </c>
      <c r="AV65" s="20" t="n">
        <v>0.056</v>
      </c>
      <c r="AW65" s="20" t="n">
        <v>0.056</v>
      </c>
      <c r="AX65" s="20" t="n">
        <v>0.1291</v>
      </c>
    </row>
    <row r="66">
      <c r="A66" s="10" t="inlineStr">
        <is>
          <t>Load_TR2_F5_41</t>
        </is>
      </c>
      <c r="B66" s="12" t="inlineStr">
        <is>
          <t>customer</t>
        </is>
      </c>
      <c r="C66" s="18" t="n">
        <v>0.0897</v>
      </c>
      <c r="D66" s="18" t="n">
        <v>0.034</v>
      </c>
      <c r="E66" s="18" t="n">
        <v>0.034</v>
      </c>
      <c r="F66" s="18" t="n">
        <v>0.0982</v>
      </c>
      <c r="G66" s="18" t="n">
        <v>0.0468</v>
      </c>
      <c r="H66" s="18" t="n">
        <v>0.08210000000000001</v>
      </c>
      <c r="I66" s="18" t="n">
        <v>0.0682</v>
      </c>
      <c r="J66" s="18" t="n">
        <v>0.07679999999999999</v>
      </c>
      <c r="K66" s="18" t="n">
        <v>0.034</v>
      </c>
      <c r="L66" s="18" t="n">
        <v>0.08110000000000001</v>
      </c>
      <c r="M66" s="18" t="n">
        <v>0.064</v>
      </c>
      <c r="N66" s="18" t="n">
        <v>0.034</v>
      </c>
      <c r="O66" s="18" t="n">
        <v>0.034</v>
      </c>
      <c r="P66" s="18" t="n">
        <v>0.1111</v>
      </c>
      <c r="Q66" s="18" t="n">
        <v>0.2918</v>
      </c>
      <c r="R66" s="18" t="n">
        <v>0.1798</v>
      </c>
      <c r="S66" s="18" t="n">
        <v>0.1797</v>
      </c>
      <c r="T66" s="18" t="n">
        <v>0.0725</v>
      </c>
      <c r="U66" s="18" t="n">
        <v>0.0725</v>
      </c>
      <c r="V66" s="18" t="n">
        <v>0.0854</v>
      </c>
      <c r="W66" s="18" t="n">
        <v>0.0597</v>
      </c>
      <c r="X66" s="18" t="n">
        <v>0.1197</v>
      </c>
      <c r="Y66" s="18" t="n">
        <v>0.4145</v>
      </c>
      <c r="Z66" s="18" t="n">
        <v>0.168</v>
      </c>
      <c r="AA66" s="18" t="n">
        <v>0.2493</v>
      </c>
      <c r="AB66" s="18" t="n">
        <v>0.1627</v>
      </c>
      <c r="AC66" s="18" t="n">
        <v>1.3402</v>
      </c>
      <c r="AD66" s="18" t="n">
        <v>0.7751</v>
      </c>
      <c r="AE66" s="18" t="n">
        <v>0.2609</v>
      </c>
      <c r="AF66" s="18" t="n">
        <v>0.1811</v>
      </c>
      <c r="AG66" s="18" t="n">
        <v>0.2246</v>
      </c>
      <c r="AH66" s="18" t="n">
        <v>0.2018</v>
      </c>
      <c r="AI66" s="18" t="n">
        <v>0.2577</v>
      </c>
      <c r="AJ66" s="18" t="n">
        <v>0.2269</v>
      </c>
      <c r="AK66" s="18" t="n">
        <v>0.5269</v>
      </c>
      <c r="AL66" s="18" t="n">
        <v>1.7902</v>
      </c>
      <c r="AM66" s="18" t="n">
        <v>1.1048</v>
      </c>
      <c r="AN66" s="18" t="n">
        <v>0.1947</v>
      </c>
      <c r="AO66" s="18" t="n">
        <v>1.0221</v>
      </c>
      <c r="AP66" s="18" t="n">
        <v>0.3483</v>
      </c>
      <c r="AQ66" s="18" t="n">
        <v>0.2383</v>
      </c>
      <c r="AR66" s="18" t="n">
        <v>0.4348</v>
      </c>
      <c r="AS66" s="18" t="n">
        <v>0.2858</v>
      </c>
      <c r="AT66" s="18" t="n">
        <v>0.2853</v>
      </c>
      <c r="AU66" s="18" t="n">
        <v>0.034</v>
      </c>
      <c r="AV66" s="18" t="n">
        <v>0.1357</v>
      </c>
      <c r="AW66" s="18" t="n">
        <v>0.216</v>
      </c>
      <c r="AX66" s="18" t="n">
        <v>0.3089</v>
      </c>
    </row>
    <row r="67">
      <c r="A67" s="19" t="inlineStr">
        <is>
          <t>Load_TR2_F5_42</t>
        </is>
      </c>
      <c r="B67" s="15" t="inlineStr">
        <is>
          <t>prosumer</t>
        </is>
      </c>
      <c r="C67" s="20" t="n">
        <v>0.08649999999999999</v>
      </c>
      <c r="D67" s="20" t="n">
        <v>0.1556</v>
      </c>
      <c r="E67" s="20" t="n">
        <v>0.045</v>
      </c>
      <c r="F67" s="20" t="n">
        <v>0.197</v>
      </c>
      <c r="G67" s="20" t="n">
        <v>0.045</v>
      </c>
      <c r="H67" s="20" t="n">
        <v>0.045</v>
      </c>
      <c r="I67" s="20" t="n">
        <v>0.197</v>
      </c>
      <c r="J67" s="20" t="n">
        <v>0.045</v>
      </c>
      <c r="K67" s="20" t="n">
        <v>0.1141</v>
      </c>
      <c r="L67" s="20" t="n">
        <v>0.1279</v>
      </c>
      <c r="M67" s="20" t="n">
        <v>0.045</v>
      </c>
      <c r="N67" s="20" t="n">
        <v>0.197</v>
      </c>
      <c r="O67" s="20" t="n">
        <v>0.045</v>
      </c>
      <c r="P67" s="20" t="n">
        <v>0.0708</v>
      </c>
      <c r="Q67" s="20" t="n">
        <v>0.1001</v>
      </c>
      <c r="R67" s="20" t="n">
        <v>0.1556</v>
      </c>
      <c r="S67" s="20" t="n">
        <v>0.08119999999999999</v>
      </c>
      <c r="T67" s="20" t="n">
        <v>0.2131</v>
      </c>
      <c r="U67" s="20" t="n">
        <v>0.6091</v>
      </c>
      <c r="V67" s="20" t="n">
        <v>2.179</v>
      </c>
      <c r="W67" s="20" t="n">
        <v>0.045</v>
      </c>
      <c r="X67" s="20" t="n">
        <v>0.045</v>
      </c>
      <c r="Y67" s="20" t="n">
        <v>0.197</v>
      </c>
      <c r="Z67" s="20" t="n">
        <v>0.045</v>
      </c>
      <c r="AA67" s="20" t="n">
        <v>0.1279</v>
      </c>
      <c r="AB67" s="20" t="n">
        <v>0.1141</v>
      </c>
      <c r="AC67" s="20" t="n">
        <v>0.0519</v>
      </c>
      <c r="AD67" s="20" t="n">
        <v>0.1901</v>
      </c>
      <c r="AE67" s="20" t="n">
        <v>0.045</v>
      </c>
      <c r="AF67" s="20" t="n">
        <v>0.197</v>
      </c>
      <c r="AG67" s="20" t="n">
        <v>0.045</v>
      </c>
      <c r="AH67" s="20" t="n">
        <v>0.08690000000000001</v>
      </c>
      <c r="AI67" s="20" t="n">
        <v>0.2341</v>
      </c>
      <c r="AJ67" s="20" t="n">
        <v>2.1727</v>
      </c>
      <c r="AK67" s="20" t="n">
        <v>0.8067</v>
      </c>
      <c r="AL67" s="20" t="n">
        <v>0.2232</v>
      </c>
      <c r="AM67" s="20" t="n">
        <v>0.06560000000000001</v>
      </c>
      <c r="AN67" s="20" t="n">
        <v>0.2509</v>
      </c>
      <c r="AO67" s="20" t="n">
        <v>0.07580000000000001</v>
      </c>
      <c r="AP67" s="20" t="n">
        <v>0.3251</v>
      </c>
      <c r="AQ67" s="20" t="n">
        <v>0.4125</v>
      </c>
      <c r="AR67" s="20" t="n">
        <v>0.3053</v>
      </c>
      <c r="AS67" s="20" t="n">
        <v>0.521</v>
      </c>
      <c r="AT67" s="20" t="n">
        <v>0.7396</v>
      </c>
      <c r="AU67" s="20" t="n">
        <v>0.8242</v>
      </c>
      <c r="AV67" s="20" t="n">
        <v>0.4991</v>
      </c>
      <c r="AW67" s="20" t="n">
        <v>0.4349</v>
      </c>
      <c r="AX67" s="20" t="n">
        <v>0.5479000000000001</v>
      </c>
    </row>
    <row r="68">
      <c r="A68" s="10" t="inlineStr">
        <is>
          <t>Load_TR2_F5_43</t>
        </is>
      </c>
      <c r="B68" s="12" t="inlineStr">
        <is>
          <t>customer</t>
        </is>
      </c>
      <c r="C68" s="18" t="n">
        <v>0.1254</v>
      </c>
      <c r="D68" s="18" t="n">
        <v>0.052</v>
      </c>
      <c r="E68" s="18" t="n">
        <v>0.1254</v>
      </c>
      <c r="F68" s="18" t="n">
        <v>0.052</v>
      </c>
      <c r="G68" s="18" t="n">
        <v>0.1254</v>
      </c>
      <c r="H68" s="18" t="n">
        <v>0.052</v>
      </c>
      <c r="I68" s="18" t="n">
        <v>0.07240000000000001</v>
      </c>
      <c r="J68" s="18" t="n">
        <v>0.105</v>
      </c>
      <c r="K68" s="18" t="n">
        <v>0.052</v>
      </c>
      <c r="L68" s="18" t="n">
        <v>0.052</v>
      </c>
      <c r="M68" s="18" t="n">
        <v>0.052</v>
      </c>
      <c r="N68" s="18" t="n">
        <v>0.052</v>
      </c>
      <c r="O68" s="18" t="n">
        <v>0.06419999999999999</v>
      </c>
      <c r="P68" s="18" t="n">
        <v>0.1132</v>
      </c>
      <c r="Q68" s="18" t="n">
        <v>0.052</v>
      </c>
      <c r="R68" s="18" t="n">
        <v>0.1254</v>
      </c>
      <c r="S68" s="18" t="n">
        <v>0.052</v>
      </c>
      <c r="T68" s="18" t="n">
        <v>0.2161</v>
      </c>
      <c r="U68" s="18" t="n">
        <v>0.2836</v>
      </c>
      <c r="V68" s="18" t="n">
        <v>0.2265</v>
      </c>
      <c r="W68" s="18" t="n">
        <v>0.1174</v>
      </c>
      <c r="X68" s="18" t="n">
        <v>0.1134</v>
      </c>
      <c r="Y68" s="18" t="n">
        <v>0.5578</v>
      </c>
      <c r="Z68" s="18" t="n">
        <v>0.2652</v>
      </c>
      <c r="AA68" s="18" t="n">
        <v>0.192</v>
      </c>
      <c r="AB68" s="18" t="n">
        <v>0.1772</v>
      </c>
      <c r="AC68" s="18" t="n">
        <v>0.1772</v>
      </c>
      <c r="AD68" s="18" t="n">
        <v>0.5284</v>
      </c>
      <c r="AE68" s="18" t="n">
        <v>0.052</v>
      </c>
      <c r="AF68" s="18" t="n">
        <v>0.1254</v>
      </c>
      <c r="AG68" s="18" t="n">
        <v>0.052</v>
      </c>
      <c r="AH68" s="18" t="n">
        <v>0.1254</v>
      </c>
      <c r="AI68" s="18" t="n">
        <v>0.2181</v>
      </c>
      <c r="AJ68" s="18" t="n">
        <v>0.2022</v>
      </c>
      <c r="AK68" s="18" t="n">
        <v>0.2428</v>
      </c>
      <c r="AL68" s="18" t="n">
        <v>0.6408</v>
      </c>
      <c r="AM68" s="18" t="n">
        <v>1.6016</v>
      </c>
      <c r="AN68" s="18" t="n">
        <v>0.1057</v>
      </c>
      <c r="AO68" s="18" t="n">
        <v>0.1034</v>
      </c>
      <c r="AP68" s="18" t="n">
        <v>1.338</v>
      </c>
      <c r="AQ68" s="18" t="n">
        <v>0.8673999999999999</v>
      </c>
      <c r="AR68" s="18" t="n">
        <v>0.5839</v>
      </c>
      <c r="AS68" s="18" t="n">
        <v>0.4352</v>
      </c>
      <c r="AT68" s="18" t="n">
        <v>0.3243</v>
      </c>
      <c r="AU68" s="18" t="n">
        <v>0.3163</v>
      </c>
      <c r="AV68" s="18" t="n">
        <v>0.4132</v>
      </c>
      <c r="AW68" s="18" t="n">
        <v>1.4392</v>
      </c>
      <c r="AX68" s="18" t="n">
        <v>0.6315</v>
      </c>
    </row>
    <row r="69">
      <c r="A69" s="19" t="inlineStr">
        <is>
          <t>Load_TR2_F5_44</t>
        </is>
      </c>
      <c r="B69" s="15" t="inlineStr">
        <is>
          <t>prosumer</t>
        </is>
      </c>
      <c r="C69" s="20" t="n">
        <v>0.1244</v>
      </c>
      <c r="D69" s="20" t="n">
        <v>0.1021</v>
      </c>
      <c r="E69" s="20" t="n">
        <v>0.052</v>
      </c>
      <c r="F69" s="20" t="n">
        <v>0.091</v>
      </c>
      <c r="G69" s="20" t="n">
        <v>0.1355</v>
      </c>
      <c r="H69" s="20" t="n">
        <v>0.052</v>
      </c>
      <c r="I69" s="20" t="n">
        <v>0.052</v>
      </c>
      <c r="J69" s="20" t="n">
        <v>0.1188</v>
      </c>
      <c r="K69" s="20" t="n">
        <v>0.1077</v>
      </c>
      <c r="L69" s="20" t="n">
        <v>0.0854</v>
      </c>
      <c r="M69" s="20" t="n">
        <v>0.1411</v>
      </c>
      <c r="N69" s="20" t="n">
        <v>0.052</v>
      </c>
      <c r="O69" s="20" t="n">
        <v>0.2061</v>
      </c>
      <c r="P69" s="20" t="n">
        <v>0.052</v>
      </c>
      <c r="Q69" s="20" t="n">
        <v>0.1077</v>
      </c>
      <c r="R69" s="20" t="n">
        <v>0.1313</v>
      </c>
      <c r="S69" s="20" t="n">
        <v>0.0537</v>
      </c>
      <c r="T69" s="20" t="n">
        <v>0.2135</v>
      </c>
      <c r="U69" s="20" t="n">
        <v>0.08359999999999999</v>
      </c>
      <c r="V69" s="20" t="n">
        <v>0.303</v>
      </c>
      <c r="W69" s="20" t="n">
        <v>0.1262</v>
      </c>
      <c r="X69" s="20" t="n">
        <v>0.062</v>
      </c>
      <c r="Y69" s="20" t="n">
        <v>0.1813</v>
      </c>
      <c r="Z69" s="20" t="n">
        <v>0.137</v>
      </c>
      <c r="AA69" s="20" t="n">
        <v>0.233</v>
      </c>
      <c r="AB69" s="20" t="n">
        <v>0.299</v>
      </c>
      <c r="AC69" s="20" t="n">
        <v>0.3454</v>
      </c>
      <c r="AD69" s="20" t="n">
        <v>0.3743</v>
      </c>
      <c r="AE69" s="20" t="n">
        <v>0.2857</v>
      </c>
      <c r="AF69" s="20" t="n">
        <v>0.2038</v>
      </c>
      <c r="AG69" s="20" t="n">
        <v>0.2179</v>
      </c>
      <c r="AH69" s="20" t="n">
        <v>0.5131</v>
      </c>
      <c r="AI69" s="20" t="n">
        <v>0.2342</v>
      </c>
      <c r="AJ69" s="20" t="n">
        <v>0.347</v>
      </c>
      <c r="AK69" s="20" t="n">
        <v>1.9509</v>
      </c>
      <c r="AL69" s="20" t="n">
        <v>1.9731</v>
      </c>
      <c r="AM69" s="20" t="n">
        <v>0.4431</v>
      </c>
      <c r="AN69" s="20" t="n">
        <v>0.1481</v>
      </c>
      <c r="AO69" s="20" t="n">
        <v>0.1826</v>
      </c>
      <c r="AP69" s="20" t="n">
        <v>0.052</v>
      </c>
      <c r="AQ69" s="20" t="n">
        <v>0.1577</v>
      </c>
      <c r="AR69" s="20" t="n">
        <v>0.0687</v>
      </c>
      <c r="AS69" s="20" t="n">
        <v>0.052</v>
      </c>
      <c r="AT69" s="20" t="n">
        <v>0.0716</v>
      </c>
      <c r="AU69" s="20" t="n">
        <v>0.3675</v>
      </c>
      <c r="AV69" s="20" t="n">
        <v>0.3739</v>
      </c>
      <c r="AW69" s="20" t="n">
        <v>0.4304</v>
      </c>
      <c r="AX69" s="20" t="n">
        <v>0.4093</v>
      </c>
    </row>
    <row r="70">
      <c r="A70" s="10" t="inlineStr">
        <is>
          <t>Load_TR2_F5_45</t>
        </is>
      </c>
      <c r="B70" s="12" t="inlineStr">
        <is>
          <t>customer</t>
        </is>
      </c>
      <c r="C70" s="18" t="n">
        <v>0.057</v>
      </c>
      <c r="D70" s="18" t="n">
        <v>0.057</v>
      </c>
      <c r="E70" s="18" t="n">
        <v>0.057</v>
      </c>
      <c r="F70" s="18" t="n">
        <v>0.057</v>
      </c>
      <c r="G70" s="18" t="n">
        <v>0.057</v>
      </c>
      <c r="H70" s="18" t="n">
        <v>0.057</v>
      </c>
      <c r="I70" s="18" t="n">
        <v>0.057</v>
      </c>
      <c r="J70" s="18" t="n">
        <v>0.057</v>
      </c>
      <c r="K70" s="18" t="n">
        <v>0.057</v>
      </c>
      <c r="L70" s="18" t="n">
        <v>0.057</v>
      </c>
      <c r="M70" s="18" t="n">
        <v>0.057</v>
      </c>
      <c r="N70" s="18" t="n">
        <v>0.057</v>
      </c>
      <c r="O70" s="18" t="n">
        <v>0.057</v>
      </c>
      <c r="P70" s="18" t="n">
        <v>0.09569999999999999</v>
      </c>
      <c r="Q70" s="18" t="n">
        <v>0.2023</v>
      </c>
      <c r="R70" s="18" t="n">
        <v>1.586</v>
      </c>
      <c r="S70" s="18" t="n">
        <v>0.2136</v>
      </c>
      <c r="T70" s="18" t="n">
        <v>0.2404</v>
      </c>
      <c r="U70" s="18" t="n">
        <v>0.3295</v>
      </c>
      <c r="V70" s="18" t="n">
        <v>0.2387</v>
      </c>
      <c r="W70" s="18" t="n">
        <v>0.2666</v>
      </c>
      <c r="X70" s="18" t="n">
        <v>0.2173</v>
      </c>
      <c r="Y70" s="18" t="n">
        <v>0.2148</v>
      </c>
      <c r="Z70" s="18" t="n">
        <v>0.2039</v>
      </c>
      <c r="AA70" s="18" t="n">
        <v>0.0667</v>
      </c>
      <c r="AB70" s="18" t="n">
        <v>0.2789</v>
      </c>
      <c r="AC70" s="18" t="n">
        <v>0.057</v>
      </c>
      <c r="AD70" s="18" t="n">
        <v>0.08749999999999999</v>
      </c>
      <c r="AE70" s="18" t="n">
        <v>0.1359</v>
      </c>
      <c r="AF70" s="18" t="n">
        <v>0.1655</v>
      </c>
      <c r="AG70" s="18" t="n">
        <v>0.2202</v>
      </c>
      <c r="AH70" s="18" t="n">
        <v>0.4241</v>
      </c>
      <c r="AI70" s="18" t="n">
        <v>1.5294</v>
      </c>
      <c r="AJ70" s="18" t="n">
        <v>0.1527</v>
      </c>
      <c r="AK70" s="18" t="n">
        <v>0.1178</v>
      </c>
      <c r="AL70" s="18" t="n">
        <v>0.394</v>
      </c>
      <c r="AM70" s="18" t="n">
        <v>0.4334</v>
      </c>
      <c r="AN70" s="18" t="n">
        <v>0.4249</v>
      </c>
      <c r="AO70" s="18" t="n">
        <v>0.4501</v>
      </c>
      <c r="AP70" s="18" t="n">
        <v>1.3017</v>
      </c>
      <c r="AQ70" s="18" t="n">
        <v>0.3582</v>
      </c>
      <c r="AR70" s="18" t="n">
        <v>0.3034</v>
      </c>
      <c r="AS70" s="18" t="n">
        <v>0.3893</v>
      </c>
      <c r="AT70" s="18" t="n">
        <v>0.6133</v>
      </c>
      <c r="AU70" s="18" t="n">
        <v>0.6786</v>
      </c>
      <c r="AV70" s="18" t="n">
        <v>0.4811</v>
      </c>
      <c r="AW70" s="18" t="n">
        <v>0.3101</v>
      </c>
      <c r="AX70" s="18" t="n">
        <v>0.057</v>
      </c>
    </row>
    <row r="71">
      <c r="A71" s="10" t="inlineStr">
        <is>
          <t>Load_TR2_F5_46</t>
        </is>
      </c>
      <c r="B71" s="12" t="inlineStr">
        <is>
          <t>customer</t>
        </is>
      </c>
      <c r="C71" s="18" t="n">
        <v>0.1</v>
      </c>
      <c r="D71" s="18" t="n">
        <v>0.039</v>
      </c>
      <c r="E71" s="18" t="n">
        <v>0.161</v>
      </c>
      <c r="F71" s="18" t="n">
        <v>0.039</v>
      </c>
      <c r="G71" s="18" t="n">
        <v>0.039</v>
      </c>
      <c r="H71" s="18" t="n">
        <v>0.039</v>
      </c>
      <c r="I71" s="18" t="n">
        <v>0.161</v>
      </c>
      <c r="J71" s="18" t="n">
        <v>0.039</v>
      </c>
      <c r="K71" s="18" t="n">
        <v>0.039</v>
      </c>
      <c r="L71" s="18" t="n">
        <v>0.161</v>
      </c>
      <c r="M71" s="18" t="n">
        <v>0.039</v>
      </c>
      <c r="N71" s="18" t="n">
        <v>0.1174</v>
      </c>
      <c r="O71" s="18" t="n">
        <v>0.08260000000000001</v>
      </c>
      <c r="P71" s="18" t="n">
        <v>0.039</v>
      </c>
      <c r="Q71" s="18" t="n">
        <v>0.1174</v>
      </c>
      <c r="R71" s="18" t="n">
        <v>0.08260000000000001</v>
      </c>
      <c r="S71" s="18" t="n">
        <v>0.039</v>
      </c>
      <c r="T71" s="18" t="n">
        <v>0.1436</v>
      </c>
      <c r="U71" s="18" t="n">
        <v>0.0564</v>
      </c>
      <c r="V71" s="18" t="n">
        <v>0.0564</v>
      </c>
      <c r="W71" s="18" t="n">
        <v>0.4432</v>
      </c>
      <c r="X71" s="18" t="n">
        <v>0.3622</v>
      </c>
      <c r="Y71" s="18" t="n">
        <v>0.3965</v>
      </c>
      <c r="Z71" s="18" t="n">
        <v>0.1465</v>
      </c>
      <c r="AA71" s="18" t="n">
        <v>0.3079</v>
      </c>
      <c r="AB71" s="18" t="n">
        <v>0.383</v>
      </c>
      <c r="AC71" s="18" t="n">
        <v>0.1013</v>
      </c>
      <c r="AD71" s="18" t="n">
        <v>0.1696</v>
      </c>
      <c r="AE71" s="18" t="n">
        <v>0.3169</v>
      </c>
      <c r="AF71" s="18" t="n">
        <v>0.4179</v>
      </c>
      <c r="AG71" s="18" t="n">
        <v>0.2562</v>
      </c>
      <c r="AH71" s="18" t="n">
        <v>0.1323</v>
      </c>
      <c r="AI71" s="18" t="n">
        <v>1.1966</v>
      </c>
      <c r="AJ71" s="18" t="n">
        <v>0.5117</v>
      </c>
      <c r="AK71" s="18" t="n">
        <v>0.3723</v>
      </c>
      <c r="AL71" s="18" t="n">
        <v>0.1535</v>
      </c>
      <c r="AM71" s="18" t="n">
        <v>0.2504</v>
      </c>
      <c r="AN71" s="18" t="n">
        <v>0.2941</v>
      </c>
      <c r="AO71" s="18" t="n">
        <v>0.4967</v>
      </c>
      <c r="AP71" s="18" t="n">
        <v>0.5827</v>
      </c>
      <c r="AQ71" s="18" t="n">
        <v>0.8331</v>
      </c>
      <c r="AR71" s="18" t="n">
        <v>0.743</v>
      </c>
      <c r="AS71" s="18" t="n">
        <v>0.959</v>
      </c>
      <c r="AT71" s="18" t="n">
        <v>0.5067</v>
      </c>
      <c r="AU71" s="18" t="n">
        <v>0.6223</v>
      </c>
      <c r="AV71" s="18" t="n">
        <v>1.5459</v>
      </c>
      <c r="AW71" s="18" t="n">
        <v>0.4965</v>
      </c>
      <c r="AX71" s="18" t="n">
        <v>0.4752</v>
      </c>
    </row>
    <row r="72">
      <c r="A72" s="10" t="inlineStr">
        <is>
          <t>Load_TR2_F5_47</t>
        </is>
      </c>
      <c r="B72" s="12" t="inlineStr">
        <is>
          <t>customer</t>
        </is>
      </c>
      <c r="C72" s="18" t="n">
        <v>0.2227</v>
      </c>
      <c r="D72" s="18" t="n">
        <v>0.1151</v>
      </c>
      <c r="E72" s="18" t="n">
        <v>0.3522</v>
      </c>
      <c r="F72" s="18" t="n">
        <v>0.07439999999999999</v>
      </c>
      <c r="G72" s="18" t="n">
        <v>0.3055</v>
      </c>
      <c r="H72" s="18" t="n">
        <v>0.1852</v>
      </c>
      <c r="I72" s="18" t="n">
        <v>0.051</v>
      </c>
      <c r="J72" s="18" t="n">
        <v>0.2285</v>
      </c>
      <c r="K72" s="18" t="n">
        <v>0.2622</v>
      </c>
      <c r="L72" s="18" t="n">
        <v>0.051</v>
      </c>
      <c r="M72" s="18" t="n">
        <v>0.268</v>
      </c>
      <c r="N72" s="18" t="n">
        <v>0.1212</v>
      </c>
      <c r="O72" s="18" t="n">
        <v>0.2179</v>
      </c>
      <c r="P72" s="18" t="n">
        <v>0.2025</v>
      </c>
      <c r="Q72" s="18" t="n">
        <v>0.051</v>
      </c>
      <c r="R72" s="18" t="n">
        <v>0.3144</v>
      </c>
      <c r="S72" s="18" t="n">
        <v>0.0613</v>
      </c>
      <c r="T72" s="18" t="n">
        <v>0.2262</v>
      </c>
      <c r="U72" s="18" t="n">
        <v>0.2861</v>
      </c>
      <c r="V72" s="18" t="n">
        <v>0.051</v>
      </c>
      <c r="W72" s="18" t="n">
        <v>0.3518</v>
      </c>
      <c r="X72" s="18" t="n">
        <v>0.5629999999999999</v>
      </c>
      <c r="Y72" s="18" t="n">
        <v>0.3647</v>
      </c>
      <c r="Z72" s="18" t="n">
        <v>0.3004</v>
      </c>
      <c r="AA72" s="18" t="n">
        <v>0.1628</v>
      </c>
      <c r="AB72" s="18" t="n">
        <v>0.6804</v>
      </c>
      <c r="AC72" s="18" t="n">
        <v>1.4358</v>
      </c>
      <c r="AD72" s="18" t="n">
        <v>1.6422</v>
      </c>
      <c r="AE72" s="18" t="n">
        <v>0.3159</v>
      </c>
      <c r="AF72" s="18" t="n">
        <v>0.1537</v>
      </c>
      <c r="AG72" s="18" t="n">
        <v>0.3341</v>
      </c>
      <c r="AH72" s="18" t="n">
        <v>0.1553</v>
      </c>
      <c r="AI72" s="18" t="n">
        <v>0.3568</v>
      </c>
      <c r="AJ72" s="18" t="n">
        <v>0.4492</v>
      </c>
      <c r="AK72" s="18" t="n">
        <v>0.2858</v>
      </c>
      <c r="AL72" s="18" t="n">
        <v>0.4827</v>
      </c>
      <c r="AM72" s="18" t="n">
        <v>0.5195</v>
      </c>
      <c r="AN72" s="18" t="n">
        <v>0.5182</v>
      </c>
      <c r="AO72" s="18" t="n">
        <v>0.5961</v>
      </c>
      <c r="AP72" s="18" t="n">
        <v>0.6181</v>
      </c>
      <c r="AQ72" s="18" t="n">
        <v>0.1527</v>
      </c>
      <c r="AR72" s="18" t="n">
        <v>0.1446</v>
      </c>
      <c r="AS72" s="18" t="n">
        <v>0.2771</v>
      </c>
      <c r="AT72" s="18" t="n">
        <v>0.1199</v>
      </c>
      <c r="AU72" s="18" t="n">
        <v>0.2677</v>
      </c>
      <c r="AV72" s="18" t="n">
        <v>0.223</v>
      </c>
      <c r="AW72" s="18" t="n">
        <v>0.051</v>
      </c>
      <c r="AX72" s="18" t="n">
        <v>0.3724</v>
      </c>
    </row>
    <row r="73">
      <c r="A73" s="19" t="inlineStr">
        <is>
          <t>Load_TR2_F5_48</t>
        </is>
      </c>
      <c r="B73" s="15" t="inlineStr">
        <is>
          <t>prosumer</t>
        </is>
      </c>
      <c r="C73" s="20" t="n">
        <v>0.2816</v>
      </c>
      <c r="D73" s="20" t="n">
        <v>0.2033</v>
      </c>
      <c r="E73" s="20" t="n">
        <v>0.1291</v>
      </c>
      <c r="F73" s="20" t="n">
        <v>0.1033</v>
      </c>
      <c r="G73" s="20" t="n">
        <v>0.2098</v>
      </c>
      <c r="H73" s="20" t="n">
        <v>0.172</v>
      </c>
      <c r="I73" s="20" t="n">
        <v>0.0764</v>
      </c>
      <c r="J73" s="20" t="n">
        <v>0.2944</v>
      </c>
      <c r="K73" s="20" t="n">
        <v>0.0649</v>
      </c>
      <c r="L73" s="20" t="n">
        <v>0.2183</v>
      </c>
      <c r="M73" s="20" t="n">
        <v>0.1635</v>
      </c>
      <c r="N73" s="20" t="n">
        <v>0.0764</v>
      </c>
      <c r="O73" s="20" t="n">
        <v>0.278</v>
      </c>
      <c r="P73" s="20" t="n">
        <v>0.0814</v>
      </c>
      <c r="Q73" s="20" t="n">
        <v>0.054</v>
      </c>
      <c r="R73" s="20" t="n">
        <v>0.2531</v>
      </c>
      <c r="S73" s="20" t="n">
        <v>0.1287</v>
      </c>
      <c r="T73" s="20" t="n">
        <v>0.0839</v>
      </c>
      <c r="U73" s="20" t="n">
        <v>0.5026</v>
      </c>
      <c r="V73" s="20" t="n">
        <v>0.2776</v>
      </c>
      <c r="W73" s="20" t="n">
        <v>0.3392</v>
      </c>
      <c r="X73" s="20" t="n">
        <v>0.1674</v>
      </c>
      <c r="Y73" s="20" t="n">
        <v>0.1525</v>
      </c>
      <c r="Z73" s="20" t="n">
        <v>0.0649</v>
      </c>
      <c r="AA73" s="20" t="n">
        <v>0.2183</v>
      </c>
      <c r="AB73" s="20" t="n">
        <v>0.1635</v>
      </c>
      <c r="AC73" s="20" t="n">
        <v>0.054</v>
      </c>
      <c r="AD73" s="20" t="n">
        <v>0.173</v>
      </c>
      <c r="AE73" s="20" t="n">
        <v>0.2088</v>
      </c>
      <c r="AF73" s="20" t="n">
        <v>0.054</v>
      </c>
      <c r="AG73" s="20" t="n">
        <v>0.1859</v>
      </c>
      <c r="AH73" s="20" t="n">
        <v>0.2239</v>
      </c>
      <c r="AI73" s="20" t="n">
        <v>0.1805</v>
      </c>
      <c r="AJ73" s="20" t="n">
        <v>0.3794</v>
      </c>
      <c r="AK73" s="20" t="n">
        <v>0.5955</v>
      </c>
      <c r="AL73" s="20" t="n">
        <v>1.3508</v>
      </c>
      <c r="AM73" s="20" t="n">
        <v>3.7459</v>
      </c>
      <c r="AN73" s="20" t="n">
        <v>0.104</v>
      </c>
      <c r="AO73" s="20" t="n">
        <v>0.0689</v>
      </c>
      <c r="AP73" s="20" t="n">
        <v>0.3128</v>
      </c>
      <c r="AQ73" s="20" t="n">
        <v>0.054</v>
      </c>
      <c r="AR73" s="20" t="n">
        <v>0.054</v>
      </c>
      <c r="AS73" s="20" t="n">
        <v>0.2183</v>
      </c>
      <c r="AT73" s="20" t="n">
        <v>0.1635</v>
      </c>
      <c r="AU73" s="20" t="n">
        <v>0.0689</v>
      </c>
      <c r="AV73" s="20" t="n">
        <v>0.3128</v>
      </c>
      <c r="AW73" s="20" t="n">
        <v>0.054</v>
      </c>
      <c r="AX73" s="20" t="n">
        <v>0.3203</v>
      </c>
    </row>
    <row r="74">
      <c r="A74" s="10" t="inlineStr">
        <is>
          <t>Load_TR2_F5_49</t>
        </is>
      </c>
      <c r="B74" s="12" t="inlineStr">
        <is>
          <t>customer</t>
        </is>
      </c>
      <c r="C74" s="18" t="n">
        <v>0.5881999999999999</v>
      </c>
      <c r="D74" s="18" t="n">
        <v>0.7813</v>
      </c>
      <c r="E74" s="18" t="n">
        <v>0.052</v>
      </c>
      <c r="F74" s="18" t="n">
        <v>0.052</v>
      </c>
      <c r="G74" s="18" t="n">
        <v>0.1484</v>
      </c>
      <c r="H74" s="18" t="n">
        <v>0.052</v>
      </c>
      <c r="I74" s="18" t="n">
        <v>0.1484</v>
      </c>
      <c r="J74" s="18" t="n">
        <v>0.052</v>
      </c>
      <c r="K74" s="18" t="n">
        <v>0.052</v>
      </c>
      <c r="L74" s="18" t="n">
        <v>0.1484</v>
      </c>
      <c r="M74" s="18" t="n">
        <v>0.052</v>
      </c>
      <c r="N74" s="18" t="n">
        <v>0.052</v>
      </c>
      <c r="O74" s="18" t="n">
        <v>0.1484</v>
      </c>
      <c r="P74" s="18" t="n">
        <v>0.052</v>
      </c>
      <c r="Q74" s="18" t="n">
        <v>0.052</v>
      </c>
      <c r="R74" s="18" t="n">
        <v>0.052</v>
      </c>
      <c r="S74" s="18" t="n">
        <v>0.1484</v>
      </c>
      <c r="T74" s="18" t="n">
        <v>0.052</v>
      </c>
      <c r="U74" s="18" t="n">
        <v>0.3881</v>
      </c>
      <c r="V74" s="18" t="n">
        <v>1.4103</v>
      </c>
      <c r="W74" s="18" t="n">
        <v>0.2312</v>
      </c>
      <c r="X74" s="18" t="n">
        <v>0.2278</v>
      </c>
      <c r="Y74" s="18" t="n">
        <v>0.3323</v>
      </c>
      <c r="Z74" s="18" t="n">
        <v>0.2387</v>
      </c>
      <c r="AA74" s="18" t="n">
        <v>0.3262</v>
      </c>
      <c r="AB74" s="18" t="n">
        <v>0.1504</v>
      </c>
      <c r="AC74" s="18" t="n">
        <v>0.056</v>
      </c>
      <c r="AD74" s="18" t="n">
        <v>0.602</v>
      </c>
      <c r="AE74" s="18" t="n">
        <v>0.5703</v>
      </c>
      <c r="AF74" s="18" t="n">
        <v>0.3626</v>
      </c>
      <c r="AG74" s="18" t="n">
        <v>0.3215</v>
      </c>
      <c r="AH74" s="18" t="n">
        <v>2.5018</v>
      </c>
      <c r="AI74" s="18" t="n">
        <v>2.7719</v>
      </c>
      <c r="AJ74" s="18" t="n">
        <v>1.2218</v>
      </c>
      <c r="AK74" s="18" t="n">
        <v>0.3058</v>
      </c>
      <c r="AL74" s="18" t="n">
        <v>0.1931</v>
      </c>
      <c r="AM74" s="18" t="n">
        <v>0.2258</v>
      </c>
      <c r="AN74" s="18" t="n">
        <v>0.2999</v>
      </c>
      <c r="AO74" s="18" t="n">
        <v>0.2574</v>
      </c>
      <c r="AP74" s="18" t="n">
        <v>0.5837</v>
      </c>
      <c r="AQ74" s="18" t="n">
        <v>0.4726</v>
      </c>
      <c r="AR74" s="18" t="n">
        <v>0.6074000000000001</v>
      </c>
      <c r="AS74" s="18" t="n">
        <v>1.6151</v>
      </c>
      <c r="AT74" s="18" t="n">
        <v>0.5905</v>
      </c>
      <c r="AU74" s="18" t="n">
        <v>0.4387</v>
      </c>
      <c r="AV74" s="18" t="n">
        <v>0.6311</v>
      </c>
      <c r="AW74" s="18" t="n">
        <v>0.0589</v>
      </c>
      <c r="AX74" s="18" t="n">
        <v>0.1415</v>
      </c>
    </row>
    <row r="75">
      <c r="A75" s="10" t="inlineStr">
        <is>
          <t>Load_TR2_F5_5</t>
        </is>
      </c>
      <c r="B75" s="12" t="inlineStr">
        <is>
          <t>customer</t>
        </is>
      </c>
      <c r="C75" s="18" t="n">
        <v>0.3155</v>
      </c>
      <c r="D75" s="18" t="n">
        <v>0.09320000000000001</v>
      </c>
      <c r="E75" s="18" t="n">
        <v>0.09320000000000001</v>
      </c>
      <c r="F75" s="18" t="n">
        <v>0.2431</v>
      </c>
      <c r="G75" s="18" t="n">
        <v>0.144</v>
      </c>
      <c r="H75" s="18" t="n">
        <v>0.2776</v>
      </c>
      <c r="I75" s="18" t="n">
        <v>0.1191</v>
      </c>
      <c r="J75" s="18" t="n">
        <v>0.1483</v>
      </c>
      <c r="K75" s="18" t="n">
        <v>0.1435</v>
      </c>
      <c r="L75" s="18" t="n">
        <v>0.2018</v>
      </c>
      <c r="M75" s="18" t="n">
        <v>0.2328</v>
      </c>
      <c r="N75" s="18" t="n">
        <v>0.1236</v>
      </c>
      <c r="O75" s="18" t="n">
        <v>0.1527</v>
      </c>
      <c r="P75" s="18" t="n">
        <v>0.1553</v>
      </c>
      <c r="Q75" s="18" t="n">
        <v>0.1858</v>
      </c>
      <c r="R75" s="18" t="n">
        <v>0.1306</v>
      </c>
      <c r="S75" s="18" t="n">
        <v>0.2011</v>
      </c>
      <c r="T75" s="18" t="n">
        <v>0.401</v>
      </c>
      <c r="U75" s="18" t="n">
        <v>0.3297</v>
      </c>
      <c r="V75" s="18" t="n">
        <v>2.2031</v>
      </c>
      <c r="W75" s="18" t="n">
        <v>0.3703</v>
      </c>
      <c r="X75" s="18" t="n">
        <v>0.2867</v>
      </c>
      <c r="Y75" s="18" t="n">
        <v>0.3323</v>
      </c>
      <c r="Z75" s="18" t="n">
        <v>0.2205</v>
      </c>
      <c r="AA75" s="18" t="n">
        <v>0.2218</v>
      </c>
      <c r="AB75" s="18" t="n">
        <v>0.2238</v>
      </c>
      <c r="AC75" s="18" t="n">
        <v>0.3617</v>
      </c>
      <c r="AD75" s="18" t="n">
        <v>0.3564</v>
      </c>
      <c r="AE75" s="18" t="n">
        <v>0.2557</v>
      </c>
      <c r="AF75" s="18" t="n">
        <v>0.08939999999999999</v>
      </c>
      <c r="AG75" s="18" t="n">
        <v>0.1826</v>
      </c>
      <c r="AH75" s="18" t="n">
        <v>0.063</v>
      </c>
      <c r="AI75" s="18" t="n">
        <v>0.2733</v>
      </c>
      <c r="AJ75" s="18" t="n">
        <v>0.2908</v>
      </c>
      <c r="AK75" s="18" t="n">
        <v>0.2762</v>
      </c>
      <c r="AL75" s="18" t="n">
        <v>1.4792</v>
      </c>
      <c r="AM75" s="18" t="n">
        <v>0.6578000000000001</v>
      </c>
      <c r="AN75" s="18" t="n">
        <v>0.3024</v>
      </c>
      <c r="AO75" s="18" t="n">
        <v>0.4321</v>
      </c>
      <c r="AP75" s="18" t="n">
        <v>0.5315</v>
      </c>
      <c r="AQ75" s="18" t="n">
        <v>0.126</v>
      </c>
      <c r="AR75" s="18" t="n">
        <v>0.2291</v>
      </c>
      <c r="AS75" s="18" t="n">
        <v>0.5173</v>
      </c>
      <c r="AT75" s="18" t="n">
        <v>0.3206</v>
      </c>
      <c r="AU75" s="18" t="n">
        <v>0.574</v>
      </c>
      <c r="AV75" s="18" t="n">
        <v>0.4136</v>
      </c>
      <c r="AW75" s="18" t="n">
        <v>0.4121</v>
      </c>
      <c r="AX75" s="18" t="n">
        <v>0.6332</v>
      </c>
    </row>
    <row r="76">
      <c r="A76" s="19" t="inlineStr">
        <is>
          <t>Load_TR2_F5_50</t>
        </is>
      </c>
      <c r="B76" s="15" t="inlineStr">
        <is>
          <t>prosumer</t>
        </is>
      </c>
      <c r="C76" s="20" t="n">
        <v>0.036</v>
      </c>
      <c r="D76" s="20" t="n">
        <v>0.1527</v>
      </c>
      <c r="E76" s="20" t="n">
        <v>0.036</v>
      </c>
      <c r="F76" s="20" t="n">
        <v>0.036</v>
      </c>
      <c r="G76" s="20" t="n">
        <v>0.1118</v>
      </c>
      <c r="H76" s="20" t="n">
        <v>0.07679999999999999</v>
      </c>
      <c r="I76" s="20" t="n">
        <v>0.0477</v>
      </c>
      <c r="J76" s="20" t="n">
        <v>0.141</v>
      </c>
      <c r="K76" s="20" t="n">
        <v>0.036</v>
      </c>
      <c r="L76" s="20" t="n">
        <v>0.1527</v>
      </c>
      <c r="M76" s="20" t="n">
        <v>0.036</v>
      </c>
      <c r="N76" s="20" t="n">
        <v>0.106</v>
      </c>
      <c r="O76" s="20" t="n">
        <v>0.0827</v>
      </c>
      <c r="P76" s="20" t="n">
        <v>0.07679999999999999</v>
      </c>
      <c r="Q76" s="20" t="n">
        <v>0.1118</v>
      </c>
      <c r="R76" s="20" t="n">
        <v>0.1956</v>
      </c>
      <c r="S76" s="20" t="n">
        <v>0.2473</v>
      </c>
      <c r="T76" s="20" t="n">
        <v>0.3015</v>
      </c>
      <c r="U76" s="20" t="n">
        <v>0.0948</v>
      </c>
      <c r="V76" s="20" t="n">
        <v>0.1527</v>
      </c>
      <c r="W76" s="20" t="n">
        <v>0.036</v>
      </c>
      <c r="X76" s="20" t="n">
        <v>1.7484</v>
      </c>
      <c r="Y76" s="20" t="n">
        <v>0.2156</v>
      </c>
      <c r="Z76" s="20" t="n">
        <v>0.2823</v>
      </c>
      <c r="AA76" s="20" t="n">
        <v>0.259</v>
      </c>
      <c r="AB76" s="20" t="n">
        <v>0.2583</v>
      </c>
      <c r="AC76" s="20" t="n">
        <v>0.3585</v>
      </c>
      <c r="AD76" s="20" t="n">
        <v>0.1774</v>
      </c>
      <c r="AE76" s="20" t="n">
        <v>0.2837</v>
      </c>
      <c r="AF76" s="20" t="n">
        <v>0.036</v>
      </c>
      <c r="AG76" s="20" t="n">
        <v>0.036</v>
      </c>
      <c r="AH76" s="20" t="n">
        <v>0.036</v>
      </c>
      <c r="AI76" s="20" t="n">
        <v>0.1527</v>
      </c>
      <c r="AJ76" s="20" t="n">
        <v>0.036</v>
      </c>
      <c r="AK76" s="20" t="n">
        <v>0.1875</v>
      </c>
      <c r="AL76" s="20" t="n">
        <v>0.0682</v>
      </c>
      <c r="AM76" s="20" t="n">
        <v>0.2063</v>
      </c>
      <c r="AN76" s="20" t="n">
        <v>0.3577</v>
      </c>
      <c r="AO76" s="20" t="n">
        <v>0.2615</v>
      </c>
      <c r="AP76" s="20" t="n">
        <v>0.2531</v>
      </c>
      <c r="AQ76" s="20" t="n">
        <v>0.2855</v>
      </c>
      <c r="AR76" s="20" t="n">
        <v>0.3699</v>
      </c>
      <c r="AS76" s="20" t="n">
        <v>0.5027</v>
      </c>
      <c r="AT76" s="20" t="n">
        <v>0.6114000000000001</v>
      </c>
      <c r="AU76" s="20" t="n">
        <v>0.2163</v>
      </c>
      <c r="AV76" s="20" t="n">
        <v>0.1527</v>
      </c>
      <c r="AW76" s="20" t="n">
        <v>0.036</v>
      </c>
      <c r="AX76" s="20" t="n">
        <v>0.0477</v>
      </c>
    </row>
    <row r="77">
      <c r="A77" s="19" t="inlineStr">
        <is>
          <t>Load_TR2_F5_51</t>
        </is>
      </c>
      <c r="B77" s="15" t="inlineStr">
        <is>
          <t>prosumer</t>
        </is>
      </c>
      <c r="C77" s="20" t="n">
        <v>0.2092</v>
      </c>
      <c r="D77" s="20" t="n">
        <v>0.1034</v>
      </c>
      <c r="E77" s="20" t="n">
        <v>0.2223</v>
      </c>
      <c r="F77" s="20" t="n">
        <v>0.1031</v>
      </c>
      <c r="G77" s="20" t="n">
        <v>0.1539</v>
      </c>
      <c r="H77" s="20" t="n">
        <v>0.2165</v>
      </c>
      <c r="I77" s="20" t="n">
        <v>0.08740000000000001</v>
      </c>
      <c r="J77" s="20" t="n">
        <v>0.1827</v>
      </c>
      <c r="K77" s="20" t="n">
        <v>0.053</v>
      </c>
      <c r="L77" s="20" t="n">
        <v>0.2115</v>
      </c>
      <c r="M77" s="20" t="n">
        <v>0.1644</v>
      </c>
      <c r="N77" s="20" t="n">
        <v>0.1323</v>
      </c>
      <c r="O77" s="20" t="n">
        <v>0.2436</v>
      </c>
      <c r="P77" s="20" t="n">
        <v>0.053</v>
      </c>
      <c r="Q77" s="20" t="n">
        <v>0.2021</v>
      </c>
      <c r="R77" s="20" t="n">
        <v>0.1738</v>
      </c>
      <c r="S77" s="20" t="n">
        <v>0.053</v>
      </c>
      <c r="T77" s="20" t="n">
        <v>0.4486</v>
      </c>
      <c r="U77" s="20" t="n">
        <v>0.1644</v>
      </c>
      <c r="V77" s="20" t="n">
        <v>0.125</v>
      </c>
      <c r="W77" s="20" t="n">
        <v>0.2508</v>
      </c>
      <c r="X77" s="20" t="n">
        <v>0.053</v>
      </c>
      <c r="Y77" s="20" t="n">
        <v>0.1254</v>
      </c>
      <c r="Z77" s="20" t="n">
        <v>0.2505</v>
      </c>
      <c r="AA77" s="20" t="n">
        <v>0.0586</v>
      </c>
      <c r="AB77" s="20" t="n">
        <v>0.1588</v>
      </c>
      <c r="AC77" s="20" t="n">
        <v>0.1178</v>
      </c>
      <c r="AD77" s="20" t="n">
        <v>0.1467</v>
      </c>
      <c r="AE77" s="20" t="n">
        <v>0.053</v>
      </c>
      <c r="AF77" s="20" t="n">
        <v>0.295</v>
      </c>
      <c r="AG77" s="20" t="n">
        <v>0.0808</v>
      </c>
      <c r="AH77" s="20" t="n">
        <v>0.053</v>
      </c>
      <c r="AI77" s="20" t="n">
        <v>0.1258</v>
      </c>
      <c r="AJ77" s="20" t="n">
        <v>0.092</v>
      </c>
      <c r="AK77" s="20" t="n">
        <v>0.2584</v>
      </c>
      <c r="AL77" s="20" t="n">
        <v>0.1175</v>
      </c>
      <c r="AM77" s="20" t="n">
        <v>0.1503</v>
      </c>
      <c r="AN77" s="20" t="n">
        <v>0.2256</v>
      </c>
      <c r="AO77" s="20" t="n">
        <v>0.1177</v>
      </c>
      <c r="AP77" s="20" t="n">
        <v>0.2043</v>
      </c>
      <c r="AQ77" s="20" t="n">
        <v>0.1716</v>
      </c>
      <c r="AR77" s="20" t="n">
        <v>0.09619999999999999</v>
      </c>
      <c r="AS77" s="20" t="n">
        <v>0.1683</v>
      </c>
      <c r="AT77" s="20" t="n">
        <v>0.053</v>
      </c>
      <c r="AU77" s="20" t="n">
        <v>0.2338</v>
      </c>
      <c r="AV77" s="20" t="n">
        <v>0.1421</v>
      </c>
      <c r="AW77" s="20" t="n">
        <v>0.1971</v>
      </c>
      <c r="AX77" s="20" t="n">
        <v>0.1788</v>
      </c>
    </row>
    <row r="78">
      <c r="A78" s="10" t="inlineStr">
        <is>
          <t>Load_TR2_F5_52</t>
        </is>
      </c>
      <c r="B78" s="12" t="inlineStr">
        <is>
          <t>customer</t>
        </is>
      </c>
      <c r="C78" s="18" t="n">
        <v>0.1334</v>
      </c>
      <c r="D78" s="18" t="n">
        <v>0.0549</v>
      </c>
      <c r="E78" s="18" t="n">
        <v>0.05</v>
      </c>
      <c r="F78" s="18" t="n">
        <v>0.05</v>
      </c>
      <c r="G78" s="18" t="n">
        <v>0.1384</v>
      </c>
      <c r="H78" s="18" t="n">
        <v>0.05</v>
      </c>
      <c r="I78" s="18" t="n">
        <v>0.1236</v>
      </c>
      <c r="J78" s="18" t="n">
        <v>0.06469999999999999</v>
      </c>
      <c r="K78" s="18" t="n">
        <v>0.0598</v>
      </c>
      <c r="L78" s="18" t="n">
        <v>0.1285</v>
      </c>
      <c r="M78" s="18" t="n">
        <v>0.05</v>
      </c>
      <c r="N78" s="18" t="n">
        <v>0.05</v>
      </c>
      <c r="O78" s="18" t="n">
        <v>0.1138</v>
      </c>
      <c r="P78" s="18" t="n">
        <v>0.0745</v>
      </c>
      <c r="Q78" s="18" t="n">
        <v>0.0795</v>
      </c>
      <c r="R78" s="18" t="n">
        <v>0.1089</v>
      </c>
      <c r="S78" s="18" t="n">
        <v>0.0795</v>
      </c>
      <c r="T78" s="18" t="n">
        <v>0.1714</v>
      </c>
      <c r="U78" s="18" t="n">
        <v>0.1401</v>
      </c>
      <c r="V78" s="18" t="n">
        <v>1.1418</v>
      </c>
      <c r="W78" s="18" t="n">
        <v>0.1138</v>
      </c>
      <c r="X78" s="18" t="n">
        <v>0.05</v>
      </c>
      <c r="Y78" s="18" t="n">
        <v>0.1384</v>
      </c>
      <c r="Z78" s="18" t="n">
        <v>0.4884</v>
      </c>
      <c r="AA78" s="18" t="n">
        <v>0.1384</v>
      </c>
      <c r="AB78" s="18" t="n">
        <v>0.1273</v>
      </c>
      <c r="AC78" s="18" t="n">
        <v>0.1236</v>
      </c>
      <c r="AD78" s="18" t="n">
        <v>0.0708</v>
      </c>
      <c r="AE78" s="18" t="n">
        <v>0.0788</v>
      </c>
      <c r="AF78" s="18" t="n">
        <v>0.1257</v>
      </c>
      <c r="AG78" s="18" t="n">
        <v>0.1389</v>
      </c>
      <c r="AH78" s="18" t="n">
        <v>0.0837</v>
      </c>
      <c r="AI78" s="18" t="n">
        <v>0.1208</v>
      </c>
      <c r="AJ78" s="18" t="n">
        <v>0.0741</v>
      </c>
      <c r="AK78" s="18" t="n">
        <v>0.0984</v>
      </c>
      <c r="AL78" s="18" t="n">
        <v>0.1006</v>
      </c>
      <c r="AM78" s="18" t="n">
        <v>0.2349</v>
      </c>
      <c r="AN78" s="18" t="n">
        <v>0.1106</v>
      </c>
      <c r="AO78" s="18" t="n">
        <v>0.1448</v>
      </c>
      <c r="AP78" s="18" t="n">
        <v>0.3548</v>
      </c>
      <c r="AQ78" s="18" t="n">
        <v>0.4186</v>
      </c>
      <c r="AR78" s="18" t="n">
        <v>0.3839</v>
      </c>
      <c r="AS78" s="18" t="n">
        <v>0.4922</v>
      </c>
      <c r="AT78" s="18" t="n">
        <v>0.5629</v>
      </c>
      <c r="AU78" s="18" t="n">
        <v>1.1592</v>
      </c>
      <c r="AV78" s="18" t="n">
        <v>0.7488</v>
      </c>
      <c r="AW78" s="18" t="n">
        <v>0.3171</v>
      </c>
      <c r="AX78" s="18" t="n">
        <v>0.05</v>
      </c>
    </row>
    <row r="79">
      <c r="A79" s="19" t="inlineStr">
        <is>
          <t>Load_TR2_F5_53</t>
        </is>
      </c>
      <c r="B79" s="15" t="inlineStr">
        <is>
          <t>prosumer</t>
        </is>
      </c>
      <c r="C79" s="20" t="n">
        <v>0.2719</v>
      </c>
      <c r="D79" s="20" t="n">
        <v>0.052</v>
      </c>
      <c r="E79" s="20" t="n">
        <v>0.1792</v>
      </c>
      <c r="F79" s="20" t="n">
        <v>0.1198</v>
      </c>
      <c r="G79" s="20" t="n">
        <v>0.1015</v>
      </c>
      <c r="H79" s="20" t="n">
        <v>0.2075</v>
      </c>
      <c r="I79" s="20" t="n">
        <v>0.0965</v>
      </c>
      <c r="J79" s="20" t="n">
        <v>0.1036</v>
      </c>
      <c r="K79" s="20" t="n">
        <v>0.2004</v>
      </c>
      <c r="L79" s="20" t="n">
        <v>0.052</v>
      </c>
      <c r="M79" s="20" t="n">
        <v>0.1842</v>
      </c>
      <c r="N79" s="20" t="n">
        <v>0.1644</v>
      </c>
      <c r="O79" s="20" t="n">
        <v>0.1227</v>
      </c>
      <c r="P79" s="20" t="n">
        <v>0.1368</v>
      </c>
      <c r="Q79" s="20" t="n">
        <v>0.052</v>
      </c>
      <c r="R79" s="20" t="n">
        <v>0.0803</v>
      </c>
      <c r="S79" s="20" t="n">
        <v>0.1792</v>
      </c>
      <c r="T79" s="20" t="n">
        <v>0.052</v>
      </c>
      <c r="U79" s="20" t="n">
        <v>0.052</v>
      </c>
      <c r="V79" s="20" t="n">
        <v>0.141</v>
      </c>
      <c r="W79" s="20" t="n">
        <v>0.3321</v>
      </c>
      <c r="X79" s="20" t="n">
        <v>1.3662</v>
      </c>
      <c r="Y79" s="20" t="n">
        <v>0.3339</v>
      </c>
      <c r="Z79" s="20" t="n">
        <v>0.1048</v>
      </c>
      <c r="AA79" s="20" t="n">
        <v>0.6736</v>
      </c>
      <c r="AB79" s="20" t="n">
        <v>1.2293</v>
      </c>
      <c r="AC79" s="20" t="n">
        <v>0.3364</v>
      </c>
      <c r="AD79" s="20" t="n">
        <v>0.3851</v>
      </c>
      <c r="AE79" s="20" t="n">
        <v>0.227</v>
      </c>
      <c r="AF79" s="20" t="n">
        <v>0.4204</v>
      </c>
      <c r="AG79" s="20" t="n">
        <v>2.5258</v>
      </c>
      <c r="AH79" s="20" t="n">
        <v>1.3899</v>
      </c>
      <c r="AI79" s="20" t="n">
        <v>2.0774</v>
      </c>
      <c r="AJ79" s="20" t="n">
        <v>1.0047</v>
      </c>
      <c r="AK79" s="20" t="n">
        <v>0.7934</v>
      </c>
      <c r="AL79" s="20" t="n">
        <v>0.2075</v>
      </c>
      <c r="AM79" s="20" t="n">
        <v>0.052</v>
      </c>
      <c r="AN79" s="20" t="n">
        <v>0.141</v>
      </c>
      <c r="AO79" s="20" t="n">
        <v>0.151</v>
      </c>
      <c r="AP79" s="20" t="n">
        <v>0.1184</v>
      </c>
      <c r="AQ79" s="20" t="n">
        <v>0.1311</v>
      </c>
      <c r="AR79" s="20" t="n">
        <v>0.1792</v>
      </c>
      <c r="AS79" s="20" t="n">
        <v>0.0803</v>
      </c>
      <c r="AT79" s="20" t="n">
        <v>0.7724</v>
      </c>
      <c r="AU79" s="20" t="n">
        <v>0.2966</v>
      </c>
      <c r="AV79" s="20" t="n">
        <v>0.0569</v>
      </c>
      <c r="AW79" s="20" t="n">
        <v>0.1926</v>
      </c>
      <c r="AX79" s="20" t="n">
        <v>0.151</v>
      </c>
    </row>
    <row r="80">
      <c r="A80" s="19" t="inlineStr">
        <is>
          <t>Load_TR2_F5_54</t>
        </is>
      </c>
      <c r="B80" s="15" t="inlineStr">
        <is>
          <t>prosumer</t>
        </is>
      </c>
      <c r="C80" s="20" t="n">
        <v>0.1575</v>
      </c>
      <c r="D80" s="20" t="n">
        <v>0.049</v>
      </c>
      <c r="E80" s="20" t="n">
        <v>0.2248</v>
      </c>
      <c r="F80" s="20" t="n">
        <v>0.0809</v>
      </c>
      <c r="G80" s="20" t="n">
        <v>0.1737</v>
      </c>
      <c r="H80" s="20" t="n">
        <v>0.132</v>
      </c>
      <c r="I80" s="20" t="n">
        <v>0.1162</v>
      </c>
      <c r="J80" s="20" t="n">
        <v>0.1894</v>
      </c>
      <c r="K80" s="20" t="n">
        <v>0.049</v>
      </c>
      <c r="L80" s="20" t="n">
        <v>0.049</v>
      </c>
      <c r="M80" s="20" t="n">
        <v>0.2567</v>
      </c>
      <c r="N80" s="20" t="n">
        <v>0.049</v>
      </c>
      <c r="O80" s="20" t="n">
        <v>0.1575</v>
      </c>
      <c r="P80" s="20" t="n">
        <v>0.2609</v>
      </c>
      <c r="Q80" s="20" t="n">
        <v>0.229</v>
      </c>
      <c r="R80" s="20" t="n">
        <v>0.1563</v>
      </c>
      <c r="S80" s="20" t="n">
        <v>0.0741</v>
      </c>
      <c r="T80" s="20" t="n">
        <v>0.224</v>
      </c>
      <c r="U80" s="20" t="n">
        <v>0.171</v>
      </c>
      <c r="V80" s="20" t="n">
        <v>0.1371</v>
      </c>
      <c r="W80" s="20" t="n">
        <v>1.2344</v>
      </c>
      <c r="X80" s="20" t="n">
        <v>0.5633</v>
      </c>
      <c r="Y80" s="20" t="n">
        <v>0.154</v>
      </c>
      <c r="Z80" s="20" t="n">
        <v>0.317</v>
      </c>
      <c r="AA80" s="20" t="n">
        <v>0.3329</v>
      </c>
      <c r="AB80" s="20" t="n">
        <v>0.1463</v>
      </c>
      <c r="AC80" s="20" t="n">
        <v>0.2492</v>
      </c>
      <c r="AD80" s="20" t="n">
        <v>0.07140000000000001</v>
      </c>
      <c r="AE80" s="20" t="n">
        <v>0.09379999999999999</v>
      </c>
      <c r="AF80" s="20" t="n">
        <v>0.1894</v>
      </c>
      <c r="AG80" s="20" t="n">
        <v>0.1162</v>
      </c>
      <c r="AH80" s="20" t="n">
        <v>0.23</v>
      </c>
      <c r="AI80" s="20" t="n">
        <v>0.1279</v>
      </c>
      <c r="AJ80" s="20" t="n">
        <v>0.051</v>
      </c>
      <c r="AK80" s="20" t="n">
        <v>0.309</v>
      </c>
      <c r="AL80" s="20" t="n">
        <v>0.3711</v>
      </c>
      <c r="AM80" s="20" t="n">
        <v>0.3072</v>
      </c>
      <c r="AN80" s="20" t="n">
        <v>0.0969</v>
      </c>
      <c r="AO80" s="20" t="n">
        <v>0.1783</v>
      </c>
      <c r="AP80" s="20" t="n">
        <v>1.8633</v>
      </c>
      <c r="AQ80" s="20" t="n">
        <v>0.5422</v>
      </c>
      <c r="AR80" s="20" t="n">
        <v>0.2309</v>
      </c>
      <c r="AS80" s="20" t="n">
        <v>0.3295</v>
      </c>
      <c r="AT80" s="20" t="n">
        <v>0.2807</v>
      </c>
      <c r="AU80" s="20" t="n">
        <v>0.3066</v>
      </c>
      <c r="AV80" s="20" t="n">
        <v>0.4227</v>
      </c>
      <c r="AW80" s="20" t="n">
        <v>0.8571</v>
      </c>
      <c r="AX80" s="20" t="n">
        <v>0.7433999999999999</v>
      </c>
    </row>
    <row r="81">
      <c r="A81" s="19" t="inlineStr">
        <is>
          <t>Load_TR2_F5_55</t>
        </is>
      </c>
      <c r="B81" s="15" t="inlineStr">
        <is>
          <t>prosumer</t>
        </is>
      </c>
      <c r="C81" s="20" t="n">
        <v>0.7085</v>
      </c>
      <c r="D81" s="20" t="n">
        <v>0.8561</v>
      </c>
      <c r="E81" s="20" t="n">
        <v>0.6791</v>
      </c>
      <c r="F81" s="20" t="n">
        <v>0.4445</v>
      </c>
      <c r="G81" s="20" t="n">
        <v>0.5047</v>
      </c>
      <c r="H81" s="20" t="n">
        <v>0.5046</v>
      </c>
      <c r="I81" s="20" t="n">
        <v>0.4546</v>
      </c>
      <c r="J81" s="20" t="n">
        <v>0.053</v>
      </c>
      <c r="K81" s="20" t="n">
        <v>0.103</v>
      </c>
      <c r="L81" s="20" t="n">
        <v>0.3702</v>
      </c>
      <c r="M81" s="20" t="n">
        <v>0.0706</v>
      </c>
      <c r="N81" s="20" t="n">
        <v>0.1462</v>
      </c>
      <c r="O81" s="20" t="n">
        <v>0.2206</v>
      </c>
      <c r="P81" s="20" t="n">
        <v>0.1419</v>
      </c>
      <c r="Q81" s="20" t="n">
        <v>0.2425</v>
      </c>
      <c r="R81" s="20" t="n">
        <v>0.0772</v>
      </c>
      <c r="S81" s="20" t="n">
        <v>0.2986</v>
      </c>
      <c r="T81" s="20" t="n">
        <v>0.3324</v>
      </c>
      <c r="U81" s="20" t="n">
        <v>0.219</v>
      </c>
      <c r="V81" s="20" t="n">
        <v>0.2361</v>
      </c>
      <c r="W81" s="20" t="n">
        <v>1.31</v>
      </c>
      <c r="X81" s="20" t="n">
        <v>0.1763</v>
      </c>
      <c r="Y81" s="20" t="n">
        <v>1.1442</v>
      </c>
      <c r="Z81" s="20" t="n">
        <v>1.6591</v>
      </c>
      <c r="AA81" s="20" t="n">
        <v>2.9719</v>
      </c>
      <c r="AB81" s="20" t="n">
        <v>2.5166</v>
      </c>
      <c r="AC81" s="20" t="n">
        <v>0.3887</v>
      </c>
      <c r="AD81" s="20" t="n">
        <v>0.4531</v>
      </c>
      <c r="AE81" s="20" t="n">
        <v>1.1197</v>
      </c>
      <c r="AF81" s="20" t="n">
        <v>1.8656</v>
      </c>
      <c r="AG81" s="20" t="n">
        <v>0.7043</v>
      </c>
      <c r="AH81" s="20" t="n">
        <v>0.8619</v>
      </c>
      <c r="AI81" s="20" t="n">
        <v>0.4219</v>
      </c>
      <c r="AJ81" s="20" t="n">
        <v>0.121</v>
      </c>
      <c r="AK81" s="20" t="n">
        <v>0.3344</v>
      </c>
      <c r="AL81" s="20" t="n">
        <v>0.535</v>
      </c>
      <c r="AM81" s="20" t="n">
        <v>0.2886</v>
      </c>
      <c r="AN81" s="20" t="n">
        <v>0.4054</v>
      </c>
      <c r="AO81" s="20" t="n">
        <v>1.8025</v>
      </c>
      <c r="AP81" s="20" t="n">
        <v>1.4287</v>
      </c>
      <c r="AQ81" s="20" t="n">
        <v>0.6183</v>
      </c>
      <c r="AR81" s="20" t="n">
        <v>0.9348</v>
      </c>
      <c r="AS81" s="20" t="n">
        <v>0.7433999999999999</v>
      </c>
      <c r="AT81" s="20" t="n">
        <v>1.0702</v>
      </c>
      <c r="AU81" s="20" t="n">
        <v>1.0687</v>
      </c>
      <c r="AV81" s="20" t="n">
        <v>1.0089</v>
      </c>
      <c r="AW81" s="20" t="n">
        <v>0.9258999999999999</v>
      </c>
      <c r="AX81" s="20" t="n">
        <v>0.9322</v>
      </c>
    </row>
    <row r="82">
      <c r="A82" s="10" t="inlineStr">
        <is>
          <t>Load_TR2_F5_56</t>
        </is>
      </c>
      <c r="B82" s="12" t="inlineStr">
        <is>
          <t>customer</t>
        </is>
      </c>
      <c r="C82" s="18" t="n">
        <v>0.2114</v>
      </c>
      <c r="D82" s="18" t="n">
        <v>0.056</v>
      </c>
      <c r="E82" s="18" t="n">
        <v>0.056</v>
      </c>
      <c r="F82" s="18" t="n">
        <v>0.056</v>
      </c>
      <c r="G82" s="18" t="n">
        <v>0.2114</v>
      </c>
      <c r="H82" s="18" t="n">
        <v>0.056</v>
      </c>
      <c r="I82" s="18" t="n">
        <v>0.1831</v>
      </c>
      <c r="J82" s="18" t="n">
        <v>0.0842</v>
      </c>
      <c r="K82" s="18" t="n">
        <v>0.1196</v>
      </c>
      <c r="L82" s="18" t="n">
        <v>0.1478</v>
      </c>
      <c r="M82" s="18" t="n">
        <v>0.056</v>
      </c>
      <c r="N82" s="18" t="n">
        <v>0.1902</v>
      </c>
      <c r="O82" s="18" t="n">
        <v>0.0772</v>
      </c>
      <c r="P82" s="18" t="n">
        <v>0.0631</v>
      </c>
      <c r="Q82" s="18" t="n">
        <v>0.2043</v>
      </c>
      <c r="R82" s="18" t="n">
        <v>0.056</v>
      </c>
      <c r="S82" s="18" t="n">
        <v>0.056</v>
      </c>
      <c r="T82" s="18" t="n">
        <v>0.2483</v>
      </c>
      <c r="U82" s="18" t="n">
        <v>0.09</v>
      </c>
      <c r="V82" s="18" t="n">
        <v>0.1205</v>
      </c>
      <c r="W82" s="18" t="n">
        <v>0.1715</v>
      </c>
      <c r="X82" s="18" t="n">
        <v>0.913</v>
      </c>
      <c r="Y82" s="18" t="n">
        <v>2.4546</v>
      </c>
      <c r="Z82" s="18" t="n">
        <v>1.5886</v>
      </c>
      <c r="AA82" s="18" t="n">
        <v>0.4008</v>
      </c>
      <c r="AB82" s="18" t="n">
        <v>0.6994</v>
      </c>
      <c r="AC82" s="18" t="n">
        <v>2.5671</v>
      </c>
      <c r="AD82" s="18" t="n">
        <v>2.261</v>
      </c>
      <c r="AE82" s="18" t="n">
        <v>0.1196</v>
      </c>
      <c r="AF82" s="18" t="n">
        <v>0.1837</v>
      </c>
      <c r="AG82" s="18" t="n">
        <v>0.2352</v>
      </c>
      <c r="AH82" s="18" t="n">
        <v>0.7049</v>
      </c>
      <c r="AI82" s="18" t="n">
        <v>0.3116</v>
      </c>
      <c r="AJ82" s="18" t="n">
        <v>0.3374</v>
      </c>
      <c r="AK82" s="18" t="n">
        <v>0.3927</v>
      </c>
      <c r="AL82" s="18" t="n">
        <v>0.264</v>
      </c>
      <c r="AM82" s="18" t="n">
        <v>0.2114</v>
      </c>
      <c r="AN82" s="18" t="n">
        <v>0.3739</v>
      </c>
      <c r="AO82" s="18" t="n">
        <v>0.4871</v>
      </c>
      <c r="AP82" s="18" t="n">
        <v>0.3444</v>
      </c>
      <c r="AQ82" s="18" t="n">
        <v>0.056</v>
      </c>
      <c r="AR82" s="18" t="n">
        <v>0.2114</v>
      </c>
      <c r="AS82" s="18" t="n">
        <v>0.2614</v>
      </c>
      <c r="AT82" s="18" t="n">
        <v>0.2122</v>
      </c>
      <c r="AU82" s="18" t="n">
        <v>0.1972</v>
      </c>
      <c r="AV82" s="18" t="n">
        <v>0.0701</v>
      </c>
      <c r="AW82" s="18" t="n">
        <v>0.056</v>
      </c>
      <c r="AX82" s="18" t="n">
        <v>0.0772</v>
      </c>
    </row>
    <row r="83">
      <c r="A83" s="19" t="inlineStr">
        <is>
          <t>Load_TR2_F5_57</t>
        </is>
      </c>
      <c r="B83" s="15" t="inlineStr">
        <is>
          <t>prosumer</t>
        </is>
      </c>
      <c r="C83" s="20" t="n">
        <v>0.052</v>
      </c>
      <c r="D83" s="20" t="n">
        <v>0.052</v>
      </c>
      <c r="E83" s="20" t="n">
        <v>0.052</v>
      </c>
      <c r="F83" s="20" t="n">
        <v>0.052</v>
      </c>
      <c r="G83" s="20" t="n">
        <v>0.052</v>
      </c>
      <c r="H83" s="20" t="n">
        <v>0.052</v>
      </c>
      <c r="I83" s="20" t="n">
        <v>0.052</v>
      </c>
      <c r="J83" s="20" t="n">
        <v>0.052</v>
      </c>
      <c r="K83" s="20" t="n">
        <v>0.052</v>
      </c>
      <c r="L83" s="20" t="n">
        <v>0.052</v>
      </c>
      <c r="M83" s="20" t="n">
        <v>0.052</v>
      </c>
      <c r="N83" s="20" t="n">
        <v>0.052</v>
      </c>
      <c r="O83" s="20" t="n">
        <v>0.052</v>
      </c>
      <c r="P83" s="20" t="n">
        <v>0.052</v>
      </c>
      <c r="Q83" s="20" t="n">
        <v>0.052</v>
      </c>
      <c r="R83" s="20" t="n">
        <v>0.052</v>
      </c>
      <c r="S83" s="20" t="n">
        <v>0.052</v>
      </c>
      <c r="T83" s="20" t="n">
        <v>0.052</v>
      </c>
      <c r="U83" s="20" t="n">
        <v>0.052</v>
      </c>
      <c r="V83" s="20" t="n">
        <v>0.052</v>
      </c>
      <c r="W83" s="20" t="n">
        <v>0.052</v>
      </c>
      <c r="X83" s="20" t="n">
        <v>0.052</v>
      </c>
      <c r="Y83" s="20" t="n">
        <v>0.052</v>
      </c>
      <c r="Z83" s="20" t="n">
        <v>0.052</v>
      </c>
      <c r="AA83" s="20" t="n">
        <v>0.052</v>
      </c>
      <c r="AB83" s="20" t="n">
        <v>0.052</v>
      </c>
      <c r="AC83" s="20" t="n">
        <v>0.052</v>
      </c>
      <c r="AD83" s="20" t="n">
        <v>0.052</v>
      </c>
      <c r="AE83" s="20" t="n">
        <v>0.052</v>
      </c>
      <c r="AF83" s="20" t="n">
        <v>0.052</v>
      </c>
      <c r="AG83" s="20" t="n">
        <v>0.052</v>
      </c>
      <c r="AH83" s="20" t="n">
        <v>0.052</v>
      </c>
      <c r="AI83" s="20" t="n">
        <v>0.052</v>
      </c>
      <c r="AJ83" s="20" t="n">
        <v>0.052</v>
      </c>
      <c r="AK83" s="20" t="n">
        <v>0.052</v>
      </c>
      <c r="AL83" s="20" t="n">
        <v>0.052</v>
      </c>
      <c r="AM83" s="20" t="n">
        <v>0.052</v>
      </c>
      <c r="AN83" s="20" t="n">
        <v>0.052</v>
      </c>
      <c r="AO83" s="20" t="n">
        <v>0.052</v>
      </c>
      <c r="AP83" s="20" t="n">
        <v>0.052</v>
      </c>
      <c r="AQ83" s="20" t="n">
        <v>0.052</v>
      </c>
      <c r="AR83" s="20" t="n">
        <v>0.052</v>
      </c>
      <c r="AS83" s="20" t="n">
        <v>0.052</v>
      </c>
      <c r="AT83" s="20" t="n">
        <v>0.222</v>
      </c>
      <c r="AU83" s="20" t="n">
        <v>0.4265</v>
      </c>
      <c r="AV83" s="20" t="n">
        <v>0.5606</v>
      </c>
      <c r="AW83" s="20" t="n">
        <v>0.516</v>
      </c>
      <c r="AX83" s="20" t="n">
        <v>0.1593</v>
      </c>
    </row>
    <row r="84">
      <c r="A84" s="10" t="inlineStr">
        <is>
          <t>Load_TR2_F5_58</t>
        </is>
      </c>
      <c r="B84" s="12" t="inlineStr">
        <is>
          <t>customer</t>
        </is>
      </c>
      <c r="C84" s="18" t="n">
        <v>0.042</v>
      </c>
      <c r="D84" s="18" t="n">
        <v>0.115</v>
      </c>
      <c r="E84" s="18" t="n">
        <v>0.042</v>
      </c>
      <c r="F84" s="18" t="n">
        <v>0.042</v>
      </c>
      <c r="G84" s="18" t="n">
        <v>0.042</v>
      </c>
      <c r="H84" s="18" t="n">
        <v>0.1109</v>
      </c>
      <c r="I84" s="18" t="n">
        <v>0.0461</v>
      </c>
      <c r="J84" s="18" t="n">
        <v>0.042</v>
      </c>
      <c r="K84" s="18" t="n">
        <v>0.042</v>
      </c>
      <c r="L84" s="18" t="n">
        <v>0.042</v>
      </c>
      <c r="M84" s="18" t="n">
        <v>0.1109</v>
      </c>
      <c r="N84" s="18" t="n">
        <v>0.0461</v>
      </c>
      <c r="O84" s="18" t="n">
        <v>0.042</v>
      </c>
      <c r="P84" s="18" t="n">
        <v>0.042</v>
      </c>
      <c r="Q84" s="18" t="n">
        <v>0.09470000000000001</v>
      </c>
      <c r="R84" s="18" t="n">
        <v>0.102</v>
      </c>
      <c r="S84" s="18" t="n">
        <v>0.042</v>
      </c>
      <c r="T84" s="18" t="n">
        <v>0.042</v>
      </c>
      <c r="U84" s="18" t="n">
        <v>0.042</v>
      </c>
      <c r="V84" s="18" t="n">
        <v>0.2446</v>
      </c>
      <c r="W84" s="18" t="n">
        <v>0.042</v>
      </c>
      <c r="X84" s="18" t="n">
        <v>0.09470000000000001</v>
      </c>
      <c r="Y84" s="18" t="n">
        <v>0.0623</v>
      </c>
      <c r="Z84" s="18" t="n">
        <v>0.042</v>
      </c>
      <c r="AA84" s="18" t="n">
        <v>0.042</v>
      </c>
      <c r="AB84" s="18" t="n">
        <v>0.115</v>
      </c>
      <c r="AC84" s="18" t="n">
        <v>0.042</v>
      </c>
      <c r="AD84" s="18" t="n">
        <v>0.042</v>
      </c>
      <c r="AE84" s="18" t="n">
        <v>0.115</v>
      </c>
      <c r="AF84" s="18" t="n">
        <v>0.042</v>
      </c>
      <c r="AG84" s="18" t="n">
        <v>0.1353</v>
      </c>
      <c r="AH84" s="18" t="n">
        <v>0.0825</v>
      </c>
      <c r="AI84" s="18" t="n">
        <v>0.1446</v>
      </c>
      <c r="AJ84" s="18" t="n">
        <v>0.1864</v>
      </c>
      <c r="AK84" s="18" t="n">
        <v>0.042</v>
      </c>
      <c r="AL84" s="18" t="n">
        <v>0.07530000000000001</v>
      </c>
      <c r="AM84" s="18" t="n">
        <v>0.1367</v>
      </c>
      <c r="AN84" s="18" t="n">
        <v>1.3271</v>
      </c>
      <c r="AO84" s="18" t="n">
        <v>0.042</v>
      </c>
      <c r="AP84" s="18" t="n">
        <v>0.042</v>
      </c>
      <c r="AQ84" s="18" t="n">
        <v>0.115</v>
      </c>
      <c r="AR84" s="18" t="n">
        <v>0.042</v>
      </c>
      <c r="AS84" s="18" t="n">
        <v>0.115</v>
      </c>
      <c r="AT84" s="18" t="n">
        <v>0.042</v>
      </c>
      <c r="AU84" s="18" t="n">
        <v>0.0461</v>
      </c>
      <c r="AV84" s="18" t="n">
        <v>0.1109</v>
      </c>
      <c r="AW84" s="18" t="n">
        <v>0.0704</v>
      </c>
      <c r="AX84" s="18" t="n">
        <v>0.0866</v>
      </c>
    </row>
    <row r="85">
      <c r="A85" s="10" t="inlineStr">
        <is>
          <t>Load_TR2_F5_59</t>
        </is>
      </c>
      <c r="B85" s="12" t="inlineStr">
        <is>
          <t>customer</t>
        </is>
      </c>
      <c r="C85" s="18" t="n">
        <v>0.054</v>
      </c>
      <c r="D85" s="18" t="n">
        <v>0.1175</v>
      </c>
      <c r="E85" s="18" t="n">
        <v>0.054</v>
      </c>
      <c r="F85" s="18" t="n">
        <v>0.06809999999999999</v>
      </c>
      <c r="G85" s="18" t="n">
        <v>0.2404</v>
      </c>
      <c r="H85" s="18" t="n">
        <v>0.1336</v>
      </c>
      <c r="I85" s="18" t="n">
        <v>0.115</v>
      </c>
      <c r="J85" s="18" t="n">
        <v>0.2167</v>
      </c>
      <c r="K85" s="18" t="n">
        <v>0.054</v>
      </c>
      <c r="L85" s="18" t="n">
        <v>0.3059</v>
      </c>
      <c r="M85" s="18" t="n">
        <v>0.054</v>
      </c>
      <c r="N85" s="18" t="n">
        <v>0.1034</v>
      </c>
      <c r="O85" s="18" t="n">
        <v>0.1281</v>
      </c>
      <c r="P85" s="18" t="n">
        <v>0.1825</v>
      </c>
      <c r="Q85" s="18" t="n">
        <v>0.054</v>
      </c>
      <c r="R85" s="18" t="n">
        <v>0.054</v>
      </c>
      <c r="S85" s="18" t="n">
        <v>0.2082</v>
      </c>
      <c r="T85" s="18" t="n">
        <v>0.1482</v>
      </c>
      <c r="U85" s="18" t="n">
        <v>0.0575</v>
      </c>
      <c r="V85" s="18" t="n">
        <v>0.2424</v>
      </c>
      <c r="W85" s="18" t="n">
        <v>0.1175</v>
      </c>
      <c r="X85" s="18" t="n">
        <v>0.054</v>
      </c>
      <c r="Y85" s="18" t="n">
        <v>0.2424</v>
      </c>
      <c r="Z85" s="18" t="n">
        <v>0.0752</v>
      </c>
      <c r="AA85" s="18" t="n">
        <v>0.0963</v>
      </c>
      <c r="AB85" s="18" t="n">
        <v>0.0716</v>
      </c>
      <c r="AC85" s="18" t="n">
        <v>1.1937</v>
      </c>
      <c r="AD85" s="18" t="n">
        <v>0.0649</v>
      </c>
      <c r="AE85" s="18" t="n">
        <v>0.2298</v>
      </c>
      <c r="AF85" s="18" t="n">
        <v>0.212</v>
      </c>
      <c r="AG85" s="18" t="n">
        <v>0.3681</v>
      </c>
      <c r="AH85" s="18" t="n">
        <v>0.9931</v>
      </c>
      <c r="AI85" s="18" t="n">
        <v>0.487</v>
      </c>
      <c r="AJ85" s="18" t="n">
        <v>0.4045</v>
      </c>
      <c r="AK85" s="18" t="n">
        <v>0.3254</v>
      </c>
      <c r="AL85" s="18" t="n">
        <v>0.4305</v>
      </c>
      <c r="AM85" s="18" t="n">
        <v>0.1996</v>
      </c>
      <c r="AN85" s="18" t="n">
        <v>0.3827</v>
      </c>
      <c r="AO85" s="18" t="n">
        <v>0.2238</v>
      </c>
      <c r="AP85" s="18" t="n">
        <v>0.3279</v>
      </c>
      <c r="AQ85" s="18" t="n">
        <v>2.0188</v>
      </c>
      <c r="AR85" s="18" t="n">
        <v>1.5906</v>
      </c>
      <c r="AS85" s="18" t="n">
        <v>0.9016999999999999</v>
      </c>
      <c r="AT85" s="18" t="n">
        <v>0.582</v>
      </c>
      <c r="AU85" s="18" t="n">
        <v>0.054</v>
      </c>
      <c r="AV85" s="18" t="n">
        <v>0.2031</v>
      </c>
      <c r="AW85" s="18" t="n">
        <v>0.1568</v>
      </c>
      <c r="AX85" s="18" t="n">
        <v>0.0611</v>
      </c>
    </row>
    <row r="86">
      <c r="A86" s="19" t="inlineStr">
        <is>
          <t>Load_TR2_F5_6</t>
        </is>
      </c>
      <c r="B86" s="15" t="inlineStr">
        <is>
          <t>prosumer</t>
        </is>
      </c>
      <c r="C86" s="20" t="n">
        <v>0.048</v>
      </c>
      <c r="D86" s="20" t="n">
        <v>0.2272</v>
      </c>
      <c r="E86" s="20" t="n">
        <v>0.048</v>
      </c>
      <c r="F86" s="20" t="n">
        <v>0.048</v>
      </c>
      <c r="G86" s="20" t="n">
        <v>0.2272</v>
      </c>
      <c r="H86" s="20" t="n">
        <v>0.048</v>
      </c>
      <c r="I86" s="20" t="n">
        <v>0.1539</v>
      </c>
      <c r="J86" s="20" t="n">
        <v>0.1213</v>
      </c>
      <c r="K86" s="20" t="n">
        <v>0.048</v>
      </c>
      <c r="L86" s="20" t="n">
        <v>0.2272</v>
      </c>
      <c r="M86" s="20" t="n">
        <v>0.048</v>
      </c>
      <c r="N86" s="20" t="n">
        <v>0.2272</v>
      </c>
      <c r="O86" s="20" t="n">
        <v>0.048</v>
      </c>
      <c r="P86" s="20" t="n">
        <v>0.0969</v>
      </c>
      <c r="Q86" s="20" t="n">
        <v>0.1783</v>
      </c>
      <c r="R86" s="20" t="n">
        <v>0.048</v>
      </c>
      <c r="S86" s="20" t="n">
        <v>0.048</v>
      </c>
      <c r="T86" s="20" t="n">
        <v>0.048</v>
      </c>
      <c r="U86" s="20" t="n">
        <v>0.2272</v>
      </c>
      <c r="V86" s="20" t="n">
        <v>0.048</v>
      </c>
      <c r="W86" s="20" t="n">
        <v>1.0212</v>
      </c>
      <c r="X86" s="20" t="n">
        <v>0.0969</v>
      </c>
      <c r="Y86" s="20" t="n">
        <v>0.0643</v>
      </c>
      <c r="Z86" s="20" t="n">
        <v>0.2109</v>
      </c>
      <c r="AA86" s="20" t="n">
        <v>0.048</v>
      </c>
      <c r="AB86" s="20" t="n">
        <v>0.2272</v>
      </c>
      <c r="AC86" s="20" t="n">
        <v>0.048</v>
      </c>
      <c r="AD86" s="20" t="n">
        <v>0.048</v>
      </c>
      <c r="AE86" s="20" t="n">
        <v>0.3277</v>
      </c>
      <c r="AF86" s="20" t="n">
        <v>0.1973</v>
      </c>
      <c r="AG86" s="20" t="n">
        <v>0.1509</v>
      </c>
      <c r="AH86" s="20" t="n">
        <v>0.2424</v>
      </c>
      <c r="AI86" s="20" t="n">
        <v>0.06419999999999999</v>
      </c>
      <c r="AJ86" s="20" t="n">
        <v>0.0851</v>
      </c>
      <c r="AK86" s="20" t="n">
        <v>0.2787</v>
      </c>
      <c r="AL86" s="20" t="n">
        <v>0.3038</v>
      </c>
      <c r="AM86" s="20" t="n">
        <v>0.0584</v>
      </c>
      <c r="AN86" s="20" t="n">
        <v>0.1454</v>
      </c>
      <c r="AO86" s="20" t="n">
        <v>0.0643</v>
      </c>
      <c r="AP86" s="20" t="n">
        <v>0.2716</v>
      </c>
      <c r="AQ86" s="20" t="n">
        <v>0.08019999999999999</v>
      </c>
      <c r="AR86" s="20" t="n">
        <v>0.2885</v>
      </c>
      <c r="AS86" s="20" t="n">
        <v>0.249</v>
      </c>
      <c r="AT86" s="20" t="n">
        <v>0.4339</v>
      </c>
      <c r="AU86" s="20" t="n">
        <v>1.4475</v>
      </c>
      <c r="AV86" s="20" t="n">
        <v>0.5929</v>
      </c>
      <c r="AW86" s="20" t="n">
        <v>0.2233</v>
      </c>
      <c r="AX86" s="20" t="n">
        <v>0.162</v>
      </c>
    </row>
    <row r="87">
      <c r="A87" s="10" t="inlineStr">
        <is>
          <t>Load_TR2_F5_60</t>
        </is>
      </c>
      <c r="B87" s="12" t="inlineStr">
        <is>
          <t>customer</t>
        </is>
      </c>
      <c r="C87" s="18" t="n">
        <v>0.1547</v>
      </c>
      <c r="D87" s="18" t="n">
        <v>0.1833</v>
      </c>
      <c r="E87" s="18" t="n">
        <v>0.056</v>
      </c>
      <c r="F87" s="18" t="n">
        <v>0.056</v>
      </c>
      <c r="G87" s="18" t="n">
        <v>0.259</v>
      </c>
      <c r="H87" s="18" t="n">
        <v>0.079</v>
      </c>
      <c r="I87" s="18" t="n">
        <v>0.0703</v>
      </c>
      <c r="J87" s="18" t="n">
        <v>0.2677</v>
      </c>
      <c r="K87" s="18" t="n">
        <v>0.056</v>
      </c>
      <c r="L87" s="18" t="n">
        <v>0.056</v>
      </c>
      <c r="M87" s="18" t="n">
        <v>0.056</v>
      </c>
      <c r="N87" s="18" t="n">
        <v>0.2677</v>
      </c>
      <c r="O87" s="18" t="n">
        <v>0.0703</v>
      </c>
      <c r="P87" s="18" t="n">
        <v>0.1608</v>
      </c>
      <c r="Q87" s="18" t="n">
        <v>0.1772</v>
      </c>
      <c r="R87" s="18" t="n">
        <v>0.1192</v>
      </c>
      <c r="S87" s="18" t="n">
        <v>0.4061</v>
      </c>
      <c r="T87" s="18" t="n">
        <v>1.6454</v>
      </c>
      <c r="U87" s="18" t="n">
        <v>2.7619</v>
      </c>
      <c r="V87" s="18" t="n">
        <v>1.0943</v>
      </c>
      <c r="W87" s="18" t="n">
        <v>0.056</v>
      </c>
      <c r="X87" s="18" t="n">
        <v>0.2205</v>
      </c>
      <c r="Y87" s="18" t="n">
        <v>0.1174</v>
      </c>
      <c r="Z87" s="18" t="n">
        <v>0.1969</v>
      </c>
      <c r="AA87" s="18" t="n">
        <v>1.6703</v>
      </c>
      <c r="AB87" s="18" t="n">
        <v>1.1759</v>
      </c>
      <c r="AC87" s="18" t="n">
        <v>0.2595</v>
      </c>
      <c r="AD87" s="18" t="n">
        <v>0.387</v>
      </c>
      <c r="AE87" s="18" t="n">
        <v>0.1407</v>
      </c>
      <c r="AF87" s="18" t="n">
        <v>0.1158</v>
      </c>
      <c r="AG87" s="18" t="n">
        <v>0.226</v>
      </c>
      <c r="AH87" s="18" t="n">
        <v>0.6708</v>
      </c>
      <c r="AI87" s="18" t="n">
        <v>1.8759</v>
      </c>
      <c r="AJ87" s="18" t="n">
        <v>0.6627999999999999</v>
      </c>
      <c r="AK87" s="18" t="n">
        <v>0.4027</v>
      </c>
      <c r="AL87" s="18" t="n">
        <v>0.3906</v>
      </c>
      <c r="AM87" s="18" t="n">
        <v>0.2193</v>
      </c>
      <c r="AN87" s="18" t="n">
        <v>0.3344</v>
      </c>
      <c r="AO87" s="18" t="n">
        <v>0.3735</v>
      </c>
      <c r="AP87" s="18" t="n">
        <v>0.6267</v>
      </c>
      <c r="AQ87" s="18" t="n">
        <v>0.724</v>
      </c>
      <c r="AR87" s="18" t="n">
        <v>0.6359</v>
      </c>
      <c r="AS87" s="18" t="n">
        <v>0.5024</v>
      </c>
      <c r="AT87" s="18" t="n">
        <v>0.4874</v>
      </c>
      <c r="AU87" s="18" t="n">
        <v>0.363</v>
      </c>
      <c r="AV87" s="18" t="n">
        <v>0.9421</v>
      </c>
      <c r="AW87" s="18" t="n">
        <v>0.4182</v>
      </c>
      <c r="AX87" s="18" t="n">
        <v>0.2079</v>
      </c>
    </row>
    <row r="88">
      <c r="A88" s="19" t="inlineStr">
        <is>
          <t>Load_TR2_F5_61</t>
        </is>
      </c>
      <c r="B88" s="15" t="inlineStr">
        <is>
          <t>prosumer</t>
        </is>
      </c>
      <c r="C88" s="20" t="n">
        <v>0.2138</v>
      </c>
      <c r="D88" s="20" t="n">
        <v>0.046</v>
      </c>
      <c r="E88" s="20" t="n">
        <v>0.1833</v>
      </c>
      <c r="F88" s="20" t="n">
        <v>0.0765</v>
      </c>
      <c r="G88" s="20" t="n">
        <v>0.1146</v>
      </c>
      <c r="H88" s="20" t="n">
        <v>0.1451</v>
      </c>
      <c r="I88" s="20" t="n">
        <v>0.046</v>
      </c>
      <c r="J88" s="20" t="n">
        <v>0.2138</v>
      </c>
      <c r="K88" s="20" t="n">
        <v>0.046</v>
      </c>
      <c r="L88" s="20" t="n">
        <v>0.1604</v>
      </c>
      <c r="M88" s="20" t="n">
        <v>0.0994</v>
      </c>
      <c r="N88" s="20" t="n">
        <v>0.046</v>
      </c>
      <c r="O88" s="20" t="n">
        <v>0.046</v>
      </c>
      <c r="P88" s="20" t="n">
        <v>0.1375</v>
      </c>
      <c r="Q88" s="20" t="n">
        <v>0.2607</v>
      </c>
      <c r="R88" s="20" t="n">
        <v>0.0707</v>
      </c>
      <c r="S88" s="20" t="n">
        <v>0.2168</v>
      </c>
      <c r="T88" s="20" t="n">
        <v>0.3815</v>
      </c>
      <c r="U88" s="20" t="n">
        <v>0.1146</v>
      </c>
      <c r="V88" s="20" t="n">
        <v>2.0723</v>
      </c>
      <c r="W88" s="20" t="n">
        <v>0.6099</v>
      </c>
      <c r="X88" s="20" t="n">
        <v>0.203</v>
      </c>
      <c r="Y88" s="20" t="n">
        <v>0.0861</v>
      </c>
      <c r="Z88" s="20" t="n">
        <v>0.1375</v>
      </c>
      <c r="AA88" s="20" t="n">
        <v>0.1223</v>
      </c>
      <c r="AB88" s="20" t="n">
        <v>0.046</v>
      </c>
      <c r="AC88" s="20" t="n">
        <v>0.1909</v>
      </c>
      <c r="AD88" s="20" t="n">
        <v>1.1296</v>
      </c>
      <c r="AE88" s="20" t="n">
        <v>0.2067</v>
      </c>
      <c r="AF88" s="20" t="n">
        <v>0.3279</v>
      </c>
      <c r="AG88" s="20" t="n">
        <v>0.1079</v>
      </c>
      <c r="AH88" s="20" t="n">
        <v>0.1487</v>
      </c>
      <c r="AI88" s="20" t="n">
        <v>0.376</v>
      </c>
      <c r="AJ88" s="20" t="n">
        <v>0.2966</v>
      </c>
      <c r="AK88" s="20" t="n">
        <v>0.306</v>
      </c>
      <c r="AL88" s="20" t="n">
        <v>0.1231</v>
      </c>
      <c r="AM88" s="20" t="n">
        <v>0.1236</v>
      </c>
      <c r="AN88" s="20" t="n">
        <v>0.046</v>
      </c>
      <c r="AO88" s="20" t="n">
        <v>0.046</v>
      </c>
      <c r="AP88" s="20" t="n">
        <v>0.046</v>
      </c>
      <c r="AQ88" s="20" t="n">
        <v>0.2138</v>
      </c>
      <c r="AR88" s="20" t="n">
        <v>0.046</v>
      </c>
      <c r="AS88" s="20" t="n">
        <v>0.1451</v>
      </c>
      <c r="AT88" s="20" t="n">
        <v>0.1146</v>
      </c>
      <c r="AU88" s="20" t="n">
        <v>0.046</v>
      </c>
      <c r="AV88" s="20" t="n">
        <v>0.046</v>
      </c>
      <c r="AW88" s="20" t="n">
        <v>0.1924</v>
      </c>
      <c r="AX88" s="20" t="n">
        <v>0.7252</v>
      </c>
    </row>
    <row r="89">
      <c r="A89" s="10" t="inlineStr">
        <is>
          <t>Load_TR2_F5_62</t>
        </is>
      </c>
      <c r="B89" s="12" t="inlineStr">
        <is>
          <t>customer</t>
        </is>
      </c>
      <c r="C89" s="18" t="n">
        <v>0.7194</v>
      </c>
      <c r="D89" s="18" t="n">
        <v>0.5078</v>
      </c>
      <c r="E89" s="18" t="n">
        <v>0.5059</v>
      </c>
      <c r="F89" s="18" t="n">
        <v>0.4831</v>
      </c>
      <c r="G89" s="18" t="n">
        <v>0.1434</v>
      </c>
      <c r="H89" s="18" t="n">
        <v>0.1554</v>
      </c>
      <c r="I89" s="18" t="n">
        <v>0.1978</v>
      </c>
      <c r="J89" s="18" t="n">
        <v>0.1587</v>
      </c>
      <c r="K89" s="18" t="n">
        <v>0.1557</v>
      </c>
      <c r="L89" s="18" t="n">
        <v>0.159</v>
      </c>
      <c r="M89" s="18" t="n">
        <v>0.1485</v>
      </c>
      <c r="N89" s="18" t="n">
        <v>0.2358</v>
      </c>
      <c r="O89" s="18" t="n">
        <v>0.058</v>
      </c>
      <c r="P89" s="18" t="n">
        <v>0.07190000000000001</v>
      </c>
      <c r="Q89" s="18" t="n">
        <v>0.361</v>
      </c>
      <c r="R89" s="18" t="n">
        <v>0.058</v>
      </c>
      <c r="S89" s="18" t="n">
        <v>0.1951</v>
      </c>
      <c r="T89" s="18" t="n">
        <v>0.1892</v>
      </c>
      <c r="U89" s="18" t="n">
        <v>0.2181</v>
      </c>
      <c r="V89" s="18" t="n">
        <v>0.6069</v>
      </c>
      <c r="W89" s="18" t="n">
        <v>0.6304</v>
      </c>
      <c r="X89" s="18" t="n">
        <v>0.1464</v>
      </c>
      <c r="Y89" s="18" t="n">
        <v>0.288</v>
      </c>
      <c r="Z89" s="18" t="n">
        <v>0.2943</v>
      </c>
      <c r="AA89" s="18" t="n">
        <v>0.3549</v>
      </c>
      <c r="AB89" s="18" t="n">
        <v>0.1837</v>
      </c>
      <c r="AC89" s="18" t="n">
        <v>0.1911</v>
      </c>
      <c r="AD89" s="18" t="n">
        <v>0.1579</v>
      </c>
      <c r="AE89" s="18" t="n">
        <v>0.2991</v>
      </c>
      <c r="AF89" s="18" t="n">
        <v>3.0261</v>
      </c>
      <c r="AG89" s="18" t="n">
        <v>2.9471</v>
      </c>
      <c r="AH89" s="18" t="n">
        <v>0.5879</v>
      </c>
      <c r="AI89" s="18" t="n">
        <v>0.2437</v>
      </c>
      <c r="AJ89" s="18" t="n">
        <v>0.3486</v>
      </c>
      <c r="AK89" s="18" t="n">
        <v>0.106</v>
      </c>
      <c r="AL89" s="18" t="n">
        <v>0.2441</v>
      </c>
      <c r="AM89" s="18" t="n">
        <v>0.1431</v>
      </c>
      <c r="AN89" s="18" t="n">
        <v>2.0566</v>
      </c>
      <c r="AO89" s="18" t="n">
        <v>1.7342</v>
      </c>
      <c r="AP89" s="18" t="n">
        <v>0.6827</v>
      </c>
      <c r="AQ89" s="18" t="n">
        <v>0.5982</v>
      </c>
      <c r="AR89" s="18" t="n">
        <v>0.9191</v>
      </c>
      <c r="AS89" s="18" t="n">
        <v>0.7375</v>
      </c>
      <c r="AT89" s="18" t="n">
        <v>0.6437</v>
      </c>
      <c r="AU89" s="18" t="n">
        <v>0.735</v>
      </c>
      <c r="AV89" s="18" t="n">
        <v>0.7823</v>
      </c>
      <c r="AW89" s="18" t="n">
        <v>0.3306</v>
      </c>
      <c r="AX89" s="18" t="n">
        <v>0.2056</v>
      </c>
    </row>
    <row r="90">
      <c r="A90" s="19" t="inlineStr">
        <is>
          <t>Load_TR2_F5_63</t>
        </is>
      </c>
      <c r="B90" s="15" t="inlineStr">
        <is>
          <t>prosumer</t>
        </is>
      </c>
      <c r="C90" s="20" t="n">
        <v>0.86</v>
      </c>
      <c r="D90" s="20" t="n">
        <v>0.6393</v>
      </c>
      <c r="E90" s="20" t="n">
        <v>0.3871</v>
      </c>
      <c r="F90" s="20" t="n">
        <v>0.1919</v>
      </c>
      <c r="G90" s="20" t="n">
        <v>0.1795</v>
      </c>
      <c r="H90" s="20" t="n">
        <v>0.0638</v>
      </c>
      <c r="I90" s="20" t="n">
        <v>0.1887</v>
      </c>
      <c r="J90" s="20" t="n">
        <v>0.0983</v>
      </c>
      <c r="K90" s="20" t="n">
        <v>0.2796</v>
      </c>
      <c r="L90" s="20" t="n">
        <v>0.047</v>
      </c>
      <c r="M90" s="20" t="n">
        <v>0.1336</v>
      </c>
      <c r="N90" s="20" t="n">
        <v>0.2443</v>
      </c>
      <c r="O90" s="20" t="n">
        <v>0.0791</v>
      </c>
      <c r="P90" s="20" t="n">
        <v>0.1923</v>
      </c>
      <c r="Q90" s="20" t="n">
        <v>0.1662</v>
      </c>
      <c r="R90" s="20" t="n">
        <v>0.1433</v>
      </c>
      <c r="S90" s="20" t="n">
        <v>0.2218</v>
      </c>
      <c r="T90" s="20" t="n">
        <v>0.1935</v>
      </c>
      <c r="U90" s="20" t="n">
        <v>0.2036</v>
      </c>
      <c r="V90" s="20" t="n">
        <v>0.2104</v>
      </c>
      <c r="W90" s="20" t="n">
        <v>0.1279</v>
      </c>
      <c r="X90" s="20" t="n">
        <v>0.2186</v>
      </c>
      <c r="Y90" s="20" t="n">
        <v>0.1705</v>
      </c>
      <c r="Z90" s="20" t="n">
        <v>0.0507</v>
      </c>
      <c r="AA90" s="20" t="n">
        <v>0.3087</v>
      </c>
      <c r="AB90" s="20" t="n">
        <v>0.2554</v>
      </c>
      <c r="AC90" s="20" t="n">
        <v>0.2389</v>
      </c>
      <c r="AD90" s="20" t="n">
        <v>0.5085</v>
      </c>
      <c r="AE90" s="20" t="n">
        <v>0.1383</v>
      </c>
      <c r="AF90" s="20" t="n">
        <v>0.0631</v>
      </c>
      <c r="AG90" s="20" t="n">
        <v>0.1876</v>
      </c>
      <c r="AH90" s="20" t="n">
        <v>0.1389</v>
      </c>
      <c r="AI90" s="20" t="n">
        <v>0.0984</v>
      </c>
      <c r="AJ90" s="20" t="n">
        <v>0.0584</v>
      </c>
      <c r="AK90" s="20" t="n">
        <v>0.2978</v>
      </c>
      <c r="AL90" s="20" t="n">
        <v>0.1556</v>
      </c>
      <c r="AM90" s="20" t="n">
        <v>0.4161</v>
      </c>
      <c r="AN90" s="20" t="n">
        <v>0.2502</v>
      </c>
      <c r="AO90" s="20" t="n">
        <v>0.296</v>
      </c>
      <c r="AP90" s="20" t="n">
        <v>0.4988</v>
      </c>
      <c r="AQ90" s="20" t="n">
        <v>0.4578</v>
      </c>
      <c r="AR90" s="20" t="n">
        <v>0.5372</v>
      </c>
      <c r="AS90" s="20" t="n">
        <v>0.6022</v>
      </c>
      <c r="AT90" s="20" t="n">
        <v>0.4648</v>
      </c>
      <c r="AU90" s="20" t="n">
        <v>0.0599</v>
      </c>
      <c r="AV90" s="20" t="n">
        <v>0.1108</v>
      </c>
      <c r="AW90" s="20" t="n">
        <v>0.267</v>
      </c>
      <c r="AX90" s="20" t="n">
        <v>0.0631</v>
      </c>
    </row>
    <row r="91">
      <c r="A91" s="19" t="inlineStr">
        <is>
          <t>Load_TR2_F5_64</t>
        </is>
      </c>
      <c r="B91" s="15" t="inlineStr">
        <is>
          <t>prosumer</t>
        </is>
      </c>
      <c r="C91" s="20" t="n">
        <v>0.053</v>
      </c>
      <c r="D91" s="20" t="n">
        <v>0.1209</v>
      </c>
      <c r="E91" s="20" t="n">
        <v>0.053</v>
      </c>
      <c r="F91" s="20" t="n">
        <v>0.0832</v>
      </c>
      <c r="G91" s="20" t="n">
        <v>0.0907</v>
      </c>
      <c r="H91" s="20" t="n">
        <v>0.053</v>
      </c>
      <c r="I91" s="20" t="n">
        <v>0.1209</v>
      </c>
      <c r="J91" s="20" t="n">
        <v>0.053</v>
      </c>
      <c r="K91" s="20" t="n">
        <v>0.053</v>
      </c>
      <c r="L91" s="20" t="n">
        <v>0.0907</v>
      </c>
      <c r="M91" s="20" t="n">
        <v>0.0832</v>
      </c>
      <c r="N91" s="20" t="n">
        <v>0.1697</v>
      </c>
      <c r="O91" s="20" t="n">
        <v>0.334</v>
      </c>
      <c r="P91" s="20" t="n">
        <v>0.1209</v>
      </c>
      <c r="Q91" s="20" t="n">
        <v>0.053</v>
      </c>
      <c r="R91" s="20" t="n">
        <v>0.08690000000000001</v>
      </c>
      <c r="S91" s="20" t="n">
        <v>0.2702</v>
      </c>
      <c r="T91" s="20" t="n">
        <v>0.2605</v>
      </c>
      <c r="U91" s="20" t="n">
        <v>0.4216</v>
      </c>
      <c r="V91" s="20" t="n">
        <v>0.2504</v>
      </c>
      <c r="W91" s="20" t="n">
        <v>0.3293</v>
      </c>
      <c r="X91" s="20" t="n">
        <v>0.0643</v>
      </c>
      <c r="Y91" s="20" t="n">
        <v>0.06809999999999999</v>
      </c>
      <c r="Z91" s="20" t="n">
        <v>0.1058</v>
      </c>
      <c r="AA91" s="20" t="n">
        <v>0.3334</v>
      </c>
      <c r="AB91" s="20" t="n">
        <v>0.0832</v>
      </c>
      <c r="AC91" s="20" t="n">
        <v>0.053</v>
      </c>
      <c r="AD91" s="20" t="n">
        <v>0.1209</v>
      </c>
      <c r="AE91" s="20" t="n">
        <v>0.0643</v>
      </c>
      <c r="AF91" s="20" t="n">
        <v>0.1096</v>
      </c>
      <c r="AG91" s="20" t="n">
        <v>0.0756</v>
      </c>
      <c r="AH91" s="20" t="n">
        <v>0.0983</v>
      </c>
      <c r="AI91" s="20" t="n">
        <v>0.053</v>
      </c>
      <c r="AJ91" s="20" t="n">
        <v>0.053</v>
      </c>
      <c r="AK91" s="20" t="n">
        <v>0.0945</v>
      </c>
      <c r="AL91" s="20" t="n">
        <v>0.0794</v>
      </c>
      <c r="AM91" s="20" t="n">
        <v>0.155</v>
      </c>
      <c r="AN91" s="20" t="n">
        <v>0.3522</v>
      </c>
      <c r="AO91" s="20" t="n">
        <v>0.0833</v>
      </c>
      <c r="AP91" s="20" t="n">
        <v>0.4538</v>
      </c>
      <c r="AQ91" s="20" t="n">
        <v>0.7806</v>
      </c>
      <c r="AR91" s="20" t="n">
        <v>0.7169</v>
      </c>
      <c r="AS91" s="20" t="n">
        <v>0.5174</v>
      </c>
      <c r="AT91" s="20" t="n">
        <v>0.6187</v>
      </c>
      <c r="AU91" s="20" t="n">
        <v>0.8185</v>
      </c>
      <c r="AV91" s="20" t="n">
        <v>0.7373</v>
      </c>
      <c r="AW91" s="20" t="n">
        <v>0.7022</v>
      </c>
      <c r="AX91" s="20" t="n">
        <v>0.3214</v>
      </c>
    </row>
    <row r="92">
      <c r="A92" s="10" t="inlineStr">
        <is>
          <t>Load_TR2_F5_65</t>
        </is>
      </c>
      <c r="B92" s="12" t="inlineStr">
        <is>
          <t>customer</t>
        </is>
      </c>
      <c r="C92" s="18" t="n">
        <v>0.5521</v>
      </c>
      <c r="D92" s="18" t="n">
        <v>0.2815</v>
      </c>
      <c r="E92" s="18" t="n">
        <v>0.1591</v>
      </c>
      <c r="F92" s="18" t="n">
        <v>0.06469999999999999</v>
      </c>
      <c r="G92" s="18" t="n">
        <v>0.2063</v>
      </c>
      <c r="H92" s="18" t="n">
        <v>0.049</v>
      </c>
      <c r="I92" s="18" t="n">
        <v>0.049</v>
      </c>
      <c r="J92" s="18" t="n">
        <v>0.222</v>
      </c>
      <c r="K92" s="18" t="n">
        <v>0.049</v>
      </c>
      <c r="L92" s="18" t="n">
        <v>0.1512</v>
      </c>
      <c r="M92" s="18" t="n">
        <v>0.1198</v>
      </c>
      <c r="N92" s="18" t="n">
        <v>0.049</v>
      </c>
      <c r="O92" s="18" t="n">
        <v>0.2142</v>
      </c>
      <c r="P92" s="18" t="n">
        <v>0.0569</v>
      </c>
      <c r="Q92" s="18" t="n">
        <v>0.1038</v>
      </c>
      <c r="R92" s="18" t="n">
        <v>0.3551</v>
      </c>
      <c r="S92" s="18" t="n">
        <v>0.1418</v>
      </c>
      <c r="T92" s="18" t="n">
        <v>0.187</v>
      </c>
      <c r="U92" s="18" t="n">
        <v>0.1041</v>
      </c>
      <c r="V92" s="18" t="n">
        <v>0.1041</v>
      </c>
      <c r="W92" s="18" t="n">
        <v>0.167</v>
      </c>
      <c r="X92" s="18" t="n">
        <v>0.0548</v>
      </c>
      <c r="Y92" s="18" t="n">
        <v>0.2509</v>
      </c>
      <c r="Z92" s="18" t="n">
        <v>0.1215</v>
      </c>
      <c r="AA92" s="18" t="n">
        <v>0.1753</v>
      </c>
      <c r="AB92" s="18" t="n">
        <v>0.3081</v>
      </c>
      <c r="AC92" s="18" t="n">
        <v>0.1949</v>
      </c>
      <c r="AD92" s="18" t="n">
        <v>0.5239</v>
      </c>
      <c r="AE92" s="18" t="n">
        <v>0.3965</v>
      </c>
      <c r="AF92" s="18" t="n">
        <v>0.1955</v>
      </c>
      <c r="AG92" s="18" t="n">
        <v>0.3742</v>
      </c>
      <c r="AH92" s="18" t="n">
        <v>0.4365</v>
      </c>
      <c r="AI92" s="18" t="n">
        <v>0.4061</v>
      </c>
      <c r="AJ92" s="18" t="n">
        <v>0.3488</v>
      </c>
      <c r="AK92" s="18" t="n">
        <v>0.3947</v>
      </c>
      <c r="AL92" s="18" t="n">
        <v>0.2598</v>
      </c>
      <c r="AM92" s="18" t="n">
        <v>0.3129</v>
      </c>
      <c r="AN92" s="18" t="n">
        <v>0.3716</v>
      </c>
      <c r="AO92" s="18" t="n">
        <v>1.528</v>
      </c>
      <c r="AP92" s="18" t="n">
        <v>1.2817</v>
      </c>
      <c r="AQ92" s="18" t="n">
        <v>0.7127</v>
      </c>
      <c r="AR92" s="18" t="n">
        <v>0.5118</v>
      </c>
      <c r="AS92" s="18" t="n">
        <v>0.7592</v>
      </c>
      <c r="AT92" s="18" t="n">
        <v>0.4575</v>
      </c>
      <c r="AU92" s="18" t="n">
        <v>0.5331</v>
      </c>
      <c r="AV92" s="18" t="n">
        <v>0.6434</v>
      </c>
      <c r="AW92" s="18" t="n">
        <v>0.6777</v>
      </c>
      <c r="AX92" s="18" t="n">
        <v>0.7769</v>
      </c>
    </row>
    <row r="93">
      <c r="A93" s="19" t="inlineStr">
        <is>
          <t>Load_TR2_F5_66</t>
        </is>
      </c>
      <c r="B93" s="15" t="inlineStr">
        <is>
          <t>prosumer</t>
        </is>
      </c>
      <c r="C93" s="20" t="n">
        <v>0.058</v>
      </c>
      <c r="D93" s="20" t="n">
        <v>0.058</v>
      </c>
      <c r="E93" s="20" t="n">
        <v>0.1607</v>
      </c>
      <c r="F93" s="20" t="n">
        <v>0.1059</v>
      </c>
      <c r="G93" s="20" t="n">
        <v>0.0922</v>
      </c>
      <c r="H93" s="20" t="n">
        <v>0.1744</v>
      </c>
      <c r="I93" s="20" t="n">
        <v>0.058</v>
      </c>
      <c r="J93" s="20" t="n">
        <v>0.2018</v>
      </c>
      <c r="K93" s="20" t="n">
        <v>0.0648</v>
      </c>
      <c r="L93" s="20" t="n">
        <v>0.147</v>
      </c>
      <c r="M93" s="20" t="n">
        <v>0.1196</v>
      </c>
      <c r="N93" s="20" t="n">
        <v>0.058</v>
      </c>
      <c r="O93" s="20" t="n">
        <v>0.1333</v>
      </c>
      <c r="P93" s="20" t="n">
        <v>0.1333</v>
      </c>
      <c r="Q93" s="20" t="n">
        <v>0.058</v>
      </c>
      <c r="R93" s="20" t="n">
        <v>0.1744</v>
      </c>
      <c r="S93" s="20" t="n">
        <v>0.0922</v>
      </c>
      <c r="T93" s="20" t="n">
        <v>0.058</v>
      </c>
      <c r="U93" s="20" t="n">
        <v>0.2087</v>
      </c>
      <c r="V93" s="20" t="n">
        <v>0.2113</v>
      </c>
      <c r="W93" s="20" t="n">
        <v>0.3668</v>
      </c>
      <c r="X93" s="20" t="n">
        <v>0.4278</v>
      </c>
      <c r="Y93" s="20" t="n">
        <v>0.4249</v>
      </c>
      <c r="Z93" s="20" t="n">
        <v>4.231</v>
      </c>
      <c r="AA93" s="20" t="n">
        <v>3.2232</v>
      </c>
      <c r="AB93" s="20" t="n">
        <v>0.6594</v>
      </c>
      <c r="AC93" s="20" t="n">
        <v>0.3335</v>
      </c>
      <c r="AD93" s="20" t="n">
        <v>0.8885</v>
      </c>
      <c r="AE93" s="20" t="n">
        <v>0.9344</v>
      </c>
      <c r="AF93" s="20" t="n">
        <v>0.3753</v>
      </c>
      <c r="AG93" s="20" t="n">
        <v>0.3559</v>
      </c>
      <c r="AH93" s="20" t="n">
        <v>0.8294</v>
      </c>
      <c r="AI93" s="20" t="n">
        <v>0.2697</v>
      </c>
      <c r="AJ93" s="20" t="n">
        <v>0.2867</v>
      </c>
      <c r="AK93" s="20" t="n">
        <v>0.3644</v>
      </c>
      <c r="AL93" s="20" t="n">
        <v>0.2343</v>
      </c>
      <c r="AM93" s="20" t="n">
        <v>0.386</v>
      </c>
      <c r="AN93" s="20" t="n">
        <v>0.4537</v>
      </c>
      <c r="AO93" s="20" t="n">
        <v>0.1402</v>
      </c>
      <c r="AP93" s="20" t="n">
        <v>0.058</v>
      </c>
      <c r="AQ93" s="20" t="n">
        <v>0.1607</v>
      </c>
      <c r="AR93" s="20" t="n">
        <v>0.1059</v>
      </c>
      <c r="AS93" s="20" t="n">
        <v>1.0091</v>
      </c>
      <c r="AT93" s="20" t="n">
        <v>1.0617</v>
      </c>
      <c r="AU93" s="20" t="n">
        <v>0.058</v>
      </c>
      <c r="AV93" s="20" t="n">
        <v>0.1881</v>
      </c>
      <c r="AW93" s="20" t="n">
        <v>0.0785</v>
      </c>
      <c r="AX93" s="20" t="n">
        <v>0.058</v>
      </c>
    </row>
    <row r="94">
      <c r="A94" s="19" t="inlineStr">
        <is>
          <t>Load_TR2_F5_67</t>
        </is>
      </c>
      <c r="B94" s="15" t="inlineStr">
        <is>
          <t>prosumer</t>
        </is>
      </c>
      <c r="C94" s="20" t="n">
        <v>0.049</v>
      </c>
      <c r="D94" s="20" t="n">
        <v>0.049</v>
      </c>
      <c r="E94" s="20" t="n">
        <v>0.1479</v>
      </c>
      <c r="F94" s="20" t="n">
        <v>0.0737</v>
      </c>
      <c r="G94" s="20" t="n">
        <v>0.049</v>
      </c>
      <c r="H94" s="20" t="n">
        <v>0.049</v>
      </c>
      <c r="I94" s="20" t="n">
        <v>0.1726</v>
      </c>
      <c r="J94" s="20" t="n">
        <v>0.049</v>
      </c>
      <c r="K94" s="20" t="n">
        <v>0.049</v>
      </c>
      <c r="L94" s="20" t="n">
        <v>0.1541</v>
      </c>
      <c r="M94" s="20" t="n">
        <v>0.0675</v>
      </c>
      <c r="N94" s="20" t="n">
        <v>0.049</v>
      </c>
      <c r="O94" s="20" t="n">
        <v>0.1726</v>
      </c>
      <c r="P94" s="20" t="n">
        <v>0.049</v>
      </c>
      <c r="Q94" s="20" t="n">
        <v>0.049</v>
      </c>
      <c r="R94" s="20" t="n">
        <v>0.0595</v>
      </c>
      <c r="S94" s="20" t="n">
        <v>1.3601</v>
      </c>
      <c r="T94" s="20" t="n">
        <v>0.916</v>
      </c>
      <c r="U94" s="20" t="n">
        <v>1.1712</v>
      </c>
      <c r="V94" s="20" t="n">
        <v>0.049</v>
      </c>
      <c r="W94" s="20" t="n">
        <v>0.1726</v>
      </c>
      <c r="X94" s="20" t="n">
        <v>0.049</v>
      </c>
      <c r="Y94" s="20" t="n">
        <v>0.1479</v>
      </c>
      <c r="Z94" s="20" t="n">
        <v>0.0737</v>
      </c>
      <c r="AA94" s="20" t="n">
        <v>0.049</v>
      </c>
      <c r="AB94" s="20" t="n">
        <v>0.09229999999999999</v>
      </c>
      <c r="AC94" s="20" t="n">
        <v>0.1293</v>
      </c>
      <c r="AD94" s="20" t="n">
        <v>0.09229999999999999</v>
      </c>
      <c r="AE94" s="20" t="n">
        <v>0.1293</v>
      </c>
      <c r="AF94" s="20" t="n">
        <v>0.057</v>
      </c>
      <c r="AG94" s="20" t="n">
        <v>0.312</v>
      </c>
      <c r="AH94" s="20" t="n">
        <v>1.8827</v>
      </c>
      <c r="AI94" s="20" t="n">
        <v>2.6091</v>
      </c>
      <c r="AJ94" s="20" t="n">
        <v>2.8747</v>
      </c>
      <c r="AK94" s="20" t="n">
        <v>0.3944</v>
      </c>
      <c r="AL94" s="20" t="n">
        <v>0.1003</v>
      </c>
      <c r="AM94" s="20" t="n">
        <v>0.3606</v>
      </c>
      <c r="AN94" s="20" t="n">
        <v>0.049</v>
      </c>
      <c r="AO94" s="20" t="n">
        <v>0.049</v>
      </c>
      <c r="AP94" s="20" t="n">
        <v>0.1602</v>
      </c>
      <c r="AQ94" s="20" t="n">
        <v>0.0614</v>
      </c>
      <c r="AR94" s="20" t="n">
        <v>0.0552</v>
      </c>
      <c r="AS94" s="20" t="n">
        <v>0.1664</v>
      </c>
      <c r="AT94" s="20" t="n">
        <v>0.0552</v>
      </c>
      <c r="AU94" s="20" t="n">
        <v>0.1664</v>
      </c>
      <c r="AV94" s="20" t="n">
        <v>0.049</v>
      </c>
      <c r="AW94" s="20" t="n">
        <v>0.049</v>
      </c>
      <c r="AX94" s="20" t="n">
        <v>0.0675</v>
      </c>
    </row>
    <row r="95">
      <c r="A95" s="10" t="inlineStr">
        <is>
          <t>Load_TR2_F5_68</t>
        </is>
      </c>
      <c r="B95" s="12" t="inlineStr">
        <is>
          <t>customer</t>
        </is>
      </c>
      <c r="C95" s="18" t="n">
        <v>0.05</v>
      </c>
      <c r="D95" s="18" t="n">
        <v>0.1212</v>
      </c>
      <c r="E95" s="18" t="n">
        <v>0.1035</v>
      </c>
      <c r="F95" s="18" t="n">
        <v>0.0856</v>
      </c>
      <c r="G95" s="18" t="n">
        <v>0.0856</v>
      </c>
      <c r="H95" s="18" t="n">
        <v>0.05</v>
      </c>
      <c r="I95" s="18" t="n">
        <v>0.1212</v>
      </c>
      <c r="J95" s="18" t="n">
        <v>0.0579</v>
      </c>
      <c r="K95" s="18" t="n">
        <v>0.1133</v>
      </c>
      <c r="L95" s="18" t="n">
        <v>0.0658</v>
      </c>
      <c r="M95" s="18" t="n">
        <v>0.1054</v>
      </c>
      <c r="N95" s="18" t="n">
        <v>0.05</v>
      </c>
      <c r="O95" s="18" t="n">
        <v>0.1212</v>
      </c>
      <c r="P95" s="18" t="n">
        <v>0.05</v>
      </c>
      <c r="Q95" s="18" t="n">
        <v>0.1212</v>
      </c>
      <c r="R95" s="18" t="n">
        <v>0.05</v>
      </c>
      <c r="S95" s="18" t="n">
        <v>1.39</v>
      </c>
      <c r="T95" s="18" t="n">
        <v>1.9818</v>
      </c>
      <c r="U95" s="18" t="n">
        <v>0.0929</v>
      </c>
      <c r="V95" s="18" t="n">
        <v>0.0774</v>
      </c>
      <c r="W95" s="18" t="n">
        <v>0.1707</v>
      </c>
      <c r="X95" s="18" t="n">
        <v>0.2122</v>
      </c>
      <c r="Y95" s="18" t="n">
        <v>0.0968</v>
      </c>
      <c r="Z95" s="18" t="n">
        <v>0.05</v>
      </c>
      <c r="AA95" s="18" t="n">
        <v>0.0896</v>
      </c>
      <c r="AB95" s="18" t="n">
        <v>0.08169999999999999</v>
      </c>
      <c r="AC95" s="18" t="n">
        <v>0.2458</v>
      </c>
      <c r="AD95" s="18" t="n">
        <v>0.1391</v>
      </c>
      <c r="AE95" s="18" t="n">
        <v>0.1542</v>
      </c>
      <c r="AF95" s="18" t="n">
        <v>0.1648</v>
      </c>
      <c r="AG95" s="18" t="n">
        <v>0.1973</v>
      </c>
      <c r="AH95" s="18" t="n">
        <v>0.1982</v>
      </c>
      <c r="AI95" s="18" t="n">
        <v>0.0716</v>
      </c>
      <c r="AJ95" s="18" t="n">
        <v>0.076</v>
      </c>
      <c r="AK95" s="18" t="n">
        <v>0.0551</v>
      </c>
      <c r="AL95" s="18" t="n">
        <v>0.1707</v>
      </c>
      <c r="AM95" s="18" t="n">
        <v>0.1268</v>
      </c>
      <c r="AN95" s="18" t="n">
        <v>0.157</v>
      </c>
      <c r="AO95" s="18" t="n">
        <v>0.3465</v>
      </c>
      <c r="AP95" s="18" t="n">
        <v>0.1677</v>
      </c>
      <c r="AQ95" s="18" t="n">
        <v>0.1565</v>
      </c>
      <c r="AR95" s="18" t="n">
        <v>0.31</v>
      </c>
      <c r="AS95" s="18" t="n">
        <v>0.383</v>
      </c>
      <c r="AT95" s="18" t="n">
        <v>0.4626</v>
      </c>
      <c r="AU95" s="18" t="n">
        <v>0.3291</v>
      </c>
      <c r="AV95" s="18" t="n">
        <v>0.1124</v>
      </c>
      <c r="AW95" s="18" t="n">
        <v>0.1212</v>
      </c>
      <c r="AX95" s="18" t="n">
        <v>0.0579</v>
      </c>
    </row>
    <row r="96">
      <c r="A96" s="19" t="inlineStr">
        <is>
          <t>Load_TR2_F5_7</t>
        </is>
      </c>
      <c r="B96" s="15" t="inlineStr">
        <is>
          <t>prosumer</t>
        </is>
      </c>
      <c r="C96" s="20" t="n">
        <v>0.2349</v>
      </c>
      <c r="D96" s="20" t="n">
        <v>0.2027</v>
      </c>
      <c r="E96" s="20" t="n">
        <v>0.0997</v>
      </c>
      <c r="F96" s="20" t="n">
        <v>0.2026</v>
      </c>
      <c r="G96" s="20" t="n">
        <v>0.2707</v>
      </c>
      <c r="H96" s="20" t="n">
        <v>0.2481</v>
      </c>
      <c r="I96" s="20" t="n">
        <v>0.0621</v>
      </c>
      <c r="J96" s="20" t="n">
        <v>0.3275</v>
      </c>
      <c r="K96" s="20" t="n">
        <v>0.1652</v>
      </c>
      <c r="L96" s="20" t="n">
        <v>0.2447</v>
      </c>
      <c r="M96" s="20" t="n">
        <v>0.1549</v>
      </c>
      <c r="N96" s="20" t="n">
        <v>0.2182</v>
      </c>
      <c r="O96" s="20" t="n">
        <v>0.1106</v>
      </c>
      <c r="P96" s="20" t="n">
        <v>0.1517</v>
      </c>
      <c r="Q96" s="20" t="n">
        <v>0.286</v>
      </c>
      <c r="R96" s="20" t="n">
        <v>0.1171</v>
      </c>
      <c r="S96" s="20" t="n">
        <v>0.9321</v>
      </c>
      <c r="T96" s="20" t="n">
        <v>0.6561</v>
      </c>
      <c r="U96" s="20" t="n">
        <v>0.3224</v>
      </c>
      <c r="V96" s="20" t="n">
        <v>0.1856</v>
      </c>
      <c r="W96" s="20" t="n">
        <v>0.2775</v>
      </c>
      <c r="X96" s="20" t="n">
        <v>0.2257</v>
      </c>
      <c r="Y96" s="20" t="n">
        <v>0.1262</v>
      </c>
      <c r="Z96" s="20" t="n">
        <v>0.371</v>
      </c>
      <c r="AA96" s="20" t="n">
        <v>0.0675</v>
      </c>
      <c r="AB96" s="20" t="n">
        <v>0.1504</v>
      </c>
      <c r="AC96" s="20" t="n">
        <v>0.336</v>
      </c>
      <c r="AD96" s="20" t="n">
        <v>0.1594</v>
      </c>
      <c r="AE96" s="20" t="n">
        <v>0.1549</v>
      </c>
      <c r="AF96" s="20" t="n">
        <v>0.1536</v>
      </c>
      <c r="AG96" s="20" t="n">
        <v>0.1106</v>
      </c>
      <c r="AH96" s="20" t="n">
        <v>0.2385</v>
      </c>
      <c r="AI96" s="20" t="n">
        <v>0.25</v>
      </c>
      <c r="AJ96" s="20" t="n">
        <v>0.4256</v>
      </c>
      <c r="AK96" s="20" t="n">
        <v>0.1118</v>
      </c>
      <c r="AL96" s="20" t="n">
        <v>0.3442</v>
      </c>
      <c r="AM96" s="20" t="n">
        <v>0.1539</v>
      </c>
      <c r="AN96" s="20" t="n">
        <v>0.2388</v>
      </c>
      <c r="AO96" s="20" t="n">
        <v>0.3488</v>
      </c>
      <c r="AP96" s="20" t="n">
        <v>0.7848000000000001</v>
      </c>
      <c r="AQ96" s="20" t="n">
        <v>0.9173</v>
      </c>
      <c r="AR96" s="20" t="n">
        <v>0.635</v>
      </c>
      <c r="AS96" s="20" t="n">
        <v>0.8784</v>
      </c>
      <c r="AT96" s="20" t="n">
        <v>0.6322</v>
      </c>
      <c r="AU96" s="20" t="n">
        <v>0.6929999999999999</v>
      </c>
      <c r="AV96" s="20" t="n">
        <v>0.8428</v>
      </c>
      <c r="AW96" s="20" t="n">
        <v>0.7015</v>
      </c>
      <c r="AX96" s="20" t="n">
        <v>0.6851</v>
      </c>
    </row>
    <row r="97">
      <c r="A97" s="10" t="inlineStr">
        <is>
          <t>Load_TR2_F5_8</t>
        </is>
      </c>
      <c r="B97" s="12" t="inlineStr">
        <is>
          <t>customer</t>
        </is>
      </c>
      <c r="C97" s="18" t="n">
        <v>0.05</v>
      </c>
      <c r="D97" s="18" t="n">
        <v>0.1306</v>
      </c>
      <c r="E97" s="18" t="n">
        <v>0.05</v>
      </c>
      <c r="F97" s="18" t="n">
        <v>0.05</v>
      </c>
      <c r="G97" s="18" t="n">
        <v>0.05</v>
      </c>
      <c r="H97" s="18" t="n">
        <v>0.1306</v>
      </c>
      <c r="I97" s="18" t="n">
        <v>0.05</v>
      </c>
      <c r="J97" s="18" t="n">
        <v>0.0679</v>
      </c>
      <c r="K97" s="18" t="n">
        <v>0.1127</v>
      </c>
      <c r="L97" s="18" t="n">
        <v>0.05</v>
      </c>
      <c r="M97" s="18" t="n">
        <v>0.1306</v>
      </c>
      <c r="N97" s="18" t="n">
        <v>0.05</v>
      </c>
      <c r="O97" s="18" t="n">
        <v>0.1306</v>
      </c>
      <c r="P97" s="18" t="n">
        <v>0.05</v>
      </c>
      <c r="Q97" s="18" t="n">
        <v>0.1261</v>
      </c>
      <c r="R97" s="18" t="n">
        <v>0.0545</v>
      </c>
      <c r="S97" s="18" t="n">
        <v>0.1037</v>
      </c>
      <c r="T97" s="18" t="n">
        <v>0.0769</v>
      </c>
      <c r="U97" s="18" t="n">
        <v>0.2938</v>
      </c>
      <c r="V97" s="18" t="n">
        <v>0.1427</v>
      </c>
      <c r="W97" s="18" t="n">
        <v>0.05</v>
      </c>
      <c r="X97" s="18" t="n">
        <v>0.1306</v>
      </c>
      <c r="Y97" s="18" t="n">
        <v>0.05</v>
      </c>
      <c r="Z97" s="18" t="n">
        <v>0.1306</v>
      </c>
      <c r="AA97" s="18" t="n">
        <v>0.05</v>
      </c>
      <c r="AB97" s="18" t="n">
        <v>0.05</v>
      </c>
      <c r="AC97" s="18" t="n">
        <v>0.1261</v>
      </c>
      <c r="AD97" s="18" t="n">
        <v>0.2777</v>
      </c>
      <c r="AE97" s="18" t="n">
        <v>0.1306</v>
      </c>
      <c r="AF97" s="18" t="n">
        <v>0.05</v>
      </c>
      <c r="AG97" s="18" t="n">
        <v>0.1192</v>
      </c>
      <c r="AH97" s="18" t="n">
        <v>0.1124</v>
      </c>
      <c r="AI97" s="18" t="n">
        <v>0.3021</v>
      </c>
      <c r="AJ97" s="18" t="n">
        <v>0.2299</v>
      </c>
      <c r="AK97" s="18" t="n">
        <v>0.4779</v>
      </c>
      <c r="AL97" s="18" t="n">
        <v>0.8079</v>
      </c>
      <c r="AM97" s="18" t="n">
        <v>0.1913</v>
      </c>
      <c r="AN97" s="18" t="n">
        <v>0.8334</v>
      </c>
      <c r="AO97" s="18" t="n">
        <v>0.3842</v>
      </c>
      <c r="AP97" s="18" t="n">
        <v>1.5918</v>
      </c>
      <c r="AQ97" s="18" t="n">
        <v>0.2414</v>
      </c>
      <c r="AR97" s="18" t="n">
        <v>2.0483</v>
      </c>
      <c r="AS97" s="18" t="n">
        <v>1.4865</v>
      </c>
      <c r="AT97" s="18" t="n">
        <v>0.6139</v>
      </c>
      <c r="AU97" s="18" t="n">
        <v>0.3339</v>
      </c>
      <c r="AV97" s="18" t="n">
        <v>0.6353</v>
      </c>
      <c r="AW97" s="18" t="n">
        <v>0.9645</v>
      </c>
      <c r="AX97" s="18" t="n">
        <v>0.059</v>
      </c>
    </row>
    <row r="98">
      <c r="A98" s="10" t="inlineStr">
        <is>
          <t>Load_TR2_F5_9</t>
        </is>
      </c>
      <c r="B98" s="12" t="inlineStr">
        <is>
          <t>customer</t>
        </is>
      </c>
      <c r="C98" s="18" t="n">
        <v>0.2153</v>
      </c>
      <c r="D98" s="18" t="n">
        <v>0.2253</v>
      </c>
      <c r="E98" s="18" t="n">
        <v>0.05</v>
      </c>
      <c r="F98" s="18" t="n">
        <v>0.2907</v>
      </c>
      <c r="G98" s="18" t="n">
        <v>0.1499</v>
      </c>
      <c r="H98" s="18" t="n">
        <v>0.1213</v>
      </c>
      <c r="I98" s="18" t="n">
        <v>0.3096</v>
      </c>
      <c r="J98" s="18" t="n">
        <v>0.0596</v>
      </c>
      <c r="K98" s="18" t="n">
        <v>0.2815</v>
      </c>
      <c r="L98" s="18" t="n">
        <v>0.1591</v>
      </c>
      <c r="M98" s="18" t="n">
        <v>0.1501</v>
      </c>
      <c r="N98" s="18" t="n">
        <v>0.204</v>
      </c>
      <c r="O98" s="18" t="n">
        <v>0.09320000000000001</v>
      </c>
      <c r="P98" s="18" t="n">
        <v>0.3003</v>
      </c>
      <c r="Q98" s="18" t="n">
        <v>0.1692</v>
      </c>
      <c r="R98" s="18" t="n">
        <v>0.0644</v>
      </c>
      <c r="S98" s="18" t="n">
        <v>0.1597</v>
      </c>
      <c r="T98" s="18" t="n">
        <v>0.2425</v>
      </c>
      <c r="U98" s="18" t="n">
        <v>0.08840000000000001</v>
      </c>
      <c r="V98" s="18" t="n">
        <v>0.2612</v>
      </c>
      <c r="W98" s="18" t="n">
        <v>0.1054</v>
      </c>
      <c r="X98" s="18" t="n">
        <v>0.082</v>
      </c>
      <c r="Y98" s="18" t="n">
        <v>0.245</v>
      </c>
      <c r="Z98" s="18" t="n">
        <v>0.1805</v>
      </c>
      <c r="AA98" s="18" t="n">
        <v>1.3452</v>
      </c>
      <c r="AB98" s="18" t="n">
        <v>0.2911</v>
      </c>
      <c r="AC98" s="18" t="n">
        <v>0.5263</v>
      </c>
      <c r="AD98" s="18" t="n">
        <v>0.5608</v>
      </c>
      <c r="AE98" s="18" t="n">
        <v>1.2779</v>
      </c>
      <c r="AF98" s="18" t="n">
        <v>0.303</v>
      </c>
      <c r="AG98" s="18" t="n">
        <v>0.371</v>
      </c>
      <c r="AH98" s="18" t="n">
        <v>0.3514</v>
      </c>
      <c r="AI98" s="18" t="n">
        <v>0.339</v>
      </c>
      <c r="AJ98" s="18" t="n">
        <v>0.1475</v>
      </c>
      <c r="AK98" s="18" t="n">
        <v>0.1724</v>
      </c>
      <c r="AL98" s="18" t="n">
        <v>0.3125</v>
      </c>
      <c r="AM98" s="18" t="n">
        <v>0.2812</v>
      </c>
      <c r="AN98" s="18" t="n">
        <v>0.5006</v>
      </c>
      <c r="AO98" s="18" t="n">
        <v>0.7825</v>
      </c>
      <c r="AP98" s="18" t="n">
        <v>0.5096000000000001</v>
      </c>
      <c r="AQ98" s="18" t="n">
        <v>0.6379</v>
      </c>
      <c r="AR98" s="18" t="n">
        <v>0.6434</v>
      </c>
      <c r="AS98" s="18" t="n">
        <v>0.6601</v>
      </c>
      <c r="AT98" s="18" t="n">
        <v>0.4017</v>
      </c>
      <c r="AU98" s="18" t="n">
        <v>0.5506</v>
      </c>
      <c r="AV98" s="18" t="n">
        <v>0.2345</v>
      </c>
      <c r="AW98" s="18" t="n">
        <v>0.1145</v>
      </c>
      <c r="AX98" s="18" t="n">
        <v>0.2785</v>
      </c>
    </row>
    <row r="99">
      <c r="A99" s="19" t="inlineStr">
        <is>
          <t>Load_TR2_F6_1</t>
        </is>
      </c>
      <c r="B99" s="15" t="inlineStr">
        <is>
          <t>prosumer</t>
        </is>
      </c>
      <c r="C99" s="20" t="n">
        <v>0.2731</v>
      </c>
      <c r="D99" s="20" t="n">
        <v>0.2496</v>
      </c>
      <c r="E99" s="20" t="n">
        <v>0.1669</v>
      </c>
      <c r="F99" s="20" t="n">
        <v>0.0764</v>
      </c>
      <c r="G99" s="20" t="n">
        <v>0.3924</v>
      </c>
      <c r="H99" s="20" t="n">
        <v>0.1304</v>
      </c>
      <c r="I99" s="20" t="n">
        <v>0.1228</v>
      </c>
      <c r="J99" s="20" t="n">
        <v>0.2707</v>
      </c>
      <c r="K99" s="20" t="n">
        <v>0.1863</v>
      </c>
      <c r="L99" s="20" t="n">
        <v>0.2731</v>
      </c>
      <c r="M99" s="20" t="n">
        <v>0.1203</v>
      </c>
      <c r="N99" s="20" t="n">
        <v>0.057</v>
      </c>
      <c r="O99" s="20" t="n">
        <v>0.2137</v>
      </c>
      <c r="P99" s="20" t="n">
        <v>0.2268</v>
      </c>
      <c r="Q99" s="20" t="n">
        <v>0.1885</v>
      </c>
      <c r="R99" s="20" t="n">
        <v>0.1127</v>
      </c>
      <c r="S99" s="20" t="n">
        <v>0.1798</v>
      </c>
      <c r="T99" s="20" t="n">
        <v>0.3365</v>
      </c>
      <c r="U99" s="20" t="n">
        <v>0.057</v>
      </c>
      <c r="V99" s="20" t="n">
        <v>0.1692</v>
      </c>
      <c r="W99" s="20" t="n">
        <v>0.3535</v>
      </c>
      <c r="X99" s="20" t="n">
        <v>0.057</v>
      </c>
      <c r="Y99" s="20" t="n">
        <v>0.1639</v>
      </c>
      <c r="Z99" s="20" t="n">
        <v>0.2554</v>
      </c>
      <c r="AA99" s="20" t="n">
        <v>0.2272</v>
      </c>
      <c r="AB99" s="20" t="n">
        <v>0.3779</v>
      </c>
      <c r="AC99" s="20" t="n">
        <v>0.5374</v>
      </c>
      <c r="AD99" s="20" t="n">
        <v>0.3346</v>
      </c>
      <c r="AE99" s="20" t="n">
        <v>1.7766</v>
      </c>
      <c r="AF99" s="20" t="n">
        <v>0.1971</v>
      </c>
      <c r="AG99" s="20" t="n">
        <v>0.4553</v>
      </c>
      <c r="AH99" s="20" t="n">
        <v>0.1867</v>
      </c>
      <c r="AI99" s="20" t="n">
        <v>0.057</v>
      </c>
      <c r="AJ99" s="20" t="n">
        <v>0.3224</v>
      </c>
      <c r="AK99" s="20" t="n">
        <v>0.0711</v>
      </c>
      <c r="AL99" s="20" t="n">
        <v>0.1281</v>
      </c>
      <c r="AM99" s="20" t="n">
        <v>0.296</v>
      </c>
      <c r="AN99" s="20" t="n">
        <v>0.1815</v>
      </c>
      <c r="AO99" s="20" t="n">
        <v>0.259</v>
      </c>
      <c r="AP99" s="20" t="n">
        <v>0.2379</v>
      </c>
      <c r="AQ99" s="20" t="n">
        <v>0.1104</v>
      </c>
      <c r="AR99" s="20" t="n">
        <v>0.4041</v>
      </c>
      <c r="AS99" s="20" t="n">
        <v>0.0911</v>
      </c>
      <c r="AT99" s="20" t="n">
        <v>0.259</v>
      </c>
      <c r="AU99" s="20" t="n">
        <v>0.2379</v>
      </c>
      <c r="AV99" s="20" t="n">
        <v>0.2086</v>
      </c>
      <c r="AW99" s="20" t="n">
        <v>0.2649</v>
      </c>
      <c r="AX99" s="20" t="n">
        <v>0.2128</v>
      </c>
    </row>
    <row r="100">
      <c r="A100" s="19" t="inlineStr">
        <is>
          <t>Load_TR2_F6_10</t>
        </is>
      </c>
      <c r="B100" s="15" t="inlineStr">
        <is>
          <t>prosumer</t>
        </is>
      </c>
      <c r="C100" s="20" t="n">
        <v>0.1562</v>
      </c>
      <c r="D100" s="20" t="n">
        <v>0.054</v>
      </c>
      <c r="E100" s="20" t="n">
        <v>0.054</v>
      </c>
      <c r="F100" s="20" t="n">
        <v>0.164</v>
      </c>
      <c r="G100" s="20" t="n">
        <v>0.054</v>
      </c>
      <c r="H100" s="20" t="n">
        <v>0.164</v>
      </c>
      <c r="I100" s="20" t="n">
        <v>0.054</v>
      </c>
      <c r="J100" s="20" t="n">
        <v>0.054</v>
      </c>
      <c r="K100" s="20" t="n">
        <v>0.109</v>
      </c>
      <c r="L100" s="20" t="n">
        <v>0.109</v>
      </c>
      <c r="M100" s="20" t="n">
        <v>0.054</v>
      </c>
      <c r="N100" s="20" t="n">
        <v>0.164</v>
      </c>
      <c r="O100" s="20" t="n">
        <v>0.054</v>
      </c>
      <c r="P100" s="20" t="n">
        <v>0.054</v>
      </c>
      <c r="Q100" s="20" t="n">
        <v>0.4</v>
      </c>
      <c r="R100" s="20" t="n">
        <v>0.2661</v>
      </c>
      <c r="S100" s="20" t="n">
        <v>0.1978</v>
      </c>
      <c r="T100" s="20" t="n">
        <v>0.1937</v>
      </c>
      <c r="U100" s="20" t="n">
        <v>0.233</v>
      </c>
      <c r="V100" s="20" t="n">
        <v>0.2682</v>
      </c>
      <c r="W100" s="20" t="n">
        <v>0.1969</v>
      </c>
      <c r="X100" s="20" t="n">
        <v>0.3088</v>
      </c>
      <c r="Y100" s="20" t="n">
        <v>0.2381</v>
      </c>
      <c r="Z100" s="20" t="n">
        <v>0.054</v>
      </c>
      <c r="AA100" s="20" t="n">
        <v>0.2572</v>
      </c>
      <c r="AB100" s="20" t="n">
        <v>0.3115</v>
      </c>
      <c r="AC100" s="20" t="n">
        <v>0.054</v>
      </c>
      <c r="AD100" s="20" t="n">
        <v>0.164</v>
      </c>
      <c r="AE100" s="20" t="n">
        <v>0.054</v>
      </c>
      <c r="AF100" s="20" t="n">
        <v>0.054</v>
      </c>
      <c r="AG100" s="20" t="n">
        <v>0.054</v>
      </c>
      <c r="AH100" s="20" t="n">
        <v>0.164</v>
      </c>
      <c r="AI100" s="20" t="n">
        <v>0.054</v>
      </c>
      <c r="AJ100" s="20" t="n">
        <v>0.09329999999999999</v>
      </c>
      <c r="AK100" s="20" t="n">
        <v>0.1247</v>
      </c>
      <c r="AL100" s="20" t="n">
        <v>0.054</v>
      </c>
      <c r="AM100" s="20" t="n">
        <v>0.2963</v>
      </c>
      <c r="AN100" s="20" t="n">
        <v>1.7298</v>
      </c>
      <c r="AO100" s="20" t="n">
        <v>2.311</v>
      </c>
      <c r="AP100" s="20" t="n">
        <v>1.0317</v>
      </c>
      <c r="AQ100" s="20" t="n">
        <v>0.4094</v>
      </c>
      <c r="AR100" s="20" t="n">
        <v>1.2764</v>
      </c>
      <c r="AS100" s="20" t="n">
        <v>0.6643</v>
      </c>
      <c r="AT100" s="20" t="n">
        <v>0.6859</v>
      </c>
      <c r="AU100" s="20" t="n">
        <v>0.6326000000000001</v>
      </c>
      <c r="AV100" s="20" t="n">
        <v>0.6116</v>
      </c>
      <c r="AW100" s="20" t="n">
        <v>0.3303</v>
      </c>
      <c r="AX100" s="20" t="n">
        <v>0.7015</v>
      </c>
    </row>
    <row r="101">
      <c r="A101" s="19" t="inlineStr">
        <is>
          <t>Load_TR2_F6_11</t>
        </is>
      </c>
      <c r="B101" s="15" t="inlineStr">
        <is>
          <t>prosumer</t>
        </is>
      </c>
      <c r="C101" s="20" t="n">
        <v>0.5301</v>
      </c>
      <c r="D101" s="20" t="n">
        <v>0.3633</v>
      </c>
      <c r="E101" s="20" t="n">
        <v>0.8709</v>
      </c>
      <c r="F101" s="20" t="n">
        <v>0.3093</v>
      </c>
      <c r="G101" s="20" t="n">
        <v>0.044</v>
      </c>
      <c r="H101" s="20" t="n">
        <v>0.1915</v>
      </c>
      <c r="I101" s="20" t="n">
        <v>0.0673</v>
      </c>
      <c r="J101" s="20" t="n">
        <v>0.044</v>
      </c>
      <c r="K101" s="20" t="n">
        <v>0.1915</v>
      </c>
      <c r="L101" s="20" t="n">
        <v>0.0673</v>
      </c>
      <c r="M101" s="20" t="n">
        <v>0.044</v>
      </c>
      <c r="N101" s="20" t="n">
        <v>0.2071</v>
      </c>
      <c r="O101" s="20" t="n">
        <v>0.0518</v>
      </c>
      <c r="P101" s="20" t="n">
        <v>0.0536</v>
      </c>
      <c r="Q101" s="20" t="n">
        <v>0.1437</v>
      </c>
      <c r="R101" s="20" t="n">
        <v>0.1572</v>
      </c>
      <c r="S101" s="20" t="n">
        <v>0.044</v>
      </c>
      <c r="T101" s="20" t="n">
        <v>0.0906</v>
      </c>
      <c r="U101" s="20" t="n">
        <v>0.1742</v>
      </c>
      <c r="V101" s="20" t="n">
        <v>1.714</v>
      </c>
      <c r="W101" s="20" t="n">
        <v>0.2661</v>
      </c>
      <c r="X101" s="20" t="n">
        <v>0.08890000000000001</v>
      </c>
      <c r="Y101" s="20" t="n">
        <v>0.1585</v>
      </c>
      <c r="Z101" s="20" t="n">
        <v>0.244</v>
      </c>
      <c r="AA101" s="20" t="n">
        <v>0.3715</v>
      </c>
      <c r="AB101" s="20" t="n">
        <v>0.2586</v>
      </c>
      <c r="AC101" s="20" t="n">
        <v>0.2038</v>
      </c>
      <c r="AD101" s="20" t="n">
        <v>0.2873</v>
      </c>
      <c r="AE101" s="20" t="n">
        <v>0.3967</v>
      </c>
      <c r="AF101" s="20" t="n">
        <v>0.4102</v>
      </c>
      <c r="AG101" s="20" t="n">
        <v>0.402</v>
      </c>
      <c r="AH101" s="20" t="n">
        <v>0.3089</v>
      </c>
      <c r="AI101" s="20" t="n">
        <v>0.2364</v>
      </c>
      <c r="AJ101" s="20" t="n">
        <v>0.3193</v>
      </c>
      <c r="AK101" s="20" t="n">
        <v>0.2056</v>
      </c>
      <c r="AL101" s="20" t="n">
        <v>0.2989</v>
      </c>
      <c r="AM101" s="20" t="n">
        <v>0.3296</v>
      </c>
      <c r="AN101" s="20" t="n">
        <v>0.3206</v>
      </c>
      <c r="AO101" s="20" t="n">
        <v>0.346</v>
      </c>
      <c r="AP101" s="20" t="n">
        <v>0.5188</v>
      </c>
      <c r="AQ101" s="20" t="n">
        <v>0.738</v>
      </c>
      <c r="AR101" s="20" t="n">
        <v>0.7827</v>
      </c>
      <c r="AS101" s="20" t="n">
        <v>0.5800999999999999</v>
      </c>
      <c r="AT101" s="20" t="n">
        <v>1.0081</v>
      </c>
      <c r="AU101" s="20" t="n">
        <v>0.7294</v>
      </c>
      <c r="AV101" s="20" t="n">
        <v>0.8534</v>
      </c>
      <c r="AW101" s="20" t="n">
        <v>0.6764</v>
      </c>
      <c r="AX101" s="20" t="n">
        <v>0.6089</v>
      </c>
    </row>
    <row r="102">
      <c r="A102" s="19" t="inlineStr">
        <is>
          <t>Load_TR2_F6_12</t>
        </is>
      </c>
      <c r="B102" s="15" t="inlineStr">
        <is>
          <t>prosumer</t>
        </is>
      </c>
      <c r="C102" s="20" t="n">
        <v>0.1921</v>
      </c>
      <c r="D102" s="20" t="n">
        <v>0.1742</v>
      </c>
      <c r="E102" s="20" t="n">
        <v>0.07920000000000001</v>
      </c>
      <c r="F102" s="20" t="n">
        <v>0.2294</v>
      </c>
      <c r="G102" s="20" t="n">
        <v>0.1037</v>
      </c>
      <c r="H102" s="20" t="n">
        <v>0.1976</v>
      </c>
      <c r="I102" s="20" t="n">
        <v>0.1687</v>
      </c>
      <c r="J102" s="20" t="n">
        <v>0.046</v>
      </c>
      <c r="K102" s="20" t="n">
        <v>0.3139</v>
      </c>
      <c r="L102" s="20" t="n">
        <v>0.101</v>
      </c>
      <c r="M102" s="20" t="n">
        <v>0.0798</v>
      </c>
      <c r="N102" s="20" t="n">
        <v>0.2942</v>
      </c>
      <c r="O102" s="20" t="n">
        <v>0.0588</v>
      </c>
      <c r="P102" s="20" t="n">
        <v>0.1953</v>
      </c>
      <c r="Q102" s="20" t="n">
        <v>0.171</v>
      </c>
      <c r="R102" s="20" t="n">
        <v>0.046</v>
      </c>
      <c r="S102" s="20" t="n">
        <v>0.3203</v>
      </c>
      <c r="T102" s="20" t="n">
        <v>0.046</v>
      </c>
      <c r="U102" s="20" t="n">
        <v>1.1401</v>
      </c>
      <c r="V102" s="20" t="n">
        <v>1.5248</v>
      </c>
      <c r="W102" s="20" t="n">
        <v>1.8867</v>
      </c>
      <c r="X102" s="20" t="n">
        <v>0.2924</v>
      </c>
      <c r="Y102" s="20" t="n">
        <v>0.176</v>
      </c>
      <c r="Z102" s="20" t="n">
        <v>0.06569999999999999</v>
      </c>
      <c r="AA102" s="20" t="n">
        <v>0.3109</v>
      </c>
      <c r="AB102" s="20" t="n">
        <v>0.0614</v>
      </c>
      <c r="AC102" s="20" t="n">
        <v>0.186</v>
      </c>
      <c r="AD102" s="20" t="n">
        <v>0.0511</v>
      </c>
      <c r="AE102" s="20" t="n">
        <v>0.3203</v>
      </c>
      <c r="AF102" s="20" t="n">
        <v>0.046</v>
      </c>
      <c r="AG102" s="20" t="n">
        <v>0.1644</v>
      </c>
      <c r="AH102" s="20" t="n">
        <v>0.2019</v>
      </c>
      <c r="AI102" s="20" t="n">
        <v>0.0526</v>
      </c>
      <c r="AJ102" s="20" t="n">
        <v>0.3137</v>
      </c>
      <c r="AK102" s="20" t="n">
        <v>0.046</v>
      </c>
      <c r="AL102" s="20" t="n">
        <v>0.3203</v>
      </c>
      <c r="AM102" s="20" t="n">
        <v>0.0563</v>
      </c>
      <c r="AN102" s="20" t="n">
        <v>0.0563</v>
      </c>
      <c r="AO102" s="20" t="n">
        <v>0.2504</v>
      </c>
      <c r="AP102" s="20" t="n">
        <v>0.4571</v>
      </c>
      <c r="AQ102" s="20" t="n">
        <v>0.391</v>
      </c>
      <c r="AR102" s="20" t="n">
        <v>0.7537</v>
      </c>
      <c r="AS102" s="20" t="n">
        <v>0.4145</v>
      </c>
      <c r="AT102" s="20" t="n">
        <v>0.5241</v>
      </c>
      <c r="AU102" s="20" t="n">
        <v>0.6955</v>
      </c>
      <c r="AV102" s="20" t="n">
        <v>0.3302</v>
      </c>
      <c r="AW102" s="20" t="n">
        <v>0.2608</v>
      </c>
      <c r="AX102" s="20" t="n">
        <v>0.1642</v>
      </c>
    </row>
    <row r="103">
      <c r="A103" s="19" t="inlineStr">
        <is>
          <t>Load_TR2_F6_13</t>
        </is>
      </c>
      <c r="B103" s="15" t="inlineStr">
        <is>
          <t>prosumer</t>
        </is>
      </c>
      <c r="C103" s="20" t="n">
        <v>0.1668</v>
      </c>
      <c r="D103" s="20" t="n">
        <v>0.262</v>
      </c>
      <c r="E103" s="20" t="n">
        <v>0.1882</v>
      </c>
      <c r="F103" s="20" t="n">
        <v>0.2369</v>
      </c>
      <c r="G103" s="20" t="n">
        <v>0.06</v>
      </c>
      <c r="H103" s="20" t="n">
        <v>0.06</v>
      </c>
      <c r="I103" s="20" t="n">
        <v>0.06</v>
      </c>
      <c r="J103" s="20" t="n">
        <v>0.06</v>
      </c>
      <c r="K103" s="20" t="n">
        <v>0.06</v>
      </c>
      <c r="L103" s="20" t="n">
        <v>0.06</v>
      </c>
      <c r="M103" s="20" t="n">
        <v>0.06</v>
      </c>
      <c r="N103" s="20" t="n">
        <v>0.06</v>
      </c>
      <c r="O103" s="20" t="n">
        <v>0.06</v>
      </c>
      <c r="P103" s="20" t="n">
        <v>0.06</v>
      </c>
      <c r="Q103" s="20" t="n">
        <v>0.06</v>
      </c>
      <c r="R103" s="20" t="n">
        <v>0.06</v>
      </c>
      <c r="S103" s="20" t="n">
        <v>0.06</v>
      </c>
      <c r="T103" s="20" t="n">
        <v>0.06</v>
      </c>
      <c r="U103" s="20" t="n">
        <v>0.06</v>
      </c>
      <c r="V103" s="20" t="n">
        <v>0.06</v>
      </c>
      <c r="W103" s="20" t="n">
        <v>0.06</v>
      </c>
      <c r="X103" s="20" t="n">
        <v>0.06</v>
      </c>
      <c r="Y103" s="20" t="n">
        <v>0.0897</v>
      </c>
      <c r="Z103" s="20" t="n">
        <v>0.0987</v>
      </c>
      <c r="AA103" s="20" t="n">
        <v>0.06</v>
      </c>
      <c r="AB103" s="20" t="n">
        <v>0.1017</v>
      </c>
      <c r="AC103" s="20" t="n">
        <v>0.06</v>
      </c>
      <c r="AD103" s="20" t="n">
        <v>0.06</v>
      </c>
      <c r="AE103" s="20" t="n">
        <v>0.06</v>
      </c>
      <c r="AF103" s="20" t="n">
        <v>0.06</v>
      </c>
      <c r="AG103" s="20" t="n">
        <v>0.06</v>
      </c>
      <c r="AH103" s="20" t="n">
        <v>0.06</v>
      </c>
      <c r="AI103" s="20" t="n">
        <v>0.06</v>
      </c>
      <c r="AJ103" s="20" t="n">
        <v>0.06</v>
      </c>
      <c r="AK103" s="20" t="n">
        <v>0.1569</v>
      </c>
      <c r="AL103" s="20" t="n">
        <v>0.113</v>
      </c>
      <c r="AM103" s="20" t="n">
        <v>0.08500000000000001</v>
      </c>
      <c r="AN103" s="20" t="n">
        <v>0.089</v>
      </c>
      <c r="AO103" s="20" t="n">
        <v>0.2425</v>
      </c>
      <c r="AP103" s="20" t="n">
        <v>0.3796</v>
      </c>
      <c r="AQ103" s="20" t="n">
        <v>0.5042</v>
      </c>
      <c r="AR103" s="20" t="n">
        <v>0.5386</v>
      </c>
      <c r="AS103" s="20" t="n">
        <v>0.7329</v>
      </c>
      <c r="AT103" s="20" t="n">
        <v>0.3687</v>
      </c>
      <c r="AU103" s="20" t="n">
        <v>0.4883</v>
      </c>
      <c r="AV103" s="20" t="n">
        <v>0.598</v>
      </c>
      <c r="AW103" s="20" t="n">
        <v>0.5548</v>
      </c>
      <c r="AX103" s="20" t="n">
        <v>0.623</v>
      </c>
    </row>
    <row r="104">
      <c r="A104" s="19" t="inlineStr">
        <is>
          <t>Load_TR2_F6_14</t>
        </is>
      </c>
      <c r="B104" s="15" t="inlineStr">
        <is>
          <t>prosumer</t>
        </is>
      </c>
      <c r="C104" s="20" t="n">
        <v>0.1439</v>
      </c>
      <c r="D104" s="20" t="n">
        <v>0.049</v>
      </c>
      <c r="E104" s="20" t="n">
        <v>0.1439</v>
      </c>
      <c r="F104" s="20" t="n">
        <v>0.049</v>
      </c>
      <c r="G104" s="20" t="n">
        <v>0.1107</v>
      </c>
      <c r="H104" s="20" t="n">
        <v>0.0822</v>
      </c>
      <c r="I104" s="20" t="n">
        <v>0.049</v>
      </c>
      <c r="J104" s="20" t="n">
        <v>0.1439</v>
      </c>
      <c r="K104" s="20" t="n">
        <v>0.049</v>
      </c>
      <c r="L104" s="20" t="n">
        <v>0.1439</v>
      </c>
      <c r="M104" s="20" t="n">
        <v>0.049</v>
      </c>
      <c r="N104" s="20" t="n">
        <v>0.2936</v>
      </c>
      <c r="O104" s="20" t="n">
        <v>0.1192</v>
      </c>
      <c r="P104" s="20" t="n">
        <v>0.049</v>
      </c>
      <c r="Q104" s="20" t="n">
        <v>0.1439</v>
      </c>
      <c r="R104" s="20" t="n">
        <v>0.049</v>
      </c>
      <c r="S104" s="20" t="n">
        <v>0.1268</v>
      </c>
      <c r="T104" s="20" t="n">
        <v>0.5405</v>
      </c>
      <c r="U104" s="20" t="n">
        <v>0.2913</v>
      </c>
      <c r="V104" s="20" t="n">
        <v>0.2557</v>
      </c>
      <c r="W104" s="20" t="n">
        <v>0.049</v>
      </c>
      <c r="X104" s="20" t="n">
        <v>0.1107</v>
      </c>
      <c r="Y104" s="20" t="n">
        <v>0.3912</v>
      </c>
      <c r="Z104" s="20" t="n">
        <v>0.049</v>
      </c>
      <c r="AA104" s="20" t="n">
        <v>0.0822</v>
      </c>
      <c r="AB104" s="20" t="n">
        <v>0.1107</v>
      </c>
      <c r="AC104" s="20" t="n">
        <v>0.049</v>
      </c>
      <c r="AD104" s="20" t="n">
        <v>0.3526</v>
      </c>
      <c r="AE104" s="20" t="n">
        <v>0.2566</v>
      </c>
      <c r="AF104" s="20" t="n">
        <v>0.2207</v>
      </c>
      <c r="AG104" s="20" t="n">
        <v>0.2898</v>
      </c>
      <c r="AH104" s="20" t="n">
        <v>0.08749999999999999</v>
      </c>
      <c r="AI104" s="20" t="n">
        <v>0.0926</v>
      </c>
      <c r="AJ104" s="20" t="n">
        <v>0.2346</v>
      </c>
      <c r="AK104" s="20" t="n">
        <v>1.1075</v>
      </c>
      <c r="AL104" s="20" t="n">
        <v>0.3947</v>
      </c>
      <c r="AM104" s="20" t="n">
        <v>0.284</v>
      </c>
      <c r="AN104" s="20" t="n">
        <v>0.254</v>
      </c>
      <c r="AO104" s="20" t="n">
        <v>0.759</v>
      </c>
      <c r="AP104" s="20" t="n">
        <v>1.4363</v>
      </c>
      <c r="AQ104" s="20" t="n">
        <v>2.0407</v>
      </c>
      <c r="AR104" s="20" t="n">
        <v>0.527</v>
      </c>
      <c r="AS104" s="20" t="n">
        <v>0.4456</v>
      </c>
      <c r="AT104" s="20" t="n">
        <v>0.3504</v>
      </c>
      <c r="AU104" s="20" t="n">
        <v>0.1202</v>
      </c>
      <c r="AV104" s="20" t="n">
        <v>0.049</v>
      </c>
      <c r="AW104" s="20" t="n">
        <v>0.1439</v>
      </c>
      <c r="AX104" s="20" t="n">
        <v>0.049</v>
      </c>
    </row>
    <row r="105">
      <c r="A105" s="19" t="inlineStr">
        <is>
          <t>Load_TR2_F6_15</t>
        </is>
      </c>
      <c r="B105" s="15" t="inlineStr">
        <is>
          <t>prosumer</t>
        </is>
      </c>
      <c r="C105" s="20" t="n">
        <v>0.1666</v>
      </c>
      <c r="D105" s="20" t="n">
        <v>0.1288</v>
      </c>
      <c r="E105" s="20" t="n">
        <v>0.0505</v>
      </c>
      <c r="F105" s="20" t="n">
        <v>0.1088</v>
      </c>
      <c r="G105" s="20" t="n">
        <v>0.1878</v>
      </c>
      <c r="H105" s="20" t="n">
        <v>0.0648</v>
      </c>
      <c r="I105" s="20" t="n">
        <v>0.1193</v>
      </c>
      <c r="J105" s="20" t="n">
        <v>0.1127</v>
      </c>
      <c r="K105" s="20" t="n">
        <v>0.042</v>
      </c>
      <c r="L105" s="20" t="n">
        <v>0.2107</v>
      </c>
      <c r="M105" s="20" t="n">
        <v>0.1127</v>
      </c>
      <c r="N105" s="20" t="n">
        <v>0.1334</v>
      </c>
      <c r="O105" s="20" t="n">
        <v>0.1547</v>
      </c>
      <c r="P105" s="20" t="n">
        <v>0.1368</v>
      </c>
      <c r="Q105" s="20" t="n">
        <v>0.1513</v>
      </c>
      <c r="R105" s="20" t="n">
        <v>0.2694</v>
      </c>
      <c r="S105" s="20" t="n">
        <v>0.3602</v>
      </c>
      <c r="T105" s="20" t="n">
        <v>0.3708</v>
      </c>
      <c r="U105" s="20" t="n">
        <v>0.2654</v>
      </c>
      <c r="V105" s="20" t="n">
        <v>0.2707</v>
      </c>
      <c r="W105" s="20" t="n">
        <v>0.3304</v>
      </c>
      <c r="X105" s="20" t="n">
        <v>0.2588</v>
      </c>
      <c r="Y105" s="20" t="n">
        <v>0.2831</v>
      </c>
      <c r="Z105" s="20" t="n">
        <v>0.1508</v>
      </c>
      <c r="AA105" s="20" t="n">
        <v>1.0043</v>
      </c>
      <c r="AB105" s="20" t="n">
        <v>0.1261</v>
      </c>
      <c r="AC105" s="20" t="n">
        <v>0.1083</v>
      </c>
      <c r="AD105" s="20" t="n">
        <v>0.1334</v>
      </c>
      <c r="AE105" s="20" t="n">
        <v>0.1176</v>
      </c>
      <c r="AF105" s="20" t="n">
        <v>0.1144</v>
      </c>
      <c r="AG105" s="20" t="n">
        <v>0.1334</v>
      </c>
      <c r="AH105" s="20" t="n">
        <v>0.1468</v>
      </c>
      <c r="AI105" s="20" t="n">
        <v>0.0989</v>
      </c>
      <c r="AJ105" s="20" t="n">
        <v>0.197</v>
      </c>
      <c r="AK105" s="20" t="n">
        <v>0.1514</v>
      </c>
      <c r="AL105" s="20" t="n">
        <v>0.1822</v>
      </c>
      <c r="AM105" s="20" t="n">
        <v>0.1869</v>
      </c>
      <c r="AN105" s="20" t="n">
        <v>0.2954</v>
      </c>
      <c r="AO105" s="20" t="n">
        <v>0.4107</v>
      </c>
      <c r="AP105" s="20" t="n">
        <v>0.3056</v>
      </c>
      <c r="AQ105" s="20" t="n">
        <v>0.5218</v>
      </c>
      <c r="AR105" s="20" t="n">
        <v>0.7091</v>
      </c>
      <c r="AS105" s="20" t="n">
        <v>0.6132</v>
      </c>
      <c r="AT105" s="20" t="n">
        <v>0.1366</v>
      </c>
      <c r="AU105" s="20" t="n">
        <v>0.1061</v>
      </c>
      <c r="AV105" s="20" t="n">
        <v>0.19</v>
      </c>
      <c r="AW105" s="20" t="n">
        <v>0.1334</v>
      </c>
      <c r="AX105" s="20" t="n">
        <v>0.1127</v>
      </c>
    </row>
    <row r="106">
      <c r="A106" s="19" t="inlineStr">
        <is>
          <t>Load_TR2_F6_16</t>
        </is>
      </c>
      <c r="B106" s="15" t="inlineStr">
        <is>
          <t>prosumer</t>
        </is>
      </c>
      <c r="C106" s="20" t="n">
        <v>0.034</v>
      </c>
      <c r="D106" s="20" t="n">
        <v>0.034</v>
      </c>
      <c r="E106" s="20" t="n">
        <v>0.1509</v>
      </c>
      <c r="F106" s="20" t="n">
        <v>0.0886</v>
      </c>
      <c r="G106" s="20" t="n">
        <v>0.034</v>
      </c>
      <c r="H106" s="20" t="n">
        <v>0.034</v>
      </c>
      <c r="I106" s="20" t="n">
        <v>0.034</v>
      </c>
      <c r="J106" s="20" t="n">
        <v>0.1821</v>
      </c>
      <c r="K106" s="20" t="n">
        <v>0.0574</v>
      </c>
      <c r="L106" s="20" t="n">
        <v>0.0808</v>
      </c>
      <c r="M106" s="20" t="n">
        <v>0.1587</v>
      </c>
      <c r="N106" s="20" t="n">
        <v>0.034</v>
      </c>
      <c r="O106" s="20" t="n">
        <v>0.034</v>
      </c>
      <c r="P106" s="20" t="n">
        <v>0.2055</v>
      </c>
      <c r="Q106" s="20" t="n">
        <v>0.034</v>
      </c>
      <c r="R106" s="20" t="n">
        <v>0.1587</v>
      </c>
      <c r="S106" s="20" t="n">
        <v>0.0808</v>
      </c>
      <c r="T106" s="20" t="n">
        <v>0.034</v>
      </c>
      <c r="U106" s="20" t="n">
        <v>0.3454</v>
      </c>
      <c r="V106" s="20" t="n">
        <v>0.034</v>
      </c>
      <c r="W106" s="20" t="n">
        <v>0.1899</v>
      </c>
      <c r="X106" s="20" t="n">
        <v>0.1491</v>
      </c>
      <c r="Y106" s="20" t="n">
        <v>0.034</v>
      </c>
      <c r="Z106" s="20" t="n">
        <v>0.2559</v>
      </c>
      <c r="AA106" s="20" t="n">
        <v>0.3355</v>
      </c>
      <c r="AB106" s="20" t="n">
        <v>1.3299</v>
      </c>
      <c r="AC106" s="20" t="n">
        <v>0.1867</v>
      </c>
      <c r="AD106" s="20" t="n">
        <v>0.2496</v>
      </c>
      <c r="AE106" s="20" t="n">
        <v>0.4045</v>
      </c>
      <c r="AF106" s="20" t="n">
        <v>0.5296</v>
      </c>
      <c r="AG106" s="20" t="n">
        <v>0.3673</v>
      </c>
      <c r="AH106" s="20" t="n">
        <v>1.6724</v>
      </c>
      <c r="AI106" s="20" t="n">
        <v>1.1713</v>
      </c>
      <c r="AJ106" s="20" t="n">
        <v>1.7739</v>
      </c>
      <c r="AK106" s="20" t="n">
        <v>0.2428</v>
      </c>
      <c r="AL106" s="20" t="n">
        <v>1.2952</v>
      </c>
      <c r="AM106" s="20" t="n">
        <v>0.9746</v>
      </c>
      <c r="AN106" s="20" t="n">
        <v>1.667</v>
      </c>
      <c r="AO106" s="20" t="n">
        <v>0.4614</v>
      </c>
      <c r="AP106" s="20" t="n">
        <v>0.2603</v>
      </c>
      <c r="AQ106" s="20" t="n">
        <v>0.434</v>
      </c>
      <c r="AR106" s="20" t="n">
        <v>0.3551</v>
      </c>
      <c r="AS106" s="20" t="n">
        <v>0.5557</v>
      </c>
      <c r="AT106" s="20" t="n">
        <v>0.759</v>
      </c>
      <c r="AU106" s="20" t="n">
        <v>0.5009</v>
      </c>
      <c r="AV106" s="20" t="n">
        <v>0.3714</v>
      </c>
      <c r="AW106" s="20" t="n">
        <v>0.3893</v>
      </c>
      <c r="AX106" s="20" t="n">
        <v>0.3371</v>
      </c>
    </row>
    <row r="107">
      <c r="A107" s="19" t="inlineStr">
        <is>
          <t>Load_TR2_F6_17</t>
        </is>
      </c>
      <c r="B107" s="15" t="inlineStr">
        <is>
          <t>prosumer</t>
        </is>
      </c>
      <c r="C107" s="20" t="n">
        <v>0.038</v>
      </c>
      <c r="D107" s="20" t="n">
        <v>0.1383</v>
      </c>
      <c r="E107" s="20" t="n">
        <v>0.08409999999999999</v>
      </c>
      <c r="F107" s="20" t="n">
        <v>0.2611</v>
      </c>
      <c r="G107" s="20" t="n">
        <v>0.038</v>
      </c>
      <c r="H107" s="20" t="n">
        <v>0.207</v>
      </c>
      <c r="I107" s="20" t="n">
        <v>0.1383</v>
      </c>
      <c r="J107" s="20" t="n">
        <v>0.1762</v>
      </c>
      <c r="K107" s="20" t="n">
        <v>0.1475</v>
      </c>
      <c r="L107" s="20" t="n">
        <v>0.0595</v>
      </c>
      <c r="M107" s="20" t="n">
        <v>0.1604</v>
      </c>
      <c r="N107" s="20" t="n">
        <v>0.1849</v>
      </c>
      <c r="O107" s="20" t="n">
        <v>0.038</v>
      </c>
      <c r="P107" s="20" t="n">
        <v>0.1383</v>
      </c>
      <c r="Q107" s="20" t="n">
        <v>0.207</v>
      </c>
      <c r="R107" s="20" t="n">
        <v>0.038</v>
      </c>
      <c r="S107" s="20" t="n">
        <v>0.1588</v>
      </c>
      <c r="T107" s="20" t="n">
        <v>0.1864</v>
      </c>
      <c r="U107" s="20" t="n">
        <v>0.038</v>
      </c>
      <c r="V107" s="20" t="n">
        <v>0.09180000000000001</v>
      </c>
      <c r="W107" s="20" t="n">
        <v>0.232</v>
      </c>
      <c r="X107" s="20" t="n">
        <v>0.0595</v>
      </c>
      <c r="Y107" s="20" t="n">
        <v>0.207</v>
      </c>
      <c r="Z107" s="20" t="n">
        <v>0.1869</v>
      </c>
      <c r="AA107" s="20" t="n">
        <v>0.2965</v>
      </c>
      <c r="AB107" s="20" t="n">
        <v>0.1245</v>
      </c>
      <c r="AC107" s="20" t="n">
        <v>0.0672</v>
      </c>
      <c r="AD107" s="20" t="n">
        <v>0.1993</v>
      </c>
      <c r="AE107" s="20" t="n">
        <v>0.1383</v>
      </c>
      <c r="AF107" s="20" t="n">
        <v>0.1609</v>
      </c>
      <c r="AG107" s="20" t="n">
        <v>0.08409999999999999</v>
      </c>
      <c r="AH107" s="20" t="n">
        <v>0.1383</v>
      </c>
      <c r="AI107" s="20" t="n">
        <v>0.1916</v>
      </c>
      <c r="AJ107" s="20" t="n">
        <v>0.1035</v>
      </c>
      <c r="AK107" s="20" t="n">
        <v>0.1189</v>
      </c>
      <c r="AL107" s="20" t="n">
        <v>0.1762</v>
      </c>
      <c r="AM107" s="20" t="n">
        <v>0.2769</v>
      </c>
      <c r="AN107" s="20" t="n">
        <v>0.3564</v>
      </c>
      <c r="AO107" s="20" t="n">
        <v>0.4375</v>
      </c>
      <c r="AP107" s="20" t="n">
        <v>0.5646</v>
      </c>
      <c r="AQ107" s="20" t="n">
        <v>0.3755</v>
      </c>
      <c r="AR107" s="20" t="n">
        <v>0.2458</v>
      </c>
      <c r="AS107" s="20" t="n">
        <v>0.038</v>
      </c>
      <c r="AT107" s="20" t="n">
        <v>0.06660000000000001</v>
      </c>
      <c r="AU107" s="20" t="n">
        <v>0.2402</v>
      </c>
      <c r="AV107" s="20" t="n">
        <v>0.0764</v>
      </c>
      <c r="AW107" s="20" t="n">
        <v>0.1383</v>
      </c>
      <c r="AX107" s="20" t="n">
        <v>0.207</v>
      </c>
    </row>
    <row r="108">
      <c r="A108" s="19" t="inlineStr">
        <is>
          <t>Load_TR2_F6_18</t>
        </is>
      </c>
      <c r="B108" s="15" t="inlineStr">
        <is>
          <t>prosumer</t>
        </is>
      </c>
      <c r="C108" s="20" t="n">
        <v>0.4013</v>
      </c>
      <c r="D108" s="20" t="n">
        <v>0.5618</v>
      </c>
      <c r="E108" s="20" t="n">
        <v>0.048</v>
      </c>
      <c r="F108" s="20" t="n">
        <v>0.0819</v>
      </c>
      <c r="G108" s="20" t="n">
        <v>0.1633</v>
      </c>
      <c r="H108" s="20" t="n">
        <v>0.048</v>
      </c>
      <c r="I108" s="20" t="n">
        <v>0.1837</v>
      </c>
      <c r="J108" s="20" t="n">
        <v>0.0616</v>
      </c>
      <c r="K108" s="20" t="n">
        <v>0.143</v>
      </c>
      <c r="L108" s="20" t="n">
        <v>0.1023</v>
      </c>
      <c r="M108" s="20" t="n">
        <v>0.048</v>
      </c>
      <c r="N108" s="20" t="n">
        <v>0.0955</v>
      </c>
      <c r="O108" s="20" t="n">
        <v>0.1498</v>
      </c>
      <c r="P108" s="20" t="n">
        <v>0.048</v>
      </c>
      <c r="Q108" s="20" t="n">
        <v>0.2143</v>
      </c>
      <c r="R108" s="20" t="n">
        <v>0.1034</v>
      </c>
      <c r="S108" s="20" t="n">
        <v>0.048</v>
      </c>
      <c r="T108" s="20" t="n">
        <v>0.1997</v>
      </c>
      <c r="U108" s="20" t="n">
        <v>0.0603</v>
      </c>
      <c r="V108" s="20" t="n">
        <v>0.157</v>
      </c>
      <c r="W108" s="20" t="n">
        <v>1.6781</v>
      </c>
      <c r="X108" s="20" t="n">
        <v>0.6352</v>
      </c>
      <c r="Y108" s="20" t="n">
        <v>0.6732</v>
      </c>
      <c r="Z108" s="20" t="n">
        <v>0.3739</v>
      </c>
      <c r="AA108" s="20" t="n">
        <v>0.2995</v>
      </c>
      <c r="AB108" s="20" t="n">
        <v>0.2514</v>
      </c>
      <c r="AC108" s="20" t="n">
        <v>0.3985</v>
      </c>
      <c r="AD108" s="20" t="n">
        <v>0.5018</v>
      </c>
      <c r="AE108" s="20" t="n">
        <v>0.281</v>
      </c>
      <c r="AF108" s="20" t="n">
        <v>0.3891</v>
      </c>
      <c r="AG108" s="20" t="n">
        <v>0.1643</v>
      </c>
      <c r="AH108" s="20" t="n">
        <v>0.2894</v>
      </c>
      <c r="AI108" s="20" t="n">
        <v>0.2653</v>
      </c>
      <c r="AJ108" s="20" t="n">
        <v>0.1202</v>
      </c>
      <c r="AK108" s="20" t="n">
        <v>0.2274</v>
      </c>
      <c r="AL108" s="20" t="n">
        <v>0.09569999999999999</v>
      </c>
      <c r="AM108" s="20" t="n">
        <v>0.3041</v>
      </c>
      <c r="AN108" s="20" t="n">
        <v>0.1746</v>
      </c>
      <c r="AO108" s="20" t="n">
        <v>0.1411</v>
      </c>
      <c r="AP108" s="20" t="n">
        <v>0.4301</v>
      </c>
      <c r="AQ108" s="20" t="n">
        <v>0.4215</v>
      </c>
      <c r="AR108" s="20" t="n">
        <v>0.7709</v>
      </c>
      <c r="AS108" s="20" t="n">
        <v>0.4905</v>
      </c>
      <c r="AT108" s="20" t="n">
        <v>0.6684</v>
      </c>
      <c r="AU108" s="20" t="n">
        <v>0.3641</v>
      </c>
      <c r="AV108" s="20" t="n">
        <v>0.0548</v>
      </c>
      <c r="AW108" s="20" t="n">
        <v>0.3028</v>
      </c>
      <c r="AX108" s="20" t="n">
        <v>0.3937</v>
      </c>
    </row>
    <row r="109">
      <c r="A109" s="19" t="inlineStr">
        <is>
          <t>Load_TR2_F6_19</t>
        </is>
      </c>
      <c r="B109" s="15" t="inlineStr">
        <is>
          <t>prosumer</t>
        </is>
      </c>
      <c r="C109" s="20" t="n">
        <v>0.1783</v>
      </c>
      <c r="D109" s="20" t="n">
        <v>0.1013</v>
      </c>
      <c r="E109" s="20" t="n">
        <v>0.1279</v>
      </c>
      <c r="F109" s="20" t="n">
        <v>0.2246</v>
      </c>
      <c r="G109" s="20" t="n">
        <v>0.0631</v>
      </c>
      <c r="H109" s="20" t="n">
        <v>0.1198</v>
      </c>
      <c r="I109" s="20" t="n">
        <v>0.2448</v>
      </c>
      <c r="J109" s="20" t="n">
        <v>0.1076</v>
      </c>
      <c r="K109" s="20" t="n">
        <v>0.2383</v>
      </c>
      <c r="L109" s="20" t="n">
        <v>0.1142</v>
      </c>
      <c r="M109" s="20" t="n">
        <v>0.0752</v>
      </c>
      <c r="N109" s="20" t="n">
        <v>0.2464</v>
      </c>
      <c r="O109" s="20" t="n">
        <v>0.0858</v>
      </c>
      <c r="P109" s="20" t="n">
        <v>0.0858</v>
      </c>
      <c r="Q109" s="20" t="n">
        <v>0.2666</v>
      </c>
      <c r="R109" s="20" t="n">
        <v>0.055</v>
      </c>
      <c r="S109" s="20" t="n">
        <v>0.2269</v>
      </c>
      <c r="T109" s="20" t="n">
        <v>0.4334</v>
      </c>
      <c r="U109" s="20" t="n">
        <v>0.2644</v>
      </c>
      <c r="V109" s="20" t="n">
        <v>0.3032</v>
      </c>
      <c r="W109" s="20" t="n">
        <v>0.3293</v>
      </c>
      <c r="X109" s="20" t="n">
        <v>1.0755</v>
      </c>
      <c r="Y109" s="20" t="n">
        <v>0.1671</v>
      </c>
      <c r="Z109" s="20" t="n">
        <v>1.1582</v>
      </c>
      <c r="AA109" s="20" t="n">
        <v>2.1677</v>
      </c>
      <c r="AB109" s="20" t="n">
        <v>1.6464</v>
      </c>
      <c r="AC109" s="20" t="n">
        <v>0.2117</v>
      </c>
      <c r="AD109" s="20" t="n">
        <v>0.2473</v>
      </c>
      <c r="AE109" s="20" t="n">
        <v>0.1005</v>
      </c>
      <c r="AF109" s="20" t="n">
        <v>0.3155</v>
      </c>
      <c r="AG109" s="20" t="n">
        <v>0.0935</v>
      </c>
      <c r="AH109" s="20" t="n">
        <v>0.1013</v>
      </c>
      <c r="AI109" s="20" t="n">
        <v>0.239</v>
      </c>
      <c r="AJ109" s="20" t="n">
        <v>0.06710000000000001</v>
      </c>
      <c r="AK109" s="20" t="n">
        <v>0.2496</v>
      </c>
      <c r="AL109" s="20" t="n">
        <v>0.1028</v>
      </c>
      <c r="AM109" s="20" t="n">
        <v>0.055</v>
      </c>
      <c r="AN109" s="20" t="n">
        <v>0.1068</v>
      </c>
      <c r="AO109" s="20" t="n">
        <v>0.2456</v>
      </c>
      <c r="AP109" s="20" t="n">
        <v>0.055</v>
      </c>
      <c r="AQ109" s="20" t="n">
        <v>0.282</v>
      </c>
      <c r="AR109" s="20" t="n">
        <v>0.0704</v>
      </c>
      <c r="AS109" s="20" t="n">
        <v>0.141</v>
      </c>
      <c r="AT109" s="20" t="n">
        <v>0.2115</v>
      </c>
      <c r="AU109" s="20" t="n">
        <v>0.055</v>
      </c>
      <c r="AV109" s="20" t="n">
        <v>0.261</v>
      </c>
      <c r="AW109" s="20" t="n">
        <v>0.0914</v>
      </c>
      <c r="AX109" s="20" t="n">
        <v>0.2201</v>
      </c>
    </row>
    <row r="110">
      <c r="A110" s="10" t="inlineStr">
        <is>
          <t>Load_TR2_F6_2</t>
        </is>
      </c>
      <c r="B110" s="12" t="inlineStr">
        <is>
          <t>customer</t>
        </is>
      </c>
      <c r="C110" s="18" t="n">
        <v>0.1307</v>
      </c>
      <c r="D110" s="18" t="n">
        <v>0.1171</v>
      </c>
      <c r="E110" s="18" t="n">
        <v>0.0762</v>
      </c>
      <c r="F110" s="18" t="n">
        <v>0.1715</v>
      </c>
      <c r="G110" s="18" t="n">
        <v>0.049</v>
      </c>
      <c r="H110" s="18" t="n">
        <v>0.1919</v>
      </c>
      <c r="I110" s="18" t="n">
        <v>0.0558</v>
      </c>
      <c r="J110" s="18" t="n">
        <v>0.0898</v>
      </c>
      <c r="K110" s="18" t="n">
        <v>0.19</v>
      </c>
      <c r="L110" s="18" t="n">
        <v>0.4351</v>
      </c>
      <c r="M110" s="18" t="n">
        <v>0.2298</v>
      </c>
      <c r="N110" s="18" t="n">
        <v>0.049</v>
      </c>
      <c r="O110" s="18" t="n">
        <v>0.049</v>
      </c>
      <c r="P110" s="18" t="n">
        <v>0.1987</v>
      </c>
      <c r="Q110" s="18" t="n">
        <v>0.049</v>
      </c>
      <c r="R110" s="18" t="n">
        <v>0.049</v>
      </c>
      <c r="S110" s="18" t="n">
        <v>0.1636</v>
      </c>
      <c r="T110" s="18" t="n">
        <v>0.1706</v>
      </c>
      <c r="U110" s="18" t="n">
        <v>0.2026</v>
      </c>
      <c r="V110" s="18" t="n">
        <v>0.2676</v>
      </c>
      <c r="W110" s="18" t="n">
        <v>0.2345</v>
      </c>
      <c r="X110" s="18" t="n">
        <v>0.049</v>
      </c>
      <c r="Y110" s="18" t="n">
        <v>0.1579</v>
      </c>
      <c r="Z110" s="18" t="n">
        <v>0.0898</v>
      </c>
      <c r="AA110" s="18" t="n">
        <v>0.1171</v>
      </c>
      <c r="AB110" s="18" t="n">
        <v>0.1307</v>
      </c>
      <c r="AC110" s="18" t="n">
        <v>0.1524</v>
      </c>
      <c r="AD110" s="18" t="n">
        <v>0.5447</v>
      </c>
      <c r="AE110" s="18" t="n">
        <v>0.2799</v>
      </c>
      <c r="AF110" s="18" t="n">
        <v>0.2263</v>
      </c>
      <c r="AG110" s="18" t="n">
        <v>0.1511</v>
      </c>
      <c r="AH110" s="18" t="n">
        <v>0.1732</v>
      </c>
      <c r="AI110" s="18" t="n">
        <v>0.2501</v>
      </c>
      <c r="AJ110" s="18" t="n">
        <v>0.2631</v>
      </c>
      <c r="AK110" s="18" t="n">
        <v>0.1123</v>
      </c>
      <c r="AL110" s="18" t="n">
        <v>0.4238</v>
      </c>
      <c r="AM110" s="18" t="n">
        <v>0.0982</v>
      </c>
      <c r="AN110" s="18" t="n">
        <v>0.2525</v>
      </c>
      <c r="AO110" s="18" t="n">
        <v>0.1645</v>
      </c>
      <c r="AP110" s="18" t="n">
        <v>0.1585</v>
      </c>
      <c r="AQ110" s="18" t="n">
        <v>0.1239</v>
      </c>
      <c r="AR110" s="18" t="n">
        <v>0.049</v>
      </c>
      <c r="AS110" s="18" t="n">
        <v>0.1579</v>
      </c>
      <c r="AT110" s="18" t="n">
        <v>0.0898</v>
      </c>
      <c r="AU110" s="18" t="n">
        <v>0.9964</v>
      </c>
      <c r="AV110" s="18" t="n">
        <v>0.248</v>
      </c>
      <c r="AW110" s="18" t="n">
        <v>0.2244</v>
      </c>
      <c r="AX110" s="18" t="n">
        <v>0.1179</v>
      </c>
    </row>
    <row r="111">
      <c r="A111" s="19" t="inlineStr">
        <is>
          <t>Load_TR2_F6_20</t>
        </is>
      </c>
      <c r="B111" s="15" t="inlineStr">
        <is>
          <t>prosumer</t>
        </is>
      </c>
      <c r="C111" s="20" t="n">
        <v>0.6102</v>
      </c>
      <c r="D111" s="20" t="n">
        <v>0.2305</v>
      </c>
      <c r="E111" s="20" t="n">
        <v>0.1043</v>
      </c>
      <c r="F111" s="20" t="n">
        <v>0.1644</v>
      </c>
      <c r="G111" s="20" t="n">
        <v>0.1703</v>
      </c>
      <c r="H111" s="20" t="n">
        <v>0.091</v>
      </c>
      <c r="I111" s="20" t="n">
        <v>0.2173</v>
      </c>
      <c r="J111" s="20" t="n">
        <v>0.07340000000000001</v>
      </c>
      <c r="K111" s="20" t="n">
        <v>0.2701</v>
      </c>
      <c r="L111" s="20" t="n">
        <v>0.0646</v>
      </c>
      <c r="M111" s="20" t="n">
        <v>0.047</v>
      </c>
      <c r="N111" s="20" t="n">
        <v>0.2085</v>
      </c>
      <c r="O111" s="20" t="n">
        <v>0.047</v>
      </c>
      <c r="P111" s="20" t="n">
        <v>0.163</v>
      </c>
      <c r="Q111" s="20" t="n">
        <v>0.1718</v>
      </c>
      <c r="R111" s="20" t="n">
        <v>1.0381</v>
      </c>
      <c r="S111" s="20" t="n">
        <v>0.3538</v>
      </c>
      <c r="T111" s="20" t="n">
        <v>1.4624</v>
      </c>
      <c r="U111" s="20" t="n">
        <v>1.3136</v>
      </c>
      <c r="V111" s="20" t="n">
        <v>0.6903</v>
      </c>
      <c r="W111" s="20" t="n">
        <v>0.1363</v>
      </c>
      <c r="X111" s="20" t="n">
        <v>0.3913</v>
      </c>
      <c r="Y111" s="20" t="n">
        <v>0.3841</v>
      </c>
      <c r="Z111" s="20" t="n">
        <v>2.0925</v>
      </c>
      <c r="AA111" s="20" t="n">
        <v>1.0911</v>
      </c>
      <c r="AB111" s="20" t="n">
        <v>0.3598</v>
      </c>
      <c r="AC111" s="20" t="n">
        <v>0.4115</v>
      </c>
      <c r="AD111" s="20" t="n">
        <v>0.4885</v>
      </c>
      <c r="AE111" s="20" t="n">
        <v>0.3532</v>
      </c>
      <c r="AF111" s="20" t="n">
        <v>0.9276</v>
      </c>
      <c r="AG111" s="20" t="n">
        <v>1.2306</v>
      </c>
      <c r="AH111" s="20" t="n">
        <v>2.0705</v>
      </c>
      <c r="AI111" s="20" t="n">
        <v>0.3475</v>
      </c>
      <c r="AJ111" s="20" t="n">
        <v>0.5002</v>
      </c>
      <c r="AK111" s="20" t="n">
        <v>1.027</v>
      </c>
      <c r="AL111" s="20" t="n">
        <v>0.79</v>
      </c>
      <c r="AM111" s="20" t="n">
        <v>0.4466</v>
      </c>
      <c r="AN111" s="20" t="n">
        <v>0.1864</v>
      </c>
      <c r="AO111" s="20" t="n">
        <v>0.4508</v>
      </c>
      <c r="AP111" s="20" t="n">
        <v>0.4318</v>
      </c>
      <c r="AQ111" s="20" t="n">
        <v>2.1679</v>
      </c>
      <c r="AR111" s="20" t="n">
        <v>2.4652</v>
      </c>
      <c r="AS111" s="20" t="n">
        <v>1.9231</v>
      </c>
      <c r="AT111" s="20" t="n">
        <v>1.6923</v>
      </c>
      <c r="AU111" s="20" t="n">
        <v>1.179</v>
      </c>
      <c r="AV111" s="20" t="n">
        <v>0.3954</v>
      </c>
      <c r="AW111" s="20" t="n">
        <v>0.1263</v>
      </c>
      <c r="AX111" s="20" t="n">
        <v>0.1791</v>
      </c>
    </row>
    <row r="112">
      <c r="A112" s="19" t="inlineStr">
        <is>
          <t>Load_TR2_F6_21</t>
        </is>
      </c>
      <c r="B112" s="15" t="inlineStr">
        <is>
          <t>prosumer</t>
        </is>
      </c>
      <c r="C112" s="20" t="n">
        <v>0.048</v>
      </c>
      <c r="D112" s="20" t="n">
        <v>0.048</v>
      </c>
      <c r="E112" s="20" t="n">
        <v>0.048</v>
      </c>
      <c r="F112" s="20" t="n">
        <v>0.048</v>
      </c>
      <c r="G112" s="20" t="n">
        <v>0.048</v>
      </c>
      <c r="H112" s="20" t="n">
        <v>0.048</v>
      </c>
      <c r="I112" s="20" t="n">
        <v>0.048</v>
      </c>
      <c r="J112" s="20" t="n">
        <v>0.048</v>
      </c>
      <c r="K112" s="20" t="n">
        <v>0.048</v>
      </c>
      <c r="L112" s="20" t="n">
        <v>0.048</v>
      </c>
      <c r="M112" s="20" t="n">
        <v>0.048</v>
      </c>
      <c r="N112" s="20" t="n">
        <v>0.048</v>
      </c>
      <c r="O112" s="20" t="n">
        <v>0.048</v>
      </c>
      <c r="P112" s="20" t="n">
        <v>0.048</v>
      </c>
      <c r="Q112" s="20" t="n">
        <v>0.0545</v>
      </c>
      <c r="R112" s="20" t="n">
        <v>0.1456</v>
      </c>
      <c r="S112" s="20" t="n">
        <v>0.048</v>
      </c>
      <c r="T112" s="20" t="n">
        <v>0.048</v>
      </c>
      <c r="U112" s="20" t="n">
        <v>0.048</v>
      </c>
      <c r="V112" s="20" t="n">
        <v>0.048</v>
      </c>
      <c r="W112" s="20" t="n">
        <v>0.3358</v>
      </c>
      <c r="X112" s="20" t="n">
        <v>3.0302</v>
      </c>
      <c r="Y112" s="20" t="n">
        <v>2.3349</v>
      </c>
      <c r="Z112" s="20" t="n">
        <v>0.6703</v>
      </c>
      <c r="AA112" s="20" t="n">
        <v>0.08110000000000001</v>
      </c>
      <c r="AB112" s="20" t="n">
        <v>0.08309999999999999</v>
      </c>
      <c r="AC112" s="20" t="n">
        <v>0.2456</v>
      </c>
      <c r="AD112" s="20" t="n">
        <v>0.048</v>
      </c>
      <c r="AE112" s="20" t="n">
        <v>0.048</v>
      </c>
      <c r="AF112" s="20" t="n">
        <v>0.1416</v>
      </c>
      <c r="AG112" s="20" t="n">
        <v>0.0617</v>
      </c>
      <c r="AH112" s="20" t="n">
        <v>0.1522</v>
      </c>
      <c r="AI112" s="20" t="n">
        <v>0.1324</v>
      </c>
      <c r="AJ112" s="20" t="n">
        <v>2.2084</v>
      </c>
      <c r="AK112" s="20" t="n">
        <v>0.1524</v>
      </c>
      <c r="AL112" s="20" t="n">
        <v>0.1033</v>
      </c>
      <c r="AM112" s="20" t="n">
        <v>0.09569999999999999</v>
      </c>
      <c r="AN112" s="20" t="n">
        <v>0.2856</v>
      </c>
      <c r="AO112" s="20" t="n">
        <v>0.096</v>
      </c>
      <c r="AP112" s="20" t="n">
        <v>0.2101</v>
      </c>
      <c r="AQ112" s="20" t="n">
        <v>0.3089</v>
      </c>
      <c r="AR112" s="20" t="n">
        <v>0.189</v>
      </c>
      <c r="AS112" s="20" t="n">
        <v>0.2424</v>
      </c>
      <c r="AT112" s="20" t="n">
        <v>0.2414</v>
      </c>
      <c r="AU112" s="20" t="n">
        <v>0.321</v>
      </c>
      <c r="AV112" s="20" t="n">
        <v>0.8466</v>
      </c>
      <c r="AW112" s="20" t="n">
        <v>0.2895</v>
      </c>
      <c r="AX112" s="20" t="n">
        <v>0.048</v>
      </c>
    </row>
    <row r="113">
      <c r="A113" s="19" t="inlineStr">
        <is>
          <t>Load_TR2_F6_22</t>
        </is>
      </c>
      <c r="B113" s="15" t="inlineStr">
        <is>
          <t>prosumer</t>
        </is>
      </c>
      <c r="C113" s="20" t="n">
        <v>0.1453</v>
      </c>
      <c r="D113" s="20" t="n">
        <v>0.047</v>
      </c>
      <c r="E113" s="20" t="n">
        <v>0.1143</v>
      </c>
      <c r="F113" s="20" t="n">
        <v>0.1831</v>
      </c>
      <c r="G113" s="20" t="n">
        <v>0.0832</v>
      </c>
      <c r="H113" s="20" t="n">
        <v>0.2142</v>
      </c>
      <c r="I113" s="20" t="n">
        <v>0.047</v>
      </c>
      <c r="J113" s="20" t="n">
        <v>0.1025</v>
      </c>
      <c r="K113" s="20" t="n">
        <v>0.1949</v>
      </c>
      <c r="L113" s="20" t="n">
        <v>0.047</v>
      </c>
      <c r="M113" s="20" t="n">
        <v>0.047</v>
      </c>
      <c r="N113" s="20" t="n">
        <v>0.1365</v>
      </c>
      <c r="O113" s="20" t="n">
        <v>0.1609</v>
      </c>
      <c r="P113" s="20" t="n">
        <v>0.047</v>
      </c>
      <c r="Q113" s="20" t="n">
        <v>0.1195</v>
      </c>
      <c r="R113" s="20" t="n">
        <v>0.168</v>
      </c>
      <c r="S113" s="20" t="n">
        <v>0.07770000000000001</v>
      </c>
      <c r="T113" s="20" t="n">
        <v>0.1402</v>
      </c>
      <c r="U113" s="20" t="n">
        <v>0.1365</v>
      </c>
      <c r="V113" s="20" t="n">
        <v>0.5834</v>
      </c>
      <c r="W113" s="20" t="n">
        <v>0.971</v>
      </c>
      <c r="X113" s="20" t="n">
        <v>0.047</v>
      </c>
      <c r="Y113" s="20" t="n">
        <v>0.1557</v>
      </c>
      <c r="Z113" s="20" t="n">
        <v>0.1417</v>
      </c>
      <c r="AA113" s="20" t="n">
        <v>0.047</v>
      </c>
      <c r="AB113" s="20" t="n">
        <v>0.1822</v>
      </c>
      <c r="AC113" s="20" t="n">
        <v>0.1765</v>
      </c>
      <c r="AD113" s="20" t="n">
        <v>0.1171</v>
      </c>
      <c r="AE113" s="20" t="n">
        <v>0.1937</v>
      </c>
      <c r="AF113" s="20" t="n">
        <v>0.0905</v>
      </c>
      <c r="AG113" s="20" t="n">
        <v>0.206</v>
      </c>
      <c r="AH113" s="20" t="n">
        <v>0.1751</v>
      </c>
      <c r="AI113" s="20" t="n">
        <v>0.1306</v>
      </c>
      <c r="AJ113" s="20" t="n">
        <v>0.1275</v>
      </c>
      <c r="AK113" s="20" t="n">
        <v>0.1982</v>
      </c>
      <c r="AL113" s="20" t="n">
        <v>0.1183</v>
      </c>
      <c r="AM113" s="20" t="n">
        <v>0.2697</v>
      </c>
      <c r="AN113" s="20" t="n">
        <v>0.3651</v>
      </c>
      <c r="AO113" s="20" t="n">
        <v>0.2557</v>
      </c>
      <c r="AP113" s="20" t="n">
        <v>0.4082</v>
      </c>
      <c r="AQ113" s="20" t="n">
        <v>0.5886</v>
      </c>
      <c r="AR113" s="20" t="n">
        <v>0.6253</v>
      </c>
      <c r="AS113" s="20" t="n">
        <v>0.047</v>
      </c>
      <c r="AT113" s="20" t="n">
        <v>0.1195</v>
      </c>
      <c r="AU113" s="20" t="n">
        <v>0.08840000000000001</v>
      </c>
      <c r="AV113" s="20" t="n">
        <v>0.0619</v>
      </c>
      <c r="AW113" s="20" t="n">
        <v>0.2355</v>
      </c>
      <c r="AX113" s="20" t="n">
        <v>0.047</v>
      </c>
    </row>
    <row r="114">
      <c r="A114" s="19" t="inlineStr">
        <is>
          <t>Load_TR2_F6_23</t>
        </is>
      </c>
      <c r="B114" s="15" t="inlineStr">
        <is>
          <t>prosumer</t>
        </is>
      </c>
      <c r="C114" s="20" t="n">
        <v>0.029</v>
      </c>
      <c r="D114" s="20" t="n">
        <v>0.029</v>
      </c>
      <c r="E114" s="20" t="n">
        <v>0.029</v>
      </c>
      <c r="F114" s="20" t="n">
        <v>0.029</v>
      </c>
      <c r="G114" s="20" t="n">
        <v>0.029</v>
      </c>
      <c r="H114" s="20" t="n">
        <v>0.029</v>
      </c>
      <c r="I114" s="20" t="n">
        <v>0.029</v>
      </c>
      <c r="J114" s="20" t="n">
        <v>0.029</v>
      </c>
      <c r="K114" s="20" t="n">
        <v>0.029</v>
      </c>
      <c r="L114" s="20" t="n">
        <v>0.029</v>
      </c>
      <c r="M114" s="20" t="n">
        <v>0.029</v>
      </c>
      <c r="N114" s="20" t="n">
        <v>0.029</v>
      </c>
      <c r="O114" s="20" t="n">
        <v>0.029</v>
      </c>
      <c r="P114" s="20" t="n">
        <v>0.029</v>
      </c>
      <c r="Q114" s="20" t="n">
        <v>0.029</v>
      </c>
      <c r="R114" s="20" t="n">
        <v>0.029</v>
      </c>
      <c r="S114" s="20" t="n">
        <v>0.029</v>
      </c>
      <c r="T114" s="20" t="n">
        <v>0.029</v>
      </c>
      <c r="U114" s="20" t="n">
        <v>0.029</v>
      </c>
      <c r="V114" s="20" t="n">
        <v>0.029</v>
      </c>
      <c r="W114" s="20" t="n">
        <v>0.029</v>
      </c>
      <c r="X114" s="20" t="n">
        <v>0.029</v>
      </c>
      <c r="Y114" s="20" t="n">
        <v>0.029</v>
      </c>
      <c r="Z114" s="20" t="n">
        <v>0.029</v>
      </c>
      <c r="AA114" s="20" t="n">
        <v>0.029</v>
      </c>
      <c r="AB114" s="20" t="n">
        <v>0.6788</v>
      </c>
      <c r="AC114" s="20" t="n">
        <v>0.7915</v>
      </c>
      <c r="AD114" s="20" t="n">
        <v>0.0591</v>
      </c>
      <c r="AE114" s="20" t="n">
        <v>0.049</v>
      </c>
      <c r="AF114" s="20" t="n">
        <v>0.029</v>
      </c>
      <c r="AG114" s="20" t="n">
        <v>0.029</v>
      </c>
      <c r="AH114" s="20" t="n">
        <v>0.029</v>
      </c>
      <c r="AI114" s="20" t="n">
        <v>0.029</v>
      </c>
      <c r="AJ114" s="20" t="n">
        <v>0.029</v>
      </c>
      <c r="AK114" s="20" t="n">
        <v>0.029</v>
      </c>
      <c r="AL114" s="20" t="n">
        <v>0.029</v>
      </c>
      <c r="AM114" s="20" t="n">
        <v>0.029</v>
      </c>
      <c r="AN114" s="20" t="n">
        <v>0.068</v>
      </c>
      <c r="AO114" s="20" t="n">
        <v>0.1721</v>
      </c>
      <c r="AP114" s="20" t="n">
        <v>1.344</v>
      </c>
      <c r="AQ114" s="20" t="n">
        <v>0.5086000000000001</v>
      </c>
      <c r="AR114" s="20" t="n">
        <v>0.5667</v>
      </c>
      <c r="AS114" s="20" t="n">
        <v>0.5954</v>
      </c>
      <c r="AT114" s="20" t="n">
        <v>0.4701</v>
      </c>
      <c r="AU114" s="20" t="n">
        <v>0.3829</v>
      </c>
      <c r="AV114" s="20" t="n">
        <v>0.4618</v>
      </c>
      <c r="AW114" s="20" t="n">
        <v>0.1848</v>
      </c>
      <c r="AX114" s="20" t="n">
        <v>0.029</v>
      </c>
    </row>
    <row r="115">
      <c r="A115" s="19" t="inlineStr">
        <is>
          <t>Load_TR2_F6_24</t>
        </is>
      </c>
      <c r="B115" s="15" t="inlineStr">
        <is>
          <t>prosumer</t>
        </is>
      </c>
      <c r="C115" s="20" t="n">
        <v>0.3672</v>
      </c>
      <c r="D115" s="20" t="n">
        <v>0.4471</v>
      </c>
      <c r="E115" s="20" t="n">
        <v>0.1723</v>
      </c>
      <c r="F115" s="20" t="n">
        <v>0.5444</v>
      </c>
      <c r="G115" s="20" t="n">
        <v>0.2312</v>
      </c>
      <c r="H115" s="20" t="n">
        <v>0.3334</v>
      </c>
      <c r="I115" s="20" t="n">
        <v>0.5202</v>
      </c>
      <c r="J115" s="20" t="n">
        <v>0.0756</v>
      </c>
      <c r="K115" s="20" t="n">
        <v>0.048</v>
      </c>
      <c r="L115" s="20" t="n">
        <v>0.048</v>
      </c>
      <c r="M115" s="20" t="n">
        <v>0.1999</v>
      </c>
      <c r="N115" s="20" t="n">
        <v>0.048</v>
      </c>
      <c r="O115" s="20" t="n">
        <v>0.1654</v>
      </c>
      <c r="P115" s="20" t="n">
        <v>0.0825</v>
      </c>
      <c r="Q115" s="20" t="n">
        <v>0.124</v>
      </c>
      <c r="R115" s="20" t="n">
        <v>0.124</v>
      </c>
      <c r="S115" s="20" t="n">
        <v>0.048</v>
      </c>
      <c r="T115" s="20" t="n">
        <v>0.0825</v>
      </c>
      <c r="U115" s="20" t="n">
        <v>0.1654</v>
      </c>
      <c r="V115" s="20" t="n">
        <v>0.048</v>
      </c>
      <c r="W115" s="20" t="n">
        <v>0.048</v>
      </c>
      <c r="X115" s="20" t="n">
        <v>0.048</v>
      </c>
      <c r="Y115" s="20" t="n">
        <v>0.1999</v>
      </c>
      <c r="Z115" s="20" t="n">
        <v>0.048</v>
      </c>
      <c r="AA115" s="20" t="n">
        <v>0.1447</v>
      </c>
      <c r="AB115" s="20" t="n">
        <v>0.1032</v>
      </c>
      <c r="AC115" s="20" t="n">
        <v>0.048</v>
      </c>
      <c r="AD115" s="20" t="n">
        <v>0.08939999999999999</v>
      </c>
      <c r="AE115" s="20" t="n">
        <v>0.1585</v>
      </c>
      <c r="AF115" s="20" t="n">
        <v>0.048</v>
      </c>
      <c r="AG115" s="20" t="n">
        <v>0.048</v>
      </c>
      <c r="AH115" s="20" t="n">
        <v>0.1999</v>
      </c>
      <c r="AI115" s="20" t="n">
        <v>0.048</v>
      </c>
      <c r="AJ115" s="20" t="n">
        <v>0.1861</v>
      </c>
      <c r="AK115" s="20" t="n">
        <v>0.0618</v>
      </c>
      <c r="AL115" s="20" t="n">
        <v>0.0588</v>
      </c>
      <c r="AM115" s="20" t="n">
        <v>0.048</v>
      </c>
      <c r="AN115" s="20" t="n">
        <v>0.4602</v>
      </c>
      <c r="AO115" s="20" t="n">
        <v>0.2001</v>
      </c>
      <c r="AP115" s="20" t="n">
        <v>0.2054</v>
      </c>
      <c r="AQ115" s="20" t="n">
        <v>0.2773</v>
      </c>
      <c r="AR115" s="20" t="n">
        <v>0.1962</v>
      </c>
      <c r="AS115" s="20" t="n">
        <v>0.3691</v>
      </c>
      <c r="AT115" s="20" t="n">
        <v>0.3675</v>
      </c>
      <c r="AU115" s="20" t="n">
        <v>0.4489</v>
      </c>
      <c r="AV115" s="20" t="n">
        <v>0.4394</v>
      </c>
      <c r="AW115" s="20" t="n">
        <v>0.44</v>
      </c>
      <c r="AX115" s="20" t="n">
        <v>0.2532</v>
      </c>
    </row>
    <row r="116">
      <c r="A116" s="19" t="inlineStr">
        <is>
          <t>Load_TR2_F6_25</t>
        </is>
      </c>
      <c r="B116" s="15" t="inlineStr">
        <is>
          <t>prosumer</t>
        </is>
      </c>
      <c r="C116" s="20" t="n">
        <v>0.4308</v>
      </c>
      <c r="D116" s="20" t="n">
        <v>0.4371</v>
      </c>
      <c r="E116" s="20" t="n">
        <v>0.039</v>
      </c>
      <c r="F116" s="20" t="n">
        <v>0.1419</v>
      </c>
      <c r="G116" s="20" t="n">
        <v>0.1943</v>
      </c>
      <c r="H116" s="20" t="n">
        <v>0.039</v>
      </c>
      <c r="I116" s="20" t="n">
        <v>0.1046</v>
      </c>
      <c r="J116" s="20" t="n">
        <v>0.2317</v>
      </c>
      <c r="K116" s="20" t="n">
        <v>0.039</v>
      </c>
      <c r="L116" s="20" t="n">
        <v>0.1943</v>
      </c>
      <c r="M116" s="20" t="n">
        <v>0.1419</v>
      </c>
      <c r="N116" s="20" t="n">
        <v>0.039</v>
      </c>
      <c r="O116" s="20" t="n">
        <v>0.2458</v>
      </c>
      <c r="P116" s="20" t="n">
        <v>0.0905</v>
      </c>
      <c r="Q116" s="20" t="n">
        <v>0.159</v>
      </c>
      <c r="R116" s="20" t="n">
        <v>0.1772</v>
      </c>
      <c r="S116" s="20" t="n">
        <v>0.0703</v>
      </c>
      <c r="T116" s="20" t="n">
        <v>0.1872</v>
      </c>
      <c r="U116" s="20" t="n">
        <v>0.1434</v>
      </c>
      <c r="V116" s="20" t="n">
        <v>0.329</v>
      </c>
      <c r="W116" s="20" t="n">
        <v>0.2249</v>
      </c>
      <c r="X116" s="20" t="n">
        <v>0.249</v>
      </c>
      <c r="Y116" s="20" t="n">
        <v>0.1875</v>
      </c>
      <c r="Z116" s="20" t="n">
        <v>0.5527</v>
      </c>
      <c r="AA116" s="20" t="n">
        <v>0.1875</v>
      </c>
      <c r="AB116" s="20" t="n">
        <v>0.5383</v>
      </c>
      <c r="AC116" s="20" t="n">
        <v>0.2537</v>
      </c>
      <c r="AD116" s="20" t="n">
        <v>0.0602</v>
      </c>
      <c r="AE116" s="20" t="n">
        <v>0.2761</v>
      </c>
      <c r="AF116" s="20" t="n">
        <v>0.039</v>
      </c>
      <c r="AG116" s="20" t="n">
        <v>0.2037</v>
      </c>
      <c r="AH116" s="20" t="n">
        <v>0.1325</v>
      </c>
      <c r="AI116" s="20" t="n">
        <v>0.039</v>
      </c>
      <c r="AJ116" s="20" t="n">
        <v>0.269</v>
      </c>
      <c r="AK116" s="20" t="n">
        <v>0.0672</v>
      </c>
      <c r="AL116" s="20" t="n">
        <v>0.2844</v>
      </c>
      <c r="AM116" s="20" t="n">
        <v>0.4433</v>
      </c>
      <c r="AN116" s="20" t="n">
        <v>1.1485</v>
      </c>
      <c r="AO116" s="20" t="n">
        <v>0.3935</v>
      </c>
      <c r="AP116" s="20" t="n">
        <v>0.2695</v>
      </c>
      <c r="AQ116" s="20" t="n">
        <v>0.039</v>
      </c>
      <c r="AR116" s="20" t="n">
        <v>0.1419</v>
      </c>
      <c r="AS116" s="20" t="n">
        <v>0.1943</v>
      </c>
      <c r="AT116" s="20" t="n">
        <v>0.08309999999999999</v>
      </c>
      <c r="AU116" s="20" t="n">
        <v>0.119</v>
      </c>
      <c r="AV116" s="20" t="n">
        <v>0.1731</v>
      </c>
      <c r="AW116" s="20" t="n">
        <v>0.1419</v>
      </c>
      <c r="AX116" s="20" t="n">
        <v>0.1449</v>
      </c>
    </row>
    <row r="117">
      <c r="A117" s="19" t="inlineStr">
        <is>
          <t>Load_TR2_F6_26</t>
        </is>
      </c>
      <c r="B117" s="15" t="inlineStr">
        <is>
          <t>prosumer</t>
        </is>
      </c>
      <c r="C117" s="20" t="n">
        <v>0.0624</v>
      </c>
      <c r="D117" s="20" t="n">
        <v>0.1919</v>
      </c>
      <c r="E117" s="20" t="n">
        <v>0.038</v>
      </c>
      <c r="F117" s="20" t="n">
        <v>0.1535</v>
      </c>
      <c r="G117" s="20" t="n">
        <v>0.1008</v>
      </c>
      <c r="H117" s="20" t="n">
        <v>0.038</v>
      </c>
      <c r="I117" s="20" t="n">
        <v>0.1605</v>
      </c>
      <c r="J117" s="20" t="n">
        <v>0.09379999999999999</v>
      </c>
      <c r="K117" s="20" t="n">
        <v>0.137</v>
      </c>
      <c r="L117" s="20" t="n">
        <v>0.0545</v>
      </c>
      <c r="M117" s="20" t="n">
        <v>0.1008</v>
      </c>
      <c r="N117" s="20" t="n">
        <v>0.1535</v>
      </c>
      <c r="O117" s="20" t="n">
        <v>0.038</v>
      </c>
      <c r="P117" s="20" t="n">
        <v>0.038</v>
      </c>
      <c r="Q117" s="20" t="n">
        <v>0.1535</v>
      </c>
      <c r="R117" s="20" t="n">
        <v>0.1008</v>
      </c>
      <c r="S117" s="20" t="n">
        <v>0.038</v>
      </c>
      <c r="T117" s="20" t="n">
        <v>0.2163</v>
      </c>
      <c r="U117" s="20" t="n">
        <v>0.038</v>
      </c>
      <c r="V117" s="20" t="n">
        <v>0.08749999999999999</v>
      </c>
      <c r="W117" s="20" t="n">
        <v>0.1354</v>
      </c>
      <c r="X117" s="20" t="n">
        <v>0.0694</v>
      </c>
      <c r="Y117" s="20" t="n">
        <v>0.1535</v>
      </c>
      <c r="Z117" s="20" t="n">
        <v>0.038</v>
      </c>
      <c r="AA117" s="20" t="n">
        <v>0.09569999999999999</v>
      </c>
      <c r="AB117" s="20" t="n">
        <v>0.1586</v>
      </c>
      <c r="AC117" s="20" t="n">
        <v>0.038</v>
      </c>
      <c r="AD117" s="20" t="n">
        <v>0.1627</v>
      </c>
      <c r="AE117" s="20" t="n">
        <v>0.0916</v>
      </c>
      <c r="AF117" s="20" t="n">
        <v>0.0624</v>
      </c>
      <c r="AG117" s="20" t="n">
        <v>0.1506</v>
      </c>
      <c r="AH117" s="20" t="n">
        <v>0.07920000000000001</v>
      </c>
      <c r="AI117" s="20" t="n">
        <v>0.0694</v>
      </c>
      <c r="AJ117" s="20" t="n">
        <v>0.09420000000000001</v>
      </c>
      <c r="AK117" s="20" t="n">
        <v>0.1706</v>
      </c>
      <c r="AL117" s="20" t="n">
        <v>0.3917</v>
      </c>
      <c r="AM117" s="20" t="n">
        <v>0.305</v>
      </c>
      <c r="AN117" s="20" t="n">
        <v>0.2763</v>
      </c>
      <c r="AO117" s="20" t="n">
        <v>0.2692</v>
      </c>
      <c r="AP117" s="20" t="n">
        <v>0.5359</v>
      </c>
      <c r="AQ117" s="20" t="n">
        <v>0.522</v>
      </c>
      <c r="AR117" s="20" t="n">
        <v>0.3078</v>
      </c>
      <c r="AS117" s="20" t="n">
        <v>0.5569</v>
      </c>
      <c r="AT117" s="20" t="n">
        <v>0.6149</v>
      </c>
      <c r="AU117" s="20" t="n">
        <v>0.5928</v>
      </c>
      <c r="AV117" s="20" t="n">
        <v>0.5449000000000001</v>
      </c>
      <c r="AW117" s="20" t="n">
        <v>0.038</v>
      </c>
      <c r="AX117" s="20" t="n">
        <v>0.1535</v>
      </c>
    </row>
    <row r="118">
      <c r="A118" s="19" t="inlineStr">
        <is>
          <t>Load_TR2_F6_27</t>
        </is>
      </c>
      <c r="B118" s="15" t="inlineStr">
        <is>
          <t>prosumer</t>
        </is>
      </c>
      <c r="C118" s="20" t="n">
        <v>0.047</v>
      </c>
      <c r="D118" s="20" t="n">
        <v>0.047</v>
      </c>
      <c r="E118" s="20" t="n">
        <v>0.047</v>
      </c>
      <c r="F118" s="20" t="n">
        <v>0.047</v>
      </c>
      <c r="G118" s="20" t="n">
        <v>0.047</v>
      </c>
      <c r="H118" s="20" t="n">
        <v>0.047</v>
      </c>
      <c r="I118" s="20" t="n">
        <v>0.047</v>
      </c>
      <c r="J118" s="20" t="n">
        <v>0.047</v>
      </c>
      <c r="K118" s="20" t="n">
        <v>0.047</v>
      </c>
      <c r="L118" s="20" t="n">
        <v>0.047</v>
      </c>
      <c r="M118" s="20" t="n">
        <v>0.047</v>
      </c>
      <c r="N118" s="20" t="n">
        <v>0.047</v>
      </c>
      <c r="O118" s="20" t="n">
        <v>0.047</v>
      </c>
      <c r="P118" s="20" t="n">
        <v>0.047</v>
      </c>
      <c r="Q118" s="20" t="n">
        <v>0.047</v>
      </c>
      <c r="R118" s="20" t="n">
        <v>0.0603</v>
      </c>
      <c r="S118" s="20" t="n">
        <v>0.0537</v>
      </c>
      <c r="T118" s="20" t="n">
        <v>0.047</v>
      </c>
      <c r="U118" s="20" t="n">
        <v>0.047</v>
      </c>
      <c r="V118" s="20" t="n">
        <v>0.047</v>
      </c>
      <c r="W118" s="20" t="n">
        <v>0.047</v>
      </c>
      <c r="X118" s="20" t="n">
        <v>0.055</v>
      </c>
      <c r="Y118" s="20" t="n">
        <v>0.082</v>
      </c>
      <c r="Z118" s="20" t="n">
        <v>0.0597</v>
      </c>
      <c r="AA118" s="20" t="n">
        <v>0.0645</v>
      </c>
      <c r="AB118" s="20" t="n">
        <v>0.047</v>
      </c>
      <c r="AC118" s="20" t="n">
        <v>0.0613</v>
      </c>
      <c r="AD118" s="20" t="n">
        <v>0.0677</v>
      </c>
      <c r="AE118" s="20" t="n">
        <v>0.047</v>
      </c>
      <c r="AF118" s="20" t="n">
        <v>0.047</v>
      </c>
      <c r="AG118" s="20" t="n">
        <v>0.0985</v>
      </c>
      <c r="AH118" s="20" t="n">
        <v>0.2154</v>
      </c>
      <c r="AI118" s="20" t="n">
        <v>0.2514</v>
      </c>
      <c r="AJ118" s="20" t="n">
        <v>0.2527</v>
      </c>
      <c r="AK118" s="20" t="n">
        <v>0.2114</v>
      </c>
      <c r="AL118" s="20" t="n">
        <v>0.286</v>
      </c>
      <c r="AM118" s="20" t="n">
        <v>0.2886</v>
      </c>
      <c r="AN118" s="20" t="n">
        <v>0.2926</v>
      </c>
      <c r="AO118" s="20" t="n">
        <v>0.2628</v>
      </c>
      <c r="AP118" s="20" t="n">
        <v>0.4008</v>
      </c>
      <c r="AQ118" s="20" t="n">
        <v>0.3885</v>
      </c>
      <c r="AR118" s="20" t="n">
        <v>0.2086</v>
      </c>
      <c r="AS118" s="20" t="n">
        <v>0.2614</v>
      </c>
      <c r="AT118" s="20" t="n">
        <v>0.4006</v>
      </c>
      <c r="AU118" s="20" t="n">
        <v>0.3035</v>
      </c>
      <c r="AV118" s="20" t="n">
        <v>0.1654</v>
      </c>
      <c r="AW118" s="20" t="n">
        <v>0.1822</v>
      </c>
      <c r="AX118" s="20" t="n">
        <v>0.3468</v>
      </c>
    </row>
    <row r="119">
      <c r="A119" s="19" t="inlineStr">
        <is>
          <t>Load_TR2_F6_28</t>
        </is>
      </c>
      <c r="B119" s="15" t="inlineStr">
        <is>
          <t>prosumer</t>
        </is>
      </c>
      <c r="C119" s="20" t="n">
        <v>0.048</v>
      </c>
      <c r="D119" s="20" t="n">
        <v>0.048</v>
      </c>
      <c r="E119" s="20" t="n">
        <v>0.2118</v>
      </c>
      <c r="F119" s="20" t="n">
        <v>0.4566</v>
      </c>
      <c r="G119" s="20" t="n">
        <v>0.9364</v>
      </c>
      <c r="H119" s="20" t="n">
        <v>1.0645</v>
      </c>
      <c r="I119" s="20" t="n">
        <v>1.7299</v>
      </c>
      <c r="J119" s="20" t="n">
        <v>0.1862</v>
      </c>
      <c r="K119" s="20" t="n">
        <v>0.048</v>
      </c>
      <c r="L119" s="20" t="n">
        <v>0.1548</v>
      </c>
      <c r="M119" s="20" t="n">
        <v>0.0794</v>
      </c>
      <c r="N119" s="20" t="n">
        <v>0.048</v>
      </c>
      <c r="O119" s="20" t="n">
        <v>0.136</v>
      </c>
      <c r="P119" s="20" t="n">
        <v>0.0983</v>
      </c>
      <c r="Q119" s="20" t="n">
        <v>0.2416</v>
      </c>
      <c r="R119" s="20" t="n">
        <v>0.08400000000000001</v>
      </c>
      <c r="S119" s="20" t="n">
        <v>0.0731</v>
      </c>
      <c r="T119" s="20" t="n">
        <v>0.1611</v>
      </c>
      <c r="U119" s="20" t="n">
        <v>0.048</v>
      </c>
      <c r="V119" s="20" t="n">
        <v>0.2162</v>
      </c>
      <c r="W119" s="20" t="n">
        <v>0.1139</v>
      </c>
      <c r="X119" s="20" t="n">
        <v>1.0339</v>
      </c>
      <c r="Y119" s="20" t="n">
        <v>0.8547</v>
      </c>
      <c r="Z119" s="20" t="n">
        <v>1.4406</v>
      </c>
      <c r="AA119" s="20" t="n">
        <v>0.048</v>
      </c>
      <c r="AB119" s="20" t="n">
        <v>0.201</v>
      </c>
      <c r="AC119" s="20" t="n">
        <v>0.135</v>
      </c>
      <c r="AD119" s="20" t="n">
        <v>0.1619</v>
      </c>
      <c r="AE119" s="20" t="n">
        <v>0.4682</v>
      </c>
      <c r="AF119" s="20" t="n">
        <v>0.048</v>
      </c>
      <c r="AG119" s="20" t="n">
        <v>0.1485</v>
      </c>
      <c r="AH119" s="20" t="n">
        <v>0.0857</v>
      </c>
      <c r="AI119" s="20" t="n">
        <v>0.048</v>
      </c>
      <c r="AJ119" s="20" t="n">
        <v>0.0794</v>
      </c>
      <c r="AK119" s="20" t="n">
        <v>0.1548</v>
      </c>
      <c r="AL119" s="20" t="n">
        <v>0.048</v>
      </c>
      <c r="AM119" s="20" t="n">
        <v>0.048</v>
      </c>
      <c r="AN119" s="20" t="n">
        <v>0.1862</v>
      </c>
      <c r="AO119" s="20" t="n">
        <v>0.048</v>
      </c>
      <c r="AP119" s="20" t="n">
        <v>1.1748</v>
      </c>
      <c r="AQ119" s="20" t="n">
        <v>0.6749000000000001</v>
      </c>
      <c r="AR119" s="20" t="n">
        <v>0.7596000000000001</v>
      </c>
      <c r="AS119" s="20" t="n">
        <v>0.7576000000000001</v>
      </c>
      <c r="AT119" s="20" t="n">
        <v>0.4672</v>
      </c>
      <c r="AU119" s="20" t="n">
        <v>0.6206</v>
      </c>
      <c r="AV119" s="20" t="n">
        <v>1.66</v>
      </c>
      <c r="AW119" s="20" t="n">
        <v>0.6798</v>
      </c>
      <c r="AX119" s="20" t="n">
        <v>0.7638</v>
      </c>
    </row>
    <row r="120">
      <c r="A120" s="19" t="inlineStr">
        <is>
          <t>Load_TR2_F6_29</t>
        </is>
      </c>
      <c r="B120" s="15" t="inlineStr">
        <is>
          <t>prosumer</t>
        </is>
      </c>
      <c r="C120" s="20" t="n">
        <v>0.1595</v>
      </c>
      <c r="D120" s="20" t="n">
        <v>0.2497</v>
      </c>
      <c r="E120" s="20" t="n">
        <v>0.2079</v>
      </c>
      <c r="F120" s="20" t="n">
        <v>0.057</v>
      </c>
      <c r="G120" s="20" t="n">
        <v>0.2901</v>
      </c>
      <c r="H120" s="20" t="n">
        <v>0.1595</v>
      </c>
      <c r="I120" s="20" t="n">
        <v>0.2097</v>
      </c>
      <c r="J120" s="20" t="n">
        <v>0.2163</v>
      </c>
      <c r="K120" s="20" t="n">
        <v>0.1085</v>
      </c>
      <c r="L120" s="20" t="n">
        <v>0.246</v>
      </c>
      <c r="M120" s="20" t="n">
        <v>0.1996</v>
      </c>
      <c r="N120" s="20" t="n">
        <v>0.1048</v>
      </c>
      <c r="O120" s="20" t="n">
        <v>0.3569</v>
      </c>
      <c r="P120" s="20" t="n">
        <v>0.1006</v>
      </c>
      <c r="Q120" s="20" t="n">
        <v>0.1216</v>
      </c>
      <c r="R120" s="20" t="n">
        <v>1.0345</v>
      </c>
      <c r="S120" s="20" t="n">
        <v>0.1286</v>
      </c>
      <c r="T120" s="20" t="n">
        <v>0.217</v>
      </c>
      <c r="U120" s="20" t="n">
        <v>0.2686</v>
      </c>
      <c r="V120" s="20" t="n">
        <v>0.1488</v>
      </c>
      <c r="W120" s="20" t="n">
        <v>0.4382</v>
      </c>
      <c r="X120" s="20" t="n">
        <v>0.2634</v>
      </c>
      <c r="Y120" s="20" t="n">
        <v>2.2583</v>
      </c>
      <c r="Z120" s="20" t="n">
        <v>2.7794</v>
      </c>
      <c r="AA120" s="20" t="n">
        <v>1.2672</v>
      </c>
      <c r="AB120" s="20" t="n">
        <v>0.386</v>
      </c>
      <c r="AC120" s="20" t="n">
        <v>0.0501</v>
      </c>
      <c r="AD120" s="20" t="n">
        <v>0.1581</v>
      </c>
      <c r="AE120" s="20" t="n">
        <v>0.9243</v>
      </c>
      <c r="AF120" s="20" t="n">
        <v>2.6117</v>
      </c>
      <c r="AG120" s="20" t="n">
        <v>2.6988</v>
      </c>
      <c r="AH120" s="20" t="n">
        <v>0.4519</v>
      </c>
      <c r="AI120" s="20" t="n">
        <v>0.1048</v>
      </c>
      <c r="AJ120" s="20" t="n">
        <v>0.2321</v>
      </c>
      <c r="AK120" s="20" t="n">
        <v>0.2255</v>
      </c>
      <c r="AL120" s="20" t="n">
        <v>0.1123</v>
      </c>
      <c r="AM120" s="20" t="n">
        <v>0.3453</v>
      </c>
      <c r="AN120" s="20" t="n">
        <v>0.049</v>
      </c>
      <c r="AO120" s="20" t="n">
        <v>0.2473</v>
      </c>
      <c r="AP120" s="20" t="n">
        <v>0.2103</v>
      </c>
      <c r="AQ120" s="20" t="n">
        <v>0.049</v>
      </c>
      <c r="AR120" s="20" t="n">
        <v>0.2737</v>
      </c>
      <c r="AS120" s="20" t="n">
        <v>0.1838</v>
      </c>
      <c r="AT120" s="20" t="n">
        <v>0.0893</v>
      </c>
      <c r="AU120" s="20" t="n">
        <v>0.3683</v>
      </c>
      <c r="AV120" s="20" t="n">
        <v>0.049</v>
      </c>
      <c r="AW120" s="20" t="n">
        <v>0.1167</v>
      </c>
      <c r="AX120" s="20" t="n">
        <v>0.2304</v>
      </c>
    </row>
    <row r="121">
      <c r="A121" s="10" t="inlineStr">
        <is>
          <t>Load_TR2_F6_3</t>
        </is>
      </c>
      <c r="B121" s="12" t="inlineStr">
        <is>
          <t>customer</t>
        </is>
      </c>
      <c r="C121" s="18" t="n">
        <v>0.1197</v>
      </c>
      <c r="D121" s="18" t="n">
        <v>0.032</v>
      </c>
      <c r="E121" s="18" t="n">
        <v>0.0633</v>
      </c>
      <c r="F121" s="18" t="n">
        <v>0.1385</v>
      </c>
      <c r="G121" s="18" t="n">
        <v>0.032</v>
      </c>
      <c r="H121" s="18" t="n">
        <v>0.032</v>
      </c>
      <c r="I121" s="18" t="n">
        <v>0.0445</v>
      </c>
      <c r="J121" s="18" t="n">
        <v>0.1573</v>
      </c>
      <c r="K121" s="18" t="n">
        <v>0.032</v>
      </c>
      <c r="L121" s="18" t="n">
        <v>0.032</v>
      </c>
      <c r="M121" s="18" t="n">
        <v>0.1699</v>
      </c>
      <c r="N121" s="18" t="n">
        <v>0.032</v>
      </c>
      <c r="O121" s="18" t="n">
        <v>0.032</v>
      </c>
      <c r="P121" s="18" t="n">
        <v>0.032</v>
      </c>
      <c r="Q121" s="18" t="n">
        <v>0.0445</v>
      </c>
      <c r="R121" s="18" t="n">
        <v>0.1573</v>
      </c>
      <c r="S121" s="18" t="n">
        <v>0.032</v>
      </c>
      <c r="T121" s="18" t="n">
        <v>0.1009</v>
      </c>
      <c r="U121" s="18" t="n">
        <v>0.1009</v>
      </c>
      <c r="V121" s="18" t="n">
        <v>0.0508</v>
      </c>
      <c r="W121" s="18" t="n">
        <v>0.2299</v>
      </c>
      <c r="X121" s="18" t="n">
        <v>0.2704</v>
      </c>
      <c r="Y121" s="18" t="n">
        <v>0.2898</v>
      </c>
      <c r="Z121" s="18" t="n">
        <v>0.032</v>
      </c>
      <c r="AA121" s="18" t="n">
        <v>0.1936</v>
      </c>
      <c r="AB121" s="18" t="n">
        <v>0.526</v>
      </c>
      <c r="AC121" s="18" t="n">
        <v>0.3722</v>
      </c>
      <c r="AD121" s="18" t="n">
        <v>0.6069</v>
      </c>
      <c r="AE121" s="18" t="n">
        <v>0.4623</v>
      </c>
      <c r="AF121" s="18" t="n">
        <v>0.032</v>
      </c>
      <c r="AG121" s="18" t="n">
        <v>0.4372</v>
      </c>
      <c r="AH121" s="18" t="n">
        <v>0.4295</v>
      </c>
      <c r="AI121" s="18" t="n">
        <v>0.1033</v>
      </c>
      <c r="AJ121" s="18" t="n">
        <v>0.2081</v>
      </c>
      <c r="AK121" s="18" t="n">
        <v>0.116</v>
      </c>
      <c r="AL121" s="18" t="n">
        <v>0.0997</v>
      </c>
      <c r="AM121" s="18" t="n">
        <v>0.4905</v>
      </c>
      <c r="AN121" s="18" t="n">
        <v>0.6653</v>
      </c>
      <c r="AO121" s="18" t="n">
        <v>0.4558</v>
      </c>
      <c r="AP121" s="18" t="n">
        <v>0.5949</v>
      </c>
      <c r="AQ121" s="18" t="n">
        <v>0.5236</v>
      </c>
      <c r="AR121" s="18" t="n">
        <v>0.4225</v>
      </c>
      <c r="AS121" s="18" t="n">
        <v>0.5125999999999999</v>
      </c>
      <c r="AT121" s="18" t="n">
        <v>0.6503</v>
      </c>
      <c r="AU121" s="18" t="n">
        <v>0.2417</v>
      </c>
      <c r="AV121" s="18" t="n">
        <v>0.08690000000000001</v>
      </c>
      <c r="AW121" s="18" t="n">
        <v>0.371</v>
      </c>
      <c r="AX121" s="18" t="n">
        <v>0.1893</v>
      </c>
    </row>
    <row r="122">
      <c r="A122" s="19" t="inlineStr">
        <is>
          <t>Load_TR2_F6_30</t>
        </is>
      </c>
      <c r="B122" s="15" t="inlineStr">
        <is>
          <t>prosumer</t>
        </is>
      </c>
      <c r="C122" s="20" t="n">
        <v>0.4553</v>
      </c>
      <c r="D122" s="20" t="n">
        <v>0.4774</v>
      </c>
      <c r="E122" s="20" t="n">
        <v>0.2234</v>
      </c>
      <c r="F122" s="20" t="n">
        <v>0.047</v>
      </c>
      <c r="G122" s="20" t="n">
        <v>0.1091</v>
      </c>
      <c r="H122" s="20" t="n">
        <v>0.1557</v>
      </c>
      <c r="I122" s="20" t="n">
        <v>0.047</v>
      </c>
      <c r="J122" s="20" t="n">
        <v>0.2178</v>
      </c>
      <c r="K122" s="20" t="n">
        <v>0.047</v>
      </c>
      <c r="L122" s="20" t="n">
        <v>0.047</v>
      </c>
      <c r="M122" s="20" t="n">
        <v>0.1402</v>
      </c>
      <c r="N122" s="20" t="n">
        <v>0.1246</v>
      </c>
      <c r="O122" s="20" t="n">
        <v>0.047</v>
      </c>
      <c r="P122" s="20" t="n">
        <v>0.2178</v>
      </c>
      <c r="Q122" s="20" t="n">
        <v>2.693</v>
      </c>
      <c r="R122" s="20" t="n">
        <v>1.2884</v>
      </c>
      <c r="S122" s="20" t="n">
        <v>0.394</v>
      </c>
      <c r="T122" s="20" t="n">
        <v>0.0578</v>
      </c>
      <c r="U122" s="20" t="n">
        <v>0.3344</v>
      </c>
      <c r="V122" s="20" t="n">
        <v>0.1189</v>
      </c>
      <c r="W122" s="20" t="n">
        <v>0.047</v>
      </c>
      <c r="X122" s="20" t="n">
        <v>0.2448</v>
      </c>
      <c r="Y122" s="20" t="n">
        <v>0.2334</v>
      </c>
      <c r="Z122" s="20" t="n">
        <v>0.2023</v>
      </c>
      <c r="AA122" s="20" t="n">
        <v>0.2515</v>
      </c>
      <c r="AB122" s="20" t="n">
        <v>0.0664</v>
      </c>
      <c r="AC122" s="20" t="n">
        <v>1.0696</v>
      </c>
      <c r="AD122" s="20" t="n">
        <v>0.152</v>
      </c>
      <c r="AE122" s="20" t="n">
        <v>0.3592</v>
      </c>
      <c r="AF122" s="20" t="n">
        <v>0.1783</v>
      </c>
      <c r="AG122" s="20" t="n">
        <v>0.2771</v>
      </c>
      <c r="AH122" s="20" t="n">
        <v>0.0482</v>
      </c>
      <c r="AI122" s="20" t="n">
        <v>0.1517</v>
      </c>
      <c r="AJ122" s="20" t="n">
        <v>0.1169</v>
      </c>
      <c r="AK122" s="20" t="n">
        <v>0.047</v>
      </c>
      <c r="AL122" s="20" t="n">
        <v>0.4042</v>
      </c>
      <c r="AM122" s="20" t="n">
        <v>0.0554</v>
      </c>
      <c r="AN122" s="20" t="n">
        <v>0.1904</v>
      </c>
      <c r="AO122" s="20" t="n">
        <v>0.1678</v>
      </c>
      <c r="AP122" s="20" t="n">
        <v>0.407</v>
      </c>
      <c r="AQ122" s="20" t="n">
        <v>0.583</v>
      </c>
      <c r="AR122" s="20" t="n">
        <v>0.4514</v>
      </c>
      <c r="AS122" s="20" t="n">
        <v>0.2676</v>
      </c>
      <c r="AT122" s="20" t="n">
        <v>0.6207</v>
      </c>
      <c r="AU122" s="20" t="n">
        <v>0.3741</v>
      </c>
      <c r="AV122" s="20" t="n">
        <v>0.3131</v>
      </c>
      <c r="AW122" s="20" t="n">
        <v>0.1324</v>
      </c>
      <c r="AX122" s="20" t="n">
        <v>0.047</v>
      </c>
    </row>
    <row r="123">
      <c r="A123" s="19" t="inlineStr">
        <is>
          <t>Load_TR2_F6_31</t>
        </is>
      </c>
      <c r="B123" s="15" t="inlineStr">
        <is>
          <t>prosumer</t>
        </is>
      </c>
      <c r="C123" s="20" t="n">
        <v>0.9014</v>
      </c>
      <c r="D123" s="20" t="n">
        <v>0.7945</v>
      </c>
      <c r="E123" s="20" t="n">
        <v>0.9296</v>
      </c>
      <c r="F123" s="20" t="n">
        <v>0.1301</v>
      </c>
      <c r="G123" s="20" t="n">
        <v>0.055</v>
      </c>
      <c r="H123" s="20" t="n">
        <v>0.055</v>
      </c>
      <c r="I123" s="20" t="n">
        <v>0.055</v>
      </c>
      <c r="J123" s="20" t="n">
        <v>0.1218</v>
      </c>
      <c r="K123" s="20" t="n">
        <v>0.0633</v>
      </c>
      <c r="L123" s="20" t="n">
        <v>0.1301</v>
      </c>
      <c r="M123" s="20" t="n">
        <v>0.055</v>
      </c>
      <c r="N123" s="20" t="n">
        <v>0.1301</v>
      </c>
      <c r="O123" s="20" t="n">
        <v>0.055</v>
      </c>
      <c r="P123" s="20" t="n">
        <v>0.055</v>
      </c>
      <c r="Q123" s="20" t="n">
        <v>0.4493</v>
      </c>
      <c r="R123" s="20" t="n">
        <v>0.4483</v>
      </c>
      <c r="S123" s="20" t="n">
        <v>0.3111</v>
      </c>
      <c r="T123" s="20" t="n">
        <v>0.055</v>
      </c>
      <c r="U123" s="20" t="n">
        <v>0.2905</v>
      </c>
      <c r="V123" s="20" t="n">
        <v>0.2018</v>
      </c>
      <c r="W123" s="20" t="n">
        <v>0.2015</v>
      </c>
      <c r="X123" s="20" t="n">
        <v>0.2622</v>
      </c>
      <c r="Y123" s="20" t="n">
        <v>0.1612</v>
      </c>
      <c r="Z123" s="20" t="n">
        <v>0.5386</v>
      </c>
      <c r="AA123" s="20" t="n">
        <v>0.0631</v>
      </c>
      <c r="AB123" s="20" t="n">
        <v>0.3346</v>
      </c>
      <c r="AC123" s="20" t="n">
        <v>0.3323</v>
      </c>
      <c r="AD123" s="20" t="n">
        <v>0.1672</v>
      </c>
      <c r="AE123" s="20" t="n">
        <v>0.3614</v>
      </c>
      <c r="AF123" s="20" t="n">
        <v>0.0882</v>
      </c>
      <c r="AG123" s="20" t="n">
        <v>0.354</v>
      </c>
      <c r="AH123" s="20" t="n">
        <v>0.5765</v>
      </c>
      <c r="AI123" s="20" t="n">
        <v>0.4733</v>
      </c>
      <c r="AJ123" s="20" t="n">
        <v>0.1605</v>
      </c>
      <c r="AK123" s="20" t="n">
        <v>0.1663</v>
      </c>
      <c r="AL123" s="20" t="n">
        <v>0.2837</v>
      </c>
      <c r="AM123" s="20" t="n">
        <v>0.055</v>
      </c>
      <c r="AN123" s="20" t="n">
        <v>0.1231</v>
      </c>
      <c r="AO123" s="20" t="n">
        <v>0.5016</v>
      </c>
      <c r="AP123" s="20" t="n">
        <v>0.8204</v>
      </c>
      <c r="AQ123" s="20" t="n">
        <v>0.5678</v>
      </c>
      <c r="AR123" s="20" t="n">
        <v>0.4829</v>
      </c>
      <c r="AS123" s="20" t="n">
        <v>0.5369</v>
      </c>
      <c r="AT123" s="20" t="n">
        <v>0.8599</v>
      </c>
      <c r="AU123" s="20" t="n">
        <v>1.1469</v>
      </c>
      <c r="AV123" s="20" t="n">
        <v>0.674</v>
      </c>
      <c r="AW123" s="20" t="n">
        <v>1.0018</v>
      </c>
      <c r="AX123" s="20" t="n">
        <v>0.0633</v>
      </c>
    </row>
    <row r="124">
      <c r="A124" s="19" t="inlineStr">
        <is>
          <t>Load_TR2_F6_32</t>
        </is>
      </c>
      <c r="B124" s="15" t="inlineStr">
        <is>
          <t>prosumer</t>
        </is>
      </c>
      <c r="C124" s="20" t="n">
        <v>0.3134</v>
      </c>
      <c r="D124" s="20" t="n">
        <v>0.05</v>
      </c>
      <c r="E124" s="20" t="n">
        <v>0.2725</v>
      </c>
      <c r="F124" s="20" t="n">
        <v>0.1309</v>
      </c>
      <c r="G124" s="20" t="n">
        <v>0.1894</v>
      </c>
      <c r="H124" s="20" t="n">
        <v>0.1359</v>
      </c>
      <c r="I124" s="20" t="n">
        <v>0.22</v>
      </c>
      <c r="J124" s="20" t="n">
        <v>0.1794</v>
      </c>
      <c r="K124" s="20" t="n">
        <v>0.2268</v>
      </c>
      <c r="L124" s="20" t="n">
        <v>0.05</v>
      </c>
      <c r="M124" s="20" t="n">
        <v>0.3706</v>
      </c>
      <c r="N124" s="20" t="n">
        <v>0.0644</v>
      </c>
      <c r="O124" s="20" t="n">
        <v>0.0553</v>
      </c>
      <c r="P124" s="20" t="n">
        <v>0.15</v>
      </c>
      <c r="Q124" s="20" t="n">
        <v>0.1219</v>
      </c>
      <c r="R124" s="20" t="n">
        <v>0.2415</v>
      </c>
      <c r="S124" s="20" t="n">
        <v>0.2676</v>
      </c>
      <c r="T124" s="20" t="n">
        <v>0.2622</v>
      </c>
      <c r="U124" s="20" t="n">
        <v>0.2</v>
      </c>
      <c r="V124" s="20" t="n">
        <v>0.3055</v>
      </c>
      <c r="W124" s="20" t="n">
        <v>0.4298</v>
      </c>
      <c r="X124" s="20" t="n">
        <v>0.369</v>
      </c>
      <c r="Y124" s="20" t="n">
        <v>0.4626</v>
      </c>
      <c r="Z124" s="20" t="n">
        <v>0.2765</v>
      </c>
      <c r="AA124" s="20" t="n">
        <v>0.2927</v>
      </c>
      <c r="AB124" s="20" t="n">
        <v>0.301</v>
      </c>
      <c r="AC124" s="20" t="n">
        <v>0.1788</v>
      </c>
      <c r="AD124" s="20" t="n">
        <v>0.1003</v>
      </c>
      <c r="AE124" s="20" t="n">
        <v>0.2294</v>
      </c>
      <c r="AF124" s="20" t="n">
        <v>0.1151</v>
      </c>
      <c r="AG124" s="20" t="n">
        <v>0.2563</v>
      </c>
      <c r="AH124" s="20" t="n">
        <v>0.4148</v>
      </c>
      <c r="AI124" s="20" t="n">
        <v>0.2093</v>
      </c>
      <c r="AJ124" s="20" t="n">
        <v>0.4234</v>
      </c>
      <c r="AK124" s="20" t="n">
        <v>0.2627</v>
      </c>
      <c r="AL124" s="20" t="n">
        <v>0.2981</v>
      </c>
      <c r="AM124" s="20" t="n">
        <v>0.5093</v>
      </c>
      <c r="AN124" s="20" t="n">
        <v>0.1801</v>
      </c>
      <c r="AO124" s="20" t="n">
        <v>0.2768</v>
      </c>
      <c r="AP124" s="20" t="n">
        <v>0.252</v>
      </c>
      <c r="AQ124" s="20" t="n">
        <v>0.2227</v>
      </c>
      <c r="AR124" s="20" t="n">
        <v>0.5597</v>
      </c>
      <c r="AS124" s="20" t="n">
        <v>0.5161</v>
      </c>
      <c r="AT124" s="20" t="n">
        <v>0.3508</v>
      </c>
      <c r="AU124" s="20" t="n">
        <v>0.9864000000000001</v>
      </c>
      <c r="AV124" s="20" t="n">
        <v>0.4205</v>
      </c>
      <c r="AW124" s="20" t="n">
        <v>0.3797</v>
      </c>
      <c r="AX124" s="20" t="n">
        <v>0.0553</v>
      </c>
    </row>
    <row r="125">
      <c r="A125" s="19" t="inlineStr">
        <is>
          <t>Load_TR2_F6_33</t>
        </is>
      </c>
      <c r="B125" s="15" t="inlineStr">
        <is>
          <t>prosumer</t>
        </is>
      </c>
      <c r="C125" s="20" t="n">
        <v>0.7568</v>
      </c>
      <c r="D125" s="20" t="n">
        <v>1.748</v>
      </c>
      <c r="E125" s="20" t="n">
        <v>0.258</v>
      </c>
      <c r="F125" s="20" t="n">
        <v>0.5238</v>
      </c>
      <c r="G125" s="20" t="n">
        <v>0.3018</v>
      </c>
      <c r="H125" s="20" t="n">
        <v>0.1552</v>
      </c>
      <c r="I125" s="20" t="n">
        <v>0.057</v>
      </c>
      <c r="J125" s="20" t="n">
        <v>0.029</v>
      </c>
      <c r="K125" s="20" t="n">
        <v>0.1762</v>
      </c>
      <c r="L125" s="20" t="n">
        <v>0.036</v>
      </c>
      <c r="M125" s="20" t="n">
        <v>0.0851</v>
      </c>
      <c r="N125" s="20" t="n">
        <v>0.1271</v>
      </c>
      <c r="O125" s="20" t="n">
        <v>0.029</v>
      </c>
      <c r="P125" s="20" t="n">
        <v>0.1832</v>
      </c>
      <c r="Q125" s="20" t="n">
        <v>0.029</v>
      </c>
      <c r="R125" s="20" t="n">
        <v>0.057</v>
      </c>
      <c r="S125" s="20" t="n">
        <v>0.1552</v>
      </c>
      <c r="T125" s="20" t="n">
        <v>0.029</v>
      </c>
      <c r="U125" s="20" t="n">
        <v>0.029</v>
      </c>
      <c r="V125" s="20" t="n">
        <v>0.0781</v>
      </c>
      <c r="W125" s="20" t="n">
        <v>0.1341</v>
      </c>
      <c r="X125" s="20" t="n">
        <v>0.029</v>
      </c>
      <c r="Y125" s="20" t="n">
        <v>0.3409</v>
      </c>
      <c r="Z125" s="20" t="n">
        <v>0.3054</v>
      </c>
      <c r="AA125" s="20" t="n">
        <v>0.036</v>
      </c>
      <c r="AB125" s="20" t="n">
        <v>0.1762</v>
      </c>
      <c r="AC125" s="20" t="n">
        <v>0.029</v>
      </c>
      <c r="AD125" s="20" t="n">
        <v>0.1622</v>
      </c>
      <c r="AE125" s="20" t="n">
        <v>0.3019</v>
      </c>
      <c r="AF125" s="20" t="n">
        <v>0.2559</v>
      </c>
      <c r="AG125" s="20" t="n">
        <v>0.1876</v>
      </c>
      <c r="AH125" s="20" t="n">
        <v>0.3119</v>
      </c>
      <c r="AI125" s="20" t="n">
        <v>0.3953</v>
      </c>
      <c r="AJ125" s="20" t="n">
        <v>0.243</v>
      </c>
      <c r="AK125" s="20" t="n">
        <v>0.1834</v>
      </c>
      <c r="AL125" s="20" t="n">
        <v>0.1135</v>
      </c>
      <c r="AM125" s="20" t="n">
        <v>0.7542</v>
      </c>
      <c r="AN125" s="20" t="n">
        <v>0.59</v>
      </c>
      <c r="AO125" s="20" t="n">
        <v>0.438</v>
      </c>
      <c r="AP125" s="20" t="n">
        <v>1.3968</v>
      </c>
      <c r="AQ125" s="20" t="n">
        <v>0.6303</v>
      </c>
      <c r="AR125" s="20" t="n">
        <v>0.2946</v>
      </c>
      <c r="AS125" s="20" t="n">
        <v>0.2843</v>
      </c>
      <c r="AT125" s="20" t="n">
        <v>0.3594</v>
      </c>
      <c r="AU125" s="20" t="n">
        <v>0.3061</v>
      </c>
      <c r="AV125" s="20" t="n">
        <v>0.386</v>
      </c>
      <c r="AW125" s="20" t="n">
        <v>0.2768</v>
      </c>
      <c r="AX125" s="20" t="n">
        <v>0.09030000000000001</v>
      </c>
    </row>
    <row r="126">
      <c r="A126" s="19" t="inlineStr">
        <is>
          <t>Load_TR2_F6_34</t>
        </is>
      </c>
      <c r="B126" s="15" t="inlineStr">
        <is>
          <t>prosumer</t>
        </is>
      </c>
      <c r="C126" s="20" t="n">
        <v>0.1778</v>
      </c>
      <c r="D126" s="20" t="n">
        <v>0.052</v>
      </c>
      <c r="E126" s="20" t="n">
        <v>0.2058</v>
      </c>
      <c r="F126" s="20" t="n">
        <v>0.052</v>
      </c>
      <c r="G126" s="20" t="n">
        <v>0.1079</v>
      </c>
      <c r="H126" s="20" t="n">
        <v>0.1498</v>
      </c>
      <c r="I126" s="20" t="n">
        <v>0.052</v>
      </c>
      <c r="J126" s="20" t="n">
        <v>0.052</v>
      </c>
      <c r="K126" s="20" t="n">
        <v>0.1219</v>
      </c>
      <c r="L126" s="20" t="n">
        <v>0.1359</v>
      </c>
      <c r="M126" s="20" t="n">
        <v>0.052</v>
      </c>
      <c r="N126" s="20" t="n">
        <v>0.052</v>
      </c>
      <c r="O126" s="20" t="n">
        <v>0.2058</v>
      </c>
      <c r="P126" s="20" t="n">
        <v>1.4303</v>
      </c>
      <c r="Q126" s="20" t="n">
        <v>0.7616000000000001</v>
      </c>
      <c r="R126" s="20" t="n">
        <v>0.6417</v>
      </c>
      <c r="S126" s="20" t="n">
        <v>0.436</v>
      </c>
      <c r="T126" s="20" t="n">
        <v>0.3975</v>
      </c>
      <c r="U126" s="20" t="n">
        <v>0.2519</v>
      </c>
      <c r="V126" s="20" t="n">
        <v>0.3696</v>
      </c>
      <c r="W126" s="20" t="n">
        <v>1.4947</v>
      </c>
      <c r="X126" s="20" t="n">
        <v>0.2189</v>
      </c>
      <c r="Y126" s="20" t="n">
        <v>0.7004</v>
      </c>
      <c r="Z126" s="20" t="n">
        <v>1.881</v>
      </c>
      <c r="AA126" s="20" t="n">
        <v>0.08</v>
      </c>
      <c r="AB126" s="20" t="n">
        <v>0.3658</v>
      </c>
      <c r="AC126" s="20" t="n">
        <v>0.0587</v>
      </c>
      <c r="AD126" s="20" t="n">
        <v>0.5445</v>
      </c>
      <c r="AE126" s="20" t="n">
        <v>0.1108</v>
      </c>
      <c r="AF126" s="20" t="n">
        <v>0.3904</v>
      </c>
      <c r="AG126" s="20" t="n">
        <v>1.3999</v>
      </c>
      <c r="AH126" s="20" t="n">
        <v>0.7871</v>
      </c>
      <c r="AI126" s="20" t="n">
        <v>0.5632</v>
      </c>
      <c r="AJ126" s="20" t="n">
        <v>0.443</v>
      </c>
      <c r="AK126" s="20" t="n">
        <v>0.6877</v>
      </c>
      <c r="AL126" s="20" t="n">
        <v>0.4301</v>
      </c>
      <c r="AM126" s="20" t="n">
        <v>0.6399</v>
      </c>
      <c r="AN126" s="20" t="n">
        <v>3.0957</v>
      </c>
      <c r="AO126" s="20" t="n">
        <v>3.697</v>
      </c>
      <c r="AP126" s="20" t="n">
        <v>1.0454</v>
      </c>
      <c r="AQ126" s="20" t="n">
        <v>0.4731</v>
      </c>
      <c r="AR126" s="20" t="n">
        <v>0.5048</v>
      </c>
      <c r="AS126" s="20" t="n">
        <v>1.6946</v>
      </c>
      <c r="AT126" s="20" t="n">
        <v>0.8826000000000001</v>
      </c>
      <c r="AU126" s="20" t="n">
        <v>0.8744</v>
      </c>
      <c r="AV126" s="20" t="n">
        <v>0.1702</v>
      </c>
      <c r="AW126" s="20" t="n">
        <v>0.052</v>
      </c>
      <c r="AX126" s="20" t="n">
        <v>0.2058</v>
      </c>
    </row>
    <row r="127">
      <c r="A127" s="10" t="inlineStr">
        <is>
          <t>Load_TR2_F6_35</t>
        </is>
      </c>
      <c r="B127" s="12" t="inlineStr">
        <is>
          <t>customer</t>
        </is>
      </c>
      <c r="C127" s="18" t="n">
        <v>0.1674</v>
      </c>
      <c r="D127" s="18" t="n">
        <v>0.0675</v>
      </c>
      <c r="E127" s="18" t="n">
        <v>0.055</v>
      </c>
      <c r="F127" s="18" t="n">
        <v>0.055</v>
      </c>
      <c r="G127" s="18" t="n">
        <v>0.1799</v>
      </c>
      <c r="H127" s="18" t="n">
        <v>0.055</v>
      </c>
      <c r="I127" s="18" t="n">
        <v>0.1736</v>
      </c>
      <c r="J127" s="18" t="n">
        <v>0.0612</v>
      </c>
      <c r="K127" s="18" t="n">
        <v>0.055</v>
      </c>
      <c r="L127" s="18" t="n">
        <v>0.055</v>
      </c>
      <c r="M127" s="18" t="n">
        <v>0.1174</v>
      </c>
      <c r="N127" s="18" t="n">
        <v>0.1174</v>
      </c>
      <c r="O127" s="18" t="n">
        <v>0.055</v>
      </c>
      <c r="P127" s="18" t="n">
        <v>0.055</v>
      </c>
      <c r="Q127" s="18" t="n">
        <v>0.1487</v>
      </c>
      <c r="R127" s="18" t="n">
        <v>0.0862</v>
      </c>
      <c r="S127" s="18" t="n">
        <v>0.2335</v>
      </c>
      <c r="T127" s="18" t="n">
        <v>0.2545</v>
      </c>
      <c r="U127" s="18" t="n">
        <v>0.6627999999999999</v>
      </c>
      <c r="V127" s="18" t="n">
        <v>0.0561</v>
      </c>
      <c r="W127" s="18" t="n">
        <v>0.3683</v>
      </c>
      <c r="X127" s="18" t="n">
        <v>0.08690000000000001</v>
      </c>
      <c r="Y127" s="18" t="n">
        <v>0.1078</v>
      </c>
      <c r="Z127" s="18" t="n">
        <v>0.1424</v>
      </c>
      <c r="AA127" s="18" t="n">
        <v>0.0675</v>
      </c>
      <c r="AB127" s="18" t="n">
        <v>0.1674</v>
      </c>
      <c r="AC127" s="18" t="n">
        <v>0.1703</v>
      </c>
      <c r="AD127" s="18" t="n">
        <v>0.8358</v>
      </c>
      <c r="AE127" s="18" t="n">
        <v>1.3942</v>
      </c>
      <c r="AF127" s="18" t="n">
        <v>0.6943</v>
      </c>
      <c r="AG127" s="18" t="n">
        <v>1.0668</v>
      </c>
      <c r="AH127" s="18" t="n">
        <v>2.7365</v>
      </c>
      <c r="AI127" s="18" t="n">
        <v>2.6477</v>
      </c>
      <c r="AJ127" s="18" t="n">
        <v>0.1695</v>
      </c>
      <c r="AK127" s="18" t="n">
        <v>0.055</v>
      </c>
      <c r="AL127" s="18" t="n">
        <v>0.055</v>
      </c>
      <c r="AM127" s="18" t="n">
        <v>0.1362</v>
      </c>
      <c r="AN127" s="18" t="n">
        <v>0.0987</v>
      </c>
      <c r="AO127" s="18" t="n">
        <v>0.055</v>
      </c>
      <c r="AP127" s="18" t="n">
        <v>0.1799</v>
      </c>
      <c r="AQ127" s="18" t="n">
        <v>0.5365</v>
      </c>
      <c r="AR127" s="18" t="n">
        <v>0.4596</v>
      </c>
      <c r="AS127" s="18" t="n">
        <v>0.4438</v>
      </c>
      <c r="AT127" s="18" t="n">
        <v>0.5542</v>
      </c>
      <c r="AU127" s="18" t="n">
        <v>1.4945</v>
      </c>
      <c r="AV127" s="18" t="n">
        <v>1.2286</v>
      </c>
      <c r="AW127" s="18" t="n">
        <v>0.5084</v>
      </c>
      <c r="AX127" s="18" t="n">
        <v>0.1529</v>
      </c>
    </row>
    <row r="128">
      <c r="A128" s="19" t="inlineStr">
        <is>
          <t>Load_TR2_F6_36</t>
        </is>
      </c>
      <c r="B128" s="15" t="inlineStr">
        <is>
          <t>prosumer</t>
        </is>
      </c>
      <c r="C128" s="20" t="n">
        <v>0.038</v>
      </c>
      <c r="D128" s="20" t="n">
        <v>0.038</v>
      </c>
      <c r="E128" s="20" t="n">
        <v>0.1386</v>
      </c>
      <c r="F128" s="20" t="n">
        <v>0.038</v>
      </c>
      <c r="G128" s="20" t="n">
        <v>0.038</v>
      </c>
      <c r="H128" s="20" t="n">
        <v>0.1386</v>
      </c>
      <c r="I128" s="20" t="n">
        <v>0.038</v>
      </c>
      <c r="J128" s="20" t="n">
        <v>0.038</v>
      </c>
      <c r="K128" s="20" t="n">
        <v>0.1386</v>
      </c>
      <c r="L128" s="20" t="n">
        <v>0.038</v>
      </c>
      <c r="M128" s="20" t="n">
        <v>0.038</v>
      </c>
      <c r="N128" s="20" t="n">
        <v>0.1386</v>
      </c>
      <c r="O128" s="20" t="n">
        <v>0.038</v>
      </c>
      <c r="P128" s="20" t="n">
        <v>0.038</v>
      </c>
      <c r="Q128" s="20" t="n">
        <v>0.1386</v>
      </c>
      <c r="R128" s="20" t="n">
        <v>0.038</v>
      </c>
      <c r="S128" s="20" t="n">
        <v>0.6554</v>
      </c>
      <c r="T128" s="20" t="n">
        <v>1.4762</v>
      </c>
      <c r="U128" s="20" t="n">
        <v>0.1072</v>
      </c>
      <c r="V128" s="20" t="n">
        <v>0.4771</v>
      </c>
      <c r="W128" s="20" t="n">
        <v>2.537</v>
      </c>
      <c r="X128" s="20" t="n">
        <v>2.6376</v>
      </c>
      <c r="Y128" s="20" t="n">
        <v>0.4545</v>
      </c>
      <c r="Z128" s="20" t="n">
        <v>0.038</v>
      </c>
      <c r="AA128" s="20" t="n">
        <v>0.038</v>
      </c>
      <c r="AB128" s="20" t="n">
        <v>0.1386</v>
      </c>
      <c r="AC128" s="20" t="n">
        <v>0.038</v>
      </c>
      <c r="AD128" s="20" t="n">
        <v>0.1027</v>
      </c>
      <c r="AE128" s="20" t="n">
        <v>0.07389999999999999</v>
      </c>
      <c r="AF128" s="20" t="n">
        <v>0.038</v>
      </c>
      <c r="AG128" s="20" t="n">
        <v>0.1386</v>
      </c>
      <c r="AH128" s="20" t="n">
        <v>0.038</v>
      </c>
      <c r="AI128" s="20" t="n">
        <v>0.0667</v>
      </c>
      <c r="AJ128" s="20" t="n">
        <v>0.1099</v>
      </c>
      <c r="AK128" s="20" t="n">
        <v>0.038</v>
      </c>
      <c r="AL128" s="20" t="n">
        <v>0.1386</v>
      </c>
      <c r="AM128" s="20" t="n">
        <v>0.038</v>
      </c>
      <c r="AN128" s="20" t="n">
        <v>0.0935</v>
      </c>
      <c r="AO128" s="20" t="n">
        <v>0.2545</v>
      </c>
      <c r="AP128" s="20" t="n">
        <v>0.4516</v>
      </c>
      <c r="AQ128" s="20" t="n">
        <v>0.4324</v>
      </c>
      <c r="AR128" s="20" t="n">
        <v>0.5383</v>
      </c>
      <c r="AS128" s="20" t="n">
        <v>0.3471</v>
      </c>
      <c r="AT128" s="20" t="n">
        <v>0.7073</v>
      </c>
      <c r="AU128" s="20" t="n">
        <v>0.1314</v>
      </c>
      <c r="AV128" s="20" t="n">
        <v>0.038</v>
      </c>
      <c r="AW128" s="20" t="n">
        <v>0.1386</v>
      </c>
      <c r="AX128" s="20" t="n">
        <v>0.038</v>
      </c>
    </row>
    <row r="129">
      <c r="A129" s="10" t="inlineStr">
        <is>
          <t>Load_TR2_F6_37</t>
        </is>
      </c>
      <c r="B129" s="12" t="inlineStr">
        <is>
          <t>customer</t>
        </is>
      </c>
      <c r="C129" s="18" t="n">
        <v>0.09039999999999999</v>
      </c>
      <c r="D129" s="18" t="n">
        <v>0.049</v>
      </c>
      <c r="E129" s="18" t="n">
        <v>0.2208</v>
      </c>
      <c r="F129" s="18" t="n">
        <v>0.1543</v>
      </c>
      <c r="G129" s="18" t="n">
        <v>0.0941</v>
      </c>
      <c r="H129" s="18" t="n">
        <v>0.2811</v>
      </c>
      <c r="I129" s="18" t="n">
        <v>0.049</v>
      </c>
      <c r="J129" s="18" t="n">
        <v>0.2916</v>
      </c>
      <c r="K129" s="18" t="n">
        <v>0.0835</v>
      </c>
      <c r="L129" s="18" t="n">
        <v>0.2295</v>
      </c>
      <c r="M129" s="18" t="n">
        <v>0.1457</v>
      </c>
      <c r="N129" s="18" t="n">
        <v>0.1742</v>
      </c>
      <c r="O129" s="18" t="n">
        <v>0.1112</v>
      </c>
      <c r="P129" s="18" t="n">
        <v>0.239</v>
      </c>
      <c r="Q129" s="18" t="n">
        <v>0.074</v>
      </c>
      <c r="R129" s="18" t="n">
        <v>0.2842</v>
      </c>
      <c r="S129" s="18" t="n">
        <v>0.2489</v>
      </c>
      <c r="T129" s="18" t="n">
        <v>0.5082</v>
      </c>
      <c r="U129" s="18" t="n">
        <v>0.7708</v>
      </c>
      <c r="V129" s="18" t="n">
        <v>0.3435</v>
      </c>
      <c r="W129" s="18" t="n">
        <v>0.4274</v>
      </c>
      <c r="X129" s="18" t="n">
        <v>0.5377</v>
      </c>
      <c r="Y129" s="18" t="n">
        <v>0.4763</v>
      </c>
      <c r="Z129" s="18" t="n">
        <v>0.6389</v>
      </c>
      <c r="AA129" s="18" t="n">
        <v>2.1476</v>
      </c>
      <c r="AB129" s="18" t="n">
        <v>0.4241</v>
      </c>
      <c r="AC129" s="18" t="n">
        <v>0.1112</v>
      </c>
      <c r="AD129" s="18" t="n">
        <v>0.5263</v>
      </c>
      <c r="AE129" s="18" t="n">
        <v>0.1082</v>
      </c>
      <c r="AF129" s="18" t="n">
        <v>0.357</v>
      </c>
      <c r="AG129" s="18" t="n">
        <v>0.3483</v>
      </c>
      <c r="AH129" s="18" t="n">
        <v>0.5786</v>
      </c>
      <c r="AI129" s="18" t="n">
        <v>0.4813</v>
      </c>
      <c r="AJ129" s="18" t="n">
        <v>1.4766</v>
      </c>
      <c r="AK129" s="18" t="n">
        <v>0.9882</v>
      </c>
      <c r="AL129" s="18" t="n">
        <v>0.429</v>
      </c>
      <c r="AM129" s="18" t="n">
        <v>0.074</v>
      </c>
      <c r="AN129" s="18" t="n">
        <v>0.364</v>
      </c>
      <c r="AO129" s="18" t="n">
        <v>0.404</v>
      </c>
      <c r="AP129" s="18" t="n">
        <v>0.1304</v>
      </c>
      <c r="AQ129" s="18" t="n">
        <v>0.1964</v>
      </c>
      <c r="AR129" s="18" t="n">
        <v>0.0974</v>
      </c>
      <c r="AS129" s="18" t="n">
        <v>0.5677</v>
      </c>
      <c r="AT129" s="18" t="n">
        <v>0.7376</v>
      </c>
      <c r="AU129" s="18" t="n">
        <v>0.9333</v>
      </c>
      <c r="AV129" s="18" t="n">
        <v>0.3525</v>
      </c>
      <c r="AW129" s="18" t="n">
        <v>0.4857</v>
      </c>
      <c r="AX129" s="18" t="n">
        <v>0.5694</v>
      </c>
    </row>
    <row r="130">
      <c r="A130" s="19" t="inlineStr">
        <is>
          <t>Load_TR2_F6_38</t>
        </is>
      </c>
      <c r="B130" s="15" t="inlineStr">
        <is>
          <t>prosumer</t>
        </is>
      </c>
      <c r="C130" s="20" t="n">
        <v>0.4092</v>
      </c>
      <c r="D130" s="20" t="n">
        <v>0.3567</v>
      </c>
      <c r="E130" s="20" t="n">
        <v>0.0664</v>
      </c>
      <c r="F130" s="20" t="n">
        <v>0.1901</v>
      </c>
      <c r="G130" s="20" t="n">
        <v>0.1344</v>
      </c>
      <c r="H130" s="20" t="n">
        <v>0.1301</v>
      </c>
      <c r="I130" s="20" t="n">
        <v>0.1944</v>
      </c>
      <c r="J130" s="20" t="n">
        <v>0.04</v>
      </c>
      <c r="K130" s="20" t="n">
        <v>0.2845</v>
      </c>
      <c r="L130" s="20" t="n">
        <v>0.04</v>
      </c>
      <c r="M130" s="20" t="n">
        <v>0.04</v>
      </c>
      <c r="N130" s="20" t="n">
        <v>0.055</v>
      </c>
      <c r="O130" s="20" t="n">
        <v>0.1901</v>
      </c>
      <c r="P130" s="20" t="n">
        <v>0.0929</v>
      </c>
      <c r="Q130" s="20" t="n">
        <v>0.0815</v>
      </c>
      <c r="R130" s="20" t="n">
        <v>0.1901</v>
      </c>
      <c r="S130" s="20" t="n">
        <v>0.0474</v>
      </c>
      <c r="T130" s="20" t="n">
        <v>0.2066</v>
      </c>
      <c r="U130" s="20" t="n">
        <v>0.0885</v>
      </c>
      <c r="V130" s="20" t="n">
        <v>0.1609</v>
      </c>
      <c r="W130" s="20" t="n">
        <v>0.1297</v>
      </c>
      <c r="X130" s="20" t="n">
        <v>0.7581</v>
      </c>
      <c r="Y130" s="20" t="n">
        <v>2.5229</v>
      </c>
      <c r="Z130" s="20" t="n">
        <v>1.7852</v>
      </c>
      <c r="AA130" s="20" t="n">
        <v>0.162</v>
      </c>
      <c r="AB130" s="20" t="n">
        <v>0.2914</v>
      </c>
      <c r="AC130" s="20" t="n">
        <v>0.0515</v>
      </c>
      <c r="AD130" s="20" t="n">
        <v>0.1751</v>
      </c>
      <c r="AE130" s="20" t="n">
        <v>0.07000000000000001</v>
      </c>
      <c r="AF130" s="20" t="n">
        <v>0.1226</v>
      </c>
      <c r="AG130" s="20" t="n">
        <v>0.1358</v>
      </c>
      <c r="AH130" s="20" t="n">
        <v>0.1061</v>
      </c>
      <c r="AI130" s="20" t="n">
        <v>0.1901</v>
      </c>
      <c r="AJ130" s="20" t="n">
        <v>0.08840000000000001</v>
      </c>
      <c r="AK130" s="20" t="n">
        <v>0.1874</v>
      </c>
      <c r="AL130" s="20" t="n">
        <v>0.3237</v>
      </c>
      <c r="AM130" s="20" t="n">
        <v>1.1118</v>
      </c>
      <c r="AN130" s="20" t="n">
        <v>0.2097</v>
      </c>
      <c r="AO130" s="20" t="n">
        <v>0.1879</v>
      </c>
      <c r="AP130" s="20" t="n">
        <v>0.2355</v>
      </c>
      <c r="AQ130" s="20" t="n">
        <v>0.3561</v>
      </c>
      <c r="AR130" s="20" t="n">
        <v>0.1861</v>
      </c>
      <c r="AS130" s="20" t="n">
        <v>0.2826</v>
      </c>
      <c r="AT130" s="20" t="n">
        <v>0.3114</v>
      </c>
      <c r="AU130" s="20" t="n">
        <v>0.3199</v>
      </c>
      <c r="AV130" s="20" t="n">
        <v>0.3961</v>
      </c>
      <c r="AW130" s="20" t="n">
        <v>0.3583</v>
      </c>
      <c r="AX130" s="20" t="n">
        <v>0.1706</v>
      </c>
    </row>
    <row r="131">
      <c r="A131" s="19" t="inlineStr">
        <is>
          <t>Load_TR2_F6_39</t>
        </is>
      </c>
      <c r="B131" s="15" t="inlineStr">
        <is>
          <t>prosumer</t>
        </is>
      </c>
      <c r="C131" s="20" t="n">
        <v>0.116</v>
      </c>
      <c r="D131" s="20" t="n">
        <v>0.1435</v>
      </c>
      <c r="E131" s="20" t="n">
        <v>0.054</v>
      </c>
      <c r="F131" s="20" t="n">
        <v>0.1573</v>
      </c>
      <c r="G131" s="20" t="n">
        <v>0.1022</v>
      </c>
      <c r="H131" s="20" t="n">
        <v>0.054</v>
      </c>
      <c r="I131" s="20" t="n">
        <v>0.054</v>
      </c>
      <c r="J131" s="20" t="n">
        <v>0.116</v>
      </c>
      <c r="K131" s="20" t="n">
        <v>0.1435</v>
      </c>
      <c r="L131" s="20" t="n">
        <v>0.054</v>
      </c>
      <c r="M131" s="20" t="n">
        <v>0.0747</v>
      </c>
      <c r="N131" s="20" t="n">
        <v>0.1848</v>
      </c>
      <c r="O131" s="20" t="n">
        <v>0.054</v>
      </c>
      <c r="P131" s="20" t="n">
        <v>0.1917</v>
      </c>
      <c r="Q131" s="20" t="n">
        <v>0.0678</v>
      </c>
      <c r="R131" s="20" t="n">
        <v>0.054</v>
      </c>
      <c r="S131" s="20" t="n">
        <v>0.054</v>
      </c>
      <c r="T131" s="20" t="n">
        <v>0.1435</v>
      </c>
      <c r="U131" s="20" t="n">
        <v>2.0585</v>
      </c>
      <c r="V131" s="20" t="n">
        <v>0.6477000000000001</v>
      </c>
      <c r="W131" s="20" t="n">
        <v>0.101</v>
      </c>
      <c r="X131" s="20" t="n">
        <v>0.2546</v>
      </c>
      <c r="Y131" s="20" t="n">
        <v>0.188</v>
      </c>
      <c r="Z131" s="20" t="n">
        <v>0.3354</v>
      </c>
      <c r="AA131" s="20" t="n">
        <v>0.413</v>
      </c>
      <c r="AB131" s="20" t="n">
        <v>0.054</v>
      </c>
      <c r="AC131" s="20" t="n">
        <v>0.1642</v>
      </c>
      <c r="AD131" s="20" t="n">
        <v>0.0953</v>
      </c>
      <c r="AE131" s="20" t="n">
        <v>0.054</v>
      </c>
      <c r="AF131" s="20" t="n">
        <v>0.2055</v>
      </c>
      <c r="AG131" s="20" t="n">
        <v>0.054</v>
      </c>
      <c r="AH131" s="20" t="n">
        <v>0.054</v>
      </c>
      <c r="AI131" s="20" t="n">
        <v>0.216</v>
      </c>
      <c r="AJ131" s="20" t="n">
        <v>0.1039</v>
      </c>
      <c r="AK131" s="20" t="n">
        <v>0.3041</v>
      </c>
      <c r="AL131" s="20" t="n">
        <v>0.054</v>
      </c>
      <c r="AM131" s="20" t="n">
        <v>0.1229</v>
      </c>
      <c r="AN131" s="20" t="n">
        <v>0.4397</v>
      </c>
      <c r="AO131" s="20" t="n">
        <v>0.3222</v>
      </c>
      <c r="AP131" s="20" t="n">
        <v>0.5606</v>
      </c>
      <c r="AQ131" s="20" t="n">
        <v>0.4578</v>
      </c>
      <c r="AR131" s="20" t="n">
        <v>1.3998</v>
      </c>
      <c r="AS131" s="20" t="n">
        <v>0.4976</v>
      </c>
      <c r="AT131" s="20" t="n">
        <v>0.3628</v>
      </c>
      <c r="AU131" s="20" t="n">
        <v>0.5337</v>
      </c>
      <c r="AV131" s="20" t="n">
        <v>0.284</v>
      </c>
      <c r="AW131" s="20" t="n">
        <v>0.4844</v>
      </c>
      <c r="AX131" s="20" t="n">
        <v>0.1515</v>
      </c>
    </row>
    <row r="132">
      <c r="A132" s="10" t="inlineStr">
        <is>
          <t>Load_TR2_F6_4</t>
        </is>
      </c>
      <c r="B132" s="12" t="inlineStr">
        <is>
          <t>customer</t>
        </is>
      </c>
      <c r="C132" s="18" t="n">
        <v>0.1295</v>
      </c>
      <c r="D132" s="18" t="n">
        <v>0.0823</v>
      </c>
      <c r="E132" s="18" t="n">
        <v>0.1106</v>
      </c>
      <c r="F132" s="18" t="n">
        <v>0.1012</v>
      </c>
      <c r="G132" s="18" t="n">
        <v>0.0917</v>
      </c>
      <c r="H132" s="18" t="n">
        <v>0.054</v>
      </c>
      <c r="I132" s="18" t="n">
        <v>0.08699999999999999</v>
      </c>
      <c r="J132" s="18" t="n">
        <v>0.1059</v>
      </c>
      <c r="K132" s="18" t="n">
        <v>0.054</v>
      </c>
      <c r="L132" s="18" t="n">
        <v>0.054</v>
      </c>
      <c r="M132" s="18" t="n">
        <v>0.054</v>
      </c>
      <c r="N132" s="18" t="n">
        <v>0.0634</v>
      </c>
      <c r="O132" s="18" t="n">
        <v>0.1295</v>
      </c>
      <c r="P132" s="18" t="n">
        <v>0.054</v>
      </c>
      <c r="Q132" s="18" t="n">
        <v>0.1698</v>
      </c>
      <c r="R132" s="18" t="n">
        <v>2.0509</v>
      </c>
      <c r="S132" s="18" t="n">
        <v>1.8305</v>
      </c>
      <c r="T132" s="18" t="n">
        <v>1.1694</v>
      </c>
      <c r="U132" s="18" t="n">
        <v>0.4114</v>
      </c>
      <c r="V132" s="18" t="n">
        <v>1.3354</v>
      </c>
      <c r="W132" s="18" t="n">
        <v>0.054</v>
      </c>
      <c r="X132" s="18" t="n">
        <v>0.054</v>
      </c>
      <c r="Y132" s="18" t="n">
        <v>0.054</v>
      </c>
      <c r="Z132" s="18" t="n">
        <v>0.1579</v>
      </c>
      <c r="AA132" s="18" t="n">
        <v>0.054</v>
      </c>
      <c r="AB132" s="18" t="n">
        <v>0.1389</v>
      </c>
      <c r="AC132" s="18" t="n">
        <v>0.054</v>
      </c>
      <c r="AD132" s="18" t="n">
        <v>0.1389</v>
      </c>
      <c r="AE132" s="18" t="n">
        <v>0.054</v>
      </c>
      <c r="AF132" s="18" t="n">
        <v>0.1648</v>
      </c>
      <c r="AG132" s="18" t="n">
        <v>0.376</v>
      </c>
      <c r="AH132" s="18" t="n">
        <v>0.1453</v>
      </c>
      <c r="AI132" s="18" t="n">
        <v>0.0864</v>
      </c>
      <c r="AJ132" s="18" t="n">
        <v>0.4269</v>
      </c>
      <c r="AK132" s="18" t="n">
        <v>0.4964</v>
      </c>
      <c r="AL132" s="18" t="n">
        <v>0.06660000000000001</v>
      </c>
      <c r="AM132" s="18" t="n">
        <v>0.2591</v>
      </c>
      <c r="AN132" s="18" t="n">
        <v>0.2307</v>
      </c>
      <c r="AO132" s="18" t="n">
        <v>0.2955</v>
      </c>
      <c r="AP132" s="18" t="n">
        <v>0.054</v>
      </c>
      <c r="AQ132" s="18" t="n">
        <v>0.054</v>
      </c>
      <c r="AR132" s="18" t="n">
        <v>0.054</v>
      </c>
      <c r="AS132" s="18" t="n">
        <v>0.3601</v>
      </c>
      <c r="AT132" s="18" t="n">
        <v>0.4062</v>
      </c>
      <c r="AU132" s="18" t="n">
        <v>0.4366</v>
      </c>
      <c r="AV132" s="18" t="n">
        <v>0.445</v>
      </c>
      <c r="AW132" s="18" t="n">
        <v>0.2895</v>
      </c>
      <c r="AX132" s="18" t="n">
        <v>0.1248</v>
      </c>
    </row>
    <row r="133">
      <c r="A133" s="19" t="inlineStr">
        <is>
          <t>Load_TR2_F6_40</t>
        </is>
      </c>
      <c r="B133" s="15" t="inlineStr">
        <is>
          <t>prosumer</t>
        </is>
      </c>
      <c r="C133" s="20" t="n">
        <v>0.048</v>
      </c>
      <c r="D133" s="20" t="n">
        <v>0.1005</v>
      </c>
      <c r="E133" s="20" t="n">
        <v>0.3037</v>
      </c>
      <c r="F133" s="20" t="n">
        <v>0.0769</v>
      </c>
      <c r="G133" s="20" t="n">
        <v>0.1203</v>
      </c>
      <c r="H133" s="20" t="n">
        <v>0.269</v>
      </c>
      <c r="I133" s="20" t="n">
        <v>0.1062</v>
      </c>
      <c r="J133" s="20" t="n">
        <v>0.2394</v>
      </c>
      <c r="K133" s="20" t="n">
        <v>0.1792</v>
      </c>
      <c r="L133" s="20" t="n">
        <v>0.048</v>
      </c>
      <c r="M133" s="20" t="n">
        <v>0.2621</v>
      </c>
      <c r="N133" s="20" t="n">
        <v>0.3604</v>
      </c>
      <c r="O133" s="20" t="n">
        <v>0.2161</v>
      </c>
      <c r="P133" s="20" t="n">
        <v>1.5606</v>
      </c>
      <c r="Q133" s="20" t="n">
        <v>0.2934</v>
      </c>
      <c r="R133" s="20" t="n">
        <v>1.4221</v>
      </c>
      <c r="S133" s="20" t="n">
        <v>0.5454</v>
      </c>
      <c r="T133" s="20" t="n">
        <v>0.3273</v>
      </c>
      <c r="U133" s="20" t="n">
        <v>0.5762</v>
      </c>
      <c r="V133" s="20" t="n">
        <v>0.5385</v>
      </c>
      <c r="W133" s="20" t="n">
        <v>0.2503</v>
      </c>
      <c r="X133" s="20" t="n">
        <v>0.3974</v>
      </c>
      <c r="Y133" s="20" t="n">
        <v>0.0572</v>
      </c>
      <c r="Z133" s="20" t="n">
        <v>0.048</v>
      </c>
      <c r="AA133" s="20" t="n">
        <v>0.3147</v>
      </c>
      <c r="AB133" s="20" t="n">
        <v>0.5124</v>
      </c>
      <c r="AC133" s="20" t="n">
        <v>0.048</v>
      </c>
      <c r="AD133" s="20" t="n">
        <v>0.2838</v>
      </c>
      <c r="AE133" s="20" t="n">
        <v>0.1493</v>
      </c>
      <c r="AF133" s="20" t="n">
        <v>0.048</v>
      </c>
      <c r="AG133" s="20" t="n">
        <v>0.3634</v>
      </c>
      <c r="AH133" s="20" t="n">
        <v>0.0697</v>
      </c>
      <c r="AI133" s="20" t="n">
        <v>0.048</v>
      </c>
      <c r="AJ133" s="20" t="n">
        <v>0.1615</v>
      </c>
      <c r="AK133" s="20" t="n">
        <v>0.3194</v>
      </c>
      <c r="AL133" s="20" t="n">
        <v>0.09429999999999999</v>
      </c>
      <c r="AM133" s="20" t="n">
        <v>1.3534</v>
      </c>
      <c r="AN133" s="20" t="n">
        <v>0.2009</v>
      </c>
      <c r="AO133" s="20" t="n">
        <v>0.3023</v>
      </c>
      <c r="AP133" s="20" t="n">
        <v>0.5735</v>
      </c>
      <c r="AQ133" s="20" t="n">
        <v>0.2367</v>
      </c>
      <c r="AR133" s="20" t="n">
        <v>0.4093</v>
      </c>
      <c r="AS133" s="20" t="n">
        <v>0.5228</v>
      </c>
      <c r="AT133" s="20" t="n">
        <v>1.2307</v>
      </c>
      <c r="AU133" s="20" t="n">
        <v>0.6806</v>
      </c>
      <c r="AV133" s="20" t="n">
        <v>0.7499</v>
      </c>
      <c r="AW133" s="20" t="n">
        <v>0.5675</v>
      </c>
      <c r="AX133" s="20" t="n">
        <v>0.5004999999999999</v>
      </c>
    </row>
    <row r="134">
      <c r="A134" s="10" t="inlineStr">
        <is>
          <t>Load_TR2_F6_41</t>
        </is>
      </c>
      <c r="B134" s="12" t="inlineStr">
        <is>
          <t>customer</t>
        </is>
      </c>
      <c r="C134" s="18" t="n">
        <v>0.049</v>
      </c>
      <c r="D134" s="18" t="n">
        <v>0.049</v>
      </c>
      <c r="E134" s="18" t="n">
        <v>0.049</v>
      </c>
      <c r="F134" s="18" t="n">
        <v>0.049</v>
      </c>
      <c r="G134" s="18" t="n">
        <v>0.049</v>
      </c>
      <c r="H134" s="18" t="n">
        <v>0.049</v>
      </c>
      <c r="I134" s="18" t="n">
        <v>0.049</v>
      </c>
      <c r="J134" s="18" t="n">
        <v>0.049</v>
      </c>
      <c r="K134" s="18" t="n">
        <v>0.049</v>
      </c>
      <c r="L134" s="18" t="n">
        <v>0.049</v>
      </c>
      <c r="M134" s="18" t="n">
        <v>0.049</v>
      </c>
      <c r="N134" s="18" t="n">
        <v>0.049</v>
      </c>
      <c r="O134" s="18" t="n">
        <v>0.049</v>
      </c>
      <c r="P134" s="18" t="n">
        <v>0.049</v>
      </c>
      <c r="Q134" s="18" t="n">
        <v>0.1063</v>
      </c>
      <c r="R134" s="18" t="n">
        <v>0.1116</v>
      </c>
      <c r="S134" s="18" t="n">
        <v>0.1449</v>
      </c>
      <c r="T134" s="18" t="n">
        <v>1.0046</v>
      </c>
      <c r="U134" s="18" t="n">
        <v>0.1016</v>
      </c>
      <c r="V134" s="18" t="n">
        <v>0.0924</v>
      </c>
      <c r="W134" s="18" t="n">
        <v>0.0736</v>
      </c>
      <c r="X134" s="18" t="n">
        <v>0.049</v>
      </c>
      <c r="Y134" s="18" t="n">
        <v>0.0716</v>
      </c>
      <c r="Z134" s="18" t="n">
        <v>0.1202</v>
      </c>
      <c r="AA134" s="18" t="n">
        <v>0.1803</v>
      </c>
      <c r="AB134" s="18" t="n">
        <v>0.1701</v>
      </c>
      <c r="AC134" s="18" t="n">
        <v>0.9349</v>
      </c>
      <c r="AD134" s="18" t="n">
        <v>0.2773</v>
      </c>
      <c r="AE134" s="18" t="n">
        <v>0.4947</v>
      </c>
      <c r="AF134" s="18" t="n">
        <v>0.133</v>
      </c>
      <c r="AG134" s="18" t="n">
        <v>0.049</v>
      </c>
      <c r="AH134" s="18" t="n">
        <v>0.5026</v>
      </c>
      <c r="AI134" s="18" t="n">
        <v>1.3947</v>
      </c>
      <c r="AJ134" s="18" t="n">
        <v>0.4174</v>
      </c>
      <c r="AK134" s="18" t="n">
        <v>0.1025</v>
      </c>
      <c r="AL134" s="18" t="n">
        <v>0.4385</v>
      </c>
      <c r="AM134" s="18" t="n">
        <v>0.2115</v>
      </c>
      <c r="AN134" s="18" t="n">
        <v>0.3798</v>
      </c>
      <c r="AO134" s="18" t="n">
        <v>0.049</v>
      </c>
      <c r="AP134" s="18" t="n">
        <v>0.049</v>
      </c>
      <c r="AQ134" s="18" t="n">
        <v>0.049</v>
      </c>
      <c r="AR134" s="18" t="n">
        <v>0.049</v>
      </c>
      <c r="AS134" s="18" t="n">
        <v>0.049</v>
      </c>
      <c r="AT134" s="18" t="n">
        <v>0.049</v>
      </c>
      <c r="AU134" s="18" t="n">
        <v>0.049</v>
      </c>
      <c r="AV134" s="18" t="n">
        <v>0.049</v>
      </c>
      <c r="AW134" s="18" t="n">
        <v>0.3964</v>
      </c>
      <c r="AX134" s="18" t="n">
        <v>0.1651</v>
      </c>
    </row>
    <row r="135">
      <c r="A135" s="19" t="inlineStr">
        <is>
          <t>Load_TR2_F6_42</t>
        </is>
      </c>
      <c r="B135" s="15" t="inlineStr">
        <is>
          <t>prosumer</t>
        </is>
      </c>
      <c r="C135" s="20" t="n">
        <v>0.384</v>
      </c>
      <c r="D135" s="20" t="n">
        <v>0.054</v>
      </c>
      <c r="E135" s="20" t="n">
        <v>0.3461</v>
      </c>
      <c r="F135" s="20" t="n">
        <v>0.07389999999999999</v>
      </c>
      <c r="G135" s="20" t="n">
        <v>0.3415</v>
      </c>
      <c r="H135" s="20" t="n">
        <v>0.1144</v>
      </c>
      <c r="I135" s="20" t="n">
        <v>0.3091</v>
      </c>
      <c r="J135" s="20" t="n">
        <v>0.1827</v>
      </c>
      <c r="K135" s="20" t="n">
        <v>0.1592</v>
      </c>
      <c r="L135" s="20" t="n">
        <v>0.1598</v>
      </c>
      <c r="M135" s="20" t="n">
        <v>0.2388</v>
      </c>
      <c r="N135" s="20" t="n">
        <v>0.1618</v>
      </c>
      <c r="O135" s="20" t="n">
        <v>0.2782</v>
      </c>
      <c r="P135" s="20" t="n">
        <v>0.1879</v>
      </c>
      <c r="Q135" s="20" t="n">
        <v>0.26</v>
      </c>
      <c r="R135" s="20" t="n">
        <v>0.1622</v>
      </c>
      <c r="S135" s="20" t="n">
        <v>0.1635</v>
      </c>
      <c r="T135" s="20" t="n">
        <v>0.2891</v>
      </c>
      <c r="U135" s="20" t="n">
        <v>0.3101</v>
      </c>
      <c r="V135" s="20" t="n">
        <v>0.3613</v>
      </c>
      <c r="W135" s="20" t="n">
        <v>0.447</v>
      </c>
      <c r="X135" s="20" t="n">
        <v>2.2095</v>
      </c>
      <c r="Y135" s="20" t="n">
        <v>2.5968</v>
      </c>
      <c r="Z135" s="20" t="n">
        <v>1.951</v>
      </c>
      <c r="AA135" s="20" t="n">
        <v>0.209</v>
      </c>
      <c r="AB135" s="20" t="n">
        <v>0.2639</v>
      </c>
      <c r="AC135" s="20" t="n">
        <v>0.2398</v>
      </c>
      <c r="AD135" s="20" t="n">
        <v>1.1335</v>
      </c>
      <c r="AE135" s="20" t="n">
        <v>0.6056</v>
      </c>
      <c r="AF135" s="20" t="n">
        <v>0.3996</v>
      </c>
      <c r="AG135" s="20" t="n">
        <v>0.246</v>
      </c>
      <c r="AH135" s="20" t="n">
        <v>0.1427</v>
      </c>
      <c r="AI135" s="20" t="n">
        <v>0.1418</v>
      </c>
      <c r="AJ135" s="20" t="n">
        <v>0.7082000000000001</v>
      </c>
      <c r="AK135" s="20" t="n">
        <v>0.706</v>
      </c>
      <c r="AL135" s="20" t="n">
        <v>0.7192</v>
      </c>
      <c r="AM135" s="20" t="n">
        <v>0.8493000000000001</v>
      </c>
      <c r="AN135" s="20" t="n">
        <v>0.4953</v>
      </c>
      <c r="AO135" s="20" t="n">
        <v>0.7129</v>
      </c>
      <c r="AP135" s="20" t="n">
        <v>0.3661</v>
      </c>
      <c r="AQ135" s="20" t="n">
        <v>0.2241</v>
      </c>
      <c r="AR135" s="20" t="n">
        <v>0.1353</v>
      </c>
      <c r="AS135" s="20" t="n">
        <v>0.2887</v>
      </c>
      <c r="AT135" s="20" t="n">
        <v>0.0849</v>
      </c>
      <c r="AU135" s="20" t="n">
        <v>0.2096</v>
      </c>
      <c r="AV135" s="20" t="n">
        <v>0.054</v>
      </c>
      <c r="AW135" s="20" t="n">
        <v>0.4059</v>
      </c>
      <c r="AX135" s="20" t="n">
        <v>0.066</v>
      </c>
    </row>
    <row r="136">
      <c r="A136" s="19" t="inlineStr">
        <is>
          <t>Load_TR2_F6_43</t>
        </is>
      </c>
      <c r="B136" s="15" t="inlineStr">
        <is>
          <t>prosumer</t>
        </is>
      </c>
      <c r="C136" s="20" t="n">
        <v>0.054</v>
      </c>
      <c r="D136" s="20" t="n">
        <v>0.2155</v>
      </c>
      <c r="E136" s="20" t="n">
        <v>0.0583</v>
      </c>
      <c r="F136" s="20" t="n">
        <v>0.054</v>
      </c>
      <c r="G136" s="20" t="n">
        <v>0.1315</v>
      </c>
      <c r="H136" s="20" t="n">
        <v>0.1423</v>
      </c>
      <c r="I136" s="20" t="n">
        <v>0.054</v>
      </c>
      <c r="J136" s="20" t="n">
        <v>0.054</v>
      </c>
      <c r="K136" s="20" t="n">
        <v>0.1423</v>
      </c>
      <c r="L136" s="20" t="n">
        <v>0.1185</v>
      </c>
      <c r="M136" s="20" t="n">
        <v>0.0985</v>
      </c>
      <c r="N136" s="20" t="n">
        <v>0.1323</v>
      </c>
      <c r="O136" s="20" t="n">
        <v>0.1099</v>
      </c>
      <c r="P136" s="20" t="n">
        <v>0.054</v>
      </c>
      <c r="Q136" s="20" t="n">
        <v>0.1423</v>
      </c>
      <c r="R136" s="20" t="n">
        <v>0.054</v>
      </c>
      <c r="S136" s="20" t="n">
        <v>0.1315</v>
      </c>
      <c r="T136" s="20" t="n">
        <v>0.1942</v>
      </c>
      <c r="U136" s="20" t="n">
        <v>1.6659</v>
      </c>
      <c r="V136" s="20" t="n">
        <v>1.4541</v>
      </c>
      <c r="W136" s="20" t="n">
        <v>1.1433</v>
      </c>
      <c r="X136" s="20" t="n">
        <v>0.1974</v>
      </c>
      <c r="Y136" s="20" t="n">
        <v>0.2347</v>
      </c>
      <c r="Z136" s="20" t="n">
        <v>0.6195000000000001</v>
      </c>
      <c r="AA136" s="20" t="n">
        <v>0.5548</v>
      </c>
      <c r="AB136" s="20" t="n">
        <v>0.7274</v>
      </c>
      <c r="AC136" s="20" t="n">
        <v>0.4009</v>
      </c>
      <c r="AD136" s="20" t="n">
        <v>0.1089</v>
      </c>
      <c r="AE136" s="20" t="n">
        <v>0.1653</v>
      </c>
      <c r="AF136" s="20" t="n">
        <v>0.1021</v>
      </c>
      <c r="AG136" s="20" t="n">
        <v>0.302</v>
      </c>
      <c r="AH136" s="20" t="n">
        <v>0.7193000000000001</v>
      </c>
      <c r="AI136" s="20" t="n">
        <v>0.1569</v>
      </c>
      <c r="AJ136" s="20" t="n">
        <v>0.144</v>
      </c>
      <c r="AK136" s="20" t="n">
        <v>0.2498</v>
      </c>
      <c r="AL136" s="20" t="n">
        <v>0.054</v>
      </c>
      <c r="AM136" s="20" t="n">
        <v>0.2855</v>
      </c>
      <c r="AN136" s="20" t="n">
        <v>0.054</v>
      </c>
      <c r="AO136" s="20" t="n">
        <v>0.1423</v>
      </c>
      <c r="AP136" s="20" t="n">
        <v>0.1315</v>
      </c>
      <c r="AQ136" s="20" t="n">
        <v>0.07290000000000001</v>
      </c>
      <c r="AR136" s="20" t="n">
        <v>0.2008</v>
      </c>
      <c r="AS136" s="20" t="n">
        <v>0.0583</v>
      </c>
      <c r="AT136" s="20" t="n">
        <v>0.3604</v>
      </c>
      <c r="AU136" s="20" t="n">
        <v>0.4995</v>
      </c>
      <c r="AV136" s="20" t="n">
        <v>0.436</v>
      </c>
      <c r="AW136" s="20" t="n">
        <v>0.5956</v>
      </c>
      <c r="AX136" s="20" t="n">
        <v>0.7427</v>
      </c>
    </row>
    <row r="137">
      <c r="A137" s="10" t="inlineStr">
        <is>
          <t>Load_TR2_F6_44</t>
        </is>
      </c>
      <c r="B137" s="12" t="inlineStr">
        <is>
          <t>customer</t>
        </is>
      </c>
      <c r="C137" s="18" t="n">
        <v>0.1166</v>
      </c>
      <c r="D137" s="18" t="n">
        <v>0.0852</v>
      </c>
      <c r="E137" s="18" t="n">
        <v>0.0544</v>
      </c>
      <c r="F137" s="18" t="n">
        <v>0.2229</v>
      </c>
      <c r="G137" s="18" t="n">
        <v>0.067</v>
      </c>
      <c r="H137" s="18" t="n">
        <v>0.1005</v>
      </c>
      <c r="I137" s="18" t="n">
        <v>0.046</v>
      </c>
      <c r="J137" s="18" t="n">
        <v>0.1558</v>
      </c>
      <c r="K137" s="18" t="n">
        <v>0.1214</v>
      </c>
      <c r="L137" s="18" t="n">
        <v>0.046</v>
      </c>
      <c r="M137" s="18" t="n">
        <v>0.1558</v>
      </c>
      <c r="N137" s="18" t="n">
        <v>0.046</v>
      </c>
      <c r="O137" s="18" t="n">
        <v>0.2312</v>
      </c>
      <c r="P137" s="18" t="n">
        <v>0.046</v>
      </c>
      <c r="Q137" s="18" t="n">
        <v>0.1763</v>
      </c>
      <c r="R137" s="18" t="n">
        <v>0.1009</v>
      </c>
      <c r="S137" s="18" t="n">
        <v>0.046</v>
      </c>
      <c r="T137" s="18" t="n">
        <v>0.1214</v>
      </c>
      <c r="U137" s="18" t="n">
        <v>0.046</v>
      </c>
      <c r="V137" s="18" t="n">
        <v>0.2312</v>
      </c>
      <c r="W137" s="18" t="n">
        <v>0.0604</v>
      </c>
      <c r="X137" s="18" t="n">
        <v>0.1989</v>
      </c>
      <c r="Y137" s="18" t="n">
        <v>0.0623</v>
      </c>
      <c r="Z137" s="18" t="n">
        <v>0.124</v>
      </c>
      <c r="AA137" s="18" t="n">
        <v>0.1558</v>
      </c>
      <c r="AB137" s="18" t="n">
        <v>0.046</v>
      </c>
      <c r="AC137" s="18" t="n">
        <v>0.046</v>
      </c>
      <c r="AD137" s="18" t="n">
        <v>0.2312</v>
      </c>
      <c r="AE137" s="18" t="n">
        <v>1.849</v>
      </c>
      <c r="AF137" s="18" t="n">
        <v>0.191</v>
      </c>
      <c r="AG137" s="18" t="n">
        <v>0.4265</v>
      </c>
      <c r="AH137" s="18" t="n">
        <v>0.1383</v>
      </c>
      <c r="AI137" s="18" t="n">
        <v>0.2033</v>
      </c>
      <c r="AJ137" s="18" t="n">
        <v>0.1474</v>
      </c>
      <c r="AK137" s="18" t="n">
        <v>0.4352</v>
      </c>
      <c r="AL137" s="18" t="n">
        <v>0.1387</v>
      </c>
      <c r="AM137" s="18" t="n">
        <v>0.1366</v>
      </c>
      <c r="AN137" s="18" t="n">
        <v>0.0931</v>
      </c>
      <c r="AO137" s="18" t="n">
        <v>0.0921</v>
      </c>
      <c r="AP137" s="18" t="n">
        <v>0.1851</v>
      </c>
      <c r="AQ137" s="18" t="n">
        <v>0.1005</v>
      </c>
      <c r="AR137" s="18" t="n">
        <v>0.1781</v>
      </c>
      <c r="AS137" s="18" t="n">
        <v>0.1206</v>
      </c>
      <c r="AT137" s="18" t="n">
        <v>0.2679</v>
      </c>
      <c r="AU137" s="18" t="n">
        <v>0.4704</v>
      </c>
      <c r="AV137" s="18" t="n">
        <v>0.107</v>
      </c>
      <c r="AW137" s="18" t="n">
        <v>0.1692</v>
      </c>
      <c r="AX137" s="18" t="n">
        <v>0.601</v>
      </c>
    </row>
    <row r="138">
      <c r="A138" s="10" t="inlineStr">
        <is>
          <t>Load_TR2_F6_45</t>
        </is>
      </c>
      <c r="B138" s="12" t="inlineStr">
        <is>
          <t>customer</t>
        </is>
      </c>
      <c r="C138" s="18" t="n">
        <v>0.5774</v>
      </c>
      <c r="D138" s="18" t="n">
        <v>0.4897</v>
      </c>
      <c r="E138" s="18" t="n">
        <v>0.2732</v>
      </c>
      <c r="F138" s="18" t="n">
        <v>0.0848</v>
      </c>
      <c r="G138" s="18" t="n">
        <v>0.2881</v>
      </c>
      <c r="H138" s="18" t="n">
        <v>0.1433</v>
      </c>
      <c r="I138" s="18" t="n">
        <v>0.1995</v>
      </c>
      <c r="J138" s="18" t="n">
        <v>0.2392</v>
      </c>
      <c r="K138" s="18" t="n">
        <v>0.042</v>
      </c>
      <c r="L138" s="18" t="n">
        <v>0.2687</v>
      </c>
      <c r="M138" s="18" t="n">
        <v>0.17</v>
      </c>
      <c r="N138" s="18" t="n">
        <v>0.042</v>
      </c>
      <c r="O138" s="18" t="n">
        <v>0.1823</v>
      </c>
      <c r="P138" s="18" t="n">
        <v>0.2564</v>
      </c>
      <c r="Q138" s="18" t="n">
        <v>0.2729</v>
      </c>
      <c r="R138" s="18" t="n">
        <v>0.2576</v>
      </c>
      <c r="S138" s="18" t="n">
        <v>0.3535</v>
      </c>
      <c r="T138" s="18" t="n">
        <v>0.489</v>
      </c>
      <c r="U138" s="18" t="n">
        <v>0.0572</v>
      </c>
      <c r="V138" s="18" t="n">
        <v>0.2406</v>
      </c>
      <c r="W138" s="18" t="n">
        <v>0.3179</v>
      </c>
      <c r="X138" s="18" t="n">
        <v>0.4507</v>
      </c>
      <c r="Y138" s="18" t="n">
        <v>0.4016</v>
      </c>
      <c r="Z138" s="18" t="n">
        <v>1.0075</v>
      </c>
      <c r="AA138" s="18" t="n">
        <v>3.0598</v>
      </c>
      <c r="AB138" s="18" t="n">
        <v>1.9052</v>
      </c>
      <c r="AC138" s="18" t="n">
        <v>0.4365</v>
      </c>
      <c r="AD138" s="18" t="n">
        <v>0.335</v>
      </c>
      <c r="AE138" s="18" t="n">
        <v>0.1935</v>
      </c>
      <c r="AF138" s="18" t="n">
        <v>0.3789</v>
      </c>
      <c r="AG138" s="18" t="n">
        <v>0.1551</v>
      </c>
      <c r="AH138" s="18" t="n">
        <v>0.302</v>
      </c>
      <c r="AI138" s="18" t="n">
        <v>0.3234</v>
      </c>
      <c r="AJ138" s="18" t="n">
        <v>1.2339</v>
      </c>
      <c r="AK138" s="18" t="n">
        <v>1.1878</v>
      </c>
      <c r="AL138" s="18" t="n">
        <v>1.8042</v>
      </c>
      <c r="AM138" s="18" t="n">
        <v>0.3548</v>
      </c>
      <c r="AN138" s="18" t="n">
        <v>0.5796</v>
      </c>
      <c r="AO138" s="18" t="n">
        <v>0.5944</v>
      </c>
      <c r="AP138" s="18" t="n">
        <v>0.7312</v>
      </c>
      <c r="AQ138" s="18" t="n">
        <v>0.9048</v>
      </c>
      <c r="AR138" s="18" t="n">
        <v>1.0234</v>
      </c>
      <c r="AS138" s="18" t="n">
        <v>0.6867</v>
      </c>
      <c r="AT138" s="18" t="n">
        <v>0.6497000000000001</v>
      </c>
      <c r="AU138" s="18" t="n">
        <v>0.1805</v>
      </c>
      <c r="AV138" s="18" t="n">
        <v>0.1955</v>
      </c>
      <c r="AW138" s="18" t="n">
        <v>0.2362</v>
      </c>
      <c r="AX138" s="18" t="n">
        <v>0.413</v>
      </c>
    </row>
    <row r="139">
      <c r="A139" s="19" t="inlineStr">
        <is>
          <t>Load_TR2_F6_46</t>
        </is>
      </c>
      <c r="B139" s="15" t="inlineStr">
        <is>
          <t>prosumer</t>
        </is>
      </c>
      <c r="C139" s="20" t="n">
        <v>0.5937</v>
      </c>
      <c r="D139" s="20" t="n">
        <v>0.5725</v>
      </c>
      <c r="E139" s="20" t="n">
        <v>0.5629</v>
      </c>
      <c r="F139" s="20" t="n">
        <v>0.058</v>
      </c>
      <c r="G139" s="20" t="n">
        <v>0.2905</v>
      </c>
      <c r="H139" s="20" t="n">
        <v>0.13</v>
      </c>
      <c r="I139" s="20" t="n">
        <v>0.1013</v>
      </c>
      <c r="J139" s="20" t="n">
        <v>0.3193</v>
      </c>
      <c r="K139" s="20" t="n">
        <v>0.058</v>
      </c>
      <c r="L139" s="20" t="n">
        <v>0.21</v>
      </c>
      <c r="M139" s="20" t="n">
        <v>0.2105</v>
      </c>
      <c r="N139" s="20" t="n">
        <v>0.146</v>
      </c>
      <c r="O139" s="20" t="n">
        <v>0.1781</v>
      </c>
      <c r="P139" s="20" t="n">
        <v>0.1544</v>
      </c>
      <c r="Q139" s="20" t="n">
        <v>0.058</v>
      </c>
      <c r="R139" s="20" t="n">
        <v>0.3626</v>
      </c>
      <c r="S139" s="20" t="n">
        <v>1.9124</v>
      </c>
      <c r="T139" s="20" t="n">
        <v>0.3362</v>
      </c>
      <c r="U139" s="20" t="n">
        <v>0.2499</v>
      </c>
      <c r="V139" s="20" t="n">
        <v>0.295</v>
      </c>
      <c r="W139" s="20" t="n">
        <v>0.066</v>
      </c>
      <c r="X139" s="20" t="n">
        <v>0.3546</v>
      </c>
      <c r="Y139" s="20" t="n">
        <v>0.058</v>
      </c>
      <c r="Z139" s="20" t="n">
        <v>0.135</v>
      </c>
      <c r="AA139" s="20" t="n">
        <v>0.2856</v>
      </c>
      <c r="AB139" s="20" t="n">
        <v>0.058</v>
      </c>
      <c r="AC139" s="20" t="n">
        <v>0.3417</v>
      </c>
      <c r="AD139" s="20" t="n">
        <v>0.1236</v>
      </c>
      <c r="AE139" s="20" t="n">
        <v>0.2912</v>
      </c>
      <c r="AF139" s="20" t="n">
        <v>0.3686</v>
      </c>
      <c r="AG139" s="20" t="n">
        <v>0.1963</v>
      </c>
      <c r="AH139" s="20" t="n">
        <v>0.4052</v>
      </c>
      <c r="AI139" s="20" t="n">
        <v>0.2604</v>
      </c>
      <c r="AJ139" s="20" t="n">
        <v>0.3942</v>
      </c>
      <c r="AK139" s="20" t="n">
        <v>0.2771</v>
      </c>
      <c r="AL139" s="20" t="n">
        <v>0.2002</v>
      </c>
      <c r="AM139" s="20" t="n">
        <v>0.138</v>
      </c>
      <c r="AN139" s="20" t="n">
        <v>0.6411</v>
      </c>
      <c r="AO139" s="20" t="n">
        <v>1.6412</v>
      </c>
      <c r="AP139" s="20" t="n">
        <v>0.4917</v>
      </c>
      <c r="AQ139" s="20" t="n">
        <v>0.5626</v>
      </c>
      <c r="AR139" s="20" t="n">
        <v>0.6514</v>
      </c>
      <c r="AS139" s="20" t="n">
        <v>0.4957</v>
      </c>
      <c r="AT139" s="20" t="n">
        <v>0.17</v>
      </c>
      <c r="AU139" s="20" t="n">
        <v>0.058</v>
      </c>
      <c r="AV139" s="20" t="n">
        <v>0.2726</v>
      </c>
      <c r="AW139" s="20" t="n">
        <v>0.148</v>
      </c>
      <c r="AX139" s="20" t="n">
        <v>0.058</v>
      </c>
    </row>
    <row r="140">
      <c r="A140" s="10" t="inlineStr">
        <is>
          <t>Load_TR2_F6_47</t>
        </is>
      </c>
      <c r="B140" s="12" t="inlineStr">
        <is>
          <t>customer</t>
        </is>
      </c>
      <c r="C140" s="18" t="n">
        <v>0.045</v>
      </c>
      <c r="D140" s="18" t="n">
        <v>0.1388</v>
      </c>
      <c r="E140" s="18" t="n">
        <v>0.045</v>
      </c>
      <c r="F140" s="18" t="n">
        <v>0.1388</v>
      </c>
      <c r="G140" s="18" t="n">
        <v>0.045</v>
      </c>
      <c r="H140" s="18" t="n">
        <v>0.1388</v>
      </c>
      <c r="I140" s="18" t="n">
        <v>0.045</v>
      </c>
      <c r="J140" s="18" t="n">
        <v>0.045</v>
      </c>
      <c r="K140" s="18" t="n">
        <v>0.1388</v>
      </c>
      <c r="L140" s="18" t="n">
        <v>0.045</v>
      </c>
      <c r="M140" s="18" t="n">
        <v>0.1388</v>
      </c>
      <c r="N140" s="18" t="n">
        <v>0.045</v>
      </c>
      <c r="O140" s="18" t="n">
        <v>0.1013</v>
      </c>
      <c r="P140" s="18" t="n">
        <v>0.0825</v>
      </c>
      <c r="Q140" s="18" t="n">
        <v>0.045</v>
      </c>
      <c r="R140" s="18" t="n">
        <v>0.0563</v>
      </c>
      <c r="S140" s="18" t="n">
        <v>0.1013</v>
      </c>
      <c r="T140" s="18" t="n">
        <v>0.2916</v>
      </c>
      <c r="U140" s="18" t="n">
        <v>2.0625</v>
      </c>
      <c r="V140" s="18" t="n">
        <v>0.8015</v>
      </c>
      <c r="W140" s="18" t="n">
        <v>1.0392</v>
      </c>
      <c r="X140" s="18" t="n">
        <v>0.5931</v>
      </c>
      <c r="Y140" s="18" t="n">
        <v>0.1832</v>
      </c>
      <c r="Z140" s="18" t="n">
        <v>1.1805</v>
      </c>
      <c r="AA140" s="18" t="n">
        <v>0.4183</v>
      </c>
      <c r="AB140" s="18" t="n">
        <v>0.1354</v>
      </c>
      <c r="AC140" s="18" t="n">
        <v>0.202</v>
      </c>
      <c r="AD140" s="18" t="n">
        <v>0.0892</v>
      </c>
      <c r="AE140" s="18" t="n">
        <v>0.0988</v>
      </c>
      <c r="AF140" s="18" t="n">
        <v>0.1668</v>
      </c>
      <c r="AG140" s="18" t="n">
        <v>0.0591</v>
      </c>
      <c r="AH140" s="18" t="n">
        <v>0.1247</v>
      </c>
      <c r="AI140" s="18" t="n">
        <v>0.045</v>
      </c>
      <c r="AJ140" s="18" t="n">
        <v>0.0825</v>
      </c>
      <c r="AK140" s="18" t="n">
        <v>0.1013</v>
      </c>
      <c r="AL140" s="18" t="n">
        <v>0.1005</v>
      </c>
      <c r="AM140" s="18" t="n">
        <v>0.1478</v>
      </c>
      <c r="AN140" s="18" t="n">
        <v>0.07530000000000001</v>
      </c>
      <c r="AO140" s="18" t="n">
        <v>0.2416</v>
      </c>
      <c r="AP140" s="18" t="n">
        <v>0.2031</v>
      </c>
      <c r="AQ140" s="18" t="n">
        <v>0.3022</v>
      </c>
      <c r="AR140" s="18" t="n">
        <v>0.3942</v>
      </c>
      <c r="AS140" s="18" t="n">
        <v>0.5067</v>
      </c>
      <c r="AT140" s="18" t="n">
        <v>0.4655</v>
      </c>
      <c r="AU140" s="18" t="n">
        <v>0.4839</v>
      </c>
      <c r="AV140" s="18" t="n">
        <v>0.5486</v>
      </c>
      <c r="AW140" s="18" t="n">
        <v>0.4088</v>
      </c>
      <c r="AX140" s="18" t="n">
        <v>1.1005</v>
      </c>
    </row>
    <row r="141">
      <c r="A141" s="19" t="inlineStr">
        <is>
          <t>Load_TR2_F6_48</t>
        </is>
      </c>
      <c r="B141" s="15" t="inlineStr">
        <is>
          <t>prosumer</t>
        </is>
      </c>
      <c r="C141" s="20" t="n">
        <v>0.211</v>
      </c>
      <c r="D141" s="20" t="n">
        <v>0.046</v>
      </c>
      <c r="E141" s="20" t="n">
        <v>0.3164</v>
      </c>
      <c r="F141" s="20" t="n">
        <v>0.08939999999999999</v>
      </c>
      <c r="G141" s="20" t="n">
        <v>0.08939999999999999</v>
      </c>
      <c r="H141" s="20" t="n">
        <v>0.3041</v>
      </c>
      <c r="I141" s="20" t="n">
        <v>0.0583</v>
      </c>
      <c r="J141" s="20" t="n">
        <v>0.1415</v>
      </c>
      <c r="K141" s="20" t="n">
        <v>0.1415</v>
      </c>
      <c r="L141" s="20" t="n">
        <v>0.046</v>
      </c>
      <c r="M141" s="20" t="n">
        <v>0.1564</v>
      </c>
      <c r="N141" s="20" t="n">
        <v>0.2493</v>
      </c>
      <c r="O141" s="20" t="n">
        <v>0.046</v>
      </c>
      <c r="P141" s="20" t="n">
        <v>0.2493</v>
      </c>
      <c r="Q141" s="20" t="n">
        <v>0.1564</v>
      </c>
      <c r="R141" s="20" t="n">
        <v>0.1502</v>
      </c>
      <c r="S141" s="20" t="n">
        <v>0.2003</v>
      </c>
      <c r="T141" s="20" t="n">
        <v>0.1167</v>
      </c>
      <c r="U141" s="20" t="n">
        <v>0.2446</v>
      </c>
      <c r="V141" s="20" t="n">
        <v>0.2148</v>
      </c>
      <c r="W141" s="20" t="n">
        <v>1.1337</v>
      </c>
      <c r="X141" s="20" t="n">
        <v>0.9164</v>
      </c>
      <c r="Y141" s="20" t="n">
        <v>0.2137</v>
      </c>
      <c r="Z141" s="20" t="n">
        <v>1.0145</v>
      </c>
      <c r="AA141" s="20" t="n">
        <v>1.3613</v>
      </c>
      <c r="AB141" s="20" t="n">
        <v>0.4072</v>
      </c>
      <c r="AC141" s="20" t="n">
        <v>0.3297</v>
      </c>
      <c r="AD141" s="20" t="n">
        <v>0.5557</v>
      </c>
      <c r="AE141" s="20" t="n">
        <v>0.1819</v>
      </c>
      <c r="AF141" s="20" t="n">
        <v>0.1962</v>
      </c>
      <c r="AG141" s="20" t="n">
        <v>0.3147</v>
      </c>
      <c r="AH141" s="20" t="n">
        <v>1.2989</v>
      </c>
      <c r="AI141" s="20" t="n">
        <v>0.4413</v>
      </c>
      <c r="AJ141" s="20" t="n">
        <v>0.24</v>
      </c>
      <c r="AK141" s="20" t="n">
        <v>0.4094</v>
      </c>
      <c r="AL141" s="20" t="n">
        <v>0.2716</v>
      </c>
      <c r="AM141" s="20" t="n">
        <v>1.4863</v>
      </c>
      <c r="AN141" s="20" t="n">
        <v>0.4278</v>
      </c>
      <c r="AO141" s="20" t="n">
        <v>0.0828</v>
      </c>
      <c r="AP141" s="20" t="n">
        <v>0.046</v>
      </c>
      <c r="AQ141" s="20" t="n">
        <v>0.2371</v>
      </c>
      <c r="AR141" s="20" t="n">
        <v>0.0644</v>
      </c>
      <c r="AS141" s="20" t="n">
        <v>0.2024</v>
      </c>
      <c r="AT141" s="20" t="n">
        <v>0.2034</v>
      </c>
      <c r="AU141" s="20" t="n">
        <v>0.1503</v>
      </c>
      <c r="AV141" s="20" t="n">
        <v>0.0721</v>
      </c>
      <c r="AW141" s="20" t="n">
        <v>0.3337</v>
      </c>
      <c r="AX141" s="20" t="n">
        <v>0.046</v>
      </c>
    </row>
    <row r="142">
      <c r="A142" s="10" t="inlineStr">
        <is>
          <t>Load_TR2_F6_49</t>
        </is>
      </c>
      <c r="B142" s="12" t="inlineStr">
        <is>
          <t>customer</t>
        </is>
      </c>
      <c r="C142" s="18" t="n">
        <v>0.1157</v>
      </c>
      <c r="D142" s="18" t="n">
        <v>0.053</v>
      </c>
      <c r="E142" s="18" t="n">
        <v>0.053</v>
      </c>
      <c r="F142" s="18" t="n">
        <v>0.1336</v>
      </c>
      <c r="G142" s="18" t="n">
        <v>0.053</v>
      </c>
      <c r="H142" s="18" t="n">
        <v>0.1023</v>
      </c>
      <c r="I142" s="18" t="n">
        <v>0.0843</v>
      </c>
      <c r="J142" s="18" t="n">
        <v>0.053</v>
      </c>
      <c r="K142" s="18" t="n">
        <v>0.053</v>
      </c>
      <c r="L142" s="18" t="n">
        <v>0.1202</v>
      </c>
      <c r="M142" s="18" t="n">
        <v>0.0664</v>
      </c>
      <c r="N142" s="18" t="n">
        <v>0.1291</v>
      </c>
      <c r="O142" s="18" t="n">
        <v>0.0575</v>
      </c>
      <c r="P142" s="18" t="n">
        <v>0.1247</v>
      </c>
      <c r="Q142" s="18" t="n">
        <v>0.062</v>
      </c>
      <c r="R142" s="18" t="n">
        <v>0.1336</v>
      </c>
      <c r="S142" s="18" t="n">
        <v>0.1672</v>
      </c>
      <c r="T142" s="18" t="n">
        <v>0.1479</v>
      </c>
      <c r="U142" s="18" t="n">
        <v>0.0936</v>
      </c>
      <c r="V142" s="18" t="n">
        <v>0.1381</v>
      </c>
      <c r="W142" s="18" t="n">
        <v>0.0897</v>
      </c>
      <c r="X142" s="18" t="n">
        <v>0.907</v>
      </c>
      <c r="Y142" s="18" t="n">
        <v>0.1905</v>
      </c>
      <c r="Z142" s="18" t="n">
        <v>0.1347</v>
      </c>
      <c r="AA142" s="18" t="n">
        <v>0.0575</v>
      </c>
      <c r="AB142" s="18" t="n">
        <v>0.2927</v>
      </c>
      <c r="AC142" s="18" t="n">
        <v>0.053</v>
      </c>
      <c r="AD142" s="18" t="n">
        <v>0.3139</v>
      </c>
      <c r="AE142" s="18" t="n">
        <v>0.053</v>
      </c>
      <c r="AF142" s="18" t="n">
        <v>0.1336</v>
      </c>
      <c r="AG142" s="18" t="n">
        <v>0.053</v>
      </c>
      <c r="AH142" s="18" t="n">
        <v>0.1336</v>
      </c>
      <c r="AI142" s="18" t="n">
        <v>0.053</v>
      </c>
      <c r="AJ142" s="18" t="n">
        <v>0.07539999999999999</v>
      </c>
      <c r="AK142" s="18" t="n">
        <v>0.1112</v>
      </c>
      <c r="AL142" s="18" t="n">
        <v>0.053</v>
      </c>
      <c r="AM142" s="18" t="n">
        <v>0.1336</v>
      </c>
      <c r="AN142" s="18" t="n">
        <v>0.053</v>
      </c>
      <c r="AO142" s="18" t="n">
        <v>0.0799</v>
      </c>
      <c r="AP142" s="18" t="n">
        <v>0.1771</v>
      </c>
      <c r="AQ142" s="18" t="n">
        <v>0.437</v>
      </c>
      <c r="AR142" s="18" t="n">
        <v>0.4265</v>
      </c>
      <c r="AS142" s="18" t="n">
        <v>0.8826000000000001</v>
      </c>
      <c r="AT142" s="18" t="n">
        <v>1.131</v>
      </c>
      <c r="AU142" s="18" t="n">
        <v>0.298</v>
      </c>
      <c r="AV142" s="18" t="n">
        <v>0.2241</v>
      </c>
      <c r="AW142" s="18" t="n">
        <v>0.053</v>
      </c>
      <c r="AX142" s="18" t="n">
        <v>0.0799</v>
      </c>
    </row>
    <row r="143">
      <c r="A143" s="19" t="inlineStr">
        <is>
          <t>Load_TR2_F6_5</t>
        </is>
      </c>
      <c r="B143" s="15" t="inlineStr">
        <is>
          <t>prosumer</t>
        </is>
      </c>
      <c r="C143" s="20" t="n">
        <v>0.145</v>
      </c>
      <c r="D143" s="20" t="n">
        <v>0.1983</v>
      </c>
      <c r="E143" s="20" t="n">
        <v>0.171</v>
      </c>
      <c r="F143" s="20" t="n">
        <v>0.3482</v>
      </c>
      <c r="G143" s="20" t="n">
        <v>0.1543</v>
      </c>
      <c r="H143" s="20" t="n">
        <v>0.1841</v>
      </c>
      <c r="I143" s="20" t="n">
        <v>0.2348</v>
      </c>
      <c r="J143" s="20" t="n">
        <v>0.171</v>
      </c>
      <c r="K143" s="20" t="n">
        <v>0.212</v>
      </c>
      <c r="L143" s="20" t="n">
        <v>0.1902</v>
      </c>
      <c r="M143" s="20" t="n">
        <v>0.283</v>
      </c>
      <c r="N143" s="20" t="n">
        <v>0.0599</v>
      </c>
      <c r="O143" s="20" t="n">
        <v>0.3518</v>
      </c>
      <c r="P143" s="20" t="n">
        <v>0.1674</v>
      </c>
      <c r="Q143" s="20" t="n">
        <v>0.269</v>
      </c>
      <c r="R143" s="20" t="n">
        <v>2.7175</v>
      </c>
      <c r="S143" s="20" t="n">
        <v>0.4602</v>
      </c>
      <c r="T143" s="20" t="n">
        <v>0.3566</v>
      </c>
      <c r="U143" s="20" t="n">
        <v>0.1354</v>
      </c>
      <c r="V143" s="20" t="n">
        <v>0.307</v>
      </c>
      <c r="W143" s="20" t="n">
        <v>0.244</v>
      </c>
      <c r="X143" s="20" t="n">
        <v>0.1013</v>
      </c>
      <c r="Y143" s="20" t="n">
        <v>0.3665</v>
      </c>
      <c r="Z143" s="20" t="n">
        <v>0.1818</v>
      </c>
      <c r="AA143" s="20" t="n">
        <v>0.3585</v>
      </c>
      <c r="AB143" s="20" t="n">
        <v>1.3912</v>
      </c>
      <c r="AC143" s="20" t="n">
        <v>0.08599999999999999</v>
      </c>
      <c r="AD143" s="20" t="n">
        <v>1.1253</v>
      </c>
      <c r="AE143" s="20" t="n">
        <v>1.1774</v>
      </c>
      <c r="AF143" s="20" t="n">
        <v>1.6846</v>
      </c>
      <c r="AG143" s="20" t="n">
        <v>0.473</v>
      </c>
      <c r="AH143" s="20" t="n">
        <v>0.3574</v>
      </c>
      <c r="AI143" s="20" t="n">
        <v>2.3893</v>
      </c>
      <c r="AJ143" s="20" t="n">
        <v>0.1671</v>
      </c>
      <c r="AK143" s="20" t="n">
        <v>0.6025</v>
      </c>
      <c r="AL143" s="20" t="n">
        <v>1.4326</v>
      </c>
      <c r="AM143" s="20" t="n">
        <v>1.136</v>
      </c>
      <c r="AN143" s="20" t="n">
        <v>1.2193</v>
      </c>
      <c r="AO143" s="20" t="n">
        <v>2.2385</v>
      </c>
      <c r="AP143" s="20" t="n">
        <v>0.5609</v>
      </c>
      <c r="AQ143" s="20" t="n">
        <v>0.4093</v>
      </c>
      <c r="AR143" s="20" t="n">
        <v>0.7159</v>
      </c>
      <c r="AS143" s="20" t="n">
        <v>0.8341</v>
      </c>
      <c r="AT143" s="20" t="n">
        <v>0.8048999999999999</v>
      </c>
      <c r="AU143" s="20" t="n">
        <v>1.0649</v>
      </c>
      <c r="AV143" s="20" t="n">
        <v>0.9336</v>
      </c>
      <c r="AW143" s="20" t="n">
        <v>0.224</v>
      </c>
      <c r="AX143" s="20" t="n">
        <v>0.2953</v>
      </c>
    </row>
    <row r="144">
      <c r="A144" s="19" t="inlineStr">
        <is>
          <t>Load_TR2_F6_50</t>
        </is>
      </c>
      <c r="B144" s="15" t="inlineStr">
        <is>
          <t>prosumer</t>
        </is>
      </c>
      <c r="C144" s="20" t="n">
        <v>0.156</v>
      </c>
      <c r="D144" s="20" t="n">
        <v>0.2934</v>
      </c>
      <c r="E144" s="20" t="n">
        <v>0.1212</v>
      </c>
      <c r="F144" s="20" t="n">
        <v>0.2222</v>
      </c>
      <c r="G144" s="20" t="n">
        <v>0.0828</v>
      </c>
      <c r="H144" s="20" t="n">
        <v>0.2867</v>
      </c>
      <c r="I144" s="20" t="n">
        <v>0.1672</v>
      </c>
      <c r="J144" s="20" t="n">
        <v>0.2298</v>
      </c>
      <c r="K144" s="20" t="n">
        <v>0.2206</v>
      </c>
      <c r="L144" s="20" t="n">
        <v>0.1212</v>
      </c>
      <c r="M144" s="20" t="n">
        <v>0.2622</v>
      </c>
      <c r="N144" s="20" t="n">
        <v>0.1452</v>
      </c>
      <c r="O144" s="20" t="n">
        <v>0.0582</v>
      </c>
      <c r="P144" s="20" t="n">
        <v>0.1329</v>
      </c>
      <c r="Q144" s="20" t="n">
        <v>0.2817</v>
      </c>
      <c r="R144" s="20" t="n">
        <v>0.2319</v>
      </c>
      <c r="S144" s="20" t="n">
        <v>0.0727</v>
      </c>
      <c r="T144" s="20" t="n">
        <v>0.3443</v>
      </c>
      <c r="U144" s="20" t="n">
        <v>0.097</v>
      </c>
      <c r="V144" s="20" t="n">
        <v>0.1524</v>
      </c>
      <c r="W144" s="20" t="n">
        <v>0.3199</v>
      </c>
      <c r="X144" s="20" t="n">
        <v>0.1493</v>
      </c>
      <c r="Y144" s="20" t="n">
        <v>0.0945</v>
      </c>
      <c r="Z144" s="20" t="n">
        <v>0.0672</v>
      </c>
      <c r="AA144" s="20" t="n">
        <v>0.3549</v>
      </c>
      <c r="AB144" s="20" t="n">
        <v>0.0919</v>
      </c>
      <c r="AC144" s="20" t="n">
        <v>0.2217</v>
      </c>
      <c r="AD144" s="20" t="n">
        <v>0.1906</v>
      </c>
      <c r="AE144" s="20" t="n">
        <v>0.1017</v>
      </c>
      <c r="AF144" s="20" t="n">
        <v>1.5333</v>
      </c>
      <c r="AG144" s="20" t="n">
        <v>0.9708</v>
      </c>
      <c r="AH144" s="20" t="n">
        <v>1.6557</v>
      </c>
      <c r="AI144" s="20" t="n">
        <v>0.326</v>
      </c>
      <c r="AJ144" s="20" t="n">
        <v>0.1343</v>
      </c>
      <c r="AK144" s="20" t="n">
        <v>0.4083</v>
      </c>
      <c r="AL144" s="20" t="n">
        <v>0.3734</v>
      </c>
      <c r="AM144" s="20" t="n">
        <v>0.3257</v>
      </c>
      <c r="AN144" s="20" t="n">
        <v>0.2777</v>
      </c>
      <c r="AO144" s="20" t="n">
        <v>0.6969</v>
      </c>
      <c r="AP144" s="20" t="n">
        <v>0.3692</v>
      </c>
      <c r="AQ144" s="20" t="n">
        <v>0.3002</v>
      </c>
      <c r="AR144" s="20" t="n">
        <v>0.5996</v>
      </c>
      <c r="AS144" s="20" t="n">
        <v>0.2333</v>
      </c>
      <c r="AT144" s="20" t="n">
        <v>0.0919</v>
      </c>
      <c r="AU144" s="20" t="n">
        <v>0.1379</v>
      </c>
      <c r="AV144" s="20" t="n">
        <v>0.1705</v>
      </c>
      <c r="AW144" s="20" t="n">
        <v>0.2056</v>
      </c>
      <c r="AX144" s="20" t="n">
        <v>0.1928</v>
      </c>
    </row>
    <row r="145">
      <c r="A145" s="19" t="inlineStr">
        <is>
          <t>Load_TR2_F6_51</t>
        </is>
      </c>
      <c r="B145" s="15" t="inlineStr">
        <is>
          <t>prosumer</t>
        </is>
      </c>
      <c r="C145" s="20" t="n">
        <v>0.053</v>
      </c>
      <c r="D145" s="20" t="n">
        <v>0.0612</v>
      </c>
      <c r="E145" s="20" t="n">
        <v>0.1186</v>
      </c>
      <c r="F145" s="20" t="n">
        <v>0.0612</v>
      </c>
      <c r="G145" s="20" t="n">
        <v>0.1186</v>
      </c>
      <c r="H145" s="20" t="n">
        <v>0.053</v>
      </c>
      <c r="I145" s="20" t="n">
        <v>0.0858</v>
      </c>
      <c r="J145" s="20" t="n">
        <v>0.094</v>
      </c>
      <c r="K145" s="20" t="n">
        <v>0.053</v>
      </c>
      <c r="L145" s="20" t="n">
        <v>0.1268</v>
      </c>
      <c r="M145" s="20" t="n">
        <v>0.053</v>
      </c>
      <c r="N145" s="20" t="n">
        <v>0.1268</v>
      </c>
      <c r="O145" s="20" t="n">
        <v>0.053</v>
      </c>
      <c r="P145" s="20" t="n">
        <v>0.1268</v>
      </c>
      <c r="Q145" s="20" t="n">
        <v>0.053</v>
      </c>
      <c r="R145" s="20" t="n">
        <v>0.1104</v>
      </c>
      <c r="S145" s="20" t="n">
        <v>0.6195000000000001</v>
      </c>
      <c r="T145" s="20" t="n">
        <v>0.7395</v>
      </c>
      <c r="U145" s="20" t="n">
        <v>0.3155</v>
      </c>
      <c r="V145" s="20" t="n">
        <v>0.2845</v>
      </c>
      <c r="W145" s="20" t="n">
        <v>0.0858</v>
      </c>
      <c r="X145" s="20" t="n">
        <v>0.0694</v>
      </c>
      <c r="Y145" s="20" t="n">
        <v>0.1104</v>
      </c>
      <c r="Z145" s="20" t="n">
        <v>0.053</v>
      </c>
      <c r="AA145" s="20" t="n">
        <v>0.053</v>
      </c>
      <c r="AB145" s="20" t="n">
        <v>0.1268</v>
      </c>
      <c r="AC145" s="20" t="n">
        <v>0.1023</v>
      </c>
      <c r="AD145" s="20" t="n">
        <v>0.2133</v>
      </c>
      <c r="AE145" s="20" t="n">
        <v>1.4197</v>
      </c>
      <c r="AF145" s="20" t="n">
        <v>2.4125</v>
      </c>
      <c r="AG145" s="20" t="n">
        <v>0.2908</v>
      </c>
      <c r="AH145" s="20" t="n">
        <v>1.316</v>
      </c>
      <c r="AI145" s="20" t="n">
        <v>0.053</v>
      </c>
      <c r="AJ145" s="20" t="n">
        <v>0.1442</v>
      </c>
      <c r="AK145" s="20" t="n">
        <v>0.3457</v>
      </c>
      <c r="AL145" s="20" t="n">
        <v>0.6691</v>
      </c>
      <c r="AM145" s="20" t="n">
        <v>0.1072</v>
      </c>
      <c r="AN145" s="20" t="n">
        <v>0.0806</v>
      </c>
      <c r="AO145" s="20" t="n">
        <v>0.1199</v>
      </c>
      <c r="AP145" s="20" t="n">
        <v>0.4366</v>
      </c>
      <c r="AQ145" s="20" t="n">
        <v>0.5327</v>
      </c>
      <c r="AR145" s="20" t="n">
        <v>0.8407</v>
      </c>
      <c r="AS145" s="20" t="n">
        <v>0.4541</v>
      </c>
      <c r="AT145" s="20" t="n">
        <v>0.3889</v>
      </c>
      <c r="AU145" s="20" t="n">
        <v>0.3958</v>
      </c>
      <c r="AV145" s="20" t="n">
        <v>0.4617</v>
      </c>
      <c r="AW145" s="20" t="n">
        <v>0.053</v>
      </c>
      <c r="AX145" s="20" t="n">
        <v>0.053</v>
      </c>
    </row>
    <row r="146">
      <c r="A146" s="19" t="inlineStr">
        <is>
          <t>Load_TR2_F6_52</t>
        </is>
      </c>
      <c r="B146" s="15" t="inlineStr">
        <is>
          <t>prosumer</t>
        </is>
      </c>
      <c r="C146" s="20" t="n">
        <v>0.056</v>
      </c>
      <c r="D146" s="20" t="n">
        <v>0.2407</v>
      </c>
      <c r="E146" s="20" t="n">
        <v>0.056</v>
      </c>
      <c r="F146" s="20" t="n">
        <v>0.1315</v>
      </c>
      <c r="G146" s="20" t="n">
        <v>0.1651</v>
      </c>
      <c r="H146" s="20" t="n">
        <v>0.056</v>
      </c>
      <c r="I146" s="20" t="n">
        <v>0.1567</v>
      </c>
      <c r="J146" s="20" t="n">
        <v>0.1399</v>
      </c>
      <c r="K146" s="20" t="n">
        <v>0.056</v>
      </c>
      <c r="L146" s="20" t="n">
        <v>0.2155</v>
      </c>
      <c r="M146" s="20" t="n">
        <v>0.08119999999999999</v>
      </c>
      <c r="N146" s="20" t="n">
        <v>0.056</v>
      </c>
      <c r="O146" s="20" t="n">
        <v>0.2854</v>
      </c>
      <c r="P146" s="20" t="n">
        <v>0.1837</v>
      </c>
      <c r="Q146" s="20" t="n">
        <v>0.2922</v>
      </c>
      <c r="R146" s="20" t="n">
        <v>0.056</v>
      </c>
      <c r="S146" s="20" t="n">
        <v>0.4031</v>
      </c>
      <c r="T146" s="20" t="n">
        <v>0.4872</v>
      </c>
      <c r="U146" s="20" t="n">
        <v>0.2993</v>
      </c>
      <c r="V146" s="20" t="n">
        <v>0.191</v>
      </c>
      <c r="W146" s="20" t="n">
        <v>0.6644</v>
      </c>
      <c r="X146" s="20" t="n">
        <v>0.523</v>
      </c>
      <c r="Y146" s="20" t="n">
        <v>0.4831</v>
      </c>
      <c r="Z146" s="20" t="n">
        <v>0.8183</v>
      </c>
      <c r="AA146" s="20" t="n">
        <v>0.4127</v>
      </c>
      <c r="AB146" s="20" t="n">
        <v>0.4051</v>
      </c>
      <c r="AC146" s="20" t="n">
        <v>0.1674</v>
      </c>
      <c r="AD146" s="20" t="n">
        <v>0.5903</v>
      </c>
      <c r="AE146" s="20" t="n">
        <v>1.1843</v>
      </c>
      <c r="AF146" s="20" t="n">
        <v>0.6869</v>
      </c>
      <c r="AG146" s="20" t="n">
        <v>0.3927</v>
      </c>
      <c r="AH146" s="20" t="n">
        <v>0.2435</v>
      </c>
      <c r="AI146" s="20" t="n">
        <v>0.2455</v>
      </c>
      <c r="AJ146" s="20" t="n">
        <v>0.662</v>
      </c>
      <c r="AK146" s="20" t="n">
        <v>0.5541</v>
      </c>
      <c r="AL146" s="20" t="n">
        <v>0.3378</v>
      </c>
      <c r="AM146" s="20" t="n">
        <v>0.3336</v>
      </c>
      <c r="AN146" s="20" t="n">
        <v>0.2648</v>
      </c>
      <c r="AO146" s="20" t="n">
        <v>2.6447</v>
      </c>
      <c r="AP146" s="20" t="n">
        <v>1.4062</v>
      </c>
      <c r="AQ146" s="20" t="n">
        <v>0.4996</v>
      </c>
      <c r="AR146" s="20" t="n">
        <v>0.6059</v>
      </c>
      <c r="AS146" s="20" t="n">
        <v>2.2033</v>
      </c>
      <c r="AT146" s="20" t="n">
        <v>0.6148</v>
      </c>
      <c r="AU146" s="20" t="n">
        <v>0.7053</v>
      </c>
      <c r="AV146" s="20" t="n">
        <v>0.8135</v>
      </c>
      <c r="AW146" s="20" t="n">
        <v>0.5569</v>
      </c>
      <c r="AX146" s="20" t="n">
        <v>0.056</v>
      </c>
    </row>
    <row r="147">
      <c r="A147" s="10" t="inlineStr">
        <is>
          <t>Load_TR2_F6_53</t>
        </is>
      </c>
      <c r="B147" s="12" t="inlineStr">
        <is>
          <t>customer</t>
        </is>
      </c>
      <c r="C147" s="18" t="n">
        <v>0.052</v>
      </c>
      <c r="D147" s="18" t="n">
        <v>0.1135</v>
      </c>
      <c r="E147" s="18" t="n">
        <v>0.1182</v>
      </c>
      <c r="F147" s="18" t="n">
        <v>0.052</v>
      </c>
      <c r="G147" s="18" t="n">
        <v>0.052</v>
      </c>
      <c r="H147" s="18" t="n">
        <v>0.052</v>
      </c>
      <c r="I147" s="18" t="n">
        <v>0.052</v>
      </c>
      <c r="J147" s="18" t="n">
        <v>0.052</v>
      </c>
      <c r="K147" s="18" t="n">
        <v>0.052</v>
      </c>
      <c r="L147" s="18" t="n">
        <v>0.052</v>
      </c>
      <c r="M147" s="18" t="n">
        <v>0.052</v>
      </c>
      <c r="N147" s="18" t="n">
        <v>0.052</v>
      </c>
      <c r="O147" s="18" t="n">
        <v>0.052</v>
      </c>
      <c r="P147" s="18" t="n">
        <v>0.052</v>
      </c>
      <c r="Q147" s="18" t="n">
        <v>0.052</v>
      </c>
      <c r="R147" s="18" t="n">
        <v>0.1086</v>
      </c>
      <c r="S147" s="18" t="n">
        <v>0.1873</v>
      </c>
      <c r="T147" s="18" t="n">
        <v>0.1898</v>
      </c>
      <c r="U147" s="18" t="n">
        <v>1.5669</v>
      </c>
      <c r="V147" s="18" t="n">
        <v>2.6428</v>
      </c>
      <c r="W147" s="18" t="n">
        <v>1.2797</v>
      </c>
      <c r="X147" s="18" t="n">
        <v>0.2398</v>
      </c>
      <c r="Y147" s="18" t="n">
        <v>1.8927</v>
      </c>
      <c r="Z147" s="18" t="n">
        <v>3.3393</v>
      </c>
      <c r="AA147" s="18" t="n">
        <v>1.3787</v>
      </c>
      <c r="AB147" s="18" t="n">
        <v>0.2202</v>
      </c>
      <c r="AC147" s="18" t="n">
        <v>0.08500000000000001</v>
      </c>
      <c r="AD147" s="18" t="n">
        <v>0.0674</v>
      </c>
      <c r="AE147" s="18" t="n">
        <v>0.0599</v>
      </c>
      <c r="AF147" s="18" t="n">
        <v>0.1266</v>
      </c>
      <c r="AG147" s="18" t="n">
        <v>0.142</v>
      </c>
      <c r="AH147" s="18" t="n">
        <v>0.0931</v>
      </c>
      <c r="AI147" s="18" t="n">
        <v>0.1347</v>
      </c>
      <c r="AJ147" s="18" t="n">
        <v>0.1783</v>
      </c>
      <c r="AK147" s="18" t="n">
        <v>0.2047</v>
      </c>
      <c r="AL147" s="18" t="n">
        <v>0.2487</v>
      </c>
      <c r="AM147" s="18" t="n">
        <v>0.3186</v>
      </c>
      <c r="AN147" s="18" t="n">
        <v>0.1056</v>
      </c>
      <c r="AO147" s="18" t="n">
        <v>0.1147</v>
      </c>
      <c r="AP147" s="18" t="n">
        <v>0.3431</v>
      </c>
      <c r="AQ147" s="18" t="n">
        <v>0.4766</v>
      </c>
      <c r="AR147" s="18" t="n">
        <v>0.3741</v>
      </c>
      <c r="AS147" s="18" t="n">
        <v>0.5872000000000001</v>
      </c>
      <c r="AT147" s="18" t="n">
        <v>0.8089</v>
      </c>
      <c r="AU147" s="18" t="n">
        <v>0.5527</v>
      </c>
      <c r="AV147" s="18" t="n">
        <v>0.4066</v>
      </c>
      <c r="AW147" s="18" t="n">
        <v>0.411</v>
      </c>
      <c r="AX147" s="18" t="n">
        <v>0.3946</v>
      </c>
    </row>
    <row r="148">
      <c r="A148" s="10" t="inlineStr">
        <is>
          <t>Load_TR2_F6_54</t>
        </is>
      </c>
      <c r="B148" s="12" t="inlineStr">
        <is>
          <t>customer</t>
        </is>
      </c>
      <c r="C148" s="18" t="n">
        <v>0.3544</v>
      </c>
      <c r="D148" s="18" t="n">
        <v>0.295</v>
      </c>
      <c r="E148" s="18" t="n">
        <v>0.2138</v>
      </c>
      <c r="F148" s="18" t="n">
        <v>0.047</v>
      </c>
      <c r="G148" s="18" t="n">
        <v>0.1241</v>
      </c>
      <c r="H148" s="18" t="n">
        <v>0.1855</v>
      </c>
      <c r="I148" s="18" t="n">
        <v>0.07870000000000001</v>
      </c>
      <c r="J148" s="18" t="n">
        <v>0.0969</v>
      </c>
      <c r="K148" s="18" t="n">
        <v>0.1018</v>
      </c>
      <c r="L148" s="18" t="n">
        <v>0.2077</v>
      </c>
      <c r="M148" s="18" t="n">
        <v>0.047</v>
      </c>
      <c r="N148" s="18" t="n">
        <v>0.2016</v>
      </c>
      <c r="O148" s="18" t="n">
        <v>0.1079</v>
      </c>
      <c r="P148" s="18" t="n">
        <v>0.047</v>
      </c>
      <c r="Q148" s="18" t="n">
        <v>0.2534</v>
      </c>
      <c r="R148" s="18" t="n">
        <v>0.0561</v>
      </c>
      <c r="S148" s="18" t="n">
        <v>0.0602</v>
      </c>
      <c r="T148" s="18" t="n">
        <v>0.3511</v>
      </c>
      <c r="U148" s="18" t="n">
        <v>0.1479</v>
      </c>
      <c r="V148" s="18" t="n">
        <v>0.2361</v>
      </c>
      <c r="W148" s="18" t="n">
        <v>0.122</v>
      </c>
      <c r="X148" s="18" t="n">
        <v>0.3176</v>
      </c>
      <c r="Y148" s="18" t="n">
        <v>0.3743</v>
      </c>
      <c r="Z148" s="18" t="n">
        <v>0.1761</v>
      </c>
      <c r="AA148" s="18" t="n">
        <v>0.1949</v>
      </c>
      <c r="AB148" s="18" t="n">
        <v>0.1341</v>
      </c>
      <c r="AC148" s="18" t="n">
        <v>0.2958</v>
      </c>
      <c r="AD148" s="18" t="n">
        <v>0.047</v>
      </c>
      <c r="AE148" s="18" t="n">
        <v>0.1555</v>
      </c>
      <c r="AF148" s="18" t="n">
        <v>0.3173</v>
      </c>
      <c r="AG148" s="18" t="n">
        <v>0.1118</v>
      </c>
      <c r="AH148" s="18" t="n">
        <v>0.0882</v>
      </c>
      <c r="AI148" s="18" t="n">
        <v>0.2499</v>
      </c>
      <c r="AJ148" s="18" t="n">
        <v>0.2107</v>
      </c>
      <c r="AK148" s="18" t="n">
        <v>0.2014</v>
      </c>
      <c r="AL148" s="18" t="n">
        <v>0.4992</v>
      </c>
      <c r="AM148" s="18" t="n">
        <v>0.2862</v>
      </c>
      <c r="AN148" s="18" t="n">
        <v>0.3392</v>
      </c>
      <c r="AO148" s="18" t="n">
        <v>0.6267</v>
      </c>
      <c r="AP148" s="18" t="n">
        <v>0.3878</v>
      </c>
      <c r="AQ148" s="18" t="n">
        <v>0.4121</v>
      </c>
      <c r="AR148" s="18" t="n">
        <v>0.5355</v>
      </c>
      <c r="AS148" s="18" t="n">
        <v>0.5621</v>
      </c>
      <c r="AT148" s="18" t="n">
        <v>0.4247</v>
      </c>
      <c r="AU148" s="18" t="n">
        <v>0.6046</v>
      </c>
      <c r="AV148" s="18" t="n">
        <v>0.5129</v>
      </c>
      <c r="AW148" s="18" t="n">
        <v>0.1286</v>
      </c>
      <c r="AX148" s="18" t="n">
        <v>0.047</v>
      </c>
    </row>
    <row r="149">
      <c r="A149" s="19" t="inlineStr">
        <is>
          <t>Load_TR2_F6_55</t>
        </is>
      </c>
      <c r="B149" s="15" t="inlineStr">
        <is>
          <t>prosumer</t>
        </is>
      </c>
      <c r="C149" s="20" t="n">
        <v>0.7056</v>
      </c>
      <c r="D149" s="20" t="n">
        <v>0.1358</v>
      </c>
      <c r="E149" s="20" t="n">
        <v>0.1486</v>
      </c>
      <c r="F149" s="20" t="n">
        <v>0.1865</v>
      </c>
      <c r="G149" s="20" t="n">
        <v>0.174</v>
      </c>
      <c r="H149" s="20" t="n">
        <v>0.047</v>
      </c>
      <c r="I149" s="20" t="n">
        <v>0.1801</v>
      </c>
      <c r="J149" s="20" t="n">
        <v>0.1232</v>
      </c>
      <c r="K149" s="20" t="n">
        <v>0.1929</v>
      </c>
      <c r="L149" s="20" t="n">
        <v>0.1295</v>
      </c>
      <c r="M149" s="20" t="n">
        <v>0.1422</v>
      </c>
      <c r="N149" s="20" t="n">
        <v>0.1928</v>
      </c>
      <c r="O149" s="20" t="n">
        <v>0.1676</v>
      </c>
      <c r="P149" s="20" t="n">
        <v>0.047</v>
      </c>
      <c r="Q149" s="20" t="n">
        <v>0.08500000000000001</v>
      </c>
      <c r="R149" s="20" t="n">
        <v>0.288</v>
      </c>
      <c r="S149" s="20" t="n">
        <v>0.2227</v>
      </c>
      <c r="T149" s="20" t="n">
        <v>0.2119</v>
      </c>
      <c r="U149" s="20" t="n">
        <v>0.1612</v>
      </c>
      <c r="V149" s="20" t="n">
        <v>0.1422</v>
      </c>
      <c r="W149" s="20" t="n">
        <v>0.2182</v>
      </c>
      <c r="X149" s="20" t="n">
        <v>0.047</v>
      </c>
      <c r="Y149" s="20" t="n">
        <v>0.1041</v>
      </c>
      <c r="Z149" s="20" t="n">
        <v>0.2909</v>
      </c>
      <c r="AA149" s="20" t="n">
        <v>0.2622</v>
      </c>
      <c r="AB149" s="20" t="n">
        <v>0.5041</v>
      </c>
      <c r="AC149" s="20" t="n">
        <v>0.047</v>
      </c>
      <c r="AD149" s="20" t="n">
        <v>0.0641</v>
      </c>
      <c r="AE149" s="20" t="n">
        <v>0.4977</v>
      </c>
      <c r="AF149" s="20" t="n">
        <v>0.7050999999999999</v>
      </c>
      <c r="AG149" s="20" t="n">
        <v>0.2709</v>
      </c>
      <c r="AH149" s="20" t="n">
        <v>0.0955</v>
      </c>
      <c r="AI149" s="20" t="n">
        <v>0.3135</v>
      </c>
      <c r="AJ149" s="20" t="n">
        <v>0.047</v>
      </c>
      <c r="AK149" s="20" t="n">
        <v>0.07240000000000001</v>
      </c>
      <c r="AL149" s="20" t="n">
        <v>0.2183</v>
      </c>
      <c r="AM149" s="20" t="n">
        <v>0.1167</v>
      </c>
      <c r="AN149" s="20" t="n">
        <v>0.0914</v>
      </c>
      <c r="AO149" s="20" t="n">
        <v>0.2437</v>
      </c>
      <c r="AP149" s="20" t="n">
        <v>0.07240000000000001</v>
      </c>
      <c r="AQ149" s="20" t="n">
        <v>0.174</v>
      </c>
      <c r="AR149" s="20" t="n">
        <v>0.1865</v>
      </c>
      <c r="AS149" s="20" t="n">
        <v>0.174</v>
      </c>
      <c r="AT149" s="20" t="n">
        <v>0.1294</v>
      </c>
      <c r="AU149" s="20" t="n">
        <v>0.1358</v>
      </c>
      <c r="AV149" s="20" t="n">
        <v>0.1422</v>
      </c>
      <c r="AW149" s="20" t="n">
        <v>0.1421</v>
      </c>
      <c r="AX149" s="20" t="n">
        <v>0.2184</v>
      </c>
    </row>
    <row r="150">
      <c r="A150" s="10" t="inlineStr">
        <is>
          <t>Load_TR2_F6_56</t>
        </is>
      </c>
      <c r="B150" s="12" t="inlineStr">
        <is>
          <t>customer</t>
        </is>
      </c>
      <c r="C150" s="18" t="n">
        <v>0.0629</v>
      </c>
      <c r="D150" s="18" t="n">
        <v>0.1583</v>
      </c>
      <c r="E150" s="18" t="n">
        <v>0.1881</v>
      </c>
      <c r="F150" s="18" t="n">
        <v>0.0824</v>
      </c>
      <c r="G150" s="18" t="n">
        <v>0.264</v>
      </c>
      <c r="H150" s="18" t="n">
        <v>0.0629</v>
      </c>
      <c r="I150" s="18" t="n">
        <v>0.1588</v>
      </c>
      <c r="J150" s="18" t="n">
        <v>0.136</v>
      </c>
      <c r="K150" s="18" t="n">
        <v>0.2456</v>
      </c>
      <c r="L150" s="18" t="n">
        <v>0.3331</v>
      </c>
      <c r="M150" s="18" t="n">
        <v>0.2634</v>
      </c>
      <c r="N150" s="18" t="n">
        <v>0.2617</v>
      </c>
      <c r="O150" s="18" t="n">
        <v>0.1876</v>
      </c>
      <c r="P150" s="18" t="n">
        <v>0.2025</v>
      </c>
      <c r="Q150" s="18" t="n">
        <v>0.0708</v>
      </c>
      <c r="R150" s="18" t="n">
        <v>0.096</v>
      </c>
      <c r="S150" s="18" t="n">
        <v>0.1988</v>
      </c>
      <c r="T150" s="18" t="n">
        <v>0.1145</v>
      </c>
      <c r="U150" s="18" t="n">
        <v>0.1241</v>
      </c>
      <c r="V150" s="18" t="n">
        <v>0.1707</v>
      </c>
      <c r="W150" s="18" t="n">
        <v>0.1145</v>
      </c>
      <c r="X150" s="18" t="n">
        <v>1.2369</v>
      </c>
      <c r="Y150" s="18" t="n">
        <v>0.5034</v>
      </c>
      <c r="Z150" s="18" t="n">
        <v>0.1153</v>
      </c>
      <c r="AA150" s="18" t="n">
        <v>0.2113</v>
      </c>
      <c r="AB150" s="18" t="n">
        <v>0.2006</v>
      </c>
      <c r="AC150" s="18" t="n">
        <v>0.9709</v>
      </c>
      <c r="AD150" s="18" t="n">
        <v>0.8789</v>
      </c>
      <c r="AE150" s="18" t="n">
        <v>0.3988</v>
      </c>
      <c r="AF150" s="18" t="n">
        <v>0.2497</v>
      </c>
      <c r="AG150" s="18" t="n">
        <v>0.2121</v>
      </c>
      <c r="AH150" s="18" t="n">
        <v>0.3354</v>
      </c>
      <c r="AI150" s="18" t="n">
        <v>0.1515</v>
      </c>
      <c r="AJ150" s="18" t="n">
        <v>0.2108</v>
      </c>
      <c r="AK150" s="18" t="n">
        <v>0.0576</v>
      </c>
      <c r="AL150" s="18" t="n">
        <v>0.1351</v>
      </c>
      <c r="AM150" s="18" t="n">
        <v>0.153</v>
      </c>
      <c r="AN150" s="18" t="n">
        <v>0.136</v>
      </c>
      <c r="AO150" s="18" t="n">
        <v>0.1868</v>
      </c>
      <c r="AP150" s="18" t="n">
        <v>0.1881</v>
      </c>
      <c r="AQ150" s="18" t="n">
        <v>0.5016</v>
      </c>
      <c r="AR150" s="18" t="n">
        <v>0.4003</v>
      </c>
      <c r="AS150" s="18" t="n">
        <v>0.7206</v>
      </c>
      <c r="AT150" s="18" t="n">
        <v>0.8284</v>
      </c>
      <c r="AU150" s="18" t="n">
        <v>0.1577</v>
      </c>
      <c r="AV150" s="18" t="n">
        <v>0.158</v>
      </c>
      <c r="AW150" s="18" t="n">
        <v>0.1588</v>
      </c>
      <c r="AX150" s="18" t="n">
        <v>0.1373</v>
      </c>
    </row>
    <row r="151">
      <c r="A151" s="19" t="inlineStr">
        <is>
          <t>Load_TR2_F6_57</t>
        </is>
      </c>
      <c r="B151" s="15" t="inlineStr">
        <is>
          <t>prosumer</t>
        </is>
      </c>
      <c r="C151" s="20" t="n">
        <v>0.1351</v>
      </c>
      <c r="D151" s="20" t="n">
        <v>0.1324</v>
      </c>
      <c r="E151" s="20" t="n">
        <v>0.0536</v>
      </c>
      <c r="F151" s="20" t="n">
        <v>0.08799999999999999</v>
      </c>
      <c r="G151" s="20" t="n">
        <v>0.0721</v>
      </c>
      <c r="H151" s="20" t="n">
        <v>0.1869</v>
      </c>
      <c r="I151" s="20" t="n">
        <v>0.0406</v>
      </c>
      <c r="J151" s="20" t="n">
        <v>0.1709</v>
      </c>
      <c r="K151" s="20" t="n">
        <v>0.09669999999999999</v>
      </c>
      <c r="L151" s="20" t="n">
        <v>0.032</v>
      </c>
      <c r="M151" s="20" t="n">
        <v>0.0893</v>
      </c>
      <c r="N151" s="20" t="n">
        <v>0.1395</v>
      </c>
      <c r="O151" s="20" t="n">
        <v>0.0708</v>
      </c>
      <c r="P151" s="20" t="n">
        <v>0.032</v>
      </c>
      <c r="Q151" s="20" t="n">
        <v>0.184</v>
      </c>
      <c r="R151" s="20" t="n">
        <v>0.0949</v>
      </c>
      <c r="S151" s="20" t="n">
        <v>0.2233</v>
      </c>
      <c r="T151" s="20" t="n">
        <v>0.3517</v>
      </c>
      <c r="U151" s="20" t="n">
        <v>0.2105</v>
      </c>
      <c r="V151" s="20" t="n">
        <v>0.2081</v>
      </c>
      <c r="W151" s="20" t="n">
        <v>0.0701</v>
      </c>
      <c r="X151" s="20" t="n">
        <v>0.2112</v>
      </c>
      <c r="Y151" s="20" t="n">
        <v>2.8267</v>
      </c>
      <c r="Z151" s="20" t="n">
        <v>0.241</v>
      </c>
      <c r="AA151" s="20" t="n">
        <v>1.5182</v>
      </c>
      <c r="AB151" s="20" t="n">
        <v>0.6308</v>
      </c>
      <c r="AC151" s="20" t="n">
        <v>0.1719</v>
      </c>
      <c r="AD151" s="20" t="n">
        <v>0.118</v>
      </c>
      <c r="AE151" s="20" t="n">
        <v>0.1387</v>
      </c>
      <c r="AF151" s="20" t="n">
        <v>0.2428</v>
      </c>
      <c r="AG151" s="20" t="n">
        <v>0.4549</v>
      </c>
      <c r="AH151" s="20" t="n">
        <v>0.1255</v>
      </c>
      <c r="AI151" s="20" t="n">
        <v>0.1109</v>
      </c>
      <c r="AJ151" s="20" t="n">
        <v>0.5096000000000001</v>
      </c>
      <c r="AK151" s="20" t="n">
        <v>0.2711</v>
      </c>
      <c r="AL151" s="20" t="n">
        <v>0.2615</v>
      </c>
      <c r="AM151" s="20" t="n">
        <v>0.1635</v>
      </c>
      <c r="AN151" s="20" t="n">
        <v>0.2052</v>
      </c>
      <c r="AO151" s="20" t="n">
        <v>0.1303</v>
      </c>
      <c r="AP151" s="20" t="n">
        <v>0.2463</v>
      </c>
      <c r="AQ151" s="20" t="n">
        <v>0.403</v>
      </c>
      <c r="AR151" s="20" t="n">
        <v>0.7206</v>
      </c>
      <c r="AS151" s="20" t="n">
        <v>1.4928</v>
      </c>
      <c r="AT151" s="20" t="n">
        <v>0.4927</v>
      </c>
      <c r="AU151" s="20" t="n">
        <v>0.3013</v>
      </c>
      <c r="AV151" s="20" t="n">
        <v>0.0851</v>
      </c>
      <c r="AW151" s="20" t="n">
        <v>0.0794</v>
      </c>
      <c r="AX151" s="20" t="n">
        <v>0.1365</v>
      </c>
    </row>
    <row r="152">
      <c r="A152" s="19" t="inlineStr">
        <is>
          <t>Load_TR2_F6_58</t>
        </is>
      </c>
      <c r="B152" s="15" t="inlineStr">
        <is>
          <t>prosumer</t>
        </is>
      </c>
      <c r="C152" s="20" t="n">
        <v>0.05</v>
      </c>
      <c r="D152" s="20" t="n">
        <v>0.2224</v>
      </c>
      <c r="E152" s="20" t="n">
        <v>0.05</v>
      </c>
      <c r="F152" s="20" t="n">
        <v>0.1597</v>
      </c>
      <c r="G152" s="20" t="n">
        <v>0.1127</v>
      </c>
      <c r="H152" s="20" t="n">
        <v>0.0735</v>
      </c>
      <c r="I152" s="20" t="n">
        <v>0.1989</v>
      </c>
      <c r="J152" s="20" t="n">
        <v>0.05</v>
      </c>
      <c r="K152" s="20" t="n">
        <v>0.05</v>
      </c>
      <c r="L152" s="20" t="n">
        <v>0.191</v>
      </c>
      <c r="M152" s="20" t="n">
        <v>0.0813</v>
      </c>
      <c r="N152" s="20" t="n">
        <v>0.0578</v>
      </c>
      <c r="O152" s="20" t="n">
        <v>0.2145</v>
      </c>
      <c r="P152" s="20" t="n">
        <v>0.05</v>
      </c>
      <c r="Q152" s="20" t="n">
        <v>0.1205</v>
      </c>
      <c r="R152" s="20" t="n">
        <v>0.1518</v>
      </c>
      <c r="S152" s="20" t="n">
        <v>0.05</v>
      </c>
      <c r="T152" s="20" t="n">
        <v>0.2224</v>
      </c>
      <c r="U152" s="20" t="n">
        <v>0.05</v>
      </c>
      <c r="V152" s="20" t="n">
        <v>0.1518</v>
      </c>
      <c r="W152" s="20" t="n">
        <v>0.1205</v>
      </c>
      <c r="X152" s="20" t="n">
        <v>0.3633</v>
      </c>
      <c r="Y152" s="20" t="n">
        <v>1.8014</v>
      </c>
      <c r="Z152" s="20" t="n">
        <v>0.06569999999999999</v>
      </c>
      <c r="AA152" s="20" t="n">
        <v>0.1283</v>
      </c>
      <c r="AB152" s="20" t="n">
        <v>0.144</v>
      </c>
      <c r="AC152" s="20" t="n">
        <v>0.05</v>
      </c>
      <c r="AD152" s="20" t="n">
        <v>0.0549</v>
      </c>
      <c r="AE152" s="20" t="n">
        <v>0.4977</v>
      </c>
      <c r="AF152" s="20" t="n">
        <v>1.0113</v>
      </c>
      <c r="AG152" s="20" t="n">
        <v>0.2696</v>
      </c>
      <c r="AH152" s="20" t="n">
        <v>0.1124</v>
      </c>
      <c r="AI152" s="20" t="n">
        <v>0.1046</v>
      </c>
      <c r="AJ152" s="20" t="n">
        <v>0.2491</v>
      </c>
      <c r="AK152" s="20" t="n">
        <v>0.4523</v>
      </c>
      <c r="AL152" s="20" t="n">
        <v>0.7791</v>
      </c>
      <c r="AM152" s="20" t="n">
        <v>0.2391</v>
      </c>
      <c r="AN152" s="20" t="n">
        <v>0.2838</v>
      </c>
      <c r="AO152" s="20" t="n">
        <v>0.2563</v>
      </c>
      <c r="AP152" s="20" t="n">
        <v>0.4673</v>
      </c>
      <c r="AQ152" s="20" t="n">
        <v>0.6659</v>
      </c>
      <c r="AR152" s="20" t="n">
        <v>0.8524</v>
      </c>
      <c r="AS152" s="20" t="n">
        <v>0.5596</v>
      </c>
      <c r="AT152" s="20" t="n">
        <v>0.4882</v>
      </c>
      <c r="AU152" s="20" t="n">
        <v>0.473</v>
      </c>
      <c r="AV152" s="20" t="n">
        <v>0.0735</v>
      </c>
      <c r="AW152" s="20" t="n">
        <v>0.1989</v>
      </c>
      <c r="AX152" s="20" t="n">
        <v>0.05</v>
      </c>
    </row>
    <row r="153">
      <c r="A153" s="19" t="inlineStr">
        <is>
          <t>Load_TR2_F6_59</t>
        </is>
      </c>
      <c r="B153" s="15" t="inlineStr">
        <is>
          <t>prosumer</t>
        </is>
      </c>
      <c r="C153" s="20" t="n">
        <v>0.049</v>
      </c>
      <c r="D153" s="20" t="n">
        <v>0.049</v>
      </c>
      <c r="E153" s="20" t="n">
        <v>0.049</v>
      </c>
      <c r="F153" s="20" t="n">
        <v>0.049</v>
      </c>
      <c r="G153" s="20" t="n">
        <v>0.049</v>
      </c>
      <c r="H153" s="20" t="n">
        <v>0.049</v>
      </c>
      <c r="I153" s="20" t="n">
        <v>0.049</v>
      </c>
      <c r="J153" s="20" t="n">
        <v>0.049</v>
      </c>
      <c r="K153" s="20" t="n">
        <v>0.049</v>
      </c>
      <c r="L153" s="20" t="n">
        <v>0.049</v>
      </c>
      <c r="M153" s="20" t="n">
        <v>0.049</v>
      </c>
      <c r="N153" s="20" t="n">
        <v>0.06510000000000001</v>
      </c>
      <c r="O153" s="20" t="n">
        <v>0.067</v>
      </c>
      <c r="P153" s="20" t="n">
        <v>0.067</v>
      </c>
      <c r="Q153" s="20" t="n">
        <v>0.2747</v>
      </c>
      <c r="R153" s="20" t="n">
        <v>0.067</v>
      </c>
      <c r="S153" s="20" t="n">
        <v>0.1645</v>
      </c>
      <c r="T153" s="20" t="n">
        <v>0.067</v>
      </c>
      <c r="U153" s="20" t="n">
        <v>0.067</v>
      </c>
      <c r="V153" s="20" t="n">
        <v>1.0833</v>
      </c>
      <c r="W153" s="20" t="n">
        <v>0.7592</v>
      </c>
      <c r="X153" s="20" t="n">
        <v>1.3499</v>
      </c>
      <c r="Y153" s="20" t="n">
        <v>0.0532</v>
      </c>
      <c r="Z153" s="20" t="n">
        <v>0.049</v>
      </c>
      <c r="AA153" s="20" t="n">
        <v>0.0643</v>
      </c>
      <c r="AB153" s="20" t="n">
        <v>0.08359999999999999</v>
      </c>
      <c r="AC153" s="20" t="n">
        <v>0.3725</v>
      </c>
      <c r="AD153" s="20" t="n">
        <v>0.254</v>
      </c>
      <c r="AE153" s="20" t="n">
        <v>0.3183</v>
      </c>
      <c r="AF153" s="20" t="n">
        <v>0.049</v>
      </c>
      <c r="AG153" s="20" t="n">
        <v>0.049</v>
      </c>
      <c r="AH153" s="20" t="n">
        <v>0.049</v>
      </c>
      <c r="AI153" s="20" t="n">
        <v>0.202</v>
      </c>
      <c r="AJ153" s="20" t="n">
        <v>0.2448</v>
      </c>
      <c r="AK153" s="20" t="n">
        <v>0.5062</v>
      </c>
      <c r="AL153" s="20" t="n">
        <v>1.9547</v>
      </c>
      <c r="AM153" s="20" t="n">
        <v>0.2224</v>
      </c>
      <c r="AN153" s="20" t="n">
        <v>0.326</v>
      </c>
      <c r="AO153" s="20" t="n">
        <v>1.5915</v>
      </c>
      <c r="AP153" s="20" t="n">
        <v>1.3369</v>
      </c>
      <c r="AQ153" s="20" t="n">
        <v>0.9718</v>
      </c>
      <c r="AR153" s="20" t="n">
        <v>0.3877</v>
      </c>
      <c r="AS153" s="20" t="n">
        <v>0.4636</v>
      </c>
      <c r="AT153" s="20" t="n">
        <v>0.576</v>
      </c>
      <c r="AU153" s="20" t="n">
        <v>0.4538</v>
      </c>
      <c r="AV153" s="20" t="n">
        <v>0.1738</v>
      </c>
      <c r="AW153" s="20" t="n">
        <v>0.3233</v>
      </c>
      <c r="AX153" s="20" t="n">
        <v>0.049</v>
      </c>
    </row>
    <row r="154">
      <c r="A154" s="10" t="inlineStr">
        <is>
          <t>Load_TR2_F6_6</t>
        </is>
      </c>
      <c r="B154" s="12" t="inlineStr">
        <is>
          <t>customer</t>
        </is>
      </c>
      <c r="C154" s="18" t="n">
        <v>1.0471</v>
      </c>
      <c r="D154" s="18" t="n">
        <v>0.5736</v>
      </c>
      <c r="E154" s="18" t="n">
        <v>0.9302</v>
      </c>
      <c r="F154" s="18" t="n">
        <v>0.07829999999999999</v>
      </c>
      <c r="G154" s="18" t="n">
        <v>0.1046</v>
      </c>
      <c r="H154" s="18" t="n">
        <v>0.1889</v>
      </c>
      <c r="I154" s="18" t="n">
        <v>0.052</v>
      </c>
      <c r="J154" s="18" t="n">
        <v>0.2243</v>
      </c>
      <c r="K154" s="18" t="n">
        <v>0.0955</v>
      </c>
      <c r="L154" s="18" t="n">
        <v>0.052</v>
      </c>
      <c r="M154" s="18" t="n">
        <v>0.1683</v>
      </c>
      <c r="N154" s="18" t="n">
        <v>0.1515</v>
      </c>
      <c r="O154" s="18" t="n">
        <v>0.052</v>
      </c>
      <c r="P154" s="18" t="n">
        <v>0.1453</v>
      </c>
      <c r="Q154" s="18" t="n">
        <v>0.1701</v>
      </c>
      <c r="R154" s="18" t="n">
        <v>0.0564</v>
      </c>
      <c r="S154" s="18" t="n">
        <v>0.1889</v>
      </c>
      <c r="T154" s="18" t="n">
        <v>0.157</v>
      </c>
      <c r="U154" s="18" t="n">
        <v>0.1092</v>
      </c>
      <c r="V154" s="18" t="n">
        <v>0.2151</v>
      </c>
      <c r="W154" s="18" t="n">
        <v>0.7098</v>
      </c>
      <c r="X154" s="18" t="n">
        <v>0.6339</v>
      </c>
      <c r="Y154" s="18" t="n">
        <v>0.2616</v>
      </c>
      <c r="Z154" s="18" t="n">
        <v>0.0564</v>
      </c>
      <c r="AA154" s="18" t="n">
        <v>0.1702</v>
      </c>
      <c r="AB154" s="18" t="n">
        <v>0.0707</v>
      </c>
      <c r="AC154" s="18" t="n">
        <v>0.1932</v>
      </c>
      <c r="AD154" s="18" t="n">
        <v>0.1267</v>
      </c>
      <c r="AE154" s="18" t="n">
        <v>0.1284</v>
      </c>
      <c r="AF154" s="18" t="n">
        <v>0.2074</v>
      </c>
      <c r="AG154" s="18" t="n">
        <v>0.1408</v>
      </c>
      <c r="AH154" s="18" t="n">
        <v>0.2785</v>
      </c>
      <c r="AI154" s="18" t="n">
        <v>0.2671</v>
      </c>
      <c r="AJ154" s="18" t="n">
        <v>0.1981</v>
      </c>
      <c r="AK154" s="18" t="n">
        <v>0.2468</v>
      </c>
      <c r="AL154" s="18" t="n">
        <v>0.1377</v>
      </c>
      <c r="AM154" s="18" t="n">
        <v>1.0737</v>
      </c>
      <c r="AN154" s="18" t="n">
        <v>1.4547</v>
      </c>
      <c r="AO154" s="18" t="n">
        <v>0.08599999999999999</v>
      </c>
      <c r="AP154" s="18" t="n">
        <v>0.4534</v>
      </c>
      <c r="AQ154" s="18" t="n">
        <v>0.5414</v>
      </c>
      <c r="AR154" s="18" t="n">
        <v>0.5363</v>
      </c>
      <c r="AS154" s="18" t="n">
        <v>0.7395</v>
      </c>
      <c r="AT154" s="18" t="n">
        <v>1.513</v>
      </c>
      <c r="AU154" s="18" t="n">
        <v>2.0652</v>
      </c>
      <c r="AV154" s="18" t="n">
        <v>0.9141</v>
      </c>
      <c r="AW154" s="18" t="n">
        <v>1.2317</v>
      </c>
      <c r="AX154" s="18" t="n">
        <v>0.7</v>
      </c>
    </row>
    <row r="155">
      <c r="A155" s="19" t="inlineStr">
        <is>
          <t>Load_TR2_F6_60</t>
        </is>
      </c>
      <c r="B155" s="15" t="inlineStr">
        <is>
          <t>prosumer</t>
        </is>
      </c>
      <c r="C155" s="20" t="n">
        <v>1.0705</v>
      </c>
      <c r="D155" s="20" t="n">
        <v>1.043</v>
      </c>
      <c r="E155" s="20" t="n">
        <v>0.0584</v>
      </c>
      <c r="F155" s="20" t="n">
        <v>0.2291</v>
      </c>
      <c r="G155" s="20" t="n">
        <v>0.1171</v>
      </c>
      <c r="H155" s="20" t="n">
        <v>0.1414</v>
      </c>
      <c r="I155" s="20" t="n">
        <v>0.2112</v>
      </c>
      <c r="J155" s="20" t="n">
        <v>0.052</v>
      </c>
      <c r="K155" s="20" t="n">
        <v>0.2716</v>
      </c>
      <c r="L155" s="20" t="n">
        <v>0.0809</v>
      </c>
      <c r="M155" s="20" t="n">
        <v>0.052</v>
      </c>
      <c r="N155" s="20" t="n">
        <v>0.3006</v>
      </c>
      <c r="O155" s="20" t="n">
        <v>0.052</v>
      </c>
      <c r="P155" s="20" t="n">
        <v>0.2027</v>
      </c>
      <c r="Q155" s="20" t="n">
        <v>0.386</v>
      </c>
      <c r="R155" s="20" t="n">
        <v>0.052</v>
      </c>
      <c r="S155" s="20" t="n">
        <v>0.2044</v>
      </c>
      <c r="T155" s="20" t="n">
        <v>1.1387</v>
      </c>
      <c r="U155" s="20" t="n">
        <v>0.08799999999999999</v>
      </c>
      <c r="V155" s="20" t="n">
        <v>1.2314</v>
      </c>
      <c r="W155" s="20" t="n">
        <v>1.2423</v>
      </c>
      <c r="X155" s="20" t="n">
        <v>0.3924</v>
      </c>
      <c r="Y155" s="20" t="n">
        <v>0.3257</v>
      </c>
      <c r="Z155" s="20" t="n">
        <v>1.3252</v>
      </c>
      <c r="AA155" s="20" t="n">
        <v>0.5289</v>
      </c>
      <c r="AB155" s="20" t="n">
        <v>0.3799</v>
      </c>
      <c r="AC155" s="20" t="n">
        <v>0.1959</v>
      </c>
      <c r="AD155" s="20" t="n">
        <v>0.1853</v>
      </c>
      <c r="AE155" s="20" t="n">
        <v>0.3583</v>
      </c>
      <c r="AF155" s="20" t="n">
        <v>0.0839</v>
      </c>
      <c r="AG155" s="20" t="n">
        <v>0.2832</v>
      </c>
      <c r="AH155" s="20" t="n">
        <v>0.261</v>
      </c>
      <c r="AI155" s="20" t="n">
        <v>0.2211</v>
      </c>
      <c r="AJ155" s="20" t="n">
        <v>0.3305</v>
      </c>
      <c r="AK155" s="20" t="n">
        <v>0.668</v>
      </c>
      <c r="AL155" s="20" t="n">
        <v>1.3922</v>
      </c>
      <c r="AM155" s="20" t="n">
        <v>0.6655</v>
      </c>
      <c r="AN155" s="20" t="n">
        <v>1.4904</v>
      </c>
      <c r="AO155" s="20" t="n">
        <v>0.5037</v>
      </c>
      <c r="AP155" s="20" t="n">
        <v>0.0584</v>
      </c>
      <c r="AQ155" s="20" t="n">
        <v>1.4034</v>
      </c>
      <c r="AR155" s="20" t="n">
        <v>0.617</v>
      </c>
      <c r="AS155" s="20" t="n">
        <v>1.2445</v>
      </c>
      <c r="AT155" s="20" t="n">
        <v>0.6336000000000001</v>
      </c>
      <c r="AU155" s="20" t="n">
        <v>1.0957</v>
      </c>
      <c r="AV155" s="20" t="n">
        <v>0.7882</v>
      </c>
      <c r="AW155" s="20" t="n">
        <v>0.8110000000000001</v>
      </c>
      <c r="AX155" s="20" t="n">
        <v>0.2282</v>
      </c>
    </row>
    <row r="156">
      <c r="A156" s="10" t="inlineStr">
        <is>
          <t>Load_TR2_F6_61</t>
        </is>
      </c>
      <c r="B156" s="12" t="inlineStr">
        <is>
          <t>customer</t>
        </is>
      </c>
      <c r="C156" s="18" t="n">
        <v>0.1516</v>
      </c>
      <c r="D156" s="18" t="n">
        <v>0.4037</v>
      </c>
      <c r="E156" s="18" t="n">
        <v>0.647</v>
      </c>
      <c r="F156" s="18" t="n">
        <v>0.6764</v>
      </c>
      <c r="G156" s="18" t="n">
        <v>0.5587</v>
      </c>
      <c r="H156" s="18" t="n">
        <v>0.055</v>
      </c>
      <c r="I156" s="18" t="n">
        <v>0.0614</v>
      </c>
      <c r="J156" s="18" t="n">
        <v>0.1902</v>
      </c>
      <c r="K156" s="18" t="n">
        <v>0.055</v>
      </c>
      <c r="L156" s="18" t="n">
        <v>0.1967</v>
      </c>
      <c r="M156" s="18" t="n">
        <v>0.055</v>
      </c>
      <c r="N156" s="18" t="n">
        <v>0.1001</v>
      </c>
      <c r="O156" s="18" t="n">
        <v>0.1516</v>
      </c>
      <c r="P156" s="18" t="n">
        <v>0.055</v>
      </c>
      <c r="Q156" s="18" t="n">
        <v>0.1967</v>
      </c>
      <c r="R156" s="18" t="n">
        <v>0.055</v>
      </c>
      <c r="S156" s="18" t="n">
        <v>0.1967</v>
      </c>
      <c r="T156" s="18" t="n">
        <v>0.2325</v>
      </c>
      <c r="U156" s="18" t="n">
        <v>0.2009</v>
      </c>
      <c r="V156" s="18" t="n">
        <v>0.31</v>
      </c>
      <c r="W156" s="18" t="n">
        <v>0.4421</v>
      </c>
      <c r="X156" s="18" t="n">
        <v>0.4893</v>
      </c>
      <c r="Y156" s="18" t="n">
        <v>0.2761</v>
      </c>
      <c r="Z156" s="18" t="n">
        <v>0.6445</v>
      </c>
      <c r="AA156" s="18" t="n">
        <v>3.9178</v>
      </c>
      <c r="AB156" s="18" t="n">
        <v>2.9216</v>
      </c>
      <c r="AC156" s="18" t="n">
        <v>0.6122</v>
      </c>
      <c r="AD156" s="18" t="n">
        <v>0.1461</v>
      </c>
      <c r="AE156" s="18" t="n">
        <v>2.024</v>
      </c>
      <c r="AF156" s="18" t="n">
        <v>0.2306</v>
      </c>
      <c r="AG156" s="18" t="n">
        <v>0.2635</v>
      </c>
      <c r="AH156" s="18" t="n">
        <v>0.2568</v>
      </c>
      <c r="AI156" s="18" t="n">
        <v>0.2774</v>
      </c>
      <c r="AJ156" s="18" t="n">
        <v>0.1136</v>
      </c>
      <c r="AK156" s="18" t="n">
        <v>1.5768</v>
      </c>
      <c r="AL156" s="18" t="n">
        <v>0.9287</v>
      </c>
      <c r="AM156" s="18" t="n">
        <v>0.1847</v>
      </c>
      <c r="AN156" s="18" t="n">
        <v>0.3144</v>
      </c>
      <c r="AO156" s="18" t="n">
        <v>0.1821</v>
      </c>
      <c r="AP156" s="18" t="n">
        <v>0.3357</v>
      </c>
      <c r="AQ156" s="18" t="n">
        <v>0.6647999999999999</v>
      </c>
      <c r="AR156" s="18" t="n">
        <v>0.6004</v>
      </c>
      <c r="AS156" s="18" t="n">
        <v>0.5574</v>
      </c>
      <c r="AT156" s="18" t="n">
        <v>0.7187</v>
      </c>
      <c r="AU156" s="18" t="n">
        <v>0.8912</v>
      </c>
      <c r="AV156" s="18" t="n">
        <v>0.8731</v>
      </c>
      <c r="AW156" s="18" t="n">
        <v>0.8478</v>
      </c>
      <c r="AX156" s="18" t="n">
        <v>0.055</v>
      </c>
    </row>
    <row r="157">
      <c r="A157" s="19" t="inlineStr">
        <is>
          <t>Load_TR2_F6_62</t>
        </is>
      </c>
      <c r="B157" s="15" t="inlineStr">
        <is>
          <t>prosumer</t>
        </is>
      </c>
      <c r="C157" s="20" t="n">
        <v>0.5703</v>
      </c>
      <c r="D157" s="20" t="n">
        <v>0.7125</v>
      </c>
      <c r="E157" s="20" t="n">
        <v>0.0927</v>
      </c>
      <c r="F157" s="20" t="n">
        <v>0.171</v>
      </c>
      <c r="G157" s="20" t="n">
        <v>0.1423</v>
      </c>
      <c r="H157" s="20" t="n">
        <v>0.048</v>
      </c>
      <c r="I157" s="20" t="n">
        <v>0.2653</v>
      </c>
      <c r="J157" s="20" t="n">
        <v>0.048</v>
      </c>
      <c r="K157" s="20" t="n">
        <v>0.2076</v>
      </c>
      <c r="L157" s="20" t="n">
        <v>0.1057</v>
      </c>
      <c r="M157" s="20" t="n">
        <v>0.048</v>
      </c>
      <c r="N157" s="20" t="n">
        <v>0.1368</v>
      </c>
      <c r="O157" s="20" t="n">
        <v>0.1095</v>
      </c>
      <c r="P157" s="20" t="n">
        <v>0.07530000000000001</v>
      </c>
      <c r="Q157" s="20" t="n">
        <v>0.2231</v>
      </c>
      <c r="R157" s="20" t="n">
        <v>0.0629</v>
      </c>
      <c r="S157" s="20" t="n">
        <v>0.2225</v>
      </c>
      <c r="T157" s="20" t="n">
        <v>0.09080000000000001</v>
      </c>
      <c r="U157" s="20" t="n">
        <v>0.048</v>
      </c>
      <c r="V157" s="20" t="n">
        <v>0.2653</v>
      </c>
      <c r="W157" s="20" t="n">
        <v>0.048</v>
      </c>
      <c r="X157" s="20" t="n">
        <v>0.1648</v>
      </c>
      <c r="Y157" s="20" t="n">
        <v>0.1486</v>
      </c>
      <c r="Z157" s="20" t="n">
        <v>0.0902</v>
      </c>
      <c r="AA157" s="20" t="n">
        <v>0.2729</v>
      </c>
      <c r="AB157" s="20" t="n">
        <v>0.2268</v>
      </c>
      <c r="AC157" s="20" t="n">
        <v>0.1461</v>
      </c>
      <c r="AD157" s="20" t="n">
        <v>0.1523</v>
      </c>
      <c r="AE157" s="20" t="n">
        <v>0.0927</v>
      </c>
      <c r="AF157" s="20" t="n">
        <v>0.2743</v>
      </c>
      <c r="AG157" s="20" t="n">
        <v>0.2639</v>
      </c>
      <c r="AH157" s="20" t="n">
        <v>0.3577</v>
      </c>
      <c r="AI157" s="20" t="n">
        <v>2.5429</v>
      </c>
      <c r="AJ157" s="20" t="n">
        <v>0.2717</v>
      </c>
      <c r="AK157" s="20" t="n">
        <v>0.4078</v>
      </c>
      <c r="AL157" s="20" t="n">
        <v>0.1904</v>
      </c>
      <c r="AM157" s="20" t="n">
        <v>0.3325</v>
      </c>
      <c r="AN157" s="20" t="n">
        <v>0.2265</v>
      </c>
      <c r="AO157" s="20" t="n">
        <v>0.1902</v>
      </c>
      <c r="AP157" s="20" t="n">
        <v>0.1232</v>
      </c>
      <c r="AQ157" s="20" t="n">
        <v>0.115</v>
      </c>
      <c r="AR157" s="20" t="n">
        <v>0.1983</v>
      </c>
      <c r="AS157" s="20" t="n">
        <v>0.1515</v>
      </c>
      <c r="AT157" s="20" t="n">
        <v>0.3036</v>
      </c>
      <c r="AU157" s="20" t="n">
        <v>0.6972</v>
      </c>
      <c r="AV157" s="20" t="n">
        <v>0.5686</v>
      </c>
      <c r="AW157" s="20" t="n">
        <v>0.5099</v>
      </c>
      <c r="AX157" s="20" t="n">
        <v>0.07530000000000001</v>
      </c>
    </row>
    <row r="158">
      <c r="A158" s="10" t="inlineStr">
        <is>
          <t>Load_TR2_F6_63</t>
        </is>
      </c>
      <c r="B158" s="12" t="inlineStr">
        <is>
          <t>customer</t>
        </is>
      </c>
      <c r="C158" s="18" t="n">
        <v>0.1002</v>
      </c>
      <c r="D158" s="18" t="n">
        <v>0.1218</v>
      </c>
      <c r="E158" s="18" t="n">
        <v>0.1161</v>
      </c>
      <c r="F158" s="18" t="n">
        <v>0.1604</v>
      </c>
      <c r="G158" s="18" t="n">
        <v>0.057</v>
      </c>
      <c r="H158" s="18" t="n">
        <v>0.0786</v>
      </c>
      <c r="I158" s="18" t="n">
        <v>0.2763</v>
      </c>
      <c r="J158" s="18" t="n">
        <v>0.08649999999999999</v>
      </c>
      <c r="K158" s="18" t="n">
        <v>0.0939</v>
      </c>
      <c r="L158" s="18" t="n">
        <v>0.1825</v>
      </c>
      <c r="M158" s="18" t="n">
        <v>0.057</v>
      </c>
      <c r="N158" s="18" t="n">
        <v>0.165</v>
      </c>
      <c r="O158" s="18" t="n">
        <v>0.1308</v>
      </c>
      <c r="P158" s="18" t="n">
        <v>0.2104</v>
      </c>
      <c r="Q158" s="18" t="n">
        <v>0.1002</v>
      </c>
      <c r="R158" s="18" t="n">
        <v>0.2194</v>
      </c>
      <c r="S158" s="18" t="n">
        <v>0.1056</v>
      </c>
      <c r="T158" s="18" t="n">
        <v>0.1164</v>
      </c>
      <c r="U158" s="18" t="n">
        <v>0.2302</v>
      </c>
      <c r="V158" s="18" t="n">
        <v>0.1542</v>
      </c>
      <c r="W158" s="18" t="n">
        <v>0.1308</v>
      </c>
      <c r="X158" s="18" t="n">
        <v>0.1456</v>
      </c>
      <c r="Y158" s="18" t="n">
        <v>0.165</v>
      </c>
      <c r="Z158" s="18" t="n">
        <v>0.2194</v>
      </c>
      <c r="AA158" s="18" t="n">
        <v>0.057</v>
      </c>
      <c r="AB158" s="18" t="n">
        <v>0.165</v>
      </c>
      <c r="AC158" s="18" t="n">
        <v>0.1235</v>
      </c>
      <c r="AD158" s="18" t="n">
        <v>0.153</v>
      </c>
      <c r="AE158" s="18" t="n">
        <v>0.165</v>
      </c>
      <c r="AF158" s="18" t="n">
        <v>0.1308</v>
      </c>
      <c r="AG158" s="18" t="n">
        <v>0.1456</v>
      </c>
      <c r="AH158" s="18" t="n">
        <v>0.165</v>
      </c>
      <c r="AI158" s="18" t="n">
        <v>0.2121</v>
      </c>
      <c r="AJ158" s="18" t="n">
        <v>0.0644</v>
      </c>
      <c r="AK158" s="18" t="n">
        <v>0.1678</v>
      </c>
      <c r="AL158" s="18" t="n">
        <v>0.1951</v>
      </c>
      <c r="AM158" s="18" t="n">
        <v>0.0786</v>
      </c>
      <c r="AN158" s="18" t="n">
        <v>0.2194</v>
      </c>
      <c r="AO158" s="18" t="n">
        <v>0.057</v>
      </c>
      <c r="AP158" s="18" t="n">
        <v>0.1678</v>
      </c>
      <c r="AQ158" s="18" t="n">
        <v>0.2177</v>
      </c>
      <c r="AR158" s="18" t="n">
        <v>0.3824</v>
      </c>
      <c r="AS158" s="18" t="n">
        <v>0.6582</v>
      </c>
      <c r="AT158" s="18" t="n">
        <v>0.4316</v>
      </c>
      <c r="AU158" s="18" t="n">
        <v>0.4859</v>
      </c>
      <c r="AV158" s="18" t="n">
        <v>0.2616</v>
      </c>
      <c r="AW158" s="18" t="n">
        <v>0.0624</v>
      </c>
      <c r="AX158" s="18" t="n">
        <v>0.322</v>
      </c>
    </row>
    <row r="159">
      <c r="A159" s="10" t="inlineStr">
        <is>
          <t>Load_TR2_F6_64</t>
        </is>
      </c>
      <c r="B159" s="12" t="inlineStr">
        <is>
          <t>customer</t>
        </is>
      </c>
      <c r="C159" s="18" t="n">
        <v>1.0279</v>
      </c>
      <c r="D159" s="18" t="n">
        <v>1.1744</v>
      </c>
      <c r="E159" s="18" t="n">
        <v>0.057</v>
      </c>
      <c r="F159" s="18" t="n">
        <v>0.2101</v>
      </c>
      <c r="G159" s="18" t="n">
        <v>0.08119999999999999</v>
      </c>
      <c r="H159" s="18" t="n">
        <v>0.057</v>
      </c>
      <c r="I159" s="18" t="n">
        <v>0.2343</v>
      </c>
      <c r="J159" s="18" t="n">
        <v>0.057</v>
      </c>
      <c r="K159" s="18" t="n">
        <v>0.1376</v>
      </c>
      <c r="L159" s="18" t="n">
        <v>0.1537</v>
      </c>
      <c r="M159" s="18" t="n">
        <v>0.057</v>
      </c>
      <c r="N159" s="18" t="n">
        <v>0.2343</v>
      </c>
      <c r="O159" s="18" t="n">
        <v>0.057</v>
      </c>
      <c r="P159" s="18" t="n">
        <v>0.06279999999999999</v>
      </c>
      <c r="Q159" s="18" t="n">
        <v>0.3006</v>
      </c>
      <c r="R159" s="18" t="n">
        <v>0.1264</v>
      </c>
      <c r="S159" s="18" t="n">
        <v>0.7451</v>
      </c>
      <c r="T159" s="18" t="n">
        <v>0.5513</v>
      </c>
      <c r="U159" s="18" t="n">
        <v>0.2545</v>
      </c>
      <c r="V159" s="18" t="n">
        <v>0.2612</v>
      </c>
      <c r="W159" s="18" t="n">
        <v>0.5135</v>
      </c>
      <c r="X159" s="18" t="n">
        <v>0.4785</v>
      </c>
      <c r="Y159" s="18" t="n">
        <v>0.2163</v>
      </c>
      <c r="Z159" s="18" t="n">
        <v>0.1779</v>
      </c>
      <c r="AA159" s="18" t="n">
        <v>0.1134</v>
      </c>
      <c r="AB159" s="18" t="n">
        <v>0.0731</v>
      </c>
      <c r="AC159" s="18" t="n">
        <v>0.2181</v>
      </c>
      <c r="AD159" s="18" t="n">
        <v>0.057</v>
      </c>
      <c r="AE159" s="18" t="n">
        <v>0.2343</v>
      </c>
      <c r="AF159" s="18" t="n">
        <v>0.3831</v>
      </c>
      <c r="AG159" s="18" t="n">
        <v>1.5327</v>
      </c>
      <c r="AH159" s="18" t="n">
        <v>0.3639</v>
      </c>
      <c r="AI159" s="18" t="n">
        <v>0.4432</v>
      </c>
      <c r="AJ159" s="18" t="n">
        <v>0.4964</v>
      </c>
      <c r="AK159" s="18" t="n">
        <v>0.3003</v>
      </c>
      <c r="AL159" s="18" t="n">
        <v>0.1113</v>
      </c>
      <c r="AM159" s="18" t="n">
        <v>0.1315</v>
      </c>
      <c r="AN159" s="18" t="n">
        <v>0.6857</v>
      </c>
      <c r="AO159" s="18" t="n">
        <v>0.3886</v>
      </c>
      <c r="AP159" s="18" t="n">
        <v>0.4098</v>
      </c>
      <c r="AQ159" s="18" t="n">
        <v>2.0248</v>
      </c>
      <c r="AR159" s="18" t="n">
        <v>0.9014</v>
      </c>
      <c r="AS159" s="18" t="n">
        <v>0.9683</v>
      </c>
      <c r="AT159" s="18" t="n">
        <v>0.8729</v>
      </c>
      <c r="AU159" s="18" t="n">
        <v>0.6088</v>
      </c>
      <c r="AV159" s="18" t="n">
        <v>0.886</v>
      </c>
      <c r="AW159" s="18" t="n">
        <v>0.6484</v>
      </c>
      <c r="AX159" s="18" t="n">
        <v>0.7532</v>
      </c>
    </row>
    <row r="160">
      <c r="A160" s="10" t="inlineStr">
        <is>
          <t>Load_TR2_F6_65</t>
        </is>
      </c>
      <c r="B160" s="12" t="inlineStr">
        <is>
          <t>customer</t>
        </is>
      </c>
      <c r="C160" s="18" t="n">
        <v>0.2728</v>
      </c>
      <c r="D160" s="18" t="n">
        <v>0.049</v>
      </c>
      <c r="E160" s="18" t="n">
        <v>0.2973</v>
      </c>
      <c r="F160" s="18" t="n">
        <v>0.0988</v>
      </c>
      <c r="G160" s="18" t="n">
        <v>0.049</v>
      </c>
      <c r="H160" s="18" t="n">
        <v>0.2226</v>
      </c>
      <c r="I160" s="18" t="n">
        <v>0.0573</v>
      </c>
      <c r="J160" s="18" t="n">
        <v>0.1901</v>
      </c>
      <c r="K160" s="18" t="n">
        <v>0.2061</v>
      </c>
      <c r="L160" s="18" t="n">
        <v>0.1653</v>
      </c>
      <c r="M160" s="18" t="n">
        <v>0.2309</v>
      </c>
      <c r="N160" s="18" t="n">
        <v>0.049</v>
      </c>
      <c r="O160" s="18" t="n">
        <v>0.2397</v>
      </c>
      <c r="P160" s="18" t="n">
        <v>0.1565</v>
      </c>
      <c r="Q160" s="18" t="n">
        <v>0.1818</v>
      </c>
      <c r="R160" s="18" t="n">
        <v>0.2143</v>
      </c>
      <c r="S160" s="18" t="n">
        <v>0.2696</v>
      </c>
      <c r="T160" s="18" t="n">
        <v>0.4273</v>
      </c>
      <c r="U160" s="18" t="n">
        <v>0.2109</v>
      </c>
      <c r="V160" s="18" t="n">
        <v>0.1071</v>
      </c>
      <c r="W160" s="18" t="n">
        <v>0.3369</v>
      </c>
      <c r="X160" s="18" t="n">
        <v>0.049</v>
      </c>
      <c r="Y160" s="18" t="n">
        <v>0.1813</v>
      </c>
      <c r="Z160" s="18" t="n">
        <v>0.2149</v>
      </c>
      <c r="AA160" s="18" t="n">
        <v>0.049</v>
      </c>
      <c r="AB160" s="18" t="n">
        <v>0.08210000000000001</v>
      </c>
      <c r="AC160" s="18" t="n">
        <v>0.3058</v>
      </c>
      <c r="AD160" s="18" t="n">
        <v>0.1052</v>
      </c>
      <c r="AE160" s="18" t="n">
        <v>0.1151</v>
      </c>
      <c r="AF160" s="18" t="n">
        <v>0.281</v>
      </c>
      <c r="AG160" s="18" t="n">
        <v>0.049</v>
      </c>
      <c r="AH160" s="18" t="n">
        <v>0.2309</v>
      </c>
      <c r="AI160" s="18" t="n">
        <v>0.1653</v>
      </c>
      <c r="AJ160" s="18" t="n">
        <v>0.049</v>
      </c>
      <c r="AK160" s="18" t="n">
        <v>0.289</v>
      </c>
      <c r="AL160" s="18" t="n">
        <v>0.1071</v>
      </c>
      <c r="AM160" s="18" t="n">
        <v>0.09859999999999999</v>
      </c>
      <c r="AN160" s="18" t="n">
        <v>0.2976</v>
      </c>
      <c r="AO160" s="18" t="n">
        <v>0.049</v>
      </c>
      <c r="AP160" s="18" t="n">
        <v>0.1071</v>
      </c>
      <c r="AQ160" s="18" t="n">
        <v>0.3892</v>
      </c>
      <c r="AR160" s="18" t="n">
        <v>0.5159</v>
      </c>
      <c r="AS160" s="18" t="n">
        <v>0.4539</v>
      </c>
      <c r="AT160" s="18" t="n">
        <v>0.4355</v>
      </c>
      <c r="AU160" s="18" t="n">
        <v>0.9275</v>
      </c>
      <c r="AV160" s="18" t="n">
        <v>0.8141</v>
      </c>
      <c r="AW160" s="18" t="n">
        <v>0.6107</v>
      </c>
      <c r="AX160" s="18" t="n">
        <v>0.8299</v>
      </c>
    </row>
    <row r="161">
      <c r="A161" s="10" t="inlineStr">
        <is>
          <t>Load_TR2_F6_66</t>
        </is>
      </c>
      <c r="B161" s="12" t="inlineStr">
        <is>
          <t>customer</t>
        </is>
      </c>
      <c r="C161" s="18" t="n">
        <v>0.2803</v>
      </c>
      <c r="D161" s="18" t="n">
        <v>0.048</v>
      </c>
      <c r="E161" s="18" t="n">
        <v>0.2473</v>
      </c>
      <c r="F161" s="18" t="n">
        <v>0.1221</v>
      </c>
      <c r="G161" s="18" t="n">
        <v>0.048</v>
      </c>
      <c r="H161" s="18" t="n">
        <v>0.2023</v>
      </c>
      <c r="I161" s="18" t="n">
        <v>0.1592</v>
      </c>
      <c r="J161" s="18" t="n">
        <v>0.0633</v>
      </c>
      <c r="K161" s="18" t="n">
        <v>0.2023</v>
      </c>
      <c r="L161" s="18" t="n">
        <v>0.1598</v>
      </c>
      <c r="M161" s="18" t="n">
        <v>0.048</v>
      </c>
      <c r="N161" s="18" t="n">
        <v>0.2687</v>
      </c>
      <c r="O161" s="18" t="n">
        <v>0.4324</v>
      </c>
      <c r="P161" s="18" t="n">
        <v>0.0545</v>
      </c>
      <c r="Q161" s="18" t="n">
        <v>1.0979</v>
      </c>
      <c r="R161" s="18" t="n">
        <v>2.67</v>
      </c>
      <c r="S161" s="18" t="n">
        <v>4.2192</v>
      </c>
      <c r="T161" s="18" t="n">
        <v>1.1146</v>
      </c>
      <c r="U161" s="18" t="n">
        <v>0.3164</v>
      </c>
      <c r="V161" s="18" t="n">
        <v>0.9567</v>
      </c>
      <c r="W161" s="18" t="n">
        <v>0.1892</v>
      </c>
      <c r="X161" s="18" t="n">
        <v>0.1172</v>
      </c>
      <c r="Y161" s="18" t="n">
        <v>1.52</v>
      </c>
      <c r="Z161" s="18" t="n">
        <v>0.6907</v>
      </c>
      <c r="AA161" s="18" t="n">
        <v>0.1834</v>
      </c>
      <c r="AB161" s="18" t="n">
        <v>0.3567</v>
      </c>
      <c r="AC161" s="18" t="n">
        <v>0.1892</v>
      </c>
      <c r="AD161" s="18" t="n">
        <v>0.1803</v>
      </c>
      <c r="AE161" s="18" t="n">
        <v>0.1537</v>
      </c>
      <c r="AF161" s="18" t="n">
        <v>0.3532</v>
      </c>
      <c r="AG161" s="18" t="n">
        <v>0.3435</v>
      </c>
      <c r="AH161" s="18" t="n">
        <v>0.158</v>
      </c>
      <c r="AI161" s="18" t="n">
        <v>0.627</v>
      </c>
      <c r="AJ161" s="18" t="n">
        <v>0.1458</v>
      </c>
      <c r="AK161" s="18" t="n">
        <v>1.3716</v>
      </c>
      <c r="AL161" s="18" t="n">
        <v>3.4335</v>
      </c>
      <c r="AM161" s="18" t="n">
        <v>2.2435</v>
      </c>
      <c r="AN161" s="18" t="n">
        <v>1.288</v>
      </c>
      <c r="AO161" s="18" t="n">
        <v>0.9384</v>
      </c>
      <c r="AP161" s="18" t="n">
        <v>1.5028</v>
      </c>
      <c r="AQ161" s="18" t="n">
        <v>0.8328</v>
      </c>
      <c r="AR161" s="18" t="n">
        <v>0.74</v>
      </c>
      <c r="AS161" s="18" t="n">
        <v>0.472</v>
      </c>
      <c r="AT161" s="18" t="n">
        <v>0.8222</v>
      </c>
      <c r="AU161" s="18" t="n">
        <v>1.2449</v>
      </c>
      <c r="AV161" s="18" t="n">
        <v>0.7025</v>
      </c>
      <c r="AW161" s="18" t="n">
        <v>0.5239</v>
      </c>
      <c r="AX161" s="18" t="n">
        <v>0.7033</v>
      </c>
    </row>
    <row r="162">
      <c r="A162" s="19" t="inlineStr">
        <is>
          <t>Load_TR2_F6_67</t>
        </is>
      </c>
      <c r="B162" s="15" t="inlineStr">
        <is>
          <t>prosumer</t>
        </is>
      </c>
      <c r="C162" s="20" t="n">
        <v>0.046</v>
      </c>
      <c r="D162" s="20" t="n">
        <v>0.1588</v>
      </c>
      <c r="E162" s="20" t="n">
        <v>0.1193</v>
      </c>
      <c r="F162" s="20" t="n">
        <v>0.2879</v>
      </c>
      <c r="G162" s="20" t="n">
        <v>0.0573</v>
      </c>
      <c r="H162" s="20" t="n">
        <v>0.046</v>
      </c>
      <c r="I162" s="20" t="n">
        <v>0.2306</v>
      </c>
      <c r="J162" s="20" t="n">
        <v>0.1879</v>
      </c>
      <c r="K162" s="20" t="n">
        <v>0.1575</v>
      </c>
      <c r="L162" s="20" t="n">
        <v>0.0901</v>
      </c>
      <c r="M162" s="20" t="n">
        <v>0.2092</v>
      </c>
      <c r="N162" s="20" t="n">
        <v>0.2327</v>
      </c>
      <c r="O162" s="20" t="n">
        <v>0.1458</v>
      </c>
      <c r="P162" s="20" t="n">
        <v>0.2465</v>
      </c>
      <c r="Q162" s="20" t="n">
        <v>0.1174</v>
      </c>
      <c r="R162" s="20" t="n">
        <v>0.1137</v>
      </c>
      <c r="S162" s="20" t="n">
        <v>0.046</v>
      </c>
      <c r="T162" s="20" t="n">
        <v>0.1971</v>
      </c>
      <c r="U162" s="20" t="n">
        <v>0.2214</v>
      </c>
      <c r="V162" s="20" t="n">
        <v>0.0801</v>
      </c>
      <c r="W162" s="20" t="n">
        <v>0.3318</v>
      </c>
      <c r="X162" s="20" t="n">
        <v>0.0526</v>
      </c>
      <c r="Y162" s="20" t="n">
        <v>0.2675</v>
      </c>
      <c r="Z162" s="20" t="n">
        <v>0.151</v>
      </c>
      <c r="AA162" s="20" t="n">
        <v>0.2282</v>
      </c>
      <c r="AB162" s="20" t="n">
        <v>0.1903</v>
      </c>
      <c r="AC162" s="20" t="n">
        <v>0.0799</v>
      </c>
      <c r="AD162" s="20" t="n">
        <v>0.2538</v>
      </c>
      <c r="AE162" s="20" t="n">
        <v>0.1409</v>
      </c>
      <c r="AF162" s="20" t="n">
        <v>0.385</v>
      </c>
      <c r="AG162" s="20" t="n">
        <v>0.2854</v>
      </c>
      <c r="AH162" s="20" t="n">
        <v>0.1115</v>
      </c>
      <c r="AI162" s="20" t="n">
        <v>0.0499</v>
      </c>
      <c r="AJ162" s="20" t="n">
        <v>0.09760000000000001</v>
      </c>
      <c r="AK162" s="20" t="n">
        <v>0.2802</v>
      </c>
      <c r="AL162" s="20" t="n">
        <v>0.2434</v>
      </c>
      <c r="AM162" s="20" t="n">
        <v>0.3925</v>
      </c>
      <c r="AN162" s="20" t="n">
        <v>0.2389</v>
      </c>
      <c r="AO162" s="20" t="n">
        <v>0.1841</v>
      </c>
      <c r="AP162" s="20" t="n">
        <v>0.4586</v>
      </c>
      <c r="AQ162" s="20" t="n">
        <v>0.7927999999999999</v>
      </c>
      <c r="AR162" s="20" t="n">
        <v>0.4193</v>
      </c>
      <c r="AS162" s="20" t="n">
        <v>0.2906</v>
      </c>
      <c r="AT162" s="20" t="n">
        <v>0.4634</v>
      </c>
      <c r="AU162" s="20" t="n">
        <v>0.533</v>
      </c>
      <c r="AV162" s="20" t="n">
        <v>0.5935</v>
      </c>
      <c r="AW162" s="20" t="n">
        <v>0.5455</v>
      </c>
      <c r="AX162" s="20" t="n">
        <v>0.2354</v>
      </c>
    </row>
    <row r="163">
      <c r="A163" s="19" t="inlineStr">
        <is>
          <t>Load_TR2_F6_68</t>
        </is>
      </c>
      <c r="B163" s="15" t="inlineStr">
        <is>
          <t>prosumer</t>
        </is>
      </c>
      <c r="C163" s="20" t="n">
        <v>0.061</v>
      </c>
      <c r="D163" s="20" t="n">
        <v>0.0523</v>
      </c>
      <c r="E163" s="20" t="n">
        <v>0.1214</v>
      </c>
      <c r="F163" s="20" t="n">
        <v>0.048</v>
      </c>
      <c r="G163" s="20" t="n">
        <v>0.1258</v>
      </c>
      <c r="H163" s="20" t="n">
        <v>0.0523</v>
      </c>
      <c r="I163" s="20" t="n">
        <v>0.1214</v>
      </c>
      <c r="J163" s="20" t="n">
        <v>0.0523</v>
      </c>
      <c r="K163" s="20" t="n">
        <v>0.1214</v>
      </c>
      <c r="L163" s="20" t="n">
        <v>0.048</v>
      </c>
      <c r="M163" s="20" t="n">
        <v>0.1258</v>
      </c>
      <c r="N163" s="20" t="n">
        <v>0.048</v>
      </c>
      <c r="O163" s="20" t="n">
        <v>0.061</v>
      </c>
      <c r="P163" s="20" t="n">
        <v>0.1128</v>
      </c>
      <c r="Q163" s="20" t="n">
        <v>0.08690000000000001</v>
      </c>
      <c r="R163" s="20" t="n">
        <v>0.08690000000000001</v>
      </c>
      <c r="S163" s="20" t="n">
        <v>0.0566</v>
      </c>
      <c r="T163" s="20" t="n">
        <v>0.1171</v>
      </c>
      <c r="U163" s="20" t="n">
        <v>0.048</v>
      </c>
      <c r="V163" s="20" t="n">
        <v>0.048</v>
      </c>
      <c r="W163" s="20" t="n">
        <v>0.048</v>
      </c>
      <c r="X163" s="20" t="n">
        <v>0.1085</v>
      </c>
      <c r="Y163" s="20" t="n">
        <v>0.0653</v>
      </c>
      <c r="Z163" s="20" t="n">
        <v>0.061</v>
      </c>
      <c r="AA163" s="20" t="n">
        <v>0.1128</v>
      </c>
      <c r="AB163" s="20" t="n">
        <v>0.048</v>
      </c>
      <c r="AC163" s="20" t="n">
        <v>0.061</v>
      </c>
      <c r="AD163" s="20" t="n">
        <v>0.1128</v>
      </c>
      <c r="AE163" s="20" t="n">
        <v>0.07820000000000001</v>
      </c>
      <c r="AF163" s="20" t="n">
        <v>0.1408</v>
      </c>
      <c r="AG163" s="20" t="n">
        <v>0.048</v>
      </c>
      <c r="AH163" s="20" t="n">
        <v>0.149</v>
      </c>
      <c r="AI163" s="20" t="n">
        <v>0.0974</v>
      </c>
      <c r="AJ163" s="20" t="n">
        <v>0.1723</v>
      </c>
      <c r="AK163" s="20" t="n">
        <v>0.0623</v>
      </c>
      <c r="AL163" s="20" t="n">
        <v>0.048</v>
      </c>
      <c r="AM163" s="20" t="n">
        <v>0.1008</v>
      </c>
      <c r="AN163" s="20" t="n">
        <v>0.1258</v>
      </c>
      <c r="AO163" s="20" t="n">
        <v>0.0572</v>
      </c>
      <c r="AP163" s="20" t="n">
        <v>0.1745</v>
      </c>
      <c r="AQ163" s="20" t="n">
        <v>0.3424</v>
      </c>
      <c r="AR163" s="20" t="n">
        <v>0.3084</v>
      </c>
      <c r="AS163" s="20" t="n">
        <v>0.3381</v>
      </c>
      <c r="AT163" s="20" t="n">
        <v>0.1042</v>
      </c>
      <c r="AU163" s="20" t="n">
        <v>0.048</v>
      </c>
      <c r="AV163" s="20" t="n">
        <v>0.0653</v>
      </c>
      <c r="AW163" s="20" t="n">
        <v>0.1085</v>
      </c>
      <c r="AX163" s="20" t="n">
        <v>0.07820000000000001</v>
      </c>
    </row>
    <row r="164">
      <c r="A164" s="10" t="inlineStr">
        <is>
          <t>Load_TR2_F6_69</t>
        </is>
      </c>
      <c r="B164" s="12" t="inlineStr">
        <is>
          <t>customer</t>
        </is>
      </c>
      <c r="C164" s="18" t="n">
        <v>0.044</v>
      </c>
      <c r="D164" s="18" t="n">
        <v>0.2644</v>
      </c>
      <c r="E164" s="18" t="n">
        <v>0.0762</v>
      </c>
      <c r="F164" s="18" t="n">
        <v>0.1218</v>
      </c>
      <c r="G164" s="18" t="n">
        <v>0.2189</v>
      </c>
      <c r="H164" s="18" t="n">
        <v>0.044</v>
      </c>
      <c r="I164" s="18" t="n">
        <v>0.044</v>
      </c>
      <c r="J164" s="18" t="n">
        <v>0.1549</v>
      </c>
      <c r="K164" s="18" t="n">
        <v>0.1663</v>
      </c>
      <c r="L164" s="18" t="n">
        <v>0.1663</v>
      </c>
      <c r="M164" s="18" t="n">
        <v>0.0519</v>
      </c>
      <c r="N164" s="18" t="n">
        <v>0.1728</v>
      </c>
      <c r="O164" s="18" t="n">
        <v>0.1678</v>
      </c>
      <c r="P164" s="18" t="n">
        <v>0.0569</v>
      </c>
      <c r="Q164" s="18" t="n">
        <v>0.1886</v>
      </c>
      <c r="R164" s="18" t="n">
        <v>0.1391</v>
      </c>
      <c r="S164" s="18" t="n">
        <v>0.044</v>
      </c>
      <c r="T164" s="18" t="n">
        <v>0.2491</v>
      </c>
      <c r="U164" s="18" t="n">
        <v>0.0915</v>
      </c>
      <c r="V164" s="18" t="n">
        <v>0.147</v>
      </c>
      <c r="W164" s="18" t="n">
        <v>0.1936</v>
      </c>
      <c r="X164" s="18" t="n">
        <v>0.1021</v>
      </c>
      <c r="Y164" s="18" t="n">
        <v>0.1731</v>
      </c>
      <c r="Z164" s="18" t="n">
        <v>0.0765</v>
      </c>
      <c r="AA164" s="18" t="n">
        <v>0.4802</v>
      </c>
      <c r="AB164" s="18" t="n">
        <v>0.0569</v>
      </c>
      <c r="AC164" s="18" t="n">
        <v>0.3152</v>
      </c>
      <c r="AD164" s="18" t="n">
        <v>0.1223</v>
      </c>
      <c r="AE164" s="18" t="n">
        <v>0.1608</v>
      </c>
      <c r="AF164" s="18" t="n">
        <v>0.1463</v>
      </c>
      <c r="AG164" s="18" t="n">
        <v>0.1359</v>
      </c>
      <c r="AH164" s="18" t="n">
        <v>0.1864</v>
      </c>
      <c r="AI164" s="18" t="n">
        <v>0.2042</v>
      </c>
      <c r="AJ164" s="18" t="n">
        <v>0.1182</v>
      </c>
      <c r="AK164" s="18" t="n">
        <v>0.274</v>
      </c>
      <c r="AL164" s="18" t="n">
        <v>0.0689</v>
      </c>
      <c r="AM164" s="18" t="n">
        <v>0.148</v>
      </c>
      <c r="AN164" s="18" t="n">
        <v>0.2122</v>
      </c>
      <c r="AO164" s="18" t="n">
        <v>0.0483</v>
      </c>
      <c r="AP164" s="18" t="n">
        <v>0.4943</v>
      </c>
      <c r="AQ164" s="18" t="n">
        <v>0.2042</v>
      </c>
      <c r="AR164" s="18" t="n">
        <v>0.216</v>
      </c>
      <c r="AS164" s="18" t="n">
        <v>0.3618</v>
      </c>
      <c r="AT164" s="18" t="n">
        <v>0.196</v>
      </c>
      <c r="AU164" s="18" t="n">
        <v>1.285</v>
      </c>
      <c r="AV164" s="18" t="n">
        <v>0.7678</v>
      </c>
      <c r="AW164" s="18" t="n">
        <v>0.1845</v>
      </c>
      <c r="AX164" s="18" t="n">
        <v>0.1263</v>
      </c>
    </row>
    <row r="165">
      <c r="A165" s="10" t="inlineStr">
        <is>
          <t>Load_TR2_F6_7</t>
        </is>
      </c>
      <c r="B165" s="12" t="inlineStr">
        <is>
          <t>customer</t>
        </is>
      </c>
      <c r="C165" s="18" t="n">
        <v>0.061</v>
      </c>
      <c r="D165" s="18" t="n">
        <v>0.061</v>
      </c>
      <c r="E165" s="18" t="n">
        <v>0.1339</v>
      </c>
      <c r="F165" s="18" t="n">
        <v>0.061</v>
      </c>
      <c r="G165" s="18" t="n">
        <v>0.3561</v>
      </c>
      <c r="H165" s="18" t="n">
        <v>0.6324</v>
      </c>
      <c r="I165" s="18" t="n">
        <v>0.0813</v>
      </c>
      <c r="J165" s="18" t="n">
        <v>0.1299</v>
      </c>
      <c r="K165" s="18" t="n">
        <v>0.06510000000000001</v>
      </c>
      <c r="L165" s="18" t="n">
        <v>0.061</v>
      </c>
      <c r="M165" s="18" t="n">
        <v>0.061</v>
      </c>
      <c r="N165" s="18" t="n">
        <v>0.1096</v>
      </c>
      <c r="O165" s="18" t="n">
        <v>0.0853</v>
      </c>
      <c r="P165" s="18" t="n">
        <v>0.061</v>
      </c>
      <c r="Q165" s="18" t="n">
        <v>0.061</v>
      </c>
      <c r="R165" s="18" t="n">
        <v>0.1339</v>
      </c>
      <c r="S165" s="18" t="n">
        <v>0.061</v>
      </c>
      <c r="T165" s="18" t="n">
        <v>0.1188</v>
      </c>
      <c r="U165" s="18" t="n">
        <v>0.2201</v>
      </c>
      <c r="V165" s="18" t="n">
        <v>0.3247</v>
      </c>
      <c r="W165" s="18" t="n">
        <v>0.1871</v>
      </c>
      <c r="X165" s="18" t="n">
        <v>1.3831</v>
      </c>
      <c r="Y165" s="18" t="n">
        <v>0.1079</v>
      </c>
      <c r="Z165" s="18" t="n">
        <v>0.0896</v>
      </c>
      <c r="AA165" s="18" t="n">
        <v>0.1693</v>
      </c>
      <c r="AB165" s="18" t="n">
        <v>0.3867</v>
      </c>
      <c r="AC165" s="18" t="n">
        <v>0.264</v>
      </c>
      <c r="AD165" s="18" t="n">
        <v>0.3867</v>
      </c>
      <c r="AE165" s="18" t="n">
        <v>0.3459</v>
      </c>
      <c r="AF165" s="18" t="n">
        <v>1.4724</v>
      </c>
      <c r="AG165" s="18" t="n">
        <v>0.208</v>
      </c>
      <c r="AH165" s="18" t="n">
        <v>0.208</v>
      </c>
      <c r="AI165" s="18" t="n">
        <v>0.2699</v>
      </c>
      <c r="AJ165" s="18" t="n">
        <v>0.293</v>
      </c>
      <c r="AK165" s="18" t="n">
        <v>0.1422</v>
      </c>
      <c r="AL165" s="18" t="n">
        <v>0.1538</v>
      </c>
      <c r="AM165" s="18" t="n">
        <v>1.4642</v>
      </c>
      <c r="AN165" s="18" t="n">
        <v>0.2892</v>
      </c>
      <c r="AO165" s="18" t="n">
        <v>0.1584</v>
      </c>
      <c r="AP165" s="18" t="n">
        <v>0.309</v>
      </c>
      <c r="AQ165" s="18" t="n">
        <v>0.4316</v>
      </c>
      <c r="AR165" s="18" t="n">
        <v>0.3347</v>
      </c>
      <c r="AS165" s="18" t="n">
        <v>0.1339</v>
      </c>
      <c r="AT165" s="18" t="n">
        <v>0.061</v>
      </c>
      <c r="AU165" s="18" t="n">
        <v>0.0934</v>
      </c>
      <c r="AV165" s="18" t="n">
        <v>0.1015</v>
      </c>
      <c r="AW165" s="18" t="n">
        <v>0.1177</v>
      </c>
      <c r="AX165" s="18" t="n">
        <v>0.0772</v>
      </c>
    </row>
    <row r="166">
      <c r="A166" s="19" t="inlineStr">
        <is>
          <t>Load_TR2_F6_70</t>
        </is>
      </c>
      <c r="B166" s="15" t="inlineStr">
        <is>
          <t>prosumer</t>
        </is>
      </c>
      <c r="C166" s="20" t="n">
        <v>0.08599999999999999</v>
      </c>
      <c r="D166" s="20" t="n">
        <v>0.1561</v>
      </c>
      <c r="E166" s="20" t="n">
        <v>0.044</v>
      </c>
      <c r="F166" s="20" t="n">
        <v>0.1981</v>
      </c>
      <c r="G166" s="20" t="n">
        <v>0.044</v>
      </c>
      <c r="H166" s="20" t="n">
        <v>0.044</v>
      </c>
      <c r="I166" s="20" t="n">
        <v>0.044</v>
      </c>
      <c r="J166" s="20" t="n">
        <v>0.044</v>
      </c>
      <c r="K166" s="20" t="n">
        <v>0.044</v>
      </c>
      <c r="L166" s="20" t="n">
        <v>0.1561</v>
      </c>
      <c r="M166" s="20" t="n">
        <v>0.08599999999999999</v>
      </c>
      <c r="N166" s="20" t="n">
        <v>0.044</v>
      </c>
      <c r="O166" s="20" t="n">
        <v>0.1911</v>
      </c>
      <c r="P166" s="20" t="n">
        <v>0.051</v>
      </c>
      <c r="Q166" s="20" t="n">
        <v>0.4402</v>
      </c>
      <c r="R166" s="20" t="n">
        <v>0.0927</v>
      </c>
      <c r="S166" s="20" t="n">
        <v>0.1981</v>
      </c>
      <c r="T166" s="20" t="n">
        <v>0.044</v>
      </c>
      <c r="U166" s="20" t="n">
        <v>0.1055</v>
      </c>
      <c r="V166" s="20" t="n">
        <v>0.2984</v>
      </c>
      <c r="W166" s="20" t="n">
        <v>0.1339</v>
      </c>
      <c r="X166" s="20" t="n">
        <v>0.2027</v>
      </c>
      <c r="Y166" s="20" t="n">
        <v>0.058</v>
      </c>
      <c r="Z166" s="20" t="n">
        <v>0.044</v>
      </c>
      <c r="AA166" s="20" t="n">
        <v>0.2212</v>
      </c>
      <c r="AB166" s="20" t="n">
        <v>0.2921</v>
      </c>
      <c r="AC166" s="20" t="n">
        <v>0.044</v>
      </c>
      <c r="AD166" s="20" t="n">
        <v>0.0668</v>
      </c>
      <c r="AE166" s="20" t="n">
        <v>0.08359999999999999</v>
      </c>
      <c r="AF166" s="20" t="n">
        <v>0.1204</v>
      </c>
      <c r="AG166" s="20" t="n">
        <v>0.5243</v>
      </c>
      <c r="AH166" s="20" t="n">
        <v>0.2721</v>
      </c>
      <c r="AI166" s="20" t="n">
        <v>0.3065</v>
      </c>
      <c r="AJ166" s="20" t="n">
        <v>0.3684</v>
      </c>
      <c r="AK166" s="20" t="n">
        <v>0.1177</v>
      </c>
      <c r="AL166" s="20" t="n">
        <v>1.269</v>
      </c>
      <c r="AM166" s="20" t="n">
        <v>0.132</v>
      </c>
      <c r="AN166" s="20" t="n">
        <v>0.1694</v>
      </c>
      <c r="AO166" s="20" t="n">
        <v>0.3566</v>
      </c>
      <c r="AP166" s="20" t="n">
        <v>0.2272</v>
      </c>
      <c r="AQ166" s="20" t="n">
        <v>0.6312</v>
      </c>
      <c r="AR166" s="20" t="n">
        <v>0.5479000000000001</v>
      </c>
      <c r="AS166" s="20" t="n">
        <v>0.3848</v>
      </c>
      <c r="AT166" s="20" t="n">
        <v>0.8235</v>
      </c>
      <c r="AU166" s="20" t="n">
        <v>0.4159</v>
      </c>
      <c r="AV166" s="20" t="n">
        <v>0.7879</v>
      </c>
      <c r="AW166" s="20" t="n">
        <v>0.2735</v>
      </c>
      <c r="AX166" s="20" t="n">
        <v>0.07199999999999999</v>
      </c>
    </row>
    <row r="167">
      <c r="A167" s="19" t="inlineStr">
        <is>
          <t>Load_TR2_F6_71</t>
        </is>
      </c>
      <c r="B167" s="15" t="inlineStr">
        <is>
          <t>prosumer</t>
        </is>
      </c>
      <c r="C167" s="20" t="n">
        <v>0.0822</v>
      </c>
      <c r="D167" s="20" t="n">
        <v>0.1252</v>
      </c>
      <c r="E167" s="20" t="n">
        <v>0.0554</v>
      </c>
      <c r="F167" s="20" t="n">
        <v>0.1521</v>
      </c>
      <c r="G167" s="20" t="n">
        <v>0.05</v>
      </c>
      <c r="H167" s="20" t="n">
        <v>0.1467</v>
      </c>
      <c r="I167" s="20" t="n">
        <v>0.0607</v>
      </c>
      <c r="J167" s="20" t="n">
        <v>0.05</v>
      </c>
      <c r="K167" s="20" t="n">
        <v>0.1574</v>
      </c>
      <c r="L167" s="20" t="n">
        <v>0.05</v>
      </c>
      <c r="M167" s="20" t="n">
        <v>0.05</v>
      </c>
      <c r="N167" s="20" t="n">
        <v>0.05</v>
      </c>
      <c r="O167" s="20" t="n">
        <v>0.05</v>
      </c>
      <c r="P167" s="20" t="n">
        <v>0.05</v>
      </c>
      <c r="Q167" s="20" t="n">
        <v>0.1037</v>
      </c>
      <c r="R167" s="20" t="n">
        <v>0.1037</v>
      </c>
      <c r="S167" s="20" t="n">
        <v>0.05</v>
      </c>
      <c r="T167" s="20" t="n">
        <v>0.2171</v>
      </c>
      <c r="U167" s="20" t="n">
        <v>0.2611</v>
      </c>
      <c r="V167" s="20" t="n">
        <v>0.3553</v>
      </c>
      <c r="W167" s="20" t="n">
        <v>0.2986</v>
      </c>
      <c r="X167" s="20" t="n">
        <v>0.2788</v>
      </c>
      <c r="Y167" s="20" t="n">
        <v>0.4645</v>
      </c>
      <c r="Z167" s="20" t="n">
        <v>0.3231</v>
      </c>
      <c r="AA167" s="20" t="n">
        <v>0.4142</v>
      </c>
      <c r="AB167" s="20" t="n">
        <v>0.3662</v>
      </c>
      <c r="AC167" s="20" t="n">
        <v>0.1143</v>
      </c>
      <c r="AD167" s="20" t="n">
        <v>0.2461</v>
      </c>
      <c r="AE167" s="20" t="n">
        <v>0.0708</v>
      </c>
      <c r="AF167" s="20" t="n">
        <v>0.4268</v>
      </c>
      <c r="AG167" s="20" t="n">
        <v>0.4816</v>
      </c>
      <c r="AH167" s="20" t="n">
        <v>0.3386</v>
      </c>
      <c r="AI167" s="20" t="n">
        <v>0.264</v>
      </c>
      <c r="AJ167" s="20" t="n">
        <v>0.6762</v>
      </c>
      <c r="AK167" s="20" t="n">
        <v>0.2947</v>
      </c>
      <c r="AL167" s="20" t="n">
        <v>0.2469</v>
      </c>
      <c r="AM167" s="20" t="n">
        <v>0.5616</v>
      </c>
      <c r="AN167" s="20" t="n">
        <v>0.5158</v>
      </c>
      <c r="AO167" s="20" t="n">
        <v>0.2936</v>
      </c>
      <c r="AP167" s="20" t="n">
        <v>0.7212</v>
      </c>
      <c r="AQ167" s="20" t="n">
        <v>0.6563</v>
      </c>
      <c r="AR167" s="20" t="n">
        <v>0.3926</v>
      </c>
      <c r="AS167" s="20" t="n">
        <v>0.5737</v>
      </c>
      <c r="AT167" s="20" t="n">
        <v>0.5577</v>
      </c>
      <c r="AU167" s="20" t="n">
        <v>0.6015</v>
      </c>
      <c r="AV167" s="20" t="n">
        <v>0.5304</v>
      </c>
      <c r="AW167" s="20" t="n">
        <v>0.05</v>
      </c>
      <c r="AX167" s="20" t="n">
        <v>0.0876</v>
      </c>
    </row>
    <row r="168">
      <c r="A168" s="19" t="inlineStr">
        <is>
          <t>Load_TR2_F6_72</t>
        </is>
      </c>
      <c r="B168" s="15" t="inlineStr">
        <is>
          <t>prosumer</t>
        </is>
      </c>
      <c r="C168" s="20" t="n">
        <v>0.7776</v>
      </c>
      <c r="D168" s="20" t="n">
        <v>0.6679</v>
      </c>
      <c r="E168" s="20" t="n">
        <v>0.1696</v>
      </c>
      <c r="F168" s="20" t="n">
        <v>0.037</v>
      </c>
      <c r="G168" s="20" t="n">
        <v>0.2765</v>
      </c>
      <c r="H168" s="20" t="n">
        <v>0.037</v>
      </c>
      <c r="I168" s="20" t="n">
        <v>0.037</v>
      </c>
      <c r="J168" s="20" t="n">
        <v>0.2383</v>
      </c>
      <c r="K168" s="20" t="n">
        <v>0.0752</v>
      </c>
      <c r="L168" s="20" t="n">
        <v>0.1358</v>
      </c>
      <c r="M168" s="20" t="n">
        <v>0.1777</v>
      </c>
      <c r="N168" s="20" t="n">
        <v>0.037</v>
      </c>
      <c r="O168" s="20" t="n">
        <v>0.1994</v>
      </c>
      <c r="P168" s="20" t="n">
        <v>0.1141</v>
      </c>
      <c r="Q168" s="20" t="n">
        <v>0.037</v>
      </c>
      <c r="R168" s="20" t="n">
        <v>0.5972</v>
      </c>
      <c r="S168" s="20" t="n">
        <v>0.095</v>
      </c>
      <c r="T168" s="20" t="n">
        <v>0.1376</v>
      </c>
      <c r="U168" s="20" t="n">
        <v>0.1636</v>
      </c>
      <c r="V168" s="20" t="n">
        <v>1.2082</v>
      </c>
      <c r="W168" s="20" t="n">
        <v>0.1811</v>
      </c>
      <c r="X168" s="20" t="n">
        <v>0.4677</v>
      </c>
      <c r="Y168" s="20" t="n">
        <v>0.302</v>
      </c>
      <c r="Z168" s="20" t="n">
        <v>1.1612</v>
      </c>
      <c r="AA168" s="20" t="n">
        <v>1.8629</v>
      </c>
      <c r="AB168" s="20" t="n">
        <v>2.1233</v>
      </c>
      <c r="AC168" s="20" t="n">
        <v>0.3141</v>
      </c>
      <c r="AD168" s="20" t="n">
        <v>0.2165</v>
      </c>
      <c r="AE168" s="20" t="n">
        <v>0.0896</v>
      </c>
      <c r="AF168" s="20" t="n">
        <v>0.07049999999999999</v>
      </c>
      <c r="AG168" s="20" t="n">
        <v>0.2001</v>
      </c>
      <c r="AH168" s="20" t="n">
        <v>0.1135</v>
      </c>
      <c r="AI168" s="20" t="n">
        <v>0.2964</v>
      </c>
      <c r="AJ168" s="20" t="n">
        <v>0.331</v>
      </c>
      <c r="AK168" s="20" t="n">
        <v>0.1934</v>
      </c>
      <c r="AL168" s="20" t="n">
        <v>0.06469999999999999</v>
      </c>
      <c r="AM168" s="20" t="n">
        <v>1.3583</v>
      </c>
      <c r="AN168" s="20" t="n">
        <v>0.1295</v>
      </c>
      <c r="AO168" s="20" t="n">
        <v>0.2194</v>
      </c>
      <c r="AP168" s="20" t="n">
        <v>0.4224</v>
      </c>
      <c r="AQ168" s="20" t="n">
        <v>0.4244</v>
      </c>
      <c r="AR168" s="20" t="n">
        <v>0.631</v>
      </c>
      <c r="AS168" s="20" t="n">
        <v>0.6798</v>
      </c>
      <c r="AT168" s="20" t="n">
        <v>0.4959</v>
      </c>
      <c r="AU168" s="20" t="n">
        <v>0.4968</v>
      </c>
      <c r="AV168" s="20" t="n">
        <v>0.6069</v>
      </c>
      <c r="AW168" s="20" t="n">
        <v>0.2655</v>
      </c>
      <c r="AX168" s="20" t="n">
        <v>0.142</v>
      </c>
    </row>
    <row r="169">
      <c r="A169" s="19" t="inlineStr">
        <is>
          <t>Load_TR2_F6_73</t>
        </is>
      </c>
      <c r="B169" s="15" t="inlineStr">
        <is>
          <t>prosumer</t>
        </is>
      </c>
      <c r="C169" s="20" t="n">
        <v>0.2015</v>
      </c>
      <c r="D169" s="20" t="n">
        <v>0.051</v>
      </c>
      <c r="E169" s="20" t="n">
        <v>0.2076</v>
      </c>
      <c r="F169" s="20" t="n">
        <v>0.0757</v>
      </c>
      <c r="G169" s="20" t="n">
        <v>0.051</v>
      </c>
      <c r="H169" s="20" t="n">
        <v>0.1169</v>
      </c>
      <c r="I169" s="20" t="n">
        <v>0.1664</v>
      </c>
      <c r="J169" s="20" t="n">
        <v>0.051</v>
      </c>
      <c r="K169" s="20" t="n">
        <v>0.051</v>
      </c>
      <c r="L169" s="20" t="n">
        <v>0.051</v>
      </c>
      <c r="M169" s="20" t="n">
        <v>0.2324</v>
      </c>
      <c r="N169" s="20" t="n">
        <v>0.051</v>
      </c>
      <c r="O169" s="20" t="n">
        <v>0.051</v>
      </c>
      <c r="P169" s="20" t="n">
        <v>0.1747</v>
      </c>
      <c r="Q169" s="20" t="n">
        <v>0.1087</v>
      </c>
      <c r="R169" s="20" t="n">
        <v>0.051</v>
      </c>
      <c r="S169" s="20" t="n">
        <v>0.1334</v>
      </c>
      <c r="T169" s="20" t="n">
        <v>0.1499</v>
      </c>
      <c r="U169" s="20" t="n">
        <v>0.1606</v>
      </c>
      <c r="V169" s="20" t="n">
        <v>0.2282</v>
      </c>
      <c r="W169" s="20" t="n">
        <v>1.1752</v>
      </c>
      <c r="X169" s="20" t="n">
        <v>0.8687</v>
      </c>
      <c r="Y169" s="20" t="n">
        <v>1.2004</v>
      </c>
      <c r="Z169" s="20" t="n">
        <v>1.0711</v>
      </c>
      <c r="AA169" s="20" t="n">
        <v>0.9242</v>
      </c>
      <c r="AB169" s="20" t="n">
        <v>3.7226</v>
      </c>
      <c r="AC169" s="20" t="n">
        <v>2.6225</v>
      </c>
      <c r="AD169" s="20" t="n">
        <v>0.4692</v>
      </c>
      <c r="AE169" s="20" t="n">
        <v>0.2324</v>
      </c>
      <c r="AF169" s="20" t="n">
        <v>0.051</v>
      </c>
      <c r="AG169" s="20" t="n">
        <v>0.0675</v>
      </c>
      <c r="AH169" s="20" t="n">
        <v>0.2159</v>
      </c>
      <c r="AI169" s="20" t="n">
        <v>0.051</v>
      </c>
      <c r="AJ169" s="20" t="n">
        <v>0.1582</v>
      </c>
      <c r="AK169" s="20" t="n">
        <v>0.1252</v>
      </c>
      <c r="AL169" s="20" t="n">
        <v>0.0922</v>
      </c>
      <c r="AM169" s="20" t="n">
        <v>0.1911</v>
      </c>
      <c r="AN169" s="20" t="n">
        <v>0.051</v>
      </c>
      <c r="AO169" s="20" t="n">
        <v>0.2324</v>
      </c>
      <c r="AP169" s="20" t="n">
        <v>0.051</v>
      </c>
      <c r="AQ169" s="20" t="n">
        <v>0.1417</v>
      </c>
      <c r="AR169" s="20" t="n">
        <v>0.1417</v>
      </c>
      <c r="AS169" s="20" t="n">
        <v>0.051</v>
      </c>
      <c r="AT169" s="20" t="n">
        <v>0.1911</v>
      </c>
      <c r="AU169" s="20" t="n">
        <v>0.0922</v>
      </c>
      <c r="AV169" s="20" t="n">
        <v>0.051</v>
      </c>
      <c r="AW169" s="20" t="n">
        <v>0.1664</v>
      </c>
      <c r="AX169" s="20" t="n">
        <v>0.1169</v>
      </c>
    </row>
    <row r="170">
      <c r="A170" s="10" t="inlineStr">
        <is>
          <t>Load_TR2_F6_74</t>
        </is>
      </c>
      <c r="B170" s="12" t="inlineStr">
        <is>
          <t>customer</t>
        </is>
      </c>
      <c r="C170" s="18" t="n">
        <v>0.049</v>
      </c>
      <c r="D170" s="18" t="n">
        <v>0.049</v>
      </c>
      <c r="E170" s="18" t="n">
        <v>0.049</v>
      </c>
      <c r="F170" s="18" t="n">
        <v>0.049</v>
      </c>
      <c r="G170" s="18" t="n">
        <v>0.049</v>
      </c>
      <c r="H170" s="18" t="n">
        <v>0.049</v>
      </c>
      <c r="I170" s="18" t="n">
        <v>0.049</v>
      </c>
      <c r="J170" s="18" t="n">
        <v>0.049</v>
      </c>
      <c r="K170" s="18" t="n">
        <v>0.049</v>
      </c>
      <c r="L170" s="18" t="n">
        <v>0.049</v>
      </c>
      <c r="M170" s="18" t="n">
        <v>0.049</v>
      </c>
      <c r="N170" s="18" t="n">
        <v>0.049</v>
      </c>
      <c r="O170" s="18" t="n">
        <v>0.049</v>
      </c>
      <c r="P170" s="18" t="n">
        <v>0.0929</v>
      </c>
      <c r="Q170" s="18" t="n">
        <v>0.049</v>
      </c>
      <c r="R170" s="18" t="n">
        <v>0.049</v>
      </c>
      <c r="S170" s="18" t="n">
        <v>0.049</v>
      </c>
      <c r="T170" s="18" t="n">
        <v>0.049</v>
      </c>
      <c r="U170" s="18" t="n">
        <v>0.049</v>
      </c>
      <c r="V170" s="18" t="n">
        <v>0.049</v>
      </c>
      <c r="W170" s="18" t="n">
        <v>0.049</v>
      </c>
      <c r="X170" s="18" t="n">
        <v>0.049</v>
      </c>
      <c r="Y170" s="18" t="n">
        <v>0.049</v>
      </c>
      <c r="Z170" s="18" t="n">
        <v>0.0665</v>
      </c>
      <c r="AA170" s="18" t="n">
        <v>0.2355</v>
      </c>
      <c r="AB170" s="18" t="n">
        <v>0.0599</v>
      </c>
      <c r="AC170" s="18" t="n">
        <v>0.0552</v>
      </c>
      <c r="AD170" s="18" t="n">
        <v>0.049</v>
      </c>
      <c r="AE170" s="18" t="n">
        <v>0.2089</v>
      </c>
      <c r="AF170" s="18" t="n">
        <v>0.0539</v>
      </c>
      <c r="AG170" s="18" t="n">
        <v>0.049</v>
      </c>
      <c r="AH170" s="18" t="n">
        <v>0.049</v>
      </c>
      <c r="AI170" s="18" t="n">
        <v>0.049</v>
      </c>
      <c r="AJ170" s="18" t="n">
        <v>0.049</v>
      </c>
      <c r="AK170" s="18" t="n">
        <v>0.049</v>
      </c>
      <c r="AL170" s="18" t="n">
        <v>0.1253</v>
      </c>
      <c r="AM170" s="18" t="n">
        <v>0.1814</v>
      </c>
      <c r="AN170" s="18" t="n">
        <v>0.06519999999999999</v>
      </c>
      <c r="AO170" s="18" t="n">
        <v>0.0757</v>
      </c>
      <c r="AP170" s="18" t="n">
        <v>0.1003</v>
      </c>
      <c r="AQ170" s="18" t="n">
        <v>0.1805</v>
      </c>
      <c r="AR170" s="18" t="n">
        <v>0.1099</v>
      </c>
      <c r="AS170" s="18" t="n">
        <v>0.049</v>
      </c>
      <c r="AT170" s="18" t="n">
        <v>0.049</v>
      </c>
      <c r="AU170" s="18" t="n">
        <v>0.049</v>
      </c>
      <c r="AV170" s="18" t="n">
        <v>0.049</v>
      </c>
      <c r="AW170" s="18" t="n">
        <v>0.049</v>
      </c>
      <c r="AX170" s="18" t="n">
        <v>0.049</v>
      </c>
    </row>
    <row r="171">
      <c r="A171" s="10" t="inlineStr">
        <is>
          <t>Load_TR2_F6_75</t>
        </is>
      </c>
      <c r="B171" s="12" t="inlineStr">
        <is>
          <t>customer</t>
        </is>
      </c>
      <c r="C171" s="18" t="n">
        <v>0.053</v>
      </c>
      <c r="D171" s="18" t="n">
        <v>0.053</v>
      </c>
      <c r="E171" s="18" t="n">
        <v>0.2313</v>
      </c>
      <c r="F171" s="18" t="n">
        <v>0.053</v>
      </c>
      <c r="G171" s="18" t="n">
        <v>0.1016</v>
      </c>
      <c r="H171" s="18" t="n">
        <v>0.1827</v>
      </c>
      <c r="I171" s="18" t="n">
        <v>0.053</v>
      </c>
      <c r="J171" s="18" t="n">
        <v>0.0935</v>
      </c>
      <c r="K171" s="18" t="n">
        <v>0.1908</v>
      </c>
      <c r="L171" s="18" t="n">
        <v>0.053</v>
      </c>
      <c r="M171" s="18" t="n">
        <v>0.2313</v>
      </c>
      <c r="N171" s="18" t="n">
        <v>0.053</v>
      </c>
      <c r="O171" s="18" t="n">
        <v>0.1908</v>
      </c>
      <c r="P171" s="18" t="n">
        <v>0.0935</v>
      </c>
      <c r="Q171" s="18" t="n">
        <v>0.2883</v>
      </c>
      <c r="R171" s="18" t="n">
        <v>0.3007</v>
      </c>
      <c r="S171" s="18" t="n">
        <v>0.2267</v>
      </c>
      <c r="T171" s="18" t="n">
        <v>0.3962</v>
      </c>
      <c r="U171" s="18" t="n">
        <v>0.1194</v>
      </c>
      <c r="V171" s="18" t="n">
        <v>0.0856</v>
      </c>
      <c r="W171" s="18" t="n">
        <v>0.408</v>
      </c>
      <c r="X171" s="18" t="n">
        <v>0.2027</v>
      </c>
      <c r="Y171" s="18" t="n">
        <v>0.053</v>
      </c>
      <c r="Z171" s="18" t="n">
        <v>0.2313</v>
      </c>
      <c r="AA171" s="18" t="n">
        <v>0.053</v>
      </c>
      <c r="AB171" s="18" t="n">
        <v>0.0854</v>
      </c>
      <c r="AC171" s="18" t="n">
        <v>0.1989</v>
      </c>
      <c r="AD171" s="18" t="n">
        <v>0.1445</v>
      </c>
      <c r="AE171" s="18" t="n">
        <v>0.3828</v>
      </c>
      <c r="AF171" s="18" t="n">
        <v>0.4351</v>
      </c>
      <c r="AG171" s="18" t="n">
        <v>0.4133</v>
      </c>
      <c r="AH171" s="18" t="n">
        <v>0.3</v>
      </c>
      <c r="AI171" s="18" t="n">
        <v>0.3538</v>
      </c>
      <c r="AJ171" s="18" t="n">
        <v>0.4953</v>
      </c>
      <c r="AK171" s="18" t="n">
        <v>0.3045</v>
      </c>
      <c r="AL171" s="18" t="n">
        <v>1.1066</v>
      </c>
      <c r="AM171" s="18" t="n">
        <v>0.1624</v>
      </c>
      <c r="AN171" s="18" t="n">
        <v>0.059</v>
      </c>
      <c r="AO171" s="18" t="n">
        <v>0.2493</v>
      </c>
      <c r="AP171" s="18" t="n">
        <v>0.234</v>
      </c>
      <c r="AQ171" s="18" t="n">
        <v>0.3789</v>
      </c>
      <c r="AR171" s="18" t="n">
        <v>0.2963</v>
      </c>
      <c r="AS171" s="18" t="n">
        <v>0.4147</v>
      </c>
      <c r="AT171" s="18" t="n">
        <v>0.2993</v>
      </c>
      <c r="AU171" s="18" t="n">
        <v>0.5999</v>
      </c>
      <c r="AV171" s="18" t="n">
        <v>0.6317</v>
      </c>
      <c r="AW171" s="18" t="n">
        <v>0.053</v>
      </c>
      <c r="AX171" s="18" t="n">
        <v>0.053</v>
      </c>
    </row>
    <row r="172">
      <c r="A172" s="10" t="inlineStr">
        <is>
          <t>Load_TR2_F6_76</t>
        </is>
      </c>
      <c r="B172" s="12" t="inlineStr">
        <is>
          <t>customer</t>
        </is>
      </c>
      <c r="C172" s="18" t="n">
        <v>0.2877</v>
      </c>
      <c r="D172" s="18" t="n">
        <v>0.375</v>
      </c>
      <c r="E172" s="18" t="n">
        <v>0.2157</v>
      </c>
      <c r="F172" s="18" t="n">
        <v>0.056</v>
      </c>
      <c r="G172" s="18" t="n">
        <v>0.056</v>
      </c>
      <c r="H172" s="18" t="n">
        <v>0.142</v>
      </c>
      <c r="I172" s="18" t="n">
        <v>0.1977</v>
      </c>
      <c r="J172" s="18" t="n">
        <v>0.056</v>
      </c>
      <c r="K172" s="18" t="n">
        <v>0.2692</v>
      </c>
      <c r="L172" s="18" t="n">
        <v>0.07049999999999999</v>
      </c>
      <c r="M172" s="18" t="n">
        <v>0.056</v>
      </c>
      <c r="N172" s="18" t="n">
        <v>0.2271</v>
      </c>
      <c r="O172" s="18" t="n">
        <v>0.1127</v>
      </c>
      <c r="P172" s="18" t="n">
        <v>0.056</v>
      </c>
      <c r="Q172" s="18" t="n">
        <v>0.2128</v>
      </c>
      <c r="R172" s="18" t="n">
        <v>0.1269</v>
      </c>
      <c r="S172" s="18" t="n">
        <v>0.1359</v>
      </c>
      <c r="T172" s="18" t="n">
        <v>0.2039</v>
      </c>
      <c r="U172" s="18" t="n">
        <v>0.07779999999999999</v>
      </c>
      <c r="V172" s="18" t="n">
        <v>0.194</v>
      </c>
      <c r="W172" s="18" t="n">
        <v>0.056</v>
      </c>
      <c r="X172" s="18" t="n">
        <v>0.2157</v>
      </c>
      <c r="Y172" s="18" t="n">
        <v>0.124</v>
      </c>
      <c r="Z172" s="18" t="n">
        <v>0.056</v>
      </c>
      <c r="AA172" s="18" t="n">
        <v>0.3002</v>
      </c>
      <c r="AB172" s="18" t="n">
        <v>0.1749</v>
      </c>
      <c r="AC172" s="18" t="n">
        <v>0.1127</v>
      </c>
      <c r="AD172" s="18" t="n">
        <v>0.3442</v>
      </c>
      <c r="AE172" s="18" t="n">
        <v>0.6062</v>
      </c>
      <c r="AF172" s="18" t="n">
        <v>0.5004999999999999</v>
      </c>
      <c r="AG172" s="18" t="n">
        <v>0.4543</v>
      </c>
      <c r="AH172" s="18" t="n">
        <v>0.09229999999999999</v>
      </c>
      <c r="AI172" s="18" t="n">
        <v>0.0975</v>
      </c>
      <c r="AJ172" s="18" t="n">
        <v>0.2277</v>
      </c>
      <c r="AK172" s="18" t="n">
        <v>0.1045</v>
      </c>
      <c r="AL172" s="18" t="n">
        <v>0.2761</v>
      </c>
      <c r="AM172" s="18" t="n">
        <v>0.5675</v>
      </c>
      <c r="AN172" s="18" t="n">
        <v>0.495</v>
      </c>
      <c r="AO172" s="18" t="n">
        <v>0.3904</v>
      </c>
      <c r="AP172" s="18" t="n">
        <v>0.4816</v>
      </c>
      <c r="AQ172" s="18" t="n">
        <v>0.5535</v>
      </c>
      <c r="AR172" s="18" t="n">
        <v>0.758</v>
      </c>
      <c r="AS172" s="18" t="n">
        <v>0.6344</v>
      </c>
      <c r="AT172" s="18" t="n">
        <v>0.2815</v>
      </c>
      <c r="AU172" s="18" t="n">
        <v>0.07870000000000001</v>
      </c>
      <c r="AV172" s="18" t="n">
        <v>0.1617</v>
      </c>
      <c r="AW172" s="18" t="n">
        <v>0.178</v>
      </c>
      <c r="AX172" s="18" t="n">
        <v>0.056</v>
      </c>
    </row>
    <row r="173">
      <c r="A173" s="10" t="inlineStr">
        <is>
          <t>Load_TR2_F6_77</t>
        </is>
      </c>
      <c r="B173" s="12" t="inlineStr">
        <is>
          <t>customer</t>
        </is>
      </c>
      <c r="C173" s="18" t="n">
        <v>0.045</v>
      </c>
      <c r="D173" s="18" t="n">
        <v>0.3047</v>
      </c>
      <c r="E173" s="18" t="n">
        <v>0.08790000000000001</v>
      </c>
      <c r="F173" s="18" t="n">
        <v>0.051</v>
      </c>
      <c r="G173" s="18" t="n">
        <v>0.3416</v>
      </c>
      <c r="H173" s="18" t="n">
        <v>0.051</v>
      </c>
      <c r="I173" s="18" t="n">
        <v>0.1595</v>
      </c>
      <c r="J173" s="18" t="n">
        <v>0.045</v>
      </c>
      <c r="K173" s="18" t="n">
        <v>0.2392</v>
      </c>
      <c r="L173" s="18" t="n">
        <v>0.1535</v>
      </c>
      <c r="M173" s="18" t="n">
        <v>0.1085</v>
      </c>
      <c r="N173" s="18" t="n">
        <v>1.6839</v>
      </c>
      <c r="O173" s="18" t="n">
        <v>1.3392</v>
      </c>
      <c r="P173" s="18" t="n">
        <v>0.6422</v>
      </c>
      <c r="Q173" s="18" t="n">
        <v>0.1026</v>
      </c>
      <c r="R173" s="18" t="n">
        <v>0.0857</v>
      </c>
      <c r="S173" s="18" t="n">
        <v>0.3527</v>
      </c>
      <c r="T173" s="18" t="n">
        <v>0.045</v>
      </c>
      <c r="U173" s="18" t="n">
        <v>0.4795</v>
      </c>
      <c r="V173" s="18" t="n">
        <v>1.0517</v>
      </c>
      <c r="W173" s="18" t="n">
        <v>0.664</v>
      </c>
      <c r="X173" s="18" t="n">
        <v>0.3311</v>
      </c>
      <c r="Y173" s="18" t="n">
        <v>0.0616</v>
      </c>
      <c r="Z173" s="18" t="n">
        <v>0.1609</v>
      </c>
      <c r="AA173" s="18" t="n">
        <v>0.1112</v>
      </c>
      <c r="AB173" s="18" t="n">
        <v>0.1655</v>
      </c>
      <c r="AC173" s="18" t="n">
        <v>0.2744</v>
      </c>
      <c r="AD173" s="18" t="n">
        <v>0.3035</v>
      </c>
      <c r="AE173" s="18" t="n">
        <v>0.2677</v>
      </c>
      <c r="AF173" s="18" t="n">
        <v>0.5255</v>
      </c>
      <c r="AG173" s="18" t="n">
        <v>0.3854</v>
      </c>
      <c r="AH173" s="18" t="n">
        <v>0.5620000000000001</v>
      </c>
      <c r="AI173" s="18" t="n">
        <v>0.4345</v>
      </c>
      <c r="AJ173" s="18" t="n">
        <v>0.1896</v>
      </c>
      <c r="AK173" s="18" t="n">
        <v>0.5622</v>
      </c>
      <c r="AL173" s="18" t="n">
        <v>0.1939</v>
      </c>
      <c r="AM173" s="18" t="n">
        <v>0.2977</v>
      </c>
      <c r="AN173" s="18" t="n">
        <v>0.3885</v>
      </c>
      <c r="AO173" s="18" t="n">
        <v>0.2918</v>
      </c>
      <c r="AP173" s="18" t="n">
        <v>0.1873</v>
      </c>
      <c r="AQ173" s="18" t="n">
        <v>0.1692</v>
      </c>
      <c r="AR173" s="18" t="n">
        <v>0.2306</v>
      </c>
      <c r="AS173" s="18" t="n">
        <v>0.5601</v>
      </c>
      <c r="AT173" s="18" t="n">
        <v>0.376</v>
      </c>
      <c r="AU173" s="18" t="n">
        <v>0.5474</v>
      </c>
      <c r="AV173" s="18" t="n">
        <v>0.5203</v>
      </c>
      <c r="AW173" s="18" t="n">
        <v>0.3439</v>
      </c>
      <c r="AX173" s="18" t="n">
        <v>0.2445</v>
      </c>
    </row>
    <row r="174">
      <c r="A174" s="10" t="inlineStr">
        <is>
          <t>Load_TR2_F6_78</t>
        </is>
      </c>
      <c r="B174" s="12" t="inlineStr">
        <is>
          <t>customer</t>
        </is>
      </c>
      <c r="C174" s="18" t="n">
        <v>0.055</v>
      </c>
      <c r="D174" s="18" t="n">
        <v>0.1269</v>
      </c>
      <c r="E174" s="18" t="n">
        <v>0.2176</v>
      </c>
      <c r="F174" s="18" t="n">
        <v>0.055</v>
      </c>
      <c r="G174" s="18" t="n">
        <v>0.1774</v>
      </c>
      <c r="H174" s="18" t="n">
        <v>0.1672</v>
      </c>
      <c r="I174" s="18" t="n">
        <v>0.1054</v>
      </c>
      <c r="J174" s="18" t="n">
        <v>0.2392</v>
      </c>
      <c r="K174" s="18" t="n">
        <v>0.055</v>
      </c>
      <c r="L174" s="18" t="n">
        <v>0.1312</v>
      </c>
      <c r="M174" s="18" t="n">
        <v>0.2134</v>
      </c>
      <c r="N174" s="18" t="n">
        <v>0.1185</v>
      </c>
      <c r="O174" s="18" t="n">
        <v>0.1397</v>
      </c>
      <c r="P174" s="18" t="n">
        <v>0.1668</v>
      </c>
      <c r="Q174" s="18" t="n">
        <v>0.1058</v>
      </c>
      <c r="R174" s="18" t="n">
        <v>0.2134</v>
      </c>
      <c r="S174" s="18" t="n">
        <v>0.055</v>
      </c>
      <c r="T174" s="18" t="n">
        <v>0.055</v>
      </c>
      <c r="U174" s="18" t="n">
        <v>0.2134</v>
      </c>
      <c r="V174" s="18" t="n">
        <v>0.055</v>
      </c>
      <c r="W174" s="18" t="n">
        <v>0.127</v>
      </c>
      <c r="X174" s="18" t="n">
        <v>0.1414</v>
      </c>
      <c r="Y174" s="18" t="n">
        <v>0.0592</v>
      </c>
      <c r="Z174" s="18" t="n">
        <v>0.2277</v>
      </c>
      <c r="AA174" s="18" t="n">
        <v>0.1168</v>
      </c>
      <c r="AB174" s="18" t="n">
        <v>0.1773</v>
      </c>
      <c r="AC174" s="18" t="n">
        <v>0.163</v>
      </c>
      <c r="AD174" s="18" t="n">
        <v>0.1312</v>
      </c>
      <c r="AE174" s="18" t="n">
        <v>0.1429</v>
      </c>
      <c r="AF174" s="18" t="n">
        <v>0.6906</v>
      </c>
      <c r="AG174" s="18" t="n">
        <v>0.337</v>
      </c>
      <c r="AH174" s="18" t="n">
        <v>0.5921999999999999</v>
      </c>
      <c r="AI174" s="18" t="n">
        <v>0.4957</v>
      </c>
      <c r="AJ174" s="18" t="n">
        <v>0.055</v>
      </c>
      <c r="AK174" s="18" t="n">
        <v>0.2557</v>
      </c>
      <c r="AL174" s="18" t="n">
        <v>0.0888</v>
      </c>
      <c r="AM174" s="18" t="n">
        <v>0.055</v>
      </c>
      <c r="AN174" s="18" t="n">
        <v>0.2895</v>
      </c>
      <c r="AO174" s="18" t="n">
        <v>0.2293</v>
      </c>
      <c r="AP174" s="18" t="n">
        <v>1.4752</v>
      </c>
      <c r="AQ174" s="18" t="n">
        <v>0.4166</v>
      </c>
      <c r="AR174" s="18" t="n">
        <v>0.3136</v>
      </c>
      <c r="AS174" s="18" t="n">
        <v>0.3486</v>
      </c>
      <c r="AT174" s="18" t="n">
        <v>0.7944</v>
      </c>
      <c r="AU174" s="18" t="n">
        <v>0.0931</v>
      </c>
      <c r="AV174" s="18" t="n">
        <v>0.2036</v>
      </c>
      <c r="AW174" s="18" t="n">
        <v>0.141</v>
      </c>
      <c r="AX174" s="18" t="n">
        <v>0.0694</v>
      </c>
    </row>
    <row r="175">
      <c r="A175" s="19" t="inlineStr">
        <is>
          <t>Load_TR2_F6_79</t>
        </is>
      </c>
      <c r="B175" s="15" t="inlineStr">
        <is>
          <t>prosumer</t>
        </is>
      </c>
      <c r="C175" s="20" t="n">
        <v>0.1642</v>
      </c>
      <c r="D175" s="20" t="n">
        <v>0.048</v>
      </c>
      <c r="E175" s="20" t="n">
        <v>0.3088</v>
      </c>
      <c r="F175" s="20" t="n">
        <v>0.06850000000000001</v>
      </c>
      <c r="G175" s="20" t="n">
        <v>0.048</v>
      </c>
      <c r="H175" s="20" t="n">
        <v>0.2473</v>
      </c>
      <c r="I175" s="20" t="n">
        <v>0.13</v>
      </c>
      <c r="J175" s="20" t="n">
        <v>0.048</v>
      </c>
      <c r="K175" s="20" t="n">
        <v>0.3157</v>
      </c>
      <c r="L175" s="20" t="n">
        <v>0.0617</v>
      </c>
      <c r="M175" s="20" t="n">
        <v>0.0742</v>
      </c>
      <c r="N175" s="20" t="n">
        <v>0.2895</v>
      </c>
      <c r="O175" s="20" t="n">
        <v>0.0617</v>
      </c>
      <c r="P175" s="20" t="n">
        <v>0.1369</v>
      </c>
      <c r="Q175" s="20" t="n">
        <v>0.1292</v>
      </c>
      <c r="R175" s="20" t="n">
        <v>0.1593</v>
      </c>
      <c r="S175" s="20" t="n">
        <v>0.1984</v>
      </c>
      <c r="T175" s="20" t="n">
        <v>0.048</v>
      </c>
      <c r="U175" s="20" t="n">
        <v>0.1642</v>
      </c>
      <c r="V175" s="20" t="n">
        <v>0.2131</v>
      </c>
      <c r="W175" s="20" t="n">
        <v>0.048</v>
      </c>
      <c r="X175" s="20" t="n">
        <v>0.1801</v>
      </c>
      <c r="Y175" s="20" t="n">
        <v>0.1972</v>
      </c>
      <c r="Z175" s="20" t="n">
        <v>0.0545</v>
      </c>
      <c r="AA175" s="20" t="n">
        <v>0.3091</v>
      </c>
      <c r="AB175" s="20" t="n">
        <v>0.0617</v>
      </c>
      <c r="AC175" s="20" t="n">
        <v>0.2747</v>
      </c>
      <c r="AD175" s="20" t="n">
        <v>0.1168</v>
      </c>
      <c r="AE175" s="20" t="n">
        <v>0.3311</v>
      </c>
      <c r="AF175" s="20" t="n">
        <v>0.27</v>
      </c>
      <c r="AG175" s="20" t="n">
        <v>0.0851</v>
      </c>
      <c r="AH175" s="20" t="n">
        <v>0.1553</v>
      </c>
      <c r="AI175" s="20" t="n">
        <v>0.2561</v>
      </c>
      <c r="AJ175" s="20" t="n">
        <v>0.4423</v>
      </c>
      <c r="AK175" s="20" t="n">
        <v>0.4568</v>
      </c>
      <c r="AL175" s="20" t="n">
        <v>0.0901</v>
      </c>
      <c r="AM175" s="20" t="n">
        <v>0.2999</v>
      </c>
      <c r="AN175" s="20" t="n">
        <v>0.3266</v>
      </c>
      <c r="AO175" s="20" t="n">
        <v>0.156</v>
      </c>
      <c r="AP175" s="20" t="n">
        <v>0.2982</v>
      </c>
      <c r="AQ175" s="20" t="n">
        <v>0.1154</v>
      </c>
      <c r="AR175" s="20" t="n">
        <v>0.1946</v>
      </c>
      <c r="AS175" s="20" t="n">
        <v>0.3657</v>
      </c>
      <c r="AT175" s="20" t="n">
        <v>0.9993</v>
      </c>
      <c r="AU175" s="20" t="n">
        <v>0.3915</v>
      </c>
      <c r="AV175" s="20" t="n">
        <v>0.3086</v>
      </c>
      <c r="AW175" s="20" t="n">
        <v>0.1681</v>
      </c>
      <c r="AX175" s="20" t="n">
        <v>0.2246</v>
      </c>
    </row>
    <row r="176">
      <c r="A176" s="10" t="inlineStr">
        <is>
          <t>Load_TR2_F6_8</t>
        </is>
      </c>
      <c r="B176" s="12" t="inlineStr">
        <is>
          <t>customer</t>
        </is>
      </c>
      <c r="C176" s="18" t="n">
        <v>0.2049</v>
      </c>
      <c r="D176" s="18" t="n">
        <v>0.0673</v>
      </c>
      <c r="E176" s="18" t="n">
        <v>0.1072</v>
      </c>
      <c r="F176" s="18" t="n">
        <v>0.1372</v>
      </c>
      <c r="G176" s="18" t="n">
        <v>0.1937</v>
      </c>
      <c r="H176" s="18" t="n">
        <v>0.0936</v>
      </c>
      <c r="I176" s="18" t="n">
        <v>0.053</v>
      </c>
      <c r="J176" s="18" t="n">
        <v>0.2102</v>
      </c>
      <c r="K176" s="18" t="n">
        <v>0.053</v>
      </c>
      <c r="L176" s="18" t="n">
        <v>0.2057</v>
      </c>
      <c r="M176" s="18" t="n">
        <v>0.1387</v>
      </c>
      <c r="N176" s="18" t="n">
        <v>0.1343</v>
      </c>
      <c r="O176" s="18" t="n">
        <v>0.053</v>
      </c>
      <c r="P176" s="18" t="n">
        <v>0.0673</v>
      </c>
      <c r="Q176" s="18" t="n">
        <v>0.2771</v>
      </c>
      <c r="R176" s="18" t="n">
        <v>0.053</v>
      </c>
      <c r="S176" s="18" t="n">
        <v>0.2565</v>
      </c>
      <c r="T176" s="18" t="n">
        <v>0.08799999999999999</v>
      </c>
      <c r="U176" s="18" t="n">
        <v>0.1162</v>
      </c>
      <c r="V176" s="18" t="n">
        <v>0.4177</v>
      </c>
      <c r="W176" s="18" t="n">
        <v>0.3135</v>
      </c>
      <c r="X176" s="18" t="n">
        <v>0.2419</v>
      </c>
      <c r="Y176" s="18" t="n">
        <v>0.5377</v>
      </c>
      <c r="Z176" s="18" t="n">
        <v>0.2338</v>
      </c>
      <c r="AA176" s="18" t="n">
        <v>0.1749</v>
      </c>
      <c r="AB176" s="18" t="n">
        <v>0.9945000000000001</v>
      </c>
      <c r="AC176" s="18" t="n">
        <v>1.7531</v>
      </c>
      <c r="AD176" s="18" t="n">
        <v>0.7077</v>
      </c>
      <c r="AE176" s="18" t="n">
        <v>0.053</v>
      </c>
      <c r="AF176" s="18" t="n">
        <v>0.2102</v>
      </c>
      <c r="AG176" s="18" t="n">
        <v>0.053</v>
      </c>
      <c r="AH176" s="18" t="n">
        <v>0.1102</v>
      </c>
      <c r="AI176" s="18" t="n">
        <v>0.153</v>
      </c>
      <c r="AJ176" s="18" t="n">
        <v>0.053</v>
      </c>
      <c r="AK176" s="18" t="n">
        <v>0.103</v>
      </c>
      <c r="AL176" s="18" t="n">
        <v>0.1602</v>
      </c>
      <c r="AM176" s="18" t="n">
        <v>0.1343</v>
      </c>
      <c r="AN176" s="18" t="n">
        <v>0.0959</v>
      </c>
      <c r="AO176" s="18" t="n">
        <v>0.1673</v>
      </c>
      <c r="AP176" s="18" t="n">
        <v>0.053</v>
      </c>
      <c r="AQ176" s="18" t="n">
        <v>0.2102</v>
      </c>
      <c r="AR176" s="18" t="n">
        <v>0.1343</v>
      </c>
      <c r="AS176" s="18" t="n">
        <v>0.053</v>
      </c>
      <c r="AT176" s="18" t="n">
        <v>0.053</v>
      </c>
      <c r="AU176" s="18" t="n">
        <v>0.1974</v>
      </c>
      <c r="AV176" s="18" t="n">
        <v>0.147</v>
      </c>
      <c r="AW176" s="18" t="n">
        <v>0.0887</v>
      </c>
      <c r="AX176" s="18" t="n">
        <v>0.2557</v>
      </c>
    </row>
    <row r="177">
      <c r="A177" s="10" t="inlineStr">
        <is>
          <t>Load_TR2_F6_80</t>
        </is>
      </c>
      <c r="B177" s="12" t="inlineStr">
        <is>
          <t>customer</t>
        </is>
      </c>
      <c r="C177" s="18" t="n">
        <v>0.7503</v>
      </c>
      <c r="D177" s="18" t="n">
        <v>0.2568</v>
      </c>
      <c r="E177" s="18" t="n">
        <v>0.054</v>
      </c>
      <c r="F177" s="18" t="n">
        <v>0.2598</v>
      </c>
      <c r="G177" s="18" t="n">
        <v>0.054</v>
      </c>
      <c r="H177" s="18" t="n">
        <v>0.0801</v>
      </c>
      <c r="I177" s="18" t="n">
        <v>0.2061</v>
      </c>
      <c r="J177" s="18" t="n">
        <v>0.08160000000000001</v>
      </c>
      <c r="K177" s="18" t="n">
        <v>0.054</v>
      </c>
      <c r="L177" s="18" t="n">
        <v>0.2657</v>
      </c>
      <c r="M177" s="18" t="n">
        <v>0.251</v>
      </c>
      <c r="N177" s="18" t="n">
        <v>0.208</v>
      </c>
      <c r="O177" s="18" t="n">
        <v>0.1565</v>
      </c>
      <c r="P177" s="18" t="n">
        <v>0.054</v>
      </c>
      <c r="Q177" s="18" t="n">
        <v>0.2995</v>
      </c>
      <c r="R177" s="18" t="n">
        <v>0.1329</v>
      </c>
      <c r="S177" s="18" t="n">
        <v>0.0781</v>
      </c>
      <c r="T177" s="18" t="n">
        <v>0.3967</v>
      </c>
      <c r="U177" s="18" t="n">
        <v>0.2225</v>
      </c>
      <c r="V177" s="18" t="n">
        <v>0.2209</v>
      </c>
      <c r="W177" s="18" t="n">
        <v>1.5191</v>
      </c>
      <c r="X177" s="18" t="n">
        <v>0.1092</v>
      </c>
      <c r="Y177" s="18" t="n">
        <v>0.1389</v>
      </c>
      <c r="Z177" s="18" t="n">
        <v>0.1128</v>
      </c>
      <c r="AA177" s="18" t="n">
        <v>0.1092</v>
      </c>
      <c r="AB177" s="18" t="n">
        <v>0.2046</v>
      </c>
      <c r="AC177" s="18" t="n">
        <v>0.1092</v>
      </c>
      <c r="AD177" s="18" t="n">
        <v>0.1197</v>
      </c>
      <c r="AE177" s="18" t="n">
        <v>0.1389</v>
      </c>
      <c r="AF177" s="18" t="n">
        <v>0.8332000000000001</v>
      </c>
      <c r="AG177" s="18" t="n">
        <v>0.2715</v>
      </c>
      <c r="AH177" s="18" t="n">
        <v>0.2846</v>
      </c>
      <c r="AI177" s="18" t="n">
        <v>0.3657</v>
      </c>
      <c r="AJ177" s="18" t="n">
        <v>0.2556</v>
      </c>
      <c r="AK177" s="18" t="n">
        <v>0.3344</v>
      </c>
      <c r="AL177" s="18" t="n">
        <v>0.3876</v>
      </c>
      <c r="AM177" s="18" t="n">
        <v>0.4378</v>
      </c>
      <c r="AN177" s="18" t="n">
        <v>0.3632</v>
      </c>
      <c r="AO177" s="18" t="n">
        <v>0.5226</v>
      </c>
      <c r="AP177" s="18" t="n">
        <v>0.323</v>
      </c>
      <c r="AQ177" s="18" t="n">
        <v>0.5758</v>
      </c>
      <c r="AR177" s="18" t="n">
        <v>0.5674</v>
      </c>
      <c r="AS177" s="18" t="n">
        <v>0.6840000000000001</v>
      </c>
      <c r="AT177" s="18" t="n">
        <v>1.0293</v>
      </c>
      <c r="AU177" s="18" t="n">
        <v>0.4407</v>
      </c>
      <c r="AV177" s="18" t="n">
        <v>0.1683</v>
      </c>
      <c r="AW177" s="18" t="n">
        <v>0.1455</v>
      </c>
      <c r="AX177" s="18" t="n">
        <v>0.054</v>
      </c>
    </row>
    <row r="178">
      <c r="A178" s="19" t="inlineStr">
        <is>
          <t>Load_TR2_F6_81</t>
        </is>
      </c>
      <c r="B178" s="15" t="inlineStr">
        <is>
          <t>prosumer</t>
        </is>
      </c>
      <c r="C178" s="20" t="n">
        <v>0.475</v>
      </c>
      <c r="D178" s="20" t="n">
        <v>0.3973</v>
      </c>
      <c r="E178" s="20" t="n">
        <v>0.1698</v>
      </c>
      <c r="F178" s="20" t="n">
        <v>0.0497</v>
      </c>
      <c r="G178" s="20" t="n">
        <v>0.3182</v>
      </c>
      <c r="H178" s="20" t="n">
        <v>0.063</v>
      </c>
      <c r="I178" s="20" t="n">
        <v>0.09039999999999999</v>
      </c>
      <c r="J178" s="20" t="n">
        <v>0.2908</v>
      </c>
      <c r="K178" s="20" t="n">
        <v>0.043</v>
      </c>
      <c r="L178" s="20" t="n">
        <v>0.1974</v>
      </c>
      <c r="M178" s="20" t="n">
        <v>0.1371</v>
      </c>
      <c r="N178" s="20" t="n">
        <v>0.1485</v>
      </c>
      <c r="O178" s="20" t="n">
        <v>0.1459</v>
      </c>
      <c r="P178" s="20" t="n">
        <v>0.043</v>
      </c>
      <c r="Q178" s="20" t="n">
        <v>0.1498</v>
      </c>
      <c r="R178" s="20" t="n">
        <v>0.2314</v>
      </c>
      <c r="S178" s="20" t="n">
        <v>0.1031</v>
      </c>
      <c r="T178" s="20" t="n">
        <v>0.2194</v>
      </c>
      <c r="U178" s="20" t="n">
        <v>0.1018</v>
      </c>
      <c r="V178" s="20" t="n">
        <v>0.1228</v>
      </c>
      <c r="W178" s="20" t="n">
        <v>1.0358</v>
      </c>
      <c r="X178" s="20" t="n">
        <v>0.0829</v>
      </c>
      <c r="Y178" s="20" t="n">
        <v>0.1526</v>
      </c>
      <c r="Z178" s="20" t="n">
        <v>0.1813</v>
      </c>
      <c r="AA178" s="20" t="n">
        <v>1.56</v>
      </c>
      <c r="AB178" s="20" t="n">
        <v>0.883</v>
      </c>
      <c r="AC178" s="20" t="n">
        <v>1.923</v>
      </c>
      <c r="AD178" s="20" t="n">
        <v>0.3972</v>
      </c>
      <c r="AE178" s="20" t="n">
        <v>2.5188</v>
      </c>
      <c r="AF178" s="20" t="n">
        <v>2.5954</v>
      </c>
      <c r="AG178" s="20" t="n">
        <v>0.9560999999999999</v>
      </c>
      <c r="AH178" s="20" t="n">
        <v>0.2047</v>
      </c>
      <c r="AI178" s="20" t="n">
        <v>0.4224</v>
      </c>
      <c r="AJ178" s="20" t="n">
        <v>0.043</v>
      </c>
      <c r="AK178" s="20" t="n">
        <v>0.1765</v>
      </c>
      <c r="AL178" s="20" t="n">
        <v>0.2708</v>
      </c>
      <c r="AM178" s="20" t="n">
        <v>0.075</v>
      </c>
      <c r="AN178" s="20" t="n">
        <v>0.2058</v>
      </c>
      <c r="AO178" s="20" t="n">
        <v>0.1845</v>
      </c>
      <c r="AP178" s="20" t="n">
        <v>0.7112000000000001</v>
      </c>
      <c r="AQ178" s="20" t="n">
        <v>0.3785</v>
      </c>
      <c r="AR178" s="20" t="n">
        <v>0.3525</v>
      </c>
      <c r="AS178" s="20" t="n">
        <v>0.366</v>
      </c>
      <c r="AT178" s="20" t="n">
        <v>0.5935</v>
      </c>
      <c r="AU178" s="20" t="n">
        <v>0.3908</v>
      </c>
      <c r="AV178" s="20" t="n">
        <v>0.168</v>
      </c>
      <c r="AW178" s="20" t="n">
        <v>0.1632</v>
      </c>
      <c r="AX178" s="20" t="n">
        <v>0.2181</v>
      </c>
    </row>
    <row r="179">
      <c r="A179" s="10" t="inlineStr">
        <is>
          <t>Load_TR2_F6_82</t>
        </is>
      </c>
      <c r="B179" s="12" t="inlineStr">
        <is>
          <t>customer</t>
        </is>
      </c>
      <c r="C179" s="18" t="n">
        <v>0.056</v>
      </c>
      <c r="D179" s="18" t="n">
        <v>0.056</v>
      </c>
      <c r="E179" s="18" t="n">
        <v>0.056</v>
      </c>
      <c r="F179" s="18" t="n">
        <v>0.056</v>
      </c>
      <c r="G179" s="18" t="n">
        <v>0.056</v>
      </c>
      <c r="H179" s="18" t="n">
        <v>0.056</v>
      </c>
      <c r="I179" s="18" t="n">
        <v>0.056</v>
      </c>
      <c r="J179" s="18" t="n">
        <v>0.056</v>
      </c>
      <c r="K179" s="18" t="n">
        <v>0.056</v>
      </c>
      <c r="L179" s="18" t="n">
        <v>0.056</v>
      </c>
      <c r="M179" s="18" t="n">
        <v>0.056</v>
      </c>
      <c r="N179" s="18" t="n">
        <v>0.056</v>
      </c>
      <c r="O179" s="18" t="n">
        <v>0.056</v>
      </c>
      <c r="P179" s="18" t="n">
        <v>0.056</v>
      </c>
      <c r="Q179" s="18" t="n">
        <v>0.0921</v>
      </c>
      <c r="R179" s="18" t="n">
        <v>0.4468</v>
      </c>
      <c r="S179" s="18" t="n">
        <v>0.056</v>
      </c>
      <c r="T179" s="18" t="n">
        <v>0.07779999999999999</v>
      </c>
      <c r="U179" s="18" t="n">
        <v>0.882</v>
      </c>
      <c r="V179" s="18" t="n">
        <v>0.7728</v>
      </c>
      <c r="W179" s="18" t="n">
        <v>0.9379999999999999</v>
      </c>
      <c r="X179" s="18" t="n">
        <v>1.6545</v>
      </c>
      <c r="Y179" s="18" t="n">
        <v>0.07099999999999999</v>
      </c>
      <c r="Z179" s="18" t="n">
        <v>1.0215</v>
      </c>
      <c r="AA179" s="18" t="n">
        <v>0.779</v>
      </c>
      <c r="AB179" s="18" t="n">
        <v>1.2854</v>
      </c>
      <c r="AC179" s="18" t="n">
        <v>1.1663</v>
      </c>
      <c r="AD179" s="18" t="n">
        <v>0.056</v>
      </c>
      <c r="AE179" s="18" t="n">
        <v>0.056</v>
      </c>
      <c r="AF179" s="18" t="n">
        <v>0.056</v>
      </c>
      <c r="AG179" s="18" t="n">
        <v>0.056</v>
      </c>
      <c r="AH179" s="18" t="n">
        <v>0.056</v>
      </c>
      <c r="AI179" s="18" t="n">
        <v>0.056</v>
      </c>
      <c r="AJ179" s="18" t="n">
        <v>0.056</v>
      </c>
      <c r="AK179" s="18" t="n">
        <v>0.056</v>
      </c>
      <c r="AL179" s="18" t="n">
        <v>0.4931</v>
      </c>
      <c r="AM179" s="18" t="n">
        <v>1.3482</v>
      </c>
      <c r="AN179" s="18" t="n">
        <v>1.1422</v>
      </c>
      <c r="AO179" s="18" t="n">
        <v>0.1874</v>
      </c>
      <c r="AP179" s="18" t="n">
        <v>0.339</v>
      </c>
      <c r="AQ179" s="18" t="n">
        <v>1.5287</v>
      </c>
      <c r="AR179" s="18" t="n">
        <v>0.1346</v>
      </c>
      <c r="AS179" s="18" t="n">
        <v>0.2976</v>
      </c>
      <c r="AT179" s="18" t="n">
        <v>0.3638</v>
      </c>
      <c r="AU179" s="18" t="n">
        <v>0.3457</v>
      </c>
      <c r="AV179" s="18" t="n">
        <v>0.2681</v>
      </c>
      <c r="AW179" s="18" t="n">
        <v>0.2726</v>
      </c>
      <c r="AX179" s="18" t="n">
        <v>0.3406</v>
      </c>
    </row>
    <row r="180">
      <c r="A180" s="10" t="inlineStr">
        <is>
          <t>Load_TR2_F6_83</t>
        </is>
      </c>
      <c r="B180" s="12" t="inlineStr">
        <is>
          <t>customer</t>
        </is>
      </c>
      <c r="C180" s="18" t="n">
        <v>0.1645</v>
      </c>
      <c r="D180" s="18" t="n">
        <v>0.09229999999999999</v>
      </c>
      <c r="E180" s="18" t="n">
        <v>0.114</v>
      </c>
      <c r="F180" s="18" t="n">
        <v>0.1429</v>
      </c>
      <c r="G180" s="18" t="n">
        <v>0.0707</v>
      </c>
      <c r="H180" s="18" t="n">
        <v>0.1862</v>
      </c>
      <c r="I180" s="18" t="n">
        <v>0.049</v>
      </c>
      <c r="J180" s="18" t="n">
        <v>0.2538</v>
      </c>
      <c r="K180" s="18" t="n">
        <v>0.049</v>
      </c>
      <c r="L180" s="18" t="n">
        <v>0.049</v>
      </c>
      <c r="M180" s="18" t="n">
        <v>0.1934</v>
      </c>
      <c r="N180" s="18" t="n">
        <v>0.0634</v>
      </c>
      <c r="O180" s="18" t="n">
        <v>0.049</v>
      </c>
      <c r="P180" s="18" t="n">
        <v>0.1645</v>
      </c>
      <c r="Q180" s="18" t="n">
        <v>0.09229999999999999</v>
      </c>
      <c r="R180" s="18" t="n">
        <v>0.049</v>
      </c>
      <c r="S180" s="18" t="n">
        <v>0.1862</v>
      </c>
      <c r="T180" s="18" t="n">
        <v>0.0707</v>
      </c>
      <c r="U180" s="18" t="n">
        <v>0.0634</v>
      </c>
      <c r="V180" s="18" t="n">
        <v>0.2019</v>
      </c>
      <c r="W180" s="18" t="n">
        <v>0.0808</v>
      </c>
      <c r="X180" s="18" t="n">
        <v>0.2396</v>
      </c>
      <c r="Y180" s="18" t="n">
        <v>0.0543</v>
      </c>
      <c r="Z180" s="18" t="n">
        <v>0.1429</v>
      </c>
      <c r="AA180" s="18" t="n">
        <v>0.1229</v>
      </c>
      <c r="AB180" s="18" t="n">
        <v>0.1827</v>
      </c>
      <c r="AC180" s="18" t="n">
        <v>0.224</v>
      </c>
      <c r="AD180" s="18" t="n">
        <v>0.2073</v>
      </c>
      <c r="AE180" s="18" t="n">
        <v>0.1702</v>
      </c>
      <c r="AF180" s="18" t="n">
        <v>0.2155</v>
      </c>
      <c r="AG180" s="18" t="n">
        <v>0.0863</v>
      </c>
      <c r="AH180" s="18" t="n">
        <v>0.2078</v>
      </c>
      <c r="AI180" s="18" t="n">
        <v>0.0584</v>
      </c>
      <c r="AJ180" s="18" t="n">
        <v>0.0721</v>
      </c>
      <c r="AK180" s="18" t="n">
        <v>0.1827</v>
      </c>
      <c r="AL180" s="18" t="n">
        <v>0.09229999999999999</v>
      </c>
      <c r="AM180" s="18" t="n">
        <v>0.114</v>
      </c>
      <c r="AN180" s="18" t="n">
        <v>0.1429</v>
      </c>
      <c r="AO180" s="18" t="n">
        <v>0.049</v>
      </c>
      <c r="AP180" s="18" t="n">
        <v>0.2078</v>
      </c>
      <c r="AQ180" s="18" t="n">
        <v>0.049</v>
      </c>
      <c r="AR180" s="18" t="n">
        <v>0.1637</v>
      </c>
      <c r="AS180" s="18" t="n">
        <v>0.3009</v>
      </c>
      <c r="AT180" s="18" t="n">
        <v>0.254</v>
      </c>
      <c r="AU180" s="18" t="n">
        <v>0.2513</v>
      </c>
      <c r="AV180" s="18" t="n">
        <v>0.3431</v>
      </c>
      <c r="AW180" s="18" t="n">
        <v>0.3098</v>
      </c>
      <c r="AX180" s="18" t="n">
        <v>0.2219</v>
      </c>
    </row>
    <row r="181">
      <c r="A181" s="10" t="inlineStr">
        <is>
          <t>Load_TR2_F6_9</t>
        </is>
      </c>
      <c r="B181" s="12" t="inlineStr">
        <is>
          <t>customer</t>
        </is>
      </c>
      <c r="C181" s="18" t="n">
        <v>0.049</v>
      </c>
      <c r="D181" s="18" t="n">
        <v>0.2777</v>
      </c>
      <c r="E181" s="18" t="n">
        <v>0.0925</v>
      </c>
      <c r="F181" s="18" t="n">
        <v>0.0997</v>
      </c>
      <c r="G181" s="18" t="n">
        <v>0.2084</v>
      </c>
      <c r="H181" s="18" t="n">
        <v>0.1111</v>
      </c>
      <c r="I181" s="18" t="n">
        <v>0.2083</v>
      </c>
      <c r="J181" s="18" t="n">
        <v>0.1619</v>
      </c>
      <c r="K181" s="18" t="n">
        <v>0.049</v>
      </c>
      <c r="L181" s="18" t="n">
        <v>0.1078</v>
      </c>
      <c r="M181" s="18" t="n">
        <v>0.2624</v>
      </c>
      <c r="N181" s="18" t="n">
        <v>0.049</v>
      </c>
      <c r="O181" s="18" t="n">
        <v>0.2535</v>
      </c>
      <c r="P181" s="18" t="n">
        <v>0.1167</v>
      </c>
      <c r="Q181" s="18" t="n">
        <v>0.0997</v>
      </c>
      <c r="R181" s="18" t="n">
        <v>0.1576</v>
      </c>
      <c r="S181" s="18" t="n">
        <v>0.1054</v>
      </c>
      <c r="T181" s="18" t="n">
        <v>0.1706</v>
      </c>
      <c r="U181" s="18" t="n">
        <v>0.1488</v>
      </c>
      <c r="V181" s="18" t="n">
        <v>0.1562</v>
      </c>
      <c r="W181" s="18" t="n">
        <v>0.1576</v>
      </c>
      <c r="X181" s="18" t="n">
        <v>0.2126</v>
      </c>
      <c r="Y181" s="18" t="n">
        <v>0.049</v>
      </c>
      <c r="Z181" s="18" t="n">
        <v>0.1975</v>
      </c>
      <c r="AA181" s="18" t="n">
        <v>0.223</v>
      </c>
      <c r="AB181" s="18" t="n">
        <v>0.2025</v>
      </c>
      <c r="AC181" s="18" t="n">
        <v>0.1794</v>
      </c>
      <c r="AD181" s="18" t="n">
        <v>0.078</v>
      </c>
      <c r="AE181" s="18" t="n">
        <v>0.049</v>
      </c>
      <c r="AF181" s="18" t="n">
        <v>0.0772</v>
      </c>
      <c r="AG181" s="18" t="n">
        <v>0.293</v>
      </c>
      <c r="AH181" s="18" t="n">
        <v>0.049</v>
      </c>
      <c r="AI181" s="18" t="n">
        <v>0.3212</v>
      </c>
      <c r="AJ181" s="18" t="n">
        <v>0.049</v>
      </c>
      <c r="AK181" s="18" t="n">
        <v>0.1651</v>
      </c>
      <c r="AL181" s="18" t="n">
        <v>0.3932</v>
      </c>
      <c r="AM181" s="18" t="n">
        <v>0.0772</v>
      </c>
      <c r="AN181" s="18" t="n">
        <v>0.1337</v>
      </c>
      <c r="AO181" s="18" t="n">
        <v>0.2586</v>
      </c>
      <c r="AP181" s="18" t="n">
        <v>0.6139</v>
      </c>
      <c r="AQ181" s="18" t="n">
        <v>0.5827</v>
      </c>
      <c r="AR181" s="18" t="n">
        <v>0.7466</v>
      </c>
      <c r="AS181" s="18" t="n">
        <v>0.6861</v>
      </c>
      <c r="AT181" s="18" t="n">
        <v>0.8749</v>
      </c>
      <c r="AU181" s="18" t="n">
        <v>1.2018</v>
      </c>
      <c r="AV181" s="18" t="n">
        <v>0.3003</v>
      </c>
      <c r="AW181" s="18" t="n">
        <v>0.1167</v>
      </c>
      <c r="AX181" s="18" t="n">
        <v>0.2535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</cols>
  <sheetData>
    <row r="1">
      <c r="A1" s="1" t="inlineStr">
        <is>
          <t>Raw batt charge</t>
        </is>
      </c>
    </row>
    <row r="2">
      <c r="A2" s="17" t="inlineStr">
        <is>
          <t>Verbatim copy of Charge_kW (TR2_analysis_data.xlsx). One row per half-hour, one column per battery (kW).</t>
        </is>
      </c>
    </row>
    <row r="4">
      <c r="A4" s="7" t="inlineStr">
        <is>
          <t>period</t>
        </is>
      </c>
      <c r="B4" s="7" t="inlineStr">
        <is>
          <t>hour</t>
        </is>
      </c>
      <c r="C4" s="7" t="inlineStr">
        <is>
          <t>BES_TR2_three312_A</t>
        </is>
      </c>
      <c r="D4" s="7" t="inlineStr">
        <is>
          <t>BES_TR2_three321_B</t>
        </is>
      </c>
      <c r="E4" s="7" t="inlineStr">
        <is>
          <t>BES_TR2_three368_A</t>
        </is>
      </c>
      <c r="F4" s="7" t="inlineStr">
        <is>
          <t>BES_TR2_three388_A</t>
        </is>
      </c>
      <c r="G4" s="7" t="inlineStr">
        <is>
          <t>BES_TR2_three409_C</t>
        </is>
      </c>
      <c r="H4" s="7" t="inlineStr">
        <is>
          <t>BES_TR2_three478_B</t>
        </is>
      </c>
      <c r="I4" s="7" t="inlineStr">
        <is>
          <t>BES_TR2_three97_B</t>
        </is>
      </c>
      <c r="J4" s="7" t="inlineStr">
        <is>
          <t>BES_TR2_three133_C</t>
        </is>
      </c>
      <c r="K4" s="7" t="inlineStr">
        <is>
          <t>BES_TR2_three160_C</t>
        </is>
      </c>
      <c r="L4" s="7" t="inlineStr">
        <is>
          <t>BES_TR2_five58_C</t>
        </is>
      </c>
      <c r="M4" s="7" t="inlineStr">
        <is>
          <t>BES_TR2_five147_C</t>
        </is>
      </c>
      <c r="N4" s="7" t="inlineStr">
        <is>
          <t>BES_TR2_five149_A</t>
        </is>
      </c>
      <c r="O4" s="7" t="inlineStr">
        <is>
          <t>BES_TR2_five160_C</t>
        </is>
      </c>
      <c r="P4" s="7" t="inlineStr">
        <is>
          <t>BES_TR2_five170_A</t>
        </is>
      </c>
      <c r="Q4" s="7" t="inlineStr">
        <is>
          <t>BES_TR2_five177_A</t>
        </is>
      </c>
      <c r="R4" s="7" t="inlineStr">
        <is>
          <t>BES_TR2_five67_C</t>
        </is>
      </c>
      <c r="S4" s="7" t="inlineStr">
        <is>
          <t>BES_TR2_five243_B</t>
        </is>
      </c>
      <c r="T4" s="7" t="inlineStr">
        <is>
          <t>BES_TR2_five284_C</t>
        </is>
      </c>
      <c r="U4" s="7" t="inlineStr">
        <is>
          <t>BES_TR2_five285_B</t>
        </is>
      </c>
      <c r="V4" s="7" t="inlineStr">
        <is>
          <t>BES_TR2_five303_B</t>
        </is>
      </c>
      <c r="W4" s="7" t="inlineStr">
        <is>
          <t>BES_TR2_five324_B</t>
        </is>
      </c>
      <c r="X4" s="7" t="inlineStr">
        <is>
          <t>BES_TR2_five355_A</t>
        </is>
      </c>
      <c r="Y4" s="7" t="inlineStr">
        <is>
          <t>BES_TR2_five394_C</t>
        </is>
      </c>
      <c r="Z4" s="7" t="inlineStr">
        <is>
          <t>BES_TR2_five451_A</t>
        </is>
      </c>
      <c r="AA4" s="7" t="inlineStr">
        <is>
          <t>BES_TR2_five466_A</t>
        </is>
      </c>
      <c r="AB4" s="7" t="inlineStr">
        <is>
          <t>BES_TR2_five494_B</t>
        </is>
      </c>
      <c r="AC4" s="7" t="inlineStr">
        <is>
          <t>BES_TR2_five512_A</t>
        </is>
      </c>
      <c r="AD4" s="7" t="inlineStr">
        <is>
          <t>BES_TR2_five520_C</t>
        </is>
      </c>
      <c r="AE4" s="7" t="inlineStr">
        <is>
          <t>BES_TR2_five540_A</t>
        </is>
      </c>
      <c r="AF4" s="7" t="inlineStr">
        <is>
          <t>BES_TR2_five588_A</t>
        </is>
      </c>
      <c r="AG4" s="7" t="inlineStr">
        <is>
          <t>BES_TR2_five649_A</t>
        </is>
      </c>
      <c r="AH4" s="7" t="inlineStr">
        <is>
          <t>BES_TR2_five663_C</t>
        </is>
      </c>
      <c r="AI4" s="7" t="inlineStr">
        <is>
          <t>BES_TR2_five685_B</t>
        </is>
      </c>
      <c r="AJ4" s="7" t="inlineStr">
        <is>
          <t>BES_TR2_five695_A</t>
        </is>
      </c>
      <c r="AK4" s="7" t="inlineStr">
        <is>
          <t>BES_TR2_five704_A</t>
        </is>
      </c>
      <c r="AL4" s="7" t="inlineStr">
        <is>
          <t>BES_TR2_five733_C</t>
        </is>
      </c>
      <c r="AM4" s="7" t="inlineStr">
        <is>
          <t>BES_TR2_five117_B</t>
        </is>
      </c>
      <c r="AN4" s="7" t="inlineStr">
        <is>
          <t>BES_TR2_five778_B</t>
        </is>
      </c>
      <c r="AO4" s="7" t="inlineStr">
        <is>
          <t>BES_TR2_five799_C</t>
        </is>
      </c>
      <c r="AP4" s="7" t="inlineStr">
        <is>
          <t>BES_TR2_five801_C</t>
        </is>
      </c>
      <c r="AQ4" s="7" t="inlineStr">
        <is>
          <t>BES_TR2_five831_C</t>
        </is>
      </c>
      <c r="AR4" s="7" t="inlineStr">
        <is>
          <t>BES_TR2_five881_C</t>
        </is>
      </c>
      <c r="AS4" s="7" t="inlineStr">
        <is>
          <t>BES_TR2_five118_B</t>
        </is>
      </c>
      <c r="AT4" s="7" t="inlineStr">
        <is>
          <t>BES_TR2_six64_A</t>
        </is>
      </c>
      <c r="AU4" s="7" t="inlineStr">
        <is>
          <t>BES_TR2_six154_C</t>
        </is>
      </c>
      <c r="AV4" s="7" t="inlineStr">
        <is>
          <t>BES_TR2_six173_C</t>
        </is>
      </c>
      <c r="AW4" s="7" t="inlineStr">
        <is>
          <t>BES_TR2_six186_A</t>
        </is>
      </c>
      <c r="AX4" s="7" t="inlineStr">
        <is>
          <t>BES_TR2_six191_B</t>
        </is>
      </c>
      <c r="AY4" s="7" t="inlineStr">
        <is>
          <t>BES_TR2_six203_A</t>
        </is>
      </c>
      <c r="AZ4" s="7" t="inlineStr">
        <is>
          <t>BES_TR2_six232_C</t>
        </is>
      </c>
      <c r="BA4" s="7" t="inlineStr">
        <is>
          <t>BES_TR2_six238_A</t>
        </is>
      </c>
      <c r="BB4" s="7" t="inlineStr">
        <is>
          <t>BES_TR2_six249_B</t>
        </is>
      </c>
      <c r="BC4" s="7" t="inlineStr">
        <is>
          <t>BES_TR2_six254_B</t>
        </is>
      </c>
      <c r="BD4" s="7" t="inlineStr">
        <is>
          <t>BES_TR2_six269_C</t>
        </is>
      </c>
      <c r="BE4" s="7" t="inlineStr">
        <is>
          <t>BES_TR2_six289_C</t>
        </is>
      </c>
      <c r="BF4" s="7" t="inlineStr">
        <is>
          <t>BES_TR2_six317_C</t>
        </is>
      </c>
      <c r="BG4" s="7" t="inlineStr">
        <is>
          <t>BES_TR2_six326_A</t>
        </is>
      </c>
      <c r="BH4" s="7" t="inlineStr">
        <is>
          <t>BES_TR2_six329_A</t>
        </is>
      </c>
      <c r="BI4" s="7" t="inlineStr">
        <is>
          <t>BES_TR2_six342_A</t>
        </is>
      </c>
      <c r="BJ4" s="7" t="inlineStr">
        <is>
          <t>BES_TR2_six349_A</t>
        </is>
      </c>
      <c r="BK4" s="7" t="inlineStr">
        <is>
          <t>BES_TR2_six350_B</t>
        </is>
      </c>
      <c r="BL4" s="7" t="inlineStr">
        <is>
          <t>BES_TR2_six362_C</t>
        </is>
      </c>
      <c r="BM4" s="7" t="inlineStr">
        <is>
          <t>BES_TR2_six365_C</t>
        </is>
      </c>
      <c r="BN4" s="7" t="inlineStr">
        <is>
          <t>BES_TR2_six378_A</t>
        </is>
      </c>
      <c r="BO4" s="7" t="inlineStr">
        <is>
          <t>BES_TR2_six385_B</t>
        </is>
      </c>
      <c r="BP4" s="7" t="inlineStr">
        <is>
          <t>BES_TR2_six387_A</t>
        </is>
      </c>
      <c r="BQ4" s="7" t="inlineStr">
        <is>
          <t>BES_TR2_six392_C</t>
        </is>
      </c>
      <c r="BR4" s="7" t="inlineStr">
        <is>
          <t>BES_TR2_six410_A</t>
        </is>
      </c>
      <c r="BS4" s="7" t="inlineStr">
        <is>
          <t>BES_TR2_six431_C</t>
        </is>
      </c>
      <c r="BT4" s="7" t="inlineStr">
        <is>
          <t>BES_TR2_six484_B</t>
        </is>
      </c>
      <c r="BU4" s="7" t="inlineStr">
        <is>
          <t>BES_TR2_six512_B</t>
        </is>
      </c>
      <c r="BV4" s="7" t="inlineStr">
        <is>
          <t>BES_TR2_six518_B</t>
        </is>
      </c>
      <c r="BW4" s="7" t="inlineStr">
        <is>
          <t>BES_TR2_six523_C</t>
        </is>
      </c>
      <c r="BX4" s="7" t="inlineStr">
        <is>
          <t>BES_TR2_six571_C</t>
        </is>
      </c>
      <c r="BY4" s="7" t="inlineStr">
        <is>
          <t>BES_TR2_six583_A</t>
        </is>
      </c>
      <c r="BZ4" s="7" t="inlineStr">
        <is>
          <t>BES_TR2_six625_A</t>
        </is>
      </c>
      <c r="CA4" s="7" t="inlineStr">
        <is>
          <t>BES_TR2_six646_B</t>
        </is>
      </c>
      <c r="CB4" s="7" t="inlineStr">
        <is>
          <t>BES_TR2_six87_A</t>
        </is>
      </c>
      <c r="CC4" s="7" t="inlineStr">
        <is>
          <t>BES_TR2_six652_A</t>
        </is>
      </c>
      <c r="CD4" s="7" t="inlineStr">
        <is>
          <t>BES_TR2_six665_B</t>
        </is>
      </c>
      <c r="CE4" s="7" t="inlineStr">
        <is>
          <t>BES_TR2_six667_A</t>
        </is>
      </c>
      <c r="CF4" s="7" t="inlineStr">
        <is>
          <t>BES_TR2_six721_A</t>
        </is>
      </c>
      <c r="CG4" s="7" t="inlineStr">
        <is>
          <t>BES_TR2_six740_A</t>
        </is>
      </c>
      <c r="CH4" s="7" t="inlineStr">
        <is>
          <t>BES_TR2_six758_B</t>
        </is>
      </c>
      <c r="CI4" s="7" t="inlineStr">
        <is>
          <t>BES_TR2_six784_B</t>
        </is>
      </c>
      <c r="CJ4" s="7" t="inlineStr">
        <is>
          <t>BES_TR2_six799_B</t>
        </is>
      </c>
      <c r="CK4" s="7" t="inlineStr">
        <is>
          <t>BES_TR2_six807_A</t>
        </is>
      </c>
      <c r="CL4" s="7" t="inlineStr">
        <is>
          <t>BES_TR2_six885_A</t>
        </is>
      </c>
      <c r="CM4" s="7" t="inlineStr">
        <is>
          <t>BES_TR2_six894_B</t>
        </is>
      </c>
      <c r="CN4" s="7" t="inlineStr">
        <is>
          <t>BES_TR2_six914_A</t>
        </is>
      </c>
      <c r="CO4" s="7" t="inlineStr">
        <is>
          <t>BES_TR2_six921_B</t>
        </is>
      </c>
      <c r="CP4" s="7" t="inlineStr">
        <is>
          <t>BES_TR2_six929_A</t>
        </is>
      </c>
      <c r="CQ4" s="7" t="inlineStr">
        <is>
          <t>BES_TR2_six938_A</t>
        </is>
      </c>
      <c r="CR4" s="7" t="inlineStr">
        <is>
          <t>BES_TR2_six990_B</t>
        </is>
      </c>
      <c r="CS4" s="7" t="inlineStr">
        <is>
          <t>BES_TR2_six1020_A</t>
        </is>
      </c>
    </row>
    <row r="5">
      <c r="A5" s="10" t="n">
        <v>1</v>
      </c>
      <c r="B5" s="10" t="n">
        <v>0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  <c r="Z5" s="20" t="n">
        <v>0</v>
      </c>
      <c r="AA5" s="20" t="n">
        <v>0</v>
      </c>
      <c r="AB5" s="20" t="n">
        <v>0</v>
      </c>
      <c r="AC5" s="20" t="n">
        <v>0</v>
      </c>
      <c r="AD5" s="20" t="n">
        <v>0</v>
      </c>
      <c r="AE5" s="20" t="n">
        <v>0</v>
      </c>
      <c r="AF5" s="20" t="n">
        <v>0</v>
      </c>
      <c r="AG5" s="20" t="n">
        <v>0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  <c r="AN5" s="20" t="n">
        <v>0</v>
      </c>
      <c r="AO5" s="20" t="n">
        <v>0</v>
      </c>
      <c r="AP5" s="20" t="n">
        <v>0</v>
      </c>
      <c r="AQ5" s="20" t="n">
        <v>0</v>
      </c>
      <c r="AR5" s="20" t="n">
        <v>0</v>
      </c>
      <c r="AS5" s="20" t="n">
        <v>0</v>
      </c>
      <c r="AT5" s="20" t="n">
        <v>0</v>
      </c>
      <c r="AU5" s="20" t="n">
        <v>0</v>
      </c>
      <c r="AV5" s="20" t="n">
        <v>0</v>
      </c>
      <c r="AW5" s="20" t="n">
        <v>0</v>
      </c>
      <c r="AX5" s="20" t="n">
        <v>0</v>
      </c>
      <c r="AY5" s="20" t="n">
        <v>0</v>
      </c>
      <c r="AZ5" s="20" t="n">
        <v>0</v>
      </c>
      <c r="BA5" s="20" t="n">
        <v>0</v>
      </c>
      <c r="BB5" s="20" t="n">
        <v>0</v>
      </c>
      <c r="BC5" s="20" t="n">
        <v>0</v>
      </c>
      <c r="BD5" s="20" t="n">
        <v>0</v>
      </c>
      <c r="BE5" s="20" t="n">
        <v>0</v>
      </c>
      <c r="BF5" s="20" t="n">
        <v>0</v>
      </c>
      <c r="BG5" s="20" t="n">
        <v>0</v>
      </c>
      <c r="BH5" s="20" t="n">
        <v>0</v>
      </c>
      <c r="BI5" s="20" t="n">
        <v>0</v>
      </c>
      <c r="BJ5" s="20" t="n">
        <v>0</v>
      </c>
      <c r="BK5" s="20" t="n">
        <v>0</v>
      </c>
      <c r="BL5" s="20" t="n">
        <v>0</v>
      </c>
      <c r="BM5" s="20" t="n">
        <v>0</v>
      </c>
      <c r="BN5" s="20" t="n">
        <v>0</v>
      </c>
      <c r="BO5" s="20" t="n">
        <v>0</v>
      </c>
      <c r="BP5" s="20" t="n">
        <v>0</v>
      </c>
      <c r="BQ5" s="20" t="n">
        <v>0</v>
      </c>
      <c r="BR5" s="20" t="n">
        <v>0</v>
      </c>
      <c r="BS5" s="20" t="n">
        <v>0</v>
      </c>
      <c r="BT5" s="20" t="n">
        <v>0</v>
      </c>
      <c r="BU5" s="20" t="n">
        <v>0</v>
      </c>
      <c r="BV5" s="20" t="n">
        <v>0</v>
      </c>
      <c r="BW5" s="20" t="n">
        <v>0</v>
      </c>
      <c r="BX5" s="20" t="n">
        <v>0</v>
      </c>
      <c r="BY5" s="20" t="n">
        <v>0</v>
      </c>
      <c r="BZ5" s="20" t="n">
        <v>0</v>
      </c>
      <c r="CA5" s="20" t="n">
        <v>0</v>
      </c>
      <c r="CB5" s="20" t="n">
        <v>0</v>
      </c>
      <c r="CC5" s="20" t="n">
        <v>0</v>
      </c>
      <c r="CD5" s="20" t="n">
        <v>0</v>
      </c>
      <c r="CE5" s="20" t="n">
        <v>0</v>
      </c>
      <c r="CF5" s="20" t="n">
        <v>0</v>
      </c>
      <c r="CG5" s="20" t="n">
        <v>0</v>
      </c>
      <c r="CH5" s="20" t="n">
        <v>0</v>
      </c>
      <c r="CI5" s="20" t="n">
        <v>0</v>
      </c>
      <c r="CJ5" s="20" t="n">
        <v>0</v>
      </c>
      <c r="CK5" s="20" t="n">
        <v>0</v>
      </c>
      <c r="CL5" s="20" t="n">
        <v>0</v>
      </c>
      <c r="CM5" s="20" t="n">
        <v>0</v>
      </c>
      <c r="CN5" s="20" t="n">
        <v>0</v>
      </c>
      <c r="CO5" s="20" t="n">
        <v>0</v>
      </c>
      <c r="CP5" s="20" t="n">
        <v>0</v>
      </c>
      <c r="CQ5" s="20" t="n">
        <v>0</v>
      </c>
      <c r="CR5" s="20" t="n">
        <v>0</v>
      </c>
      <c r="CS5" s="20" t="n">
        <v>0</v>
      </c>
    </row>
    <row r="6">
      <c r="A6" s="10" t="n">
        <v>2</v>
      </c>
      <c r="B6" s="10" t="n">
        <v>0.5</v>
      </c>
      <c r="C6" s="20" t="n">
        <v>0</v>
      </c>
      <c r="D6" s="20" t="n">
        <v>0</v>
      </c>
      <c r="E6" s="20" t="n">
        <v>0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0</v>
      </c>
      <c r="V6" s="20" t="n">
        <v>0</v>
      </c>
      <c r="W6" s="20" t="n">
        <v>0</v>
      </c>
      <c r="X6" s="20" t="n">
        <v>0</v>
      </c>
      <c r="Y6" s="20" t="n">
        <v>0</v>
      </c>
      <c r="Z6" s="20" t="n">
        <v>0</v>
      </c>
      <c r="AA6" s="20" t="n">
        <v>0</v>
      </c>
      <c r="AB6" s="20" t="n">
        <v>0</v>
      </c>
      <c r="AC6" s="20" t="n">
        <v>0</v>
      </c>
      <c r="AD6" s="20" t="n">
        <v>0</v>
      </c>
      <c r="AE6" s="20" t="n">
        <v>0</v>
      </c>
      <c r="AF6" s="20" t="n">
        <v>0</v>
      </c>
      <c r="AG6" s="20" t="n">
        <v>0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0" t="n">
        <v>0</v>
      </c>
      <c r="AP6" s="20" t="n">
        <v>0</v>
      </c>
      <c r="AQ6" s="20" t="n">
        <v>0</v>
      </c>
      <c r="AR6" s="20" t="n">
        <v>0</v>
      </c>
      <c r="AS6" s="20" t="n">
        <v>0</v>
      </c>
      <c r="AT6" s="20" t="n">
        <v>0</v>
      </c>
      <c r="AU6" s="20" t="n">
        <v>0</v>
      </c>
      <c r="AV6" s="20" t="n">
        <v>0</v>
      </c>
      <c r="AW6" s="20" t="n">
        <v>0</v>
      </c>
      <c r="AX6" s="20" t="n">
        <v>0</v>
      </c>
      <c r="AY6" s="20" t="n">
        <v>0</v>
      </c>
      <c r="AZ6" s="20" t="n">
        <v>0</v>
      </c>
      <c r="BA6" s="20" t="n">
        <v>0</v>
      </c>
      <c r="BB6" s="20" t="n">
        <v>0</v>
      </c>
      <c r="BC6" s="20" t="n">
        <v>0</v>
      </c>
      <c r="BD6" s="20" t="n">
        <v>0</v>
      </c>
      <c r="BE6" s="20" t="n">
        <v>0</v>
      </c>
      <c r="BF6" s="20" t="n">
        <v>0</v>
      </c>
      <c r="BG6" s="20" t="n">
        <v>0</v>
      </c>
      <c r="BH6" s="20" t="n">
        <v>0</v>
      </c>
      <c r="BI6" s="20" t="n">
        <v>0</v>
      </c>
      <c r="BJ6" s="20" t="n">
        <v>0</v>
      </c>
      <c r="BK6" s="20" t="n">
        <v>0</v>
      </c>
      <c r="BL6" s="20" t="n">
        <v>0</v>
      </c>
      <c r="BM6" s="20" t="n">
        <v>0</v>
      </c>
      <c r="BN6" s="20" t="n">
        <v>0</v>
      </c>
      <c r="BO6" s="20" t="n">
        <v>0</v>
      </c>
      <c r="BP6" s="20" t="n">
        <v>0</v>
      </c>
      <c r="BQ6" s="20" t="n">
        <v>0</v>
      </c>
      <c r="BR6" s="20" t="n">
        <v>0</v>
      </c>
      <c r="BS6" s="20" t="n">
        <v>0</v>
      </c>
      <c r="BT6" s="20" t="n">
        <v>0</v>
      </c>
      <c r="BU6" s="20" t="n">
        <v>0</v>
      </c>
      <c r="BV6" s="20" t="n">
        <v>0</v>
      </c>
      <c r="BW6" s="20" t="n">
        <v>0</v>
      </c>
      <c r="BX6" s="20" t="n">
        <v>0</v>
      </c>
      <c r="BY6" s="20" t="n">
        <v>0</v>
      </c>
      <c r="BZ6" s="20" t="n">
        <v>0</v>
      </c>
      <c r="CA6" s="20" t="n">
        <v>0</v>
      </c>
      <c r="CB6" s="20" t="n">
        <v>0</v>
      </c>
      <c r="CC6" s="20" t="n">
        <v>0</v>
      </c>
      <c r="CD6" s="20" t="n">
        <v>0</v>
      </c>
      <c r="CE6" s="20" t="n">
        <v>0</v>
      </c>
      <c r="CF6" s="20" t="n">
        <v>0</v>
      </c>
      <c r="CG6" s="20" t="n">
        <v>0</v>
      </c>
      <c r="CH6" s="20" t="n">
        <v>0</v>
      </c>
      <c r="CI6" s="20" t="n">
        <v>0</v>
      </c>
      <c r="CJ6" s="20" t="n">
        <v>0</v>
      </c>
      <c r="CK6" s="20" t="n">
        <v>0</v>
      </c>
      <c r="CL6" s="20" t="n">
        <v>0</v>
      </c>
      <c r="CM6" s="20" t="n">
        <v>0</v>
      </c>
      <c r="CN6" s="20" t="n">
        <v>0</v>
      </c>
      <c r="CO6" s="20" t="n">
        <v>0</v>
      </c>
      <c r="CP6" s="20" t="n">
        <v>0</v>
      </c>
      <c r="CQ6" s="20" t="n">
        <v>0</v>
      </c>
      <c r="CR6" s="20" t="n">
        <v>0</v>
      </c>
      <c r="CS6" s="20" t="n">
        <v>0</v>
      </c>
    </row>
    <row r="7">
      <c r="A7" s="10" t="n">
        <v>3</v>
      </c>
      <c r="B7" s="10" t="n">
        <v>1</v>
      </c>
      <c r="C7" s="20" t="n">
        <v>0</v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0</v>
      </c>
      <c r="AB7" s="20" t="n">
        <v>0</v>
      </c>
      <c r="AC7" s="20" t="n">
        <v>0</v>
      </c>
      <c r="AD7" s="20" t="n">
        <v>0</v>
      </c>
      <c r="AE7" s="20" t="n">
        <v>0</v>
      </c>
      <c r="AF7" s="20" t="n">
        <v>0</v>
      </c>
      <c r="AG7" s="20" t="n">
        <v>0</v>
      </c>
      <c r="AH7" s="20" t="n">
        <v>0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0" t="n">
        <v>0</v>
      </c>
      <c r="AP7" s="20" t="n">
        <v>0</v>
      </c>
      <c r="AQ7" s="20" t="n">
        <v>0</v>
      </c>
      <c r="AR7" s="20" t="n">
        <v>0</v>
      </c>
      <c r="AS7" s="20" t="n">
        <v>0</v>
      </c>
      <c r="AT7" s="20" t="n">
        <v>0</v>
      </c>
      <c r="AU7" s="20" t="n">
        <v>0</v>
      </c>
      <c r="AV7" s="20" t="n">
        <v>0</v>
      </c>
      <c r="AW7" s="20" t="n">
        <v>0</v>
      </c>
      <c r="AX7" s="20" t="n">
        <v>0</v>
      </c>
      <c r="AY7" s="20" t="n">
        <v>0</v>
      </c>
      <c r="AZ7" s="20" t="n">
        <v>0</v>
      </c>
      <c r="BA7" s="20" t="n">
        <v>0</v>
      </c>
      <c r="BB7" s="20" t="n">
        <v>0</v>
      </c>
      <c r="BC7" s="20" t="n">
        <v>0</v>
      </c>
      <c r="BD7" s="20" t="n">
        <v>0</v>
      </c>
      <c r="BE7" s="20" t="n">
        <v>0</v>
      </c>
      <c r="BF7" s="20" t="n">
        <v>0</v>
      </c>
      <c r="BG7" s="20" t="n">
        <v>0</v>
      </c>
      <c r="BH7" s="20" t="n">
        <v>0</v>
      </c>
      <c r="BI7" s="20" t="n">
        <v>0</v>
      </c>
      <c r="BJ7" s="20" t="n">
        <v>0</v>
      </c>
      <c r="BK7" s="20" t="n">
        <v>0</v>
      </c>
      <c r="BL7" s="20" t="n">
        <v>0</v>
      </c>
      <c r="BM7" s="20" t="n">
        <v>0</v>
      </c>
      <c r="BN7" s="20" t="n">
        <v>0</v>
      </c>
      <c r="BO7" s="20" t="n">
        <v>0</v>
      </c>
      <c r="BP7" s="20" t="n">
        <v>0</v>
      </c>
      <c r="BQ7" s="20" t="n">
        <v>0</v>
      </c>
      <c r="BR7" s="20" t="n">
        <v>0</v>
      </c>
      <c r="BS7" s="20" t="n">
        <v>0</v>
      </c>
      <c r="BT7" s="20" t="n">
        <v>0</v>
      </c>
      <c r="BU7" s="20" t="n">
        <v>0</v>
      </c>
      <c r="BV7" s="20" t="n">
        <v>0</v>
      </c>
      <c r="BW7" s="20" t="n">
        <v>0</v>
      </c>
      <c r="BX7" s="20" t="n">
        <v>0</v>
      </c>
      <c r="BY7" s="20" t="n">
        <v>0</v>
      </c>
      <c r="BZ7" s="20" t="n">
        <v>0</v>
      </c>
      <c r="CA7" s="20" t="n">
        <v>0</v>
      </c>
      <c r="CB7" s="20" t="n">
        <v>0</v>
      </c>
      <c r="CC7" s="20" t="n">
        <v>0</v>
      </c>
      <c r="CD7" s="20" t="n">
        <v>0</v>
      </c>
      <c r="CE7" s="20" t="n">
        <v>0</v>
      </c>
      <c r="CF7" s="20" t="n">
        <v>0</v>
      </c>
      <c r="CG7" s="20" t="n">
        <v>0</v>
      </c>
      <c r="CH7" s="20" t="n">
        <v>0</v>
      </c>
      <c r="CI7" s="20" t="n">
        <v>0</v>
      </c>
      <c r="CJ7" s="20" t="n">
        <v>0</v>
      </c>
      <c r="CK7" s="20" t="n">
        <v>0</v>
      </c>
      <c r="CL7" s="20" t="n">
        <v>0</v>
      </c>
      <c r="CM7" s="20" t="n">
        <v>0</v>
      </c>
      <c r="CN7" s="20" t="n">
        <v>0</v>
      </c>
      <c r="CO7" s="20" t="n">
        <v>0</v>
      </c>
      <c r="CP7" s="20" t="n">
        <v>0</v>
      </c>
      <c r="CQ7" s="20" t="n">
        <v>0</v>
      </c>
      <c r="CR7" s="20" t="n">
        <v>0</v>
      </c>
      <c r="CS7" s="20" t="n">
        <v>0</v>
      </c>
    </row>
    <row r="8">
      <c r="A8" s="10" t="n">
        <v>4</v>
      </c>
      <c r="B8" s="10" t="n">
        <v>1.5</v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>
        <v>0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0" t="n">
        <v>0</v>
      </c>
      <c r="AP8" s="20" t="n">
        <v>0</v>
      </c>
      <c r="AQ8" s="20" t="n">
        <v>0</v>
      </c>
      <c r="AR8" s="20" t="n">
        <v>0</v>
      </c>
      <c r="AS8" s="20" t="n">
        <v>0</v>
      </c>
      <c r="AT8" s="20" t="n">
        <v>0</v>
      </c>
      <c r="AU8" s="20" t="n">
        <v>0</v>
      </c>
      <c r="AV8" s="20" t="n">
        <v>0</v>
      </c>
      <c r="AW8" s="20" t="n">
        <v>0</v>
      </c>
      <c r="AX8" s="20" t="n">
        <v>0</v>
      </c>
      <c r="AY8" s="20" t="n">
        <v>0</v>
      </c>
      <c r="AZ8" s="20" t="n">
        <v>0</v>
      </c>
      <c r="BA8" s="20" t="n">
        <v>0</v>
      </c>
      <c r="BB8" s="20" t="n">
        <v>0</v>
      </c>
      <c r="BC8" s="20" t="n">
        <v>0</v>
      </c>
      <c r="BD8" s="20" t="n">
        <v>0</v>
      </c>
      <c r="BE8" s="20" t="n">
        <v>0</v>
      </c>
      <c r="BF8" s="20" t="n">
        <v>0</v>
      </c>
      <c r="BG8" s="20" t="n">
        <v>0</v>
      </c>
      <c r="BH8" s="20" t="n">
        <v>0</v>
      </c>
      <c r="BI8" s="20" t="n">
        <v>0</v>
      </c>
      <c r="BJ8" s="20" t="n">
        <v>0</v>
      </c>
      <c r="BK8" s="20" t="n">
        <v>0</v>
      </c>
      <c r="BL8" s="20" t="n">
        <v>0</v>
      </c>
      <c r="BM8" s="20" t="n">
        <v>0</v>
      </c>
      <c r="BN8" s="20" t="n">
        <v>0</v>
      </c>
      <c r="BO8" s="20" t="n">
        <v>0</v>
      </c>
      <c r="BP8" s="20" t="n">
        <v>0</v>
      </c>
      <c r="BQ8" s="20" t="n">
        <v>0</v>
      </c>
      <c r="BR8" s="20" t="n">
        <v>0</v>
      </c>
      <c r="BS8" s="20" t="n">
        <v>0</v>
      </c>
      <c r="BT8" s="20" t="n">
        <v>0</v>
      </c>
      <c r="BU8" s="20" t="n">
        <v>0</v>
      </c>
      <c r="BV8" s="20" t="n">
        <v>0</v>
      </c>
      <c r="BW8" s="20" t="n">
        <v>0</v>
      </c>
      <c r="BX8" s="20" t="n">
        <v>0</v>
      </c>
      <c r="BY8" s="20" t="n">
        <v>0</v>
      </c>
      <c r="BZ8" s="20" t="n">
        <v>0</v>
      </c>
      <c r="CA8" s="20" t="n">
        <v>0</v>
      </c>
      <c r="CB8" s="20" t="n">
        <v>0</v>
      </c>
      <c r="CC8" s="20" t="n">
        <v>0</v>
      </c>
      <c r="CD8" s="20" t="n">
        <v>0</v>
      </c>
      <c r="CE8" s="20" t="n">
        <v>0</v>
      </c>
      <c r="CF8" s="20" t="n">
        <v>0</v>
      </c>
      <c r="CG8" s="20" t="n">
        <v>0</v>
      </c>
      <c r="CH8" s="20" t="n">
        <v>0</v>
      </c>
      <c r="CI8" s="20" t="n">
        <v>0</v>
      </c>
      <c r="CJ8" s="20" t="n">
        <v>0</v>
      </c>
      <c r="CK8" s="20" t="n">
        <v>0</v>
      </c>
      <c r="CL8" s="20" t="n">
        <v>0</v>
      </c>
      <c r="CM8" s="20" t="n">
        <v>0</v>
      </c>
      <c r="CN8" s="20" t="n">
        <v>0</v>
      </c>
      <c r="CO8" s="20" t="n">
        <v>0</v>
      </c>
      <c r="CP8" s="20" t="n">
        <v>0</v>
      </c>
      <c r="CQ8" s="20" t="n">
        <v>0</v>
      </c>
      <c r="CR8" s="20" t="n">
        <v>0</v>
      </c>
      <c r="CS8" s="20" t="n">
        <v>0</v>
      </c>
    </row>
    <row r="9">
      <c r="A9" s="10" t="n">
        <v>5</v>
      </c>
      <c r="B9" s="10" t="n">
        <v>2</v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0" t="n">
        <v>0</v>
      </c>
      <c r="AP9" s="20" t="n">
        <v>0</v>
      </c>
      <c r="AQ9" s="20" t="n">
        <v>0</v>
      </c>
      <c r="AR9" s="20" t="n">
        <v>0</v>
      </c>
      <c r="AS9" s="20" t="n">
        <v>0</v>
      </c>
      <c r="AT9" s="20" t="n">
        <v>0</v>
      </c>
      <c r="AU9" s="20" t="n">
        <v>0</v>
      </c>
      <c r="AV9" s="20" t="n">
        <v>0</v>
      </c>
      <c r="AW9" s="20" t="n">
        <v>0</v>
      </c>
      <c r="AX9" s="20" t="n">
        <v>0</v>
      </c>
      <c r="AY9" s="20" t="n">
        <v>0</v>
      </c>
      <c r="AZ9" s="20" t="n">
        <v>0</v>
      </c>
      <c r="BA9" s="20" t="n">
        <v>0</v>
      </c>
      <c r="BB9" s="20" t="n">
        <v>0</v>
      </c>
      <c r="BC9" s="20" t="n">
        <v>0</v>
      </c>
      <c r="BD9" s="20" t="n">
        <v>0</v>
      </c>
      <c r="BE9" s="20" t="n">
        <v>0</v>
      </c>
      <c r="BF9" s="20" t="n">
        <v>0</v>
      </c>
      <c r="BG9" s="20" t="n">
        <v>0</v>
      </c>
      <c r="BH9" s="20" t="n">
        <v>0</v>
      </c>
      <c r="BI9" s="20" t="n">
        <v>0</v>
      </c>
      <c r="BJ9" s="20" t="n">
        <v>0</v>
      </c>
      <c r="BK9" s="20" t="n">
        <v>0</v>
      </c>
      <c r="BL9" s="20" t="n">
        <v>0</v>
      </c>
      <c r="BM9" s="20" t="n">
        <v>0</v>
      </c>
      <c r="BN9" s="20" t="n">
        <v>0</v>
      </c>
      <c r="BO9" s="20" t="n">
        <v>0</v>
      </c>
      <c r="BP9" s="20" t="n">
        <v>0</v>
      </c>
      <c r="BQ9" s="20" t="n">
        <v>0</v>
      </c>
      <c r="BR9" s="20" t="n">
        <v>0</v>
      </c>
      <c r="BS9" s="20" t="n">
        <v>0</v>
      </c>
      <c r="BT9" s="20" t="n">
        <v>0</v>
      </c>
      <c r="BU9" s="20" t="n">
        <v>0</v>
      </c>
      <c r="BV9" s="20" t="n">
        <v>0</v>
      </c>
      <c r="BW9" s="20" t="n">
        <v>0</v>
      </c>
      <c r="BX9" s="20" t="n">
        <v>0</v>
      </c>
      <c r="BY9" s="20" t="n">
        <v>0</v>
      </c>
      <c r="BZ9" s="20" t="n">
        <v>0</v>
      </c>
      <c r="CA9" s="20" t="n">
        <v>0</v>
      </c>
      <c r="CB9" s="20" t="n">
        <v>0</v>
      </c>
      <c r="CC9" s="20" t="n">
        <v>0</v>
      </c>
      <c r="CD9" s="20" t="n">
        <v>0</v>
      </c>
      <c r="CE9" s="20" t="n">
        <v>0</v>
      </c>
      <c r="CF9" s="20" t="n">
        <v>0</v>
      </c>
      <c r="CG9" s="20" t="n">
        <v>0</v>
      </c>
      <c r="CH9" s="20" t="n">
        <v>0</v>
      </c>
      <c r="CI9" s="20" t="n">
        <v>0</v>
      </c>
      <c r="CJ9" s="20" t="n">
        <v>0</v>
      </c>
      <c r="CK9" s="20" t="n">
        <v>0</v>
      </c>
      <c r="CL9" s="20" t="n">
        <v>0</v>
      </c>
      <c r="CM9" s="20" t="n">
        <v>0</v>
      </c>
      <c r="CN9" s="20" t="n">
        <v>0</v>
      </c>
      <c r="CO9" s="20" t="n">
        <v>0</v>
      </c>
      <c r="CP9" s="20" t="n">
        <v>0</v>
      </c>
      <c r="CQ9" s="20" t="n">
        <v>0</v>
      </c>
      <c r="CR9" s="20" t="n">
        <v>0</v>
      </c>
      <c r="CS9" s="20" t="n">
        <v>0</v>
      </c>
    </row>
    <row r="10">
      <c r="A10" s="10" t="n">
        <v>6</v>
      </c>
      <c r="B10" s="10" t="n">
        <v>2.5</v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  <c r="AZ10" s="20" t="n">
        <v>0</v>
      </c>
      <c r="BA10" s="20" t="n">
        <v>0</v>
      </c>
      <c r="BB10" s="20" t="n">
        <v>0</v>
      </c>
      <c r="BC10" s="20" t="n">
        <v>0</v>
      </c>
      <c r="BD10" s="20" t="n">
        <v>0</v>
      </c>
      <c r="BE10" s="20" t="n">
        <v>0</v>
      </c>
      <c r="BF10" s="20" t="n">
        <v>0</v>
      </c>
      <c r="BG10" s="20" t="n">
        <v>0</v>
      </c>
      <c r="BH10" s="20" t="n">
        <v>0</v>
      </c>
      <c r="BI10" s="20" t="n">
        <v>0</v>
      </c>
      <c r="BJ10" s="20" t="n">
        <v>0</v>
      </c>
      <c r="BK10" s="20" t="n">
        <v>0</v>
      </c>
      <c r="BL10" s="20" t="n">
        <v>0</v>
      </c>
      <c r="BM10" s="20" t="n">
        <v>0</v>
      </c>
      <c r="BN10" s="20" t="n">
        <v>0</v>
      </c>
      <c r="BO10" s="20" t="n">
        <v>0</v>
      </c>
      <c r="BP10" s="20" t="n">
        <v>0</v>
      </c>
      <c r="BQ10" s="20" t="n">
        <v>0</v>
      </c>
      <c r="BR10" s="20" t="n">
        <v>0</v>
      </c>
      <c r="BS10" s="20" t="n">
        <v>0</v>
      </c>
      <c r="BT10" s="20" t="n">
        <v>0</v>
      </c>
      <c r="BU10" s="20" t="n">
        <v>0</v>
      </c>
      <c r="BV10" s="20" t="n">
        <v>0</v>
      </c>
      <c r="BW10" s="20" t="n">
        <v>0</v>
      </c>
      <c r="BX10" s="20" t="n">
        <v>0</v>
      </c>
      <c r="BY10" s="20" t="n">
        <v>0</v>
      </c>
      <c r="BZ10" s="20" t="n">
        <v>0</v>
      </c>
      <c r="CA10" s="20" t="n">
        <v>0</v>
      </c>
      <c r="CB10" s="20" t="n">
        <v>0</v>
      </c>
      <c r="CC10" s="20" t="n">
        <v>0</v>
      </c>
      <c r="CD10" s="20" t="n">
        <v>0</v>
      </c>
      <c r="CE10" s="20" t="n">
        <v>0</v>
      </c>
      <c r="CF10" s="20" t="n">
        <v>0</v>
      </c>
      <c r="CG10" s="20" t="n">
        <v>0</v>
      </c>
      <c r="CH10" s="20" t="n">
        <v>0</v>
      </c>
      <c r="CI10" s="20" t="n">
        <v>0</v>
      </c>
      <c r="CJ10" s="20" t="n">
        <v>0</v>
      </c>
      <c r="CK10" s="20" t="n">
        <v>0</v>
      </c>
      <c r="CL10" s="20" t="n">
        <v>0</v>
      </c>
      <c r="CM10" s="20" t="n">
        <v>0</v>
      </c>
      <c r="CN10" s="20" t="n">
        <v>0</v>
      </c>
      <c r="CO10" s="20" t="n">
        <v>0</v>
      </c>
      <c r="CP10" s="20" t="n">
        <v>0</v>
      </c>
      <c r="CQ10" s="20" t="n">
        <v>0</v>
      </c>
      <c r="CR10" s="20" t="n">
        <v>0</v>
      </c>
      <c r="CS10" s="20" t="n">
        <v>0</v>
      </c>
    </row>
    <row r="11">
      <c r="A11" s="10" t="n">
        <v>7</v>
      </c>
      <c r="B11" s="10" t="n">
        <v>3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  <c r="AZ11" s="20" t="n">
        <v>0</v>
      </c>
      <c r="BA11" s="20" t="n">
        <v>0</v>
      </c>
      <c r="BB11" s="20" t="n">
        <v>0</v>
      </c>
      <c r="BC11" s="20" t="n">
        <v>0</v>
      </c>
      <c r="BD11" s="20" t="n">
        <v>0</v>
      </c>
      <c r="BE11" s="20" t="n">
        <v>0</v>
      </c>
      <c r="BF11" s="20" t="n">
        <v>0</v>
      </c>
      <c r="BG11" s="20" t="n">
        <v>0</v>
      </c>
      <c r="BH11" s="20" t="n">
        <v>0</v>
      </c>
      <c r="BI11" s="20" t="n">
        <v>0</v>
      </c>
      <c r="BJ11" s="20" t="n">
        <v>0</v>
      </c>
      <c r="BK11" s="20" t="n">
        <v>0</v>
      </c>
      <c r="BL11" s="20" t="n">
        <v>0</v>
      </c>
      <c r="BM11" s="20" t="n">
        <v>0</v>
      </c>
      <c r="BN11" s="20" t="n">
        <v>0</v>
      </c>
      <c r="BO11" s="20" t="n">
        <v>0</v>
      </c>
      <c r="BP11" s="20" t="n">
        <v>0</v>
      </c>
      <c r="BQ11" s="20" t="n">
        <v>0</v>
      </c>
      <c r="BR11" s="20" t="n">
        <v>0</v>
      </c>
      <c r="BS11" s="20" t="n">
        <v>0</v>
      </c>
      <c r="BT11" s="20" t="n">
        <v>0</v>
      </c>
      <c r="BU11" s="20" t="n">
        <v>0</v>
      </c>
      <c r="BV11" s="20" t="n">
        <v>0</v>
      </c>
      <c r="BW11" s="20" t="n">
        <v>0</v>
      </c>
      <c r="BX11" s="20" t="n">
        <v>0</v>
      </c>
      <c r="BY11" s="20" t="n">
        <v>0</v>
      </c>
      <c r="BZ11" s="20" t="n">
        <v>0</v>
      </c>
      <c r="CA11" s="20" t="n">
        <v>0</v>
      </c>
      <c r="CB11" s="20" t="n">
        <v>0</v>
      </c>
      <c r="CC11" s="20" t="n">
        <v>0</v>
      </c>
      <c r="CD11" s="20" t="n">
        <v>0</v>
      </c>
      <c r="CE11" s="20" t="n">
        <v>0</v>
      </c>
      <c r="CF11" s="20" t="n">
        <v>0</v>
      </c>
      <c r="CG11" s="20" t="n">
        <v>0</v>
      </c>
      <c r="CH11" s="20" t="n">
        <v>0</v>
      </c>
      <c r="CI11" s="20" t="n">
        <v>0</v>
      </c>
      <c r="CJ11" s="20" t="n">
        <v>0</v>
      </c>
      <c r="CK11" s="20" t="n">
        <v>0</v>
      </c>
      <c r="CL11" s="20" t="n">
        <v>0</v>
      </c>
      <c r="CM11" s="20" t="n">
        <v>0</v>
      </c>
      <c r="CN11" s="20" t="n">
        <v>0</v>
      </c>
      <c r="CO11" s="20" t="n">
        <v>0</v>
      </c>
      <c r="CP11" s="20" t="n">
        <v>0</v>
      </c>
      <c r="CQ11" s="20" t="n">
        <v>0</v>
      </c>
      <c r="CR11" s="20" t="n">
        <v>0</v>
      </c>
      <c r="CS11" s="20" t="n">
        <v>0</v>
      </c>
    </row>
    <row r="12">
      <c r="A12" s="10" t="n">
        <v>8</v>
      </c>
      <c r="B12" s="10" t="n">
        <v>3.5</v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0</v>
      </c>
      <c r="U12" s="20" t="n">
        <v>0</v>
      </c>
      <c r="V12" s="20" t="n">
        <v>0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0" t="n">
        <v>0</v>
      </c>
      <c r="AP12" s="20" t="n">
        <v>0</v>
      </c>
      <c r="AQ12" s="20" t="n">
        <v>0</v>
      </c>
      <c r="AR12" s="20" t="n">
        <v>0</v>
      </c>
      <c r="AS12" s="20" t="n">
        <v>0</v>
      </c>
      <c r="AT12" s="20" t="n">
        <v>0</v>
      </c>
      <c r="AU12" s="20" t="n">
        <v>0</v>
      </c>
      <c r="AV12" s="20" t="n">
        <v>0</v>
      </c>
      <c r="AW12" s="20" t="n">
        <v>0</v>
      </c>
      <c r="AX12" s="20" t="n">
        <v>0</v>
      </c>
      <c r="AY12" s="20" t="n">
        <v>0</v>
      </c>
      <c r="AZ12" s="20" t="n">
        <v>0</v>
      </c>
      <c r="BA12" s="20" t="n">
        <v>0</v>
      </c>
      <c r="BB12" s="20" t="n">
        <v>0</v>
      </c>
      <c r="BC12" s="20" t="n">
        <v>0</v>
      </c>
      <c r="BD12" s="20" t="n">
        <v>0</v>
      </c>
      <c r="BE12" s="20" t="n">
        <v>0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0" t="n">
        <v>0</v>
      </c>
      <c r="BM12" s="20" t="n">
        <v>0</v>
      </c>
      <c r="BN12" s="20" t="n">
        <v>0</v>
      </c>
      <c r="BO12" s="20" t="n">
        <v>0</v>
      </c>
      <c r="BP12" s="20" t="n">
        <v>0</v>
      </c>
      <c r="BQ12" s="20" t="n">
        <v>0</v>
      </c>
      <c r="BR12" s="20" t="n">
        <v>0</v>
      </c>
      <c r="BS12" s="20" t="n">
        <v>0</v>
      </c>
      <c r="BT12" s="20" t="n">
        <v>0</v>
      </c>
      <c r="BU12" s="20" t="n">
        <v>0</v>
      </c>
      <c r="BV12" s="20" t="n">
        <v>0</v>
      </c>
      <c r="BW12" s="20" t="n">
        <v>0</v>
      </c>
      <c r="BX12" s="20" t="n">
        <v>0</v>
      </c>
      <c r="BY12" s="20" t="n">
        <v>0</v>
      </c>
      <c r="BZ12" s="20" t="n">
        <v>0</v>
      </c>
      <c r="CA12" s="20" t="n">
        <v>0</v>
      </c>
      <c r="CB12" s="20" t="n">
        <v>0</v>
      </c>
      <c r="CC12" s="20" t="n">
        <v>0</v>
      </c>
      <c r="CD12" s="20" t="n">
        <v>0</v>
      </c>
      <c r="CE12" s="20" t="n">
        <v>0</v>
      </c>
      <c r="CF12" s="20" t="n">
        <v>0</v>
      </c>
      <c r="CG12" s="20" t="n">
        <v>0</v>
      </c>
      <c r="CH12" s="20" t="n">
        <v>0</v>
      </c>
      <c r="CI12" s="20" t="n">
        <v>0</v>
      </c>
      <c r="CJ12" s="20" t="n">
        <v>0</v>
      </c>
      <c r="CK12" s="20" t="n">
        <v>0</v>
      </c>
      <c r="CL12" s="20" t="n">
        <v>0</v>
      </c>
      <c r="CM12" s="20" t="n">
        <v>0</v>
      </c>
      <c r="CN12" s="20" t="n">
        <v>0</v>
      </c>
      <c r="CO12" s="20" t="n">
        <v>0</v>
      </c>
      <c r="CP12" s="20" t="n">
        <v>0</v>
      </c>
      <c r="CQ12" s="20" t="n">
        <v>0</v>
      </c>
      <c r="CR12" s="20" t="n">
        <v>0</v>
      </c>
      <c r="CS12" s="20" t="n">
        <v>0</v>
      </c>
    </row>
    <row r="13">
      <c r="A13" s="10" t="n">
        <v>9</v>
      </c>
      <c r="B13" s="10" t="n">
        <v>4</v>
      </c>
      <c r="C13" s="20" t="n">
        <v>0</v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0.004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0</v>
      </c>
      <c r="V13" s="20" t="n">
        <v>0</v>
      </c>
      <c r="W13" s="20" t="n">
        <v>0.001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  <c r="AF13" s="20" t="n">
        <v>0</v>
      </c>
      <c r="AG13" s="20" t="n">
        <v>0.014</v>
      </c>
      <c r="AH13" s="20" t="n">
        <v>0</v>
      </c>
      <c r="AI13" s="20" t="n">
        <v>0</v>
      </c>
      <c r="AJ13" s="20" t="n">
        <v>0.001</v>
      </c>
      <c r="AK13" s="20" t="n">
        <v>0</v>
      </c>
      <c r="AL13" s="20" t="n">
        <v>0</v>
      </c>
      <c r="AM13" s="20" t="n">
        <v>0.002</v>
      </c>
      <c r="AN13" s="20" t="n">
        <v>0.004</v>
      </c>
      <c r="AO13" s="20" t="n">
        <v>0</v>
      </c>
      <c r="AP13" s="20" t="n">
        <v>0</v>
      </c>
      <c r="AQ13" s="20" t="n">
        <v>0</v>
      </c>
      <c r="AR13" s="20" t="n">
        <v>0</v>
      </c>
      <c r="AS13" s="20" t="n">
        <v>0</v>
      </c>
      <c r="AT13" s="20" t="n">
        <v>0</v>
      </c>
      <c r="AU13" s="20" t="n">
        <v>0</v>
      </c>
      <c r="AV13" s="20" t="n">
        <v>0</v>
      </c>
      <c r="AW13" s="20" t="n">
        <v>0</v>
      </c>
      <c r="AX13" s="20" t="n">
        <v>0</v>
      </c>
      <c r="AY13" s="20" t="n">
        <v>0</v>
      </c>
      <c r="AZ13" s="20" t="n">
        <v>0</v>
      </c>
      <c r="BA13" s="20" t="n">
        <v>0</v>
      </c>
      <c r="BB13" s="20" t="n">
        <v>0</v>
      </c>
      <c r="BC13" s="20" t="n">
        <v>0</v>
      </c>
      <c r="BD13" s="20" t="n">
        <v>0</v>
      </c>
      <c r="BE13" s="20" t="n">
        <v>0</v>
      </c>
      <c r="BF13" s="20" t="n">
        <v>0.002</v>
      </c>
      <c r="BG13" s="20" t="n">
        <v>0</v>
      </c>
      <c r="BH13" s="20" t="n">
        <v>0.021</v>
      </c>
      <c r="BI13" s="20" t="n">
        <v>0</v>
      </c>
      <c r="BJ13" s="20" t="n">
        <v>0</v>
      </c>
      <c r="BK13" s="20" t="n">
        <v>0</v>
      </c>
      <c r="BL13" s="20" t="n">
        <v>0</v>
      </c>
      <c r="BM13" s="20" t="n">
        <v>0.002</v>
      </c>
      <c r="BN13" s="20" t="n">
        <v>0</v>
      </c>
      <c r="BO13" s="20" t="n">
        <v>0</v>
      </c>
      <c r="BP13" s="20" t="n">
        <v>0</v>
      </c>
      <c r="BQ13" s="20" t="n">
        <v>0</v>
      </c>
      <c r="BR13" s="20" t="n">
        <v>0</v>
      </c>
      <c r="BS13" s="20" t="n">
        <v>0</v>
      </c>
      <c r="BT13" s="20" t="n">
        <v>0</v>
      </c>
      <c r="BU13" s="20" t="n">
        <v>0</v>
      </c>
      <c r="BV13" s="20" t="n">
        <v>0</v>
      </c>
      <c r="BW13" s="20" t="n">
        <v>0</v>
      </c>
      <c r="BX13" s="20" t="n">
        <v>0</v>
      </c>
      <c r="BY13" s="20" t="n">
        <v>0</v>
      </c>
      <c r="BZ13" s="20" t="n">
        <v>0</v>
      </c>
      <c r="CA13" s="20" t="n">
        <v>0</v>
      </c>
      <c r="CB13" s="20" t="n">
        <v>0</v>
      </c>
      <c r="CC13" s="20" t="n">
        <v>0</v>
      </c>
      <c r="CD13" s="20" t="n">
        <v>0</v>
      </c>
      <c r="CE13" s="20" t="n">
        <v>0</v>
      </c>
      <c r="CF13" s="20" t="n">
        <v>0</v>
      </c>
      <c r="CG13" s="20" t="n">
        <v>0</v>
      </c>
      <c r="CH13" s="20" t="n">
        <v>0</v>
      </c>
      <c r="CI13" s="20" t="n">
        <v>0</v>
      </c>
      <c r="CJ13" s="20" t="n">
        <v>0</v>
      </c>
      <c r="CK13" s="20" t="n">
        <v>0</v>
      </c>
      <c r="CL13" s="20" t="n">
        <v>0</v>
      </c>
      <c r="CM13" s="20" t="n">
        <v>0</v>
      </c>
      <c r="CN13" s="20" t="n">
        <v>0</v>
      </c>
      <c r="CO13" s="20" t="n">
        <v>0</v>
      </c>
      <c r="CP13" s="20" t="n">
        <v>0</v>
      </c>
      <c r="CQ13" s="20" t="n">
        <v>0</v>
      </c>
      <c r="CR13" s="20" t="n">
        <v>0</v>
      </c>
      <c r="CS13" s="20" t="n">
        <v>0</v>
      </c>
    </row>
    <row r="14">
      <c r="A14" s="10" t="n">
        <v>10</v>
      </c>
      <c r="B14" s="10" t="n">
        <v>4.5</v>
      </c>
      <c r="C14" s="20" t="n">
        <v>0.119</v>
      </c>
      <c r="D14" s="20" t="n">
        <v>0.19</v>
      </c>
      <c r="E14" s="20" t="n">
        <v>0.06</v>
      </c>
      <c r="F14" s="20" t="n">
        <v>0.176</v>
      </c>
      <c r="G14" s="20" t="n">
        <v>0.078</v>
      </c>
      <c r="H14" s="20" t="n">
        <v>0</v>
      </c>
      <c r="I14" s="20" t="n">
        <v>0.187</v>
      </c>
      <c r="J14" s="20" t="n">
        <v>0.119</v>
      </c>
      <c r="K14" s="20" t="n">
        <v>0.168</v>
      </c>
      <c r="L14" s="20" t="n">
        <v>0.192</v>
      </c>
      <c r="M14" s="20" t="n">
        <v>0.179</v>
      </c>
      <c r="N14" s="20" t="n">
        <v>0.092</v>
      </c>
      <c r="O14" s="20" t="n">
        <v>0</v>
      </c>
      <c r="P14" s="20" t="n">
        <v>0.101</v>
      </c>
      <c r="Q14" s="20" t="n">
        <v>0.033</v>
      </c>
      <c r="R14" s="20" t="n">
        <v>0</v>
      </c>
      <c r="S14" s="20" t="n">
        <v>0.183</v>
      </c>
      <c r="T14" s="20" t="n">
        <v>0.016</v>
      </c>
      <c r="U14" s="20" t="n">
        <v>0.177</v>
      </c>
      <c r="V14" s="20" t="n">
        <v>0.171</v>
      </c>
      <c r="W14" s="20" t="n">
        <v>0.123</v>
      </c>
      <c r="X14" s="20" t="n">
        <v>0.091</v>
      </c>
      <c r="Y14" s="20" t="n">
        <v>0.146</v>
      </c>
      <c r="Z14" s="20" t="n">
        <v>0.017</v>
      </c>
      <c r="AA14" s="20" t="n">
        <v>0</v>
      </c>
      <c r="AB14" s="20" t="n">
        <v>0.033</v>
      </c>
      <c r="AC14" s="20" t="n">
        <v>0.06</v>
      </c>
      <c r="AD14" s="20" t="n">
        <v>0</v>
      </c>
      <c r="AE14" s="20" t="n">
        <v>0.147</v>
      </c>
      <c r="AF14" s="20" t="n">
        <v>0</v>
      </c>
      <c r="AG14" s="20" t="n">
        <v>0.08</v>
      </c>
      <c r="AH14" s="20" t="n">
        <v>0</v>
      </c>
      <c r="AI14" s="20" t="n">
        <v>0.181</v>
      </c>
      <c r="AJ14" s="20" t="n">
        <v>0.184</v>
      </c>
      <c r="AK14" s="20" t="n">
        <v>0</v>
      </c>
      <c r="AL14" s="20" t="n">
        <v>0.064</v>
      </c>
      <c r="AM14" s="20" t="n">
        <v>0.005</v>
      </c>
      <c r="AN14" s="20" t="n">
        <v>0.07199999999999999</v>
      </c>
      <c r="AO14" s="20" t="n">
        <v>0.186</v>
      </c>
      <c r="AP14" s="20" t="n">
        <v>0.142</v>
      </c>
      <c r="AQ14" s="20" t="n">
        <v>0</v>
      </c>
      <c r="AR14" s="20" t="n">
        <v>0</v>
      </c>
      <c r="AS14" s="20" t="n">
        <v>0</v>
      </c>
      <c r="AT14" s="20" t="n">
        <v>0</v>
      </c>
      <c r="AU14" s="20" t="n">
        <v>0.007</v>
      </c>
      <c r="AV14" s="20" t="n">
        <v>0.165</v>
      </c>
      <c r="AW14" s="20" t="n">
        <v>0.132</v>
      </c>
      <c r="AX14" s="20" t="n">
        <v>0.114</v>
      </c>
      <c r="AY14" s="20" t="n">
        <v>0.03</v>
      </c>
      <c r="AZ14" s="20" t="n">
        <v>0</v>
      </c>
      <c r="BA14" s="20" t="n">
        <v>0.123</v>
      </c>
      <c r="BB14" s="20" t="n">
        <v>0.115</v>
      </c>
      <c r="BC14" s="20" t="n">
        <v>0.13</v>
      </c>
      <c r="BD14" s="20" t="n">
        <v>0.089</v>
      </c>
      <c r="BE14" s="20" t="n">
        <v>0.139</v>
      </c>
      <c r="BF14" s="20" t="n">
        <v>0.185</v>
      </c>
      <c r="BG14" s="20" t="n">
        <v>0.157</v>
      </c>
      <c r="BH14" s="20" t="n">
        <v>0.204</v>
      </c>
      <c r="BI14" s="20" t="n">
        <v>0.097</v>
      </c>
      <c r="BJ14" s="20" t="n">
        <v>0</v>
      </c>
      <c r="BK14" s="20" t="n">
        <v>0.12</v>
      </c>
      <c r="BL14" s="20" t="n">
        <v>0.04</v>
      </c>
      <c r="BM14" s="20" t="n">
        <v>0.078</v>
      </c>
      <c r="BN14" s="20" t="n">
        <v>0</v>
      </c>
      <c r="BO14" s="20" t="n">
        <v>0.098</v>
      </c>
      <c r="BP14" s="20" t="n">
        <v>0.102</v>
      </c>
      <c r="BQ14" s="20" t="n">
        <v>0.154</v>
      </c>
      <c r="BR14" s="20" t="n">
        <v>0.197</v>
      </c>
      <c r="BS14" s="20" t="n">
        <v>0.097</v>
      </c>
      <c r="BT14" s="20" t="n">
        <v>0.107</v>
      </c>
      <c r="BU14" s="20" t="n">
        <v>0.193</v>
      </c>
      <c r="BV14" s="20" t="n">
        <v>0.062</v>
      </c>
      <c r="BW14" s="20" t="n">
        <v>0.068</v>
      </c>
      <c r="BX14" s="20" t="n">
        <v>0.015</v>
      </c>
      <c r="BY14" s="20" t="n">
        <v>0.08500000000000001</v>
      </c>
      <c r="BZ14" s="20" t="n">
        <v>0</v>
      </c>
      <c r="CA14" s="20" t="n">
        <v>0.158</v>
      </c>
      <c r="CB14" s="20" t="n">
        <v>0</v>
      </c>
      <c r="CC14" s="20" t="n">
        <v>0.111</v>
      </c>
      <c r="CD14" s="20" t="n">
        <v>0.106</v>
      </c>
      <c r="CE14" s="20" t="n">
        <v>0</v>
      </c>
      <c r="CF14" s="20" t="n">
        <v>0</v>
      </c>
      <c r="CG14" s="20" t="n">
        <v>0.172</v>
      </c>
      <c r="CH14" s="20" t="n">
        <v>0</v>
      </c>
      <c r="CI14" s="20" t="n">
        <v>0.067</v>
      </c>
      <c r="CJ14" s="20" t="n">
        <v>0.035</v>
      </c>
      <c r="CK14" s="20" t="n">
        <v>0.098</v>
      </c>
      <c r="CL14" s="20" t="n">
        <v>0.113</v>
      </c>
      <c r="CM14" s="20" t="n">
        <v>0.039</v>
      </c>
      <c r="CN14" s="20" t="n">
        <v>0</v>
      </c>
      <c r="CO14" s="20" t="n">
        <v>0.154</v>
      </c>
      <c r="CP14" s="20" t="n">
        <v>0</v>
      </c>
      <c r="CQ14" s="20" t="n">
        <v>0.182</v>
      </c>
      <c r="CR14" s="20" t="n">
        <v>0.113</v>
      </c>
      <c r="CS14" s="20" t="n">
        <v>0</v>
      </c>
    </row>
    <row r="15">
      <c r="A15" s="10" t="n">
        <v>11</v>
      </c>
      <c r="B15" s="10" t="n">
        <v>5</v>
      </c>
      <c r="C15" s="20" t="n">
        <v>0.169</v>
      </c>
      <c r="D15" s="20" t="n">
        <v>0.326</v>
      </c>
      <c r="E15" s="20" t="n">
        <v>0</v>
      </c>
      <c r="F15" s="20" t="n">
        <v>0.404</v>
      </c>
      <c r="G15" s="20" t="n">
        <v>0.196</v>
      </c>
      <c r="H15" s="20" t="n">
        <v>0.303</v>
      </c>
      <c r="I15" s="20" t="n">
        <v>0.415</v>
      </c>
      <c r="J15" s="20" t="n">
        <v>0.282</v>
      </c>
      <c r="K15" s="20" t="n">
        <v>0.291</v>
      </c>
      <c r="L15" s="20" t="n">
        <v>0.42</v>
      </c>
      <c r="M15" s="20" t="n">
        <v>0.286</v>
      </c>
      <c r="N15" s="20" t="n">
        <v>0.376</v>
      </c>
      <c r="O15" s="20" t="n">
        <v>0.177</v>
      </c>
      <c r="P15" s="20" t="n">
        <v>0.182</v>
      </c>
      <c r="Q15" s="20" t="n">
        <v>0.041</v>
      </c>
      <c r="R15" s="20" t="n">
        <v>0.341</v>
      </c>
      <c r="S15" s="20" t="n">
        <v>0.411</v>
      </c>
      <c r="T15" s="20" t="n">
        <v>0</v>
      </c>
      <c r="U15" s="20" t="n">
        <v>0.405</v>
      </c>
      <c r="V15" s="20" t="n">
        <v>0.42</v>
      </c>
      <c r="W15" s="20" t="n">
        <v>0.412</v>
      </c>
      <c r="X15" s="20" t="n">
        <v>0.188</v>
      </c>
      <c r="Y15" s="20" t="n">
        <v>0.187</v>
      </c>
      <c r="Z15" s="20" t="n">
        <v>0.241</v>
      </c>
      <c r="AA15" s="20" t="n">
        <v>0.106</v>
      </c>
      <c r="AB15" s="20" t="n">
        <v>0.119</v>
      </c>
      <c r="AC15" s="20" t="n">
        <v>0.065</v>
      </c>
      <c r="AD15" s="20" t="n">
        <v>0.128</v>
      </c>
      <c r="AE15" s="20" t="n">
        <v>0.32</v>
      </c>
      <c r="AF15" s="20" t="n">
        <v>0.125</v>
      </c>
      <c r="AG15" s="20" t="n">
        <v>0.425</v>
      </c>
      <c r="AH15" s="20" t="n">
        <v>0.008999999999999999</v>
      </c>
      <c r="AI15" s="20" t="n">
        <v>0.277</v>
      </c>
      <c r="AJ15" s="20" t="n">
        <v>0.205</v>
      </c>
      <c r="AK15" s="20" t="n">
        <v>0.275</v>
      </c>
      <c r="AL15" s="20" t="n">
        <v>0.179</v>
      </c>
      <c r="AM15" s="20" t="n">
        <v>0.413</v>
      </c>
      <c r="AN15" s="20" t="n">
        <v>0.362</v>
      </c>
      <c r="AO15" s="20" t="n">
        <v>0.328</v>
      </c>
      <c r="AP15" s="20" t="n">
        <v>0.378</v>
      </c>
      <c r="AQ15" s="20" t="n">
        <v>0.169</v>
      </c>
      <c r="AR15" s="20" t="n">
        <v>0.163</v>
      </c>
      <c r="AS15" s="20" t="n">
        <v>0.306</v>
      </c>
      <c r="AT15" s="20" t="n">
        <v>0.226</v>
      </c>
      <c r="AU15" s="20" t="n">
        <v>0.177</v>
      </c>
      <c r="AV15" s="20" t="n">
        <v>0.417</v>
      </c>
      <c r="AW15" s="20" t="n">
        <v>0.382</v>
      </c>
      <c r="AX15" s="20" t="n">
        <v>0.286</v>
      </c>
      <c r="AY15" s="20" t="n">
        <v>0.297</v>
      </c>
      <c r="AZ15" s="20" t="n">
        <v>0.176</v>
      </c>
      <c r="BA15" s="20" t="n">
        <v>0.245</v>
      </c>
      <c r="BB15" s="20" t="n">
        <v>0.186</v>
      </c>
      <c r="BC15" s="20" t="n">
        <v>0.413</v>
      </c>
      <c r="BD15" s="20" t="n">
        <v>0.328</v>
      </c>
      <c r="BE15" s="20" t="n">
        <v>0.357</v>
      </c>
      <c r="BF15" s="20" t="n">
        <v>0.413</v>
      </c>
      <c r="BG15" s="20" t="n">
        <v>0.357</v>
      </c>
      <c r="BH15" s="20" t="n">
        <v>0.432</v>
      </c>
      <c r="BI15" s="20" t="n">
        <v>0.08799999999999999</v>
      </c>
      <c r="BJ15" s="20" t="n">
        <v>0.089</v>
      </c>
      <c r="BK15" s="20" t="n">
        <v>0.245</v>
      </c>
      <c r="BL15" s="20" t="n">
        <v>0.126</v>
      </c>
      <c r="BM15" s="20" t="n">
        <v>0.382</v>
      </c>
      <c r="BN15" s="20" t="n">
        <v>0.146</v>
      </c>
      <c r="BO15" s="20" t="n">
        <v>0.148</v>
      </c>
      <c r="BP15" s="20" t="n">
        <v>0.406</v>
      </c>
      <c r="BQ15" s="20" t="n">
        <v>0.033</v>
      </c>
      <c r="BR15" s="20" t="n">
        <v>0.376</v>
      </c>
      <c r="BS15" s="20" t="n">
        <v>0.409</v>
      </c>
      <c r="BT15" s="20" t="n">
        <v>0.25</v>
      </c>
      <c r="BU15" s="20" t="n">
        <v>0.421</v>
      </c>
      <c r="BV15" s="20" t="n">
        <v>0.156</v>
      </c>
      <c r="BW15" s="20" t="n">
        <v>0</v>
      </c>
      <c r="BX15" s="20" t="n">
        <v>0.107</v>
      </c>
      <c r="BY15" s="20" t="n">
        <v>0.305</v>
      </c>
      <c r="BZ15" s="20" t="n">
        <v>0.135</v>
      </c>
      <c r="CA15" s="20" t="n">
        <v>0.247</v>
      </c>
      <c r="CB15" s="20" t="n">
        <v>0.005</v>
      </c>
      <c r="CC15" s="20" t="n">
        <v>0.199</v>
      </c>
      <c r="CD15" s="20" t="n">
        <v>0.408</v>
      </c>
      <c r="CE15" s="20" t="n">
        <v>0.207</v>
      </c>
      <c r="CF15" s="20" t="n">
        <v>0.08799999999999999</v>
      </c>
      <c r="CG15" s="20" t="n">
        <v>0.314</v>
      </c>
      <c r="CH15" s="20" t="n">
        <v>0.207</v>
      </c>
      <c r="CI15" s="20" t="n">
        <v>0.182</v>
      </c>
      <c r="CJ15" s="20" t="n">
        <v>0.179</v>
      </c>
      <c r="CK15" s="20" t="n">
        <v>0.356</v>
      </c>
      <c r="CL15" s="20" t="n">
        <v>0.194</v>
      </c>
      <c r="CM15" s="20" t="n">
        <v>0.047</v>
      </c>
      <c r="CN15" s="20" t="n">
        <v>0.08699999999999999</v>
      </c>
      <c r="CO15" s="20" t="n">
        <v>0.354</v>
      </c>
      <c r="CP15" s="20" t="n">
        <v>0</v>
      </c>
      <c r="CQ15" s="20" t="n">
        <v>0.229</v>
      </c>
      <c r="CR15" s="20" t="n">
        <v>0.272</v>
      </c>
      <c r="CS15" s="20" t="n">
        <v>0.094</v>
      </c>
    </row>
    <row r="16">
      <c r="A16" s="10" t="n">
        <v>12</v>
      </c>
      <c r="B16" s="10" t="n">
        <v>5.5</v>
      </c>
      <c r="C16" s="20" t="n">
        <v>0.466</v>
      </c>
      <c r="D16" s="20" t="n">
        <v>0.622</v>
      </c>
      <c r="E16" s="20" t="n">
        <v>0.232</v>
      </c>
      <c r="F16" s="20" t="n">
        <v>0.6850000000000001</v>
      </c>
      <c r="G16" s="20" t="n">
        <v>0.609</v>
      </c>
      <c r="H16" s="20" t="n">
        <v>0.312</v>
      </c>
      <c r="I16" s="20" t="n">
        <v>0.696</v>
      </c>
      <c r="J16" s="20" t="n">
        <v>0.439</v>
      </c>
      <c r="K16" s="20" t="n">
        <v>0.596</v>
      </c>
      <c r="L16" s="20" t="n">
        <v>0.6870000000000001</v>
      </c>
      <c r="M16" s="20" t="n">
        <v>0.6879999999999999</v>
      </c>
      <c r="N16" s="20" t="n">
        <v>0.472</v>
      </c>
      <c r="O16" s="20" t="n">
        <v>0.317</v>
      </c>
      <c r="P16" s="20" t="n">
        <v>0.509</v>
      </c>
      <c r="Q16" s="20" t="n">
        <v>0.224</v>
      </c>
      <c r="R16" s="20" t="n">
        <v>0.695</v>
      </c>
      <c r="S16" s="20" t="n">
        <v>0.6919999999999999</v>
      </c>
      <c r="T16" s="20" t="n">
        <v>0.314</v>
      </c>
      <c r="U16" s="20" t="n">
        <v>0.6860000000000001</v>
      </c>
      <c r="V16" s="20" t="n">
        <v>0.701</v>
      </c>
      <c r="W16" s="20" t="n">
        <v>0.6929999999999999</v>
      </c>
      <c r="X16" s="20" t="n">
        <v>0.517</v>
      </c>
      <c r="Y16" s="20" t="n">
        <v>0.591</v>
      </c>
      <c r="Z16" s="20" t="n">
        <v>0.226</v>
      </c>
      <c r="AA16" s="20" t="n">
        <v>0.224</v>
      </c>
      <c r="AB16" s="20" t="n">
        <v>0.224</v>
      </c>
      <c r="AC16" s="20" t="n">
        <v>0.224</v>
      </c>
      <c r="AD16" s="20" t="n">
        <v>0.081</v>
      </c>
      <c r="AE16" s="20" t="n">
        <v>0.6899999999999999</v>
      </c>
      <c r="AF16" s="20" t="n">
        <v>0.387</v>
      </c>
      <c r="AG16" s="20" t="n">
        <v>0.636</v>
      </c>
      <c r="AH16" s="20" t="n">
        <v>0.146</v>
      </c>
      <c r="AI16" s="20" t="n">
        <v>0.577</v>
      </c>
      <c r="AJ16" s="20" t="n">
        <v>0.6929999999999999</v>
      </c>
      <c r="AK16" s="20" t="n">
        <v>0.41</v>
      </c>
      <c r="AL16" s="20" t="n">
        <v>0.319</v>
      </c>
      <c r="AM16" s="20" t="n">
        <v>0.515</v>
      </c>
      <c r="AN16" s="20" t="n">
        <v>0.696</v>
      </c>
      <c r="AO16" s="20" t="n">
        <v>0.498</v>
      </c>
      <c r="AP16" s="20" t="n">
        <v>0.572</v>
      </c>
      <c r="AQ16" s="20" t="n">
        <v>0.406</v>
      </c>
      <c r="AR16" s="20" t="n">
        <v>0.322</v>
      </c>
      <c r="AS16" s="20" t="n">
        <v>0.524</v>
      </c>
      <c r="AT16" s="20" t="n">
        <v>0.499</v>
      </c>
      <c r="AU16" s="20" t="n">
        <v>0.207</v>
      </c>
      <c r="AV16" s="20" t="n">
        <v>0.535</v>
      </c>
      <c r="AW16" s="20" t="n">
        <v>0.448</v>
      </c>
      <c r="AX16" s="20" t="n">
        <v>0.496</v>
      </c>
      <c r="AY16" s="20" t="n">
        <v>0.263</v>
      </c>
      <c r="AZ16" s="20" t="n">
        <v>0.33</v>
      </c>
      <c r="BA16" s="20" t="n">
        <v>0.615</v>
      </c>
      <c r="BB16" s="20" t="n">
        <v>0.372</v>
      </c>
      <c r="BC16" s="20" t="n">
        <v>0.646</v>
      </c>
      <c r="BD16" s="20" t="n">
        <v>0.403</v>
      </c>
      <c r="BE16" s="20" t="n">
        <v>0.441</v>
      </c>
      <c r="BF16" s="20" t="n">
        <v>0.694</v>
      </c>
      <c r="BG16" s="20" t="n">
        <v>0.513</v>
      </c>
      <c r="BH16" s="20" t="n">
        <v>0.713</v>
      </c>
      <c r="BI16" s="20" t="n">
        <v>0.416</v>
      </c>
      <c r="BJ16" s="20" t="n">
        <v>0.332</v>
      </c>
      <c r="BK16" s="20" t="n">
        <v>0.403</v>
      </c>
      <c r="BL16" s="20" t="n">
        <v>0.231</v>
      </c>
      <c r="BM16" s="20" t="n">
        <v>0.694</v>
      </c>
      <c r="BN16" s="20" t="n">
        <v>0.452</v>
      </c>
      <c r="BO16" s="20" t="n">
        <v>0.339</v>
      </c>
      <c r="BP16" s="20" t="n">
        <v>0.612</v>
      </c>
      <c r="BQ16" s="20" t="n">
        <v>0.585</v>
      </c>
      <c r="BR16" s="20" t="n">
        <v>0.615</v>
      </c>
      <c r="BS16" s="20" t="n">
        <v>0.6899999999999999</v>
      </c>
      <c r="BT16" s="20" t="n">
        <v>0.325</v>
      </c>
      <c r="BU16" s="20" t="n">
        <v>0.6870000000000001</v>
      </c>
      <c r="BV16" s="20" t="n">
        <v>0.186</v>
      </c>
      <c r="BW16" s="20" t="n">
        <v>0.011</v>
      </c>
      <c r="BX16" s="20" t="n">
        <v>0.395</v>
      </c>
      <c r="BY16" s="20" t="n">
        <v>0.517</v>
      </c>
      <c r="BZ16" s="20" t="n">
        <v>0.41</v>
      </c>
      <c r="CA16" s="20" t="n">
        <v>0.4</v>
      </c>
      <c r="CB16" s="20" t="n">
        <v>0.404</v>
      </c>
      <c r="CC16" s="20" t="n">
        <v>0.597</v>
      </c>
      <c r="CD16" s="20" t="n">
        <v>0.615</v>
      </c>
      <c r="CE16" s="20" t="n">
        <v>0.408</v>
      </c>
      <c r="CF16" s="20" t="n">
        <v>0.178</v>
      </c>
      <c r="CG16" s="20" t="n">
        <v>0.51</v>
      </c>
      <c r="CH16" s="20" t="n">
        <v>0.406</v>
      </c>
      <c r="CI16" s="20" t="n">
        <v>0.306</v>
      </c>
      <c r="CJ16" s="20" t="n">
        <v>0.07000000000000001</v>
      </c>
      <c r="CK16" s="20" t="n">
        <v>0.512</v>
      </c>
      <c r="CL16" s="20" t="n">
        <v>0.416</v>
      </c>
      <c r="CM16" s="20" t="n">
        <v>0.23</v>
      </c>
      <c r="CN16" s="20" t="n">
        <v>0.234</v>
      </c>
      <c r="CO16" s="20" t="n">
        <v>0.599</v>
      </c>
      <c r="CP16" s="20" t="n">
        <v>0.241</v>
      </c>
      <c r="CQ16" s="20" t="n">
        <v>0.6909999999999999</v>
      </c>
      <c r="CR16" s="20" t="n">
        <v>0.267</v>
      </c>
      <c r="CS16" s="20" t="n">
        <v>0.222</v>
      </c>
    </row>
    <row r="17">
      <c r="A17" s="10" t="n">
        <v>13</v>
      </c>
      <c r="B17" s="10" t="n">
        <v>6</v>
      </c>
      <c r="C17" s="20" t="n">
        <v>0.731</v>
      </c>
      <c r="D17" s="20" t="n">
        <v>0.997</v>
      </c>
      <c r="E17" s="20" t="n">
        <v>0.381</v>
      </c>
      <c r="F17" s="20" t="n">
        <v>0.991</v>
      </c>
      <c r="G17" s="20" t="n">
        <v>0.924</v>
      </c>
      <c r="H17" s="20" t="n">
        <v>0.681</v>
      </c>
      <c r="I17" s="20" t="n">
        <v>1.002</v>
      </c>
      <c r="J17" s="20" t="n">
        <v>0.735</v>
      </c>
      <c r="K17" s="20" t="n">
        <v>0.857</v>
      </c>
      <c r="L17" s="20" t="n">
        <v>0.927</v>
      </c>
      <c r="M17" s="20" t="n">
        <v>0.983</v>
      </c>
      <c r="N17" s="20" t="n">
        <v>0.993</v>
      </c>
      <c r="O17" s="20" t="n">
        <v>0.409</v>
      </c>
      <c r="P17" s="20" t="n">
        <v>0.602</v>
      </c>
      <c r="Q17" s="20" t="n">
        <v>0.339</v>
      </c>
      <c r="R17" s="20" t="n">
        <v>0.84</v>
      </c>
      <c r="S17" s="20" t="n">
        <v>0.998</v>
      </c>
      <c r="T17" s="20" t="n">
        <v>0.323</v>
      </c>
      <c r="U17" s="20" t="n">
        <v>0.992</v>
      </c>
      <c r="V17" s="20" t="n">
        <v>0.898</v>
      </c>
      <c r="W17" s="20" t="n">
        <v>0.989</v>
      </c>
      <c r="X17" s="20" t="n">
        <v>0.636</v>
      </c>
      <c r="Y17" s="20" t="n">
        <v>0.722</v>
      </c>
      <c r="Z17" s="20" t="n">
        <v>0.55</v>
      </c>
      <c r="AA17" s="20" t="n">
        <v>0.2</v>
      </c>
      <c r="AB17" s="20" t="n">
        <v>0.205</v>
      </c>
      <c r="AC17" s="20" t="n">
        <v>0.468</v>
      </c>
      <c r="AD17" s="20" t="n">
        <v>0.348</v>
      </c>
      <c r="AE17" s="20" t="n">
        <v>0.842</v>
      </c>
      <c r="AF17" s="20" t="n">
        <v>0.377</v>
      </c>
      <c r="AG17" s="20" t="n">
        <v>0.965</v>
      </c>
      <c r="AH17" s="20" t="n">
        <v>0.149</v>
      </c>
      <c r="AI17" s="20" t="n">
        <v>0.925</v>
      </c>
      <c r="AJ17" s="20" t="n">
        <v>0.89</v>
      </c>
      <c r="AK17" s="20" t="n">
        <v>0.5649999999999999</v>
      </c>
      <c r="AL17" s="20" t="n">
        <v>0.472</v>
      </c>
      <c r="AM17" s="20" t="n">
        <v>1</v>
      </c>
      <c r="AN17" s="20" t="n">
        <v>1.002</v>
      </c>
      <c r="AO17" s="20" t="n">
        <v>0.969</v>
      </c>
      <c r="AP17" s="20" t="n">
        <v>0.714</v>
      </c>
      <c r="AQ17" s="20" t="n">
        <v>0.522</v>
      </c>
      <c r="AR17" s="20" t="n">
        <v>0.351</v>
      </c>
      <c r="AS17" s="20" t="n">
        <v>0.9370000000000001</v>
      </c>
      <c r="AT17" s="20" t="n">
        <v>0.572</v>
      </c>
      <c r="AU17" s="20" t="n">
        <v>0.47</v>
      </c>
      <c r="AV17" s="20" t="n">
        <v>0.996</v>
      </c>
      <c r="AW17" s="20" t="n">
        <v>0.989</v>
      </c>
      <c r="AX17" s="20" t="n">
        <v>0.726</v>
      </c>
      <c r="AY17" s="20" t="n">
        <v>0.667</v>
      </c>
      <c r="AZ17" s="20" t="n">
        <v>0.5</v>
      </c>
      <c r="BA17" s="20" t="n">
        <v>0.883</v>
      </c>
      <c r="BB17" s="20" t="n">
        <v>0.748</v>
      </c>
      <c r="BC17" s="20" t="n">
        <v>0.898</v>
      </c>
      <c r="BD17" s="20" t="n">
        <v>0.831</v>
      </c>
      <c r="BE17" s="20" t="n">
        <v>0.87</v>
      </c>
      <c r="BF17" s="20" t="n">
        <v>1</v>
      </c>
      <c r="BG17" s="20" t="n">
        <v>0.756</v>
      </c>
      <c r="BH17" s="20" t="n">
        <v>1.019</v>
      </c>
      <c r="BI17" s="20" t="n">
        <v>0.49</v>
      </c>
      <c r="BJ17" s="20" t="n">
        <v>0.278</v>
      </c>
      <c r="BK17" s="20" t="n">
        <v>0.748</v>
      </c>
      <c r="BL17" s="20" t="n">
        <v>0.346</v>
      </c>
      <c r="BM17" s="20" t="n">
        <v>0.912</v>
      </c>
      <c r="BN17" s="20" t="n">
        <v>0.429</v>
      </c>
      <c r="BO17" s="20" t="n">
        <v>0.608</v>
      </c>
      <c r="BP17" s="20" t="n">
        <v>0.993</v>
      </c>
      <c r="BQ17" s="20" t="n">
        <v>0.862</v>
      </c>
      <c r="BR17" s="20" t="n">
        <v>1.019</v>
      </c>
      <c r="BS17" s="20" t="n">
        <v>0.842</v>
      </c>
      <c r="BT17" s="20" t="n">
        <v>0.617</v>
      </c>
      <c r="BU17" s="20" t="n">
        <v>0.858</v>
      </c>
      <c r="BV17" s="20" t="n">
        <v>0.47</v>
      </c>
      <c r="BW17" s="20" t="n">
        <v>0.308</v>
      </c>
      <c r="BX17" s="20" t="n">
        <v>0.508</v>
      </c>
      <c r="BY17" s="20" t="n">
        <v>0.8070000000000001</v>
      </c>
      <c r="BZ17" s="20" t="n">
        <v>0.608</v>
      </c>
      <c r="CA17" s="20" t="n">
        <v>0.871</v>
      </c>
      <c r="CB17" s="20" t="n">
        <v>0.303</v>
      </c>
      <c r="CC17" s="20" t="n">
        <v>0.99</v>
      </c>
      <c r="CD17" s="20" t="n">
        <v>0.995</v>
      </c>
      <c r="CE17" s="20" t="n">
        <v>0.37</v>
      </c>
      <c r="CF17" s="20" t="n">
        <v>0.356</v>
      </c>
      <c r="CG17" s="20" t="n">
        <v>0.846</v>
      </c>
      <c r="CH17" s="20" t="n">
        <v>0.44</v>
      </c>
      <c r="CI17" s="20" t="n">
        <v>0.457</v>
      </c>
      <c r="CJ17" s="20" t="n">
        <v>0.472</v>
      </c>
      <c r="CK17" s="20" t="n">
        <v>0.8070000000000001</v>
      </c>
      <c r="CL17" s="20" t="n">
        <v>0.771</v>
      </c>
      <c r="CM17" s="20" t="n">
        <v>0.332</v>
      </c>
      <c r="CN17" s="20" t="n">
        <v>0.202</v>
      </c>
      <c r="CO17" s="20" t="n">
        <v>0.867</v>
      </c>
      <c r="CP17" s="20" t="n">
        <v>0.194</v>
      </c>
      <c r="CQ17" s="20" t="n">
        <v>0.997</v>
      </c>
      <c r="CR17" s="20" t="n">
        <v>0.724</v>
      </c>
      <c r="CS17" s="20" t="n">
        <v>0.378</v>
      </c>
    </row>
    <row r="18">
      <c r="A18" s="10" t="n">
        <v>14</v>
      </c>
      <c r="B18" s="10" t="n">
        <v>6.5</v>
      </c>
      <c r="C18" s="20" t="n">
        <v>0.856</v>
      </c>
      <c r="D18" s="20" t="n">
        <v>1.154</v>
      </c>
      <c r="E18" s="20" t="n">
        <v>0.432</v>
      </c>
      <c r="F18" s="20" t="n">
        <v>1.288</v>
      </c>
      <c r="G18" s="20" t="n">
        <v>1.169</v>
      </c>
      <c r="H18" s="20" t="n">
        <v>0.975</v>
      </c>
      <c r="I18" s="20" t="n">
        <v>1.312</v>
      </c>
      <c r="J18" s="20" t="n">
        <v>0.888</v>
      </c>
      <c r="K18" s="20" t="n">
        <v>1.212</v>
      </c>
      <c r="L18" s="20" t="n">
        <v>1.317</v>
      </c>
      <c r="M18" s="20" t="n">
        <v>1.193</v>
      </c>
      <c r="N18" s="20" t="n">
        <v>1.17</v>
      </c>
      <c r="O18" s="20" t="n">
        <v>0.601</v>
      </c>
      <c r="P18" s="20" t="n">
        <v>0.734</v>
      </c>
      <c r="Q18" s="20" t="n">
        <v>0.455</v>
      </c>
      <c r="R18" s="20" t="n">
        <v>1.311</v>
      </c>
      <c r="S18" s="20" t="n">
        <v>1.308</v>
      </c>
      <c r="T18" s="20" t="n">
        <v>0.629</v>
      </c>
      <c r="U18" s="20" t="n">
        <v>1.302</v>
      </c>
      <c r="V18" s="20" t="n">
        <v>1.276</v>
      </c>
      <c r="W18" s="20" t="n">
        <v>1.309</v>
      </c>
      <c r="X18" s="20" t="n">
        <v>0.773</v>
      </c>
      <c r="Y18" s="20" t="n">
        <v>1.108</v>
      </c>
      <c r="Z18" s="20" t="n">
        <v>0.71</v>
      </c>
      <c r="AA18" s="20" t="n">
        <v>0.455</v>
      </c>
      <c r="AB18" s="20" t="n">
        <v>0.455</v>
      </c>
      <c r="AC18" s="20" t="n">
        <v>0.584</v>
      </c>
      <c r="AD18" s="20" t="n">
        <v>0.438</v>
      </c>
      <c r="AE18" s="20" t="n">
        <v>1.306</v>
      </c>
      <c r="AF18" s="20" t="n">
        <v>0.767</v>
      </c>
      <c r="AG18" s="20" t="n">
        <v>1.281</v>
      </c>
      <c r="AH18" s="20" t="n">
        <v>0.456</v>
      </c>
      <c r="AI18" s="20" t="n">
        <v>1.221</v>
      </c>
      <c r="AJ18" s="20" t="n">
        <v>1.097</v>
      </c>
      <c r="AK18" s="20" t="n">
        <v>0.876</v>
      </c>
      <c r="AL18" s="20" t="n">
        <v>0.627</v>
      </c>
      <c r="AM18" s="20" t="n">
        <v>1.261</v>
      </c>
      <c r="AN18" s="20" t="n">
        <v>1.22</v>
      </c>
      <c r="AO18" s="20" t="n">
        <v>1.165</v>
      </c>
      <c r="AP18" s="20" t="n">
        <v>1.237</v>
      </c>
      <c r="AQ18" s="20" t="n">
        <v>0.715</v>
      </c>
      <c r="AR18" s="20" t="n">
        <v>0.63</v>
      </c>
      <c r="AS18" s="20" t="n">
        <v>1.206</v>
      </c>
      <c r="AT18" s="20" t="n">
        <v>0.792</v>
      </c>
      <c r="AU18" s="20" t="n">
        <v>0.625</v>
      </c>
      <c r="AV18" s="20" t="n">
        <v>1.304</v>
      </c>
      <c r="AW18" s="20" t="n">
        <v>1.162</v>
      </c>
      <c r="AX18" s="20" t="n">
        <v>0.958</v>
      </c>
      <c r="AY18" s="20" t="n">
        <v>0.969</v>
      </c>
      <c r="AZ18" s="20" t="n">
        <v>0.712</v>
      </c>
      <c r="BA18" s="20" t="n">
        <v>0.983</v>
      </c>
      <c r="BB18" s="20" t="n">
        <v>0.88</v>
      </c>
      <c r="BC18" s="20" t="n">
        <v>1.31</v>
      </c>
      <c r="BD18" s="20" t="n">
        <v>1.102</v>
      </c>
      <c r="BE18" s="20" t="n">
        <v>1.025</v>
      </c>
      <c r="BF18" s="20" t="n">
        <v>1.31</v>
      </c>
      <c r="BG18" s="20" t="n">
        <v>1.141</v>
      </c>
      <c r="BH18" s="20" t="n">
        <v>1.329</v>
      </c>
      <c r="BI18" s="20" t="n">
        <v>0.766</v>
      </c>
      <c r="BJ18" s="20" t="n">
        <v>0.588</v>
      </c>
      <c r="BK18" s="20" t="n">
        <v>0.98</v>
      </c>
      <c r="BL18" s="20" t="n">
        <v>0.462</v>
      </c>
      <c r="BM18" s="20" t="n">
        <v>1.259</v>
      </c>
      <c r="BN18" s="20" t="n">
        <v>0.918</v>
      </c>
      <c r="BO18" s="20" t="n">
        <v>0.631</v>
      </c>
      <c r="BP18" s="20" t="n">
        <v>1.303</v>
      </c>
      <c r="BQ18" s="20" t="n">
        <v>1.038</v>
      </c>
      <c r="BR18" s="20" t="n">
        <v>1.175</v>
      </c>
      <c r="BS18" s="20" t="n">
        <v>0</v>
      </c>
      <c r="BT18" s="20" t="n">
        <v>0.8110000000000001</v>
      </c>
      <c r="BU18" s="20" t="n">
        <v>1.265</v>
      </c>
      <c r="BV18" s="20" t="n">
        <v>0.487</v>
      </c>
      <c r="BW18" s="20" t="n">
        <v>0</v>
      </c>
      <c r="BX18" s="20" t="n">
        <v>0.83</v>
      </c>
      <c r="BY18" s="20" t="n">
        <v>1.134</v>
      </c>
      <c r="BZ18" s="20" t="n">
        <v>0.864</v>
      </c>
      <c r="CA18" s="20" t="n">
        <v>0.9389999999999999</v>
      </c>
      <c r="CB18" s="20" t="n">
        <v>0.681</v>
      </c>
      <c r="CC18" s="20" t="n">
        <v>1.225</v>
      </c>
      <c r="CD18" s="20" t="n">
        <v>1.231</v>
      </c>
      <c r="CE18" s="20" t="n">
        <v>0.665</v>
      </c>
      <c r="CF18" s="20" t="n">
        <v>0.632</v>
      </c>
      <c r="CG18" s="20" t="n">
        <v>1.156</v>
      </c>
      <c r="CH18" s="20" t="n">
        <v>0.799</v>
      </c>
      <c r="CI18" s="20" t="n">
        <v>0.612</v>
      </c>
      <c r="CJ18" s="20" t="n">
        <v>0.476</v>
      </c>
      <c r="CK18" s="20" t="n">
        <v>1.113</v>
      </c>
      <c r="CL18" s="20" t="n">
        <v>0.9419999999999999</v>
      </c>
      <c r="CM18" s="20" t="n">
        <v>0.396</v>
      </c>
      <c r="CN18" s="20" t="n">
        <v>0.458</v>
      </c>
      <c r="CO18" s="20" t="n">
        <v>1.138</v>
      </c>
      <c r="CP18" s="20" t="n">
        <v>0.395</v>
      </c>
      <c r="CQ18" s="20" t="n">
        <v>1.183</v>
      </c>
      <c r="CR18" s="20" t="n">
        <v>0.881</v>
      </c>
      <c r="CS18" s="20" t="n">
        <v>0.636</v>
      </c>
    </row>
    <row r="19">
      <c r="A19" s="10" t="n">
        <v>15</v>
      </c>
      <c r="B19" s="10" t="n">
        <v>7</v>
      </c>
      <c r="C19" s="20" t="n">
        <v>1.144</v>
      </c>
      <c r="D19" s="20" t="n">
        <v>1.613</v>
      </c>
      <c r="E19" s="20" t="n">
        <v>0.535</v>
      </c>
      <c r="F19" s="20" t="n">
        <v>1.503</v>
      </c>
      <c r="G19" s="20" t="n">
        <v>1.612</v>
      </c>
      <c r="H19" s="20" t="n">
        <v>1.037</v>
      </c>
      <c r="I19" s="20" t="n">
        <v>1.475</v>
      </c>
      <c r="J19" s="20" t="n">
        <v>1.198</v>
      </c>
      <c r="K19" s="20" t="n">
        <v>1.376</v>
      </c>
      <c r="L19" s="20" t="n">
        <v>1.625</v>
      </c>
      <c r="M19" s="20" t="n">
        <v>1.612</v>
      </c>
      <c r="N19" s="20" t="n">
        <v>1.498</v>
      </c>
      <c r="O19" s="20" t="n">
        <v>0.713</v>
      </c>
      <c r="P19" s="20" t="n">
        <v>1.202</v>
      </c>
      <c r="Q19" s="20" t="n">
        <v>0.519</v>
      </c>
      <c r="R19" s="20" t="n">
        <v>1.405</v>
      </c>
      <c r="S19" s="20" t="n">
        <v>1.616</v>
      </c>
      <c r="T19" s="20" t="n">
        <v>0.505</v>
      </c>
      <c r="U19" s="20" t="n">
        <v>1.61</v>
      </c>
      <c r="V19" s="20" t="n">
        <v>1.615</v>
      </c>
      <c r="W19" s="20" t="n">
        <v>1.556</v>
      </c>
      <c r="X19" s="20" t="n">
        <v>1.165</v>
      </c>
      <c r="Y19" s="20" t="n">
        <v>1.4</v>
      </c>
      <c r="Z19" s="20" t="n">
        <v>0.827</v>
      </c>
      <c r="AA19" s="20" t="n">
        <v>0.571</v>
      </c>
      <c r="AB19" s="20" t="n">
        <v>0.537</v>
      </c>
      <c r="AC19" s="20" t="n">
        <v>0.603</v>
      </c>
      <c r="AD19" s="20" t="n">
        <v>0.525</v>
      </c>
      <c r="AE19" s="20" t="n">
        <v>1.558</v>
      </c>
      <c r="AF19" s="20" t="n">
        <v>0.987</v>
      </c>
      <c r="AG19" s="20" t="n">
        <v>1.554</v>
      </c>
      <c r="AH19" s="20" t="n">
        <v>0.423</v>
      </c>
      <c r="AI19" s="20" t="n">
        <v>1.614</v>
      </c>
      <c r="AJ19" s="20" t="n">
        <v>1.437</v>
      </c>
      <c r="AK19" s="20" t="n">
        <v>1.007</v>
      </c>
      <c r="AL19" s="20" t="n">
        <v>0.781</v>
      </c>
      <c r="AM19" s="20" t="n">
        <v>1.488</v>
      </c>
      <c r="AN19" s="20" t="n">
        <v>1.405</v>
      </c>
      <c r="AO19" s="20" t="n">
        <v>1.5</v>
      </c>
      <c r="AP19" s="20" t="n">
        <v>1.613</v>
      </c>
      <c r="AQ19" s="20" t="n">
        <v>0.983</v>
      </c>
      <c r="AR19" s="20" t="n">
        <v>0.784</v>
      </c>
      <c r="AS19" s="20" t="n">
        <v>1.38</v>
      </c>
      <c r="AT19" s="20" t="n">
        <v>1.061</v>
      </c>
      <c r="AU19" s="20" t="n">
        <v>0.433</v>
      </c>
      <c r="AV19" s="20" t="n">
        <v>1.522</v>
      </c>
      <c r="AW19" s="20" t="n">
        <v>1.495</v>
      </c>
      <c r="AX19" s="20" t="n">
        <v>1.189</v>
      </c>
      <c r="AY19" s="20" t="n">
        <v>1.106</v>
      </c>
      <c r="AZ19" s="20" t="n">
        <v>0.89</v>
      </c>
      <c r="BA19" s="20" t="n">
        <v>1.424</v>
      </c>
      <c r="BB19" s="20" t="n">
        <v>1.043</v>
      </c>
      <c r="BC19" s="20" t="n">
        <v>1.452</v>
      </c>
      <c r="BD19" s="20" t="n">
        <v>1.191</v>
      </c>
      <c r="BE19" s="20" t="n">
        <v>1.286</v>
      </c>
      <c r="BF19" s="20" t="n">
        <v>1.611</v>
      </c>
      <c r="BG19" s="20" t="n">
        <v>1.338</v>
      </c>
      <c r="BH19" s="20" t="n">
        <v>1.637</v>
      </c>
      <c r="BI19" s="20" t="n">
        <v>0.917</v>
      </c>
      <c r="BJ19" s="20" t="n">
        <v>0.674</v>
      </c>
      <c r="BK19" s="20" t="n">
        <v>1.096</v>
      </c>
      <c r="BL19" s="20" t="n">
        <v>0.578</v>
      </c>
      <c r="BM19" s="20" t="n">
        <v>1.424</v>
      </c>
      <c r="BN19" s="20" t="n">
        <v>1.128</v>
      </c>
      <c r="BO19" s="20" t="n">
        <v>0</v>
      </c>
      <c r="BP19" s="20" t="n">
        <v>1.217</v>
      </c>
      <c r="BQ19" s="20" t="n">
        <v>1.336</v>
      </c>
      <c r="BR19" s="20" t="n">
        <v>1.637</v>
      </c>
      <c r="BS19" s="20" t="n">
        <v>0.904</v>
      </c>
      <c r="BT19" s="20" t="n">
        <v>0.903</v>
      </c>
      <c r="BU19" s="20" t="n">
        <v>1.584</v>
      </c>
      <c r="BV19" s="20" t="n">
        <v>0.765</v>
      </c>
      <c r="BW19" s="20" t="n">
        <v>0.54</v>
      </c>
      <c r="BX19" s="20" t="n">
        <v>0.989</v>
      </c>
      <c r="BY19" s="20" t="n">
        <v>1.315</v>
      </c>
      <c r="BZ19" s="20" t="n">
        <v>1.191</v>
      </c>
      <c r="CA19" s="20" t="n">
        <v>1.301</v>
      </c>
      <c r="CB19" s="20" t="n">
        <v>0.772</v>
      </c>
      <c r="CC19" s="20" t="n">
        <v>1.384</v>
      </c>
      <c r="CD19" s="20" t="n">
        <v>1.613</v>
      </c>
      <c r="CE19" s="20" t="n">
        <v>0.749</v>
      </c>
      <c r="CF19" s="20" t="n">
        <v>0.748</v>
      </c>
      <c r="CG19" s="20" t="n">
        <v>1.274</v>
      </c>
      <c r="CH19" s="20" t="n">
        <v>0.921</v>
      </c>
      <c r="CI19" s="20" t="n">
        <v>0.5580000000000001</v>
      </c>
      <c r="CJ19" s="20" t="n">
        <v>0.447</v>
      </c>
      <c r="CK19" s="20" t="n">
        <v>1.235</v>
      </c>
      <c r="CL19" s="20" t="n">
        <v>1.34</v>
      </c>
      <c r="CM19" s="20" t="n">
        <v>0.538</v>
      </c>
      <c r="CN19" s="20" t="n">
        <v>0.185</v>
      </c>
      <c r="CO19" s="20" t="n">
        <v>1.354</v>
      </c>
      <c r="CP19" s="20" t="n">
        <v>0.588</v>
      </c>
      <c r="CQ19" s="20" t="n">
        <v>1.557</v>
      </c>
      <c r="CR19" s="20" t="n">
        <v>1.12</v>
      </c>
      <c r="CS19" s="20" t="n">
        <v>0.6830000000000001</v>
      </c>
    </row>
    <row r="20">
      <c r="A20" s="10" t="n">
        <v>16</v>
      </c>
      <c r="B20" s="10" t="n">
        <v>7.5</v>
      </c>
      <c r="C20" s="20" t="n">
        <v>1.38</v>
      </c>
      <c r="D20" s="20" t="n">
        <v>1.53</v>
      </c>
      <c r="E20" s="20" t="n">
        <v>0.722</v>
      </c>
      <c r="F20" s="20" t="n">
        <v>0.778</v>
      </c>
      <c r="G20" s="20" t="n">
        <v>1.82</v>
      </c>
      <c r="H20" s="20" t="n">
        <v>1.344</v>
      </c>
      <c r="I20" s="20" t="n">
        <v>0.627</v>
      </c>
      <c r="J20" s="20" t="n">
        <v>1.43</v>
      </c>
      <c r="K20" s="20" t="n">
        <v>1.651</v>
      </c>
      <c r="L20" s="20" t="n">
        <v>1.408</v>
      </c>
      <c r="M20" s="20" t="n">
        <v>1.392</v>
      </c>
      <c r="N20" s="20" t="n">
        <v>1.92</v>
      </c>
      <c r="O20" s="20" t="n">
        <v>0.915</v>
      </c>
      <c r="P20" s="20" t="n">
        <v>1.414</v>
      </c>
      <c r="Q20" s="20" t="n">
        <v>0.661</v>
      </c>
      <c r="R20" s="20" t="n">
        <v>1.845</v>
      </c>
      <c r="S20" s="20" t="n">
        <v>0.546</v>
      </c>
      <c r="T20" s="20" t="n">
        <v>0.888</v>
      </c>
      <c r="U20" s="20" t="n">
        <v>1.919</v>
      </c>
      <c r="V20" s="20" t="n">
        <v>0.77</v>
      </c>
      <c r="W20" s="20" t="n">
        <v>0.865</v>
      </c>
      <c r="X20" s="20" t="n">
        <v>1.194</v>
      </c>
      <c r="Y20" s="20" t="n">
        <v>1.67</v>
      </c>
      <c r="Z20" s="20" t="n">
        <v>1.187</v>
      </c>
      <c r="AA20" s="20" t="n">
        <v>0.548</v>
      </c>
      <c r="AB20" s="20" t="n">
        <v>0.517</v>
      </c>
      <c r="AC20" s="20" t="n">
        <v>0.931</v>
      </c>
      <c r="AD20" s="20" t="n">
        <v>0.585</v>
      </c>
      <c r="AE20" s="20" t="n">
        <v>1.318</v>
      </c>
      <c r="AF20" s="20" t="n">
        <v>0.981</v>
      </c>
      <c r="AG20" s="20" t="n">
        <v>1.063</v>
      </c>
      <c r="AH20" s="20" t="n">
        <v>0.5669999999999999</v>
      </c>
      <c r="AI20" s="20" t="n">
        <v>1.894</v>
      </c>
      <c r="AJ20" s="20" t="n">
        <v>1.818</v>
      </c>
      <c r="AK20" s="20" t="n">
        <v>1.404</v>
      </c>
      <c r="AL20" s="20" t="n">
        <v>0.9350000000000001</v>
      </c>
      <c r="AM20" s="20" t="n">
        <v>1.649</v>
      </c>
      <c r="AN20" s="20" t="n">
        <v>1.702</v>
      </c>
      <c r="AO20" s="20" t="n">
        <v>1.831</v>
      </c>
      <c r="AP20" s="20" t="n">
        <v>1.354</v>
      </c>
      <c r="AQ20" s="20" t="n">
        <v>1.06</v>
      </c>
      <c r="AR20" s="20" t="n">
        <v>0.928</v>
      </c>
      <c r="AS20" s="20" t="n">
        <v>1.858</v>
      </c>
      <c r="AT20" s="20" t="n">
        <v>1.368</v>
      </c>
      <c r="AU20" s="20" t="n">
        <v>0.721</v>
      </c>
      <c r="AV20" s="20" t="n">
        <v>1.817</v>
      </c>
      <c r="AW20" s="20" t="n">
        <v>1.929</v>
      </c>
      <c r="AX20" s="20" t="n">
        <v>1.421</v>
      </c>
      <c r="AY20" s="20" t="n">
        <v>1.432</v>
      </c>
      <c r="AZ20" s="20" t="n">
        <v>0.965</v>
      </c>
      <c r="BA20" s="20" t="n">
        <v>1.569</v>
      </c>
      <c r="BB20" s="20" t="n">
        <v>1.443</v>
      </c>
      <c r="BC20" s="20" t="n">
        <v>1.871</v>
      </c>
      <c r="BD20" s="20" t="n">
        <v>1.673</v>
      </c>
      <c r="BE20" s="20" t="n">
        <v>0.6899999999999999</v>
      </c>
      <c r="BF20" s="20" t="n">
        <v>0.521</v>
      </c>
      <c r="BG20" s="20" t="n">
        <v>1.56</v>
      </c>
      <c r="BH20" s="20" t="n">
        <v>0.212</v>
      </c>
      <c r="BI20" s="20" t="n">
        <v>1.11</v>
      </c>
      <c r="BJ20" s="20" t="n">
        <v>0.8100000000000001</v>
      </c>
      <c r="BK20" s="20" t="n">
        <v>1.38</v>
      </c>
      <c r="BL20" s="20" t="n">
        <v>0.68</v>
      </c>
      <c r="BM20" s="20" t="n">
        <v>1.891</v>
      </c>
      <c r="BN20" s="20" t="n">
        <v>0.446</v>
      </c>
      <c r="BO20" s="20" t="n">
        <v>0</v>
      </c>
      <c r="BP20" s="20" t="n">
        <v>1.526</v>
      </c>
      <c r="BQ20" s="20" t="n">
        <v>1.486</v>
      </c>
      <c r="BR20" s="20" t="n">
        <v>1.918</v>
      </c>
      <c r="BS20" s="20" t="n">
        <v>1.333</v>
      </c>
      <c r="BT20" s="20" t="n">
        <v>1.196</v>
      </c>
      <c r="BU20" s="20" t="n">
        <v>1.784</v>
      </c>
      <c r="BV20" s="20" t="n">
        <v>0.9330000000000001</v>
      </c>
      <c r="BW20" s="20" t="n">
        <v>0</v>
      </c>
      <c r="BX20" s="20" t="n">
        <v>1.319</v>
      </c>
      <c r="BY20" s="20" t="n">
        <v>1.674</v>
      </c>
      <c r="BZ20" s="20" t="n">
        <v>1.118</v>
      </c>
      <c r="CA20" s="20" t="n">
        <v>1.578</v>
      </c>
      <c r="CB20" s="20" t="n">
        <v>0</v>
      </c>
      <c r="CC20" s="20" t="n">
        <v>1.743</v>
      </c>
      <c r="CD20" s="20" t="n">
        <v>1.061</v>
      </c>
      <c r="CE20" s="20" t="n">
        <v>1.178</v>
      </c>
      <c r="CF20" s="20" t="n">
        <v>0.699</v>
      </c>
      <c r="CG20" s="20" t="n">
        <v>1.633</v>
      </c>
      <c r="CH20" s="20" t="n">
        <v>1.082</v>
      </c>
      <c r="CI20" s="20" t="n">
        <v>0.92</v>
      </c>
      <c r="CJ20" s="20" t="n">
        <v>0.9350000000000001</v>
      </c>
      <c r="CK20" s="20" t="n">
        <v>1.665</v>
      </c>
      <c r="CL20" s="20" t="n">
        <v>1.614</v>
      </c>
      <c r="CM20" s="20" t="n">
        <v>0.654</v>
      </c>
      <c r="CN20" s="20" t="n">
        <v>0.648</v>
      </c>
      <c r="CO20" s="20" t="n">
        <v>1.624</v>
      </c>
      <c r="CP20" s="20" t="n">
        <v>0.143</v>
      </c>
      <c r="CQ20" s="20" t="n">
        <v>1.495</v>
      </c>
      <c r="CR20" s="20" t="n">
        <v>1.322</v>
      </c>
      <c r="CS20" s="20" t="n">
        <v>0.756</v>
      </c>
    </row>
    <row r="21">
      <c r="A21" s="10" t="n">
        <v>17</v>
      </c>
      <c r="B21" s="10" t="n">
        <v>8</v>
      </c>
      <c r="C21" s="20" t="n">
        <v>0.52</v>
      </c>
      <c r="D21" s="20" t="n">
        <v>0</v>
      </c>
      <c r="E21" s="20" t="n">
        <v>1.01</v>
      </c>
      <c r="F21" s="20" t="n">
        <v>0</v>
      </c>
      <c r="G21" s="20" t="n">
        <v>0.308</v>
      </c>
      <c r="H21" s="20" t="n">
        <v>1.655</v>
      </c>
      <c r="I21" s="20" t="n">
        <v>0</v>
      </c>
      <c r="J21" s="20" t="n">
        <v>1.113</v>
      </c>
      <c r="K21" s="20" t="n">
        <v>1.184</v>
      </c>
      <c r="L21" s="20" t="n">
        <v>0</v>
      </c>
      <c r="M21" s="20" t="n">
        <v>0</v>
      </c>
      <c r="N21" s="20" t="n">
        <v>0.264</v>
      </c>
      <c r="O21" s="20" t="n">
        <v>0.994</v>
      </c>
      <c r="P21" s="20" t="n">
        <v>1.521</v>
      </c>
      <c r="Q21" s="20" t="n">
        <v>0.795</v>
      </c>
      <c r="R21" s="20" t="n">
        <v>0.315</v>
      </c>
      <c r="S21" s="20" t="n">
        <v>0</v>
      </c>
      <c r="T21" s="20" t="n">
        <v>0.633</v>
      </c>
      <c r="U21" s="20" t="n">
        <v>0.879</v>
      </c>
      <c r="V21" s="20" t="n">
        <v>0.522</v>
      </c>
      <c r="W21" s="20" t="n">
        <v>0</v>
      </c>
      <c r="X21" s="20" t="n">
        <v>1.556</v>
      </c>
      <c r="Y21" s="20" t="n">
        <v>1.801</v>
      </c>
      <c r="Z21" s="20" t="n">
        <v>1.315</v>
      </c>
      <c r="AA21" s="20" t="n">
        <v>0.354</v>
      </c>
      <c r="AB21" s="20" t="n">
        <v>0.795</v>
      </c>
      <c r="AC21" s="20" t="n">
        <v>0.912</v>
      </c>
      <c r="AD21" s="20" t="n">
        <v>0.768</v>
      </c>
      <c r="AE21" s="20" t="n">
        <v>0</v>
      </c>
      <c r="AF21" s="20" t="n">
        <v>1.287</v>
      </c>
      <c r="AG21" s="20" t="n">
        <v>0</v>
      </c>
      <c r="AH21" s="20" t="n">
        <v>0.796</v>
      </c>
      <c r="AI21" s="20" t="n">
        <v>0.044</v>
      </c>
      <c r="AJ21" s="20" t="n">
        <v>0.233</v>
      </c>
      <c r="AK21" s="20" t="n">
        <v>1.4</v>
      </c>
      <c r="AL21" s="20" t="n">
        <v>1.08</v>
      </c>
      <c r="AM21" s="20" t="n">
        <v>0</v>
      </c>
      <c r="AN21" s="20" t="n">
        <v>0</v>
      </c>
      <c r="AO21" s="20" t="n">
        <v>1.493</v>
      </c>
      <c r="AP21" s="20" t="n">
        <v>0</v>
      </c>
      <c r="AQ21" s="20" t="n">
        <v>1.323</v>
      </c>
      <c r="AR21" s="20" t="n">
        <v>0</v>
      </c>
      <c r="AS21" s="20" t="n">
        <v>1.071</v>
      </c>
      <c r="AT21" s="20" t="n">
        <v>1.518</v>
      </c>
      <c r="AU21" s="20" t="n">
        <v>0.9340000000000001</v>
      </c>
      <c r="AV21" s="20" t="n">
        <v>1.211</v>
      </c>
      <c r="AW21" s="20" t="n">
        <v>0.389</v>
      </c>
      <c r="AX21" s="20" t="n">
        <v>1.359</v>
      </c>
      <c r="AY21" s="20" t="n">
        <v>1.416</v>
      </c>
      <c r="AZ21" s="20" t="n">
        <v>1.055</v>
      </c>
      <c r="BA21" s="20" t="n">
        <v>0.141</v>
      </c>
      <c r="BB21" s="20" t="n">
        <v>1.539</v>
      </c>
      <c r="BC21" s="20" t="n">
        <v>0.413</v>
      </c>
      <c r="BD21" s="20" t="n">
        <v>1.205</v>
      </c>
      <c r="BE21" s="20" t="n">
        <v>1.628</v>
      </c>
      <c r="BF21" s="20" t="n">
        <v>0</v>
      </c>
      <c r="BG21" s="20" t="n">
        <v>0.697</v>
      </c>
      <c r="BH21" s="20" t="n">
        <v>0</v>
      </c>
      <c r="BI21" s="20" t="n">
        <v>1.367</v>
      </c>
      <c r="BJ21" s="20" t="n">
        <v>1.062</v>
      </c>
      <c r="BK21" s="20" t="n">
        <v>1.38</v>
      </c>
      <c r="BL21" s="20" t="n">
        <v>0.795</v>
      </c>
      <c r="BM21" s="20" t="n">
        <v>1.327</v>
      </c>
      <c r="BN21" s="20" t="n">
        <v>1.57</v>
      </c>
      <c r="BO21" s="20" t="n">
        <v>1.021</v>
      </c>
      <c r="BP21" s="20" t="n">
        <v>1.81</v>
      </c>
      <c r="BQ21" s="20" t="n">
        <v>1.677</v>
      </c>
      <c r="BR21" s="20" t="n">
        <v>1.033</v>
      </c>
      <c r="BS21" s="20" t="n">
        <v>1.828</v>
      </c>
      <c r="BT21" s="20" t="n">
        <v>0.76</v>
      </c>
      <c r="BU21" s="20" t="n">
        <v>0.468</v>
      </c>
      <c r="BV21" s="20" t="n">
        <v>1.078</v>
      </c>
      <c r="BW21" s="20" t="n">
        <v>0.587</v>
      </c>
      <c r="BX21" s="20" t="n">
        <v>1.535</v>
      </c>
      <c r="BY21" s="20" t="n">
        <v>0.43</v>
      </c>
      <c r="BZ21" s="20" t="n">
        <v>0</v>
      </c>
      <c r="CA21" s="20" t="n">
        <v>1.321</v>
      </c>
      <c r="CB21" s="20" t="n">
        <v>0.955</v>
      </c>
      <c r="CC21" s="20" t="n">
        <v>0.982</v>
      </c>
      <c r="CD21" s="20" t="n">
        <v>0</v>
      </c>
      <c r="CE21" s="20" t="n">
        <v>1.012</v>
      </c>
      <c r="CF21" s="20" t="n">
        <v>0.909</v>
      </c>
      <c r="CG21" s="20" t="n">
        <v>0.441</v>
      </c>
      <c r="CH21" s="20" t="n">
        <v>1.365</v>
      </c>
      <c r="CI21" s="20" t="n">
        <v>0.968</v>
      </c>
      <c r="CJ21" s="20" t="n">
        <v>0.928</v>
      </c>
      <c r="CK21" s="20" t="n">
        <v>1.759</v>
      </c>
      <c r="CL21" s="20" t="n">
        <v>1.304</v>
      </c>
      <c r="CM21" s="20" t="n">
        <v>0.792</v>
      </c>
      <c r="CN21" s="20" t="n">
        <v>0.651</v>
      </c>
      <c r="CO21" s="20" t="n">
        <v>0.149</v>
      </c>
      <c r="CP21" s="20" t="n">
        <v>0.754</v>
      </c>
      <c r="CQ21" s="20" t="n">
        <v>0</v>
      </c>
      <c r="CR21" s="20" t="n">
        <v>1.5</v>
      </c>
      <c r="CS21" s="20" t="n">
        <v>1.029</v>
      </c>
    </row>
    <row r="22">
      <c r="A22" s="10" t="n">
        <v>18</v>
      </c>
      <c r="B22" s="10" t="n">
        <v>8.5</v>
      </c>
      <c r="C22" s="20" t="n">
        <v>1.198</v>
      </c>
      <c r="D22" s="20" t="n">
        <v>0</v>
      </c>
      <c r="E22" s="20" t="n">
        <v>1.02</v>
      </c>
      <c r="F22" s="20" t="n">
        <v>0</v>
      </c>
      <c r="G22" s="20" t="n">
        <v>0</v>
      </c>
      <c r="H22" s="20" t="n">
        <v>0.526</v>
      </c>
      <c r="I22" s="20" t="n">
        <v>0</v>
      </c>
      <c r="J22" s="20" t="n">
        <v>0</v>
      </c>
      <c r="K22" s="20" t="n">
        <v>0</v>
      </c>
      <c r="L22" s="20" t="n">
        <v>0</v>
      </c>
      <c r="M22" s="20" t="n">
        <v>0</v>
      </c>
      <c r="N22" s="20" t="n">
        <v>0</v>
      </c>
      <c r="O22" s="20" t="n">
        <v>1.123</v>
      </c>
      <c r="P22" s="20" t="n">
        <v>0.109</v>
      </c>
      <c r="Q22" s="20" t="n">
        <v>0.863</v>
      </c>
      <c r="R22" s="20" t="n">
        <v>0</v>
      </c>
      <c r="S22" s="20" t="n">
        <v>0</v>
      </c>
      <c r="T22" s="20" t="n">
        <v>0</v>
      </c>
      <c r="U22" s="20" t="n">
        <v>0</v>
      </c>
      <c r="V22" s="20" t="n">
        <v>0</v>
      </c>
      <c r="W22" s="20" t="n">
        <v>0</v>
      </c>
      <c r="X22" s="20" t="n">
        <v>0.784</v>
      </c>
      <c r="Y22" s="20" t="n">
        <v>0.345</v>
      </c>
      <c r="Z22" s="20" t="n">
        <v>1.343</v>
      </c>
      <c r="AA22" s="20" t="n">
        <v>0.751</v>
      </c>
      <c r="AB22" s="20" t="n">
        <v>0.776</v>
      </c>
      <c r="AC22" s="20" t="n">
        <v>1.176</v>
      </c>
      <c r="AD22" s="20" t="n">
        <v>0.738</v>
      </c>
      <c r="AE22" s="20" t="n">
        <v>0</v>
      </c>
      <c r="AF22" s="20" t="n">
        <v>1.502</v>
      </c>
      <c r="AG22" s="20" t="n">
        <v>0</v>
      </c>
      <c r="AH22" s="20" t="n">
        <v>0.503</v>
      </c>
      <c r="AI22" s="20" t="n">
        <v>0</v>
      </c>
      <c r="AJ22" s="20" t="n">
        <v>0</v>
      </c>
      <c r="AK22" s="20" t="n">
        <v>1.57</v>
      </c>
      <c r="AL22" s="20" t="n">
        <v>1.216</v>
      </c>
      <c r="AM22" s="20" t="n">
        <v>0</v>
      </c>
      <c r="AN22" s="20" t="n">
        <v>0</v>
      </c>
      <c r="AO22" s="20" t="n">
        <v>0</v>
      </c>
      <c r="AP22" s="20" t="n">
        <v>0</v>
      </c>
      <c r="AQ22" s="20" t="n">
        <v>1.182</v>
      </c>
      <c r="AR22" s="20" t="n">
        <v>0.352</v>
      </c>
      <c r="AS22" s="20" t="n">
        <v>0</v>
      </c>
      <c r="AT22" s="20" t="n">
        <v>1.418</v>
      </c>
      <c r="AU22" s="20" t="n">
        <v>1.075</v>
      </c>
      <c r="AV22" s="20" t="n">
        <v>0</v>
      </c>
      <c r="AW22" s="20" t="n">
        <v>0</v>
      </c>
      <c r="AX22" s="20" t="n">
        <v>0</v>
      </c>
      <c r="AY22" s="20" t="n">
        <v>0</v>
      </c>
      <c r="AZ22" s="20" t="n">
        <v>1.215</v>
      </c>
      <c r="BA22" s="20" t="n">
        <v>0</v>
      </c>
      <c r="BB22" s="20" t="n">
        <v>0.308</v>
      </c>
      <c r="BC22" s="20" t="n">
        <v>0</v>
      </c>
      <c r="BD22" s="20" t="n">
        <v>0</v>
      </c>
      <c r="BE22" s="20" t="n">
        <v>0.757</v>
      </c>
      <c r="BF22" s="20" t="n">
        <v>0</v>
      </c>
      <c r="BG22" s="20" t="n">
        <v>0</v>
      </c>
      <c r="BH22" s="20" t="n">
        <v>0</v>
      </c>
      <c r="BI22" s="20" t="n">
        <v>1.503</v>
      </c>
      <c r="BJ22" s="20" t="n">
        <v>1.081</v>
      </c>
      <c r="BK22" s="20" t="n">
        <v>0</v>
      </c>
      <c r="BL22" s="20" t="n">
        <v>0.904</v>
      </c>
      <c r="BM22" s="20" t="n">
        <v>0</v>
      </c>
      <c r="BN22" s="20" t="n">
        <v>1.685</v>
      </c>
      <c r="BO22" s="20" t="n">
        <v>1.528</v>
      </c>
      <c r="BP22" s="20" t="n">
        <v>0</v>
      </c>
      <c r="BQ22" s="20" t="n">
        <v>0</v>
      </c>
      <c r="BR22" s="20" t="n">
        <v>0</v>
      </c>
      <c r="BS22" s="20" t="n">
        <v>0.309</v>
      </c>
      <c r="BT22" s="20" t="n">
        <v>0.109</v>
      </c>
      <c r="BU22" s="20" t="n">
        <v>0</v>
      </c>
      <c r="BV22" s="20" t="n">
        <v>1.125</v>
      </c>
      <c r="BW22" s="20" t="n">
        <v>0.9409999999999999</v>
      </c>
      <c r="BX22" s="20" t="n">
        <v>1.613</v>
      </c>
      <c r="BY22" s="20" t="n">
        <v>0</v>
      </c>
      <c r="BZ22" s="20" t="n">
        <v>1.566</v>
      </c>
      <c r="CA22" s="20" t="n">
        <v>0</v>
      </c>
      <c r="CB22" s="20" t="n">
        <v>1.229</v>
      </c>
      <c r="CC22" s="20" t="n">
        <v>0</v>
      </c>
      <c r="CD22" s="20" t="n">
        <v>0</v>
      </c>
      <c r="CE22" s="20" t="n">
        <v>1.098</v>
      </c>
      <c r="CF22" s="20" t="n">
        <v>1.056</v>
      </c>
      <c r="CG22" s="20" t="n">
        <v>0</v>
      </c>
      <c r="CH22" s="20" t="n">
        <v>1.181</v>
      </c>
      <c r="CI22" s="20" t="n">
        <v>1.201</v>
      </c>
      <c r="CJ22" s="20" t="n">
        <v>0.13</v>
      </c>
      <c r="CK22" s="20" t="n">
        <v>0.225</v>
      </c>
      <c r="CL22" s="20" t="n">
        <v>0</v>
      </c>
      <c r="CM22" s="20" t="n">
        <v>0.834</v>
      </c>
      <c r="CN22" s="20" t="n">
        <v>0.907</v>
      </c>
      <c r="CO22" s="20" t="n">
        <v>0</v>
      </c>
      <c r="CP22" s="20" t="n">
        <v>0.8139999999999999</v>
      </c>
      <c r="CQ22" s="20" t="n">
        <v>0</v>
      </c>
      <c r="CR22" s="20" t="n">
        <v>0.601</v>
      </c>
      <c r="CS22" s="20" t="n">
        <v>1.049</v>
      </c>
    </row>
    <row r="23">
      <c r="A23" s="10" t="n">
        <v>19</v>
      </c>
      <c r="B23" s="10" t="n">
        <v>9</v>
      </c>
      <c r="C23" s="20" t="n">
        <v>0</v>
      </c>
      <c r="D23" s="20" t="n">
        <v>0</v>
      </c>
      <c r="E23" s="20" t="n">
        <v>0</v>
      </c>
      <c r="F23" s="20" t="n">
        <v>0</v>
      </c>
      <c r="G23" s="20" t="n">
        <v>0</v>
      </c>
      <c r="H23" s="20" t="n">
        <v>0</v>
      </c>
      <c r="I23" s="20" t="n">
        <v>0</v>
      </c>
      <c r="J23" s="20" t="n">
        <v>0</v>
      </c>
      <c r="K23" s="20" t="n">
        <v>0</v>
      </c>
      <c r="L23" s="20" t="n">
        <v>0</v>
      </c>
      <c r="M23" s="20" t="n">
        <v>0</v>
      </c>
      <c r="N23" s="20" t="n">
        <v>0</v>
      </c>
      <c r="O23" s="20" t="n">
        <v>0.976</v>
      </c>
      <c r="P23" s="20" t="n">
        <v>0</v>
      </c>
      <c r="Q23" s="20" t="n">
        <v>0.9409999999999999</v>
      </c>
      <c r="R23" s="20" t="n">
        <v>0</v>
      </c>
      <c r="S23" s="20" t="n">
        <v>0</v>
      </c>
      <c r="T23" s="20" t="n">
        <v>1.102</v>
      </c>
      <c r="U23" s="20" t="n">
        <v>0</v>
      </c>
      <c r="V23" s="20" t="n">
        <v>0</v>
      </c>
      <c r="W23" s="20" t="n">
        <v>0</v>
      </c>
      <c r="X23" s="20" t="n">
        <v>0</v>
      </c>
      <c r="Y23" s="20" t="n">
        <v>0</v>
      </c>
      <c r="Z23" s="20" t="n">
        <v>0.16</v>
      </c>
      <c r="AA23" s="20" t="n">
        <v>0.822</v>
      </c>
      <c r="AB23" s="20" t="n">
        <v>0.971</v>
      </c>
      <c r="AC23" s="20" t="n">
        <v>1.246</v>
      </c>
      <c r="AD23" s="20" t="n">
        <v>0.429</v>
      </c>
      <c r="AE23" s="20" t="n">
        <v>0</v>
      </c>
      <c r="AF23" s="20" t="n">
        <v>0.649</v>
      </c>
      <c r="AG23" s="20" t="n">
        <v>0</v>
      </c>
      <c r="AH23" s="20" t="n">
        <v>0.874</v>
      </c>
      <c r="AI23" s="20" t="n">
        <v>0</v>
      </c>
      <c r="AJ23" s="20" t="n">
        <v>0</v>
      </c>
      <c r="AK23" s="20" t="n">
        <v>0.461</v>
      </c>
      <c r="AL23" s="20" t="n">
        <v>0.129</v>
      </c>
      <c r="AM23" s="20" t="n">
        <v>0</v>
      </c>
      <c r="AN23" s="20" t="n">
        <v>0</v>
      </c>
      <c r="AO23" s="20" t="n">
        <v>0</v>
      </c>
      <c r="AP23" s="20" t="n">
        <v>0</v>
      </c>
      <c r="AQ23" s="20" t="n">
        <v>0</v>
      </c>
      <c r="AR23" s="20" t="n">
        <v>0.213</v>
      </c>
      <c r="AS23" s="20" t="n">
        <v>0</v>
      </c>
      <c r="AT23" s="20" t="n">
        <v>0</v>
      </c>
      <c r="AU23" s="20" t="n">
        <v>1.151</v>
      </c>
      <c r="AV23" s="20" t="n">
        <v>0</v>
      </c>
      <c r="AW23" s="20" t="n">
        <v>0</v>
      </c>
      <c r="AX23" s="20" t="n">
        <v>0</v>
      </c>
      <c r="AY23" s="20" t="n">
        <v>0</v>
      </c>
      <c r="AZ23" s="20" t="n">
        <v>0.596</v>
      </c>
      <c r="BA23" s="20" t="n">
        <v>0</v>
      </c>
      <c r="BB23" s="20" t="n">
        <v>0</v>
      </c>
      <c r="BC23" s="20" t="n">
        <v>0</v>
      </c>
      <c r="BD23" s="20" t="n">
        <v>0</v>
      </c>
      <c r="BE23" s="20" t="n">
        <v>0.215</v>
      </c>
      <c r="BF23" s="20" t="n">
        <v>0</v>
      </c>
      <c r="BG23" s="20" t="n">
        <v>0</v>
      </c>
      <c r="BH23" s="20" t="n">
        <v>0</v>
      </c>
      <c r="BI23" s="20" t="n">
        <v>1.214</v>
      </c>
      <c r="BJ23" s="20" t="n">
        <v>1.241</v>
      </c>
      <c r="BK23" s="20" t="n">
        <v>0</v>
      </c>
      <c r="BL23" s="20" t="n">
        <v>0.991</v>
      </c>
      <c r="BM23" s="20" t="n">
        <v>0</v>
      </c>
      <c r="BN23" s="20" t="n">
        <v>0.416</v>
      </c>
      <c r="BO23" s="20" t="n">
        <v>1.396</v>
      </c>
      <c r="BP23" s="20" t="n">
        <v>0</v>
      </c>
      <c r="BQ23" s="20" t="n">
        <v>0</v>
      </c>
      <c r="BR23" s="20" t="n">
        <v>0</v>
      </c>
      <c r="BS23" s="20" t="n">
        <v>0</v>
      </c>
      <c r="BT23" s="20" t="n">
        <v>0.913</v>
      </c>
      <c r="BU23" s="20" t="n">
        <v>0</v>
      </c>
      <c r="BV23" s="20" t="n">
        <v>0</v>
      </c>
      <c r="BW23" s="20" t="n">
        <v>0.8080000000000001</v>
      </c>
      <c r="BX23" s="20" t="n">
        <v>0.14</v>
      </c>
      <c r="BY23" s="20" t="n">
        <v>0</v>
      </c>
      <c r="BZ23" s="20" t="n">
        <v>1.827</v>
      </c>
      <c r="CA23" s="20" t="n">
        <v>0</v>
      </c>
      <c r="CB23" s="20" t="n">
        <v>1.595</v>
      </c>
      <c r="CC23" s="20" t="n">
        <v>0</v>
      </c>
      <c r="CD23" s="20" t="n">
        <v>0</v>
      </c>
      <c r="CE23" s="20" t="n">
        <v>0.842</v>
      </c>
      <c r="CF23" s="20" t="n">
        <v>1.223</v>
      </c>
      <c r="CG23" s="20" t="n">
        <v>0</v>
      </c>
      <c r="CH23" s="20" t="n">
        <v>0</v>
      </c>
      <c r="CI23" s="20" t="n">
        <v>0.502</v>
      </c>
      <c r="CJ23" s="20" t="n">
        <v>1.296</v>
      </c>
      <c r="CK23" s="20" t="n">
        <v>0</v>
      </c>
      <c r="CL23" s="20" t="n">
        <v>0</v>
      </c>
      <c r="CM23" s="20" t="n">
        <v>0.99</v>
      </c>
      <c r="CN23" s="20" t="n">
        <v>0.9330000000000001</v>
      </c>
      <c r="CO23" s="20" t="n">
        <v>0</v>
      </c>
      <c r="CP23" s="20" t="n">
        <v>0.875</v>
      </c>
      <c r="CQ23" s="20" t="n">
        <v>0</v>
      </c>
      <c r="CR23" s="20" t="n">
        <v>0</v>
      </c>
      <c r="CS23" s="20" t="n">
        <v>1.282</v>
      </c>
    </row>
    <row r="24">
      <c r="A24" s="10" t="n">
        <v>20</v>
      </c>
      <c r="B24" s="10" t="n">
        <v>9.5</v>
      </c>
      <c r="C24" s="20" t="n">
        <v>0</v>
      </c>
      <c r="D24" s="20" t="n">
        <v>0</v>
      </c>
      <c r="E24" s="20" t="n">
        <v>0.875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  <c r="N24" s="20" t="n">
        <v>0</v>
      </c>
      <c r="O24" s="20" t="n">
        <v>0</v>
      </c>
      <c r="P24" s="20" t="n">
        <v>0</v>
      </c>
      <c r="Q24" s="20" t="n">
        <v>1.022</v>
      </c>
      <c r="R24" s="20" t="n">
        <v>0</v>
      </c>
      <c r="S24" s="20" t="n">
        <v>0</v>
      </c>
      <c r="T24" s="20" t="n">
        <v>1.367</v>
      </c>
      <c r="U24" s="20" t="n">
        <v>0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</v>
      </c>
      <c r="AA24" s="20" t="n">
        <v>0.607</v>
      </c>
      <c r="AB24" s="20" t="n">
        <v>0.888</v>
      </c>
      <c r="AC24" s="20" t="n">
        <v>0.244</v>
      </c>
      <c r="AD24" s="20" t="n">
        <v>0</v>
      </c>
      <c r="AE24" s="20" t="n">
        <v>0</v>
      </c>
      <c r="AF24" s="20" t="n">
        <v>0</v>
      </c>
      <c r="AG24" s="20" t="n">
        <v>0</v>
      </c>
      <c r="AH24" s="20" t="n">
        <v>0.987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  <c r="AN24" s="20" t="n">
        <v>0</v>
      </c>
      <c r="AO24" s="20" t="n">
        <v>0</v>
      </c>
      <c r="AP24" s="20" t="n">
        <v>0</v>
      </c>
      <c r="AQ24" s="20" t="n">
        <v>0</v>
      </c>
      <c r="AR24" s="20" t="n">
        <v>1.434</v>
      </c>
      <c r="AS24" s="20" t="n">
        <v>0</v>
      </c>
      <c r="AT24" s="20" t="n">
        <v>0</v>
      </c>
      <c r="AU24" s="20" t="n">
        <v>0.442</v>
      </c>
      <c r="AV24" s="20" t="n">
        <v>0</v>
      </c>
      <c r="AW24" s="20" t="n">
        <v>0</v>
      </c>
      <c r="AX24" s="20" t="n">
        <v>0</v>
      </c>
      <c r="AY24" s="20" t="n">
        <v>0</v>
      </c>
      <c r="AZ24" s="20" t="n">
        <v>0</v>
      </c>
      <c r="BA24" s="20" t="n">
        <v>0</v>
      </c>
      <c r="BB24" s="20" t="n">
        <v>0</v>
      </c>
      <c r="BC24" s="20" t="n">
        <v>0</v>
      </c>
      <c r="BD24" s="20" t="n">
        <v>0</v>
      </c>
      <c r="BE24" s="20" t="n">
        <v>0</v>
      </c>
      <c r="BF24" s="20" t="n">
        <v>0</v>
      </c>
      <c r="BG24" s="20" t="n">
        <v>0</v>
      </c>
      <c r="BH24" s="20" t="n">
        <v>0</v>
      </c>
      <c r="BI24" s="20" t="n">
        <v>0</v>
      </c>
      <c r="BJ24" s="20" t="n">
        <v>1.056</v>
      </c>
      <c r="BK24" s="20" t="n">
        <v>0</v>
      </c>
      <c r="BL24" s="20" t="n">
        <v>0.606</v>
      </c>
      <c r="BM24" s="20" t="n">
        <v>0</v>
      </c>
      <c r="BN24" s="20" t="n">
        <v>0</v>
      </c>
      <c r="BO24" s="20" t="n">
        <v>1.735</v>
      </c>
      <c r="BP24" s="20" t="n">
        <v>0</v>
      </c>
      <c r="BQ24" s="20" t="n">
        <v>0</v>
      </c>
      <c r="BR24" s="20" t="n">
        <v>0</v>
      </c>
      <c r="BS24" s="20" t="n">
        <v>0</v>
      </c>
      <c r="BT24" s="20" t="n">
        <v>0</v>
      </c>
      <c r="BU24" s="20" t="n">
        <v>0</v>
      </c>
      <c r="BV24" s="20" t="n">
        <v>0.835</v>
      </c>
      <c r="BW24" s="20" t="n">
        <v>0.945</v>
      </c>
      <c r="BX24" s="20" t="n">
        <v>0</v>
      </c>
      <c r="BY24" s="20" t="n">
        <v>0</v>
      </c>
      <c r="BZ24" s="20" t="n">
        <v>0.487</v>
      </c>
      <c r="CA24" s="20" t="n">
        <v>0</v>
      </c>
      <c r="CB24" s="20" t="n">
        <v>1.547</v>
      </c>
      <c r="CC24" s="20" t="n">
        <v>0</v>
      </c>
      <c r="CD24" s="20" t="n">
        <v>0</v>
      </c>
      <c r="CE24" s="20" t="n">
        <v>0</v>
      </c>
      <c r="CF24" s="20" t="n">
        <v>1.341</v>
      </c>
      <c r="CG24" s="20" t="n">
        <v>0</v>
      </c>
      <c r="CH24" s="20" t="n">
        <v>0</v>
      </c>
      <c r="CI24" s="20" t="n">
        <v>0</v>
      </c>
      <c r="CJ24" s="20" t="n">
        <v>0.252</v>
      </c>
      <c r="CK24" s="20" t="n">
        <v>0</v>
      </c>
      <c r="CL24" s="20" t="n">
        <v>0</v>
      </c>
      <c r="CM24" s="20" t="n">
        <v>1.064</v>
      </c>
      <c r="CN24" s="20" t="n">
        <v>0.8139999999999999</v>
      </c>
      <c r="CO24" s="20" t="n">
        <v>0</v>
      </c>
      <c r="CP24" s="20" t="n">
        <v>0</v>
      </c>
      <c r="CQ24" s="20" t="n">
        <v>0</v>
      </c>
      <c r="CR24" s="20" t="n">
        <v>0</v>
      </c>
      <c r="CS24" s="20" t="n">
        <v>1.352</v>
      </c>
    </row>
    <row r="25">
      <c r="A25" s="10" t="n">
        <v>21</v>
      </c>
      <c r="B25" s="10" t="n">
        <v>10</v>
      </c>
      <c r="C25" s="20" t="n">
        <v>0.464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0.285</v>
      </c>
      <c r="R25" s="20" t="n">
        <v>0</v>
      </c>
      <c r="S25" s="20" t="n">
        <v>0</v>
      </c>
      <c r="T25" s="20" t="n">
        <v>1.092</v>
      </c>
      <c r="U25" s="20" t="n">
        <v>0</v>
      </c>
      <c r="V25" s="20" t="n">
        <v>0</v>
      </c>
      <c r="W25" s="20" t="n">
        <v>0</v>
      </c>
      <c r="X25" s="20" t="n">
        <v>0</v>
      </c>
      <c r="Y25" s="20" t="n">
        <v>0</v>
      </c>
      <c r="Z25" s="20" t="n">
        <v>0.381</v>
      </c>
      <c r="AA25" s="20" t="n">
        <v>0.9350000000000001</v>
      </c>
      <c r="AB25" s="20" t="n">
        <v>0.863</v>
      </c>
      <c r="AC25" s="20" t="n">
        <v>0</v>
      </c>
      <c r="AD25" s="20" t="n">
        <v>1.133</v>
      </c>
      <c r="AE25" s="20" t="n">
        <v>0</v>
      </c>
      <c r="AF25" s="20" t="n">
        <v>0</v>
      </c>
      <c r="AG25" s="20" t="n">
        <v>0</v>
      </c>
      <c r="AH25" s="20" t="n">
        <v>0.927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0" t="n">
        <v>0</v>
      </c>
      <c r="AP25" s="20" t="n">
        <v>0</v>
      </c>
      <c r="AQ25" s="20" t="n">
        <v>0</v>
      </c>
      <c r="AR25" s="20" t="n">
        <v>0.378</v>
      </c>
      <c r="AS25" s="20" t="n">
        <v>0</v>
      </c>
      <c r="AT25" s="20" t="n">
        <v>0</v>
      </c>
      <c r="AU25" s="20" t="n">
        <v>0</v>
      </c>
      <c r="AV25" s="20" t="n">
        <v>0</v>
      </c>
      <c r="AW25" s="20" t="n">
        <v>0</v>
      </c>
      <c r="AX25" s="20" t="n">
        <v>0</v>
      </c>
      <c r="AY25" s="20" t="n">
        <v>0</v>
      </c>
      <c r="AZ25" s="20" t="n">
        <v>0</v>
      </c>
      <c r="BA25" s="20" t="n">
        <v>0</v>
      </c>
      <c r="BB25" s="20" t="n">
        <v>0</v>
      </c>
      <c r="BC25" s="20" t="n">
        <v>0</v>
      </c>
      <c r="BD25" s="20" t="n">
        <v>0</v>
      </c>
      <c r="BE25" s="20" t="n">
        <v>0</v>
      </c>
      <c r="BF25" s="20" t="n">
        <v>0</v>
      </c>
      <c r="BG25" s="20" t="n">
        <v>0</v>
      </c>
      <c r="BH25" s="20" t="n">
        <v>0</v>
      </c>
      <c r="BI25" s="20" t="n">
        <v>0</v>
      </c>
      <c r="BJ25" s="20" t="n">
        <v>0</v>
      </c>
      <c r="BK25" s="20" t="n">
        <v>0</v>
      </c>
      <c r="BL25" s="20" t="n">
        <v>0</v>
      </c>
      <c r="BM25" s="20" t="n">
        <v>0</v>
      </c>
      <c r="BN25" s="20" t="n">
        <v>0</v>
      </c>
      <c r="BO25" s="20" t="n">
        <v>1.644</v>
      </c>
      <c r="BP25" s="20" t="n">
        <v>0</v>
      </c>
      <c r="BQ25" s="20" t="n">
        <v>0</v>
      </c>
      <c r="BR25" s="20" t="n">
        <v>0</v>
      </c>
      <c r="BS25" s="20" t="n">
        <v>0</v>
      </c>
      <c r="BT25" s="20" t="n">
        <v>0</v>
      </c>
      <c r="BU25" s="20" t="n">
        <v>0</v>
      </c>
      <c r="BV25" s="20" t="n">
        <v>0.979</v>
      </c>
      <c r="BW25" s="20" t="n">
        <v>1.32</v>
      </c>
      <c r="BX25" s="20" t="n">
        <v>0</v>
      </c>
      <c r="BY25" s="20" t="n">
        <v>0</v>
      </c>
      <c r="BZ25" s="20" t="n">
        <v>0</v>
      </c>
      <c r="CA25" s="20" t="n">
        <v>0</v>
      </c>
      <c r="CB25" s="20" t="n">
        <v>1.503</v>
      </c>
      <c r="CC25" s="20" t="n">
        <v>0</v>
      </c>
      <c r="CD25" s="20" t="n">
        <v>0</v>
      </c>
      <c r="CE25" s="20" t="n">
        <v>0</v>
      </c>
      <c r="CF25" s="20" t="n">
        <v>0.17</v>
      </c>
      <c r="CG25" s="20" t="n">
        <v>0</v>
      </c>
      <c r="CH25" s="20" t="n">
        <v>0</v>
      </c>
      <c r="CI25" s="20" t="n">
        <v>0</v>
      </c>
      <c r="CJ25" s="20" t="n">
        <v>0.328</v>
      </c>
      <c r="CK25" s="20" t="n">
        <v>0</v>
      </c>
      <c r="CL25" s="20" t="n">
        <v>0</v>
      </c>
      <c r="CM25" s="20" t="n">
        <v>0.213</v>
      </c>
      <c r="CN25" s="20" t="n">
        <v>1.031</v>
      </c>
      <c r="CO25" s="20" t="n">
        <v>0</v>
      </c>
      <c r="CP25" s="20" t="n">
        <v>0.996</v>
      </c>
      <c r="CQ25" s="20" t="n">
        <v>0</v>
      </c>
      <c r="CR25" s="20" t="n">
        <v>0</v>
      </c>
      <c r="CS25" s="20" t="n">
        <v>0</v>
      </c>
    </row>
    <row r="26">
      <c r="A26" s="10" t="n">
        <v>22</v>
      </c>
      <c r="B26" s="10" t="n">
        <v>10.5</v>
      </c>
      <c r="C26" s="20" t="n">
        <v>0.319</v>
      </c>
      <c r="D26" s="20" t="n">
        <v>0</v>
      </c>
      <c r="E26" s="20" t="n">
        <v>1.191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0</v>
      </c>
      <c r="W26" s="20" t="n">
        <v>0</v>
      </c>
      <c r="X26" s="20" t="n">
        <v>0</v>
      </c>
      <c r="Y26" s="20" t="n">
        <v>0</v>
      </c>
      <c r="Z26" s="20" t="n">
        <v>0</v>
      </c>
      <c r="AA26" s="20" t="n">
        <v>0.823</v>
      </c>
      <c r="AB26" s="20" t="n">
        <v>0.044</v>
      </c>
      <c r="AC26" s="20" t="n">
        <v>0</v>
      </c>
      <c r="AD26" s="20" t="n">
        <v>1.186</v>
      </c>
      <c r="AE26" s="20" t="n">
        <v>0</v>
      </c>
      <c r="AF26" s="20" t="n">
        <v>0</v>
      </c>
      <c r="AG26" s="20" t="n">
        <v>0</v>
      </c>
      <c r="AH26" s="20" t="n">
        <v>1.072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0" t="n">
        <v>0</v>
      </c>
      <c r="AP26" s="20" t="n">
        <v>0</v>
      </c>
      <c r="AQ26" s="20" t="n">
        <v>0</v>
      </c>
      <c r="AR26" s="20" t="n">
        <v>0</v>
      </c>
      <c r="AS26" s="20" t="n">
        <v>0</v>
      </c>
      <c r="AT26" s="20" t="n">
        <v>0</v>
      </c>
      <c r="AU26" s="20" t="n">
        <v>0</v>
      </c>
      <c r="AV26" s="20" t="n">
        <v>0</v>
      </c>
      <c r="AW26" s="20" t="n">
        <v>0</v>
      </c>
      <c r="AX26" s="20" t="n">
        <v>0</v>
      </c>
      <c r="AY26" s="20" t="n">
        <v>0</v>
      </c>
      <c r="AZ26" s="20" t="n">
        <v>0</v>
      </c>
      <c r="BA26" s="20" t="n">
        <v>0</v>
      </c>
      <c r="BB26" s="20" t="n">
        <v>0</v>
      </c>
      <c r="BC26" s="20" t="n">
        <v>0</v>
      </c>
      <c r="BD26" s="20" t="n">
        <v>0</v>
      </c>
      <c r="BE26" s="20" t="n">
        <v>0</v>
      </c>
      <c r="BF26" s="20" t="n">
        <v>0</v>
      </c>
      <c r="BG26" s="20" t="n">
        <v>0</v>
      </c>
      <c r="BH26" s="20" t="n">
        <v>0</v>
      </c>
      <c r="BI26" s="20" t="n">
        <v>0</v>
      </c>
      <c r="BJ26" s="20" t="n">
        <v>0</v>
      </c>
      <c r="BK26" s="20" t="n">
        <v>0</v>
      </c>
      <c r="BL26" s="20" t="n">
        <v>0</v>
      </c>
      <c r="BM26" s="20" t="n">
        <v>0</v>
      </c>
      <c r="BN26" s="20" t="n">
        <v>0</v>
      </c>
      <c r="BO26" s="20" t="n">
        <v>0</v>
      </c>
      <c r="BP26" s="20" t="n">
        <v>0</v>
      </c>
      <c r="BQ26" s="20" t="n">
        <v>0</v>
      </c>
      <c r="BR26" s="20" t="n">
        <v>0</v>
      </c>
      <c r="BS26" s="20" t="n">
        <v>0</v>
      </c>
      <c r="BT26" s="20" t="n">
        <v>0</v>
      </c>
      <c r="BU26" s="20" t="n">
        <v>0</v>
      </c>
      <c r="BV26" s="20" t="n">
        <v>0</v>
      </c>
      <c r="BW26" s="20" t="n">
        <v>0.576</v>
      </c>
      <c r="BX26" s="20" t="n">
        <v>0</v>
      </c>
      <c r="BY26" s="20" t="n">
        <v>0</v>
      </c>
      <c r="BZ26" s="20" t="n">
        <v>0</v>
      </c>
      <c r="CA26" s="20" t="n">
        <v>0</v>
      </c>
      <c r="CB26" s="20" t="n">
        <v>0</v>
      </c>
      <c r="CC26" s="20" t="n">
        <v>0</v>
      </c>
      <c r="CD26" s="20" t="n">
        <v>0</v>
      </c>
      <c r="CE26" s="20" t="n">
        <v>0</v>
      </c>
      <c r="CF26" s="20" t="n">
        <v>0</v>
      </c>
      <c r="CG26" s="20" t="n">
        <v>0</v>
      </c>
      <c r="CH26" s="20" t="n">
        <v>0</v>
      </c>
      <c r="CI26" s="20" t="n">
        <v>0</v>
      </c>
      <c r="CJ26" s="20" t="n">
        <v>1.249</v>
      </c>
      <c r="CK26" s="20" t="n">
        <v>0</v>
      </c>
      <c r="CL26" s="20" t="n">
        <v>0</v>
      </c>
      <c r="CM26" s="20" t="n">
        <v>0</v>
      </c>
      <c r="CN26" s="20" t="n">
        <v>0</v>
      </c>
      <c r="CO26" s="20" t="n">
        <v>0</v>
      </c>
      <c r="CP26" s="20" t="n">
        <v>0.764</v>
      </c>
      <c r="CQ26" s="20" t="n">
        <v>0</v>
      </c>
      <c r="CR26" s="20" t="n">
        <v>0</v>
      </c>
      <c r="CS26" s="20" t="n">
        <v>0</v>
      </c>
    </row>
    <row r="27">
      <c r="A27" s="10" t="n">
        <v>23</v>
      </c>
      <c r="B27" s="10" t="n">
        <v>11</v>
      </c>
      <c r="C27" s="20" t="n">
        <v>0</v>
      </c>
      <c r="D27" s="20" t="n">
        <v>0</v>
      </c>
      <c r="E27" s="20" t="n">
        <v>0.35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 t="n">
        <v>0</v>
      </c>
      <c r="X27" s="20" t="n">
        <v>0</v>
      </c>
      <c r="Y27" s="20" t="n">
        <v>0</v>
      </c>
      <c r="Z27" s="20" t="n">
        <v>0</v>
      </c>
      <c r="AA27" s="20" t="n">
        <v>0</v>
      </c>
      <c r="AB27" s="20" t="n">
        <v>0</v>
      </c>
      <c r="AC27" s="20" t="n">
        <v>0</v>
      </c>
      <c r="AD27" s="20" t="n">
        <v>1.072</v>
      </c>
      <c r="AE27" s="20" t="n">
        <v>0</v>
      </c>
      <c r="AF27" s="20" t="n">
        <v>0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0" t="n">
        <v>1.003</v>
      </c>
      <c r="AP27" s="20" t="n">
        <v>0</v>
      </c>
      <c r="AQ27" s="20" t="n">
        <v>0</v>
      </c>
      <c r="AR27" s="20" t="n">
        <v>0.392</v>
      </c>
      <c r="AS27" s="20" t="n">
        <v>0</v>
      </c>
      <c r="AT27" s="20" t="n">
        <v>0</v>
      </c>
      <c r="AU27" s="20" t="n">
        <v>0</v>
      </c>
      <c r="AV27" s="20" t="n">
        <v>0</v>
      </c>
      <c r="AW27" s="20" t="n">
        <v>0</v>
      </c>
      <c r="AX27" s="20" t="n">
        <v>0</v>
      </c>
      <c r="AY27" s="20" t="n">
        <v>0</v>
      </c>
      <c r="AZ27" s="20" t="n">
        <v>0</v>
      </c>
      <c r="BA27" s="20" t="n">
        <v>0</v>
      </c>
      <c r="BB27" s="20" t="n">
        <v>0</v>
      </c>
      <c r="BC27" s="20" t="n">
        <v>0</v>
      </c>
      <c r="BD27" s="20" t="n">
        <v>0</v>
      </c>
      <c r="BE27" s="20" t="n">
        <v>0</v>
      </c>
      <c r="BF27" s="20" t="n">
        <v>0</v>
      </c>
      <c r="BG27" s="20" t="n">
        <v>0</v>
      </c>
      <c r="BH27" s="20" t="n">
        <v>0</v>
      </c>
      <c r="BI27" s="20" t="n">
        <v>0</v>
      </c>
      <c r="BJ27" s="20" t="n">
        <v>0</v>
      </c>
      <c r="BK27" s="20" t="n">
        <v>0</v>
      </c>
      <c r="BL27" s="20" t="n">
        <v>0</v>
      </c>
      <c r="BM27" s="20" t="n">
        <v>0</v>
      </c>
      <c r="BN27" s="20" t="n">
        <v>0</v>
      </c>
      <c r="BO27" s="20" t="n">
        <v>0</v>
      </c>
      <c r="BP27" s="20" t="n">
        <v>0</v>
      </c>
      <c r="BQ27" s="20" t="n">
        <v>0</v>
      </c>
      <c r="BR27" s="20" t="n">
        <v>0</v>
      </c>
      <c r="BS27" s="20" t="n">
        <v>0</v>
      </c>
      <c r="BT27" s="20" t="n">
        <v>1.289</v>
      </c>
      <c r="BU27" s="20" t="n">
        <v>0</v>
      </c>
      <c r="BV27" s="20" t="n">
        <v>0</v>
      </c>
      <c r="BW27" s="20" t="n">
        <v>1.635</v>
      </c>
      <c r="BX27" s="20" t="n">
        <v>0</v>
      </c>
      <c r="BY27" s="20" t="n">
        <v>0</v>
      </c>
      <c r="BZ27" s="20" t="n">
        <v>0</v>
      </c>
      <c r="CA27" s="20" t="n">
        <v>0</v>
      </c>
      <c r="CB27" s="20" t="n">
        <v>0</v>
      </c>
      <c r="CC27" s="20" t="n">
        <v>0</v>
      </c>
      <c r="CD27" s="20" t="n">
        <v>0.07000000000000001</v>
      </c>
      <c r="CE27" s="20" t="n">
        <v>0</v>
      </c>
      <c r="CF27" s="20" t="n">
        <v>0</v>
      </c>
      <c r="CG27" s="20" t="n">
        <v>0</v>
      </c>
      <c r="CH27" s="20" t="n">
        <v>0</v>
      </c>
      <c r="CI27" s="20" t="n">
        <v>0</v>
      </c>
      <c r="CJ27" s="20" t="n">
        <v>1.171</v>
      </c>
      <c r="CK27" s="20" t="n">
        <v>0</v>
      </c>
      <c r="CL27" s="20" t="n">
        <v>0</v>
      </c>
      <c r="CM27" s="20" t="n">
        <v>0</v>
      </c>
      <c r="CN27" s="20" t="n">
        <v>0</v>
      </c>
      <c r="CO27" s="20" t="n">
        <v>0</v>
      </c>
      <c r="CP27" s="20" t="n">
        <v>0.967</v>
      </c>
      <c r="CQ27" s="20" t="n">
        <v>0</v>
      </c>
      <c r="CR27" s="20" t="n">
        <v>0</v>
      </c>
      <c r="CS27" s="20" t="n">
        <v>0</v>
      </c>
    </row>
    <row r="28">
      <c r="A28" s="10" t="n">
        <v>24</v>
      </c>
      <c r="B28" s="10" t="n">
        <v>11.5</v>
      </c>
      <c r="C28" s="20" t="n">
        <v>0</v>
      </c>
      <c r="D28" s="20" t="n">
        <v>0</v>
      </c>
      <c r="E28" s="20" t="n">
        <v>1.05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0.123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  <c r="AZ28" s="20" t="n">
        <v>0</v>
      </c>
      <c r="BA28" s="20" t="n">
        <v>0</v>
      </c>
      <c r="BB28" s="20" t="n">
        <v>0</v>
      </c>
      <c r="BC28" s="20" t="n">
        <v>0</v>
      </c>
      <c r="BD28" s="20" t="n">
        <v>0</v>
      </c>
      <c r="BE28" s="20" t="n">
        <v>0</v>
      </c>
      <c r="BF28" s="20" t="n">
        <v>0</v>
      </c>
      <c r="BG28" s="20" t="n">
        <v>0</v>
      </c>
      <c r="BH28" s="20" t="n">
        <v>0</v>
      </c>
      <c r="BI28" s="20" t="n">
        <v>0</v>
      </c>
      <c r="BJ28" s="20" t="n">
        <v>0</v>
      </c>
      <c r="BK28" s="20" t="n">
        <v>0</v>
      </c>
      <c r="BL28" s="20" t="n">
        <v>0</v>
      </c>
      <c r="BM28" s="20" t="n">
        <v>0</v>
      </c>
      <c r="BN28" s="20" t="n">
        <v>0</v>
      </c>
      <c r="BO28" s="20" t="n">
        <v>0</v>
      </c>
      <c r="BP28" s="20" t="n">
        <v>0</v>
      </c>
      <c r="BQ28" s="20" t="n">
        <v>0</v>
      </c>
      <c r="BR28" s="20" t="n">
        <v>0</v>
      </c>
      <c r="BS28" s="20" t="n">
        <v>0</v>
      </c>
      <c r="BT28" s="20" t="n">
        <v>0</v>
      </c>
      <c r="BU28" s="20" t="n">
        <v>0</v>
      </c>
      <c r="BV28" s="20" t="n">
        <v>0</v>
      </c>
      <c r="BW28" s="20" t="n">
        <v>0.646</v>
      </c>
      <c r="BX28" s="20" t="n">
        <v>0.065</v>
      </c>
      <c r="BY28" s="20" t="n">
        <v>0</v>
      </c>
      <c r="BZ28" s="20" t="n">
        <v>0</v>
      </c>
      <c r="CA28" s="20" t="n">
        <v>0</v>
      </c>
      <c r="CB28" s="20" t="n">
        <v>0</v>
      </c>
      <c r="CC28" s="20" t="n">
        <v>0</v>
      </c>
      <c r="CD28" s="20" t="n">
        <v>0.358</v>
      </c>
      <c r="CE28" s="20" t="n">
        <v>0</v>
      </c>
      <c r="CF28" s="20" t="n">
        <v>0</v>
      </c>
      <c r="CG28" s="20" t="n">
        <v>0</v>
      </c>
      <c r="CH28" s="20" t="n">
        <v>0</v>
      </c>
      <c r="CI28" s="20" t="n">
        <v>0</v>
      </c>
      <c r="CJ28" s="20" t="n">
        <v>0</v>
      </c>
      <c r="CK28" s="20" t="n">
        <v>0</v>
      </c>
      <c r="CL28" s="20" t="n">
        <v>0</v>
      </c>
      <c r="CM28" s="20" t="n">
        <v>0</v>
      </c>
      <c r="CN28" s="20" t="n">
        <v>0</v>
      </c>
      <c r="CO28" s="20" t="n">
        <v>0</v>
      </c>
      <c r="CP28" s="20" t="n">
        <v>0.125</v>
      </c>
      <c r="CQ28" s="20" t="n">
        <v>0</v>
      </c>
      <c r="CR28" s="20" t="n">
        <v>0</v>
      </c>
      <c r="CS28" s="20" t="n">
        <v>0</v>
      </c>
    </row>
    <row r="29">
      <c r="A29" s="10" t="n">
        <v>25</v>
      </c>
      <c r="B29" s="10" t="n">
        <v>12</v>
      </c>
      <c r="C29" s="20" t="n">
        <v>0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  <c r="AZ29" s="20" t="n">
        <v>0</v>
      </c>
      <c r="BA29" s="20" t="n">
        <v>0</v>
      </c>
      <c r="BB29" s="20" t="n">
        <v>0</v>
      </c>
      <c r="BC29" s="20" t="n">
        <v>0</v>
      </c>
      <c r="BD29" s="20" t="n">
        <v>0</v>
      </c>
      <c r="BE29" s="20" t="n">
        <v>0</v>
      </c>
      <c r="BF29" s="20" t="n">
        <v>0</v>
      </c>
      <c r="BG29" s="20" t="n">
        <v>0</v>
      </c>
      <c r="BH29" s="20" t="n">
        <v>0</v>
      </c>
      <c r="BI29" s="20" t="n">
        <v>0</v>
      </c>
      <c r="BJ29" s="20" t="n">
        <v>0</v>
      </c>
      <c r="BK29" s="20" t="n">
        <v>0</v>
      </c>
      <c r="BL29" s="20" t="n">
        <v>0</v>
      </c>
      <c r="BM29" s="20" t="n">
        <v>0</v>
      </c>
      <c r="BN29" s="20" t="n">
        <v>0.23</v>
      </c>
      <c r="BO29" s="20" t="n">
        <v>0</v>
      </c>
      <c r="BP29" s="20" t="n">
        <v>0</v>
      </c>
      <c r="BQ29" s="20" t="n">
        <v>0</v>
      </c>
      <c r="BR29" s="20" t="n">
        <v>0</v>
      </c>
      <c r="BS29" s="20" t="n">
        <v>0</v>
      </c>
      <c r="BT29" s="20" t="n">
        <v>0</v>
      </c>
      <c r="BU29" s="20" t="n">
        <v>0</v>
      </c>
      <c r="BV29" s="20" t="n">
        <v>0</v>
      </c>
      <c r="BW29" s="20" t="n">
        <v>0</v>
      </c>
      <c r="BX29" s="20" t="n">
        <v>0</v>
      </c>
      <c r="BY29" s="20" t="n">
        <v>0</v>
      </c>
      <c r="BZ29" s="20" t="n">
        <v>0</v>
      </c>
      <c r="CA29" s="20" t="n">
        <v>0</v>
      </c>
      <c r="CB29" s="20" t="n">
        <v>0</v>
      </c>
      <c r="CC29" s="20" t="n">
        <v>0</v>
      </c>
      <c r="CD29" s="20" t="n">
        <v>0</v>
      </c>
      <c r="CE29" s="20" t="n">
        <v>0</v>
      </c>
      <c r="CF29" s="20" t="n">
        <v>0</v>
      </c>
      <c r="CG29" s="20" t="n">
        <v>0</v>
      </c>
      <c r="CH29" s="20" t="n">
        <v>0</v>
      </c>
      <c r="CI29" s="20" t="n">
        <v>0</v>
      </c>
      <c r="CJ29" s="20" t="n">
        <v>0</v>
      </c>
      <c r="CK29" s="20" t="n">
        <v>0</v>
      </c>
      <c r="CL29" s="20" t="n">
        <v>0</v>
      </c>
      <c r="CM29" s="20" t="n">
        <v>0</v>
      </c>
      <c r="CN29" s="20" t="n">
        <v>0</v>
      </c>
      <c r="CO29" s="20" t="n">
        <v>0</v>
      </c>
      <c r="CP29" s="20" t="n">
        <v>0</v>
      </c>
      <c r="CQ29" s="20" t="n">
        <v>0</v>
      </c>
      <c r="CR29" s="20" t="n">
        <v>0</v>
      </c>
      <c r="CS29" s="20" t="n">
        <v>0</v>
      </c>
    </row>
    <row r="30">
      <c r="A30" s="10" t="n">
        <v>26</v>
      </c>
      <c r="B30" s="10" t="n">
        <v>12.5</v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0.047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1.477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  <c r="AZ30" s="20" t="n">
        <v>0</v>
      </c>
      <c r="BA30" s="20" t="n">
        <v>0</v>
      </c>
      <c r="BB30" s="20" t="n">
        <v>0</v>
      </c>
      <c r="BC30" s="20" t="n">
        <v>0</v>
      </c>
      <c r="BD30" s="20" t="n">
        <v>0</v>
      </c>
      <c r="BE30" s="20" t="n">
        <v>0</v>
      </c>
      <c r="BF30" s="20" t="n">
        <v>0</v>
      </c>
      <c r="BG30" s="20" t="n">
        <v>0</v>
      </c>
      <c r="BH30" s="20" t="n">
        <v>0</v>
      </c>
      <c r="BI30" s="20" t="n">
        <v>0</v>
      </c>
      <c r="BJ30" s="20" t="n">
        <v>0</v>
      </c>
      <c r="BK30" s="20" t="n">
        <v>0</v>
      </c>
      <c r="BL30" s="20" t="n">
        <v>0</v>
      </c>
      <c r="BM30" s="20" t="n">
        <v>0</v>
      </c>
      <c r="BN30" s="20" t="n">
        <v>0</v>
      </c>
      <c r="BO30" s="20" t="n">
        <v>0</v>
      </c>
      <c r="BP30" s="20" t="n">
        <v>0</v>
      </c>
      <c r="BQ30" s="20" t="n">
        <v>0</v>
      </c>
      <c r="BR30" s="20" t="n">
        <v>0</v>
      </c>
      <c r="BS30" s="20" t="n">
        <v>0</v>
      </c>
      <c r="BT30" s="20" t="n">
        <v>0</v>
      </c>
      <c r="BU30" s="20" t="n">
        <v>0</v>
      </c>
      <c r="BV30" s="20" t="n">
        <v>0</v>
      </c>
      <c r="BW30" s="20" t="n">
        <v>0</v>
      </c>
      <c r="BX30" s="20" t="n">
        <v>0</v>
      </c>
      <c r="BY30" s="20" t="n">
        <v>0</v>
      </c>
      <c r="BZ30" s="20" t="n">
        <v>0</v>
      </c>
      <c r="CA30" s="20" t="n">
        <v>0</v>
      </c>
      <c r="CB30" s="20" t="n">
        <v>0</v>
      </c>
      <c r="CC30" s="20" t="n">
        <v>0</v>
      </c>
      <c r="CD30" s="20" t="n">
        <v>0.372</v>
      </c>
      <c r="CE30" s="20" t="n">
        <v>0</v>
      </c>
      <c r="CF30" s="20" t="n">
        <v>0</v>
      </c>
      <c r="CG30" s="20" t="n">
        <v>0</v>
      </c>
      <c r="CH30" s="20" t="n">
        <v>0</v>
      </c>
      <c r="CI30" s="20" t="n">
        <v>0</v>
      </c>
      <c r="CJ30" s="20" t="n">
        <v>0</v>
      </c>
      <c r="CK30" s="20" t="n">
        <v>0</v>
      </c>
      <c r="CL30" s="20" t="n">
        <v>0</v>
      </c>
      <c r="CM30" s="20" t="n">
        <v>0</v>
      </c>
      <c r="CN30" s="20" t="n">
        <v>0</v>
      </c>
      <c r="CO30" s="20" t="n">
        <v>0</v>
      </c>
      <c r="CP30" s="20" t="n">
        <v>0</v>
      </c>
      <c r="CQ30" s="20" t="n">
        <v>0</v>
      </c>
      <c r="CR30" s="20" t="n">
        <v>0</v>
      </c>
      <c r="CS30" s="20" t="n">
        <v>0</v>
      </c>
    </row>
    <row r="31">
      <c r="A31" s="10" t="n">
        <v>27</v>
      </c>
      <c r="B31" s="10" t="n">
        <v>13</v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0.386</v>
      </c>
      <c r="AL31" s="20" t="n">
        <v>0</v>
      </c>
      <c r="AM31" s="20" t="n">
        <v>0</v>
      </c>
      <c r="AN31" s="20" t="n">
        <v>0</v>
      </c>
      <c r="AO31" s="20" t="n">
        <v>0.598</v>
      </c>
      <c r="AP31" s="20" t="n">
        <v>0</v>
      </c>
      <c r="AQ31" s="20" t="n">
        <v>1.752</v>
      </c>
      <c r="AR31" s="20" t="n">
        <v>0.122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  <c r="AZ31" s="20" t="n">
        <v>0</v>
      </c>
      <c r="BA31" s="20" t="n">
        <v>0</v>
      </c>
      <c r="BB31" s="20" t="n">
        <v>0</v>
      </c>
      <c r="BC31" s="20" t="n">
        <v>0</v>
      </c>
      <c r="BD31" s="20" t="n">
        <v>0</v>
      </c>
      <c r="BE31" s="20" t="n">
        <v>0</v>
      </c>
      <c r="BF31" s="20" t="n">
        <v>0</v>
      </c>
      <c r="BG31" s="20" t="n">
        <v>0</v>
      </c>
      <c r="BH31" s="20" t="n">
        <v>0</v>
      </c>
      <c r="BI31" s="20" t="n">
        <v>0</v>
      </c>
      <c r="BJ31" s="20" t="n">
        <v>0</v>
      </c>
      <c r="BK31" s="20" t="n">
        <v>0</v>
      </c>
      <c r="BL31" s="20" t="n">
        <v>0</v>
      </c>
      <c r="BM31" s="20" t="n">
        <v>0</v>
      </c>
      <c r="BN31" s="20" t="n">
        <v>0</v>
      </c>
      <c r="BO31" s="20" t="n">
        <v>0</v>
      </c>
      <c r="BP31" s="20" t="n">
        <v>0</v>
      </c>
      <c r="BQ31" s="20" t="n">
        <v>0</v>
      </c>
      <c r="BR31" s="20" t="n">
        <v>0</v>
      </c>
      <c r="BS31" s="20" t="n">
        <v>0</v>
      </c>
      <c r="BT31" s="20" t="n">
        <v>0</v>
      </c>
      <c r="BU31" s="20" t="n">
        <v>0</v>
      </c>
      <c r="BV31" s="20" t="n">
        <v>0</v>
      </c>
      <c r="BW31" s="20" t="n">
        <v>0</v>
      </c>
      <c r="BX31" s="20" t="n">
        <v>0</v>
      </c>
      <c r="BY31" s="20" t="n">
        <v>0</v>
      </c>
      <c r="BZ31" s="20" t="n">
        <v>0</v>
      </c>
      <c r="CA31" s="20" t="n">
        <v>0</v>
      </c>
      <c r="CB31" s="20" t="n">
        <v>0</v>
      </c>
      <c r="CC31" s="20" t="n">
        <v>0</v>
      </c>
      <c r="CD31" s="20" t="n">
        <v>0</v>
      </c>
      <c r="CE31" s="20" t="n">
        <v>0</v>
      </c>
      <c r="CF31" s="20" t="n">
        <v>0</v>
      </c>
      <c r="CG31" s="20" t="n">
        <v>0</v>
      </c>
      <c r="CH31" s="20" t="n">
        <v>0</v>
      </c>
      <c r="CI31" s="20" t="n">
        <v>0</v>
      </c>
      <c r="CJ31" s="20" t="n">
        <v>0</v>
      </c>
      <c r="CK31" s="20" t="n">
        <v>0</v>
      </c>
      <c r="CL31" s="20" t="n">
        <v>0</v>
      </c>
      <c r="CM31" s="20" t="n">
        <v>0</v>
      </c>
      <c r="CN31" s="20" t="n">
        <v>0</v>
      </c>
      <c r="CO31" s="20" t="n">
        <v>0</v>
      </c>
      <c r="CP31" s="20" t="n">
        <v>0.9370000000000001</v>
      </c>
      <c r="CQ31" s="20" t="n">
        <v>0.338</v>
      </c>
      <c r="CR31" s="20" t="n">
        <v>0</v>
      </c>
      <c r="CS31" s="20" t="n">
        <v>0</v>
      </c>
    </row>
    <row r="32">
      <c r="A32" s="10" t="n">
        <v>28</v>
      </c>
      <c r="B32" s="10" t="n">
        <v>13.5</v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0.105</v>
      </c>
      <c r="AP32" s="20" t="n">
        <v>0</v>
      </c>
      <c r="AQ32" s="20" t="n">
        <v>0.281</v>
      </c>
      <c r="AR32" s="20" t="n">
        <v>0.24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  <c r="AZ32" s="20" t="n">
        <v>0</v>
      </c>
      <c r="BA32" s="20" t="n">
        <v>0</v>
      </c>
      <c r="BB32" s="20" t="n">
        <v>0</v>
      </c>
      <c r="BC32" s="20" t="n">
        <v>0</v>
      </c>
      <c r="BD32" s="20" t="n">
        <v>0</v>
      </c>
      <c r="BE32" s="20" t="n">
        <v>0</v>
      </c>
      <c r="BF32" s="20" t="n">
        <v>0</v>
      </c>
      <c r="BG32" s="20" t="n">
        <v>0</v>
      </c>
      <c r="BH32" s="20" t="n">
        <v>0</v>
      </c>
      <c r="BI32" s="20" t="n">
        <v>0</v>
      </c>
      <c r="BJ32" s="20" t="n">
        <v>0</v>
      </c>
      <c r="BK32" s="20" t="n">
        <v>0</v>
      </c>
      <c r="BL32" s="20" t="n">
        <v>0</v>
      </c>
      <c r="BM32" s="20" t="n">
        <v>0</v>
      </c>
      <c r="BN32" s="20" t="n">
        <v>0</v>
      </c>
      <c r="BO32" s="20" t="n">
        <v>0</v>
      </c>
      <c r="BP32" s="20" t="n">
        <v>0</v>
      </c>
      <c r="BQ32" s="20" t="n">
        <v>0</v>
      </c>
      <c r="BR32" s="20" t="n">
        <v>0</v>
      </c>
      <c r="BS32" s="20" t="n">
        <v>0</v>
      </c>
      <c r="BT32" s="20" t="n">
        <v>0</v>
      </c>
      <c r="BU32" s="20" t="n">
        <v>0</v>
      </c>
      <c r="BV32" s="20" t="n">
        <v>0</v>
      </c>
      <c r="BW32" s="20" t="n">
        <v>0</v>
      </c>
      <c r="BX32" s="20" t="n">
        <v>0</v>
      </c>
      <c r="BY32" s="20" t="n">
        <v>0</v>
      </c>
      <c r="BZ32" s="20" t="n">
        <v>0</v>
      </c>
      <c r="CA32" s="20" t="n">
        <v>0</v>
      </c>
      <c r="CB32" s="20" t="n">
        <v>0</v>
      </c>
      <c r="CC32" s="20" t="n">
        <v>0</v>
      </c>
      <c r="CD32" s="20" t="n">
        <v>0.126</v>
      </c>
      <c r="CE32" s="20" t="n">
        <v>0</v>
      </c>
      <c r="CF32" s="20" t="n">
        <v>0</v>
      </c>
      <c r="CG32" s="20" t="n">
        <v>0</v>
      </c>
      <c r="CH32" s="20" t="n">
        <v>0</v>
      </c>
      <c r="CI32" s="20" t="n">
        <v>0</v>
      </c>
      <c r="CJ32" s="20" t="n">
        <v>0</v>
      </c>
      <c r="CK32" s="20" t="n">
        <v>0</v>
      </c>
      <c r="CL32" s="20" t="n">
        <v>0</v>
      </c>
      <c r="CM32" s="20" t="n">
        <v>0</v>
      </c>
      <c r="CN32" s="20" t="n">
        <v>0</v>
      </c>
      <c r="CO32" s="20" t="n">
        <v>0</v>
      </c>
      <c r="CP32" s="20" t="n">
        <v>0.988</v>
      </c>
      <c r="CQ32" s="20" t="n">
        <v>0</v>
      </c>
      <c r="CR32" s="20" t="n">
        <v>0</v>
      </c>
      <c r="CS32" s="20" t="n">
        <v>0.283</v>
      </c>
    </row>
    <row r="33">
      <c r="A33" s="10" t="n">
        <v>29</v>
      </c>
      <c r="B33" s="10" t="n">
        <v>14</v>
      </c>
      <c r="C33" s="20" t="n">
        <v>0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</v>
      </c>
      <c r="R33" s="20" t="n">
        <v>0</v>
      </c>
      <c r="S33" s="20" t="n">
        <v>0</v>
      </c>
      <c r="T33" s="20" t="n">
        <v>0</v>
      </c>
      <c r="U33" s="20" t="n">
        <v>0</v>
      </c>
      <c r="V33" s="20" t="n">
        <v>0</v>
      </c>
      <c r="W33" s="20" t="n">
        <v>0</v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0.429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0.138</v>
      </c>
      <c r="AP33" s="20" t="n">
        <v>0</v>
      </c>
      <c r="AQ33" s="20" t="n">
        <v>0</v>
      </c>
      <c r="AR33" s="20" t="n">
        <v>0.034</v>
      </c>
      <c r="AS33" s="20" t="n">
        <v>0</v>
      </c>
      <c r="AT33" s="20" t="n">
        <v>0</v>
      </c>
      <c r="AU33" s="20" t="n">
        <v>0</v>
      </c>
      <c r="AV33" s="20" t="n">
        <v>0</v>
      </c>
      <c r="AW33" s="20" t="n">
        <v>0</v>
      </c>
      <c r="AX33" s="20" t="n">
        <v>0</v>
      </c>
      <c r="AY33" s="20" t="n">
        <v>0</v>
      </c>
      <c r="AZ33" s="20" t="n">
        <v>0</v>
      </c>
      <c r="BA33" s="20" t="n">
        <v>0</v>
      </c>
      <c r="BB33" s="20" t="n">
        <v>0</v>
      </c>
      <c r="BC33" s="20" t="n">
        <v>0</v>
      </c>
      <c r="BD33" s="20" t="n">
        <v>0</v>
      </c>
      <c r="BE33" s="20" t="n">
        <v>0</v>
      </c>
      <c r="BF33" s="20" t="n">
        <v>0</v>
      </c>
      <c r="BG33" s="20" t="n">
        <v>0</v>
      </c>
      <c r="BH33" s="20" t="n">
        <v>0</v>
      </c>
      <c r="BI33" s="20" t="n">
        <v>0</v>
      </c>
      <c r="BJ33" s="20" t="n">
        <v>0</v>
      </c>
      <c r="BK33" s="20" t="n">
        <v>0</v>
      </c>
      <c r="BL33" s="20" t="n">
        <v>0</v>
      </c>
      <c r="BM33" s="20" t="n">
        <v>0</v>
      </c>
      <c r="BN33" s="20" t="n">
        <v>0</v>
      </c>
      <c r="BO33" s="20" t="n">
        <v>0</v>
      </c>
      <c r="BP33" s="20" t="n">
        <v>0</v>
      </c>
      <c r="BQ33" s="20" t="n">
        <v>0</v>
      </c>
      <c r="BR33" s="20" t="n">
        <v>0</v>
      </c>
      <c r="BS33" s="20" t="n">
        <v>0</v>
      </c>
      <c r="BT33" s="20" t="n">
        <v>0</v>
      </c>
      <c r="BU33" s="20" t="n">
        <v>0</v>
      </c>
      <c r="BV33" s="20" t="n">
        <v>0</v>
      </c>
      <c r="BW33" s="20" t="n">
        <v>0</v>
      </c>
      <c r="BX33" s="20" t="n">
        <v>0</v>
      </c>
      <c r="BY33" s="20" t="n">
        <v>0</v>
      </c>
      <c r="BZ33" s="20" t="n">
        <v>0</v>
      </c>
      <c r="CA33" s="20" t="n">
        <v>0</v>
      </c>
      <c r="CB33" s="20" t="n">
        <v>0</v>
      </c>
      <c r="CC33" s="20" t="n">
        <v>0</v>
      </c>
      <c r="CD33" s="20" t="n">
        <v>0</v>
      </c>
      <c r="CE33" s="20" t="n">
        <v>0</v>
      </c>
      <c r="CF33" s="20" t="n">
        <v>0</v>
      </c>
      <c r="CG33" s="20" t="n">
        <v>0</v>
      </c>
      <c r="CH33" s="20" t="n">
        <v>0</v>
      </c>
      <c r="CI33" s="20" t="n">
        <v>0</v>
      </c>
      <c r="CJ33" s="20" t="n">
        <v>0</v>
      </c>
      <c r="CK33" s="20" t="n">
        <v>0</v>
      </c>
      <c r="CL33" s="20" t="n">
        <v>0</v>
      </c>
      <c r="CM33" s="20" t="n">
        <v>0</v>
      </c>
      <c r="CN33" s="20" t="n">
        <v>0</v>
      </c>
      <c r="CO33" s="20" t="n">
        <v>0</v>
      </c>
      <c r="CP33" s="20" t="n">
        <v>0.819</v>
      </c>
      <c r="CQ33" s="20" t="n">
        <v>0</v>
      </c>
      <c r="CR33" s="20" t="n">
        <v>0</v>
      </c>
      <c r="CS33" s="20" t="n">
        <v>0</v>
      </c>
    </row>
    <row r="34">
      <c r="A34" s="10" t="n">
        <v>30</v>
      </c>
      <c r="B34" s="10" t="n">
        <v>14.5</v>
      </c>
      <c r="C34" s="20" t="n">
        <v>0.162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20" t="n">
        <v>0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0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0" t="n">
        <v>0</v>
      </c>
      <c r="AP34" s="20" t="n">
        <v>0</v>
      </c>
      <c r="AQ34" s="20" t="n">
        <v>0</v>
      </c>
      <c r="AR34" s="20" t="n">
        <v>0.217</v>
      </c>
      <c r="AS34" s="20" t="n">
        <v>0</v>
      </c>
      <c r="AT34" s="20" t="n">
        <v>0</v>
      </c>
      <c r="AU34" s="20" t="n">
        <v>0</v>
      </c>
      <c r="AV34" s="20" t="n">
        <v>0</v>
      </c>
      <c r="AW34" s="20" t="n">
        <v>0</v>
      </c>
      <c r="AX34" s="20" t="n">
        <v>0</v>
      </c>
      <c r="AY34" s="20" t="n">
        <v>0</v>
      </c>
      <c r="AZ34" s="20" t="n">
        <v>0</v>
      </c>
      <c r="BA34" s="20" t="n">
        <v>0</v>
      </c>
      <c r="BB34" s="20" t="n">
        <v>0</v>
      </c>
      <c r="BC34" s="20" t="n">
        <v>0</v>
      </c>
      <c r="BD34" s="20" t="n">
        <v>0</v>
      </c>
      <c r="BE34" s="20" t="n">
        <v>0</v>
      </c>
      <c r="BF34" s="20" t="n">
        <v>0</v>
      </c>
      <c r="BG34" s="20" t="n">
        <v>0</v>
      </c>
      <c r="BH34" s="20" t="n">
        <v>0</v>
      </c>
      <c r="BI34" s="20" t="n">
        <v>0</v>
      </c>
      <c r="BJ34" s="20" t="n">
        <v>0</v>
      </c>
      <c r="BK34" s="20" t="n">
        <v>0</v>
      </c>
      <c r="BL34" s="20" t="n">
        <v>0</v>
      </c>
      <c r="BM34" s="20" t="n">
        <v>0</v>
      </c>
      <c r="BN34" s="20" t="n">
        <v>0</v>
      </c>
      <c r="BO34" s="20" t="n">
        <v>0</v>
      </c>
      <c r="BP34" s="20" t="n">
        <v>0</v>
      </c>
      <c r="BQ34" s="20" t="n">
        <v>0</v>
      </c>
      <c r="BR34" s="20" t="n">
        <v>0</v>
      </c>
      <c r="BS34" s="20" t="n">
        <v>0</v>
      </c>
      <c r="BT34" s="20" t="n">
        <v>0</v>
      </c>
      <c r="BU34" s="20" t="n">
        <v>0</v>
      </c>
      <c r="BV34" s="20" t="n">
        <v>0</v>
      </c>
      <c r="BW34" s="20" t="n">
        <v>0</v>
      </c>
      <c r="BX34" s="20" t="n">
        <v>0</v>
      </c>
      <c r="BY34" s="20" t="n">
        <v>0</v>
      </c>
      <c r="BZ34" s="20" t="n">
        <v>0</v>
      </c>
      <c r="CA34" s="20" t="n">
        <v>0</v>
      </c>
      <c r="CB34" s="20" t="n">
        <v>0</v>
      </c>
      <c r="CC34" s="20" t="n">
        <v>0</v>
      </c>
      <c r="CD34" s="20" t="n">
        <v>0</v>
      </c>
      <c r="CE34" s="20" t="n">
        <v>0</v>
      </c>
      <c r="CF34" s="20" t="n">
        <v>0</v>
      </c>
      <c r="CG34" s="20" t="n">
        <v>0</v>
      </c>
      <c r="CH34" s="20" t="n">
        <v>0</v>
      </c>
      <c r="CI34" s="20" t="n">
        <v>0</v>
      </c>
      <c r="CJ34" s="20" t="n">
        <v>0</v>
      </c>
      <c r="CK34" s="20" t="n">
        <v>0</v>
      </c>
      <c r="CL34" s="20" t="n">
        <v>0</v>
      </c>
      <c r="CM34" s="20" t="n">
        <v>0</v>
      </c>
      <c r="CN34" s="20" t="n">
        <v>0</v>
      </c>
      <c r="CO34" s="20" t="n">
        <v>0</v>
      </c>
      <c r="CP34" s="20" t="n">
        <v>0</v>
      </c>
      <c r="CQ34" s="20" t="n">
        <v>0</v>
      </c>
      <c r="CR34" s="20" t="n">
        <v>0</v>
      </c>
      <c r="CS34" s="20" t="n">
        <v>0</v>
      </c>
    </row>
    <row r="35">
      <c r="A35" s="10" t="n">
        <v>31</v>
      </c>
      <c r="B35" s="10" t="n">
        <v>15</v>
      </c>
      <c r="C35" s="20" t="n">
        <v>0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0</v>
      </c>
      <c r="AB35" s="20" t="n">
        <v>0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0</v>
      </c>
      <c r="AH35" s="20" t="n">
        <v>0</v>
      </c>
      <c r="AI35" s="20" t="n">
        <v>0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0" t="n">
        <v>0</v>
      </c>
      <c r="AP35" s="20" t="n">
        <v>0</v>
      </c>
      <c r="AQ35" s="20" t="n">
        <v>0</v>
      </c>
      <c r="AR35" s="20" t="n">
        <v>0.176</v>
      </c>
      <c r="AS35" s="20" t="n">
        <v>0</v>
      </c>
      <c r="AT35" s="20" t="n">
        <v>0</v>
      </c>
      <c r="AU35" s="20" t="n">
        <v>0</v>
      </c>
      <c r="AV35" s="20" t="n">
        <v>0</v>
      </c>
      <c r="AW35" s="20" t="n">
        <v>0</v>
      </c>
      <c r="AX35" s="20" t="n">
        <v>0</v>
      </c>
      <c r="AY35" s="20" t="n">
        <v>0</v>
      </c>
      <c r="AZ35" s="20" t="n">
        <v>0</v>
      </c>
      <c r="BA35" s="20" t="n">
        <v>0</v>
      </c>
      <c r="BB35" s="20" t="n">
        <v>0</v>
      </c>
      <c r="BC35" s="20" t="n">
        <v>0</v>
      </c>
      <c r="BD35" s="20" t="n">
        <v>0</v>
      </c>
      <c r="BE35" s="20" t="n">
        <v>0</v>
      </c>
      <c r="BF35" s="20" t="n">
        <v>0</v>
      </c>
      <c r="BG35" s="20" t="n">
        <v>0</v>
      </c>
      <c r="BH35" s="20" t="n">
        <v>0</v>
      </c>
      <c r="BI35" s="20" t="n">
        <v>0</v>
      </c>
      <c r="BJ35" s="20" t="n">
        <v>0</v>
      </c>
      <c r="BK35" s="20" t="n">
        <v>0</v>
      </c>
      <c r="BL35" s="20" t="n">
        <v>0</v>
      </c>
      <c r="BM35" s="20" t="n">
        <v>0</v>
      </c>
      <c r="BN35" s="20" t="n">
        <v>0</v>
      </c>
      <c r="BO35" s="20" t="n">
        <v>0</v>
      </c>
      <c r="BP35" s="20" t="n">
        <v>0</v>
      </c>
      <c r="BQ35" s="20" t="n">
        <v>0</v>
      </c>
      <c r="BR35" s="20" t="n">
        <v>0</v>
      </c>
      <c r="BS35" s="20" t="n">
        <v>0</v>
      </c>
      <c r="BT35" s="20" t="n">
        <v>0</v>
      </c>
      <c r="BU35" s="20" t="n">
        <v>0</v>
      </c>
      <c r="BV35" s="20" t="n">
        <v>0</v>
      </c>
      <c r="BW35" s="20" t="n">
        <v>0</v>
      </c>
      <c r="BX35" s="20" t="n">
        <v>0</v>
      </c>
      <c r="BY35" s="20" t="n">
        <v>0</v>
      </c>
      <c r="BZ35" s="20" t="n">
        <v>0</v>
      </c>
      <c r="CA35" s="20" t="n">
        <v>0</v>
      </c>
      <c r="CB35" s="20" t="n">
        <v>0</v>
      </c>
      <c r="CC35" s="20" t="n">
        <v>0</v>
      </c>
      <c r="CD35" s="20" t="n">
        <v>0</v>
      </c>
      <c r="CE35" s="20" t="n">
        <v>0</v>
      </c>
      <c r="CF35" s="20" t="n">
        <v>0</v>
      </c>
      <c r="CG35" s="20" t="n">
        <v>0</v>
      </c>
      <c r="CH35" s="20" t="n">
        <v>0</v>
      </c>
      <c r="CI35" s="20" t="n">
        <v>0</v>
      </c>
      <c r="CJ35" s="20" t="n">
        <v>0</v>
      </c>
      <c r="CK35" s="20" t="n">
        <v>0</v>
      </c>
      <c r="CL35" s="20" t="n">
        <v>0</v>
      </c>
      <c r="CM35" s="20" t="n">
        <v>0</v>
      </c>
      <c r="CN35" s="20" t="n">
        <v>0</v>
      </c>
      <c r="CO35" s="20" t="n">
        <v>0</v>
      </c>
      <c r="CP35" s="20" t="n">
        <v>0</v>
      </c>
      <c r="CQ35" s="20" t="n">
        <v>0</v>
      </c>
      <c r="CR35" s="20" t="n">
        <v>0</v>
      </c>
      <c r="CS35" s="20" t="n">
        <v>0.383</v>
      </c>
    </row>
    <row r="36">
      <c r="A36" s="10" t="n">
        <v>32</v>
      </c>
      <c r="B36" s="10" t="n">
        <v>15.5</v>
      </c>
      <c r="C36" s="20" t="n">
        <v>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0.159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  <c r="AZ36" s="20" t="n">
        <v>0</v>
      </c>
      <c r="BA36" s="20" t="n">
        <v>0</v>
      </c>
      <c r="BB36" s="20" t="n">
        <v>0</v>
      </c>
      <c r="BC36" s="20" t="n">
        <v>0</v>
      </c>
      <c r="BD36" s="20" t="n">
        <v>0</v>
      </c>
      <c r="BE36" s="20" t="n">
        <v>0</v>
      </c>
      <c r="BF36" s="20" t="n">
        <v>0</v>
      </c>
      <c r="BG36" s="20" t="n">
        <v>0</v>
      </c>
      <c r="BH36" s="20" t="n">
        <v>0</v>
      </c>
      <c r="BI36" s="20" t="n">
        <v>0</v>
      </c>
      <c r="BJ36" s="20" t="n">
        <v>0</v>
      </c>
      <c r="BK36" s="20" t="n">
        <v>0</v>
      </c>
      <c r="BL36" s="20" t="n">
        <v>0</v>
      </c>
      <c r="BM36" s="20" t="n">
        <v>0</v>
      </c>
      <c r="BN36" s="20" t="n">
        <v>1.269</v>
      </c>
      <c r="BO36" s="20" t="n">
        <v>0</v>
      </c>
      <c r="BP36" s="20" t="n">
        <v>0</v>
      </c>
      <c r="BQ36" s="20" t="n">
        <v>0</v>
      </c>
      <c r="BR36" s="20" t="n">
        <v>0</v>
      </c>
      <c r="BS36" s="20" t="n">
        <v>0</v>
      </c>
      <c r="BT36" s="20" t="n">
        <v>0</v>
      </c>
      <c r="BU36" s="20" t="n">
        <v>0</v>
      </c>
      <c r="BV36" s="20" t="n">
        <v>0</v>
      </c>
      <c r="BW36" s="20" t="n">
        <v>0</v>
      </c>
      <c r="BX36" s="20" t="n">
        <v>0</v>
      </c>
      <c r="BY36" s="20" t="n">
        <v>0</v>
      </c>
      <c r="BZ36" s="20" t="n">
        <v>0</v>
      </c>
      <c r="CA36" s="20" t="n">
        <v>0</v>
      </c>
      <c r="CB36" s="20" t="n">
        <v>0</v>
      </c>
      <c r="CC36" s="20" t="n">
        <v>0</v>
      </c>
      <c r="CD36" s="20" t="n">
        <v>0</v>
      </c>
      <c r="CE36" s="20" t="n">
        <v>0</v>
      </c>
      <c r="CF36" s="20" t="n">
        <v>0</v>
      </c>
      <c r="CG36" s="20" t="n">
        <v>0</v>
      </c>
      <c r="CH36" s="20" t="n">
        <v>0</v>
      </c>
      <c r="CI36" s="20" t="n">
        <v>0</v>
      </c>
      <c r="CJ36" s="20" t="n">
        <v>0</v>
      </c>
      <c r="CK36" s="20" t="n">
        <v>0</v>
      </c>
      <c r="CL36" s="20" t="n">
        <v>0</v>
      </c>
      <c r="CM36" s="20" t="n">
        <v>0</v>
      </c>
      <c r="CN36" s="20" t="n">
        <v>0</v>
      </c>
      <c r="CO36" s="20" t="n">
        <v>0</v>
      </c>
      <c r="CP36" s="20" t="n">
        <v>0</v>
      </c>
      <c r="CQ36" s="20" t="n">
        <v>0</v>
      </c>
      <c r="CR36" s="20" t="n">
        <v>0</v>
      </c>
      <c r="CS36" s="20" t="n">
        <v>1.015</v>
      </c>
    </row>
    <row r="37">
      <c r="A37" s="10" t="n">
        <v>33</v>
      </c>
      <c r="B37" s="10" t="n">
        <v>16</v>
      </c>
      <c r="C37" s="20" t="n">
        <v>0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  <c r="AN37" s="20" t="n">
        <v>0</v>
      </c>
      <c r="AO37" s="20" t="n">
        <v>0</v>
      </c>
      <c r="AP37" s="20" t="n">
        <v>0</v>
      </c>
      <c r="AQ37" s="20" t="n">
        <v>0</v>
      </c>
      <c r="AR37" s="20" t="n">
        <v>0</v>
      </c>
      <c r="AS37" s="20" t="n">
        <v>0</v>
      </c>
      <c r="AT37" s="20" t="n">
        <v>0</v>
      </c>
      <c r="AU37" s="20" t="n">
        <v>0</v>
      </c>
      <c r="AV37" s="20" t="n">
        <v>0</v>
      </c>
      <c r="AW37" s="20" t="n">
        <v>0</v>
      </c>
      <c r="AX37" s="20" t="n">
        <v>0</v>
      </c>
      <c r="AY37" s="20" t="n">
        <v>0</v>
      </c>
      <c r="AZ37" s="20" t="n">
        <v>0</v>
      </c>
      <c r="BA37" s="20" t="n">
        <v>0</v>
      </c>
      <c r="BB37" s="20" t="n">
        <v>0</v>
      </c>
      <c r="BC37" s="20" t="n">
        <v>0</v>
      </c>
      <c r="BD37" s="20" t="n">
        <v>0</v>
      </c>
      <c r="BE37" s="20" t="n">
        <v>0</v>
      </c>
      <c r="BF37" s="20" t="n">
        <v>0</v>
      </c>
      <c r="BG37" s="20" t="n">
        <v>0</v>
      </c>
      <c r="BH37" s="20" t="n">
        <v>0</v>
      </c>
      <c r="BI37" s="20" t="n">
        <v>0</v>
      </c>
      <c r="BJ37" s="20" t="n">
        <v>0</v>
      </c>
      <c r="BK37" s="20" t="n">
        <v>0</v>
      </c>
      <c r="BL37" s="20" t="n">
        <v>0</v>
      </c>
      <c r="BM37" s="20" t="n">
        <v>0</v>
      </c>
      <c r="BN37" s="20" t="n">
        <v>0</v>
      </c>
      <c r="BO37" s="20" t="n">
        <v>0</v>
      </c>
      <c r="BP37" s="20" t="n">
        <v>0</v>
      </c>
      <c r="BQ37" s="20" t="n">
        <v>0</v>
      </c>
      <c r="BR37" s="20" t="n">
        <v>0</v>
      </c>
      <c r="BS37" s="20" t="n">
        <v>0</v>
      </c>
      <c r="BT37" s="20" t="n">
        <v>0</v>
      </c>
      <c r="BU37" s="20" t="n">
        <v>0</v>
      </c>
      <c r="BV37" s="20" t="n">
        <v>0</v>
      </c>
      <c r="BW37" s="20" t="n">
        <v>0</v>
      </c>
      <c r="BX37" s="20" t="n">
        <v>0</v>
      </c>
      <c r="BY37" s="20" t="n">
        <v>0</v>
      </c>
      <c r="BZ37" s="20" t="n">
        <v>0</v>
      </c>
      <c r="CA37" s="20" t="n">
        <v>0</v>
      </c>
      <c r="CB37" s="20" t="n">
        <v>0</v>
      </c>
      <c r="CC37" s="20" t="n">
        <v>0</v>
      </c>
      <c r="CD37" s="20" t="n">
        <v>0</v>
      </c>
      <c r="CE37" s="20" t="n">
        <v>0</v>
      </c>
      <c r="CF37" s="20" t="n">
        <v>0</v>
      </c>
      <c r="CG37" s="20" t="n">
        <v>0</v>
      </c>
      <c r="CH37" s="20" t="n">
        <v>0</v>
      </c>
      <c r="CI37" s="20" t="n">
        <v>0</v>
      </c>
      <c r="CJ37" s="20" t="n">
        <v>0</v>
      </c>
      <c r="CK37" s="20" t="n">
        <v>0</v>
      </c>
      <c r="CL37" s="20" t="n">
        <v>0</v>
      </c>
      <c r="CM37" s="20" t="n">
        <v>0</v>
      </c>
      <c r="CN37" s="20" t="n">
        <v>0</v>
      </c>
      <c r="CO37" s="20" t="n">
        <v>0</v>
      </c>
      <c r="CP37" s="20" t="n">
        <v>0</v>
      </c>
      <c r="CQ37" s="20" t="n">
        <v>0</v>
      </c>
      <c r="CR37" s="20" t="n">
        <v>0</v>
      </c>
      <c r="CS37" s="20" t="n">
        <v>0.662</v>
      </c>
    </row>
    <row r="38">
      <c r="A38" s="10" t="n">
        <v>34</v>
      </c>
      <c r="B38" s="10" t="n">
        <v>16.5</v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</v>
      </c>
      <c r="V38" s="20" t="n">
        <v>0</v>
      </c>
      <c r="W38" s="20" t="n">
        <v>0</v>
      </c>
      <c r="X38" s="20" t="n">
        <v>0</v>
      </c>
      <c r="Y38" s="20" t="n">
        <v>0</v>
      </c>
      <c r="Z38" s="20" t="n">
        <v>0</v>
      </c>
      <c r="AA38" s="20" t="n">
        <v>0</v>
      </c>
      <c r="AB38" s="20" t="n">
        <v>0</v>
      </c>
      <c r="AC38" s="20" t="n">
        <v>0</v>
      </c>
      <c r="AD38" s="20" t="n">
        <v>0</v>
      </c>
      <c r="AE38" s="20" t="n">
        <v>0</v>
      </c>
      <c r="AF38" s="20" t="n">
        <v>0</v>
      </c>
      <c r="AG38" s="20" t="n">
        <v>0</v>
      </c>
      <c r="AH38" s="20" t="n">
        <v>0</v>
      </c>
      <c r="AI38" s="20" t="n">
        <v>0</v>
      </c>
      <c r="AJ38" s="20" t="n">
        <v>0</v>
      </c>
      <c r="AK38" s="20" t="n">
        <v>0</v>
      </c>
      <c r="AL38" s="20" t="n">
        <v>0</v>
      </c>
      <c r="AM38" s="20" t="n">
        <v>0</v>
      </c>
      <c r="AN38" s="20" t="n">
        <v>0</v>
      </c>
      <c r="AO38" s="20" t="n">
        <v>0</v>
      </c>
      <c r="AP38" s="20" t="n">
        <v>0</v>
      </c>
      <c r="AQ38" s="20" t="n">
        <v>0</v>
      </c>
      <c r="AR38" s="20" t="n">
        <v>0</v>
      </c>
      <c r="AS38" s="20" t="n">
        <v>0</v>
      </c>
      <c r="AT38" s="20" t="n">
        <v>0</v>
      </c>
      <c r="AU38" s="20" t="n">
        <v>0</v>
      </c>
      <c r="AV38" s="20" t="n">
        <v>0</v>
      </c>
      <c r="AW38" s="20" t="n">
        <v>0</v>
      </c>
      <c r="AX38" s="20" t="n">
        <v>0</v>
      </c>
      <c r="AY38" s="20" t="n">
        <v>0</v>
      </c>
      <c r="AZ38" s="20" t="n">
        <v>0</v>
      </c>
      <c r="BA38" s="20" t="n">
        <v>0</v>
      </c>
      <c r="BB38" s="20" t="n">
        <v>0</v>
      </c>
      <c r="BC38" s="20" t="n">
        <v>0</v>
      </c>
      <c r="BD38" s="20" t="n">
        <v>0</v>
      </c>
      <c r="BE38" s="20" t="n">
        <v>0</v>
      </c>
      <c r="BF38" s="20" t="n">
        <v>0</v>
      </c>
      <c r="BG38" s="20" t="n">
        <v>0</v>
      </c>
      <c r="BH38" s="20" t="n">
        <v>0</v>
      </c>
      <c r="BI38" s="20" t="n">
        <v>0</v>
      </c>
      <c r="BJ38" s="20" t="n">
        <v>0</v>
      </c>
      <c r="BK38" s="20" t="n">
        <v>0</v>
      </c>
      <c r="BL38" s="20" t="n">
        <v>0</v>
      </c>
      <c r="BM38" s="20" t="n">
        <v>0</v>
      </c>
      <c r="BN38" s="20" t="n">
        <v>0</v>
      </c>
      <c r="BO38" s="20" t="n">
        <v>0</v>
      </c>
      <c r="BP38" s="20" t="n">
        <v>0</v>
      </c>
      <c r="BQ38" s="20" t="n">
        <v>0</v>
      </c>
      <c r="BR38" s="20" t="n">
        <v>0</v>
      </c>
      <c r="BS38" s="20" t="n">
        <v>0</v>
      </c>
      <c r="BT38" s="20" t="n">
        <v>0</v>
      </c>
      <c r="BU38" s="20" t="n">
        <v>0</v>
      </c>
      <c r="BV38" s="20" t="n">
        <v>0</v>
      </c>
      <c r="BW38" s="20" t="n">
        <v>0</v>
      </c>
      <c r="BX38" s="20" t="n">
        <v>0</v>
      </c>
      <c r="BY38" s="20" t="n">
        <v>0</v>
      </c>
      <c r="BZ38" s="20" t="n">
        <v>0</v>
      </c>
      <c r="CA38" s="20" t="n">
        <v>0</v>
      </c>
      <c r="CB38" s="20" t="n">
        <v>0.985</v>
      </c>
      <c r="CC38" s="20" t="n">
        <v>0</v>
      </c>
      <c r="CD38" s="20" t="n">
        <v>0</v>
      </c>
      <c r="CE38" s="20" t="n">
        <v>0</v>
      </c>
      <c r="CF38" s="20" t="n">
        <v>0</v>
      </c>
      <c r="CG38" s="20" t="n">
        <v>0</v>
      </c>
      <c r="CH38" s="20" t="n">
        <v>0</v>
      </c>
      <c r="CI38" s="20" t="n">
        <v>0</v>
      </c>
      <c r="CJ38" s="20" t="n">
        <v>0</v>
      </c>
      <c r="CK38" s="20" t="n">
        <v>0.716</v>
      </c>
      <c r="CL38" s="20" t="n">
        <v>0</v>
      </c>
      <c r="CM38" s="20" t="n">
        <v>0</v>
      </c>
      <c r="CN38" s="20" t="n">
        <v>0</v>
      </c>
      <c r="CO38" s="20" t="n">
        <v>0</v>
      </c>
      <c r="CP38" s="20" t="n">
        <v>0</v>
      </c>
      <c r="CQ38" s="20" t="n">
        <v>0</v>
      </c>
      <c r="CR38" s="20" t="n">
        <v>0</v>
      </c>
      <c r="CS38" s="20" t="n">
        <v>0.319</v>
      </c>
    </row>
    <row r="39">
      <c r="A39" s="10" t="n">
        <v>35</v>
      </c>
      <c r="B39" s="10" t="n">
        <v>17</v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>
        <v>0</v>
      </c>
      <c r="S39" s="20" t="n">
        <v>0</v>
      </c>
      <c r="T39" s="20" t="n">
        <v>0</v>
      </c>
      <c r="U39" s="20" t="n">
        <v>0</v>
      </c>
      <c r="V39" s="20" t="n">
        <v>0</v>
      </c>
      <c r="W39" s="20" t="n">
        <v>0</v>
      </c>
      <c r="X39" s="20" t="n">
        <v>0</v>
      </c>
      <c r="Y39" s="20" t="n">
        <v>0</v>
      </c>
      <c r="Z39" s="20" t="n">
        <v>0</v>
      </c>
      <c r="AA39" s="20" t="n">
        <v>0</v>
      </c>
      <c r="AB39" s="20" t="n">
        <v>0.258</v>
      </c>
      <c r="AC39" s="20" t="n">
        <v>0</v>
      </c>
      <c r="AD39" s="20" t="n">
        <v>0</v>
      </c>
      <c r="AE39" s="20" t="n">
        <v>0</v>
      </c>
      <c r="AF39" s="20" t="n">
        <v>0</v>
      </c>
      <c r="AG39" s="20" t="n">
        <v>0</v>
      </c>
      <c r="AH39" s="20" t="n">
        <v>0</v>
      </c>
      <c r="AI39" s="20" t="n">
        <v>0</v>
      </c>
      <c r="AJ39" s="20" t="n">
        <v>0</v>
      </c>
      <c r="AK39" s="20" t="n">
        <v>0</v>
      </c>
      <c r="AL39" s="20" t="n">
        <v>0</v>
      </c>
      <c r="AM39" s="20" t="n">
        <v>0</v>
      </c>
      <c r="AN39" s="20" t="n">
        <v>0</v>
      </c>
      <c r="AO39" s="20" t="n">
        <v>0</v>
      </c>
      <c r="AP39" s="20" t="n">
        <v>0</v>
      </c>
      <c r="AQ39" s="20" t="n">
        <v>0</v>
      </c>
      <c r="AR39" s="20" t="n">
        <v>0.375</v>
      </c>
      <c r="AS39" s="20" t="n">
        <v>0</v>
      </c>
      <c r="AT39" s="20" t="n">
        <v>0</v>
      </c>
      <c r="AU39" s="20" t="n">
        <v>0</v>
      </c>
      <c r="AV39" s="20" t="n">
        <v>0</v>
      </c>
      <c r="AW39" s="20" t="n">
        <v>0</v>
      </c>
      <c r="AX39" s="20" t="n">
        <v>0</v>
      </c>
      <c r="AY39" s="20" t="n">
        <v>0</v>
      </c>
      <c r="AZ39" s="20" t="n">
        <v>0</v>
      </c>
      <c r="BA39" s="20" t="n">
        <v>0.178</v>
      </c>
      <c r="BB39" s="20" t="n">
        <v>0</v>
      </c>
      <c r="BC39" s="20" t="n">
        <v>0</v>
      </c>
      <c r="BD39" s="20" t="n">
        <v>0</v>
      </c>
      <c r="BE39" s="20" t="n">
        <v>0</v>
      </c>
      <c r="BF39" s="20" t="n">
        <v>0.405</v>
      </c>
      <c r="BG39" s="20" t="n">
        <v>0</v>
      </c>
      <c r="BH39" s="20" t="n">
        <v>0</v>
      </c>
      <c r="BI39" s="20" t="n">
        <v>0</v>
      </c>
      <c r="BJ39" s="20" t="n">
        <v>0</v>
      </c>
      <c r="BK39" s="20" t="n">
        <v>0</v>
      </c>
      <c r="BL39" s="20" t="n">
        <v>0</v>
      </c>
      <c r="BM39" s="20" t="n">
        <v>0</v>
      </c>
      <c r="BN39" s="20" t="n">
        <v>0</v>
      </c>
      <c r="BO39" s="20" t="n">
        <v>0</v>
      </c>
      <c r="BP39" s="20" t="n">
        <v>0</v>
      </c>
      <c r="BQ39" s="20" t="n">
        <v>0</v>
      </c>
      <c r="BR39" s="20" t="n">
        <v>0</v>
      </c>
      <c r="BS39" s="20" t="n">
        <v>0</v>
      </c>
      <c r="BT39" s="20" t="n">
        <v>0</v>
      </c>
      <c r="BU39" s="20" t="n">
        <v>0</v>
      </c>
      <c r="BV39" s="20" t="n">
        <v>0</v>
      </c>
      <c r="BW39" s="20" t="n">
        <v>0</v>
      </c>
      <c r="BX39" s="20" t="n">
        <v>0</v>
      </c>
      <c r="BY39" s="20" t="n">
        <v>0</v>
      </c>
      <c r="BZ39" s="20" t="n">
        <v>0</v>
      </c>
      <c r="CA39" s="20" t="n">
        <v>0</v>
      </c>
      <c r="CB39" s="20" t="n">
        <v>0.163</v>
      </c>
      <c r="CC39" s="20" t="n">
        <v>0</v>
      </c>
      <c r="CD39" s="20" t="n">
        <v>0</v>
      </c>
      <c r="CE39" s="20" t="n">
        <v>0</v>
      </c>
      <c r="CF39" s="20" t="n">
        <v>0</v>
      </c>
      <c r="CG39" s="20" t="n">
        <v>0</v>
      </c>
      <c r="CH39" s="20" t="n">
        <v>0</v>
      </c>
      <c r="CI39" s="20" t="n">
        <v>0</v>
      </c>
      <c r="CJ39" s="20" t="n">
        <v>0</v>
      </c>
      <c r="CK39" s="20" t="n">
        <v>0</v>
      </c>
      <c r="CL39" s="20" t="n">
        <v>0</v>
      </c>
      <c r="CM39" s="20" t="n">
        <v>0</v>
      </c>
      <c r="CN39" s="20" t="n">
        <v>0</v>
      </c>
      <c r="CO39" s="20" t="n">
        <v>0</v>
      </c>
      <c r="CP39" s="20" t="n">
        <v>0</v>
      </c>
      <c r="CQ39" s="20" t="n">
        <v>0</v>
      </c>
      <c r="CR39" s="20" t="n">
        <v>0</v>
      </c>
      <c r="CS39" s="20" t="n">
        <v>0</v>
      </c>
    </row>
    <row r="40">
      <c r="A40" s="10" t="n">
        <v>36</v>
      </c>
      <c r="B40" s="10" t="n">
        <v>17.5</v>
      </c>
      <c r="C40" s="20" t="n">
        <v>0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0</v>
      </c>
      <c r="Q40" s="20" t="n">
        <v>0</v>
      </c>
      <c r="R40" s="20" t="n">
        <v>0</v>
      </c>
      <c r="S40" s="20" t="n">
        <v>0</v>
      </c>
      <c r="T40" s="20" t="n">
        <v>0</v>
      </c>
      <c r="U40" s="20" t="n">
        <v>0</v>
      </c>
      <c r="V40" s="20" t="n">
        <v>0</v>
      </c>
      <c r="W40" s="20" t="n">
        <v>0</v>
      </c>
      <c r="X40" s="20" t="n">
        <v>0</v>
      </c>
      <c r="Y40" s="20" t="n">
        <v>0</v>
      </c>
      <c r="Z40" s="20" t="n">
        <v>0</v>
      </c>
      <c r="AA40" s="20" t="n">
        <v>0.406</v>
      </c>
      <c r="AB40" s="20" t="n">
        <v>0.153</v>
      </c>
      <c r="AC40" s="20" t="n">
        <v>0</v>
      </c>
      <c r="AD40" s="20" t="n">
        <v>0.237</v>
      </c>
      <c r="AE40" s="20" t="n">
        <v>0</v>
      </c>
      <c r="AF40" s="20" t="n">
        <v>0</v>
      </c>
      <c r="AG40" s="20" t="n">
        <v>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0</v>
      </c>
      <c r="AN40" s="20" t="n">
        <v>0</v>
      </c>
      <c r="AO40" s="20" t="n">
        <v>0</v>
      </c>
      <c r="AP40" s="20" t="n">
        <v>0</v>
      </c>
      <c r="AQ40" s="20" t="n">
        <v>0</v>
      </c>
      <c r="AR40" s="20" t="n">
        <v>0.513</v>
      </c>
      <c r="AS40" s="20" t="n">
        <v>0</v>
      </c>
      <c r="AT40" s="20" t="n">
        <v>0</v>
      </c>
      <c r="AU40" s="20" t="n">
        <v>0</v>
      </c>
      <c r="AV40" s="20" t="n">
        <v>0</v>
      </c>
      <c r="AW40" s="20" t="n">
        <v>0</v>
      </c>
      <c r="AX40" s="20" t="n">
        <v>0</v>
      </c>
      <c r="AY40" s="20" t="n">
        <v>0</v>
      </c>
      <c r="AZ40" s="20" t="n">
        <v>0</v>
      </c>
      <c r="BA40" s="20" t="n">
        <v>0</v>
      </c>
      <c r="BB40" s="20" t="n">
        <v>0</v>
      </c>
      <c r="BC40" s="20" t="n">
        <v>0</v>
      </c>
      <c r="BD40" s="20" t="n">
        <v>0</v>
      </c>
      <c r="BE40" s="20" t="n">
        <v>0</v>
      </c>
      <c r="BF40" s="20" t="n">
        <v>0</v>
      </c>
      <c r="BG40" s="20" t="n">
        <v>0</v>
      </c>
      <c r="BH40" s="20" t="n">
        <v>0</v>
      </c>
      <c r="BI40" s="20" t="n">
        <v>0</v>
      </c>
      <c r="BJ40" s="20" t="n">
        <v>0</v>
      </c>
      <c r="BK40" s="20" t="n">
        <v>0</v>
      </c>
      <c r="BL40" s="20" t="n">
        <v>0</v>
      </c>
      <c r="BM40" s="20" t="n">
        <v>0</v>
      </c>
      <c r="BN40" s="20" t="n">
        <v>0</v>
      </c>
      <c r="BO40" s="20" t="n">
        <v>0</v>
      </c>
      <c r="BP40" s="20" t="n">
        <v>0</v>
      </c>
      <c r="BQ40" s="20" t="n">
        <v>0</v>
      </c>
      <c r="BR40" s="20" t="n">
        <v>0</v>
      </c>
      <c r="BS40" s="20" t="n">
        <v>0</v>
      </c>
      <c r="BT40" s="20" t="n">
        <v>0</v>
      </c>
      <c r="BU40" s="20" t="n">
        <v>0</v>
      </c>
      <c r="BV40" s="20" t="n">
        <v>0</v>
      </c>
      <c r="BW40" s="20" t="n">
        <v>0</v>
      </c>
      <c r="BX40" s="20" t="n">
        <v>0</v>
      </c>
      <c r="BY40" s="20" t="n">
        <v>0</v>
      </c>
      <c r="BZ40" s="20" t="n">
        <v>0</v>
      </c>
      <c r="CA40" s="20" t="n">
        <v>0</v>
      </c>
      <c r="CB40" s="20" t="n">
        <v>0</v>
      </c>
      <c r="CC40" s="20" t="n">
        <v>0</v>
      </c>
      <c r="CD40" s="20" t="n">
        <v>0</v>
      </c>
      <c r="CE40" s="20" t="n">
        <v>0</v>
      </c>
      <c r="CF40" s="20" t="n">
        <v>0</v>
      </c>
      <c r="CG40" s="20" t="n">
        <v>0</v>
      </c>
      <c r="CH40" s="20" t="n">
        <v>0</v>
      </c>
      <c r="CI40" s="20" t="n">
        <v>0</v>
      </c>
      <c r="CJ40" s="20" t="n">
        <v>0</v>
      </c>
      <c r="CK40" s="20" t="n">
        <v>0</v>
      </c>
      <c r="CL40" s="20" t="n">
        <v>0</v>
      </c>
      <c r="CM40" s="20" t="n">
        <v>0</v>
      </c>
      <c r="CN40" s="20" t="n">
        <v>0</v>
      </c>
      <c r="CO40" s="20" t="n">
        <v>0</v>
      </c>
      <c r="CP40" s="20" t="n">
        <v>0</v>
      </c>
      <c r="CQ40" s="20" t="n">
        <v>0</v>
      </c>
      <c r="CR40" s="20" t="n">
        <v>0</v>
      </c>
      <c r="CS40" s="20" t="n">
        <v>0</v>
      </c>
    </row>
    <row r="41">
      <c r="A41" s="10" t="n">
        <v>37</v>
      </c>
      <c r="B41" s="10" t="n">
        <v>18</v>
      </c>
      <c r="C41" s="20" t="n">
        <v>0</v>
      </c>
      <c r="D41" s="20" t="n">
        <v>0</v>
      </c>
      <c r="E41" s="20" t="n">
        <v>0.059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0</v>
      </c>
      <c r="K41" s="20" t="n">
        <v>0.311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v>0</v>
      </c>
      <c r="Y41" s="20" t="n">
        <v>0</v>
      </c>
      <c r="Z41" s="20" t="n">
        <v>0</v>
      </c>
      <c r="AA41" s="20" t="n">
        <v>0.279</v>
      </c>
      <c r="AB41" s="20" t="n">
        <v>0.174</v>
      </c>
      <c r="AC41" s="20" t="n">
        <v>0</v>
      </c>
      <c r="AD41" s="20" t="n">
        <v>0.28</v>
      </c>
      <c r="AE41" s="20" t="n">
        <v>0.48</v>
      </c>
      <c r="AF41" s="20" t="n">
        <v>0</v>
      </c>
      <c r="AG41" s="20" t="n">
        <v>0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0" t="n">
        <v>0</v>
      </c>
      <c r="AP41" s="20" t="n">
        <v>0</v>
      </c>
      <c r="AQ41" s="20" t="n">
        <v>0</v>
      </c>
      <c r="AR41" s="20" t="n">
        <v>0.101</v>
      </c>
      <c r="AS41" s="20" t="n">
        <v>0</v>
      </c>
      <c r="AT41" s="20" t="n">
        <v>0</v>
      </c>
      <c r="AU41" s="20" t="n">
        <v>0</v>
      </c>
      <c r="AV41" s="20" t="n">
        <v>0</v>
      </c>
      <c r="AW41" s="20" t="n">
        <v>0</v>
      </c>
      <c r="AX41" s="20" t="n">
        <v>0</v>
      </c>
      <c r="AY41" s="20" t="n">
        <v>0</v>
      </c>
      <c r="AZ41" s="20" t="n">
        <v>0</v>
      </c>
      <c r="BA41" s="20" t="n">
        <v>0</v>
      </c>
      <c r="BB41" s="20" t="n">
        <v>0</v>
      </c>
      <c r="BC41" s="20" t="n">
        <v>0</v>
      </c>
      <c r="BD41" s="20" t="n">
        <v>0</v>
      </c>
      <c r="BE41" s="20" t="n">
        <v>0</v>
      </c>
      <c r="BF41" s="20" t="n">
        <v>0</v>
      </c>
      <c r="BG41" s="20" t="n">
        <v>0</v>
      </c>
      <c r="BH41" s="20" t="n">
        <v>0</v>
      </c>
      <c r="BI41" s="20" t="n">
        <v>0</v>
      </c>
      <c r="BJ41" s="20" t="n">
        <v>0</v>
      </c>
      <c r="BK41" s="20" t="n">
        <v>0</v>
      </c>
      <c r="BL41" s="20" t="n">
        <v>0</v>
      </c>
      <c r="BM41" s="20" t="n">
        <v>0</v>
      </c>
      <c r="BN41" s="20" t="n">
        <v>0</v>
      </c>
      <c r="BO41" s="20" t="n">
        <v>0</v>
      </c>
      <c r="BP41" s="20" t="n">
        <v>0</v>
      </c>
      <c r="BQ41" s="20" t="n">
        <v>0</v>
      </c>
      <c r="BR41" s="20" t="n">
        <v>0</v>
      </c>
      <c r="BS41" s="20" t="n">
        <v>0</v>
      </c>
      <c r="BT41" s="20" t="n">
        <v>0</v>
      </c>
      <c r="BU41" s="20" t="n">
        <v>0</v>
      </c>
      <c r="BV41" s="20" t="n">
        <v>0</v>
      </c>
      <c r="BW41" s="20" t="n">
        <v>0</v>
      </c>
      <c r="BX41" s="20" t="n">
        <v>0</v>
      </c>
      <c r="BY41" s="20" t="n">
        <v>0</v>
      </c>
      <c r="BZ41" s="20" t="n">
        <v>0</v>
      </c>
      <c r="CA41" s="20" t="n">
        <v>0</v>
      </c>
      <c r="CB41" s="20" t="n">
        <v>0</v>
      </c>
      <c r="CC41" s="20" t="n">
        <v>0</v>
      </c>
      <c r="CD41" s="20" t="n">
        <v>0</v>
      </c>
      <c r="CE41" s="20" t="n">
        <v>0</v>
      </c>
      <c r="CF41" s="20" t="n">
        <v>0</v>
      </c>
      <c r="CG41" s="20" t="n">
        <v>0</v>
      </c>
      <c r="CH41" s="20" t="n">
        <v>0.014</v>
      </c>
      <c r="CI41" s="20" t="n">
        <v>0.239</v>
      </c>
      <c r="CJ41" s="20" t="n">
        <v>0</v>
      </c>
      <c r="CK41" s="20" t="n">
        <v>0</v>
      </c>
      <c r="CL41" s="20" t="n">
        <v>0</v>
      </c>
      <c r="CM41" s="20" t="n">
        <v>0</v>
      </c>
      <c r="CN41" s="20" t="n">
        <v>0.214</v>
      </c>
      <c r="CO41" s="20" t="n">
        <v>0</v>
      </c>
      <c r="CP41" s="20" t="n">
        <v>0</v>
      </c>
      <c r="CQ41" s="20" t="n">
        <v>0</v>
      </c>
      <c r="CR41" s="20" t="n">
        <v>0</v>
      </c>
      <c r="CS41" s="20" t="n">
        <v>0</v>
      </c>
    </row>
    <row r="42">
      <c r="A42" s="10" t="n">
        <v>38</v>
      </c>
      <c r="B42" s="10" t="n">
        <v>18.5</v>
      </c>
      <c r="C42" s="20" t="n">
        <v>0.235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0</v>
      </c>
      <c r="I42" s="20" t="n">
        <v>0</v>
      </c>
      <c r="J42" s="20" t="n">
        <v>0</v>
      </c>
      <c r="K42" s="20" t="n">
        <v>0</v>
      </c>
      <c r="L42" s="20" t="n">
        <v>0</v>
      </c>
      <c r="M42" s="20" t="n">
        <v>0</v>
      </c>
      <c r="N42" s="20" t="n">
        <v>0</v>
      </c>
      <c r="O42" s="20" t="n">
        <v>0</v>
      </c>
      <c r="P42" s="20" t="n">
        <v>0</v>
      </c>
      <c r="Q42" s="20" t="n">
        <v>0</v>
      </c>
      <c r="R42" s="20" t="n">
        <v>0</v>
      </c>
      <c r="S42" s="20" t="n">
        <v>0</v>
      </c>
      <c r="T42" s="20" t="n">
        <v>0</v>
      </c>
      <c r="U42" s="20" t="n">
        <v>0</v>
      </c>
      <c r="V42" s="20" t="n">
        <v>0</v>
      </c>
      <c r="W42" s="20" t="n">
        <v>0</v>
      </c>
      <c r="X42" s="20" t="n">
        <v>0</v>
      </c>
      <c r="Y42" s="20" t="n">
        <v>0</v>
      </c>
      <c r="Z42" s="20" t="n">
        <v>0</v>
      </c>
      <c r="AA42" s="20" t="n">
        <v>0.016</v>
      </c>
      <c r="AB42" s="20" t="n">
        <v>0.073</v>
      </c>
      <c r="AC42" s="20" t="n">
        <v>0</v>
      </c>
      <c r="AD42" s="20" t="n">
        <v>0</v>
      </c>
      <c r="AE42" s="20" t="n">
        <v>0.483</v>
      </c>
      <c r="AF42" s="20" t="n">
        <v>0.29</v>
      </c>
      <c r="AG42" s="20" t="n">
        <v>0</v>
      </c>
      <c r="AH42" s="20" t="n">
        <v>0</v>
      </c>
      <c r="AI42" s="20" t="n">
        <v>0</v>
      </c>
      <c r="AJ42" s="20" t="n">
        <v>0</v>
      </c>
      <c r="AK42" s="20" t="n">
        <v>0</v>
      </c>
      <c r="AL42" s="20" t="n">
        <v>0</v>
      </c>
      <c r="AM42" s="20" t="n">
        <v>0</v>
      </c>
      <c r="AN42" s="20" t="n">
        <v>0</v>
      </c>
      <c r="AO42" s="20" t="n">
        <v>0</v>
      </c>
      <c r="AP42" s="20" t="n">
        <v>0</v>
      </c>
      <c r="AQ42" s="20" t="n">
        <v>0</v>
      </c>
      <c r="AR42" s="20" t="n">
        <v>0.266</v>
      </c>
      <c r="AS42" s="20" t="n">
        <v>0</v>
      </c>
      <c r="AT42" s="20" t="n">
        <v>0</v>
      </c>
      <c r="AU42" s="20" t="n">
        <v>0</v>
      </c>
      <c r="AV42" s="20" t="n">
        <v>0</v>
      </c>
      <c r="AW42" s="20" t="n">
        <v>0</v>
      </c>
      <c r="AX42" s="20" t="n">
        <v>0</v>
      </c>
      <c r="AY42" s="20" t="n">
        <v>0</v>
      </c>
      <c r="AZ42" s="20" t="n">
        <v>0</v>
      </c>
      <c r="BA42" s="20" t="n">
        <v>0</v>
      </c>
      <c r="BB42" s="20" t="n">
        <v>0</v>
      </c>
      <c r="BC42" s="20" t="n">
        <v>0</v>
      </c>
      <c r="BD42" s="20" t="n">
        <v>0</v>
      </c>
      <c r="BE42" s="20" t="n">
        <v>0</v>
      </c>
      <c r="BF42" s="20" t="n">
        <v>0</v>
      </c>
      <c r="BG42" s="20" t="n">
        <v>0</v>
      </c>
      <c r="BH42" s="20" t="n">
        <v>0</v>
      </c>
      <c r="BI42" s="20" t="n">
        <v>0</v>
      </c>
      <c r="BJ42" s="20" t="n">
        <v>0</v>
      </c>
      <c r="BK42" s="20" t="n">
        <v>0</v>
      </c>
      <c r="BL42" s="20" t="n">
        <v>0</v>
      </c>
      <c r="BM42" s="20" t="n">
        <v>0</v>
      </c>
      <c r="BN42" s="20" t="n">
        <v>0</v>
      </c>
      <c r="BO42" s="20" t="n">
        <v>0</v>
      </c>
      <c r="BP42" s="20" t="n">
        <v>0</v>
      </c>
      <c r="BQ42" s="20" t="n">
        <v>0</v>
      </c>
      <c r="BR42" s="20" t="n">
        <v>0</v>
      </c>
      <c r="BS42" s="20" t="n">
        <v>0</v>
      </c>
      <c r="BT42" s="20" t="n">
        <v>0</v>
      </c>
      <c r="BU42" s="20" t="n">
        <v>0.21</v>
      </c>
      <c r="BV42" s="20" t="n">
        <v>0</v>
      </c>
      <c r="BW42" s="20" t="n">
        <v>0.114</v>
      </c>
      <c r="BX42" s="20" t="n">
        <v>0</v>
      </c>
      <c r="BY42" s="20" t="n">
        <v>0</v>
      </c>
      <c r="BZ42" s="20" t="n">
        <v>0</v>
      </c>
      <c r="CA42" s="20" t="n">
        <v>0.124</v>
      </c>
      <c r="CB42" s="20" t="n">
        <v>0</v>
      </c>
      <c r="CC42" s="20" t="n">
        <v>0</v>
      </c>
      <c r="CD42" s="20" t="n">
        <v>0</v>
      </c>
      <c r="CE42" s="20" t="n">
        <v>0</v>
      </c>
      <c r="CF42" s="20" t="n">
        <v>0</v>
      </c>
      <c r="CG42" s="20" t="n">
        <v>0</v>
      </c>
      <c r="CH42" s="20" t="n">
        <v>0</v>
      </c>
      <c r="CI42" s="20" t="n">
        <v>0</v>
      </c>
      <c r="CJ42" s="20" t="n">
        <v>0</v>
      </c>
      <c r="CK42" s="20" t="n">
        <v>0</v>
      </c>
      <c r="CL42" s="20" t="n">
        <v>0</v>
      </c>
      <c r="CM42" s="20" t="n">
        <v>0</v>
      </c>
      <c r="CN42" s="20" t="n">
        <v>0.067</v>
      </c>
      <c r="CO42" s="20" t="n">
        <v>0</v>
      </c>
      <c r="CP42" s="20" t="n">
        <v>0.107</v>
      </c>
      <c r="CQ42" s="20" t="n">
        <v>0</v>
      </c>
      <c r="CR42" s="20" t="n">
        <v>0</v>
      </c>
      <c r="CS42" s="20" t="n">
        <v>0</v>
      </c>
    </row>
    <row r="43">
      <c r="A43" s="10" t="n">
        <v>39</v>
      </c>
      <c r="B43" s="10" t="n">
        <v>19</v>
      </c>
      <c r="C43" s="20" t="n">
        <v>0.075</v>
      </c>
      <c r="D43" s="20" t="n">
        <v>0</v>
      </c>
      <c r="E43" s="20" t="n">
        <v>0.029</v>
      </c>
      <c r="F43" s="20" t="n">
        <v>0</v>
      </c>
      <c r="G43" s="20" t="n">
        <v>0</v>
      </c>
      <c r="H43" s="20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0.026</v>
      </c>
      <c r="AA43" s="20" t="n">
        <v>0</v>
      </c>
      <c r="AB43" s="20" t="n">
        <v>0.052</v>
      </c>
      <c r="AC43" s="20" t="n">
        <v>0</v>
      </c>
      <c r="AD43" s="20" t="n">
        <v>0.062</v>
      </c>
      <c r="AE43" s="20" t="n">
        <v>0.186</v>
      </c>
      <c r="AF43" s="20" t="n">
        <v>0.161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0.066</v>
      </c>
      <c r="AR43" s="20" t="n">
        <v>0.135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  <c r="AZ43" s="20" t="n">
        <v>0</v>
      </c>
      <c r="BA43" s="20" t="n">
        <v>0</v>
      </c>
      <c r="BB43" s="20" t="n">
        <v>0</v>
      </c>
      <c r="BC43" s="20" t="n">
        <v>0</v>
      </c>
      <c r="BD43" s="20" t="n">
        <v>0</v>
      </c>
      <c r="BE43" s="20" t="n">
        <v>0</v>
      </c>
      <c r="BF43" s="20" t="n">
        <v>0</v>
      </c>
      <c r="BG43" s="20" t="n">
        <v>0</v>
      </c>
      <c r="BH43" s="20" t="n">
        <v>0</v>
      </c>
      <c r="BI43" s="20" t="n">
        <v>0.03</v>
      </c>
      <c r="BJ43" s="20" t="n">
        <v>0</v>
      </c>
      <c r="BK43" s="20" t="n">
        <v>0</v>
      </c>
      <c r="BL43" s="20" t="n">
        <v>0</v>
      </c>
      <c r="BM43" s="20" t="n">
        <v>0</v>
      </c>
      <c r="BN43" s="20" t="n">
        <v>0</v>
      </c>
      <c r="BO43" s="20" t="n">
        <v>0</v>
      </c>
      <c r="BP43" s="20" t="n">
        <v>0</v>
      </c>
      <c r="BQ43" s="20" t="n">
        <v>0</v>
      </c>
      <c r="BR43" s="20" t="n">
        <v>0</v>
      </c>
      <c r="BS43" s="20" t="n">
        <v>0</v>
      </c>
      <c r="BT43" s="20" t="n">
        <v>0</v>
      </c>
      <c r="BU43" s="20" t="n">
        <v>0</v>
      </c>
      <c r="BV43" s="20" t="n">
        <v>0</v>
      </c>
      <c r="BW43" s="20" t="n">
        <v>0</v>
      </c>
      <c r="BX43" s="20" t="n">
        <v>0</v>
      </c>
      <c r="BY43" s="20" t="n">
        <v>0</v>
      </c>
      <c r="BZ43" s="20" t="n">
        <v>0</v>
      </c>
      <c r="CA43" s="20" t="n">
        <v>0.239</v>
      </c>
      <c r="CB43" s="20" t="n">
        <v>0</v>
      </c>
      <c r="CC43" s="20" t="n">
        <v>0</v>
      </c>
      <c r="CD43" s="20" t="n">
        <v>0</v>
      </c>
      <c r="CE43" s="20" t="n">
        <v>0</v>
      </c>
      <c r="CF43" s="20" t="n">
        <v>0</v>
      </c>
      <c r="CG43" s="20" t="n">
        <v>0</v>
      </c>
      <c r="CH43" s="20" t="n">
        <v>0</v>
      </c>
      <c r="CI43" s="20" t="n">
        <v>0</v>
      </c>
      <c r="CJ43" s="20" t="n">
        <v>0</v>
      </c>
      <c r="CK43" s="20" t="n">
        <v>0</v>
      </c>
      <c r="CL43" s="20" t="n">
        <v>0</v>
      </c>
      <c r="CM43" s="20" t="n">
        <v>0</v>
      </c>
      <c r="CN43" s="20" t="n">
        <v>0</v>
      </c>
      <c r="CO43" s="20" t="n">
        <v>0</v>
      </c>
      <c r="CP43" s="20" t="n">
        <v>0</v>
      </c>
      <c r="CQ43" s="20" t="n">
        <v>0</v>
      </c>
      <c r="CR43" s="20" t="n">
        <v>0</v>
      </c>
      <c r="CS43" s="20" t="n">
        <v>0</v>
      </c>
    </row>
    <row r="44">
      <c r="A44" s="10" t="n">
        <v>40</v>
      </c>
      <c r="B44" s="10" t="n">
        <v>19.5</v>
      </c>
      <c r="C44" s="20" t="n">
        <v>0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0</v>
      </c>
      <c r="I44" s="20" t="n">
        <v>0</v>
      </c>
      <c r="J44" s="20" t="n">
        <v>0</v>
      </c>
      <c r="K44" s="20" t="n">
        <v>0</v>
      </c>
      <c r="L44" s="20" t="n">
        <v>0</v>
      </c>
      <c r="M44" s="20" t="n">
        <v>0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 t="n">
        <v>0</v>
      </c>
      <c r="X44" s="20" t="n">
        <v>0.02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0.055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  <c r="AZ44" s="20" t="n">
        <v>0</v>
      </c>
      <c r="BA44" s="20" t="n">
        <v>0</v>
      </c>
      <c r="BB44" s="20" t="n">
        <v>0</v>
      </c>
      <c r="BC44" s="20" t="n">
        <v>0</v>
      </c>
      <c r="BD44" s="20" t="n">
        <v>0</v>
      </c>
      <c r="BE44" s="20" t="n">
        <v>0</v>
      </c>
      <c r="BF44" s="20" t="n">
        <v>0</v>
      </c>
      <c r="BG44" s="20" t="n">
        <v>0</v>
      </c>
      <c r="BH44" s="20" t="n">
        <v>0</v>
      </c>
      <c r="BI44" s="20" t="n">
        <v>0</v>
      </c>
      <c r="BJ44" s="20" t="n">
        <v>0</v>
      </c>
      <c r="BK44" s="20" t="n">
        <v>0</v>
      </c>
      <c r="BL44" s="20" t="n">
        <v>0</v>
      </c>
      <c r="BM44" s="20" t="n">
        <v>0</v>
      </c>
      <c r="BN44" s="20" t="n">
        <v>0</v>
      </c>
      <c r="BO44" s="20" t="n">
        <v>0</v>
      </c>
      <c r="BP44" s="20" t="n">
        <v>0</v>
      </c>
      <c r="BQ44" s="20" t="n">
        <v>0</v>
      </c>
      <c r="BR44" s="20" t="n">
        <v>0</v>
      </c>
      <c r="BS44" s="20" t="n">
        <v>0</v>
      </c>
      <c r="BT44" s="20" t="n">
        <v>0</v>
      </c>
      <c r="BU44" s="20" t="n">
        <v>0</v>
      </c>
      <c r="BV44" s="20" t="n">
        <v>0</v>
      </c>
      <c r="BW44" s="20" t="n">
        <v>0</v>
      </c>
      <c r="BX44" s="20" t="n">
        <v>0</v>
      </c>
      <c r="BY44" s="20" t="n">
        <v>0</v>
      </c>
      <c r="BZ44" s="20" t="n">
        <v>0</v>
      </c>
      <c r="CA44" s="20" t="n">
        <v>0.048</v>
      </c>
      <c r="CB44" s="20" t="n">
        <v>0</v>
      </c>
      <c r="CC44" s="20" t="n">
        <v>0</v>
      </c>
      <c r="CD44" s="20" t="n">
        <v>0</v>
      </c>
      <c r="CE44" s="20" t="n">
        <v>0</v>
      </c>
      <c r="CF44" s="20" t="n">
        <v>0</v>
      </c>
      <c r="CG44" s="20" t="n">
        <v>0</v>
      </c>
      <c r="CH44" s="20" t="n">
        <v>0</v>
      </c>
      <c r="CI44" s="20" t="n">
        <v>0</v>
      </c>
      <c r="CJ44" s="20" t="n">
        <v>0</v>
      </c>
      <c r="CK44" s="20" t="n">
        <v>0</v>
      </c>
      <c r="CL44" s="20" t="n">
        <v>0</v>
      </c>
      <c r="CM44" s="20" t="n">
        <v>0</v>
      </c>
      <c r="CN44" s="20" t="n">
        <v>0</v>
      </c>
      <c r="CO44" s="20" t="n">
        <v>0</v>
      </c>
      <c r="CP44" s="20" t="n">
        <v>0</v>
      </c>
      <c r="CQ44" s="20" t="n">
        <v>0</v>
      </c>
      <c r="CR44" s="20" t="n">
        <v>0</v>
      </c>
      <c r="CS44" s="20" t="n">
        <v>0</v>
      </c>
    </row>
    <row r="45">
      <c r="A45" s="10" t="n">
        <v>41</v>
      </c>
      <c r="B45" s="10" t="n">
        <v>20</v>
      </c>
      <c r="C45" s="20" t="n">
        <v>0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  <c r="AZ45" s="20" t="n">
        <v>0</v>
      </c>
      <c r="BA45" s="20" t="n">
        <v>0</v>
      </c>
      <c r="BB45" s="20" t="n">
        <v>0</v>
      </c>
      <c r="BC45" s="20" t="n">
        <v>0</v>
      </c>
      <c r="BD45" s="20" t="n">
        <v>0</v>
      </c>
      <c r="BE45" s="20" t="n">
        <v>0</v>
      </c>
      <c r="BF45" s="20" t="n">
        <v>0</v>
      </c>
      <c r="BG45" s="20" t="n">
        <v>0</v>
      </c>
      <c r="BH45" s="20" t="n">
        <v>0</v>
      </c>
      <c r="BI45" s="20" t="n">
        <v>0</v>
      </c>
      <c r="BJ45" s="20" t="n">
        <v>0</v>
      </c>
      <c r="BK45" s="20" t="n">
        <v>0</v>
      </c>
      <c r="BL45" s="20" t="n">
        <v>0</v>
      </c>
      <c r="BM45" s="20" t="n">
        <v>0</v>
      </c>
      <c r="BN45" s="20" t="n">
        <v>0</v>
      </c>
      <c r="BO45" s="20" t="n">
        <v>0</v>
      </c>
      <c r="BP45" s="20" t="n">
        <v>0</v>
      </c>
      <c r="BQ45" s="20" t="n">
        <v>0</v>
      </c>
      <c r="BR45" s="20" t="n">
        <v>0</v>
      </c>
      <c r="BS45" s="20" t="n">
        <v>0</v>
      </c>
      <c r="BT45" s="20" t="n">
        <v>0</v>
      </c>
      <c r="BU45" s="20" t="n">
        <v>0</v>
      </c>
      <c r="BV45" s="20" t="n">
        <v>0</v>
      </c>
      <c r="BW45" s="20" t="n">
        <v>0</v>
      </c>
      <c r="BX45" s="20" t="n">
        <v>0</v>
      </c>
      <c r="BY45" s="20" t="n">
        <v>0</v>
      </c>
      <c r="BZ45" s="20" t="n">
        <v>0</v>
      </c>
      <c r="CA45" s="20" t="n">
        <v>0</v>
      </c>
      <c r="CB45" s="20" t="n">
        <v>0</v>
      </c>
      <c r="CC45" s="20" t="n">
        <v>0</v>
      </c>
      <c r="CD45" s="20" t="n">
        <v>0</v>
      </c>
      <c r="CE45" s="20" t="n">
        <v>0</v>
      </c>
      <c r="CF45" s="20" t="n">
        <v>0</v>
      </c>
      <c r="CG45" s="20" t="n">
        <v>0</v>
      </c>
      <c r="CH45" s="20" t="n">
        <v>0</v>
      </c>
      <c r="CI45" s="20" t="n">
        <v>0</v>
      </c>
      <c r="CJ45" s="20" t="n">
        <v>0</v>
      </c>
      <c r="CK45" s="20" t="n">
        <v>0</v>
      </c>
      <c r="CL45" s="20" t="n">
        <v>0</v>
      </c>
      <c r="CM45" s="20" t="n">
        <v>0</v>
      </c>
      <c r="CN45" s="20" t="n">
        <v>0</v>
      </c>
      <c r="CO45" s="20" t="n">
        <v>0</v>
      </c>
      <c r="CP45" s="20" t="n">
        <v>0</v>
      </c>
      <c r="CQ45" s="20" t="n">
        <v>0</v>
      </c>
      <c r="CR45" s="20" t="n">
        <v>0</v>
      </c>
      <c r="CS45" s="20" t="n">
        <v>0</v>
      </c>
    </row>
    <row r="46">
      <c r="A46" s="10" t="n">
        <v>42</v>
      </c>
      <c r="B46" s="10" t="n">
        <v>20.5</v>
      </c>
      <c r="C46" s="20" t="n">
        <v>0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  <c r="AZ46" s="20" t="n">
        <v>0</v>
      </c>
      <c r="BA46" s="20" t="n">
        <v>0</v>
      </c>
      <c r="BB46" s="20" t="n">
        <v>0</v>
      </c>
      <c r="BC46" s="20" t="n">
        <v>0</v>
      </c>
      <c r="BD46" s="20" t="n">
        <v>0</v>
      </c>
      <c r="BE46" s="20" t="n">
        <v>0</v>
      </c>
      <c r="BF46" s="20" t="n">
        <v>0</v>
      </c>
      <c r="BG46" s="20" t="n">
        <v>0</v>
      </c>
      <c r="BH46" s="20" t="n">
        <v>0</v>
      </c>
      <c r="BI46" s="20" t="n">
        <v>0</v>
      </c>
      <c r="BJ46" s="20" t="n">
        <v>0</v>
      </c>
      <c r="BK46" s="20" t="n">
        <v>0</v>
      </c>
      <c r="BL46" s="20" t="n">
        <v>0</v>
      </c>
      <c r="BM46" s="20" t="n">
        <v>0</v>
      </c>
      <c r="BN46" s="20" t="n">
        <v>0</v>
      </c>
      <c r="BO46" s="20" t="n">
        <v>0</v>
      </c>
      <c r="BP46" s="20" t="n">
        <v>0</v>
      </c>
      <c r="BQ46" s="20" t="n">
        <v>0</v>
      </c>
      <c r="BR46" s="20" t="n">
        <v>0</v>
      </c>
      <c r="BS46" s="20" t="n">
        <v>0</v>
      </c>
      <c r="BT46" s="20" t="n">
        <v>0</v>
      </c>
      <c r="BU46" s="20" t="n">
        <v>0</v>
      </c>
      <c r="BV46" s="20" t="n">
        <v>0</v>
      </c>
      <c r="BW46" s="20" t="n">
        <v>0</v>
      </c>
      <c r="BX46" s="20" t="n">
        <v>0</v>
      </c>
      <c r="BY46" s="20" t="n">
        <v>0</v>
      </c>
      <c r="BZ46" s="20" t="n">
        <v>0</v>
      </c>
      <c r="CA46" s="20" t="n">
        <v>0</v>
      </c>
      <c r="CB46" s="20" t="n">
        <v>0</v>
      </c>
      <c r="CC46" s="20" t="n">
        <v>0</v>
      </c>
      <c r="CD46" s="20" t="n">
        <v>0</v>
      </c>
      <c r="CE46" s="20" t="n">
        <v>0</v>
      </c>
      <c r="CF46" s="20" t="n">
        <v>0</v>
      </c>
      <c r="CG46" s="20" t="n">
        <v>0</v>
      </c>
      <c r="CH46" s="20" t="n">
        <v>0</v>
      </c>
      <c r="CI46" s="20" t="n">
        <v>0</v>
      </c>
      <c r="CJ46" s="20" t="n">
        <v>0</v>
      </c>
      <c r="CK46" s="20" t="n">
        <v>0</v>
      </c>
      <c r="CL46" s="20" t="n">
        <v>0</v>
      </c>
      <c r="CM46" s="20" t="n">
        <v>0</v>
      </c>
      <c r="CN46" s="20" t="n">
        <v>0</v>
      </c>
      <c r="CO46" s="20" t="n">
        <v>0</v>
      </c>
      <c r="CP46" s="20" t="n">
        <v>0</v>
      </c>
      <c r="CQ46" s="20" t="n">
        <v>0</v>
      </c>
      <c r="CR46" s="20" t="n">
        <v>0</v>
      </c>
      <c r="CS46" s="20" t="n">
        <v>0</v>
      </c>
    </row>
    <row r="47">
      <c r="A47" s="10" t="n">
        <v>43</v>
      </c>
      <c r="B47" s="10" t="n">
        <v>21</v>
      </c>
      <c r="C47" s="20" t="n">
        <v>0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0</v>
      </c>
      <c r="I47" s="20" t="n">
        <v>0</v>
      </c>
      <c r="J47" s="20" t="n">
        <v>0</v>
      </c>
      <c r="K47" s="20" t="n">
        <v>0</v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>
        <v>0</v>
      </c>
      <c r="R47" s="20" t="n">
        <v>0</v>
      </c>
      <c r="S47" s="20" t="n">
        <v>0</v>
      </c>
      <c r="T47" s="20" t="n">
        <v>0</v>
      </c>
      <c r="U47" s="20" t="n">
        <v>0</v>
      </c>
      <c r="V47" s="20" t="n">
        <v>0</v>
      </c>
      <c r="W47" s="20" t="n">
        <v>0</v>
      </c>
      <c r="X47" s="20" t="n">
        <v>0</v>
      </c>
      <c r="Y47" s="20" t="n">
        <v>0</v>
      </c>
      <c r="Z47" s="20" t="n">
        <v>0</v>
      </c>
      <c r="AA47" s="20" t="n">
        <v>0</v>
      </c>
      <c r="AB47" s="20" t="n">
        <v>0</v>
      </c>
      <c r="AC47" s="20" t="n">
        <v>0</v>
      </c>
      <c r="AD47" s="20" t="n">
        <v>0</v>
      </c>
      <c r="AE47" s="20" t="n">
        <v>0</v>
      </c>
      <c r="AF47" s="20" t="n">
        <v>0</v>
      </c>
      <c r="AG47" s="20" t="n">
        <v>0</v>
      </c>
      <c r="AH47" s="20" t="n">
        <v>0</v>
      </c>
      <c r="AI47" s="20" t="n">
        <v>0</v>
      </c>
      <c r="AJ47" s="20" t="n">
        <v>0</v>
      </c>
      <c r="AK47" s="20" t="n">
        <v>0</v>
      </c>
      <c r="AL47" s="20" t="n">
        <v>0</v>
      </c>
      <c r="AM47" s="20" t="n">
        <v>0</v>
      </c>
      <c r="AN47" s="20" t="n">
        <v>0</v>
      </c>
      <c r="AO47" s="20" t="n">
        <v>0</v>
      </c>
      <c r="AP47" s="20" t="n">
        <v>0</v>
      </c>
      <c r="AQ47" s="20" t="n">
        <v>0</v>
      </c>
      <c r="AR47" s="20" t="n">
        <v>0</v>
      </c>
      <c r="AS47" s="20" t="n">
        <v>0</v>
      </c>
      <c r="AT47" s="20" t="n">
        <v>0</v>
      </c>
      <c r="AU47" s="20" t="n">
        <v>0</v>
      </c>
      <c r="AV47" s="20" t="n">
        <v>0</v>
      </c>
      <c r="AW47" s="20" t="n">
        <v>0</v>
      </c>
      <c r="AX47" s="20" t="n">
        <v>0</v>
      </c>
      <c r="AY47" s="20" t="n">
        <v>0</v>
      </c>
      <c r="AZ47" s="20" t="n">
        <v>0</v>
      </c>
      <c r="BA47" s="20" t="n">
        <v>0</v>
      </c>
      <c r="BB47" s="20" t="n">
        <v>0</v>
      </c>
      <c r="BC47" s="20" t="n">
        <v>0</v>
      </c>
      <c r="BD47" s="20" t="n">
        <v>0</v>
      </c>
      <c r="BE47" s="20" t="n">
        <v>0</v>
      </c>
      <c r="BF47" s="20" t="n">
        <v>0</v>
      </c>
      <c r="BG47" s="20" t="n">
        <v>0</v>
      </c>
      <c r="BH47" s="20" t="n">
        <v>0</v>
      </c>
      <c r="BI47" s="20" t="n">
        <v>0</v>
      </c>
      <c r="BJ47" s="20" t="n">
        <v>0</v>
      </c>
      <c r="BK47" s="20" t="n">
        <v>0</v>
      </c>
      <c r="BL47" s="20" t="n">
        <v>0</v>
      </c>
      <c r="BM47" s="20" t="n">
        <v>0</v>
      </c>
      <c r="BN47" s="20" t="n">
        <v>0</v>
      </c>
      <c r="BO47" s="20" t="n">
        <v>0</v>
      </c>
      <c r="BP47" s="20" t="n">
        <v>0</v>
      </c>
      <c r="BQ47" s="20" t="n">
        <v>0</v>
      </c>
      <c r="BR47" s="20" t="n">
        <v>0</v>
      </c>
      <c r="BS47" s="20" t="n">
        <v>0</v>
      </c>
      <c r="BT47" s="20" t="n">
        <v>0</v>
      </c>
      <c r="BU47" s="20" t="n">
        <v>0</v>
      </c>
      <c r="BV47" s="20" t="n">
        <v>0</v>
      </c>
      <c r="BW47" s="20" t="n">
        <v>0</v>
      </c>
      <c r="BX47" s="20" t="n">
        <v>0</v>
      </c>
      <c r="BY47" s="20" t="n">
        <v>0</v>
      </c>
      <c r="BZ47" s="20" t="n">
        <v>0</v>
      </c>
      <c r="CA47" s="20" t="n">
        <v>0</v>
      </c>
      <c r="CB47" s="20" t="n">
        <v>0</v>
      </c>
      <c r="CC47" s="20" t="n">
        <v>0</v>
      </c>
      <c r="CD47" s="20" t="n">
        <v>0</v>
      </c>
      <c r="CE47" s="20" t="n">
        <v>0</v>
      </c>
      <c r="CF47" s="20" t="n">
        <v>0</v>
      </c>
      <c r="CG47" s="20" t="n">
        <v>0</v>
      </c>
      <c r="CH47" s="20" t="n">
        <v>0</v>
      </c>
      <c r="CI47" s="20" t="n">
        <v>0</v>
      </c>
      <c r="CJ47" s="20" t="n">
        <v>0</v>
      </c>
      <c r="CK47" s="20" t="n">
        <v>0</v>
      </c>
      <c r="CL47" s="20" t="n">
        <v>0</v>
      </c>
      <c r="CM47" s="20" t="n">
        <v>0</v>
      </c>
      <c r="CN47" s="20" t="n">
        <v>0</v>
      </c>
      <c r="CO47" s="20" t="n">
        <v>0</v>
      </c>
      <c r="CP47" s="20" t="n">
        <v>0</v>
      </c>
      <c r="CQ47" s="20" t="n">
        <v>0</v>
      </c>
      <c r="CR47" s="20" t="n">
        <v>0</v>
      </c>
      <c r="CS47" s="20" t="n">
        <v>0</v>
      </c>
    </row>
    <row r="48">
      <c r="A48" s="10" t="n">
        <v>44</v>
      </c>
      <c r="B48" s="10" t="n">
        <v>21.5</v>
      </c>
      <c r="C48" s="20" t="n">
        <v>0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  <c r="AZ48" s="20" t="n">
        <v>0</v>
      </c>
      <c r="BA48" s="20" t="n">
        <v>0</v>
      </c>
      <c r="BB48" s="20" t="n">
        <v>0</v>
      </c>
      <c r="BC48" s="20" t="n">
        <v>0</v>
      </c>
      <c r="BD48" s="20" t="n">
        <v>0</v>
      </c>
      <c r="BE48" s="20" t="n">
        <v>0</v>
      </c>
      <c r="BF48" s="20" t="n">
        <v>0</v>
      </c>
      <c r="BG48" s="20" t="n">
        <v>0</v>
      </c>
      <c r="BH48" s="20" t="n">
        <v>0</v>
      </c>
      <c r="BI48" s="20" t="n">
        <v>0</v>
      </c>
      <c r="BJ48" s="20" t="n">
        <v>0</v>
      </c>
      <c r="BK48" s="20" t="n">
        <v>0</v>
      </c>
      <c r="BL48" s="20" t="n">
        <v>0</v>
      </c>
      <c r="BM48" s="20" t="n">
        <v>0</v>
      </c>
      <c r="BN48" s="20" t="n">
        <v>0</v>
      </c>
      <c r="BO48" s="20" t="n">
        <v>0</v>
      </c>
      <c r="BP48" s="20" t="n">
        <v>0</v>
      </c>
      <c r="BQ48" s="20" t="n">
        <v>0</v>
      </c>
      <c r="BR48" s="20" t="n">
        <v>0</v>
      </c>
      <c r="BS48" s="20" t="n">
        <v>0</v>
      </c>
      <c r="BT48" s="20" t="n">
        <v>0</v>
      </c>
      <c r="BU48" s="20" t="n">
        <v>0</v>
      </c>
      <c r="BV48" s="20" t="n">
        <v>0</v>
      </c>
      <c r="BW48" s="20" t="n">
        <v>0</v>
      </c>
      <c r="BX48" s="20" t="n">
        <v>0</v>
      </c>
      <c r="BY48" s="20" t="n">
        <v>0</v>
      </c>
      <c r="BZ48" s="20" t="n">
        <v>0</v>
      </c>
      <c r="CA48" s="20" t="n">
        <v>0</v>
      </c>
      <c r="CB48" s="20" t="n">
        <v>0</v>
      </c>
      <c r="CC48" s="20" t="n">
        <v>0</v>
      </c>
      <c r="CD48" s="20" t="n">
        <v>0</v>
      </c>
      <c r="CE48" s="20" t="n">
        <v>0</v>
      </c>
      <c r="CF48" s="20" t="n">
        <v>0</v>
      </c>
      <c r="CG48" s="20" t="n">
        <v>0</v>
      </c>
      <c r="CH48" s="20" t="n">
        <v>0</v>
      </c>
      <c r="CI48" s="20" t="n">
        <v>0</v>
      </c>
      <c r="CJ48" s="20" t="n">
        <v>0</v>
      </c>
      <c r="CK48" s="20" t="n">
        <v>0</v>
      </c>
      <c r="CL48" s="20" t="n">
        <v>0</v>
      </c>
      <c r="CM48" s="20" t="n">
        <v>0</v>
      </c>
      <c r="CN48" s="20" t="n">
        <v>0</v>
      </c>
      <c r="CO48" s="20" t="n">
        <v>0</v>
      </c>
      <c r="CP48" s="20" t="n">
        <v>0</v>
      </c>
      <c r="CQ48" s="20" t="n">
        <v>0</v>
      </c>
      <c r="CR48" s="20" t="n">
        <v>0</v>
      </c>
      <c r="CS48" s="20" t="n">
        <v>0</v>
      </c>
    </row>
    <row r="49">
      <c r="A49" s="10" t="n">
        <v>45</v>
      </c>
      <c r="B49" s="10" t="n">
        <v>22</v>
      </c>
      <c r="C49" s="20" t="n">
        <v>0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0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  <c r="AZ49" s="20" t="n">
        <v>0</v>
      </c>
      <c r="BA49" s="20" t="n">
        <v>0</v>
      </c>
      <c r="BB49" s="20" t="n">
        <v>0</v>
      </c>
      <c r="BC49" s="20" t="n">
        <v>0</v>
      </c>
      <c r="BD49" s="20" t="n">
        <v>0</v>
      </c>
      <c r="BE49" s="20" t="n">
        <v>0</v>
      </c>
      <c r="BF49" s="20" t="n">
        <v>0</v>
      </c>
      <c r="BG49" s="20" t="n">
        <v>0</v>
      </c>
      <c r="BH49" s="20" t="n">
        <v>0</v>
      </c>
      <c r="BI49" s="20" t="n">
        <v>0</v>
      </c>
      <c r="BJ49" s="20" t="n">
        <v>0</v>
      </c>
      <c r="BK49" s="20" t="n">
        <v>0</v>
      </c>
      <c r="BL49" s="20" t="n">
        <v>0</v>
      </c>
      <c r="BM49" s="20" t="n">
        <v>0</v>
      </c>
      <c r="BN49" s="20" t="n">
        <v>0</v>
      </c>
      <c r="BO49" s="20" t="n">
        <v>0</v>
      </c>
      <c r="BP49" s="20" t="n">
        <v>0</v>
      </c>
      <c r="BQ49" s="20" t="n">
        <v>0</v>
      </c>
      <c r="BR49" s="20" t="n">
        <v>0</v>
      </c>
      <c r="BS49" s="20" t="n">
        <v>0</v>
      </c>
      <c r="BT49" s="20" t="n">
        <v>0</v>
      </c>
      <c r="BU49" s="20" t="n">
        <v>0</v>
      </c>
      <c r="BV49" s="20" t="n">
        <v>0</v>
      </c>
      <c r="BW49" s="20" t="n">
        <v>0</v>
      </c>
      <c r="BX49" s="20" t="n">
        <v>0</v>
      </c>
      <c r="BY49" s="20" t="n">
        <v>0</v>
      </c>
      <c r="BZ49" s="20" t="n">
        <v>0</v>
      </c>
      <c r="CA49" s="20" t="n">
        <v>0</v>
      </c>
      <c r="CB49" s="20" t="n">
        <v>0</v>
      </c>
      <c r="CC49" s="20" t="n">
        <v>0</v>
      </c>
      <c r="CD49" s="20" t="n">
        <v>0</v>
      </c>
      <c r="CE49" s="20" t="n">
        <v>0</v>
      </c>
      <c r="CF49" s="20" t="n">
        <v>0</v>
      </c>
      <c r="CG49" s="20" t="n">
        <v>0</v>
      </c>
      <c r="CH49" s="20" t="n">
        <v>0</v>
      </c>
      <c r="CI49" s="20" t="n">
        <v>0</v>
      </c>
      <c r="CJ49" s="20" t="n">
        <v>0</v>
      </c>
      <c r="CK49" s="20" t="n">
        <v>0</v>
      </c>
      <c r="CL49" s="20" t="n">
        <v>0</v>
      </c>
      <c r="CM49" s="20" t="n">
        <v>0</v>
      </c>
      <c r="CN49" s="20" t="n">
        <v>0</v>
      </c>
      <c r="CO49" s="20" t="n">
        <v>0</v>
      </c>
      <c r="CP49" s="20" t="n">
        <v>0</v>
      </c>
      <c r="CQ49" s="20" t="n">
        <v>0</v>
      </c>
      <c r="CR49" s="20" t="n">
        <v>0</v>
      </c>
      <c r="CS49" s="20" t="n">
        <v>0</v>
      </c>
    </row>
    <row r="50">
      <c r="A50" s="10" t="n">
        <v>46</v>
      </c>
      <c r="B50" s="10" t="n">
        <v>22.5</v>
      </c>
      <c r="C50" s="20" t="n">
        <v>0</v>
      </c>
      <c r="D50" s="20" t="n">
        <v>0</v>
      </c>
      <c r="E50" s="20" t="n">
        <v>0</v>
      </c>
      <c r="F50" s="20" t="n">
        <v>0</v>
      </c>
      <c r="G50" s="20" t="n">
        <v>0</v>
      </c>
      <c r="H50" s="20" t="n">
        <v>0</v>
      </c>
      <c r="I50" s="20" t="n">
        <v>0</v>
      </c>
      <c r="J50" s="20" t="n">
        <v>0</v>
      </c>
      <c r="K50" s="20" t="n">
        <v>0</v>
      </c>
      <c r="L50" s="20" t="n">
        <v>0</v>
      </c>
      <c r="M50" s="20" t="n">
        <v>0</v>
      </c>
      <c r="N50" s="20" t="n">
        <v>0</v>
      </c>
      <c r="O50" s="20" t="n">
        <v>0</v>
      </c>
      <c r="P50" s="20" t="n">
        <v>0</v>
      </c>
      <c r="Q50" s="20" t="n">
        <v>0</v>
      </c>
      <c r="R50" s="20" t="n">
        <v>0</v>
      </c>
      <c r="S50" s="20" t="n">
        <v>0</v>
      </c>
      <c r="T50" s="20" t="n">
        <v>0</v>
      </c>
      <c r="U50" s="20" t="n">
        <v>0</v>
      </c>
      <c r="V50" s="20" t="n">
        <v>0</v>
      </c>
      <c r="W50" s="20" t="n">
        <v>0</v>
      </c>
      <c r="X50" s="20" t="n">
        <v>0</v>
      </c>
      <c r="Y50" s="20" t="n">
        <v>0</v>
      </c>
      <c r="Z50" s="20" t="n">
        <v>0</v>
      </c>
      <c r="AA50" s="20" t="n">
        <v>0</v>
      </c>
      <c r="AB50" s="20" t="n">
        <v>0</v>
      </c>
      <c r="AC50" s="20" t="n">
        <v>0</v>
      </c>
      <c r="AD50" s="20" t="n">
        <v>0</v>
      </c>
      <c r="AE50" s="20" t="n">
        <v>0</v>
      </c>
      <c r="AF50" s="20" t="n">
        <v>0</v>
      </c>
      <c r="AG50" s="20" t="n">
        <v>0</v>
      </c>
      <c r="AH50" s="20" t="n">
        <v>0</v>
      </c>
      <c r="AI50" s="20" t="n">
        <v>0</v>
      </c>
      <c r="AJ50" s="20" t="n">
        <v>0</v>
      </c>
      <c r="AK50" s="20" t="n">
        <v>0</v>
      </c>
      <c r="AL50" s="20" t="n">
        <v>0</v>
      </c>
      <c r="AM50" s="20" t="n">
        <v>0</v>
      </c>
      <c r="AN50" s="20" t="n">
        <v>0</v>
      </c>
      <c r="AO50" s="20" t="n">
        <v>0</v>
      </c>
      <c r="AP50" s="20" t="n">
        <v>0</v>
      </c>
      <c r="AQ50" s="20" t="n">
        <v>0</v>
      </c>
      <c r="AR50" s="20" t="n">
        <v>0</v>
      </c>
      <c r="AS50" s="20" t="n">
        <v>0</v>
      </c>
      <c r="AT50" s="20" t="n">
        <v>0</v>
      </c>
      <c r="AU50" s="20" t="n">
        <v>0</v>
      </c>
      <c r="AV50" s="20" t="n">
        <v>0</v>
      </c>
      <c r="AW50" s="20" t="n">
        <v>0</v>
      </c>
      <c r="AX50" s="20" t="n">
        <v>0</v>
      </c>
      <c r="AY50" s="20" t="n">
        <v>0</v>
      </c>
      <c r="AZ50" s="20" t="n">
        <v>0</v>
      </c>
      <c r="BA50" s="20" t="n">
        <v>0</v>
      </c>
      <c r="BB50" s="20" t="n">
        <v>0</v>
      </c>
      <c r="BC50" s="20" t="n">
        <v>0</v>
      </c>
      <c r="BD50" s="20" t="n">
        <v>0</v>
      </c>
      <c r="BE50" s="20" t="n">
        <v>0</v>
      </c>
      <c r="BF50" s="20" t="n">
        <v>0</v>
      </c>
      <c r="BG50" s="20" t="n">
        <v>0</v>
      </c>
      <c r="BH50" s="20" t="n">
        <v>0</v>
      </c>
      <c r="BI50" s="20" t="n">
        <v>0</v>
      </c>
      <c r="BJ50" s="20" t="n">
        <v>0</v>
      </c>
      <c r="BK50" s="20" t="n">
        <v>0</v>
      </c>
      <c r="BL50" s="20" t="n">
        <v>0</v>
      </c>
      <c r="BM50" s="20" t="n">
        <v>0</v>
      </c>
      <c r="BN50" s="20" t="n">
        <v>0</v>
      </c>
      <c r="BO50" s="20" t="n">
        <v>0</v>
      </c>
      <c r="BP50" s="20" t="n">
        <v>0</v>
      </c>
      <c r="BQ50" s="20" t="n">
        <v>0</v>
      </c>
      <c r="BR50" s="20" t="n">
        <v>0</v>
      </c>
      <c r="BS50" s="20" t="n">
        <v>0</v>
      </c>
      <c r="BT50" s="20" t="n">
        <v>0</v>
      </c>
      <c r="BU50" s="20" t="n">
        <v>0</v>
      </c>
      <c r="BV50" s="20" t="n">
        <v>0</v>
      </c>
      <c r="BW50" s="20" t="n">
        <v>0</v>
      </c>
      <c r="BX50" s="20" t="n">
        <v>0</v>
      </c>
      <c r="BY50" s="20" t="n">
        <v>0</v>
      </c>
      <c r="BZ50" s="20" t="n">
        <v>0</v>
      </c>
      <c r="CA50" s="20" t="n">
        <v>0</v>
      </c>
      <c r="CB50" s="20" t="n">
        <v>0</v>
      </c>
      <c r="CC50" s="20" t="n">
        <v>0</v>
      </c>
      <c r="CD50" s="20" t="n">
        <v>0</v>
      </c>
      <c r="CE50" s="20" t="n">
        <v>0</v>
      </c>
      <c r="CF50" s="20" t="n">
        <v>0</v>
      </c>
      <c r="CG50" s="20" t="n">
        <v>0</v>
      </c>
      <c r="CH50" s="20" t="n">
        <v>0</v>
      </c>
      <c r="CI50" s="20" t="n">
        <v>0</v>
      </c>
      <c r="CJ50" s="20" t="n">
        <v>0</v>
      </c>
      <c r="CK50" s="20" t="n">
        <v>0</v>
      </c>
      <c r="CL50" s="20" t="n">
        <v>0</v>
      </c>
      <c r="CM50" s="20" t="n">
        <v>0</v>
      </c>
      <c r="CN50" s="20" t="n">
        <v>0</v>
      </c>
      <c r="CO50" s="20" t="n">
        <v>0</v>
      </c>
      <c r="CP50" s="20" t="n">
        <v>0</v>
      </c>
      <c r="CQ50" s="20" t="n">
        <v>0</v>
      </c>
      <c r="CR50" s="20" t="n">
        <v>0</v>
      </c>
      <c r="CS50" s="20" t="n">
        <v>0</v>
      </c>
    </row>
    <row r="51">
      <c r="A51" s="10" t="n">
        <v>47</v>
      </c>
      <c r="B51" s="10" t="n">
        <v>23</v>
      </c>
      <c r="C51" s="20" t="n">
        <v>0</v>
      </c>
      <c r="D51" s="20" t="n">
        <v>0</v>
      </c>
      <c r="E51" s="20" t="n">
        <v>0</v>
      </c>
      <c r="F51" s="20" t="n">
        <v>0</v>
      </c>
      <c r="G51" s="20" t="n">
        <v>0</v>
      </c>
      <c r="H51" s="20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  <c r="AZ51" s="20" t="n">
        <v>0</v>
      </c>
      <c r="BA51" s="20" t="n">
        <v>0</v>
      </c>
      <c r="BB51" s="20" t="n">
        <v>0</v>
      </c>
      <c r="BC51" s="20" t="n">
        <v>0</v>
      </c>
      <c r="BD51" s="20" t="n">
        <v>0</v>
      </c>
      <c r="BE51" s="20" t="n">
        <v>0</v>
      </c>
      <c r="BF51" s="20" t="n">
        <v>0</v>
      </c>
      <c r="BG51" s="20" t="n">
        <v>0</v>
      </c>
      <c r="BH51" s="20" t="n">
        <v>0</v>
      </c>
      <c r="BI51" s="20" t="n">
        <v>0</v>
      </c>
      <c r="BJ51" s="20" t="n">
        <v>0</v>
      </c>
      <c r="BK51" s="20" t="n">
        <v>0</v>
      </c>
      <c r="BL51" s="20" t="n">
        <v>0</v>
      </c>
      <c r="BM51" s="20" t="n">
        <v>0</v>
      </c>
      <c r="BN51" s="20" t="n">
        <v>0</v>
      </c>
      <c r="BO51" s="20" t="n">
        <v>0</v>
      </c>
      <c r="BP51" s="20" t="n">
        <v>0</v>
      </c>
      <c r="BQ51" s="20" t="n">
        <v>0</v>
      </c>
      <c r="BR51" s="20" t="n">
        <v>0</v>
      </c>
      <c r="BS51" s="20" t="n">
        <v>0</v>
      </c>
      <c r="BT51" s="20" t="n">
        <v>0</v>
      </c>
      <c r="BU51" s="20" t="n">
        <v>0</v>
      </c>
      <c r="BV51" s="20" t="n">
        <v>0</v>
      </c>
      <c r="BW51" s="20" t="n">
        <v>0</v>
      </c>
      <c r="BX51" s="20" t="n">
        <v>0</v>
      </c>
      <c r="BY51" s="20" t="n">
        <v>0</v>
      </c>
      <c r="BZ51" s="20" t="n">
        <v>0</v>
      </c>
      <c r="CA51" s="20" t="n">
        <v>0</v>
      </c>
      <c r="CB51" s="20" t="n">
        <v>0</v>
      </c>
      <c r="CC51" s="20" t="n">
        <v>0</v>
      </c>
      <c r="CD51" s="20" t="n">
        <v>0</v>
      </c>
      <c r="CE51" s="20" t="n">
        <v>0</v>
      </c>
      <c r="CF51" s="20" t="n">
        <v>0</v>
      </c>
      <c r="CG51" s="20" t="n">
        <v>0</v>
      </c>
      <c r="CH51" s="20" t="n">
        <v>0</v>
      </c>
      <c r="CI51" s="20" t="n">
        <v>0</v>
      </c>
      <c r="CJ51" s="20" t="n">
        <v>0</v>
      </c>
      <c r="CK51" s="20" t="n">
        <v>0</v>
      </c>
      <c r="CL51" s="20" t="n">
        <v>0</v>
      </c>
      <c r="CM51" s="20" t="n">
        <v>0</v>
      </c>
      <c r="CN51" s="20" t="n">
        <v>0</v>
      </c>
      <c r="CO51" s="20" t="n">
        <v>0</v>
      </c>
      <c r="CP51" s="20" t="n">
        <v>0</v>
      </c>
      <c r="CQ51" s="20" t="n">
        <v>0</v>
      </c>
      <c r="CR51" s="20" t="n">
        <v>0</v>
      </c>
      <c r="CS51" s="20" t="n">
        <v>0</v>
      </c>
    </row>
    <row r="52">
      <c r="A52" s="10" t="n">
        <v>48</v>
      </c>
      <c r="B52" s="10" t="n">
        <v>23.5</v>
      </c>
      <c r="C52" s="20" t="n">
        <v>0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  <c r="AZ52" s="20" t="n">
        <v>0</v>
      </c>
      <c r="BA52" s="20" t="n">
        <v>0</v>
      </c>
      <c r="BB52" s="20" t="n">
        <v>0</v>
      </c>
      <c r="BC52" s="20" t="n">
        <v>0</v>
      </c>
      <c r="BD52" s="20" t="n">
        <v>0</v>
      </c>
      <c r="BE52" s="20" t="n">
        <v>0</v>
      </c>
      <c r="BF52" s="20" t="n">
        <v>0</v>
      </c>
      <c r="BG52" s="20" t="n">
        <v>0</v>
      </c>
      <c r="BH52" s="20" t="n">
        <v>0</v>
      </c>
      <c r="BI52" s="20" t="n">
        <v>0</v>
      </c>
      <c r="BJ52" s="20" t="n">
        <v>0</v>
      </c>
      <c r="BK52" s="20" t="n">
        <v>0</v>
      </c>
      <c r="BL52" s="20" t="n">
        <v>0</v>
      </c>
      <c r="BM52" s="20" t="n">
        <v>0</v>
      </c>
      <c r="BN52" s="20" t="n">
        <v>0</v>
      </c>
      <c r="BO52" s="20" t="n">
        <v>0</v>
      </c>
      <c r="BP52" s="20" t="n">
        <v>0</v>
      </c>
      <c r="BQ52" s="20" t="n">
        <v>0</v>
      </c>
      <c r="BR52" s="20" t="n">
        <v>0</v>
      </c>
      <c r="BS52" s="20" t="n">
        <v>0</v>
      </c>
      <c r="BT52" s="20" t="n">
        <v>0</v>
      </c>
      <c r="BU52" s="20" t="n">
        <v>0</v>
      </c>
      <c r="BV52" s="20" t="n">
        <v>0</v>
      </c>
      <c r="BW52" s="20" t="n">
        <v>0</v>
      </c>
      <c r="BX52" s="20" t="n">
        <v>0</v>
      </c>
      <c r="BY52" s="20" t="n">
        <v>0</v>
      </c>
      <c r="BZ52" s="20" t="n">
        <v>0</v>
      </c>
      <c r="CA52" s="20" t="n">
        <v>0</v>
      </c>
      <c r="CB52" s="20" t="n">
        <v>0</v>
      </c>
      <c r="CC52" s="20" t="n">
        <v>0</v>
      </c>
      <c r="CD52" s="20" t="n">
        <v>0</v>
      </c>
      <c r="CE52" s="20" t="n">
        <v>0</v>
      </c>
      <c r="CF52" s="20" t="n">
        <v>0</v>
      </c>
      <c r="CG52" s="20" t="n">
        <v>0</v>
      </c>
      <c r="CH52" s="20" t="n">
        <v>0</v>
      </c>
      <c r="CI52" s="20" t="n">
        <v>0</v>
      </c>
      <c r="CJ52" s="20" t="n">
        <v>0</v>
      </c>
      <c r="CK52" s="20" t="n">
        <v>0</v>
      </c>
      <c r="CL52" s="20" t="n">
        <v>0</v>
      </c>
      <c r="CM52" s="20" t="n">
        <v>0</v>
      </c>
      <c r="CN52" s="20" t="n">
        <v>0</v>
      </c>
      <c r="CO52" s="20" t="n">
        <v>0</v>
      </c>
      <c r="CP52" s="20" t="n">
        <v>0</v>
      </c>
      <c r="CQ52" s="20" t="n">
        <v>0</v>
      </c>
      <c r="CR52" s="20" t="n">
        <v>0</v>
      </c>
      <c r="CS52" s="20" t="n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</cols>
  <sheetData>
    <row r="1">
      <c r="A1" s="1" t="inlineStr">
        <is>
          <t>Raw batt discharge</t>
        </is>
      </c>
    </row>
    <row r="2">
      <c r="A2" s="17" t="inlineStr">
        <is>
          <t>Verbatim copy of Discharge_kW (TR2_analysis_data.xlsx). One row per half-hour, one column per battery (kW).</t>
        </is>
      </c>
    </row>
    <row r="4">
      <c r="A4" s="7" t="inlineStr">
        <is>
          <t>period</t>
        </is>
      </c>
      <c r="B4" s="7" t="inlineStr">
        <is>
          <t>hour</t>
        </is>
      </c>
      <c r="C4" s="7" t="inlineStr">
        <is>
          <t>BES_TR2_three312_A</t>
        </is>
      </c>
      <c r="D4" s="7" t="inlineStr">
        <is>
          <t>BES_TR2_three321_B</t>
        </is>
      </c>
      <c r="E4" s="7" t="inlineStr">
        <is>
          <t>BES_TR2_three368_A</t>
        </is>
      </c>
      <c r="F4" s="7" t="inlineStr">
        <is>
          <t>BES_TR2_three388_A</t>
        </is>
      </c>
      <c r="G4" s="7" t="inlineStr">
        <is>
          <t>BES_TR2_three409_C</t>
        </is>
      </c>
      <c r="H4" s="7" t="inlineStr">
        <is>
          <t>BES_TR2_three478_B</t>
        </is>
      </c>
      <c r="I4" s="7" t="inlineStr">
        <is>
          <t>BES_TR2_three97_B</t>
        </is>
      </c>
      <c r="J4" s="7" t="inlineStr">
        <is>
          <t>BES_TR2_three133_C</t>
        </is>
      </c>
      <c r="K4" s="7" t="inlineStr">
        <is>
          <t>BES_TR2_three160_C</t>
        </is>
      </c>
      <c r="L4" s="7" t="inlineStr">
        <is>
          <t>BES_TR2_five58_C</t>
        </is>
      </c>
      <c r="M4" s="7" t="inlineStr">
        <is>
          <t>BES_TR2_five147_C</t>
        </is>
      </c>
      <c r="N4" s="7" t="inlineStr">
        <is>
          <t>BES_TR2_five149_A</t>
        </is>
      </c>
      <c r="O4" s="7" t="inlineStr">
        <is>
          <t>BES_TR2_five160_C</t>
        </is>
      </c>
      <c r="P4" s="7" t="inlineStr">
        <is>
          <t>BES_TR2_five170_A</t>
        </is>
      </c>
      <c r="Q4" s="7" t="inlineStr">
        <is>
          <t>BES_TR2_five177_A</t>
        </is>
      </c>
      <c r="R4" s="7" t="inlineStr">
        <is>
          <t>BES_TR2_five67_C</t>
        </is>
      </c>
      <c r="S4" s="7" t="inlineStr">
        <is>
          <t>BES_TR2_five243_B</t>
        </is>
      </c>
      <c r="T4" s="7" t="inlineStr">
        <is>
          <t>BES_TR2_five284_C</t>
        </is>
      </c>
      <c r="U4" s="7" t="inlineStr">
        <is>
          <t>BES_TR2_five285_B</t>
        </is>
      </c>
      <c r="V4" s="7" t="inlineStr">
        <is>
          <t>BES_TR2_five303_B</t>
        </is>
      </c>
      <c r="W4" s="7" t="inlineStr">
        <is>
          <t>BES_TR2_five324_B</t>
        </is>
      </c>
      <c r="X4" s="7" t="inlineStr">
        <is>
          <t>BES_TR2_five355_A</t>
        </is>
      </c>
      <c r="Y4" s="7" t="inlineStr">
        <is>
          <t>BES_TR2_five394_C</t>
        </is>
      </c>
      <c r="Z4" s="7" t="inlineStr">
        <is>
          <t>BES_TR2_five451_A</t>
        </is>
      </c>
      <c r="AA4" s="7" t="inlineStr">
        <is>
          <t>BES_TR2_five466_A</t>
        </is>
      </c>
      <c r="AB4" s="7" t="inlineStr">
        <is>
          <t>BES_TR2_five494_B</t>
        </is>
      </c>
      <c r="AC4" s="7" t="inlineStr">
        <is>
          <t>BES_TR2_five512_A</t>
        </is>
      </c>
      <c r="AD4" s="7" t="inlineStr">
        <is>
          <t>BES_TR2_five520_C</t>
        </is>
      </c>
      <c r="AE4" s="7" t="inlineStr">
        <is>
          <t>BES_TR2_five540_A</t>
        </is>
      </c>
      <c r="AF4" s="7" t="inlineStr">
        <is>
          <t>BES_TR2_five588_A</t>
        </is>
      </c>
      <c r="AG4" s="7" t="inlineStr">
        <is>
          <t>BES_TR2_five649_A</t>
        </is>
      </c>
      <c r="AH4" s="7" t="inlineStr">
        <is>
          <t>BES_TR2_five663_C</t>
        </is>
      </c>
      <c r="AI4" s="7" t="inlineStr">
        <is>
          <t>BES_TR2_five685_B</t>
        </is>
      </c>
      <c r="AJ4" s="7" t="inlineStr">
        <is>
          <t>BES_TR2_five695_A</t>
        </is>
      </c>
      <c r="AK4" s="7" t="inlineStr">
        <is>
          <t>BES_TR2_five704_A</t>
        </is>
      </c>
      <c r="AL4" s="7" t="inlineStr">
        <is>
          <t>BES_TR2_five733_C</t>
        </is>
      </c>
      <c r="AM4" s="7" t="inlineStr">
        <is>
          <t>BES_TR2_five117_B</t>
        </is>
      </c>
      <c r="AN4" s="7" t="inlineStr">
        <is>
          <t>BES_TR2_five778_B</t>
        </is>
      </c>
      <c r="AO4" s="7" t="inlineStr">
        <is>
          <t>BES_TR2_five799_C</t>
        </is>
      </c>
      <c r="AP4" s="7" t="inlineStr">
        <is>
          <t>BES_TR2_five801_C</t>
        </is>
      </c>
      <c r="AQ4" s="7" t="inlineStr">
        <is>
          <t>BES_TR2_five831_C</t>
        </is>
      </c>
      <c r="AR4" s="7" t="inlineStr">
        <is>
          <t>BES_TR2_five881_C</t>
        </is>
      </c>
      <c r="AS4" s="7" t="inlineStr">
        <is>
          <t>BES_TR2_five118_B</t>
        </is>
      </c>
      <c r="AT4" s="7" t="inlineStr">
        <is>
          <t>BES_TR2_six64_A</t>
        </is>
      </c>
      <c r="AU4" s="7" t="inlineStr">
        <is>
          <t>BES_TR2_six154_C</t>
        </is>
      </c>
      <c r="AV4" s="7" t="inlineStr">
        <is>
          <t>BES_TR2_six173_C</t>
        </is>
      </c>
      <c r="AW4" s="7" t="inlineStr">
        <is>
          <t>BES_TR2_six186_A</t>
        </is>
      </c>
      <c r="AX4" s="7" t="inlineStr">
        <is>
          <t>BES_TR2_six191_B</t>
        </is>
      </c>
      <c r="AY4" s="7" t="inlineStr">
        <is>
          <t>BES_TR2_six203_A</t>
        </is>
      </c>
      <c r="AZ4" s="7" t="inlineStr">
        <is>
          <t>BES_TR2_six232_C</t>
        </is>
      </c>
      <c r="BA4" s="7" t="inlineStr">
        <is>
          <t>BES_TR2_six238_A</t>
        </is>
      </c>
      <c r="BB4" s="7" t="inlineStr">
        <is>
          <t>BES_TR2_six249_B</t>
        </is>
      </c>
      <c r="BC4" s="7" t="inlineStr">
        <is>
          <t>BES_TR2_six254_B</t>
        </is>
      </c>
      <c r="BD4" s="7" t="inlineStr">
        <is>
          <t>BES_TR2_six269_C</t>
        </is>
      </c>
      <c r="BE4" s="7" t="inlineStr">
        <is>
          <t>BES_TR2_six289_C</t>
        </is>
      </c>
      <c r="BF4" s="7" t="inlineStr">
        <is>
          <t>BES_TR2_six317_C</t>
        </is>
      </c>
      <c r="BG4" s="7" t="inlineStr">
        <is>
          <t>BES_TR2_six326_A</t>
        </is>
      </c>
      <c r="BH4" s="7" t="inlineStr">
        <is>
          <t>BES_TR2_six329_A</t>
        </is>
      </c>
      <c r="BI4" s="7" t="inlineStr">
        <is>
          <t>BES_TR2_six342_A</t>
        </is>
      </c>
      <c r="BJ4" s="7" t="inlineStr">
        <is>
          <t>BES_TR2_six349_A</t>
        </is>
      </c>
      <c r="BK4" s="7" t="inlineStr">
        <is>
          <t>BES_TR2_six350_B</t>
        </is>
      </c>
      <c r="BL4" s="7" t="inlineStr">
        <is>
          <t>BES_TR2_six362_C</t>
        </is>
      </c>
      <c r="BM4" s="7" t="inlineStr">
        <is>
          <t>BES_TR2_six365_C</t>
        </is>
      </c>
      <c r="BN4" s="7" t="inlineStr">
        <is>
          <t>BES_TR2_six378_A</t>
        </is>
      </c>
      <c r="BO4" s="7" t="inlineStr">
        <is>
          <t>BES_TR2_six385_B</t>
        </is>
      </c>
      <c r="BP4" s="7" t="inlineStr">
        <is>
          <t>BES_TR2_six387_A</t>
        </is>
      </c>
      <c r="BQ4" s="7" t="inlineStr">
        <is>
          <t>BES_TR2_six392_C</t>
        </is>
      </c>
      <c r="BR4" s="7" t="inlineStr">
        <is>
          <t>BES_TR2_six410_A</t>
        </is>
      </c>
      <c r="BS4" s="7" t="inlineStr">
        <is>
          <t>BES_TR2_six431_C</t>
        </is>
      </c>
      <c r="BT4" s="7" t="inlineStr">
        <is>
          <t>BES_TR2_six484_B</t>
        </is>
      </c>
      <c r="BU4" s="7" t="inlineStr">
        <is>
          <t>BES_TR2_six512_B</t>
        </is>
      </c>
      <c r="BV4" s="7" t="inlineStr">
        <is>
          <t>BES_TR2_six518_B</t>
        </is>
      </c>
      <c r="BW4" s="7" t="inlineStr">
        <is>
          <t>BES_TR2_six523_C</t>
        </is>
      </c>
      <c r="BX4" s="7" t="inlineStr">
        <is>
          <t>BES_TR2_six571_C</t>
        </is>
      </c>
      <c r="BY4" s="7" t="inlineStr">
        <is>
          <t>BES_TR2_six583_A</t>
        </is>
      </c>
      <c r="BZ4" s="7" t="inlineStr">
        <is>
          <t>BES_TR2_six625_A</t>
        </is>
      </c>
      <c r="CA4" s="7" t="inlineStr">
        <is>
          <t>BES_TR2_six646_B</t>
        </is>
      </c>
      <c r="CB4" s="7" t="inlineStr">
        <is>
          <t>BES_TR2_six87_A</t>
        </is>
      </c>
      <c r="CC4" s="7" t="inlineStr">
        <is>
          <t>BES_TR2_six652_A</t>
        </is>
      </c>
      <c r="CD4" s="7" t="inlineStr">
        <is>
          <t>BES_TR2_six665_B</t>
        </is>
      </c>
      <c r="CE4" s="7" t="inlineStr">
        <is>
          <t>BES_TR2_six667_A</t>
        </is>
      </c>
      <c r="CF4" s="7" t="inlineStr">
        <is>
          <t>BES_TR2_six721_A</t>
        </is>
      </c>
      <c r="CG4" s="7" t="inlineStr">
        <is>
          <t>BES_TR2_six740_A</t>
        </is>
      </c>
      <c r="CH4" s="7" t="inlineStr">
        <is>
          <t>BES_TR2_six758_B</t>
        </is>
      </c>
      <c r="CI4" s="7" t="inlineStr">
        <is>
          <t>BES_TR2_six784_B</t>
        </is>
      </c>
      <c r="CJ4" s="7" t="inlineStr">
        <is>
          <t>BES_TR2_six799_B</t>
        </is>
      </c>
      <c r="CK4" s="7" t="inlineStr">
        <is>
          <t>BES_TR2_six807_A</t>
        </is>
      </c>
      <c r="CL4" s="7" t="inlineStr">
        <is>
          <t>BES_TR2_six885_A</t>
        </is>
      </c>
      <c r="CM4" s="7" t="inlineStr">
        <is>
          <t>BES_TR2_six894_B</t>
        </is>
      </c>
      <c r="CN4" s="7" t="inlineStr">
        <is>
          <t>BES_TR2_six914_A</t>
        </is>
      </c>
      <c r="CO4" s="7" t="inlineStr">
        <is>
          <t>BES_TR2_six921_B</t>
        </is>
      </c>
      <c r="CP4" s="7" t="inlineStr">
        <is>
          <t>BES_TR2_six929_A</t>
        </is>
      </c>
      <c r="CQ4" s="7" t="inlineStr">
        <is>
          <t>BES_TR2_six938_A</t>
        </is>
      </c>
      <c r="CR4" s="7" t="inlineStr">
        <is>
          <t>BES_TR2_six990_B</t>
        </is>
      </c>
      <c r="CS4" s="7" t="inlineStr">
        <is>
          <t>BES_TR2_six1020_A</t>
        </is>
      </c>
    </row>
    <row r="5">
      <c r="A5" s="10" t="n">
        <v>1</v>
      </c>
      <c r="B5" s="10" t="n">
        <v>0</v>
      </c>
      <c r="C5" s="20" t="n">
        <v>0.271</v>
      </c>
      <c r="D5" s="20" t="n">
        <v>0.043</v>
      </c>
      <c r="E5" s="20" t="n">
        <v>0.206</v>
      </c>
      <c r="F5" s="20" t="n">
        <v>0.057</v>
      </c>
      <c r="G5" s="20" t="n">
        <v>0.054</v>
      </c>
      <c r="H5" s="20" t="n">
        <v>0.162</v>
      </c>
      <c r="I5" s="20" t="n">
        <v>0.046</v>
      </c>
      <c r="J5" s="20" t="n">
        <v>0.055</v>
      </c>
      <c r="K5" s="20" t="n">
        <v>0.678</v>
      </c>
      <c r="L5" s="20" t="n">
        <v>0.213</v>
      </c>
      <c r="M5" s="20" t="n">
        <v>0.142</v>
      </c>
      <c r="N5" s="20" t="n">
        <v>0.119</v>
      </c>
      <c r="O5" s="20" t="n">
        <v>0.139</v>
      </c>
      <c r="P5" s="20" t="n">
        <v>0.19</v>
      </c>
      <c r="Q5" s="20" t="n">
        <v>0.054</v>
      </c>
      <c r="R5" s="20" t="n">
        <v>0.094</v>
      </c>
      <c r="S5" s="20" t="n">
        <v>0.05</v>
      </c>
      <c r="T5" s="20" t="n">
        <v>0.05</v>
      </c>
      <c r="U5" s="20" t="n">
        <v>0.41</v>
      </c>
      <c r="V5" s="20" t="n">
        <v>0.149</v>
      </c>
      <c r="W5" s="20" t="n">
        <v>0.049</v>
      </c>
      <c r="X5" s="20" t="n">
        <v>0.185</v>
      </c>
      <c r="Y5" s="20" t="n">
        <v>1.565</v>
      </c>
      <c r="Z5" s="20" t="n">
        <v>0.182</v>
      </c>
      <c r="AA5" s="20" t="n">
        <v>0.054</v>
      </c>
      <c r="AB5" s="20" t="n">
        <v>0.054</v>
      </c>
      <c r="AC5" s="20" t="n">
        <v>0.257</v>
      </c>
      <c r="AD5" s="20" t="n">
        <v>0.08599999999999999</v>
      </c>
      <c r="AE5" s="20" t="n">
        <v>0.124</v>
      </c>
      <c r="AF5" s="20" t="n">
        <v>0.282</v>
      </c>
      <c r="AG5" s="20" t="n">
        <v>0.036</v>
      </c>
      <c r="AH5" s="20" t="n">
        <v>0.209</v>
      </c>
      <c r="AI5" s="20" t="n">
        <v>0.272</v>
      </c>
      <c r="AJ5" s="20" t="n">
        <v>0.158</v>
      </c>
      <c r="AK5" s="20" t="n">
        <v>0.709</v>
      </c>
      <c r="AL5" s="20" t="n">
        <v>0.052</v>
      </c>
      <c r="AM5" s="20" t="n">
        <v>0.048</v>
      </c>
      <c r="AN5" s="20" t="n">
        <v>0.214</v>
      </c>
      <c r="AO5" s="20" t="n">
        <v>0.86</v>
      </c>
      <c r="AP5" s="20" t="n">
        <v>0.053</v>
      </c>
      <c r="AQ5" s="20" t="n">
        <v>0.058</v>
      </c>
      <c r="AR5" s="20" t="n">
        <v>0.049</v>
      </c>
      <c r="AS5" s="20" t="n">
        <v>0.235</v>
      </c>
      <c r="AT5" s="20" t="n">
        <v>0.273</v>
      </c>
      <c r="AU5" s="20" t="n">
        <v>0.156</v>
      </c>
      <c r="AV5" s="20" t="n">
        <v>0.53</v>
      </c>
      <c r="AW5" s="20" t="n">
        <v>0.192</v>
      </c>
      <c r="AX5" s="20" t="n">
        <v>0.167</v>
      </c>
      <c r="AY5" s="20" t="n">
        <v>0.144</v>
      </c>
      <c r="AZ5" s="20" t="n">
        <v>0.167</v>
      </c>
      <c r="BA5" s="20" t="n">
        <v>0.034</v>
      </c>
      <c r="BB5" s="20" t="n">
        <v>0.038</v>
      </c>
      <c r="BC5" s="20" t="n">
        <v>0.401</v>
      </c>
      <c r="BD5" s="20" t="n">
        <v>0.178</v>
      </c>
      <c r="BE5" s="20" t="n">
        <v>0.61</v>
      </c>
      <c r="BF5" s="20" t="n">
        <v>0.048</v>
      </c>
      <c r="BG5" s="20" t="n">
        <v>0.145</v>
      </c>
      <c r="BH5" s="20" t="n">
        <v>0.029</v>
      </c>
      <c r="BI5" s="20" t="n">
        <v>0.367</v>
      </c>
      <c r="BJ5" s="20" t="n">
        <v>0.431</v>
      </c>
      <c r="BK5" s="20" t="n">
        <v>0.062</v>
      </c>
      <c r="BL5" s="20" t="n">
        <v>0.047</v>
      </c>
      <c r="BM5" s="20" t="n">
        <v>0.048</v>
      </c>
      <c r="BN5" s="20" t="n">
        <v>0.16</v>
      </c>
      <c r="BO5" s="20" t="n">
        <v>0.455</v>
      </c>
      <c r="BP5" s="20" t="n">
        <v>0.901</v>
      </c>
      <c r="BQ5" s="20" t="n">
        <v>0.313</v>
      </c>
      <c r="BR5" s="20" t="n">
        <v>0.757</v>
      </c>
      <c r="BS5" s="20" t="n">
        <v>0.178</v>
      </c>
      <c r="BT5" s="20" t="n">
        <v>0.038</v>
      </c>
      <c r="BU5" s="20" t="n">
        <v>0.409</v>
      </c>
      <c r="BV5" s="20" t="n">
        <v>0.116</v>
      </c>
      <c r="BW5" s="20" t="n">
        <v>0.048</v>
      </c>
      <c r="BX5" s="20" t="n">
        <v>0.384</v>
      </c>
      <c r="BY5" s="20" t="n">
        <v>0.054</v>
      </c>
      <c r="BZ5" s="20" t="n">
        <v>0.594</v>
      </c>
      <c r="CA5" s="20" t="n">
        <v>0.211</v>
      </c>
      <c r="CB5" s="20" t="n">
        <v>0.145</v>
      </c>
      <c r="CC5" s="20" t="n">
        <v>0.156</v>
      </c>
      <c r="CD5" s="20" t="n">
        <v>0.053</v>
      </c>
      <c r="CE5" s="20" t="n">
        <v>0.056</v>
      </c>
      <c r="CF5" s="20" t="n">
        <v>0.706</v>
      </c>
      <c r="CG5" s="20" t="n">
        <v>0.135</v>
      </c>
      <c r="CH5" s="20" t="n">
        <v>0.05</v>
      </c>
      <c r="CI5" s="20" t="n">
        <v>0.049</v>
      </c>
      <c r="CJ5" s="20" t="n">
        <v>1.071</v>
      </c>
      <c r="CK5" s="20" t="n">
        <v>0.57</v>
      </c>
      <c r="CL5" s="20" t="n">
        <v>0.046</v>
      </c>
      <c r="CM5" s="20" t="n">
        <v>0.061</v>
      </c>
      <c r="CN5" s="20" t="n">
        <v>0.08599999999999999</v>
      </c>
      <c r="CO5" s="20" t="n">
        <v>0.082</v>
      </c>
      <c r="CP5" s="20" t="n">
        <v>0.778</v>
      </c>
      <c r="CQ5" s="20" t="n">
        <v>0.201</v>
      </c>
      <c r="CR5" s="20" t="n">
        <v>0.164</v>
      </c>
      <c r="CS5" s="20" t="n">
        <v>0.475</v>
      </c>
    </row>
    <row r="6">
      <c r="A6" s="10" t="n">
        <v>2</v>
      </c>
      <c r="B6" s="10" t="n">
        <v>0.5</v>
      </c>
      <c r="C6" s="20" t="n">
        <v>0.08400000000000001</v>
      </c>
      <c r="D6" s="20" t="n">
        <v>0.211</v>
      </c>
      <c r="E6" s="20" t="n">
        <v>0.056</v>
      </c>
      <c r="F6" s="20" t="n">
        <v>0.057</v>
      </c>
      <c r="G6" s="20" t="n">
        <v>0.172</v>
      </c>
      <c r="H6" s="20" t="n">
        <v>0.14</v>
      </c>
      <c r="I6" s="20" t="n">
        <v>0.046</v>
      </c>
      <c r="J6" s="20" t="n">
        <v>0.116</v>
      </c>
      <c r="K6" s="20" t="n">
        <v>0.297</v>
      </c>
      <c r="L6" s="20" t="n">
        <v>0.284</v>
      </c>
      <c r="M6" s="20" t="n">
        <v>0.08699999999999999</v>
      </c>
      <c r="N6" s="20" t="n">
        <v>0.1</v>
      </c>
      <c r="O6" s="20" t="n">
        <v>0.054</v>
      </c>
      <c r="P6" s="20" t="n">
        <v>0.047</v>
      </c>
      <c r="Q6" s="20" t="n">
        <v>0.132</v>
      </c>
      <c r="R6" s="20" t="n">
        <v>0.15</v>
      </c>
      <c r="S6" s="20" t="n">
        <v>0.05</v>
      </c>
      <c r="T6" s="20" t="n">
        <v>0.129</v>
      </c>
      <c r="U6" s="20" t="n">
        <v>0.486</v>
      </c>
      <c r="V6" s="20" t="n">
        <v>0.143</v>
      </c>
      <c r="W6" s="20" t="n">
        <v>0.11</v>
      </c>
      <c r="X6" s="20" t="n">
        <v>0.128</v>
      </c>
      <c r="Y6" s="20" t="n">
        <v>0.058</v>
      </c>
      <c r="Z6" s="20" t="n">
        <v>0.161</v>
      </c>
      <c r="AA6" s="20" t="n">
        <v>0.186</v>
      </c>
      <c r="AB6" s="20" t="n">
        <v>0.188</v>
      </c>
      <c r="AC6" s="20" t="n">
        <v>0.056</v>
      </c>
      <c r="AD6" s="20" t="n">
        <v>0.156</v>
      </c>
      <c r="AE6" s="20" t="n">
        <v>0.102</v>
      </c>
      <c r="AF6" s="20" t="n">
        <v>0.203</v>
      </c>
      <c r="AG6" s="20" t="n">
        <v>0.153</v>
      </c>
      <c r="AH6" s="20" t="n">
        <v>0.103</v>
      </c>
      <c r="AI6" s="20" t="n">
        <v>0.052</v>
      </c>
      <c r="AJ6" s="20" t="n">
        <v>0.049</v>
      </c>
      <c r="AK6" s="20" t="n">
        <v>0.856</v>
      </c>
      <c r="AL6" s="20" t="n">
        <v>0.052</v>
      </c>
      <c r="AM6" s="20" t="n">
        <v>0.227</v>
      </c>
      <c r="AN6" s="20" t="n">
        <v>0.046</v>
      </c>
      <c r="AO6" s="20" t="n">
        <v>0.639</v>
      </c>
      <c r="AP6" s="20" t="n">
        <v>0.121</v>
      </c>
      <c r="AQ6" s="20" t="n">
        <v>0.058</v>
      </c>
      <c r="AR6" s="20" t="n">
        <v>0.049</v>
      </c>
      <c r="AS6" s="20" t="n">
        <v>0.203</v>
      </c>
      <c r="AT6" s="20" t="n">
        <v>0.25</v>
      </c>
      <c r="AU6" s="20" t="n">
        <v>0.054</v>
      </c>
      <c r="AV6" s="20" t="n">
        <v>0.363</v>
      </c>
      <c r="AW6" s="20" t="n">
        <v>0.174</v>
      </c>
      <c r="AX6" s="20" t="n">
        <v>0.262</v>
      </c>
      <c r="AY6" s="20" t="n">
        <v>0.049</v>
      </c>
      <c r="AZ6" s="20" t="n">
        <v>0.129</v>
      </c>
      <c r="BA6" s="20" t="n">
        <v>0.034</v>
      </c>
      <c r="BB6" s="20" t="n">
        <v>0.138</v>
      </c>
      <c r="BC6" s="20" t="n">
        <v>0.5620000000000001</v>
      </c>
      <c r="BD6" s="20" t="n">
        <v>0.101</v>
      </c>
      <c r="BE6" s="20" t="n">
        <v>0.23</v>
      </c>
      <c r="BF6" s="20" t="n">
        <v>0.048</v>
      </c>
      <c r="BG6" s="20" t="n">
        <v>0.047</v>
      </c>
      <c r="BH6" s="20" t="n">
        <v>0.029</v>
      </c>
      <c r="BI6" s="20" t="n">
        <v>0.447</v>
      </c>
      <c r="BJ6" s="20" t="n">
        <v>0.437</v>
      </c>
      <c r="BK6" s="20" t="n">
        <v>0.192</v>
      </c>
      <c r="BL6" s="20" t="n">
        <v>0.047</v>
      </c>
      <c r="BM6" s="20" t="n">
        <v>0.048</v>
      </c>
      <c r="BN6" s="20" t="n">
        <v>0.25</v>
      </c>
      <c r="BO6" s="20" t="n">
        <v>0.477</v>
      </c>
      <c r="BP6" s="20" t="n">
        <v>0.795</v>
      </c>
      <c r="BQ6" s="20" t="n">
        <v>0.05</v>
      </c>
      <c r="BR6" s="20" t="n">
        <v>1.634</v>
      </c>
      <c r="BS6" s="20" t="n">
        <v>0.052</v>
      </c>
      <c r="BT6" s="20" t="n">
        <v>0.038</v>
      </c>
      <c r="BU6" s="20" t="n">
        <v>0.357</v>
      </c>
      <c r="BV6" s="20" t="n">
        <v>0.144</v>
      </c>
      <c r="BW6" s="20" t="n">
        <v>0.1</v>
      </c>
      <c r="BX6" s="20" t="n">
        <v>0.054</v>
      </c>
      <c r="BY6" s="20" t="n">
        <v>0.215</v>
      </c>
      <c r="BZ6" s="20" t="n">
        <v>0.572</v>
      </c>
      <c r="CA6" s="20" t="n">
        <v>0.046</v>
      </c>
      <c r="CB6" s="20" t="n">
        <v>0.198</v>
      </c>
      <c r="CC6" s="20" t="n">
        <v>0.293</v>
      </c>
      <c r="CD6" s="20" t="n">
        <v>0.061</v>
      </c>
      <c r="CE6" s="20" t="n">
        <v>0.241</v>
      </c>
      <c r="CF6" s="20" t="n">
        <v>0.136</v>
      </c>
      <c r="CG6" s="20" t="n">
        <v>0.132</v>
      </c>
      <c r="CH6" s="20" t="n">
        <v>0.222</v>
      </c>
      <c r="CI6" s="20" t="n">
        <v>0.049</v>
      </c>
      <c r="CJ6" s="20" t="n">
        <v>1.043</v>
      </c>
      <c r="CK6" s="20" t="n">
        <v>0.713</v>
      </c>
      <c r="CL6" s="20" t="n">
        <v>0.159</v>
      </c>
      <c r="CM6" s="20" t="n">
        <v>0.052</v>
      </c>
      <c r="CN6" s="20" t="n">
        <v>0.156</v>
      </c>
      <c r="CO6" s="20" t="n">
        <v>0.125</v>
      </c>
      <c r="CP6" s="20" t="n">
        <v>0.668</v>
      </c>
      <c r="CQ6" s="20" t="n">
        <v>0.051</v>
      </c>
      <c r="CR6" s="20" t="n">
        <v>0.048</v>
      </c>
      <c r="CS6" s="20" t="n">
        <v>0.397</v>
      </c>
    </row>
    <row r="7">
      <c r="A7" s="10" t="n">
        <v>3</v>
      </c>
      <c r="B7" s="10" t="n">
        <v>1</v>
      </c>
      <c r="C7" s="20" t="n">
        <v>0.184</v>
      </c>
      <c r="D7" s="20" t="n">
        <v>0.043</v>
      </c>
      <c r="E7" s="20" t="n">
        <v>0.196</v>
      </c>
      <c r="F7" s="20" t="n">
        <v>0.057</v>
      </c>
      <c r="G7" s="20" t="n">
        <v>0.213</v>
      </c>
      <c r="H7" s="20" t="n">
        <v>0.193</v>
      </c>
      <c r="I7" s="20" t="n">
        <v>0.046</v>
      </c>
      <c r="J7" s="20" t="n">
        <v>0.131</v>
      </c>
      <c r="K7" s="20" t="n">
        <v>0.133</v>
      </c>
      <c r="L7" s="20" t="n">
        <v>0.135</v>
      </c>
      <c r="M7" s="20" t="n">
        <v>0.07099999999999999</v>
      </c>
      <c r="N7" s="20" t="n">
        <v>0.198</v>
      </c>
      <c r="O7" s="20" t="n">
        <v>0.101</v>
      </c>
      <c r="P7" s="20" t="n">
        <v>0.177</v>
      </c>
      <c r="Q7" s="20" t="n">
        <v>0.054</v>
      </c>
      <c r="R7" s="20" t="n">
        <v>0.193</v>
      </c>
      <c r="S7" s="20" t="n">
        <v>0.05</v>
      </c>
      <c r="T7" s="20" t="n">
        <v>0.195</v>
      </c>
      <c r="U7" s="20" t="n">
        <v>0.583</v>
      </c>
      <c r="V7" s="20" t="n">
        <v>0.041</v>
      </c>
      <c r="W7" s="20" t="n">
        <v>0.049</v>
      </c>
      <c r="X7" s="20" t="n">
        <v>0.275</v>
      </c>
      <c r="Y7" s="20" t="n">
        <v>0.101</v>
      </c>
      <c r="Z7" s="20" t="n">
        <v>0.047</v>
      </c>
      <c r="AA7" s="20" t="n">
        <v>0.06</v>
      </c>
      <c r="AB7" s="20" t="n">
        <v>0.054</v>
      </c>
      <c r="AC7" s="20" t="n">
        <v>0.056</v>
      </c>
      <c r="AD7" s="20" t="n">
        <v>0.045</v>
      </c>
      <c r="AE7" s="20" t="n">
        <v>0.052</v>
      </c>
      <c r="AF7" s="20" t="n">
        <v>0.129</v>
      </c>
      <c r="AG7" s="20" t="n">
        <v>0.036</v>
      </c>
      <c r="AH7" s="20" t="n">
        <v>0.222</v>
      </c>
      <c r="AI7" s="20" t="n">
        <v>0.179</v>
      </c>
      <c r="AJ7" s="20" t="n">
        <v>0.225</v>
      </c>
      <c r="AK7" s="20" t="n">
        <v>0.679</v>
      </c>
      <c r="AL7" s="20" t="n">
        <v>0.052</v>
      </c>
      <c r="AM7" s="20" t="n">
        <v>0.048</v>
      </c>
      <c r="AN7" s="20" t="n">
        <v>0.183</v>
      </c>
      <c r="AO7" s="20" t="n">
        <v>0.387</v>
      </c>
      <c r="AP7" s="20" t="n">
        <v>0.053</v>
      </c>
      <c r="AQ7" s="20" t="n">
        <v>0.161</v>
      </c>
      <c r="AR7" s="20" t="n">
        <v>0.148</v>
      </c>
      <c r="AS7" s="20" t="n">
        <v>0.1</v>
      </c>
      <c r="AT7" s="20" t="n">
        <v>0.167</v>
      </c>
      <c r="AU7" s="20" t="n">
        <v>0.054</v>
      </c>
      <c r="AV7" s="20" t="n">
        <v>0.871</v>
      </c>
      <c r="AW7" s="20" t="n">
        <v>0.079</v>
      </c>
      <c r="AX7" s="20" t="n">
        <v>0.188</v>
      </c>
      <c r="AY7" s="20" t="n">
        <v>0.144</v>
      </c>
      <c r="AZ7" s="20" t="n">
        <v>0.05</v>
      </c>
      <c r="BA7" s="20" t="n">
        <v>0.151</v>
      </c>
      <c r="BB7" s="20" t="n">
        <v>0.08400000000000001</v>
      </c>
      <c r="BC7" s="20" t="n">
        <v>0.048</v>
      </c>
      <c r="BD7" s="20" t="n">
        <v>0.128</v>
      </c>
      <c r="BE7" s="20" t="n">
        <v>0.104</v>
      </c>
      <c r="BF7" s="20" t="n">
        <v>0.048</v>
      </c>
      <c r="BG7" s="20" t="n">
        <v>0.114</v>
      </c>
      <c r="BH7" s="20" t="n">
        <v>0.029</v>
      </c>
      <c r="BI7" s="20" t="n">
        <v>0.172</v>
      </c>
      <c r="BJ7" s="20" t="n">
        <v>0.039</v>
      </c>
      <c r="BK7" s="20" t="n">
        <v>0.038</v>
      </c>
      <c r="BL7" s="20" t="n">
        <v>0.047</v>
      </c>
      <c r="BM7" s="20" t="n">
        <v>0.212</v>
      </c>
      <c r="BN7" s="20" t="n">
        <v>0.208</v>
      </c>
      <c r="BO7" s="20" t="n">
        <v>0.223</v>
      </c>
      <c r="BP7" s="20" t="n">
        <v>0.695</v>
      </c>
      <c r="BQ7" s="20" t="n">
        <v>0.273</v>
      </c>
      <c r="BR7" s="20" t="n">
        <v>0</v>
      </c>
      <c r="BS7" s="20" t="n">
        <v>0.206</v>
      </c>
      <c r="BT7" s="20" t="n">
        <v>0.139</v>
      </c>
      <c r="BU7" s="20" t="n">
        <v>0.066</v>
      </c>
      <c r="BV7" s="20" t="n">
        <v>0.054</v>
      </c>
      <c r="BW7" s="20" t="n">
        <v>0.304</v>
      </c>
      <c r="BX7" s="20" t="n">
        <v>0.346</v>
      </c>
      <c r="BY7" s="20" t="n">
        <v>0.058</v>
      </c>
      <c r="BZ7" s="20" t="n">
        <v>0.5629999999999999</v>
      </c>
      <c r="CA7" s="20" t="n">
        <v>0.316</v>
      </c>
      <c r="CB7" s="20" t="n">
        <v>0.171</v>
      </c>
      <c r="CC7" s="20" t="n">
        <v>0.121</v>
      </c>
      <c r="CD7" s="20" t="n">
        <v>0.119</v>
      </c>
      <c r="CE7" s="20" t="n">
        <v>0.056</v>
      </c>
      <c r="CF7" s="20" t="n">
        <v>0.149</v>
      </c>
      <c r="CG7" s="20" t="n">
        <v>0.054</v>
      </c>
      <c r="CH7" s="20" t="n">
        <v>0.05</v>
      </c>
      <c r="CI7" s="20" t="n">
        <v>0.049</v>
      </c>
      <c r="CJ7" s="20" t="n">
        <v>0.058</v>
      </c>
      <c r="CK7" s="20" t="n">
        <v>0.093</v>
      </c>
      <c r="CL7" s="20" t="n">
        <v>0.119</v>
      </c>
      <c r="CM7" s="20" t="n">
        <v>0.121</v>
      </c>
      <c r="CN7" s="20" t="n">
        <v>0.044</v>
      </c>
      <c r="CO7" s="20" t="n">
        <v>0.055</v>
      </c>
      <c r="CP7" s="20" t="n">
        <v>0.17</v>
      </c>
      <c r="CQ7" s="20" t="n">
        <v>0.208</v>
      </c>
      <c r="CR7" s="20" t="n">
        <v>0.309</v>
      </c>
      <c r="CS7" s="20" t="n">
        <v>0.17</v>
      </c>
    </row>
    <row r="8">
      <c r="A8" s="10" t="n">
        <v>4</v>
      </c>
      <c r="B8" s="10" t="n">
        <v>1.5</v>
      </c>
      <c r="C8" s="20" t="n">
        <v>0.055</v>
      </c>
      <c r="D8" s="20" t="n">
        <v>0.166</v>
      </c>
      <c r="E8" s="20" t="n">
        <v>0.206</v>
      </c>
      <c r="F8" s="20" t="n">
        <v>0.057</v>
      </c>
      <c r="G8" s="20" t="n">
        <v>0.054</v>
      </c>
      <c r="H8" s="20" t="n">
        <v>0.156</v>
      </c>
      <c r="I8" s="20" t="n">
        <v>0.046</v>
      </c>
      <c r="J8" s="20" t="n">
        <v>0.051</v>
      </c>
      <c r="K8" s="20" t="n">
        <v>0.203</v>
      </c>
      <c r="L8" s="20" t="n">
        <v>0.041</v>
      </c>
      <c r="M8" s="20" t="n">
        <v>0.159</v>
      </c>
      <c r="N8" s="20" t="n">
        <v>0.112</v>
      </c>
      <c r="O8" s="20" t="n">
        <v>0.092</v>
      </c>
      <c r="P8" s="20" t="n">
        <v>0.06</v>
      </c>
      <c r="Q8" s="20" t="n">
        <v>0.123</v>
      </c>
      <c r="R8" s="20" t="n">
        <v>0.182</v>
      </c>
      <c r="S8" s="20" t="n">
        <v>0.05</v>
      </c>
      <c r="T8" s="20" t="n">
        <v>0.104</v>
      </c>
      <c r="U8" s="20" t="n">
        <v>0.638</v>
      </c>
      <c r="V8" s="20" t="n">
        <v>0.082</v>
      </c>
      <c r="W8" s="20" t="n">
        <v>0.11</v>
      </c>
      <c r="X8" s="20" t="n">
        <v>0.08400000000000001</v>
      </c>
      <c r="Y8" s="20" t="n">
        <v>0.173</v>
      </c>
      <c r="Z8" s="20" t="n">
        <v>0.129</v>
      </c>
      <c r="AA8" s="20" t="n">
        <v>0.054</v>
      </c>
      <c r="AB8" s="20" t="n">
        <v>0.188</v>
      </c>
      <c r="AC8" s="20" t="n">
        <v>0.056</v>
      </c>
      <c r="AD8" s="20" t="n">
        <v>0.197</v>
      </c>
      <c r="AE8" s="20" t="n">
        <v>0.091</v>
      </c>
      <c r="AF8" s="20" t="n">
        <v>0.103</v>
      </c>
      <c r="AG8" s="20" t="n">
        <v>0.036</v>
      </c>
      <c r="AH8" s="20" t="n">
        <v>0.103</v>
      </c>
      <c r="AI8" s="20" t="n">
        <v>0.12</v>
      </c>
      <c r="AJ8" s="20" t="n">
        <v>0.081</v>
      </c>
      <c r="AK8" s="20" t="n">
        <v>0.147</v>
      </c>
      <c r="AL8" s="20" t="n">
        <v>0.052</v>
      </c>
      <c r="AM8" s="20" t="n">
        <v>0.048</v>
      </c>
      <c r="AN8" s="20" t="n">
        <v>0.077</v>
      </c>
      <c r="AO8" s="20" t="n">
        <v>0.192</v>
      </c>
      <c r="AP8" s="20" t="n">
        <v>0.083</v>
      </c>
      <c r="AQ8" s="20" t="n">
        <v>0.106</v>
      </c>
      <c r="AR8" s="20" t="n">
        <v>0.074</v>
      </c>
      <c r="AS8" s="20" t="n">
        <v>0.203</v>
      </c>
      <c r="AT8" s="20" t="n">
        <v>0.076</v>
      </c>
      <c r="AU8" s="20" t="n">
        <v>0.164</v>
      </c>
      <c r="AV8" s="20" t="n">
        <v>0.309</v>
      </c>
      <c r="AW8" s="20" t="n">
        <v>0.229</v>
      </c>
      <c r="AX8" s="20" t="n">
        <v>0.237</v>
      </c>
      <c r="AY8" s="20" t="n">
        <v>0.049</v>
      </c>
      <c r="AZ8" s="20" t="n">
        <v>0.109</v>
      </c>
      <c r="BA8" s="20" t="n">
        <v>0.089</v>
      </c>
      <c r="BB8" s="20" t="n">
        <v>0.261</v>
      </c>
      <c r="BC8" s="20" t="n">
        <v>0.082</v>
      </c>
      <c r="BD8" s="20" t="n">
        <v>0.225</v>
      </c>
      <c r="BE8" s="20" t="n">
        <v>0.164</v>
      </c>
      <c r="BF8" s="20" t="n">
        <v>0.048</v>
      </c>
      <c r="BG8" s="20" t="n">
        <v>0.183</v>
      </c>
      <c r="BH8" s="20" t="n">
        <v>0.029</v>
      </c>
      <c r="BI8" s="20" t="n">
        <v>0.544</v>
      </c>
      <c r="BJ8" s="20" t="n">
        <v>0.142</v>
      </c>
      <c r="BK8" s="20" t="n">
        <v>0.153</v>
      </c>
      <c r="BL8" s="20" t="n">
        <v>0.047</v>
      </c>
      <c r="BM8" s="20" t="n">
        <v>0.457</v>
      </c>
      <c r="BN8" s="20" t="n">
        <v>0.057</v>
      </c>
      <c r="BO8" s="20" t="n">
        <v>0.047</v>
      </c>
      <c r="BP8" s="20" t="n">
        <v>0</v>
      </c>
      <c r="BQ8" s="20" t="n">
        <v>0.131</v>
      </c>
      <c r="BR8" s="20" t="n">
        <v>0</v>
      </c>
      <c r="BS8" s="20" t="n">
        <v>0.052</v>
      </c>
      <c r="BT8" s="20" t="n">
        <v>0.038</v>
      </c>
      <c r="BU8" s="20" t="n">
        <v>0.19</v>
      </c>
      <c r="BV8" s="20" t="n">
        <v>0.157</v>
      </c>
      <c r="BW8" s="20" t="n">
        <v>0.077</v>
      </c>
      <c r="BX8" s="20" t="n">
        <v>0.074</v>
      </c>
      <c r="BY8" s="20" t="n">
        <v>0.054</v>
      </c>
      <c r="BZ8" s="20" t="n">
        <v>0.058</v>
      </c>
      <c r="CA8" s="20" t="n">
        <v>0.089</v>
      </c>
      <c r="CB8" s="20" t="n">
        <v>0.348</v>
      </c>
      <c r="CC8" s="20" t="n">
        <v>0.222</v>
      </c>
      <c r="CD8" s="20" t="n">
        <v>0.061</v>
      </c>
      <c r="CE8" s="20" t="n">
        <v>0.132</v>
      </c>
      <c r="CF8" s="20" t="n">
        <v>0.186</v>
      </c>
      <c r="CG8" s="20" t="n">
        <v>0.08799999999999999</v>
      </c>
      <c r="CH8" s="20" t="n">
        <v>0.16</v>
      </c>
      <c r="CI8" s="20" t="n">
        <v>0.049</v>
      </c>
      <c r="CJ8" s="20" t="n">
        <v>0.219</v>
      </c>
      <c r="CK8" s="20" t="n">
        <v>0.171</v>
      </c>
      <c r="CL8" s="20" t="n">
        <v>0.288</v>
      </c>
      <c r="CM8" s="20" t="n">
        <v>0.048</v>
      </c>
      <c r="CN8" s="20" t="n">
        <v>0.198</v>
      </c>
      <c r="CO8" s="20" t="n">
        <v>0.152</v>
      </c>
      <c r="CP8" s="20" t="n">
        <v>0.037</v>
      </c>
      <c r="CQ8" s="20" t="n">
        <v>0.076</v>
      </c>
      <c r="CR8" s="20" t="n">
        <v>0.06900000000000001</v>
      </c>
      <c r="CS8" s="20" t="n">
        <v>0.05</v>
      </c>
    </row>
    <row r="9">
      <c r="A9" s="10" t="n">
        <v>5</v>
      </c>
      <c r="B9" s="10" t="n">
        <v>2</v>
      </c>
      <c r="C9" s="20" t="n">
        <v>0.141</v>
      </c>
      <c r="D9" s="20" t="n">
        <v>0.089</v>
      </c>
      <c r="E9" s="20" t="n">
        <v>0.056</v>
      </c>
      <c r="F9" s="20" t="n">
        <v>0.057</v>
      </c>
      <c r="G9" s="20" t="n">
        <v>0.154</v>
      </c>
      <c r="H9" s="20" t="n">
        <v>0.125</v>
      </c>
      <c r="I9" s="20" t="n">
        <v>0.046</v>
      </c>
      <c r="J9" s="20" t="n">
        <v>0.117</v>
      </c>
      <c r="K9" s="20" t="n">
        <v>0.039</v>
      </c>
      <c r="L9" s="20" t="n">
        <v>0.259</v>
      </c>
      <c r="M9" s="20" t="n">
        <v>0.054</v>
      </c>
      <c r="N9" s="20" t="n">
        <v>0.22</v>
      </c>
      <c r="O9" s="20" t="n">
        <v>0.106</v>
      </c>
      <c r="P9" s="20" t="n">
        <v>0.138</v>
      </c>
      <c r="Q9" s="20" t="n">
        <v>0.063</v>
      </c>
      <c r="R9" s="20" t="n">
        <v>0.12</v>
      </c>
      <c r="S9" s="20" t="n">
        <v>0.05</v>
      </c>
      <c r="T9" s="20" t="n">
        <v>0.098</v>
      </c>
      <c r="U9" s="20" t="n">
        <v>0.173</v>
      </c>
      <c r="V9" s="20" t="n">
        <v>0.15</v>
      </c>
      <c r="W9" s="20" t="n">
        <v>0.049</v>
      </c>
      <c r="X9" s="20" t="n">
        <v>0.247</v>
      </c>
      <c r="Y9" s="20" t="n">
        <v>0.058</v>
      </c>
      <c r="Z9" s="20" t="n">
        <v>0.108</v>
      </c>
      <c r="AA9" s="20" t="n">
        <v>0.186</v>
      </c>
      <c r="AB9" s="20" t="n">
        <v>0.054</v>
      </c>
      <c r="AC9" s="20" t="n">
        <v>0.093</v>
      </c>
      <c r="AD9" s="20" t="n">
        <v>0.045</v>
      </c>
      <c r="AE9" s="20" t="n">
        <v>0.135</v>
      </c>
      <c r="AF9" s="20" t="n">
        <v>0.21</v>
      </c>
      <c r="AG9" s="20" t="n">
        <v>0.112</v>
      </c>
      <c r="AH9" s="20" t="n">
        <v>0.154</v>
      </c>
      <c r="AI9" s="20" t="n">
        <v>0.101</v>
      </c>
      <c r="AJ9" s="20" t="n">
        <v>0.174</v>
      </c>
      <c r="AK9" s="20" t="n">
        <v>0</v>
      </c>
      <c r="AL9" s="20" t="n">
        <v>0.052</v>
      </c>
      <c r="AM9" s="20" t="n">
        <v>0.227</v>
      </c>
      <c r="AN9" s="20" t="n">
        <v>0.115</v>
      </c>
      <c r="AO9" s="20" t="n">
        <v>0.18</v>
      </c>
      <c r="AP9" s="20" t="n">
        <v>0.091</v>
      </c>
      <c r="AQ9" s="20" t="n">
        <v>0.092</v>
      </c>
      <c r="AR9" s="20" t="n">
        <v>0.049</v>
      </c>
      <c r="AS9" s="20" t="n">
        <v>0.271</v>
      </c>
      <c r="AT9" s="20" t="n">
        <v>0.392</v>
      </c>
      <c r="AU9" s="20" t="n">
        <v>0.054</v>
      </c>
      <c r="AV9" s="20" t="n">
        <v>0.044</v>
      </c>
      <c r="AW9" s="20" t="n">
        <v>0.104</v>
      </c>
      <c r="AX9" s="20" t="n">
        <v>0.06</v>
      </c>
      <c r="AY9" s="20" t="n">
        <v>0.111</v>
      </c>
      <c r="AZ9" s="20" t="n">
        <v>0.188</v>
      </c>
      <c r="BA9" s="20" t="n">
        <v>0.034</v>
      </c>
      <c r="BB9" s="20" t="n">
        <v>0.038</v>
      </c>
      <c r="BC9" s="20" t="n">
        <v>0.163</v>
      </c>
      <c r="BD9" s="20" t="n">
        <v>0.063</v>
      </c>
      <c r="BE9" s="20" t="n">
        <v>0.17</v>
      </c>
      <c r="BF9" s="20" t="n">
        <v>0.048</v>
      </c>
      <c r="BG9" s="20" t="n">
        <v>0.083</v>
      </c>
      <c r="BH9" s="20" t="n">
        <v>0.029</v>
      </c>
      <c r="BI9" s="20" t="n">
        <v>0.231</v>
      </c>
      <c r="BJ9" s="20" t="n">
        <v>0.194</v>
      </c>
      <c r="BK9" s="20" t="n">
        <v>0.101</v>
      </c>
      <c r="BL9" s="20" t="n">
        <v>0.047</v>
      </c>
      <c r="BM9" s="20" t="n">
        <v>0.9360000000000001</v>
      </c>
      <c r="BN9" s="20" t="n">
        <v>0.29</v>
      </c>
      <c r="BO9" s="20" t="n">
        <v>0.109</v>
      </c>
      <c r="BP9" s="20" t="n">
        <v>0</v>
      </c>
      <c r="BQ9" s="20" t="n">
        <v>0.189</v>
      </c>
      <c r="BR9" s="20" t="n">
        <v>0</v>
      </c>
      <c r="BS9" s="20" t="n">
        <v>0.108</v>
      </c>
      <c r="BT9" s="20" t="n">
        <v>0.038</v>
      </c>
      <c r="BU9" s="20" t="n">
        <v>0.134</v>
      </c>
      <c r="BV9" s="20" t="n">
        <v>0.102</v>
      </c>
      <c r="BW9" s="20" t="n">
        <v>0.12</v>
      </c>
      <c r="BX9" s="20" t="n">
        <v>0.341</v>
      </c>
      <c r="BY9" s="20" t="n">
        <v>0.131</v>
      </c>
      <c r="BZ9" s="20" t="n">
        <v>0.291</v>
      </c>
      <c r="CA9" s="20" t="n">
        <v>0.089</v>
      </c>
      <c r="CB9" s="20" t="n">
        <v>0.154</v>
      </c>
      <c r="CC9" s="20" t="n">
        <v>0.083</v>
      </c>
      <c r="CD9" s="20" t="n">
        <v>0.119</v>
      </c>
      <c r="CE9" s="20" t="n">
        <v>0.165</v>
      </c>
      <c r="CF9" s="20" t="n">
        <v>0.174</v>
      </c>
      <c r="CG9" s="20" t="n">
        <v>0.07199999999999999</v>
      </c>
      <c r="CH9" s="20" t="n">
        <v>0.113</v>
      </c>
      <c r="CI9" s="20" t="n">
        <v>0.049</v>
      </c>
      <c r="CJ9" s="20" t="n">
        <v>0</v>
      </c>
      <c r="CK9" s="20" t="n">
        <v>0.142</v>
      </c>
      <c r="CL9" s="20" t="n">
        <v>0.057</v>
      </c>
      <c r="CM9" s="20" t="n">
        <v>0.126</v>
      </c>
      <c r="CN9" s="20" t="n">
        <v>0.044</v>
      </c>
      <c r="CO9" s="20" t="n">
        <v>0.05</v>
      </c>
      <c r="CP9" s="20" t="n">
        <v>0.277</v>
      </c>
      <c r="CQ9" s="20" t="n">
        <v>0.051</v>
      </c>
      <c r="CR9" s="20" t="n">
        <v>0.048</v>
      </c>
      <c r="CS9" s="20" t="n">
        <v>0.318</v>
      </c>
    </row>
    <row r="10">
      <c r="A10" s="10" t="n">
        <v>6</v>
      </c>
      <c r="B10" s="10" t="n">
        <v>2.5</v>
      </c>
      <c r="C10" s="20" t="n">
        <v>0.127</v>
      </c>
      <c r="D10" s="20" t="n">
        <v>0.058</v>
      </c>
      <c r="E10" s="20" t="n">
        <v>0.346</v>
      </c>
      <c r="F10" s="20" t="n">
        <v>0.057</v>
      </c>
      <c r="G10" s="20" t="n">
        <v>0.231</v>
      </c>
      <c r="H10" s="20" t="n">
        <v>0.176</v>
      </c>
      <c r="I10" s="20" t="n">
        <v>0.046</v>
      </c>
      <c r="J10" s="20" t="n">
        <v>0.064</v>
      </c>
      <c r="K10" s="20" t="n">
        <v>0.152</v>
      </c>
      <c r="L10" s="20" t="n">
        <v>0.041</v>
      </c>
      <c r="M10" s="20" t="n">
        <v>0.115</v>
      </c>
      <c r="N10" s="20" t="n">
        <v>0.106</v>
      </c>
      <c r="O10" s="20" t="n">
        <v>0.08699999999999999</v>
      </c>
      <c r="P10" s="20" t="n">
        <v>0.099</v>
      </c>
      <c r="Q10" s="20" t="n">
        <v>0.11</v>
      </c>
      <c r="R10" s="20" t="n">
        <v>0.135</v>
      </c>
      <c r="S10" s="20" t="n">
        <v>0.05</v>
      </c>
      <c r="T10" s="20" t="n">
        <v>0.28</v>
      </c>
      <c r="U10" s="20" t="n">
        <v>0.056</v>
      </c>
      <c r="V10" s="20" t="n">
        <v>0.041</v>
      </c>
      <c r="W10" s="20" t="n">
        <v>0.08599999999999999</v>
      </c>
      <c r="X10" s="20" t="n">
        <v>0.112</v>
      </c>
      <c r="Y10" s="20" t="n">
        <v>0.217</v>
      </c>
      <c r="Z10" s="20" t="n">
        <v>0.153</v>
      </c>
      <c r="AA10" s="20" t="n">
        <v>0.06</v>
      </c>
      <c r="AB10" s="20" t="n">
        <v>0.155</v>
      </c>
      <c r="AC10" s="20" t="n">
        <v>0.221</v>
      </c>
      <c r="AD10" s="20" t="n">
        <v>0.045</v>
      </c>
      <c r="AE10" s="20" t="n">
        <v>0.052</v>
      </c>
      <c r="AF10" s="20" t="n">
        <v>0.172</v>
      </c>
      <c r="AG10" s="20" t="n">
        <v>0.077</v>
      </c>
      <c r="AH10" s="20" t="n">
        <v>0.216</v>
      </c>
      <c r="AI10" s="20" t="n">
        <v>0.208</v>
      </c>
      <c r="AJ10" s="20" t="n">
        <v>0.132</v>
      </c>
      <c r="AK10" s="20" t="n">
        <v>0</v>
      </c>
      <c r="AL10" s="20" t="n">
        <v>0.052</v>
      </c>
      <c r="AM10" s="20" t="n">
        <v>0.048</v>
      </c>
      <c r="AN10" s="20" t="n">
        <v>0.145</v>
      </c>
      <c r="AO10" s="20" t="n">
        <v>0.064</v>
      </c>
      <c r="AP10" s="20" t="n">
        <v>0.053</v>
      </c>
      <c r="AQ10" s="20" t="n">
        <v>0.174</v>
      </c>
      <c r="AR10" s="20" t="n">
        <v>0.049</v>
      </c>
      <c r="AS10" s="20" t="n">
        <v>0.248</v>
      </c>
      <c r="AT10" s="20" t="n">
        <v>0.13</v>
      </c>
      <c r="AU10" s="20" t="n">
        <v>0.164</v>
      </c>
      <c r="AV10" s="20" t="n">
        <v>0.192</v>
      </c>
      <c r="AW10" s="20" t="n">
        <v>0.198</v>
      </c>
      <c r="AX10" s="20" t="n">
        <v>0.06</v>
      </c>
      <c r="AY10" s="20" t="n">
        <v>0.082</v>
      </c>
      <c r="AZ10" s="20" t="n">
        <v>0.065</v>
      </c>
      <c r="BA10" s="20" t="n">
        <v>0.034</v>
      </c>
      <c r="BB10" s="20" t="n">
        <v>0.207</v>
      </c>
      <c r="BC10" s="20" t="n">
        <v>0.048</v>
      </c>
      <c r="BD10" s="20" t="n">
        <v>0.12</v>
      </c>
      <c r="BE10" s="20" t="n">
        <v>0.091</v>
      </c>
      <c r="BF10" s="20" t="n">
        <v>0.048</v>
      </c>
      <c r="BG10" s="20" t="n">
        <v>0.214</v>
      </c>
      <c r="BH10" s="20" t="n">
        <v>0.029</v>
      </c>
      <c r="BI10" s="20" t="n">
        <v>0.333</v>
      </c>
      <c r="BJ10" s="20" t="n">
        <v>0.039</v>
      </c>
      <c r="BK10" s="20" t="n">
        <v>0.038</v>
      </c>
      <c r="BL10" s="20" t="n">
        <v>0.047</v>
      </c>
      <c r="BM10" s="20" t="n">
        <v>0.6899999999999999</v>
      </c>
      <c r="BN10" s="20" t="n">
        <v>0.16</v>
      </c>
      <c r="BO10" s="20" t="n">
        <v>0.156</v>
      </c>
      <c r="BP10" s="20" t="n">
        <v>0</v>
      </c>
      <c r="BQ10" s="20" t="n">
        <v>0.136</v>
      </c>
      <c r="BR10" s="20" t="n">
        <v>0</v>
      </c>
      <c r="BS10" s="20" t="n">
        <v>0.15</v>
      </c>
      <c r="BT10" s="20" t="n">
        <v>0.139</v>
      </c>
      <c r="BU10" s="20" t="n">
        <v>0.13</v>
      </c>
      <c r="BV10" s="20" t="n">
        <v>0.054</v>
      </c>
      <c r="BW10" s="20" t="n">
        <v>0.269</v>
      </c>
      <c r="BX10" s="20" t="n">
        <v>0.114</v>
      </c>
      <c r="BY10" s="20" t="n">
        <v>0.142</v>
      </c>
      <c r="BZ10" s="20" t="n">
        <v>0.13</v>
      </c>
      <c r="CA10" s="20" t="n">
        <v>0.304</v>
      </c>
      <c r="CB10" s="20" t="n">
        <v>0.184</v>
      </c>
      <c r="CC10" s="20" t="n">
        <v>0.287</v>
      </c>
      <c r="CD10" s="20" t="n">
        <v>0.053</v>
      </c>
      <c r="CE10" s="20" t="n">
        <v>0.056</v>
      </c>
      <c r="CF10" s="20" t="n">
        <v>0.047</v>
      </c>
      <c r="CG10" s="20" t="n">
        <v>0.187</v>
      </c>
      <c r="CH10" s="20" t="n">
        <v>0.074</v>
      </c>
      <c r="CI10" s="20" t="n">
        <v>0.049</v>
      </c>
      <c r="CJ10" s="20" t="n">
        <v>0</v>
      </c>
      <c r="CK10" s="20" t="n">
        <v>0.048</v>
      </c>
      <c r="CL10" s="20" t="n">
        <v>0.046</v>
      </c>
      <c r="CM10" s="20" t="n">
        <v>0.052</v>
      </c>
      <c r="CN10" s="20" t="n">
        <v>0.044</v>
      </c>
      <c r="CO10" s="20" t="n">
        <v>0.147</v>
      </c>
      <c r="CP10" s="20" t="n">
        <v>0.037</v>
      </c>
      <c r="CQ10" s="20" t="n">
        <v>0.117</v>
      </c>
      <c r="CR10" s="20" t="n">
        <v>0.247</v>
      </c>
      <c r="CS10" s="20" t="n">
        <v>0.063</v>
      </c>
    </row>
    <row r="11">
      <c r="A11" s="10" t="n">
        <v>7</v>
      </c>
      <c r="B11" s="10" t="n">
        <v>3</v>
      </c>
      <c r="C11" s="20" t="n">
        <v>0.055</v>
      </c>
      <c r="D11" s="20" t="n">
        <v>0.196</v>
      </c>
      <c r="E11" s="20" t="n">
        <v>0.056</v>
      </c>
      <c r="F11" s="20" t="n">
        <v>0.057</v>
      </c>
      <c r="G11" s="20" t="n">
        <v>0.104</v>
      </c>
      <c r="H11" s="20" t="n">
        <v>0.105</v>
      </c>
      <c r="I11" s="20" t="n">
        <v>0.046</v>
      </c>
      <c r="J11" s="20" t="n">
        <v>0.109</v>
      </c>
      <c r="K11" s="20" t="n">
        <v>0.039</v>
      </c>
      <c r="L11" s="20" t="n">
        <v>0.041</v>
      </c>
      <c r="M11" s="20" t="n">
        <v>0.115</v>
      </c>
      <c r="N11" s="20" t="n">
        <v>0.211</v>
      </c>
      <c r="O11" s="20" t="n">
        <v>0.068</v>
      </c>
      <c r="P11" s="20" t="n">
        <v>0.047</v>
      </c>
      <c r="Q11" s="20" t="n">
        <v>0.076</v>
      </c>
      <c r="R11" s="20" t="n">
        <v>0.135</v>
      </c>
      <c r="S11" s="20" t="n">
        <v>0.05</v>
      </c>
      <c r="T11" s="20" t="n">
        <v>0.05</v>
      </c>
      <c r="U11" s="20" t="n">
        <v>0.044</v>
      </c>
      <c r="V11" s="20" t="n">
        <v>0.191</v>
      </c>
      <c r="W11" s="20" t="n">
        <v>0.073</v>
      </c>
      <c r="X11" s="20" t="n">
        <v>0.039</v>
      </c>
      <c r="Y11" s="20" t="n">
        <v>0.058</v>
      </c>
      <c r="Z11" s="20" t="n">
        <v>0.111</v>
      </c>
      <c r="AA11" s="20" t="n">
        <v>0.067</v>
      </c>
      <c r="AB11" s="20" t="n">
        <v>0.08799999999999999</v>
      </c>
      <c r="AC11" s="20" t="n">
        <v>0.056</v>
      </c>
      <c r="AD11" s="20" t="n">
        <v>0.197</v>
      </c>
      <c r="AE11" s="20" t="n">
        <v>0.052</v>
      </c>
      <c r="AF11" s="20" t="n">
        <v>0.076</v>
      </c>
      <c r="AG11" s="20" t="n">
        <v>0.048</v>
      </c>
      <c r="AH11" s="20" t="n">
        <v>0.08699999999999999</v>
      </c>
      <c r="AI11" s="20" t="n">
        <v>0.097</v>
      </c>
      <c r="AJ11" s="20" t="n">
        <v>0.116</v>
      </c>
      <c r="AK11" s="20" t="n">
        <v>0</v>
      </c>
      <c r="AL11" s="20" t="n">
        <v>0.052</v>
      </c>
      <c r="AM11" s="20" t="n">
        <v>0.154</v>
      </c>
      <c r="AN11" s="20" t="n">
        <v>0.046</v>
      </c>
      <c r="AO11" s="20" t="n">
        <v>0.06900000000000001</v>
      </c>
      <c r="AP11" s="20" t="n">
        <v>0.121</v>
      </c>
      <c r="AQ11" s="20" t="n">
        <v>0.058</v>
      </c>
      <c r="AR11" s="20" t="n">
        <v>0.173</v>
      </c>
      <c r="AS11" s="20" t="n">
        <v>0.062</v>
      </c>
      <c r="AT11" s="20" t="n">
        <v>0.123</v>
      </c>
      <c r="AU11" s="20" t="n">
        <v>0.054</v>
      </c>
      <c r="AV11" s="20" t="n">
        <v>0.067</v>
      </c>
      <c r="AW11" s="20" t="n">
        <v>0.169</v>
      </c>
      <c r="AX11" s="20" t="n">
        <v>0.06</v>
      </c>
      <c r="AY11" s="20" t="n">
        <v>0.049</v>
      </c>
      <c r="AZ11" s="20" t="n">
        <v>0.119</v>
      </c>
      <c r="BA11" s="20" t="n">
        <v>0.034</v>
      </c>
      <c r="BB11" s="20" t="n">
        <v>0.138</v>
      </c>
      <c r="BC11" s="20" t="n">
        <v>0.184</v>
      </c>
      <c r="BD11" s="20" t="n">
        <v>0.245</v>
      </c>
      <c r="BE11" s="20" t="n">
        <v>0.217</v>
      </c>
      <c r="BF11" s="20" t="n">
        <v>0.048</v>
      </c>
      <c r="BG11" s="20" t="n">
        <v>0.047</v>
      </c>
      <c r="BH11" s="20" t="n">
        <v>0.029</v>
      </c>
      <c r="BI11" s="20" t="n">
        <v>0.295</v>
      </c>
      <c r="BJ11" s="20" t="n">
        <v>0.105</v>
      </c>
      <c r="BK11" s="20" t="n">
        <v>0.16</v>
      </c>
      <c r="BL11" s="20" t="n">
        <v>0.047</v>
      </c>
      <c r="BM11" s="20" t="n">
        <v>0</v>
      </c>
      <c r="BN11" s="20" t="n">
        <v>0.21</v>
      </c>
      <c r="BO11" s="20" t="n">
        <v>0.047</v>
      </c>
      <c r="BP11" s="20" t="n">
        <v>0</v>
      </c>
      <c r="BQ11" s="20" t="n">
        <v>0.22</v>
      </c>
      <c r="BR11" s="20" t="n">
        <v>0</v>
      </c>
      <c r="BS11" s="20" t="n">
        <v>0.052</v>
      </c>
      <c r="BT11" s="20" t="n">
        <v>0.038</v>
      </c>
      <c r="BU11" s="20" t="n">
        <v>0.194</v>
      </c>
      <c r="BV11" s="20" t="n">
        <v>0.054</v>
      </c>
      <c r="BW11" s="20" t="n">
        <v>0.106</v>
      </c>
      <c r="BX11" s="20" t="n">
        <v>0.309</v>
      </c>
      <c r="BY11" s="20" t="n">
        <v>0.054</v>
      </c>
      <c r="BZ11" s="20" t="n">
        <v>0.101</v>
      </c>
      <c r="CA11" s="20" t="n">
        <v>0.058</v>
      </c>
      <c r="CB11" s="20" t="n">
        <v>0.235</v>
      </c>
      <c r="CC11" s="20" t="n">
        <v>0.167</v>
      </c>
      <c r="CD11" s="20" t="n">
        <v>0.08599999999999999</v>
      </c>
      <c r="CE11" s="20" t="n">
        <v>0.157</v>
      </c>
      <c r="CF11" s="20" t="n">
        <v>0.18</v>
      </c>
      <c r="CG11" s="20" t="n">
        <v>0.041</v>
      </c>
      <c r="CH11" s="20" t="n">
        <v>0.199</v>
      </c>
      <c r="CI11" s="20" t="n">
        <v>0.049</v>
      </c>
      <c r="CJ11" s="20" t="n">
        <v>0</v>
      </c>
      <c r="CK11" s="20" t="n">
        <v>0.265</v>
      </c>
      <c r="CL11" s="20" t="n">
        <v>0.231</v>
      </c>
      <c r="CM11" s="20" t="n">
        <v>0.121</v>
      </c>
      <c r="CN11" s="20" t="n">
        <v>0.044</v>
      </c>
      <c r="CO11" s="20" t="n">
        <v>0.061</v>
      </c>
      <c r="CP11" s="20" t="n">
        <v>0.037</v>
      </c>
      <c r="CQ11" s="20" t="n">
        <v>0.166</v>
      </c>
      <c r="CR11" s="20" t="n">
        <v>0.13</v>
      </c>
      <c r="CS11" s="20" t="n">
        <v>0.09</v>
      </c>
    </row>
    <row r="12">
      <c r="A12" s="10" t="n">
        <v>8</v>
      </c>
      <c r="B12" s="10" t="n">
        <v>3.5</v>
      </c>
      <c r="C12" s="20" t="n">
        <v>0.131</v>
      </c>
      <c r="D12" s="20" t="n">
        <v>0.04</v>
      </c>
      <c r="E12" s="20" t="n">
        <v>0.196</v>
      </c>
      <c r="F12" s="20" t="n">
        <v>0.054</v>
      </c>
      <c r="G12" s="20" t="n">
        <v>0.245</v>
      </c>
      <c r="H12" s="20" t="n">
        <v>0.177</v>
      </c>
      <c r="I12" s="20" t="n">
        <v>0.043</v>
      </c>
      <c r="J12" s="20" t="n">
        <v>0.07099999999999999</v>
      </c>
      <c r="K12" s="20" t="n">
        <v>0.175</v>
      </c>
      <c r="L12" s="20" t="n">
        <v>0.038</v>
      </c>
      <c r="M12" s="20" t="n">
        <v>0.078</v>
      </c>
      <c r="N12" s="20" t="n">
        <v>0.089</v>
      </c>
      <c r="O12" s="20" t="n">
        <v>0.123</v>
      </c>
      <c r="P12" s="20" t="n">
        <v>0.188</v>
      </c>
      <c r="Q12" s="20" t="n">
        <v>0.083</v>
      </c>
      <c r="R12" s="20" t="n">
        <v>0.252</v>
      </c>
      <c r="S12" s="20" t="n">
        <v>0.047</v>
      </c>
      <c r="T12" s="20" t="n">
        <v>0.193</v>
      </c>
      <c r="U12" s="20" t="n">
        <v>0</v>
      </c>
      <c r="V12" s="20" t="n">
        <v>0.038</v>
      </c>
      <c r="W12" s="20" t="n">
        <v>0.046</v>
      </c>
      <c r="X12" s="20" t="n">
        <v>0.148</v>
      </c>
      <c r="Y12" s="20" t="n">
        <v>0.16</v>
      </c>
      <c r="Z12" s="20" t="n">
        <v>0.078</v>
      </c>
      <c r="AA12" s="20" t="n">
        <v>0.179</v>
      </c>
      <c r="AB12" s="20" t="n">
        <v>0.106</v>
      </c>
      <c r="AC12" s="20" t="n">
        <v>0.255</v>
      </c>
      <c r="AD12" s="20" t="n">
        <v>0.044</v>
      </c>
      <c r="AE12" s="20" t="n">
        <v>0.115</v>
      </c>
      <c r="AF12" s="20" t="n">
        <v>0.292</v>
      </c>
      <c r="AG12" s="20" t="n">
        <v>0.138</v>
      </c>
      <c r="AH12" s="20" t="n">
        <v>0.181</v>
      </c>
      <c r="AI12" s="20" t="n">
        <v>0.1</v>
      </c>
      <c r="AJ12" s="20" t="n">
        <v>0.186</v>
      </c>
      <c r="AK12" s="20" t="n">
        <v>0</v>
      </c>
      <c r="AL12" s="20" t="n">
        <v>0.05</v>
      </c>
      <c r="AM12" s="20" t="n">
        <v>0.118</v>
      </c>
      <c r="AN12" s="20" t="n">
        <v>0.21</v>
      </c>
      <c r="AO12" s="20" t="n">
        <v>0</v>
      </c>
      <c r="AP12" s="20" t="n">
        <v>0.05</v>
      </c>
      <c r="AQ12" s="20" t="n">
        <v>0.2</v>
      </c>
      <c r="AR12" s="20" t="n">
        <v>0.047</v>
      </c>
      <c r="AS12" s="20" t="n">
        <v>0.324</v>
      </c>
      <c r="AT12" s="20" t="n">
        <v>0.268</v>
      </c>
      <c r="AU12" s="20" t="n">
        <v>0.052</v>
      </c>
      <c r="AV12" s="20" t="n">
        <v>0.014</v>
      </c>
      <c r="AW12" s="20" t="n">
        <v>0.043</v>
      </c>
      <c r="AX12" s="20" t="n">
        <v>0.057</v>
      </c>
      <c r="AY12" s="20" t="n">
        <v>0.141</v>
      </c>
      <c r="AZ12" s="20" t="n">
        <v>0.111</v>
      </c>
      <c r="BA12" s="20" t="n">
        <v>0.179</v>
      </c>
      <c r="BB12" s="20" t="n">
        <v>0.174</v>
      </c>
      <c r="BC12" s="20" t="n">
        <v>0.058</v>
      </c>
      <c r="BD12" s="20" t="n">
        <v>0.105</v>
      </c>
      <c r="BE12" s="20" t="n">
        <v>0.07000000000000001</v>
      </c>
      <c r="BF12" s="20" t="n">
        <v>0.045</v>
      </c>
      <c r="BG12" s="20" t="n">
        <v>0.1</v>
      </c>
      <c r="BH12" s="20" t="n">
        <v>0.026</v>
      </c>
      <c r="BI12" s="20" t="n">
        <v>0</v>
      </c>
      <c r="BJ12" s="20" t="n">
        <v>0.23</v>
      </c>
      <c r="BK12" s="20" t="n">
        <v>0.091</v>
      </c>
      <c r="BL12" s="20" t="n">
        <v>0.046</v>
      </c>
      <c r="BM12" s="20" t="n">
        <v>0</v>
      </c>
      <c r="BN12" s="20" t="n">
        <v>0.214</v>
      </c>
      <c r="BO12" s="20" t="n">
        <v>0.216</v>
      </c>
      <c r="BP12" s="20" t="n">
        <v>0</v>
      </c>
      <c r="BQ12" s="20" t="n">
        <v>0.176</v>
      </c>
      <c r="BR12" s="20" t="n">
        <v>0</v>
      </c>
      <c r="BS12" s="20" t="n">
        <v>0.049</v>
      </c>
      <c r="BT12" s="20" t="n">
        <v>0.036</v>
      </c>
      <c r="BU12" s="20" t="n">
        <v>0.037</v>
      </c>
      <c r="BV12" s="20" t="n">
        <v>0.114</v>
      </c>
      <c r="BW12" s="20" t="n">
        <v>0.238</v>
      </c>
      <c r="BX12" s="20" t="n">
        <v>0.18</v>
      </c>
      <c r="BY12" s="20" t="n">
        <v>0.051</v>
      </c>
      <c r="BZ12" s="20" t="n">
        <v>0.082</v>
      </c>
      <c r="CA12" s="20" t="n">
        <v>0.139</v>
      </c>
      <c r="CB12" s="20" t="n">
        <v>0.169</v>
      </c>
      <c r="CC12" s="20" t="n">
        <v>0.226</v>
      </c>
      <c r="CD12" s="20" t="n">
        <v>0.091</v>
      </c>
      <c r="CE12" s="20" t="n">
        <v>0.138</v>
      </c>
      <c r="CF12" s="20" t="n">
        <v>0.121</v>
      </c>
      <c r="CG12" s="20" t="n">
        <v>0.168</v>
      </c>
      <c r="CH12" s="20" t="n">
        <v>0.048</v>
      </c>
      <c r="CI12" s="20" t="n">
        <v>0.047</v>
      </c>
      <c r="CJ12" s="20" t="n">
        <v>0</v>
      </c>
      <c r="CK12" s="20" t="n">
        <v>0.045</v>
      </c>
      <c r="CL12" s="20" t="n">
        <v>0.185</v>
      </c>
      <c r="CM12" s="20" t="n">
        <v>0.051</v>
      </c>
      <c r="CN12" s="20" t="n">
        <v>0.043</v>
      </c>
      <c r="CO12" s="20" t="n">
        <v>0.047</v>
      </c>
      <c r="CP12" s="20" t="n">
        <v>0.237</v>
      </c>
      <c r="CQ12" s="20" t="n">
        <v>0.048</v>
      </c>
      <c r="CR12" s="20" t="n">
        <v>0.045</v>
      </c>
      <c r="CS12" s="20" t="n">
        <v>0.289</v>
      </c>
    </row>
    <row r="13">
      <c r="A13" s="10" t="n">
        <v>9</v>
      </c>
      <c r="B13" s="10" t="n">
        <v>4</v>
      </c>
      <c r="C13" s="20" t="n">
        <v>0.096</v>
      </c>
      <c r="D13" s="20" t="n">
        <v>0.162</v>
      </c>
      <c r="E13" s="20" t="n">
        <v>0.179</v>
      </c>
      <c r="F13" s="20" t="n">
        <v>0.007</v>
      </c>
      <c r="G13" s="20" t="n">
        <v>0.036</v>
      </c>
      <c r="H13" s="20" t="n">
        <v>0.03</v>
      </c>
      <c r="I13" s="20" t="n">
        <v>0</v>
      </c>
      <c r="J13" s="20" t="n">
        <v>0.089</v>
      </c>
      <c r="K13" s="20" t="n">
        <v>0.103</v>
      </c>
      <c r="L13" s="20" t="n">
        <v>0.08500000000000001</v>
      </c>
      <c r="M13" s="20" t="n">
        <v>0.098</v>
      </c>
      <c r="N13" s="20" t="n">
        <v>0.168</v>
      </c>
      <c r="O13" s="20" t="n">
        <v>0.029</v>
      </c>
      <c r="P13" s="20" t="n">
        <v>0.01</v>
      </c>
      <c r="Q13" s="20" t="n">
        <v>0.083</v>
      </c>
      <c r="R13" s="20" t="n">
        <v>0.024</v>
      </c>
      <c r="S13" s="20" t="n">
        <v>0.0003</v>
      </c>
      <c r="T13" s="20" t="n">
        <v>0.158</v>
      </c>
      <c r="U13" s="20" t="n">
        <v>0</v>
      </c>
      <c r="V13" s="20" t="n">
        <v>0.121</v>
      </c>
      <c r="W13" s="20" t="n">
        <v>0</v>
      </c>
      <c r="X13" s="20" t="n">
        <v>0.216</v>
      </c>
      <c r="Y13" s="20" t="n">
        <v>0</v>
      </c>
      <c r="Z13" s="20" t="n">
        <v>0.168</v>
      </c>
      <c r="AA13" s="20" t="n">
        <v>0.035</v>
      </c>
      <c r="AB13" s="20" t="n">
        <v>0.116</v>
      </c>
      <c r="AC13" s="20" t="n">
        <v>0.031</v>
      </c>
      <c r="AD13" s="20" t="n">
        <v>0.095</v>
      </c>
      <c r="AE13" s="20" t="n">
        <v>0.058</v>
      </c>
      <c r="AF13" s="20" t="n">
        <v>0.034</v>
      </c>
      <c r="AG13" s="20" t="n">
        <v>0</v>
      </c>
      <c r="AH13" s="20" t="n">
        <v>0.034</v>
      </c>
      <c r="AI13" s="20" t="n">
        <v>0.151</v>
      </c>
      <c r="AJ13" s="20" t="n">
        <v>0</v>
      </c>
      <c r="AK13" s="20" t="n">
        <v>0</v>
      </c>
      <c r="AL13" s="20" t="n">
        <v>0.027</v>
      </c>
      <c r="AM13" s="20" t="n">
        <v>0</v>
      </c>
      <c r="AN13" s="20" t="n">
        <v>0</v>
      </c>
      <c r="AO13" s="20" t="n">
        <v>0</v>
      </c>
      <c r="AP13" s="20" t="n">
        <v>0.003</v>
      </c>
      <c r="AQ13" s="20" t="n">
        <v>0.034</v>
      </c>
      <c r="AR13" s="20" t="n">
        <v>0.024</v>
      </c>
      <c r="AS13" s="20" t="n">
        <v>0.115</v>
      </c>
      <c r="AT13" s="20" t="n">
        <v>0.149</v>
      </c>
      <c r="AU13" s="20" t="n">
        <v>0.08400000000000001</v>
      </c>
      <c r="AV13" s="20" t="n">
        <v>0</v>
      </c>
      <c r="AW13" s="20" t="n">
        <v>0.264</v>
      </c>
      <c r="AX13" s="20" t="n">
        <v>0.023</v>
      </c>
      <c r="AY13" s="20" t="n">
        <v>0.012</v>
      </c>
      <c r="AZ13" s="20" t="n">
        <v>0.011</v>
      </c>
      <c r="BA13" s="20" t="n">
        <v>0.014</v>
      </c>
      <c r="BB13" s="20" t="n">
        <v>0.11</v>
      </c>
      <c r="BC13" s="20" t="n">
        <v>0.093</v>
      </c>
      <c r="BD13" s="20" t="n">
        <v>0.195</v>
      </c>
      <c r="BE13" s="20" t="n">
        <v>0.227</v>
      </c>
      <c r="BF13" s="20" t="n">
        <v>0</v>
      </c>
      <c r="BG13" s="20" t="n">
        <v>0.151</v>
      </c>
      <c r="BH13" s="20" t="n">
        <v>0</v>
      </c>
      <c r="BI13" s="20" t="n">
        <v>0</v>
      </c>
      <c r="BJ13" s="20" t="n">
        <v>0.014</v>
      </c>
      <c r="BK13" s="20" t="n">
        <v>0.1</v>
      </c>
      <c r="BL13" s="20" t="n">
        <v>0.028</v>
      </c>
      <c r="BM13" s="20" t="n">
        <v>0</v>
      </c>
      <c r="BN13" s="20" t="n">
        <v>0.07099999999999999</v>
      </c>
      <c r="BO13" s="20" t="n">
        <v>0.016</v>
      </c>
      <c r="BP13" s="20" t="n">
        <v>0</v>
      </c>
      <c r="BQ13" s="20" t="n">
        <v>0.183</v>
      </c>
      <c r="BR13" s="20" t="n">
        <v>0</v>
      </c>
      <c r="BS13" s="20" t="n">
        <v>0.07199999999999999</v>
      </c>
      <c r="BT13" s="20" t="n">
        <v>0.108</v>
      </c>
      <c r="BU13" s="20" t="n">
        <v>0.235</v>
      </c>
      <c r="BV13" s="20" t="n">
        <v>0.119</v>
      </c>
      <c r="BW13" s="20" t="n">
        <v>0.154</v>
      </c>
      <c r="BX13" s="20" t="n">
        <v>0.122</v>
      </c>
      <c r="BY13" s="20" t="n">
        <v>0.099</v>
      </c>
      <c r="BZ13" s="20" t="n">
        <v>0</v>
      </c>
      <c r="CA13" s="20" t="n">
        <v>0.098</v>
      </c>
      <c r="CB13" s="20" t="n">
        <v>0.181</v>
      </c>
      <c r="CC13" s="20" t="n">
        <v>0.171</v>
      </c>
      <c r="CD13" s="20" t="n">
        <v>0.003</v>
      </c>
      <c r="CE13" s="20" t="n">
        <v>0.025</v>
      </c>
      <c r="CF13" s="20" t="n">
        <v>0.168</v>
      </c>
      <c r="CG13" s="20" t="n">
        <v>0.053</v>
      </c>
      <c r="CH13" s="20" t="n">
        <v>0.019</v>
      </c>
      <c r="CI13" s="20" t="n">
        <v>0.024</v>
      </c>
      <c r="CJ13" s="20" t="n">
        <v>0</v>
      </c>
      <c r="CK13" s="20" t="n">
        <v>0.164</v>
      </c>
      <c r="CL13" s="20" t="n">
        <v>0.114</v>
      </c>
      <c r="CM13" s="20" t="n">
        <v>0.103</v>
      </c>
      <c r="CN13" s="20" t="n">
        <v>0.025</v>
      </c>
      <c r="CO13" s="20" t="n">
        <v>0.114</v>
      </c>
      <c r="CP13" s="20" t="n">
        <v>0.057</v>
      </c>
      <c r="CQ13" s="20" t="n">
        <v>0.001</v>
      </c>
      <c r="CR13" s="20" t="n">
        <v>0.278</v>
      </c>
      <c r="CS13" s="20" t="n">
        <v>0.018</v>
      </c>
    </row>
    <row r="14">
      <c r="A14" s="10" t="n">
        <v>10</v>
      </c>
      <c r="B14" s="10" t="n">
        <v>4.5</v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0.107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0.022</v>
      </c>
      <c r="P14" s="20" t="n">
        <v>0</v>
      </c>
      <c r="Q14" s="20" t="n">
        <v>0</v>
      </c>
      <c r="R14" s="20" t="n">
        <v>0.01</v>
      </c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0.093</v>
      </c>
      <c r="AB14" s="20" t="n">
        <v>0</v>
      </c>
      <c r="AC14" s="20" t="n">
        <v>0</v>
      </c>
      <c r="AD14" s="20" t="n">
        <v>0.041</v>
      </c>
      <c r="AE14" s="20" t="n">
        <v>0</v>
      </c>
      <c r="AF14" s="20" t="n">
        <v>0.073</v>
      </c>
      <c r="AG14" s="20" t="n">
        <v>0</v>
      </c>
      <c r="AH14" s="20" t="n">
        <v>0.124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  <c r="AN14" s="20" t="n">
        <v>0</v>
      </c>
      <c r="AO14" s="20" t="n">
        <v>0</v>
      </c>
      <c r="AP14" s="20" t="n">
        <v>0</v>
      </c>
      <c r="AQ14" s="20" t="n">
        <v>0.002</v>
      </c>
      <c r="AR14" s="20" t="n">
        <v>0.038</v>
      </c>
      <c r="AS14" s="20" t="n">
        <v>0.012</v>
      </c>
      <c r="AT14" s="20" t="n">
        <v>0.099</v>
      </c>
      <c r="AU14" s="20" t="n">
        <v>0</v>
      </c>
      <c r="AV14" s="20" t="n">
        <v>0</v>
      </c>
      <c r="AW14" s="20" t="n">
        <v>0</v>
      </c>
      <c r="AX14" s="20" t="n">
        <v>0</v>
      </c>
      <c r="AY14" s="20" t="n">
        <v>0</v>
      </c>
      <c r="AZ14" s="20" t="n">
        <v>0.065</v>
      </c>
      <c r="BA14" s="20" t="n">
        <v>0</v>
      </c>
      <c r="BB14" s="20" t="n">
        <v>0</v>
      </c>
      <c r="BC14" s="20" t="n">
        <v>0</v>
      </c>
      <c r="BD14" s="20" t="n">
        <v>0</v>
      </c>
      <c r="BE14" s="20" t="n">
        <v>0</v>
      </c>
      <c r="BF14" s="20" t="n">
        <v>0</v>
      </c>
      <c r="BG14" s="20" t="n">
        <v>0</v>
      </c>
      <c r="BH14" s="20" t="n">
        <v>0</v>
      </c>
      <c r="BI14" s="20" t="n">
        <v>0</v>
      </c>
      <c r="BJ14" s="20" t="n">
        <v>0.078</v>
      </c>
      <c r="BK14" s="20" t="n">
        <v>0</v>
      </c>
      <c r="BL14" s="20" t="n">
        <v>0</v>
      </c>
      <c r="BM14" s="20" t="n">
        <v>0</v>
      </c>
      <c r="BN14" s="20" t="n">
        <v>0.07199999999999999</v>
      </c>
      <c r="BO14" s="20" t="n">
        <v>0</v>
      </c>
      <c r="BP14" s="20" t="n">
        <v>0</v>
      </c>
      <c r="BQ14" s="20" t="n">
        <v>0</v>
      </c>
      <c r="BR14" s="20" t="n">
        <v>0</v>
      </c>
      <c r="BS14" s="20" t="n">
        <v>0</v>
      </c>
      <c r="BT14" s="20" t="n">
        <v>0</v>
      </c>
      <c r="BU14" s="20" t="n">
        <v>0</v>
      </c>
      <c r="BV14" s="20" t="n">
        <v>0</v>
      </c>
      <c r="BW14" s="20" t="n">
        <v>0</v>
      </c>
      <c r="BX14" s="20" t="n">
        <v>0</v>
      </c>
      <c r="BY14" s="20" t="n">
        <v>0</v>
      </c>
      <c r="BZ14" s="20" t="n">
        <v>0</v>
      </c>
      <c r="CA14" s="20" t="n">
        <v>0</v>
      </c>
      <c r="CB14" s="20" t="n">
        <v>0.045</v>
      </c>
      <c r="CC14" s="20" t="n">
        <v>0</v>
      </c>
      <c r="CD14" s="20" t="n">
        <v>0</v>
      </c>
      <c r="CE14" s="20" t="n">
        <v>0.07000000000000001</v>
      </c>
      <c r="CF14" s="20" t="n">
        <v>0.013</v>
      </c>
      <c r="CG14" s="20" t="n">
        <v>0</v>
      </c>
      <c r="CH14" s="20" t="n">
        <v>0.046</v>
      </c>
      <c r="CI14" s="20" t="n">
        <v>0</v>
      </c>
      <c r="CJ14" s="20" t="n">
        <v>0</v>
      </c>
      <c r="CK14" s="20" t="n">
        <v>0</v>
      </c>
      <c r="CL14" s="20" t="n">
        <v>0</v>
      </c>
      <c r="CM14" s="20" t="n">
        <v>0</v>
      </c>
      <c r="CN14" s="20" t="n">
        <v>0.06900000000000001</v>
      </c>
      <c r="CO14" s="20" t="n">
        <v>0</v>
      </c>
      <c r="CP14" s="20" t="n">
        <v>0.049</v>
      </c>
      <c r="CQ14" s="20" t="n">
        <v>0</v>
      </c>
      <c r="CR14" s="20" t="n">
        <v>0</v>
      </c>
      <c r="CS14" s="20" t="n">
        <v>0.081</v>
      </c>
    </row>
    <row r="15">
      <c r="A15" s="10" t="n">
        <v>11</v>
      </c>
      <c r="B15" s="10" t="n">
        <v>5</v>
      </c>
      <c r="C15" s="20" t="n">
        <v>0</v>
      </c>
      <c r="D15" s="20" t="n">
        <v>0</v>
      </c>
      <c r="E15" s="20" t="n">
        <v>0.032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0.047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20" t="n">
        <v>0</v>
      </c>
      <c r="AF15" s="20" t="n">
        <v>0</v>
      </c>
      <c r="AG15" s="20" t="n">
        <v>0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  <c r="AN15" s="20" t="n">
        <v>0</v>
      </c>
      <c r="AO15" s="20" t="n">
        <v>0</v>
      </c>
      <c r="AP15" s="20" t="n">
        <v>0</v>
      </c>
      <c r="AQ15" s="20" t="n">
        <v>0</v>
      </c>
      <c r="AR15" s="20" t="n">
        <v>0</v>
      </c>
      <c r="AS15" s="20" t="n">
        <v>0</v>
      </c>
      <c r="AT15" s="20" t="n">
        <v>0</v>
      </c>
      <c r="AU15" s="20" t="n">
        <v>0</v>
      </c>
      <c r="AV15" s="20" t="n">
        <v>0</v>
      </c>
      <c r="AW15" s="20" t="n">
        <v>0</v>
      </c>
      <c r="AX15" s="20" t="n">
        <v>0</v>
      </c>
      <c r="AY15" s="20" t="n">
        <v>0</v>
      </c>
      <c r="AZ15" s="20" t="n">
        <v>0</v>
      </c>
      <c r="BA15" s="20" t="n">
        <v>0</v>
      </c>
      <c r="BB15" s="20" t="n">
        <v>0</v>
      </c>
      <c r="BC15" s="20" t="n">
        <v>0</v>
      </c>
      <c r="BD15" s="20" t="n">
        <v>0</v>
      </c>
      <c r="BE15" s="20" t="n">
        <v>0</v>
      </c>
      <c r="BF15" s="20" t="n">
        <v>0</v>
      </c>
      <c r="BG15" s="20" t="n">
        <v>0</v>
      </c>
      <c r="BH15" s="20" t="n">
        <v>0</v>
      </c>
      <c r="BI15" s="20" t="n">
        <v>0</v>
      </c>
      <c r="BJ15" s="20" t="n">
        <v>0</v>
      </c>
      <c r="BK15" s="20" t="n">
        <v>0</v>
      </c>
      <c r="BL15" s="20" t="n">
        <v>0</v>
      </c>
      <c r="BM15" s="20" t="n">
        <v>0</v>
      </c>
      <c r="BN15" s="20" t="n">
        <v>0</v>
      </c>
      <c r="BO15" s="20" t="n">
        <v>0</v>
      </c>
      <c r="BP15" s="20" t="n">
        <v>0</v>
      </c>
      <c r="BQ15" s="20" t="n">
        <v>0</v>
      </c>
      <c r="BR15" s="20" t="n">
        <v>0</v>
      </c>
      <c r="BS15" s="20" t="n">
        <v>0</v>
      </c>
      <c r="BT15" s="20" t="n">
        <v>0</v>
      </c>
      <c r="BU15" s="20" t="n">
        <v>0</v>
      </c>
      <c r="BV15" s="20" t="n">
        <v>0</v>
      </c>
      <c r="BW15" s="20" t="n">
        <v>0.031</v>
      </c>
      <c r="BX15" s="20" t="n">
        <v>0</v>
      </c>
      <c r="BY15" s="20" t="n">
        <v>0</v>
      </c>
      <c r="BZ15" s="20" t="n">
        <v>0</v>
      </c>
      <c r="CA15" s="20" t="n">
        <v>0</v>
      </c>
      <c r="CB15" s="20" t="n">
        <v>0</v>
      </c>
      <c r="CC15" s="20" t="n">
        <v>0</v>
      </c>
      <c r="CD15" s="20" t="n">
        <v>0</v>
      </c>
      <c r="CE15" s="20" t="n">
        <v>0</v>
      </c>
      <c r="CF15" s="20" t="n">
        <v>0</v>
      </c>
      <c r="CG15" s="20" t="n">
        <v>0</v>
      </c>
      <c r="CH15" s="20" t="n">
        <v>0</v>
      </c>
      <c r="CI15" s="20" t="n">
        <v>0</v>
      </c>
      <c r="CJ15" s="20" t="n">
        <v>0</v>
      </c>
      <c r="CK15" s="20" t="n">
        <v>0</v>
      </c>
      <c r="CL15" s="20" t="n">
        <v>0</v>
      </c>
      <c r="CM15" s="20" t="n">
        <v>0</v>
      </c>
      <c r="CN15" s="20" t="n">
        <v>0</v>
      </c>
      <c r="CO15" s="20" t="n">
        <v>0</v>
      </c>
      <c r="CP15" s="20" t="n">
        <v>0.005</v>
      </c>
      <c r="CQ15" s="20" t="n">
        <v>0</v>
      </c>
      <c r="CR15" s="20" t="n">
        <v>0</v>
      </c>
      <c r="CS15" s="20" t="n">
        <v>0</v>
      </c>
    </row>
    <row r="16">
      <c r="A16" s="10" t="n">
        <v>12</v>
      </c>
      <c r="B16" s="10" t="n">
        <v>5.5</v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AZ16" s="20" t="n">
        <v>0</v>
      </c>
      <c r="BA16" s="20" t="n">
        <v>0</v>
      </c>
      <c r="BB16" s="20" t="n">
        <v>0</v>
      </c>
      <c r="BC16" s="20" t="n">
        <v>0</v>
      </c>
      <c r="BD16" s="20" t="n">
        <v>0</v>
      </c>
      <c r="BE16" s="20" t="n">
        <v>0</v>
      </c>
      <c r="BF16" s="20" t="n">
        <v>0</v>
      </c>
      <c r="BG16" s="20" t="n">
        <v>0</v>
      </c>
      <c r="BH16" s="20" t="n">
        <v>0</v>
      </c>
      <c r="BI16" s="20" t="n">
        <v>0</v>
      </c>
      <c r="BJ16" s="20" t="n">
        <v>0</v>
      </c>
      <c r="BK16" s="20" t="n">
        <v>0</v>
      </c>
      <c r="BL16" s="20" t="n">
        <v>0</v>
      </c>
      <c r="BM16" s="20" t="n">
        <v>0</v>
      </c>
      <c r="BN16" s="20" t="n">
        <v>0</v>
      </c>
      <c r="BO16" s="20" t="n">
        <v>0</v>
      </c>
      <c r="BP16" s="20" t="n">
        <v>0</v>
      </c>
      <c r="BQ16" s="20" t="n">
        <v>0</v>
      </c>
      <c r="BR16" s="20" t="n">
        <v>0</v>
      </c>
      <c r="BS16" s="20" t="n">
        <v>0</v>
      </c>
      <c r="BT16" s="20" t="n">
        <v>0</v>
      </c>
      <c r="BU16" s="20" t="n">
        <v>0</v>
      </c>
      <c r="BV16" s="20" t="n">
        <v>0</v>
      </c>
      <c r="BW16" s="20" t="n">
        <v>0</v>
      </c>
      <c r="BX16" s="20" t="n">
        <v>0</v>
      </c>
      <c r="BY16" s="20" t="n">
        <v>0</v>
      </c>
      <c r="BZ16" s="20" t="n">
        <v>0</v>
      </c>
      <c r="CA16" s="20" t="n">
        <v>0</v>
      </c>
      <c r="CB16" s="20" t="n">
        <v>0</v>
      </c>
      <c r="CC16" s="20" t="n">
        <v>0</v>
      </c>
      <c r="CD16" s="20" t="n">
        <v>0</v>
      </c>
      <c r="CE16" s="20" t="n">
        <v>0</v>
      </c>
      <c r="CF16" s="20" t="n">
        <v>0</v>
      </c>
      <c r="CG16" s="20" t="n">
        <v>0</v>
      </c>
      <c r="CH16" s="20" t="n">
        <v>0</v>
      </c>
      <c r="CI16" s="20" t="n">
        <v>0</v>
      </c>
      <c r="CJ16" s="20" t="n">
        <v>0</v>
      </c>
      <c r="CK16" s="20" t="n">
        <v>0</v>
      </c>
      <c r="CL16" s="20" t="n">
        <v>0</v>
      </c>
      <c r="CM16" s="20" t="n">
        <v>0</v>
      </c>
      <c r="CN16" s="20" t="n">
        <v>0</v>
      </c>
      <c r="CO16" s="20" t="n">
        <v>0</v>
      </c>
      <c r="CP16" s="20" t="n">
        <v>0</v>
      </c>
      <c r="CQ16" s="20" t="n">
        <v>0</v>
      </c>
      <c r="CR16" s="20" t="n">
        <v>0</v>
      </c>
      <c r="CS16" s="20" t="n">
        <v>0</v>
      </c>
    </row>
    <row r="17">
      <c r="A17" s="10" t="n">
        <v>13</v>
      </c>
      <c r="B17" s="10" t="n">
        <v>6</v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0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0" t="n">
        <v>0</v>
      </c>
      <c r="AP17" s="20" t="n">
        <v>0</v>
      </c>
      <c r="AQ17" s="20" t="n">
        <v>0</v>
      </c>
      <c r="AR17" s="20" t="n">
        <v>0</v>
      </c>
      <c r="AS17" s="20" t="n">
        <v>0</v>
      </c>
      <c r="AT17" s="20" t="n">
        <v>0</v>
      </c>
      <c r="AU17" s="20" t="n">
        <v>0</v>
      </c>
      <c r="AV17" s="20" t="n">
        <v>0</v>
      </c>
      <c r="AW17" s="20" t="n">
        <v>0</v>
      </c>
      <c r="AX17" s="20" t="n">
        <v>0</v>
      </c>
      <c r="AY17" s="20" t="n">
        <v>0</v>
      </c>
      <c r="AZ17" s="20" t="n">
        <v>0</v>
      </c>
      <c r="BA17" s="20" t="n">
        <v>0</v>
      </c>
      <c r="BB17" s="20" t="n">
        <v>0</v>
      </c>
      <c r="BC17" s="20" t="n">
        <v>0</v>
      </c>
      <c r="BD17" s="20" t="n">
        <v>0</v>
      </c>
      <c r="BE17" s="20" t="n">
        <v>0</v>
      </c>
      <c r="BF17" s="20" t="n">
        <v>0</v>
      </c>
      <c r="BG17" s="20" t="n">
        <v>0</v>
      </c>
      <c r="BH17" s="20" t="n">
        <v>0</v>
      </c>
      <c r="BI17" s="20" t="n">
        <v>0</v>
      </c>
      <c r="BJ17" s="20" t="n">
        <v>0</v>
      </c>
      <c r="BK17" s="20" t="n">
        <v>0</v>
      </c>
      <c r="BL17" s="20" t="n">
        <v>0</v>
      </c>
      <c r="BM17" s="20" t="n">
        <v>0</v>
      </c>
      <c r="BN17" s="20" t="n">
        <v>0</v>
      </c>
      <c r="BO17" s="20" t="n">
        <v>0</v>
      </c>
      <c r="BP17" s="20" t="n">
        <v>0</v>
      </c>
      <c r="BQ17" s="20" t="n">
        <v>0</v>
      </c>
      <c r="BR17" s="20" t="n">
        <v>0</v>
      </c>
      <c r="BS17" s="20" t="n">
        <v>0</v>
      </c>
      <c r="BT17" s="20" t="n">
        <v>0</v>
      </c>
      <c r="BU17" s="20" t="n">
        <v>0</v>
      </c>
      <c r="BV17" s="20" t="n">
        <v>0</v>
      </c>
      <c r="BW17" s="20" t="n">
        <v>0</v>
      </c>
      <c r="BX17" s="20" t="n">
        <v>0</v>
      </c>
      <c r="BY17" s="20" t="n">
        <v>0</v>
      </c>
      <c r="BZ17" s="20" t="n">
        <v>0</v>
      </c>
      <c r="CA17" s="20" t="n">
        <v>0</v>
      </c>
      <c r="CB17" s="20" t="n">
        <v>0</v>
      </c>
      <c r="CC17" s="20" t="n">
        <v>0</v>
      </c>
      <c r="CD17" s="20" t="n">
        <v>0</v>
      </c>
      <c r="CE17" s="20" t="n">
        <v>0</v>
      </c>
      <c r="CF17" s="20" t="n">
        <v>0</v>
      </c>
      <c r="CG17" s="20" t="n">
        <v>0</v>
      </c>
      <c r="CH17" s="20" t="n">
        <v>0</v>
      </c>
      <c r="CI17" s="20" t="n">
        <v>0</v>
      </c>
      <c r="CJ17" s="20" t="n">
        <v>0</v>
      </c>
      <c r="CK17" s="20" t="n">
        <v>0</v>
      </c>
      <c r="CL17" s="20" t="n">
        <v>0</v>
      </c>
      <c r="CM17" s="20" t="n">
        <v>0</v>
      </c>
      <c r="CN17" s="20" t="n">
        <v>0</v>
      </c>
      <c r="CO17" s="20" t="n">
        <v>0</v>
      </c>
      <c r="CP17" s="20" t="n">
        <v>0</v>
      </c>
      <c r="CQ17" s="20" t="n">
        <v>0</v>
      </c>
      <c r="CR17" s="20" t="n">
        <v>0</v>
      </c>
      <c r="CS17" s="20" t="n">
        <v>0</v>
      </c>
    </row>
    <row r="18">
      <c r="A18" s="10" t="n">
        <v>14</v>
      </c>
      <c r="B18" s="10" t="n">
        <v>6.5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  <c r="L18" s="20" t="n">
        <v>0</v>
      </c>
      <c r="M18" s="20" t="n">
        <v>0</v>
      </c>
      <c r="N18" s="20" t="n">
        <v>0</v>
      </c>
      <c r="O18" s="20" t="n">
        <v>0</v>
      </c>
      <c r="P18" s="20" t="n">
        <v>0</v>
      </c>
      <c r="Q18" s="20" t="n">
        <v>0</v>
      </c>
      <c r="R18" s="20" t="n">
        <v>0</v>
      </c>
      <c r="S18" s="20" t="n">
        <v>0</v>
      </c>
      <c r="T18" s="20" t="n">
        <v>0</v>
      </c>
      <c r="U18" s="20" t="n">
        <v>0</v>
      </c>
      <c r="V18" s="20" t="n">
        <v>0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0</v>
      </c>
      <c r="AF18" s="20" t="n">
        <v>0</v>
      </c>
      <c r="AG18" s="20" t="n">
        <v>0</v>
      </c>
      <c r="AH18" s="20" t="n">
        <v>0</v>
      </c>
      <c r="AI18" s="20" t="n">
        <v>0</v>
      </c>
      <c r="AJ18" s="20" t="n">
        <v>0</v>
      </c>
      <c r="AK18" s="20" t="n">
        <v>0</v>
      </c>
      <c r="AL18" s="20" t="n">
        <v>0</v>
      </c>
      <c r="AM18" s="20" t="n">
        <v>0</v>
      </c>
      <c r="AN18" s="20" t="n">
        <v>0</v>
      </c>
      <c r="AO18" s="20" t="n">
        <v>0</v>
      </c>
      <c r="AP18" s="20" t="n">
        <v>0</v>
      </c>
      <c r="AQ18" s="20" t="n">
        <v>0</v>
      </c>
      <c r="AR18" s="20" t="n">
        <v>0</v>
      </c>
      <c r="AS18" s="20" t="n">
        <v>0</v>
      </c>
      <c r="AT18" s="20" t="n">
        <v>0</v>
      </c>
      <c r="AU18" s="20" t="n">
        <v>0</v>
      </c>
      <c r="AV18" s="20" t="n">
        <v>0</v>
      </c>
      <c r="AW18" s="20" t="n">
        <v>0</v>
      </c>
      <c r="AX18" s="20" t="n">
        <v>0</v>
      </c>
      <c r="AY18" s="20" t="n">
        <v>0</v>
      </c>
      <c r="AZ18" s="20" t="n">
        <v>0</v>
      </c>
      <c r="BA18" s="20" t="n">
        <v>0</v>
      </c>
      <c r="BB18" s="20" t="n">
        <v>0</v>
      </c>
      <c r="BC18" s="20" t="n">
        <v>0</v>
      </c>
      <c r="BD18" s="20" t="n">
        <v>0</v>
      </c>
      <c r="BE18" s="20" t="n">
        <v>0</v>
      </c>
      <c r="BF18" s="20" t="n">
        <v>0</v>
      </c>
      <c r="BG18" s="20" t="n">
        <v>0</v>
      </c>
      <c r="BH18" s="20" t="n">
        <v>0</v>
      </c>
      <c r="BI18" s="20" t="n">
        <v>0</v>
      </c>
      <c r="BJ18" s="20" t="n">
        <v>0</v>
      </c>
      <c r="BK18" s="20" t="n">
        <v>0</v>
      </c>
      <c r="BL18" s="20" t="n">
        <v>0</v>
      </c>
      <c r="BM18" s="20" t="n">
        <v>0</v>
      </c>
      <c r="BN18" s="20" t="n">
        <v>0</v>
      </c>
      <c r="BO18" s="20" t="n">
        <v>0</v>
      </c>
      <c r="BP18" s="20" t="n">
        <v>0</v>
      </c>
      <c r="BQ18" s="20" t="n">
        <v>0</v>
      </c>
      <c r="BR18" s="20" t="n">
        <v>0</v>
      </c>
      <c r="BS18" s="20" t="n">
        <v>0.073</v>
      </c>
      <c r="BT18" s="20" t="n">
        <v>0</v>
      </c>
      <c r="BU18" s="20" t="n">
        <v>0</v>
      </c>
      <c r="BV18" s="20" t="n">
        <v>0</v>
      </c>
      <c r="BW18" s="20" t="n">
        <v>0.882</v>
      </c>
      <c r="BX18" s="20" t="n">
        <v>0</v>
      </c>
      <c r="BY18" s="20" t="n">
        <v>0</v>
      </c>
      <c r="BZ18" s="20" t="n">
        <v>0</v>
      </c>
      <c r="CA18" s="20" t="n">
        <v>0</v>
      </c>
      <c r="CB18" s="20" t="n">
        <v>0</v>
      </c>
      <c r="CC18" s="20" t="n">
        <v>0</v>
      </c>
      <c r="CD18" s="20" t="n">
        <v>0</v>
      </c>
      <c r="CE18" s="20" t="n">
        <v>0</v>
      </c>
      <c r="CF18" s="20" t="n">
        <v>0</v>
      </c>
      <c r="CG18" s="20" t="n">
        <v>0</v>
      </c>
      <c r="CH18" s="20" t="n">
        <v>0</v>
      </c>
      <c r="CI18" s="20" t="n">
        <v>0</v>
      </c>
      <c r="CJ18" s="20" t="n">
        <v>0</v>
      </c>
      <c r="CK18" s="20" t="n">
        <v>0</v>
      </c>
      <c r="CL18" s="20" t="n">
        <v>0</v>
      </c>
      <c r="CM18" s="20" t="n">
        <v>0</v>
      </c>
      <c r="CN18" s="20" t="n">
        <v>0</v>
      </c>
      <c r="CO18" s="20" t="n">
        <v>0</v>
      </c>
      <c r="CP18" s="20" t="n">
        <v>0</v>
      </c>
      <c r="CQ18" s="20" t="n">
        <v>0</v>
      </c>
      <c r="CR18" s="20" t="n">
        <v>0</v>
      </c>
      <c r="CS18" s="20" t="n">
        <v>0</v>
      </c>
    </row>
    <row r="19">
      <c r="A19" s="10" t="n">
        <v>15</v>
      </c>
      <c r="B19" s="10" t="n">
        <v>7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0</v>
      </c>
      <c r="U19" s="20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0</v>
      </c>
      <c r="AC19" s="20" t="n">
        <v>0</v>
      </c>
      <c r="AD19" s="20" t="n">
        <v>0</v>
      </c>
      <c r="AE19" s="20" t="n">
        <v>0</v>
      </c>
      <c r="AF19" s="20" t="n">
        <v>0</v>
      </c>
      <c r="AG19" s="20" t="n">
        <v>0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0" t="n">
        <v>0</v>
      </c>
      <c r="AP19" s="20" t="n">
        <v>0</v>
      </c>
      <c r="AQ19" s="20" t="n">
        <v>0</v>
      </c>
      <c r="AR19" s="20" t="n">
        <v>0</v>
      </c>
      <c r="AS19" s="20" t="n">
        <v>0</v>
      </c>
      <c r="AT19" s="20" t="n">
        <v>0</v>
      </c>
      <c r="AU19" s="20" t="n">
        <v>0</v>
      </c>
      <c r="AV19" s="20" t="n">
        <v>0</v>
      </c>
      <c r="AW19" s="20" t="n">
        <v>0</v>
      </c>
      <c r="AX19" s="20" t="n">
        <v>0</v>
      </c>
      <c r="AY19" s="20" t="n">
        <v>0</v>
      </c>
      <c r="AZ19" s="20" t="n">
        <v>0</v>
      </c>
      <c r="BA19" s="20" t="n">
        <v>0</v>
      </c>
      <c r="BB19" s="20" t="n">
        <v>0</v>
      </c>
      <c r="BC19" s="20" t="n">
        <v>0</v>
      </c>
      <c r="BD19" s="20" t="n">
        <v>0</v>
      </c>
      <c r="BE19" s="20" t="n">
        <v>0</v>
      </c>
      <c r="BF19" s="20" t="n">
        <v>0</v>
      </c>
      <c r="BG19" s="20" t="n">
        <v>0</v>
      </c>
      <c r="BH19" s="20" t="n">
        <v>0</v>
      </c>
      <c r="BI19" s="20" t="n">
        <v>0</v>
      </c>
      <c r="BJ19" s="20" t="n">
        <v>0</v>
      </c>
      <c r="BK19" s="20" t="n">
        <v>0</v>
      </c>
      <c r="BL19" s="20" t="n">
        <v>0</v>
      </c>
      <c r="BM19" s="20" t="n">
        <v>0</v>
      </c>
      <c r="BN19" s="20" t="n">
        <v>0</v>
      </c>
      <c r="BO19" s="20" t="n">
        <v>1.652</v>
      </c>
      <c r="BP19" s="20" t="n">
        <v>0</v>
      </c>
      <c r="BQ19" s="20" t="n">
        <v>0</v>
      </c>
      <c r="BR19" s="20" t="n">
        <v>0</v>
      </c>
      <c r="BS19" s="20" t="n">
        <v>0</v>
      </c>
      <c r="BT19" s="20" t="n">
        <v>0</v>
      </c>
      <c r="BU19" s="20" t="n">
        <v>0</v>
      </c>
      <c r="BV19" s="20" t="n">
        <v>0</v>
      </c>
      <c r="BW19" s="20" t="n">
        <v>0</v>
      </c>
      <c r="BX19" s="20" t="n">
        <v>0</v>
      </c>
      <c r="BY19" s="20" t="n">
        <v>0</v>
      </c>
      <c r="BZ19" s="20" t="n">
        <v>0</v>
      </c>
      <c r="CA19" s="20" t="n">
        <v>0</v>
      </c>
      <c r="CB19" s="20" t="n">
        <v>0</v>
      </c>
      <c r="CC19" s="20" t="n">
        <v>0</v>
      </c>
      <c r="CD19" s="20" t="n">
        <v>0</v>
      </c>
      <c r="CE19" s="20" t="n">
        <v>0</v>
      </c>
      <c r="CF19" s="20" t="n">
        <v>0</v>
      </c>
      <c r="CG19" s="20" t="n">
        <v>0</v>
      </c>
      <c r="CH19" s="20" t="n">
        <v>0</v>
      </c>
      <c r="CI19" s="20" t="n">
        <v>0</v>
      </c>
      <c r="CJ19" s="20" t="n">
        <v>0</v>
      </c>
      <c r="CK19" s="20" t="n">
        <v>0</v>
      </c>
      <c r="CL19" s="20" t="n">
        <v>0</v>
      </c>
      <c r="CM19" s="20" t="n">
        <v>0</v>
      </c>
      <c r="CN19" s="20" t="n">
        <v>0</v>
      </c>
      <c r="CO19" s="20" t="n">
        <v>0</v>
      </c>
      <c r="CP19" s="20" t="n">
        <v>0</v>
      </c>
      <c r="CQ19" s="20" t="n">
        <v>0</v>
      </c>
      <c r="CR19" s="20" t="n">
        <v>0</v>
      </c>
      <c r="CS19" s="20" t="n">
        <v>0</v>
      </c>
    </row>
    <row r="20">
      <c r="A20" s="10" t="n">
        <v>16</v>
      </c>
      <c r="B20" s="10" t="n">
        <v>7.5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  <c r="Q20" s="20" t="n">
        <v>0</v>
      </c>
      <c r="R20" s="20" t="n">
        <v>0</v>
      </c>
      <c r="S20" s="20" t="n">
        <v>0</v>
      </c>
      <c r="T20" s="20" t="n">
        <v>0</v>
      </c>
      <c r="U20" s="20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0" t="n">
        <v>0</v>
      </c>
      <c r="AP20" s="20" t="n">
        <v>0</v>
      </c>
      <c r="AQ20" s="20" t="n">
        <v>0</v>
      </c>
      <c r="AR20" s="20" t="n">
        <v>0</v>
      </c>
      <c r="AS20" s="20" t="n">
        <v>0</v>
      </c>
      <c r="AT20" s="20" t="n">
        <v>0</v>
      </c>
      <c r="AU20" s="20" t="n">
        <v>0</v>
      </c>
      <c r="AV20" s="20" t="n">
        <v>0</v>
      </c>
      <c r="AW20" s="20" t="n">
        <v>0</v>
      </c>
      <c r="AX20" s="20" t="n">
        <v>0</v>
      </c>
      <c r="AY20" s="20" t="n">
        <v>0</v>
      </c>
      <c r="AZ20" s="20" t="n">
        <v>0</v>
      </c>
      <c r="BA20" s="20" t="n">
        <v>0</v>
      </c>
      <c r="BB20" s="20" t="n">
        <v>0</v>
      </c>
      <c r="BC20" s="20" t="n">
        <v>0</v>
      </c>
      <c r="BD20" s="20" t="n">
        <v>0</v>
      </c>
      <c r="BE20" s="20" t="n">
        <v>0</v>
      </c>
      <c r="BF20" s="20" t="n">
        <v>0</v>
      </c>
      <c r="BG20" s="20" t="n">
        <v>0</v>
      </c>
      <c r="BH20" s="20" t="n">
        <v>0</v>
      </c>
      <c r="BI20" s="20" t="n">
        <v>0</v>
      </c>
      <c r="BJ20" s="20" t="n">
        <v>0</v>
      </c>
      <c r="BK20" s="20" t="n">
        <v>0</v>
      </c>
      <c r="BL20" s="20" t="n">
        <v>0</v>
      </c>
      <c r="BM20" s="20" t="n">
        <v>0</v>
      </c>
      <c r="BN20" s="20" t="n">
        <v>0</v>
      </c>
      <c r="BO20" s="20" t="n">
        <v>0.054</v>
      </c>
      <c r="BP20" s="20" t="n">
        <v>0</v>
      </c>
      <c r="BQ20" s="20" t="n">
        <v>0</v>
      </c>
      <c r="BR20" s="20" t="n">
        <v>0</v>
      </c>
      <c r="BS20" s="20" t="n">
        <v>0</v>
      </c>
      <c r="BT20" s="20" t="n">
        <v>0</v>
      </c>
      <c r="BU20" s="20" t="n">
        <v>0</v>
      </c>
      <c r="BV20" s="20" t="n">
        <v>0</v>
      </c>
      <c r="BW20" s="20" t="n">
        <v>0.435</v>
      </c>
      <c r="BX20" s="20" t="n">
        <v>0</v>
      </c>
      <c r="BY20" s="20" t="n">
        <v>0</v>
      </c>
      <c r="BZ20" s="20" t="n">
        <v>0</v>
      </c>
      <c r="CA20" s="20" t="n">
        <v>0</v>
      </c>
      <c r="CB20" s="20" t="n">
        <v>1.483</v>
      </c>
      <c r="CC20" s="20" t="n">
        <v>0</v>
      </c>
      <c r="CD20" s="20" t="n">
        <v>0</v>
      </c>
      <c r="CE20" s="20" t="n">
        <v>0</v>
      </c>
      <c r="CF20" s="20" t="n">
        <v>0</v>
      </c>
      <c r="CG20" s="20" t="n">
        <v>0</v>
      </c>
      <c r="CH20" s="20" t="n">
        <v>0</v>
      </c>
      <c r="CI20" s="20" t="n">
        <v>0</v>
      </c>
      <c r="CJ20" s="20" t="n">
        <v>0</v>
      </c>
      <c r="CK20" s="20" t="n">
        <v>0</v>
      </c>
      <c r="CL20" s="20" t="n">
        <v>0</v>
      </c>
      <c r="CM20" s="20" t="n">
        <v>0</v>
      </c>
      <c r="CN20" s="20" t="n">
        <v>0</v>
      </c>
      <c r="CO20" s="20" t="n">
        <v>0</v>
      </c>
      <c r="CP20" s="20" t="n">
        <v>0</v>
      </c>
      <c r="CQ20" s="20" t="n">
        <v>0</v>
      </c>
      <c r="CR20" s="20" t="n">
        <v>0</v>
      </c>
      <c r="CS20" s="20" t="n">
        <v>0</v>
      </c>
    </row>
    <row r="21">
      <c r="A21" s="10" t="n">
        <v>17</v>
      </c>
      <c r="B21" s="10" t="n">
        <v>8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</v>
      </c>
      <c r="R21" s="20" t="n">
        <v>0</v>
      </c>
      <c r="S21" s="20" t="n">
        <v>0</v>
      </c>
      <c r="T21" s="20" t="n">
        <v>0</v>
      </c>
      <c r="U21" s="20" t="n">
        <v>0</v>
      </c>
      <c r="V21" s="20" t="n">
        <v>0</v>
      </c>
      <c r="W21" s="20" t="n">
        <v>0</v>
      </c>
      <c r="X21" s="20" t="n">
        <v>0</v>
      </c>
      <c r="Y21" s="20" t="n">
        <v>0</v>
      </c>
      <c r="Z21" s="20" t="n">
        <v>0</v>
      </c>
      <c r="AA21" s="20" t="n">
        <v>0</v>
      </c>
      <c r="AB21" s="20" t="n">
        <v>0</v>
      </c>
      <c r="AC21" s="20" t="n">
        <v>0</v>
      </c>
      <c r="AD21" s="20" t="n">
        <v>0</v>
      </c>
      <c r="AE21" s="20" t="n">
        <v>0</v>
      </c>
      <c r="AF21" s="20" t="n">
        <v>0</v>
      </c>
      <c r="AG21" s="20" t="n">
        <v>0</v>
      </c>
      <c r="AH21" s="20" t="n">
        <v>0</v>
      </c>
      <c r="AI21" s="20" t="n">
        <v>0</v>
      </c>
      <c r="AJ21" s="20" t="n">
        <v>0</v>
      </c>
      <c r="AK21" s="20" t="n">
        <v>0</v>
      </c>
      <c r="AL21" s="20" t="n">
        <v>0</v>
      </c>
      <c r="AM21" s="20" t="n">
        <v>0</v>
      </c>
      <c r="AN21" s="20" t="n">
        <v>0</v>
      </c>
      <c r="AO21" s="20" t="n">
        <v>0</v>
      </c>
      <c r="AP21" s="20" t="n">
        <v>0</v>
      </c>
      <c r="AQ21" s="20" t="n">
        <v>0</v>
      </c>
      <c r="AR21" s="20" t="n">
        <v>0.228</v>
      </c>
      <c r="AS21" s="20" t="n">
        <v>0</v>
      </c>
      <c r="AT21" s="20" t="n">
        <v>0</v>
      </c>
      <c r="AU21" s="20" t="n">
        <v>0</v>
      </c>
      <c r="AV21" s="20" t="n">
        <v>0</v>
      </c>
      <c r="AW21" s="20" t="n">
        <v>0</v>
      </c>
      <c r="AX21" s="20" t="n">
        <v>0</v>
      </c>
      <c r="AY21" s="20" t="n">
        <v>0</v>
      </c>
      <c r="AZ21" s="20" t="n">
        <v>0</v>
      </c>
      <c r="BA21" s="20" t="n">
        <v>0</v>
      </c>
      <c r="BB21" s="20" t="n">
        <v>0</v>
      </c>
      <c r="BC21" s="20" t="n">
        <v>0</v>
      </c>
      <c r="BD21" s="20" t="n">
        <v>0</v>
      </c>
      <c r="BE21" s="20" t="n">
        <v>0</v>
      </c>
      <c r="BF21" s="20" t="n">
        <v>0</v>
      </c>
      <c r="BG21" s="20" t="n">
        <v>0</v>
      </c>
      <c r="BH21" s="20" t="n">
        <v>0</v>
      </c>
      <c r="BI21" s="20" t="n">
        <v>0</v>
      </c>
      <c r="BJ21" s="20" t="n">
        <v>0</v>
      </c>
      <c r="BK21" s="20" t="n">
        <v>0</v>
      </c>
      <c r="BL21" s="20" t="n">
        <v>0</v>
      </c>
      <c r="BM21" s="20" t="n">
        <v>0</v>
      </c>
      <c r="BN21" s="20" t="n">
        <v>0</v>
      </c>
      <c r="BO21" s="20" t="n">
        <v>0</v>
      </c>
      <c r="BP21" s="20" t="n">
        <v>0</v>
      </c>
      <c r="BQ21" s="20" t="n">
        <v>0</v>
      </c>
      <c r="BR21" s="20" t="n">
        <v>0</v>
      </c>
      <c r="BS21" s="20" t="n">
        <v>0</v>
      </c>
      <c r="BT21" s="20" t="n">
        <v>0</v>
      </c>
      <c r="BU21" s="20" t="n">
        <v>0</v>
      </c>
      <c r="BV21" s="20" t="n">
        <v>0</v>
      </c>
      <c r="BW21" s="20" t="n">
        <v>0</v>
      </c>
      <c r="BX21" s="20" t="n">
        <v>0</v>
      </c>
      <c r="BY21" s="20" t="n">
        <v>0</v>
      </c>
      <c r="BZ21" s="20" t="n">
        <v>0.214</v>
      </c>
      <c r="CA21" s="20" t="n">
        <v>0</v>
      </c>
      <c r="CB21" s="20" t="n">
        <v>0</v>
      </c>
      <c r="CC21" s="20" t="n">
        <v>0</v>
      </c>
      <c r="CD21" s="20" t="n">
        <v>0</v>
      </c>
      <c r="CE21" s="20" t="n">
        <v>0</v>
      </c>
      <c r="CF21" s="20" t="n">
        <v>0</v>
      </c>
      <c r="CG21" s="20" t="n">
        <v>0</v>
      </c>
      <c r="CH21" s="20" t="n">
        <v>0</v>
      </c>
      <c r="CI21" s="20" t="n">
        <v>0</v>
      </c>
      <c r="CJ21" s="20" t="n">
        <v>0</v>
      </c>
      <c r="CK21" s="20" t="n">
        <v>0</v>
      </c>
      <c r="CL21" s="20" t="n">
        <v>0</v>
      </c>
      <c r="CM21" s="20" t="n">
        <v>0</v>
      </c>
      <c r="CN21" s="20" t="n">
        <v>0</v>
      </c>
      <c r="CO21" s="20" t="n">
        <v>0</v>
      </c>
      <c r="CP21" s="20" t="n">
        <v>0</v>
      </c>
      <c r="CQ21" s="20" t="n">
        <v>0</v>
      </c>
      <c r="CR21" s="20" t="n">
        <v>0</v>
      </c>
      <c r="CS21" s="20" t="n">
        <v>0</v>
      </c>
    </row>
    <row r="22">
      <c r="A22" s="10" t="n">
        <v>18</v>
      </c>
      <c r="B22" s="10" t="n">
        <v>8.5</v>
      </c>
      <c r="C22" s="20" t="n">
        <v>0</v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0</v>
      </c>
      <c r="I22" s="20" t="n">
        <v>0</v>
      </c>
      <c r="J22" s="20" t="n">
        <v>0</v>
      </c>
      <c r="K22" s="20" t="n">
        <v>0</v>
      </c>
      <c r="L22" s="20" t="n">
        <v>0</v>
      </c>
      <c r="M22" s="20" t="n">
        <v>0</v>
      </c>
      <c r="N22" s="20" t="n">
        <v>0</v>
      </c>
      <c r="O22" s="20" t="n">
        <v>0</v>
      </c>
      <c r="P22" s="20" t="n">
        <v>0</v>
      </c>
      <c r="Q22" s="20" t="n">
        <v>0</v>
      </c>
      <c r="R22" s="20" t="n">
        <v>0</v>
      </c>
      <c r="S22" s="20" t="n">
        <v>0</v>
      </c>
      <c r="T22" s="20" t="n">
        <v>0.095</v>
      </c>
      <c r="U22" s="20" t="n">
        <v>0</v>
      </c>
      <c r="V22" s="20" t="n">
        <v>0</v>
      </c>
      <c r="W22" s="20" t="n">
        <v>0</v>
      </c>
      <c r="X22" s="20" t="n">
        <v>0</v>
      </c>
      <c r="Y22" s="20" t="n">
        <v>0</v>
      </c>
      <c r="Z22" s="20" t="n">
        <v>0</v>
      </c>
      <c r="AA22" s="20" t="n">
        <v>0</v>
      </c>
      <c r="AB22" s="20" t="n">
        <v>0</v>
      </c>
      <c r="AC22" s="20" t="n">
        <v>0</v>
      </c>
      <c r="AD22" s="20" t="n">
        <v>0</v>
      </c>
      <c r="AE22" s="20" t="n">
        <v>0</v>
      </c>
      <c r="AF22" s="20" t="n">
        <v>0</v>
      </c>
      <c r="AG22" s="20" t="n">
        <v>0</v>
      </c>
      <c r="AH22" s="20" t="n">
        <v>0</v>
      </c>
      <c r="AI22" s="20" t="n">
        <v>0</v>
      </c>
      <c r="AJ22" s="20" t="n">
        <v>0</v>
      </c>
      <c r="AK22" s="20" t="n">
        <v>0</v>
      </c>
      <c r="AL22" s="20" t="n">
        <v>0</v>
      </c>
      <c r="AM22" s="20" t="n">
        <v>0</v>
      </c>
      <c r="AN22" s="20" t="n">
        <v>0</v>
      </c>
      <c r="AO22" s="20" t="n">
        <v>0</v>
      </c>
      <c r="AP22" s="20" t="n">
        <v>0</v>
      </c>
      <c r="AQ22" s="20" t="n">
        <v>0</v>
      </c>
      <c r="AR22" s="20" t="n">
        <v>0</v>
      </c>
      <c r="AS22" s="20" t="n">
        <v>0</v>
      </c>
      <c r="AT22" s="20" t="n">
        <v>0</v>
      </c>
      <c r="AU22" s="20" t="n">
        <v>0</v>
      </c>
      <c r="AV22" s="20" t="n">
        <v>0</v>
      </c>
      <c r="AW22" s="20" t="n">
        <v>0</v>
      </c>
      <c r="AX22" s="20" t="n">
        <v>0</v>
      </c>
      <c r="AY22" s="20" t="n">
        <v>0</v>
      </c>
      <c r="AZ22" s="20" t="n">
        <v>0</v>
      </c>
      <c r="BA22" s="20" t="n">
        <v>0</v>
      </c>
      <c r="BB22" s="20" t="n">
        <v>0</v>
      </c>
      <c r="BC22" s="20" t="n">
        <v>0</v>
      </c>
      <c r="BD22" s="20" t="n">
        <v>0</v>
      </c>
      <c r="BE22" s="20" t="n">
        <v>0</v>
      </c>
      <c r="BF22" s="20" t="n">
        <v>0</v>
      </c>
      <c r="BG22" s="20" t="n">
        <v>0</v>
      </c>
      <c r="BH22" s="20" t="n">
        <v>0</v>
      </c>
      <c r="BI22" s="20" t="n">
        <v>0</v>
      </c>
      <c r="BJ22" s="20" t="n">
        <v>0</v>
      </c>
      <c r="BK22" s="20" t="n">
        <v>0</v>
      </c>
      <c r="BL22" s="20" t="n">
        <v>0</v>
      </c>
      <c r="BM22" s="20" t="n">
        <v>0</v>
      </c>
      <c r="BN22" s="20" t="n">
        <v>0</v>
      </c>
      <c r="BO22" s="20" t="n">
        <v>0</v>
      </c>
      <c r="BP22" s="20" t="n">
        <v>0</v>
      </c>
      <c r="BQ22" s="20" t="n">
        <v>0</v>
      </c>
      <c r="BR22" s="20" t="n">
        <v>0</v>
      </c>
      <c r="BS22" s="20" t="n">
        <v>0</v>
      </c>
      <c r="BT22" s="20" t="n">
        <v>0</v>
      </c>
      <c r="BU22" s="20" t="n">
        <v>0</v>
      </c>
      <c r="BV22" s="20" t="n">
        <v>0</v>
      </c>
      <c r="BW22" s="20" t="n">
        <v>0</v>
      </c>
      <c r="BX22" s="20" t="n">
        <v>0</v>
      </c>
      <c r="BY22" s="20" t="n">
        <v>0</v>
      </c>
      <c r="BZ22" s="20" t="n">
        <v>0</v>
      </c>
      <c r="CA22" s="20" t="n">
        <v>0</v>
      </c>
      <c r="CB22" s="20" t="n">
        <v>0</v>
      </c>
      <c r="CC22" s="20" t="n">
        <v>0</v>
      </c>
      <c r="CD22" s="20" t="n">
        <v>0</v>
      </c>
      <c r="CE22" s="20" t="n">
        <v>0</v>
      </c>
      <c r="CF22" s="20" t="n">
        <v>0</v>
      </c>
      <c r="CG22" s="20" t="n">
        <v>0</v>
      </c>
      <c r="CH22" s="20" t="n">
        <v>0</v>
      </c>
      <c r="CI22" s="20" t="n">
        <v>0</v>
      </c>
      <c r="CJ22" s="20" t="n">
        <v>0</v>
      </c>
      <c r="CK22" s="20" t="n">
        <v>0</v>
      </c>
      <c r="CL22" s="20" t="n">
        <v>0</v>
      </c>
      <c r="CM22" s="20" t="n">
        <v>0</v>
      </c>
      <c r="CN22" s="20" t="n">
        <v>0</v>
      </c>
      <c r="CO22" s="20" t="n">
        <v>0</v>
      </c>
      <c r="CP22" s="20" t="n">
        <v>0</v>
      </c>
      <c r="CQ22" s="20" t="n">
        <v>0</v>
      </c>
      <c r="CR22" s="20" t="n">
        <v>0</v>
      </c>
      <c r="CS22" s="20" t="n">
        <v>0</v>
      </c>
    </row>
    <row r="23">
      <c r="A23" s="10" t="n">
        <v>19</v>
      </c>
      <c r="B23" s="10" t="n">
        <v>9</v>
      </c>
      <c r="C23" s="20" t="n">
        <v>0</v>
      </c>
      <c r="D23" s="20" t="n">
        <v>0</v>
      </c>
      <c r="E23" s="20" t="n">
        <v>0.115</v>
      </c>
      <c r="F23" s="20" t="n">
        <v>0</v>
      </c>
      <c r="G23" s="20" t="n">
        <v>0</v>
      </c>
      <c r="H23" s="20" t="n">
        <v>0</v>
      </c>
      <c r="I23" s="20" t="n">
        <v>0</v>
      </c>
      <c r="J23" s="20" t="n">
        <v>0</v>
      </c>
      <c r="K23" s="20" t="n">
        <v>0</v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0</v>
      </c>
      <c r="U23" s="20" t="n">
        <v>0</v>
      </c>
      <c r="V23" s="20" t="n">
        <v>0</v>
      </c>
      <c r="W23" s="20" t="n">
        <v>0</v>
      </c>
      <c r="X23" s="20" t="n">
        <v>0</v>
      </c>
      <c r="Y23" s="20" t="n">
        <v>0</v>
      </c>
      <c r="Z23" s="20" t="n">
        <v>0</v>
      </c>
      <c r="AA23" s="20" t="n">
        <v>0</v>
      </c>
      <c r="AB23" s="20" t="n">
        <v>0</v>
      </c>
      <c r="AC23" s="20" t="n">
        <v>0</v>
      </c>
      <c r="AD23" s="20" t="n">
        <v>0</v>
      </c>
      <c r="AE23" s="20" t="n">
        <v>0</v>
      </c>
      <c r="AF23" s="20" t="n">
        <v>0</v>
      </c>
      <c r="AG23" s="20" t="n">
        <v>0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0" t="n">
        <v>0</v>
      </c>
      <c r="AP23" s="20" t="n">
        <v>0</v>
      </c>
      <c r="AQ23" s="20" t="n">
        <v>0</v>
      </c>
      <c r="AR23" s="20" t="n">
        <v>0</v>
      </c>
      <c r="AS23" s="20" t="n">
        <v>0</v>
      </c>
      <c r="AT23" s="20" t="n">
        <v>0</v>
      </c>
      <c r="AU23" s="20" t="n">
        <v>0</v>
      </c>
      <c r="AV23" s="20" t="n">
        <v>0</v>
      </c>
      <c r="AW23" s="20" t="n">
        <v>0</v>
      </c>
      <c r="AX23" s="20" t="n">
        <v>0</v>
      </c>
      <c r="AY23" s="20" t="n">
        <v>0</v>
      </c>
      <c r="AZ23" s="20" t="n">
        <v>0</v>
      </c>
      <c r="BA23" s="20" t="n">
        <v>0</v>
      </c>
      <c r="BB23" s="20" t="n">
        <v>0</v>
      </c>
      <c r="BC23" s="20" t="n">
        <v>0</v>
      </c>
      <c r="BD23" s="20" t="n">
        <v>0</v>
      </c>
      <c r="BE23" s="20" t="n">
        <v>0</v>
      </c>
      <c r="BF23" s="20" t="n">
        <v>0</v>
      </c>
      <c r="BG23" s="20" t="n">
        <v>0</v>
      </c>
      <c r="BH23" s="20" t="n">
        <v>0</v>
      </c>
      <c r="BI23" s="20" t="n">
        <v>0</v>
      </c>
      <c r="BJ23" s="20" t="n">
        <v>0</v>
      </c>
      <c r="BK23" s="20" t="n">
        <v>0</v>
      </c>
      <c r="BL23" s="20" t="n">
        <v>0</v>
      </c>
      <c r="BM23" s="20" t="n">
        <v>0</v>
      </c>
      <c r="BN23" s="20" t="n">
        <v>0</v>
      </c>
      <c r="BO23" s="20" t="n">
        <v>0</v>
      </c>
      <c r="BP23" s="20" t="n">
        <v>0</v>
      </c>
      <c r="BQ23" s="20" t="n">
        <v>0</v>
      </c>
      <c r="BR23" s="20" t="n">
        <v>0</v>
      </c>
      <c r="BS23" s="20" t="n">
        <v>0</v>
      </c>
      <c r="BT23" s="20" t="n">
        <v>0</v>
      </c>
      <c r="BU23" s="20" t="n">
        <v>0</v>
      </c>
      <c r="BV23" s="20" t="n">
        <v>0.674</v>
      </c>
      <c r="BW23" s="20" t="n">
        <v>0</v>
      </c>
      <c r="BX23" s="20" t="n">
        <v>0</v>
      </c>
      <c r="BY23" s="20" t="n">
        <v>0</v>
      </c>
      <c r="BZ23" s="20" t="n">
        <v>0</v>
      </c>
      <c r="CA23" s="20" t="n">
        <v>0</v>
      </c>
      <c r="CB23" s="20" t="n">
        <v>0</v>
      </c>
      <c r="CC23" s="20" t="n">
        <v>0</v>
      </c>
      <c r="CD23" s="20" t="n">
        <v>0</v>
      </c>
      <c r="CE23" s="20" t="n">
        <v>0</v>
      </c>
      <c r="CF23" s="20" t="n">
        <v>0</v>
      </c>
      <c r="CG23" s="20" t="n">
        <v>0</v>
      </c>
      <c r="CH23" s="20" t="n">
        <v>0</v>
      </c>
      <c r="CI23" s="20" t="n">
        <v>0</v>
      </c>
      <c r="CJ23" s="20" t="n">
        <v>0</v>
      </c>
      <c r="CK23" s="20" t="n">
        <v>0</v>
      </c>
      <c r="CL23" s="20" t="n">
        <v>0</v>
      </c>
      <c r="CM23" s="20" t="n">
        <v>0</v>
      </c>
      <c r="CN23" s="20" t="n">
        <v>0</v>
      </c>
      <c r="CO23" s="20" t="n">
        <v>0</v>
      </c>
      <c r="CP23" s="20" t="n">
        <v>0</v>
      </c>
      <c r="CQ23" s="20" t="n">
        <v>0</v>
      </c>
      <c r="CR23" s="20" t="n">
        <v>0</v>
      </c>
      <c r="CS23" s="20" t="n">
        <v>0</v>
      </c>
    </row>
    <row r="24">
      <c r="A24" s="10" t="n">
        <v>20</v>
      </c>
      <c r="B24" s="10" t="n">
        <v>9.5</v>
      </c>
      <c r="C24" s="20" t="n">
        <v>0.705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  <c r="N24" s="20" t="n">
        <v>0</v>
      </c>
      <c r="O24" s="20" t="n">
        <v>0</v>
      </c>
      <c r="P24" s="20" t="n">
        <v>0</v>
      </c>
      <c r="Q24" s="20" t="n">
        <v>0</v>
      </c>
      <c r="R24" s="20" t="n">
        <v>0</v>
      </c>
      <c r="S24" s="20" t="n">
        <v>0</v>
      </c>
      <c r="T24" s="20" t="n">
        <v>0</v>
      </c>
      <c r="U24" s="20" t="n">
        <v>0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0.343</v>
      </c>
      <c r="AA24" s="20" t="n">
        <v>0</v>
      </c>
      <c r="AB24" s="20" t="n">
        <v>0</v>
      </c>
      <c r="AC24" s="20" t="n">
        <v>0</v>
      </c>
      <c r="AD24" s="20" t="n">
        <v>1.067</v>
      </c>
      <c r="AE24" s="20" t="n">
        <v>0</v>
      </c>
      <c r="AF24" s="20" t="n">
        <v>0</v>
      </c>
      <c r="AG24" s="20" t="n">
        <v>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  <c r="AN24" s="20" t="n">
        <v>0</v>
      </c>
      <c r="AO24" s="20" t="n">
        <v>0.288</v>
      </c>
      <c r="AP24" s="20" t="n">
        <v>0</v>
      </c>
      <c r="AQ24" s="20" t="n">
        <v>0</v>
      </c>
      <c r="AR24" s="20" t="n">
        <v>0</v>
      </c>
      <c r="AS24" s="20" t="n">
        <v>0</v>
      </c>
      <c r="AT24" s="20" t="n">
        <v>0</v>
      </c>
      <c r="AU24" s="20" t="n">
        <v>0</v>
      </c>
      <c r="AV24" s="20" t="n">
        <v>0</v>
      </c>
      <c r="AW24" s="20" t="n">
        <v>0</v>
      </c>
      <c r="AX24" s="20" t="n">
        <v>0</v>
      </c>
      <c r="AY24" s="20" t="n">
        <v>0</v>
      </c>
      <c r="AZ24" s="20" t="n">
        <v>0</v>
      </c>
      <c r="BA24" s="20" t="n">
        <v>0</v>
      </c>
      <c r="BB24" s="20" t="n">
        <v>0</v>
      </c>
      <c r="BC24" s="20" t="n">
        <v>0</v>
      </c>
      <c r="BD24" s="20" t="n">
        <v>0</v>
      </c>
      <c r="BE24" s="20" t="n">
        <v>0</v>
      </c>
      <c r="BF24" s="20" t="n">
        <v>0</v>
      </c>
      <c r="BG24" s="20" t="n">
        <v>0</v>
      </c>
      <c r="BH24" s="20" t="n">
        <v>0</v>
      </c>
      <c r="BI24" s="20" t="n">
        <v>0</v>
      </c>
      <c r="BJ24" s="20" t="n">
        <v>0</v>
      </c>
      <c r="BK24" s="20" t="n">
        <v>0</v>
      </c>
      <c r="BL24" s="20" t="n">
        <v>0</v>
      </c>
      <c r="BM24" s="20" t="n">
        <v>0</v>
      </c>
      <c r="BN24" s="20" t="n">
        <v>0</v>
      </c>
      <c r="BO24" s="20" t="n">
        <v>0</v>
      </c>
      <c r="BP24" s="20" t="n">
        <v>0</v>
      </c>
      <c r="BQ24" s="20" t="n">
        <v>0</v>
      </c>
      <c r="BR24" s="20" t="n">
        <v>0</v>
      </c>
      <c r="BS24" s="20" t="n">
        <v>0</v>
      </c>
      <c r="BT24" s="20" t="n">
        <v>0</v>
      </c>
      <c r="BU24" s="20" t="n">
        <v>0</v>
      </c>
      <c r="BV24" s="20" t="n">
        <v>0</v>
      </c>
      <c r="BW24" s="20" t="n">
        <v>0</v>
      </c>
      <c r="BX24" s="20" t="n">
        <v>0</v>
      </c>
      <c r="BY24" s="20" t="n">
        <v>0</v>
      </c>
      <c r="BZ24" s="20" t="n">
        <v>0</v>
      </c>
      <c r="CA24" s="20" t="n">
        <v>0</v>
      </c>
      <c r="CB24" s="20" t="n">
        <v>0</v>
      </c>
      <c r="CC24" s="20" t="n">
        <v>0</v>
      </c>
      <c r="CD24" s="20" t="n">
        <v>0</v>
      </c>
      <c r="CE24" s="20" t="n">
        <v>0</v>
      </c>
      <c r="CF24" s="20" t="n">
        <v>0</v>
      </c>
      <c r="CG24" s="20" t="n">
        <v>0</v>
      </c>
      <c r="CH24" s="20" t="n">
        <v>0</v>
      </c>
      <c r="CI24" s="20" t="n">
        <v>0</v>
      </c>
      <c r="CJ24" s="20" t="n">
        <v>0</v>
      </c>
      <c r="CK24" s="20" t="n">
        <v>0</v>
      </c>
      <c r="CL24" s="20" t="n">
        <v>0</v>
      </c>
      <c r="CM24" s="20" t="n">
        <v>0</v>
      </c>
      <c r="CN24" s="20" t="n">
        <v>0</v>
      </c>
      <c r="CO24" s="20" t="n">
        <v>0</v>
      </c>
      <c r="CP24" s="20" t="n">
        <v>0.096</v>
      </c>
      <c r="CQ24" s="20" t="n">
        <v>0</v>
      </c>
      <c r="CR24" s="20" t="n">
        <v>0</v>
      </c>
      <c r="CS24" s="20" t="n">
        <v>0</v>
      </c>
    </row>
    <row r="25">
      <c r="A25" s="10" t="n">
        <v>21</v>
      </c>
      <c r="B25" s="10" t="n">
        <v>10</v>
      </c>
      <c r="C25" s="20" t="n">
        <v>0</v>
      </c>
      <c r="D25" s="20" t="n">
        <v>0</v>
      </c>
      <c r="E25" s="20" t="n">
        <v>0.647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</v>
      </c>
      <c r="X25" s="20" t="n">
        <v>0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</v>
      </c>
      <c r="AG25" s="20" t="n">
        <v>0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0" t="n">
        <v>0.323</v>
      </c>
      <c r="AP25" s="20" t="n">
        <v>0</v>
      </c>
      <c r="AQ25" s="20" t="n">
        <v>0</v>
      </c>
      <c r="AR25" s="20" t="n">
        <v>0</v>
      </c>
      <c r="AS25" s="20" t="n">
        <v>0</v>
      </c>
      <c r="AT25" s="20" t="n">
        <v>0</v>
      </c>
      <c r="AU25" s="20" t="n">
        <v>0</v>
      </c>
      <c r="AV25" s="20" t="n">
        <v>0</v>
      </c>
      <c r="AW25" s="20" t="n">
        <v>0</v>
      </c>
      <c r="AX25" s="20" t="n">
        <v>0</v>
      </c>
      <c r="AY25" s="20" t="n">
        <v>0</v>
      </c>
      <c r="AZ25" s="20" t="n">
        <v>0</v>
      </c>
      <c r="BA25" s="20" t="n">
        <v>0</v>
      </c>
      <c r="BB25" s="20" t="n">
        <v>0</v>
      </c>
      <c r="BC25" s="20" t="n">
        <v>0</v>
      </c>
      <c r="BD25" s="20" t="n">
        <v>0</v>
      </c>
      <c r="BE25" s="20" t="n">
        <v>0</v>
      </c>
      <c r="BF25" s="20" t="n">
        <v>0</v>
      </c>
      <c r="BG25" s="20" t="n">
        <v>0</v>
      </c>
      <c r="BH25" s="20" t="n">
        <v>0</v>
      </c>
      <c r="BI25" s="20" t="n">
        <v>0</v>
      </c>
      <c r="BJ25" s="20" t="n">
        <v>0</v>
      </c>
      <c r="BK25" s="20" t="n">
        <v>0</v>
      </c>
      <c r="BL25" s="20" t="n">
        <v>0</v>
      </c>
      <c r="BM25" s="20" t="n">
        <v>0</v>
      </c>
      <c r="BN25" s="20" t="n">
        <v>0</v>
      </c>
      <c r="BO25" s="20" t="n">
        <v>0</v>
      </c>
      <c r="BP25" s="20" t="n">
        <v>0</v>
      </c>
      <c r="BQ25" s="20" t="n">
        <v>0</v>
      </c>
      <c r="BR25" s="20" t="n">
        <v>0</v>
      </c>
      <c r="BS25" s="20" t="n">
        <v>0</v>
      </c>
      <c r="BT25" s="20" t="n">
        <v>0.574</v>
      </c>
      <c r="BU25" s="20" t="n">
        <v>0</v>
      </c>
      <c r="BV25" s="20" t="n">
        <v>0</v>
      </c>
      <c r="BW25" s="20" t="n">
        <v>0</v>
      </c>
      <c r="BX25" s="20" t="n">
        <v>0</v>
      </c>
      <c r="BY25" s="20" t="n">
        <v>0</v>
      </c>
      <c r="BZ25" s="20" t="n">
        <v>0</v>
      </c>
      <c r="CA25" s="20" t="n">
        <v>0</v>
      </c>
      <c r="CB25" s="20" t="n">
        <v>0</v>
      </c>
      <c r="CC25" s="20" t="n">
        <v>0</v>
      </c>
      <c r="CD25" s="20" t="n">
        <v>0</v>
      </c>
      <c r="CE25" s="20" t="n">
        <v>0</v>
      </c>
      <c r="CF25" s="20" t="n">
        <v>0</v>
      </c>
      <c r="CG25" s="20" t="n">
        <v>0</v>
      </c>
      <c r="CH25" s="20" t="n">
        <v>0</v>
      </c>
      <c r="CI25" s="20" t="n">
        <v>0</v>
      </c>
      <c r="CJ25" s="20" t="n">
        <v>0</v>
      </c>
      <c r="CK25" s="20" t="n">
        <v>0</v>
      </c>
      <c r="CL25" s="20" t="n">
        <v>0</v>
      </c>
      <c r="CM25" s="20" t="n">
        <v>0</v>
      </c>
      <c r="CN25" s="20" t="n">
        <v>0</v>
      </c>
      <c r="CO25" s="20" t="n">
        <v>0</v>
      </c>
      <c r="CP25" s="20" t="n">
        <v>0</v>
      </c>
      <c r="CQ25" s="20" t="n">
        <v>0</v>
      </c>
      <c r="CR25" s="20" t="n">
        <v>0</v>
      </c>
      <c r="CS25" s="20" t="n">
        <v>0</v>
      </c>
    </row>
    <row r="26">
      <c r="A26" s="10" t="n">
        <v>22</v>
      </c>
      <c r="B26" s="10" t="n">
        <v>10.5</v>
      </c>
      <c r="C26" s="20" t="n">
        <v>0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0</v>
      </c>
      <c r="W26" s="20" t="n">
        <v>0</v>
      </c>
      <c r="X26" s="20" t="n">
        <v>0</v>
      </c>
      <c r="Y26" s="20" t="n">
        <v>0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0" t="n">
        <v>0.291</v>
      </c>
      <c r="AP26" s="20" t="n">
        <v>0</v>
      </c>
      <c r="AQ26" s="20" t="n">
        <v>0</v>
      </c>
      <c r="AR26" s="20" t="n">
        <v>0.026</v>
      </c>
      <c r="AS26" s="20" t="n">
        <v>0</v>
      </c>
      <c r="AT26" s="20" t="n">
        <v>0</v>
      </c>
      <c r="AU26" s="20" t="n">
        <v>0</v>
      </c>
      <c r="AV26" s="20" t="n">
        <v>0</v>
      </c>
      <c r="AW26" s="20" t="n">
        <v>0</v>
      </c>
      <c r="AX26" s="20" t="n">
        <v>0</v>
      </c>
      <c r="AY26" s="20" t="n">
        <v>0</v>
      </c>
      <c r="AZ26" s="20" t="n">
        <v>0</v>
      </c>
      <c r="BA26" s="20" t="n">
        <v>0</v>
      </c>
      <c r="BB26" s="20" t="n">
        <v>0</v>
      </c>
      <c r="BC26" s="20" t="n">
        <v>0</v>
      </c>
      <c r="BD26" s="20" t="n">
        <v>0</v>
      </c>
      <c r="BE26" s="20" t="n">
        <v>0</v>
      </c>
      <c r="BF26" s="20" t="n">
        <v>0</v>
      </c>
      <c r="BG26" s="20" t="n">
        <v>0</v>
      </c>
      <c r="BH26" s="20" t="n">
        <v>0</v>
      </c>
      <c r="BI26" s="20" t="n">
        <v>0</v>
      </c>
      <c r="BJ26" s="20" t="n">
        <v>0</v>
      </c>
      <c r="BK26" s="20" t="n">
        <v>0</v>
      </c>
      <c r="BL26" s="20" t="n">
        <v>0</v>
      </c>
      <c r="BM26" s="20" t="n">
        <v>0</v>
      </c>
      <c r="BN26" s="20" t="n">
        <v>0</v>
      </c>
      <c r="BO26" s="20" t="n">
        <v>0</v>
      </c>
      <c r="BP26" s="20" t="n">
        <v>0</v>
      </c>
      <c r="BQ26" s="20" t="n">
        <v>0</v>
      </c>
      <c r="BR26" s="20" t="n">
        <v>0</v>
      </c>
      <c r="BS26" s="20" t="n">
        <v>0</v>
      </c>
      <c r="BT26" s="20" t="n">
        <v>0.586</v>
      </c>
      <c r="BU26" s="20" t="n">
        <v>0</v>
      </c>
      <c r="BV26" s="20" t="n">
        <v>0</v>
      </c>
      <c r="BW26" s="20" t="n">
        <v>0</v>
      </c>
      <c r="BX26" s="20" t="n">
        <v>0</v>
      </c>
      <c r="BY26" s="20" t="n">
        <v>0</v>
      </c>
      <c r="BZ26" s="20" t="n">
        <v>0</v>
      </c>
      <c r="CA26" s="20" t="n">
        <v>0</v>
      </c>
      <c r="CB26" s="20" t="n">
        <v>0</v>
      </c>
      <c r="CC26" s="20" t="n">
        <v>0</v>
      </c>
      <c r="CD26" s="20" t="n">
        <v>0.386</v>
      </c>
      <c r="CE26" s="20" t="n">
        <v>0</v>
      </c>
      <c r="CF26" s="20" t="n">
        <v>0</v>
      </c>
      <c r="CG26" s="20" t="n">
        <v>0</v>
      </c>
      <c r="CH26" s="20" t="n">
        <v>0</v>
      </c>
      <c r="CI26" s="20" t="n">
        <v>0</v>
      </c>
      <c r="CJ26" s="20" t="n">
        <v>0</v>
      </c>
      <c r="CK26" s="20" t="n">
        <v>0</v>
      </c>
      <c r="CL26" s="20" t="n">
        <v>0</v>
      </c>
      <c r="CM26" s="20" t="n">
        <v>0</v>
      </c>
      <c r="CN26" s="20" t="n">
        <v>0</v>
      </c>
      <c r="CO26" s="20" t="n">
        <v>0</v>
      </c>
      <c r="CP26" s="20" t="n">
        <v>0</v>
      </c>
      <c r="CQ26" s="20" t="n">
        <v>0</v>
      </c>
      <c r="CR26" s="20" t="n">
        <v>0</v>
      </c>
      <c r="CS26" s="20" t="n">
        <v>0</v>
      </c>
    </row>
    <row r="27">
      <c r="A27" s="10" t="n">
        <v>23</v>
      </c>
      <c r="B27" s="10" t="n">
        <v>11</v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 t="n">
        <v>0</v>
      </c>
      <c r="X27" s="20" t="n">
        <v>0</v>
      </c>
      <c r="Y27" s="20" t="n">
        <v>0</v>
      </c>
      <c r="Z27" s="20" t="n">
        <v>0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</v>
      </c>
      <c r="AF27" s="20" t="n">
        <v>0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0" t="n">
        <v>0</v>
      </c>
      <c r="AP27" s="20" t="n">
        <v>0</v>
      </c>
      <c r="AQ27" s="20" t="n">
        <v>0</v>
      </c>
      <c r="AR27" s="20" t="n">
        <v>0</v>
      </c>
      <c r="AS27" s="20" t="n">
        <v>0</v>
      </c>
      <c r="AT27" s="20" t="n">
        <v>0</v>
      </c>
      <c r="AU27" s="20" t="n">
        <v>0</v>
      </c>
      <c r="AV27" s="20" t="n">
        <v>0</v>
      </c>
      <c r="AW27" s="20" t="n">
        <v>0</v>
      </c>
      <c r="AX27" s="20" t="n">
        <v>0</v>
      </c>
      <c r="AY27" s="20" t="n">
        <v>0</v>
      </c>
      <c r="AZ27" s="20" t="n">
        <v>0</v>
      </c>
      <c r="BA27" s="20" t="n">
        <v>0</v>
      </c>
      <c r="BB27" s="20" t="n">
        <v>0</v>
      </c>
      <c r="BC27" s="20" t="n">
        <v>0</v>
      </c>
      <c r="BD27" s="20" t="n">
        <v>0</v>
      </c>
      <c r="BE27" s="20" t="n">
        <v>0</v>
      </c>
      <c r="BF27" s="20" t="n">
        <v>0</v>
      </c>
      <c r="BG27" s="20" t="n">
        <v>0</v>
      </c>
      <c r="BH27" s="20" t="n">
        <v>0</v>
      </c>
      <c r="BI27" s="20" t="n">
        <v>0</v>
      </c>
      <c r="BJ27" s="20" t="n">
        <v>0</v>
      </c>
      <c r="BK27" s="20" t="n">
        <v>0</v>
      </c>
      <c r="BL27" s="20" t="n">
        <v>0</v>
      </c>
      <c r="BM27" s="20" t="n">
        <v>0</v>
      </c>
      <c r="BN27" s="20" t="n">
        <v>0</v>
      </c>
      <c r="BO27" s="20" t="n">
        <v>0</v>
      </c>
      <c r="BP27" s="20" t="n">
        <v>0</v>
      </c>
      <c r="BQ27" s="20" t="n">
        <v>0</v>
      </c>
      <c r="BR27" s="20" t="n">
        <v>0</v>
      </c>
      <c r="BS27" s="20" t="n">
        <v>0</v>
      </c>
      <c r="BT27" s="20" t="n">
        <v>0</v>
      </c>
      <c r="BU27" s="20" t="n">
        <v>0</v>
      </c>
      <c r="BV27" s="20" t="n">
        <v>0</v>
      </c>
      <c r="BW27" s="20" t="n">
        <v>0</v>
      </c>
      <c r="BX27" s="20" t="n">
        <v>0.058</v>
      </c>
      <c r="BY27" s="20" t="n">
        <v>0</v>
      </c>
      <c r="BZ27" s="20" t="n">
        <v>0</v>
      </c>
      <c r="CA27" s="20" t="n">
        <v>0</v>
      </c>
      <c r="CB27" s="20" t="n">
        <v>0</v>
      </c>
      <c r="CC27" s="20" t="n">
        <v>0</v>
      </c>
      <c r="CD27" s="20" t="n">
        <v>0</v>
      </c>
      <c r="CE27" s="20" t="n">
        <v>0</v>
      </c>
      <c r="CF27" s="20" t="n">
        <v>0</v>
      </c>
      <c r="CG27" s="20" t="n">
        <v>0</v>
      </c>
      <c r="CH27" s="20" t="n">
        <v>0</v>
      </c>
      <c r="CI27" s="20" t="n">
        <v>0</v>
      </c>
      <c r="CJ27" s="20" t="n">
        <v>0</v>
      </c>
      <c r="CK27" s="20" t="n">
        <v>0</v>
      </c>
      <c r="CL27" s="20" t="n">
        <v>0</v>
      </c>
      <c r="CM27" s="20" t="n">
        <v>0</v>
      </c>
      <c r="CN27" s="20" t="n">
        <v>0</v>
      </c>
      <c r="CO27" s="20" t="n">
        <v>0</v>
      </c>
      <c r="CP27" s="20" t="n">
        <v>0</v>
      </c>
      <c r="CQ27" s="20" t="n">
        <v>0</v>
      </c>
      <c r="CR27" s="20" t="n">
        <v>0</v>
      </c>
      <c r="CS27" s="20" t="n">
        <v>0</v>
      </c>
    </row>
    <row r="28">
      <c r="A28" s="10" t="n">
        <v>24</v>
      </c>
      <c r="B28" s="10" t="n">
        <v>11.5</v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2.088</v>
      </c>
      <c r="AR28" s="20" t="n">
        <v>0.115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  <c r="AZ28" s="20" t="n">
        <v>0</v>
      </c>
      <c r="BA28" s="20" t="n">
        <v>0</v>
      </c>
      <c r="BB28" s="20" t="n">
        <v>0</v>
      </c>
      <c r="BC28" s="20" t="n">
        <v>0</v>
      </c>
      <c r="BD28" s="20" t="n">
        <v>0</v>
      </c>
      <c r="BE28" s="20" t="n">
        <v>0</v>
      </c>
      <c r="BF28" s="20" t="n">
        <v>0</v>
      </c>
      <c r="BG28" s="20" t="n">
        <v>0</v>
      </c>
      <c r="BH28" s="20" t="n">
        <v>0</v>
      </c>
      <c r="BI28" s="20" t="n">
        <v>0</v>
      </c>
      <c r="BJ28" s="20" t="n">
        <v>0</v>
      </c>
      <c r="BK28" s="20" t="n">
        <v>0</v>
      </c>
      <c r="BL28" s="20" t="n">
        <v>0</v>
      </c>
      <c r="BM28" s="20" t="n">
        <v>0</v>
      </c>
      <c r="BN28" s="20" t="n">
        <v>0.207</v>
      </c>
      <c r="BO28" s="20" t="n">
        <v>0</v>
      </c>
      <c r="BP28" s="20" t="n">
        <v>0</v>
      </c>
      <c r="BQ28" s="20" t="n">
        <v>0</v>
      </c>
      <c r="BR28" s="20" t="n">
        <v>0</v>
      </c>
      <c r="BS28" s="20" t="n">
        <v>0</v>
      </c>
      <c r="BT28" s="20" t="n">
        <v>0</v>
      </c>
      <c r="BU28" s="20" t="n">
        <v>0</v>
      </c>
      <c r="BV28" s="20" t="n">
        <v>0</v>
      </c>
      <c r="BW28" s="20" t="n">
        <v>0</v>
      </c>
      <c r="BX28" s="20" t="n">
        <v>0</v>
      </c>
      <c r="BY28" s="20" t="n">
        <v>0</v>
      </c>
      <c r="BZ28" s="20" t="n">
        <v>0</v>
      </c>
      <c r="CA28" s="20" t="n">
        <v>0</v>
      </c>
      <c r="CB28" s="20" t="n">
        <v>0</v>
      </c>
      <c r="CC28" s="20" t="n">
        <v>0</v>
      </c>
      <c r="CD28" s="20" t="n">
        <v>0</v>
      </c>
      <c r="CE28" s="20" t="n">
        <v>0</v>
      </c>
      <c r="CF28" s="20" t="n">
        <v>0</v>
      </c>
      <c r="CG28" s="20" t="n">
        <v>0</v>
      </c>
      <c r="CH28" s="20" t="n">
        <v>0</v>
      </c>
      <c r="CI28" s="20" t="n">
        <v>0</v>
      </c>
      <c r="CJ28" s="20" t="n">
        <v>0</v>
      </c>
      <c r="CK28" s="20" t="n">
        <v>0</v>
      </c>
      <c r="CL28" s="20" t="n">
        <v>0</v>
      </c>
      <c r="CM28" s="20" t="n">
        <v>0</v>
      </c>
      <c r="CN28" s="20" t="n">
        <v>0</v>
      </c>
      <c r="CO28" s="20" t="n">
        <v>0</v>
      </c>
      <c r="CP28" s="20" t="n">
        <v>0</v>
      </c>
      <c r="CQ28" s="20" t="n">
        <v>0</v>
      </c>
      <c r="CR28" s="20" t="n">
        <v>0</v>
      </c>
      <c r="CS28" s="20" t="n">
        <v>0</v>
      </c>
    </row>
    <row r="29">
      <c r="A29" s="10" t="n">
        <v>25</v>
      </c>
      <c r="B29" s="10" t="n">
        <v>12</v>
      </c>
      <c r="C29" s="20" t="n">
        <v>0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0.39</v>
      </c>
      <c r="AL29" s="20" t="n">
        <v>0</v>
      </c>
      <c r="AM29" s="20" t="n">
        <v>0</v>
      </c>
      <c r="AN29" s="20" t="n">
        <v>0</v>
      </c>
      <c r="AO29" s="20" t="n">
        <v>0.483</v>
      </c>
      <c r="AP29" s="20" t="n">
        <v>0</v>
      </c>
      <c r="AQ29" s="20" t="n">
        <v>1.072</v>
      </c>
      <c r="AR29" s="20" t="n">
        <v>0.145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  <c r="AZ29" s="20" t="n">
        <v>0</v>
      </c>
      <c r="BA29" s="20" t="n">
        <v>0</v>
      </c>
      <c r="BB29" s="20" t="n">
        <v>0</v>
      </c>
      <c r="BC29" s="20" t="n">
        <v>0</v>
      </c>
      <c r="BD29" s="20" t="n">
        <v>0</v>
      </c>
      <c r="BE29" s="20" t="n">
        <v>0</v>
      </c>
      <c r="BF29" s="20" t="n">
        <v>0</v>
      </c>
      <c r="BG29" s="20" t="n">
        <v>0</v>
      </c>
      <c r="BH29" s="20" t="n">
        <v>0</v>
      </c>
      <c r="BI29" s="20" t="n">
        <v>0</v>
      </c>
      <c r="BJ29" s="20" t="n">
        <v>0</v>
      </c>
      <c r="BK29" s="20" t="n">
        <v>0</v>
      </c>
      <c r="BL29" s="20" t="n">
        <v>0</v>
      </c>
      <c r="BM29" s="20" t="n">
        <v>0</v>
      </c>
      <c r="BN29" s="20" t="n">
        <v>0</v>
      </c>
      <c r="BO29" s="20" t="n">
        <v>0</v>
      </c>
      <c r="BP29" s="20" t="n">
        <v>0</v>
      </c>
      <c r="BQ29" s="20" t="n">
        <v>0</v>
      </c>
      <c r="BR29" s="20" t="n">
        <v>0</v>
      </c>
      <c r="BS29" s="20" t="n">
        <v>0</v>
      </c>
      <c r="BT29" s="20" t="n">
        <v>0</v>
      </c>
      <c r="BU29" s="20" t="n">
        <v>0</v>
      </c>
      <c r="BV29" s="20" t="n">
        <v>0</v>
      </c>
      <c r="BW29" s="20" t="n">
        <v>0</v>
      </c>
      <c r="BX29" s="20" t="n">
        <v>0</v>
      </c>
      <c r="BY29" s="20" t="n">
        <v>0</v>
      </c>
      <c r="BZ29" s="20" t="n">
        <v>0</v>
      </c>
      <c r="CA29" s="20" t="n">
        <v>0</v>
      </c>
      <c r="CB29" s="20" t="n">
        <v>0</v>
      </c>
      <c r="CC29" s="20" t="n">
        <v>0</v>
      </c>
      <c r="CD29" s="20" t="n">
        <v>0.448</v>
      </c>
      <c r="CE29" s="20" t="n">
        <v>0</v>
      </c>
      <c r="CF29" s="20" t="n">
        <v>0</v>
      </c>
      <c r="CG29" s="20" t="n">
        <v>0</v>
      </c>
      <c r="CH29" s="20" t="n">
        <v>0</v>
      </c>
      <c r="CI29" s="20" t="n">
        <v>0</v>
      </c>
      <c r="CJ29" s="20" t="n">
        <v>0</v>
      </c>
      <c r="CK29" s="20" t="n">
        <v>0</v>
      </c>
      <c r="CL29" s="20" t="n">
        <v>0</v>
      </c>
      <c r="CM29" s="20" t="n">
        <v>0</v>
      </c>
      <c r="CN29" s="20" t="n">
        <v>0</v>
      </c>
      <c r="CO29" s="20" t="n">
        <v>0</v>
      </c>
      <c r="CP29" s="20" t="n">
        <v>0.572</v>
      </c>
      <c r="CQ29" s="20" t="n">
        <v>0</v>
      </c>
      <c r="CR29" s="20" t="n">
        <v>0</v>
      </c>
      <c r="CS29" s="20" t="n">
        <v>0</v>
      </c>
    </row>
    <row r="30">
      <c r="A30" s="10" t="n">
        <v>26</v>
      </c>
      <c r="B30" s="10" t="n">
        <v>12.5</v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0.274</v>
      </c>
      <c r="AP30" s="20" t="n">
        <v>0</v>
      </c>
      <c r="AQ30" s="20" t="n">
        <v>0</v>
      </c>
      <c r="AR30" s="20" t="n">
        <v>0.07099999999999999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  <c r="AZ30" s="20" t="n">
        <v>0</v>
      </c>
      <c r="BA30" s="20" t="n">
        <v>0</v>
      </c>
      <c r="BB30" s="20" t="n">
        <v>0</v>
      </c>
      <c r="BC30" s="20" t="n">
        <v>0</v>
      </c>
      <c r="BD30" s="20" t="n">
        <v>0</v>
      </c>
      <c r="BE30" s="20" t="n">
        <v>0</v>
      </c>
      <c r="BF30" s="20" t="n">
        <v>0</v>
      </c>
      <c r="BG30" s="20" t="n">
        <v>0</v>
      </c>
      <c r="BH30" s="20" t="n">
        <v>0</v>
      </c>
      <c r="BI30" s="20" t="n">
        <v>0</v>
      </c>
      <c r="BJ30" s="20" t="n">
        <v>0</v>
      </c>
      <c r="BK30" s="20" t="n">
        <v>0</v>
      </c>
      <c r="BL30" s="20" t="n">
        <v>0</v>
      </c>
      <c r="BM30" s="20" t="n">
        <v>0</v>
      </c>
      <c r="BN30" s="20" t="n">
        <v>0</v>
      </c>
      <c r="BO30" s="20" t="n">
        <v>0</v>
      </c>
      <c r="BP30" s="20" t="n">
        <v>0</v>
      </c>
      <c r="BQ30" s="20" t="n">
        <v>0</v>
      </c>
      <c r="BR30" s="20" t="n">
        <v>0</v>
      </c>
      <c r="BS30" s="20" t="n">
        <v>0</v>
      </c>
      <c r="BT30" s="20" t="n">
        <v>0</v>
      </c>
      <c r="BU30" s="20" t="n">
        <v>0</v>
      </c>
      <c r="BV30" s="20" t="n">
        <v>0</v>
      </c>
      <c r="BW30" s="20" t="n">
        <v>0</v>
      </c>
      <c r="BX30" s="20" t="n">
        <v>0</v>
      </c>
      <c r="BY30" s="20" t="n">
        <v>0</v>
      </c>
      <c r="BZ30" s="20" t="n">
        <v>0</v>
      </c>
      <c r="CA30" s="20" t="n">
        <v>0</v>
      </c>
      <c r="CB30" s="20" t="n">
        <v>0</v>
      </c>
      <c r="CC30" s="20" t="n">
        <v>0</v>
      </c>
      <c r="CD30" s="20" t="n">
        <v>0</v>
      </c>
      <c r="CE30" s="20" t="n">
        <v>0</v>
      </c>
      <c r="CF30" s="20" t="n">
        <v>0</v>
      </c>
      <c r="CG30" s="20" t="n">
        <v>0</v>
      </c>
      <c r="CH30" s="20" t="n">
        <v>0</v>
      </c>
      <c r="CI30" s="20" t="n">
        <v>0</v>
      </c>
      <c r="CJ30" s="20" t="n">
        <v>0</v>
      </c>
      <c r="CK30" s="20" t="n">
        <v>0</v>
      </c>
      <c r="CL30" s="20" t="n">
        <v>0</v>
      </c>
      <c r="CM30" s="20" t="n">
        <v>0</v>
      </c>
      <c r="CN30" s="20" t="n">
        <v>0</v>
      </c>
      <c r="CO30" s="20" t="n">
        <v>0</v>
      </c>
      <c r="CP30" s="20" t="n">
        <v>0.841</v>
      </c>
      <c r="CQ30" s="20" t="n">
        <v>0.304</v>
      </c>
      <c r="CR30" s="20" t="n">
        <v>0</v>
      </c>
      <c r="CS30" s="20" t="n">
        <v>0</v>
      </c>
    </row>
    <row r="31">
      <c r="A31" s="10" t="n">
        <v>27</v>
      </c>
      <c r="B31" s="10" t="n">
        <v>13</v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  <c r="AZ31" s="20" t="n">
        <v>0</v>
      </c>
      <c r="BA31" s="20" t="n">
        <v>0</v>
      </c>
      <c r="BB31" s="20" t="n">
        <v>0</v>
      </c>
      <c r="BC31" s="20" t="n">
        <v>0</v>
      </c>
      <c r="BD31" s="20" t="n">
        <v>0</v>
      </c>
      <c r="BE31" s="20" t="n">
        <v>0</v>
      </c>
      <c r="BF31" s="20" t="n">
        <v>0</v>
      </c>
      <c r="BG31" s="20" t="n">
        <v>0</v>
      </c>
      <c r="BH31" s="20" t="n">
        <v>0</v>
      </c>
      <c r="BI31" s="20" t="n">
        <v>0</v>
      </c>
      <c r="BJ31" s="20" t="n">
        <v>0</v>
      </c>
      <c r="BK31" s="20" t="n">
        <v>0</v>
      </c>
      <c r="BL31" s="20" t="n">
        <v>0</v>
      </c>
      <c r="BM31" s="20" t="n">
        <v>0</v>
      </c>
      <c r="BN31" s="20" t="n">
        <v>0</v>
      </c>
      <c r="BO31" s="20" t="n">
        <v>0</v>
      </c>
      <c r="BP31" s="20" t="n">
        <v>0</v>
      </c>
      <c r="BQ31" s="20" t="n">
        <v>0</v>
      </c>
      <c r="BR31" s="20" t="n">
        <v>0</v>
      </c>
      <c r="BS31" s="20" t="n">
        <v>0</v>
      </c>
      <c r="BT31" s="20" t="n">
        <v>0</v>
      </c>
      <c r="BU31" s="20" t="n">
        <v>0</v>
      </c>
      <c r="BV31" s="20" t="n">
        <v>0</v>
      </c>
      <c r="BW31" s="20" t="n">
        <v>0</v>
      </c>
      <c r="BX31" s="20" t="n">
        <v>0</v>
      </c>
      <c r="BY31" s="20" t="n">
        <v>0</v>
      </c>
      <c r="BZ31" s="20" t="n">
        <v>0</v>
      </c>
      <c r="CA31" s="20" t="n">
        <v>0</v>
      </c>
      <c r="CB31" s="20" t="n">
        <v>0</v>
      </c>
      <c r="CC31" s="20" t="n">
        <v>0</v>
      </c>
      <c r="CD31" s="20" t="n">
        <v>0</v>
      </c>
      <c r="CE31" s="20" t="n">
        <v>0</v>
      </c>
      <c r="CF31" s="20" t="n">
        <v>0</v>
      </c>
      <c r="CG31" s="20" t="n">
        <v>0</v>
      </c>
      <c r="CH31" s="20" t="n">
        <v>0</v>
      </c>
      <c r="CI31" s="20" t="n">
        <v>0</v>
      </c>
      <c r="CJ31" s="20" t="n">
        <v>0</v>
      </c>
      <c r="CK31" s="20" t="n">
        <v>0</v>
      </c>
      <c r="CL31" s="20" t="n">
        <v>0</v>
      </c>
      <c r="CM31" s="20" t="n">
        <v>0</v>
      </c>
      <c r="CN31" s="20" t="n">
        <v>0</v>
      </c>
      <c r="CO31" s="20" t="n">
        <v>0</v>
      </c>
      <c r="CP31" s="20" t="n">
        <v>0</v>
      </c>
      <c r="CQ31" s="20" t="n">
        <v>0</v>
      </c>
      <c r="CR31" s="20" t="n">
        <v>0</v>
      </c>
      <c r="CS31" s="20" t="n">
        <v>0.254</v>
      </c>
    </row>
    <row r="32">
      <c r="A32" s="10" t="n">
        <v>28</v>
      </c>
      <c r="B32" s="10" t="n">
        <v>13.5</v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0.386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  <c r="AZ32" s="20" t="n">
        <v>0</v>
      </c>
      <c r="BA32" s="20" t="n">
        <v>0</v>
      </c>
      <c r="BB32" s="20" t="n">
        <v>0</v>
      </c>
      <c r="BC32" s="20" t="n">
        <v>0</v>
      </c>
      <c r="BD32" s="20" t="n">
        <v>0</v>
      </c>
      <c r="BE32" s="20" t="n">
        <v>0</v>
      </c>
      <c r="BF32" s="20" t="n">
        <v>0</v>
      </c>
      <c r="BG32" s="20" t="n">
        <v>0</v>
      </c>
      <c r="BH32" s="20" t="n">
        <v>0</v>
      </c>
      <c r="BI32" s="20" t="n">
        <v>0</v>
      </c>
      <c r="BJ32" s="20" t="n">
        <v>0</v>
      </c>
      <c r="BK32" s="20" t="n">
        <v>0</v>
      </c>
      <c r="BL32" s="20" t="n">
        <v>0</v>
      </c>
      <c r="BM32" s="20" t="n">
        <v>0</v>
      </c>
      <c r="BN32" s="20" t="n">
        <v>0</v>
      </c>
      <c r="BO32" s="20" t="n">
        <v>0</v>
      </c>
      <c r="BP32" s="20" t="n">
        <v>0</v>
      </c>
      <c r="BQ32" s="20" t="n">
        <v>0</v>
      </c>
      <c r="BR32" s="20" t="n">
        <v>0</v>
      </c>
      <c r="BS32" s="20" t="n">
        <v>0</v>
      </c>
      <c r="BT32" s="20" t="n">
        <v>0</v>
      </c>
      <c r="BU32" s="20" t="n">
        <v>0</v>
      </c>
      <c r="BV32" s="20" t="n">
        <v>0</v>
      </c>
      <c r="BW32" s="20" t="n">
        <v>0</v>
      </c>
      <c r="BX32" s="20" t="n">
        <v>0</v>
      </c>
      <c r="BY32" s="20" t="n">
        <v>0</v>
      </c>
      <c r="BZ32" s="20" t="n">
        <v>0</v>
      </c>
      <c r="CA32" s="20" t="n">
        <v>0</v>
      </c>
      <c r="CB32" s="20" t="n">
        <v>0</v>
      </c>
      <c r="CC32" s="20" t="n">
        <v>0</v>
      </c>
      <c r="CD32" s="20" t="n">
        <v>0</v>
      </c>
      <c r="CE32" s="20" t="n">
        <v>0</v>
      </c>
      <c r="CF32" s="20" t="n">
        <v>0</v>
      </c>
      <c r="CG32" s="20" t="n">
        <v>0</v>
      </c>
      <c r="CH32" s="20" t="n">
        <v>0</v>
      </c>
      <c r="CI32" s="20" t="n">
        <v>0</v>
      </c>
      <c r="CJ32" s="20" t="n">
        <v>0</v>
      </c>
      <c r="CK32" s="20" t="n">
        <v>0</v>
      </c>
      <c r="CL32" s="20" t="n">
        <v>0</v>
      </c>
      <c r="CM32" s="20" t="n">
        <v>0</v>
      </c>
      <c r="CN32" s="20" t="n">
        <v>0</v>
      </c>
      <c r="CO32" s="20" t="n">
        <v>0</v>
      </c>
      <c r="CP32" s="20" t="n">
        <v>0</v>
      </c>
      <c r="CQ32" s="20" t="n">
        <v>0</v>
      </c>
      <c r="CR32" s="20" t="n">
        <v>0</v>
      </c>
      <c r="CS32" s="20" t="n">
        <v>0</v>
      </c>
    </row>
    <row r="33">
      <c r="A33" s="10" t="n">
        <v>29</v>
      </c>
      <c r="B33" s="10" t="n">
        <v>14</v>
      </c>
      <c r="C33" s="20" t="n">
        <v>0.145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</v>
      </c>
      <c r="R33" s="20" t="n">
        <v>0</v>
      </c>
      <c r="S33" s="20" t="n">
        <v>0</v>
      </c>
      <c r="T33" s="20" t="n">
        <v>0</v>
      </c>
      <c r="U33" s="20" t="n">
        <v>0</v>
      </c>
      <c r="V33" s="20" t="n">
        <v>0</v>
      </c>
      <c r="W33" s="20" t="n">
        <v>0</v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0" t="n">
        <v>0</v>
      </c>
      <c r="AQ33" s="20" t="n">
        <v>0</v>
      </c>
      <c r="AR33" s="20" t="n">
        <v>0</v>
      </c>
      <c r="AS33" s="20" t="n">
        <v>0</v>
      </c>
      <c r="AT33" s="20" t="n">
        <v>0</v>
      </c>
      <c r="AU33" s="20" t="n">
        <v>0</v>
      </c>
      <c r="AV33" s="20" t="n">
        <v>0</v>
      </c>
      <c r="AW33" s="20" t="n">
        <v>0</v>
      </c>
      <c r="AX33" s="20" t="n">
        <v>0</v>
      </c>
      <c r="AY33" s="20" t="n">
        <v>0</v>
      </c>
      <c r="AZ33" s="20" t="n">
        <v>0</v>
      </c>
      <c r="BA33" s="20" t="n">
        <v>0</v>
      </c>
      <c r="BB33" s="20" t="n">
        <v>0</v>
      </c>
      <c r="BC33" s="20" t="n">
        <v>0</v>
      </c>
      <c r="BD33" s="20" t="n">
        <v>0</v>
      </c>
      <c r="BE33" s="20" t="n">
        <v>0</v>
      </c>
      <c r="BF33" s="20" t="n">
        <v>0</v>
      </c>
      <c r="BG33" s="20" t="n">
        <v>0</v>
      </c>
      <c r="BH33" s="20" t="n">
        <v>0</v>
      </c>
      <c r="BI33" s="20" t="n">
        <v>0</v>
      </c>
      <c r="BJ33" s="20" t="n">
        <v>0</v>
      </c>
      <c r="BK33" s="20" t="n">
        <v>0</v>
      </c>
      <c r="BL33" s="20" t="n">
        <v>0</v>
      </c>
      <c r="BM33" s="20" t="n">
        <v>0</v>
      </c>
      <c r="BN33" s="20" t="n">
        <v>0</v>
      </c>
      <c r="BO33" s="20" t="n">
        <v>0</v>
      </c>
      <c r="BP33" s="20" t="n">
        <v>0</v>
      </c>
      <c r="BQ33" s="20" t="n">
        <v>0</v>
      </c>
      <c r="BR33" s="20" t="n">
        <v>0</v>
      </c>
      <c r="BS33" s="20" t="n">
        <v>0</v>
      </c>
      <c r="BT33" s="20" t="n">
        <v>0</v>
      </c>
      <c r="BU33" s="20" t="n">
        <v>0</v>
      </c>
      <c r="BV33" s="20" t="n">
        <v>0</v>
      </c>
      <c r="BW33" s="20" t="n">
        <v>0</v>
      </c>
      <c r="BX33" s="20" t="n">
        <v>0</v>
      </c>
      <c r="BY33" s="20" t="n">
        <v>0</v>
      </c>
      <c r="BZ33" s="20" t="n">
        <v>0</v>
      </c>
      <c r="CA33" s="20" t="n">
        <v>0</v>
      </c>
      <c r="CB33" s="20" t="n">
        <v>0</v>
      </c>
      <c r="CC33" s="20" t="n">
        <v>0</v>
      </c>
      <c r="CD33" s="20" t="n">
        <v>0</v>
      </c>
      <c r="CE33" s="20" t="n">
        <v>0</v>
      </c>
      <c r="CF33" s="20" t="n">
        <v>0</v>
      </c>
      <c r="CG33" s="20" t="n">
        <v>0</v>
      </c>
      <c r="CH33" s="20" t="n">
        <v>0</v>
      </c>
      <c r="CI33" s="20" t="n">
        <v>0</v>
      </c>
      <c r="CJ33" s="20" t="n">
        <v>0</v>
      </c>
      <c r="CK33" s="20" t="n">
        <v>0</v>
      </c>
      <c r="CL33" s="20" t="n">
        <v>0</v>
      </c>
      <c r="CM33" s="20" t="n">
        <v>0</v>
      </c>
      <c r="CN33" s="20" t="n">
        <v>0</v>
      </c>
      <c r="CO33" s="20" t="n">
        <v>0</v>
      </c>
      <c r="CP33" s="20" t="n">
        <v>0</v>
      </c>
      <c r="CQ33" s="20" t="n">
        <v>0</v>
      </c>
      <c r="CR33" s="20" t="n">
        <v>0</v>
      </c>
      <c r="CS33" s="20" t="n">
        <v>0.986</v>
      </c>
    </row>
    <row r="34">
      <c r="A34" s="10" t="n">
        <v>30</v>
      </c>
      <c r="B34" s="10" t="n">
        <v>14.5</v>
      </c>
      <c r="C34" s="20" t="n">
        <v>0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20" t="n">
        <v>0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0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0" t="n">
        <v>0</v>
      </c>
      <c r="AP34" s="20" t="n">
        <v>0</v>
      </c>
      <c r="AQ34" s="20" t="n">
        <v>0</v>
      </c>
      <c r="AR34" s="20" t="n">
        <v>0</v>
      </c>
      <c r="AS34" s="20" t="n">
        <v>0</v>
      </c>
      <c r="AT34" s="20" t="n">
        <v>0</v>
      </c>
      <c r="AU34" s="20" t="n">
        <v>0</v>
      </c>
      <c r="AV34" s="20" t="n">
        <v>0</v>
      </c>
      <c r="AW34" s="20" t="n">
        <v>0</v>
      </c>
      <c r="AX34" s="20" t="n">
        <v>0</v>
      </c>
      <c r="AY34" s="20" t="n">
        <v>0</v>
      </c>
      <c r="AZ34" s="20" t="n">
        <v>0</v>
      </c>
      <c r="BA34" s="20" t="n">
        <v>0</v>
      </c>
      <c r="BB34" s="20" t="n">
        <v>0</v>
      </c>
      <c r="BC34" s="20" t="n">
        <v>0</v>
      </c>
      <c r="BD34" s="20" t="n">
        <v>0</v>
      </c>
      <c r="BE34" s="20" t="n">
        <v>0</v>
      </c>
      <c r="BF34" s="20" t="n">
        <v>0</v>
      </c>
      <c r="BG34" s="20" t="n">
        <v>0</v>
      </c>
      <c r="BH34" s="20" t="n">
        <v>0</v>
      </c>
      <c r="BI34" s="20" t="n">
        <v>0</v>
      </c>
      <c r="BJ34" s="20" t="n">
        <v>0</v>
      </c>
      <c r="BK34" s="20" t="n">
        <v>0</v>
      </c>
      <c r="BL34" s="20" t="n">
        <v>0</v>
      </c>
      <c r="BM34" s="20" t="n">
        <v>0</v>
      </c>
      <c r="BN34" s="20" t="n">
        <v>0.453</v>
      </c>
      <c r="BO34" s="20" t="n">
        <v>0</v>
      </c>
      <c r="BP34" s="20" t="n">
        <v>0</v>
      </c>
      <c r="BQ34" s="20" t="n">
        <v>0</v>
      </c>
      <c r="BR34" s="20" t="n">
        <v>0</v>
      </c>
      <c r="BS34" s="20" t="n">
        <v>0</v>
      </c>
      <c r="BT34" s="20" t="n">
        <v>0</v>
      </c>
      <c r="BU34" s="20" t="n">
        <v>0</v>
      </c>
      <c r="BV34" s="20" t="n">
        <v>0</v>
      </c>
      <c r="BW34" s="20" t="n">
        <v>0</v>
      </c>
      <c r="BX34" s="20" t="n">
        <v>0</v>
      </c>
      <c r="BY34" s="20" t="n">
        <v>0</v>
      </c>
      <c r="BZ34" s="20" t="n">
        <v>0</v>
      </c>
      <c r="CA34" s="20" t="n">
        <v>0</v>
      </c>
      <c r="CB34" s="20" t="n">
        <v>0</v>
      </c>
      <c r="CC34" s="20" t="n">
        <v>0</v>
      </c>
      <c r="CD34" s="20" t="n">
        <v>0</v>
      </c>
      <c r="CE34" s="20" t="n">
        <v>0</v>
      </c>
      <c r="CF34" s="20" t="n">
        <v>0</v>
      </c>
      <c r="CG34" s="20" t="n">
        <v>0</v>
      </c>
      <c r="CH34" s="20" t="n">
        <v>0</v>
      </c>
      <c r="CI34" s="20" t="n">
        <v>0</v>
      </c>
      <c r="CJ34" s="20" t="n">
        <v>0</v>
      </c>
      <c r="CK34" s="20" t="n">
        <v>0</v>
      </c>
      <c r="CL34" s="20" t="n">
        <v>0</v>
      </c>
      <c r="CM34" s="20" t="n">
        <v>0</v>
      </c>
      <c r="CN34" s="20" t="n">
        <v>0</v>
      </c>
      <c r="CO34" s="20" t="n">
        <v>0</v>
      </c>
      <c r="CP34" s="20" t="n">
        <v>0</v>
      </c>
      <c r="CQ34" s="20" t="n">
        <v>0</v>
      </c>
      <c r="CR34" s="20" t="n">
        <v>0</v>
      </c>
      <c r="CS34" s="20" t="n">
        <v>1.156</v>
      </c>
    </row>
    <row r="35">
      <c r="A35" s="10" t="n">
        <v>31</v>
      </c>
      <c r="B35" s="10" t="n">
        <v>15</v>
      </c>
      <c r="C35" s="20" t="n">
        <v>0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0</v>
      </c>
      <c r="AB35" s="20" t="n">
        <v>0.344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0</v>
      </c>
      <c r="AH35" s="20" t="n">
        <v>0</v>
      </c>
      <c r="AI35" s="20" t="n">
        <v>0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0" t="n">
        <v>0</v>
      </c>
      <c r="AP35" s="20" t="n">
        <v>0</v>
      </c>
      <c r="AQ35" s="20" t="n">
        <v>0</v>
      </c>
      <c r="AR35" s="20" t="n">
        <v>0</v>
      </c>
      <c r="AS35" s="20" t="n">
        <v>0</v>
      </c>
      <c r="AT35" s="20" t="n">
        <v>0</v>
      </c>
      <c r="AU35" s="20" t="n">
        <v>0</v>
      </c>
      <c r="AV35" s="20" t="n">
        <v>0</v>
      </c>
      <c r="AW35" s="20" t="n">
        <v>0</v>
      </c>
      <c r="AX35" s="20" t="n">
        <v>0</v>
      </c>
      <c r="AY35" s="20" t="n">
        <v>0</v>
      </c>
      <c r="AZ35" s="20" t="n">
        <v>0</v>
      </c>
      <c r="BA35" s="20" t="n">
        <v>0</v>
      </c>
      <c r="BB35" s="20" t="n">
        <v>0</v>
      </c>
      <c r="BC35" s="20" t="n">
        <v>0</v>
      </c>
      <c r="BD35" s="20" t="n">
        <v>0</v>
      </c>
      <c r="BE35" s="20" t="n">
        <v>0</v>
      </c>
      <c r="BF35" s="20" t="n">
        <v>0</v>
      </c>
      <c r="BG35" s="20" t="n">
        <v>0</v>
      </c>
      <c r="BH35" s="20" t="n">
        <v>0</v>
      </c>
      <c r="BI35" s="20" t="n">
        <v>0</v>
      </c>
      <c r="BJ35" s="20" t="n">
        <v>0</v>
      </c>
      <c r="BK35" s="20" t="n">
        <v>0</v>
      </c>
      <c r="BL35" s="20" t="n">
        <v>0</v>
      </c>
      <c r="BM35" s="20" t="n">
        <v>0</v>
      </c>
      <c r="BN35" s="20" t="n">
        <v>0.6889999999999999</v>
      </c>
      <c r="BO35" s="20" t="n">
        <v>0</v>
      </c>
      <c r="BP35" s="20" t="n">
        <v>0</v>
      </c>
      <c r="BQ35" s="20" t="n">
        <v>0</v>
      </c>
      <c r="BR35" s="20" t="n">
        <v>0</v>
      </c>
      <c r="BS35" s="20" t="n">
        <v>0</v>
      </c>
      <c r="BT35" s="20" t="n">
        <v>0</v>
      </c>
      <c r="BU35" s="20" t="n">
        <v>0</v>
      </c>
      <c r="BV35" s="20" t="n">
        <v>0</v>
      </c>
      <c r="BW35" s="20" t="n">
        <v>0</v>
      </c>
      <c r="BX35" s="20" t="n">
        <v>0</v>
      </c>
      <c r="BY35" s="20" t="n">
        <v>0</v>
      </c>
      <c r="BZ35" s="20" t="n">
        <v>0</v>
      </c>
      <c r="CA35" s="20" t="n">
        <v>0</v>
      </c>
      <c r="CB35" s="20" t="n">
        <v>0</v>
      </c>
      <c r="CC35" s="20" t="n">
        <v>0</v>
      </c>
      <c r="CD35" s="20" t="n">
        <v>0</v>
      </c>
      <c r="CE35" s="20" t="n">
        <v>0</v>
      </c>
      <c r="CF35" s="20" t="n">
        <v>0</v>
      </c>
      <c r="CG35" s="20" t="n">
        <v>0</v>
      </c>
      <c r="CH35" s="20" t="n">
        <v>0</v>
      </c>
      <c r="CI35" s="20" t="n">
        <v>0</v>
      </c>
      <c r="CJ35" s="20" t="n">
        <v>0</v>
      </c>
      <c r="CK35" s="20" t="n">
        <v>0</v>
      </c>
      <c r="CL35" s="20" t="n">
        <v>0</v>
      </c>
      <c r="CM35" s="20" t="n">
        <v>0</v>
      </c>
      <c r="CN35" s="20" t="n">
        <v>0</v>
      </c>
      <c r="CO35" s="20" t="n">
        <v>0</v>
      </c>
      <c r="CP35" s="20" t="n">
        <v>0</v>
      </c>
      <c r="CQ35" s="20" t="n">
        <v>0</v>
      </c>
      <c r="CR35" s="20" t="n">
        <v>0</v>
      </c>
      <c r="CS35" s="20" t="n">
        <v>0</v>
      </c>
    </row>
    <row r="36">
      <c r="A36" s="10" t="n">
        <v>32</v>
      </c>
      <c r="B36" s="10" t="n">
        <v>15.5</v>
      </c>
      <c r="C36" s="20" t="n">
        <v>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0.663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  <c r="AZ36" s="20" t="n">
        <v>0</v>
      </c>
      <c r="BA36" s="20" t="n">
        <v>0</v>
      </c>
      <c r="BB36" s="20" t="n">
        <v>0</v>
      </c>
      <c r="BC36" s="20" t="n">
        <v>0</v>
      </c>
      <c r="BD36" s="20" t="n">
        <v>0</v>
      </c>
      <c r="BE36" s="20" t="n">
        <v>0</v>
      </c>
      <c r="BF36" s="20" t="n">
        <v>0</v>
      </c>
      <c r="BG36" s="20" t="n">
        <v>0</v>
      </c>
      <c r="BH36" s="20" t="n">
        <v>0</v>
      </c>
      <c r="BI36" s="20" t="n">
        <v>0</v>
      </c>
      <c r="BJ36" s="20" t="n">
        <v>0</v>
      </c>
      <c r="BK36" s="20" t="n">
        <v>0</v>
      </c>
      <c r="BL36" s="20" t="n">
        <v>0</v>
      </c>
      <c r="BM36" s="20" t="n">
        <v>0</v>
      </c>
      <c r="BN36" s="20" t="n">
        <v>0</v>
      </c>
      <c r="BO36" s="20" t="n">
        <v>0</v>
      </c>
      <c r="BP36" s="20" t="n">
        <v>0</v>
      </c>
      <c r="BQ36" s="20" t="n">
        <v>0</v>
      </c>
      <c r="BR36" s="20" t="n">
        <v>0</v>
      </c>
      <c r="BS36" s="20" t="n">
        <v>0</v>
      </c>
      <c r="BT36" s="20" t="n">
        <v>0</v>
      </c>
      <c r="BU36" s="20" t="n">
        <v>0</v>
      </c>
      <c r="BV36" s="20" t="n">
        <v>0</v>
      </c>
      <c r="BW36" s="20" t="n">
        <v>0</v>
      </c>
      <c r="BX36" s="20" t="n">
        <v>0</v>
      </c>
      <c r="BY36" s="20" t="n">
        <v>0</v>
      </c>
      <c r="BZ36" s="20" t="n">
        <v>0</v>
      </c>
      <c r="CA36" s="20" t="n">
        <v>0</v>
      </c>
      <c r="CB36" s="20" t="n">
        <v>0</v>
      </c>
      <c r="CC36" s="20" t="n">
        <v>0</v>
      </c>
      <c r="CD36" s="20" t="n">
        <v>0</v>
      </c>
      <c r="CE36" s="20" t="n">
        <v>0</v>
      </c>
      <c r="CF36" s="20" t="n">
        <v>0</v>
      </c>
      <c r="CG36" s="20" t="n">
        <v>0</v>
      </c>
      <c r="CH36" s="20" t="n">
        <v>0</v>
      </c>
      <c r="CI36" s="20" t="n">
        <v>0</v>
      </c>
      <c r="CJ36" s="20" t="n">
        <v>0</v>
      </c>
      <c r="CK36" s="20" t="n">
        <v>0</v>
      </c>
      <c r="CL36" s="20" t="n">
        <v>0</v>
      </c>
      <c r="CM36" s="20" t="n">
        <v>0</v>
      </c>
      <c r="CN36" s="20" t="n">
        <v>0</v>
      </c>
      <c r="CO36" s="20" t="n">
        <v>0</v>
      </c>
      <c r="CP36" s="20" t="n">
        <v>0</v>
      </c>
      <c r="CQ36" s="20" t="n">
        <v>0</v>
      </c>
      <c r="CR36" s="20" t="n">
        <v>0</v>
      </c>
      <c r="CS36" s="20" t="n">
        <v>0</v>
      </c>
    </row>
    <row r="37">
      <c r="A37" s="10" t="n">
        <v>33</v>
      </c>
      <c r="B37" s="10" t="n">
        <v>16</v>
      </c>
      <c r="C37" s="20" t="n">
        <v>0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0.6919999999999999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  <c r="AN37" s="20" t="n">
        <v>0</v>
      </c>
      <c r="AO37" s="20" t="n">
        <v>0</v>
      </c>
      <c r="AP37" s="20" t="n">
        <v>0</v>
      </c>
      <c r="AQ37" s="20" t="n">
        <v>0</v>
      </c>
      <c r="AR37" s="20" t="n">
        <v>1.524</v>
      </c>
      <c r="AS37" s="20" t="n">
        <v>0</v>
      </c>
      <c r="AT37" s="20" t="n">
        <v>0</v>
      </c>
      <c r="AU37" s="20" t="n">
        <v>0</v>
      </c>
      <c r="AV37" s="20" t="n">
        <v>0</v>
      </c>
      <c r="AW37" s="20" t="n">
        <v>0</v>
      </c>
      <c r="AX37" s="20" t="n">
        <v>0</v>
      </c>
      <c r="AY37" s="20" t="n">
        <v>0</v>
      </c>
      <c r="AZ37" s="20" t="n">
        <v>0</v>
      </c>
      <c r="BA37" s="20" t="n">
        <v>0</v>
      </c>
      <c r="BB37" s="20" t="n">
        <v>0</v>
      </c>
      <c r="BC37" s="20" t="n">
        <v>0</v>
      </c>
      <c r="BD37" s="20" t="n">
        <v>0</v>
      </c>
      <c r="BE37" s="20" t="n">
        <v>0</v>
      </c>
      <c r="BF37" s="20" t="n">
        <v>0</v>
      </c>
      <c r="BG37" s="20" t="n">
        <v>0</v>
      </c>
      <c r="BH37" s="20" t="n">
        <v>0</v>
      </c>
      <c r="BI37" s="20" t="n">
        <v>0</v>
      </c>
      <c r="BJ37" s="20" t="n">
        <v>0</v>
      </c>
      <c r="BK37" s="20" t="n">
        <v>0</v>
      </c>
      <c r="BL37" s="20" t="n">
        <v>0</v>
      </c>
      <c r="BM37" s="20" t="n">
        <v>0</v>
      </c>
      <c r="BN37" s="20" t="n">
        <v>0</v>
      </c>
      <c r="BO37" s="20" t="n">
        <v>0</v>
      </c>
      <c r="BP37" s="20" t="n">
        <v>0</v>
      </c>
      <c r="BQ37" s="20" t="n">
        <v>0</v>
      </c>
      <c r="BR37" s="20" t="n">
        <v>0</v>
      </c>
      <c r="BS37" s="20" t="n">
        <v>0</v>
      </c>
      <c r="BT37" s="20" t="n">
        <v>0</v>
      </c>
      <c r="BU37" s="20" t="n">
        <v>0</v>
      </c>
      <c r="BV37" s="20" t="n">
        <v>0</v>
      </c>
      <c r="BW37" s="20" t="n">
        <v>0</v>
      </c>
      <c r="BX37" s="20" t="n">
        <v>0</v>
      </c>
      <c r="BY37" s="20" t="n">
        <v>0</v>
      </c>
      <c r="BZ37" s="20" t="n">
        <v>0</v>
      </c>
      <c r="CA37" s="20" t="n">
        <v>0</v>
      </c>
      <c r="CB37" s="20" t="n">
        <v>1.033</v>
      </c>
      <c r="CC37" s="20" t="n">
        <v>0</v>
      </c>
      <c r="CD37" s="20" t="n">
        <v>0</v>
      </c>
      <c r="CE37" s="20" t="n">
        <v>0</v>
      </c>
      <c r="CF37" s="20" t="n">
        <v>0</v>
      </c>
      <c r="CG37" s="20" t="n">
        <v>0</v>
      </c>
      <c r="CH37" s="20" t="n">
        <v>0</v>
      </c>
      <c r="CI37" s="20" t="n">
        <v>0</v>
      </c>
      <c r="CJ37" s="20" t="n">
        <v>0</v>
      </c>
      <c r="CK37" s="20" t="n">
        <v>0.644</v>
      </c>
      <c r="CL37" s="20" t="n">
        <v>0</v>
      </c>
      <c r="CM37" s="20" t="n">
        <v>0</v>
      </c>
      <c r="CN37" s="20" t="n">
        <v>0</v>
      </c>
      <c r="CO37" s="20" t="n">
        <v>0</v>
      </c>
      <c r="CP37" s="20" t="n">
        <v>0</v>
      </c>
      <c r="CQ37" s="20" t="n">
        <v>0</v>
      </c>
      <c r="CR37" s="20" t="n">
        <v>0</v>
      </c>
      <c r="CS37" s="20" t="n">
        <v>0</v>
      </c>
    </row>
    <row r="38">
      <c r="A38" s="10" t="n">
        <v>34</v>
      </c>
      <c r="B38" s="10" t="n">
        <v>16.5</v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</v>
      </c>
      <c r="V38" s="20" t="n">
        <v>0</v>
      </c>
      <c r="W38" s="20" t="n">
        <v>0</v>
      </c>
      <c r="X38" s="20" t="n">
        <v>0</v>
      </c>
      <c r="Y38" s="20" t="n">
        <v>0</v>
      </c>
      <c r="Z38" s="20" t="n">
        <v>0</v>
      </c>
      <c r="AA38" s="20" t="n">
        <v>0.191</v>
      </c>
      <c r="AB38" s="20" t="n">
        <v>1.004</v>
      </c>
      <c r="AC38" s="20" t="n">
        <v>0</v>
      </c>
      <c r="AD38" s="20" t="n">
        <v>1.481</v>
      </c>
      <c r="AE38" s="20" t="n">
        <v>0</v>
      </c>
      <c r="AF38" s="20" t="n">
        <v>0</v>
      </c>
      <c r="AG38" s="20" t="n">
        <v>0</v>
      </c>
      <c r="AH38" s="20" t="n">
        <v>0</v>
      </c>
      <c r="AI38" s="20" t="n">
        <v>0</v>
      </c>
      <c r="AJ38" s="20" t="n">
        <v>0</v>
      </c>
      <c r="AK38" s="20" t="n">
        <v>0</v>
      </c>
      <c r="AL38" s="20" t="n">
        <v>0</v>
      </c>
      <c r="AM38" s="20" t="n">
        <v>0</v>
      </c>
      <c r="AN38" s="20" t="n">
        <v>0</v>
      </c>
      <c r="AO38" s="20" t="n">
        <v>0</v>
      </c>
      <c r="AP38" s="20" t="n">
        <v>0</v>
      </c>
      <c r="AQ38" s="20" t="n">
        <v>0</v>
      </c>
      <c r="AR38" s="20" t="n">
        <v>1.953</v>
      </c>
      <c r="AS38" s="20" t="n">
        <v>0</v>
      </c>
      <c r="AT38" s="20" t="n">
        <v>0</v>
      </c>
      <c r="AU38" s="20" t="n">
        <v>0</v>
      </c>
      <c r="AV38" s="20" t="n">
        <v>0</v>
      </c>
      <c r="AW38" s="20" t="n">
        <v>0</v>
      </c>
      <c r="AX38" s="20" t="n">
        <v>0</v>
      </c>
      <c r="AY38" s="20" t="n">
        <v>0</v>
      </c>
      <c r="AZ38" s="20" t="n">
        <v>0</v>
      </c>
      <c r="BA38" s="20" t="n">
        <v>0.16</v>
      </c>
      <c r="BB38" s="20" t="n">
        <v>0</v>
      </c>
      <c r="BC38" s="20" t="n">
        <v>0</v>
      </c>
      <c r="BD38" s="20" t="n">
        <v>0</v>
      </c>
      <c r="BE38" s="20" t="n">
        <v>0</v>
      </c>
      <c r="BF38" s="20" t="n">
        <v>0.364</v>
      </c>
      <c r="BG38" s="20" t="n">
        <v>0</v>
      </c>
      <c r="BH38" s="20" t="n">
        <v>0</v>
      </c>
      <c r="BI38" s="20" t="n">
        <v>0</v>
      </c>
      <c r="BJ38" s="20" t="n">
        <v>0</v>
      </c>
      <c r="BK38" s="20" t="n">
        <v>0</v>
      </c>
      <c r="BL38" s="20" t="n">
        <v>0</v>
      </c>
      <c r="BM38" s="20" t="n">
        <v>0</v>
      </c>
      <c r="BN38" s="20" t="n">
        <v>0</v>
      </c>
      <c r="BO38" s="20" t="n">
        <v>0</v>
      </c>
      <c r="BP38" s="20" t="n">
        <v>0</v>
      </c>
      <c r="BQ38" s="20" t="n">
        <v>0</v>
      </c>
      <c r="BR38" s="20" t="n">
        <v>0</v>
      </c>
      <c r="BS38" s="20" t="n">
        <v>0</v>
      </c>
      <c r="BT38" s="20" t="n">
        <v>0</v>
      </c>
      <c r="BU38" s="20" t="n">
        <v>0</v>
      </c>
      <c r="BV38" s="20" t="n">
        <v>0</v>
      </c>
      <c r="BW38" s="20" t="n">
        <v>0</v>
      </c>
      <c r="BX38" s="20" t="n">
        <v>0</v>
      </c>
      <c r="BY38" s="20" t="n">
        <v>0</v>
      </c>
      <c r="BZ38" s="20" t="n">
        <v>0</v>
      </c>
      <c r="CA38" s="20" t="n">
        <v>0</v>
      </c>
      <c r="CB38" s="20" t="n">
        <v>0</v>
      </c>
      <c r="CC38" s="20" t="n">
        <v>0</v>
      </c>
      <c r="CD38" s="20" t="n">
        <v>0</v>
      </c>
      <c r="CE38" s="20" t="n">
        <v>0</v>
      </c>
      <c r="CF38" s="20" t="n">
        <v>0</v>
      </c>
      <c r="CG38" s="20" t="n">
        <v>0</v>
      </c>
      <c r="CH38" s="20" t="n">
        <v>0</v>
      </c>
      <c r="CI38" s="20" t="n">
        <v>0</v>
      </c>
      <c r="CJ38" s="20" t="n">
        <v>0</v>
      </c>
      <c r="CK38" s="20" t="n">
        <v>0</v>
      </c>
      <c r="CL38" s="20" t="n">
        <v>0</v>
      </c>
      <c r="CM38" s="20" t="n">
        <v>0</v>
      </c>
      <c r="CN38" s="20" t="n">
        <v>0</v>
      </c>
      <c r="CO38" s="20" t="n">
        <v>0</v>
      </c>
      <c r="CP38" s="20" t="n">
        <v>0</v>
      </c>
      <c r="CQ38" s="20" t="n">
        <v>0</v>
      </c>
      <c r="CR38" s="20" t="n">
        <v>0</v>
      </c>
      <c r="CS38" s="20" t="n">
        <v>0</v>
      </c>
    </row>
    <row r="39">
      <c r="A39" s="10" t="n">
        <v>35</v>
      </c>
      <c r="B39" s="10" t="n">
        <v>17</v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>
        <v>0</v>
      </c>
      <c r="S39" s="20" t="n">
        <v>0</v>
      </c>
      <c r="T39" s="20" t="n">
        <v>0</v>
      </c>
      <c r="U39" s="20" t="n">
        <v>0</v>
      </c>
      <c r="V39" s="20" t="n">
        <v>0</v>
      </c>
      <c r="W39" s="20" t="n">
        <v>0</v>
      </c>
      <c r="X39" s="20" t="n">
        <v>0</v>
      </c>
      <c r="Y39" s="20" t="n">
        <v>0</v>
      </c>
      <c r="Z39" s="20" t="n">
        <v>0</v>
      </c>
      <c r="AA39" s="20" t="n">
        <v>0.44</v>
      </c>
      <c r="AB39" s="20" t="n">
        <v>0</v>
      </c>
      <c r="AC39" s="20" t="n">
        <v>0</v>
      </c>
      <c r="AD39" s="20" t="n">
        <v>0.23</v>
      </c>
      <c r="AE39" s="20" t="n">
        <v>0.412</v>
      </c>
      <c r="AF39" s="20" t="n">
        <v>0</v>
      </c>
      <c r="AG39" s="20" t="n">
        <v>0</v>
      </c>
      <c r="AH39" s="20" t="n">
        <v>0</v>
      </c>
      <c r="AI39" s="20" t="n">
        <v>0</v>
      </c>
      <c r="AJ39" s="20" t="n">
        <v>0</v>
      </c>
      <c r="AK39" s="20" t="n">
        <v>0</v>
      </c>
      <c r="AL39" s="20" t="n">
        <v>0</v>
      </c>
      <c r="AM39" s="20" t="n">
        <v>0</v>
      </c>
      <c r="AN39" s="20" t="n">
        <v>0</v>
      </c>
      <c r="AO39" s="20" t="n">
        <v>0</v>
      </c>
      <c r="AP39" s="20" t="n">
        <v>0</v>
      </c>
      <c r="AQ39" s="20" t="n">
        <v>0</v>
      </c>
      <c r="AR39" s="20" t="n">
        <v>0</v>
      </c>
      <c r="AS39" s="20" t="n">
        <v>0</v>
      </c>
      <c r="AT39" s="20" t="n">
        <v>0</v>
      </c>
      <c r="AU39" s="20" t="n">
        <v>0</v>
      </c>
      <c r="AV39" s="20" t="n">
        <v>0</v>
      </c>
      <c r="AW39" s="20" t="n">
        <v>0</v>
      </c>
      <c r="AX39" s="20" t="n">
        <v>0</v>
      </c>
      <c r="AY39" s="20" t="n">
        <v>0</v>
      </c>
      <c r="AZ39" s="20" t="n">
        <v>0</v>
      </c>
      <c r="BA39" s="20" t="n">
        <v>0</v>
      </c>
      <c r="BB39" s="20" t="n">
        <v>0</v>
      </c>
      <c r="BC39" s="20" t="n">
        <v>0</v>
      </c>
      <c r="BD39" s="20" t="n">
        <v>0</v>
      </c>
      <c r="BE39" s="20" t="n">
        <v>0</v>
      </c>
      <c r="BF39" s="20" t="n">
        <v>0</v>
      </c>
      <c r="BG39" s="20" t="n">
        <v>0</v>
      </c>
      <c r="BH39" s="20" t="n">
        <v>0</v>
      </c>
      <c r="BI39" s="20" t="n">
        <v>0</v>
      </c>
      <c r="BJ39" s="20" t="n">
        <v>0</v>
      </c>
      <c r="BK39" s="20" t="n">
        <v>0</v>
      </c>
      <c r="BL39" s="20" t="n">
        <v>0</v>
      </c>
      <c r="BM39" s="20" t="n">
        <v>0</v>
      </c>
      <c r="BN39" s="20" t="n">
        <v>0</v>
      </c>
      <c r="BO39" s="20" t="n">
        <v>0</v>
      </c>
      <c r="BP39" s="20" t="n">
        <v>0</v>
      </c>
      <c r="BQ39" s="20" t="n">
        <v>0</v>
      </c>
      <c r="BR39" s="20" t="n">
        <v>0</v>
      </c>
      <c r="BS39" s="20" t="n">
        <v>0</v>
      </c>
      <c r="BT39" s="20" t="n">
        <v>0</v>
      </c>
      <c r="BU39" s="20" t="n">
        <v>0</v>
      </c>
      <c r="BV39" s="20" t="n">
        <v>0</v>
      </c>
      <c r="BW39" s="20" t="n">
        <v>0</v>
      </c>
      <c r="BX39" s="20" t="n">
        <v>0</v>
      </c>
      <c r="BY39" s="20" t="n">
        <v>0</v>
      </c>
      <c r="BZ39" s="20" t="n">
        <v>0</v>
      </c>
      <c r="CA39" s="20" t="n">
        <v>0</v>
      </c>
      <c r="CB39" s="20" t="n">
        <v>0</v>
      </c>
      <c r="CC39" s="20" t="n">
        <v>0</v>
      </c>
      <c r="CD39" s="20" t="n">
        <v>0</v>
      </c>
      <c r="CE39" s="20" t="n">
        <v>0</v>
      </c>
      <c r="CF39" s="20" t="n">
        <v>0</v>
      </c>
      <c r="CG39" s="20" t="n">
        <v>0</v>
      </c>
      <c r="CH39" s="20" t="n">
        <v>0</v>
      </c>
      <c r="CI39" s="20" t="n">
        <v>0</v>
      </c>
      <c r="CJ39" s="20" t="n">
        <v>0</v>
      </c>
      <c r="CK39" s="20" t="n">
        <v>0</v>
      </c>
      <c r="CL39" s="20" t="n">
        <v>0</v>
      </c>
      <c r="CM39" s="20" t="n">
        <v>0</v>
      </c>
      <c r="CN39" s="20" t="n">
        <v>0</v>
      </c>
      <c r="CO39" s="20" t="n">
        <v>0</v>
      </c>
      <c r="CP39" s="20" t="n">
        <v>0</v>
      </c>
      <c r="CQ39" s="20" t="n">
        <v>0</v>
      </c>
      <c r="CR39" s="20" t="n">
        <v>0</v>
      </c>
      <c r="CS39" s="20" t="n">
        <v>0</v>
      </c>
    </row>
    <row r="40">
      <c r="A40" s="10" t="n">
        <v>36</v>
      </c>
      <c r="B40" s="10" t="n">
        <v>17.5</v>
      </c>
      <c r="C40" s="20" t="n">
        <v>0.278</v>
      </c>
      <c r="D40" s="20" t="n">
        <v>0</v>
      </c>
      <c r="E40" s="20" t="n">
        <v>0.422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0.481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0</v>
      </c>
      <c r="Q40" s="20" t="n">
        <v>0</v>
      </c>
      <c r="R40" s="20" t="n">
        <v>0</v>
      </c>
      <c r="S40" s="20" t="n">
        <v>0</v>
      </c>
      <c r="T40" s="20" t="n">
        <v>0</v>
      </c>
      <c r="U40" s="20" t="n">
        <v>0</v>
      </c>
      <c r="V40" s="20" t="n">
        <v>0</v>
      </c>
      <c r="W40" s="20" t="n">
        <v>0</v>
      </c>
      <c r="X40" s="20" t="n">
        <v>0</v>
      </c>
      <c r="Y40" s="20" t="n">
        <v>0</v>
      </c>
      <c r="Z40" s="20" t="n">
        <v>0</v>
      </c>
      <c r="AA40" s="20" t="n">
        <v>0</v>
      </c>
      <c r="AB40" s="20" t="n">
        <v>0</v>
      </c>
      <c r="AC40" s="20" t="n">
        <v>0</v>
      </c>
      <c r="AD40" s="20" t="n">
        <v>0</v>
      </c>
      <c r="AE40" s="20" t="n">
        <v>0.747</v>
      </c>
      <c r="AF40" s="20" t="n">
        <v>0.585</v>
      </c>
      <c r="AG40" s="20" t="n">
        <v>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0</v>
      </c>
      <c r="AN40" s="20" t="n">
        <v>0</v>
      </c>
      <c r="AO40" s="20" t="n">
        <v>0</v>
      </c>
      <c r="AP40" s="20" t="n">
        <v>0</v>
      </c>
      <c r="AQ40" s="20" t="n">
        <v>0</v>
      </c>
      <c r="AR40" s="20" t="n">
        <v>0</v>
      </c>
      <c r="AS40" s="20" t="n">
        <v>0</v>
      </c>
      <c r="AT40" s="20" t="n">
        <v>0</v>
      </c>
      <c r="AU40" s="20" t="n">
        <v>0</v>
      </c>
      <c r="AV40" s="20" t="n">
        <v>0</v>
      </c>
      <c r="AW40" s="20" t="n">
        <v>0</v>
      </c>
      <c r="AX40" s="20" t="n">
        <v>0</v>
      </c>
      <c r="AY40" s="20" t="n">
        <v>0</v>
      </c>
      <c r="AZ40" s="20" t="n">
        <v>0</v>
      </c>
      <c r="BA40" s="20" t="n">
        <v>0.222</v>
      </c>
      <c r="BB40" s="20" t="n">
        <v>0</v>
      </c>
      <c r="BC40" s="20" t="n">
        <v>0</v>
      </c>
      <c r="BD40" s="20" t="n">
        <v>0</v>
      </c>
      <c r="BE40" s="20" t="n">
        <v>0</v>
      </c>
      <c r="BF40" s="20" t="n">
        <v>0</v>
      </c>
      <c r="BG40" s="20" t="n">
        <v>0</v>
      </c>
      <c r="BH40" s="20" t="n">
        <v>0</v>
      </c>
      <c r="BI40" s="20" t="n">
        <v>0</v>
      </c>
      <c r="BJ40" s="20" t="n">
        <v>0</v>
      </c>
      <c r="BK40" s="20" t="n">
        <v>0</v>
      </c>
      <c r="BL40" s="20" t="n">
        <v>0</v>
      </c>
      <c r="BM40" s="20" t="n">
        <v>0</v>
      </c>
      <c r="BN40" s="20" t="n">
        <v>0</v>
      </c>
      <c r="BO40" s="20" t="n">
        <v>0</v>
      </c>
      <c r="BP40" s="20" t="n">
        <v>0</v>
      </c>
      <c r="BQ40" s="20" t="n">
        <v>0</v>
      </c>
      <c r="BR40" s="20" t="n">
        <v>0</v>
      </c>
      <c r="BS40" s="20" t="n">
        <v>0</v>
      </c>
      <c r="BT40" s="20" t="n">
        <v>0</v>
      </c>
      <c r="BU40" s="20" t="n">
        <v>0</v>
      </c>
      <c r="BV40" s="20" t="n">
        <v>0</v>
      </c>
      <c r="BW40" s="20" t="n">
        <v>0</v>
      </c>
      <c r="BX40" s="20" t="n">
        <v>0</v>
      </c>
      <c r="BY40" s="20" t="n">
        <v>0</v>
      </c>
      <c r="BZ40" s="20" t="n">
        <v>0</v>
      </c>
      <c r="CA40" s="20" t="n">
        <v>0</v>
      </c>
      <c r="CB40" s="20" t="n">
        <v>0.666</v>
      </c>
      <c r="CC40" s="20" t="n">
        <v>0</v>
      </c>
      <c r="CD40" s="20" t="n">
        <v>0</v>
      </c>
      <c r="CE40" s="20" t="n">
        <v>0</v>
      </c>
      <c r="CF40" s="20" t="n">
        <v>0</v>
      </c>
      <c r="CG40" s="20" t="n">
        <v>0</v>
      </c>
      <c r="CH40" s="20" t="n">
        <v>0.013</v>
      </c>
      <c r="CI40" s="20" t="n">
        <v>1.342</v>
      </c>
      <c r="CJ40" s="20" t="n">
        <v>0.779</v>
      </c>
      <c r="CK40" s="20" t="n">
        <v>0</v>
      </c>
      <c r="CL40" s="20" t="n">
        <v>0</v>
      </c>
      <c r="CM40" s="20" t="n">
        <v>0</v>
      </c>
      <c r="CN40" s="20" t="n">
        <v>0.8090000000000001</v>
      </c>
      <c r="CO40" s="20" t="n">
        <v>0</v>
      </c>
      <c r="CP40" s="20" t="n">
        <v>0</v>
      </c>
      <c r="CQ40" s="20" t="n">
        <v>0</v>
      </c>
      <c r="CR40" s="20" t="n">
        <v>0</v>
      </c>
      <c r="CS40" s="20" t="n">
        <v>0</v>
      </c>
    </row>
    <row r="41">
      <c r="A41" s="10" t="n">
        <v>37</v>
      </c>
      <c r="B41" s="10" t="n">
        <v>18</v>
      </c>
      <c r="C41" s="20" t="n">
        <v>0.362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0.437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v>0</v>
      </c>
      <c r="Y41" s="20" t="n">
        <v>0</v>
      </c>
      <c r="Z41" s="20" t="n">
        <v>0</v>
      </c>
      <c r="AA41" s="20" t="n">
        <v>0</v>
      </c>
      <c r="AB41" s="20" t="n">
        <v>0</v>
      </c>
      <c r="AC41" s="20" t="n">
        <v>0</v>
      </c>
      <c r="AD41" s="20" t="n">
        <v>0</v>
      </c>
      <c r="AE41" s="20" t="n">
        <v>0</v>
      </c>
      <c r="AF41" s="20" t="n">
        <v>3.169</v>
      </c>
      <c r="AG41" s="20" t="n">
        <v>0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0" t="n">
        <v>0</v>
      </c>
      <c r="AP41" s="20" t="n">
        <v>0</v>
      </c>
      <c r="AQ41" s="20" t="n">
        <v>0</v>
      </c>
      <c r="AR41" s="20" t="n">
        <v>0</v>
      </c>
      <c r="AS41" s="20" t="n">
        <v>0</v>
      </c>
      <c r="AT41" s="20" t="n">
        <v>0</v>
      </c>
      <c r="AU41" s="20" t="n">
        <v>0</v>
      </c>
      <c r="AV41" s="20" t="n">
        <v>0</v>
      </c>
      <c r="AW41" s="20" t="n">
        <v>0</v>
      </c>
      <c r="AX41" s="20" t="n">
        <v>0</v>
      </c>
      <c r="AY41" s="20" t="n">
        <v>0</v>
      </c>
      <c r="AZ41" s="20" t="n">
        <v>0</v>
      </c>
      <c r="BA41" s="20" t="n">
        <v>0.167</v>
      </c>
      <c r="BB41" s="20" t="n">
        <v>0</v>
      </c>
      <c r="BC41" s="20" t="n">
        <v>0</v>
      </c>
      <c r="BD41" s="20" t="n">
        <v>0</v>
      </c>
      <c r="BE41" s="20" t="n">
        <v>0</v>
      </c>
      <c r="BF41" s="20" t="n">
        <v>0</v>
      </c>
      <c r="BG41" s="20" t="n">
        <v>0</v>
      </c>
      <c r="BH41" s="20" t="n">
        <v>0</v>
      </c>
      <c r="BI41" s="20" t="n">
        <v>0</v>
      </c>
      <c r="BJ41" s="20" t="n">
        <v>0</v>
      </c>
      <c r="BK41" s="20" t="n">
        <v>0</v>
      </c>
      <c r="BL41" s="20" t="n">
        <v>0</v>
      </c>
      <c r="BM41" s="20" t="n">
        <v>0</v>
      </c>
      <c r="BN41" s="20" t="n">
        <v>0</v>
      </c>
      <c r="BO41" s="20" t="n">
        <v>0</v>
      </c>
      <c r="BP41" s="20" t="n">
        <v>0</v>
      </c>
      <c r="BQ41" s="20" t="n">
        <v>0</v>
      </c>
      <c r="BR41" s="20" t="n">
        <v>0</v>
      </c>
      <c r="BS41" s="20" t="n">
        <v>0</v>
      </c>
      <c r="BT41" s="20" t="n">
        <v>0</v>
      </c>
      <c r="BU41" s="20" t="n">
        <v>0.189</v>
      </c>
      <c r="BV41" s="20" t="n">
        <v>0</v>
      </c>
      <c r="BW41" s="20" t="n">
        <v>0.892</v>
      </c>
      <c r="BX41" s="20" t="n">
        <v>0.157</v>
      </c>
      <c r="BY41" s="20" t="n">
        <v>0</v>
      </c>
      <c r="BZ41" s="20" t="n">
        <v>0</v>
      </c>
      <c r="CA41" s="20" t="n">
        <v>0.679</v>
      </c>
      <c r="CB41" s="20" t="n">
        <v>0.5590000000000001</v>
      </c>
      <c r="CC41" s="20" t="n">
        <v>0</v>
      </c>
      <c r="CD41" s="20" t="n">
        <v>0</v>
      </c>
      <c r="CE41" s="20" t="n">
        <v>0</v>
      </c>
      <c r="CF41" s="20" t="n">
        <v>0</v>
      </c>
      <c r="CG41" s="20" t="n">
        <v>0</v>
      </c>
      <c r="CH41" s="20" t="n">
        <v>0</v>
      </c>
      <c r="CI41" s="20" t="n">
        <v>0</v>
      </c>
      <c r="CJ41" s="20" t="n">
        <v>0.204</v>
      </c>
      <c r="CK41" s="20" t="n">
        <v>0</v>
      </c>
      <c r="CL41" s="20" t="n">
        <v>0</v>
      </c>
      <c r="CM41" s="20" t="n">
        <v>0</v>
      </c>
      <c r="CN41" s="20" t="n">
        <v>0</v>
      </c>
      <c r="CO41" s="20" t="n">
        <v>0</v>
      </c>
      <c r="CP41" s="20" t="n">
        <v>1.012</v>
      </c>
      <c r="CQ41" s="20" t="n">
        <v>0</v>
      </c>
      <c r="CR41" s="20" t="n">
        <v>0</v>
      </c>
      <c r="CS41" s="20" t="n">
        <v>0</v>
      </c>
    </row>
    <row r="42">
      <c r="A42" s="10" t="n">
        <v>38</v>
      </c>
      <c r="B42" s="10" t="n">
        <v>18.5</v>
      </c>
      <c r="C42" s="20" t="n">
        <v>0</v>
      </c>
      <c r="D42" s="20" t="n">
        <v>0</v>
      </c>
      <c r="E42" s="20" t="n">
        <v>0.76</v>
      </c>
      <c r="F42" s="20" t="n">
        <v>0</v>
      </c>
      <c r="G42" s="20" t="n">
        <v>0</v>
      </c>
      <c r="H42" s="20" t="n">
        <v>0</v>
      </c>
      <c r="I42" s="20" t="n">
        <v>0</v>
      </c>
      <c r="J42" s="20" t="n">
        <v>1.228</v>
      </c>
      <c r="K42" s="20" t="n">
        <v>0.37</v>
      </c>
      <c r="L42" s="20" t="n">
        <v>0</v>
      </c>
      <c r="M42" s="20" t="n">
        <v>0</v>
      </c>
      <c r="N42" s="20" t="n">
        <v>0</v>
      </c>
      <c r="O42" s="20" t="n">
        <v>0</v>
      </c>
      <c r="P42" s="20" t="n">
        <v>0</v>
      </c>
      <c r="Q42" s="20" t="n">
        <v>0</v>
      </c>
      <c r="R42" s="20" t="n">
        <v>0</v>
      </c>
      <c r="S42" s="20" t="n">
        <v>0</v>
      </c>
      <c r="T42" s="20" t="n">
        <v>0</v>
      </c>
      <c r="U42" s="20" t="n">
        <v>0</v>
      </c>
      <c r="V42" s="20" t="n">
        <v>0</v>
      </c>
      <c r="W42" s="20" t="n">
        <v>0</v>
      </c>
      <c r="X42" s="20" t="n">
        <v>0</v>
      </c>
      <c r="Y42" s="20" t="n">
        <v>0</v>
      </c>
      <c r="Z42" s="20" t="n">
        <v>0.024</v>
      </c>
      <c r="AA42" s="20" t="n">
        <v>0</v>
      </c>
      <c r="AB42" s="20" t="n">
        <v>0</v>
      </c>
      <c r="AC42" s="20" t="n">
        <v>0</v>
      </c>
      <c r="AD42" s="20" t="n">
        <v>0.014</v>
      </c>
      <c r="AE42" s="20" t="n">
        <v>0</v>
      </c>
      <c r="AF42" s="20" t="n">
        <v>0</v>
      </c>
      <c r="AG42" s="20" t="n">
        <v>0</v>
      </c>
      <c r="AH42" s="20" t="n">
        <v>0</v>
      </c>
      <c r="AI42" s="20" t="n">
        <v>0</v>
      </c>
      <c r="AJ42" s="20" t="n">
        <v>0</v>
      </c>
      <c r="AK42" s="20" t="n">
        <v>0</v>
      </c>
      <c r="AL42" s="20" t="n">
        <v>0</v>
      </c>
      <c r="AM42" s="20" t="n">
        <v>0</v>
      </c>
      <c r="AN42" s="20" t="n">
        <v>0</v>
      </c>
      <c r="AO42" s="20" t="n">
        <v>0</v>
      </c>
      <c r="AP42" s="20" t="n">
        <v>0</v>
      </c>
      <c r="AQ42" s="20" t="n">
        <v>0.06</v>
      </c>
      <c r="AR42" s="20" t="n">
        <v>0</v>
      </c>
      <c r="AS42" s="20" t="n">
        <v>0</v>
      </c>
      <c r="AT42" s="20" t="n">
        <v>0</v>
      </c>
      <c r="AU42" s="20" t="n">
        <v>1.414</v>
      </c>
      <c r="AV42" s="20" t="n">
        <v>0</v>
      </c>
      <c r="AW42" s="20" t="n">
        <v>0</v>
      </c>
      <c r="AX42" s="20" t="n">
        <v>0</v>
      </c>
      <c r="AY42" s="20" t="n">
        <v>0</v>
      </c>
      <c r="AZ42" s="20" t="n">
        <v>0</v>
      </c>
      <c r="BA42" s="20" t="n">
        <v>1.115</v>
      </c>
      <c r="BB42" s="20" t="n">
        <v>0</v>
      </c>
      <c r="BC42" s="20" t="n">
        <v>0</v>
      </c>
      <c r="BD42" s="20" t="n">
        <v>0</v>
      </c>
      <c r="BE42" s="20" t="n">
        <v>0</v>
      </c>
      <c r="BF42" s="20" t="n">
        <v>0</v>
      </c>
      <c r="BG42" s="20" t="n">
        <v>0</v>
      </c>
      <c r="BH42" s="20" t="n">
        <v>0</v>
      </c>
      <c r="BI42" s="20" t="n">
        <v>0.066</v>
      </c>
      <c r="BJ42" s="20" t="n">
        <v>0.833</v>
      </c>
      <c r="BK42" s="20" t="n">
        <v>0</v>
      </c>
      <c r="BL42" s="20" t="n">
        <v>0.056</v>
      </c>
      <c r="BM42" s="20" t="n">
        <v>0</v>
      </c>
      <c r="BN42" s="20" t="n">
        <v>0</v>
      </c>
      <c r="BO42" s="20" t="n">
        <v>0</v>
      </c>
      <c r="BP42" s="20" t="n">
        <v>0</v>
      </c>
      <c r="BQ42" s="20" t="n">
        <v>0</v>
      </c>
      <c r="BR42" s="20" t="n">
        <v>0</v>
      </c>
      <c r="BS42" s="20" t="n">
        <v>2.465</v>
      </c>
      <c r="BT42" s="20" t="n">
        <v>0</v>
      </c>
      <c r="BU42" s="20" t="n">
        <v>0</v>
      </c>
      <c r="BV42" s="20" t="n">
        <v>0.124</v>
      </c>
      <c r="BW42" s="20" t="n">
        <v>0</v>
      </c>
      <c r="BX42" s="20" t="n">
        <v>0.022</v>
      </c>
      <c r="BY42" s="20" t="n">
        <v>0</v>
      </c>
      <c r="BZ42" s="20" t="n">
        <v>0.168</v>
      </c>
      <c r="CA42" s="20" t="n">
        <v>0</v>
      </c>
      <c r="CB42" s="20" t="n">
        <v>0.825</v>
      </c>
      <c r="CC42" s="20" t="n">
        <v>0</v>
      </c>
      <c r="CD42" s="20" t="n">
        <v>0</v>
      </c>
      <c r="CE42" s="20" t="n">
        <v>0</v>
      </c>
      <c r="CF42" s="20" t="n">
        <v>0</v>
      </c>
      <c r="CG42" s="20" t="n">
        <v>0</v>
      </c>
      <c r="CH42" s="20" t="n">
        <v>0</v>
      </c>
      <c r="CI42" s="20" t="n">
        <v>0.011</v>
      </c>
      <c r="CJ42" s="20" t="n">
        <v>1.175</v>
      </c>
      <c r="CK42" s="20" t="n">
        <v>0</v>
      </c>
      <c r="CL42" s="20" t="n">
        <v>0</v>
      </c>
      <c r="CM42" s="20" t="n">
        <v>0</v>
      </c>
      <c r="CN42" s="20" t="n">
        <v>0</v>
      </c>
      <c r="CO42" s="20" t="n">
        <v>0</v>
      </c>
      <c r="CP42" s="20" t="n">
        <v>0</v>
      </c>
      <c r="CQ42" s="20" t="n">
        <v>0</v>
      </c>
      <c r="CR42" s="20" t="n">
        <v>0</v>
      </c>
      <c r="CS42" s="20" t="n">
        <v>0</v>
      </c>
    </row>
    <row r="43">
      <c r="A43" s="10" t="n">
        <v>39</v>
      </c>
      <c r="B43" s="10" t="n">
        <v>19</v>
      </c>
      <c r="C43" s="20" t="n">
        <v>0</v>
      </c>
      <c r="D43" s="20" t="n">
        <v>0.137</v>
      </c>
      <c r="E43" s="20" t="n">
        <v>0</v>
      </c>
      <c r="F43" s="20" t="n">
        <v>0</v>
      </c>
      <c r="G43" s="20" t="n">
        <v>0.38</v>
      </c>
      <c r="H43" s="20" t="n">
        <v>0.371</v>
      </c>
      <c r="I43" s="20" t="n">
        <v>0</v>
      </c>
      <c r="J43" s="20" t="n">
        <v>0.063</v>
      </c>
      <c r="K43" s="20" t="n">
        <v>2.435</v>
      </c>
      <c r="L43" s="20" t="n">
        <v>0.106</v>
      </c>
      <c r="M43" s="20" t="n">
        <v>0</v>
      </c>
      <c r="N43" s="20" t="n">
        <v>0</v>
      </c>
      <c r="O43" s="20" t="n">
        <v>0.245</v>
      </c>
      <c r="P43" s="20" t="n">
        <v>0.052</v>
      </c>
      <c r="Q43" s="20" t="n">
        <v>0.127</v>
      </c>
      <c r="R43" s="20" t="n">
        <v>0.131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0.018</v>
      </c>
      <c r="Y43" s="20" t="n">
        <v>0.07099999999999999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1.526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2.127</v>
      </c>
      <c r="AV43" s="20" t="n">
        <v>0</v>
      </c>
      <c r="AW43" s="20" t="n">
        <v>0</v>
      </c>
      <c r="AX43" s="20" t="n">
        <v>0</v>
      </c>
      <c r="AY43" s="20" t="n">
        <v>0.483</v>
      </c>
      <c r="AZ43" s="20" t="n">
        <v>0.18</v>
      </c>
      <c r="BA43" s="20" t="n">
        <v>0.139</v>
      </c>
      <c r="BB43" s="20" t="n">
        <v>0.161</v>
      </c>
      <c r="BC43" s="20" t="n">
        <v>0</v>
      </c>
      <c r="BD43" s="20" t="n">
        <v>0</v>
      </c>
      <c r="BE43" s="20" t="n">
        <v>0.129</v>
      </c>
      <c r="BF43" s="20" t="n">
        <v>0</v>
      </c>
      <c r="BG43" s="20" t="n">
        <v>0</v>
      </c>
      <c r="BH43" s="20" t="n">
        <v>0</v>
      </c>
      <c r="BI43" s="20" t="n">
        <v>0</v>
      </c>
      <c r="BJ43" s="20" t="n">
        <v>0.209</v>
      </c>
      <c r="BK43" s="20" t="n">
        <v>0</v>
      </c>
      <c r="BL43" s="20" t="n">
        <v>0.125</v>
      </c>
      <c r="BM43" s="20" t="n">
        <v>0</v>
      </c>
      <c r="BN43" s="20" t="n">
        <v>0</v>
      </c>
      <c r="BO43" s="20" t="n">
        <v>0</v>
      </c>
      <c r="BP43" s="20" t="n">
        <v>0.133</v>
      </c>
      <c r="BQ43" s="20" t="n">
        <v>0</v>
      </c>
      <c r="BR43" s="20" t="n">
        <v>0.07000000000000001</v>
      </c>
      <c r="BS43" s="20" t="n">
        <v>3.329</v>
      </c>
      <c r="BT43" s="20" t="n">
        <v>0.024</v>
      </c>
      <c r="BU43" s="20" t="n">
        <v>0</v>
      </c>
      <c r="BV43" s="20" t="n">
        <v>0.138</v>
      </c>
      <c r="BW43" s="20" t="n">
        <v>0.118</v>
      </c>
      <c r="BX43" s="20" t="n">
        <v>0.437</v>
      </c>
      <c r="BY43" s="20" t="n">
        <v>0</v>
      </c>
      <c r="BZ43" s="20" t="n">
        <v>1.365</v>
      </c>
      <c r="CA43" s="20" t="n">
        <v>0</v>
      </c>
      <c r="CB43" s="20" t="n">
        <v>2.008</v>
      </c>
      <c r="CC43" s="20" t="n">
        <v>0.329</v>
      </c>
      <c r="CD43" s="20" t="n">
        <v>0</v>
      </c>
      <c r="CE43" s="20" t="n">
        <v>2.414</v>
      </c>
      <c r="CF43" s="20" t="n">
        <v>0.06</v>
      </c>
      <c r="CG43" s="20" t="n">
        <v>0</v>
      </c>
      <c r="CH43" s="20" t="n">
        <v>0.026</v>
      </c>
      <c r="CI43" s="20" t="n">
        <v>1.407</v>
      </c>
      <c r="CJ43" s="20" t="n">
        <v>0.32</v>
      </c>
      <c r="CK43" s="20" t="n">
        <v>0</v>
      </c>
      <c r="CL43" s="20" t="n">
        <v>0</v>
      </c>
      <c r="CM43" s="20" t="n">
        <v>0</v>
      </c>
      <c r="CN43" s="20" t="n">
        <v>0.218</v>
      </c>
      <c r="CO43" s="20" t="n">
        <v>0</v>
      </c>
      <c r="CP43" s="20" t="n">
        <v>0.081</v>
      </c>
      <c r="CQ43" s="20" t="n">
        <v>0</v>
      </c>
      <c r="CR43" s="20" t="n">
        <v>0</v>
      </c>
      <c r="CS43" s="20" t="n">
        <v>0.0003</v>
      </c>
    </row>
    <row r="44">
      <c r="A44" s="10" t="n">
        <v>40</v>
      </c>
      <c r="B44" s="10" t="n">
        <v>19.5</v>
      </c>
      <c r="C44" s="20" t="n">
        <v>0.089</v>
      </c>
      <c r="D44" s="20" t="n">
        <v>0.547</v>
      </c>
      <c r="E44" s="20" t="n">
        <v>0.417</v>
      </c>
      <c r="F44" s="20" t="n">
        <v>0.31</v>
      </c>
      <c r="G44" s="20" t="n">
        <v>1.783</v>
      </c>
      <c r="H44" s="20" t="n">
        <v>0.952</v>
      </c>
      <c r="I44" s="20" t="n">
        <v>0</v>
      </c>
      <c r="J44" s="20" t="n">
        <v>0.334</v>
      </c>
      <c r="K44" s="20" t="n">
        <v>1.918</v>
      </c>
      <c r="L44" s="20" t="n">
        <v>0.212</v>
      </c>
      <c r="M44" s="20" t="n">
        <v>0.218</v>
      </c>
      <c r="N44" s="20" t="n">
        <v>0.2</v>
      </c>
      <c r="O44" s="20" t="n">
        <v>0.364</v>
      </c>
      <c r="P44" s="20" t="n">
        <v>0.293</v>
      </c>
      <c r="Q44" s="20" t="n">
        <v>0.236</v>
      </c>
      <c r="R44" s="20" t="n">
        <v>0.353</v>
      </c>
      <c r="S44" s="20" t="n">
        <v>0.057</v>
      </c>
      <c r="T44" s="20" t="n">
        <v>0.38</v>
      </c>
      <c r="U44" s="20" t="n">
        <v>0</v>
      </c>
      <c r="V44" s="20" t="n">
        <v>0.34</v>
      </c>
      <c r="W44" s="20" t="n">
        <v>0.315</v>
      </c>
      <c r="X44" s="20" t="n">
        <v>0</v>
      </c>
      <c r="Y44" s="20" t="n">
        <v>0.5649999999999999</v>
      </c>
      <c r="Z44" s="20" t="n">
        <v>0</v>
      </c>
      <c r="AA44" s="20" t="n">
        <v>0.153</v>
      </c>
      <c r="AB44" s="20" t="n">
        <v>0.322</v>
      </c>
      <c r="AC44" s="20" t="n">
        <v>0.704</v>
      </c>
      <c r="AD44" s="20" t="n">
        <v>0.285</v>
      </c>
      <c r="AE44" s="20" t="n">
        <v>0</v>
      </c>
      <c r="AF44" s="20" t="n">
        <v>0.246</v>
      </c>
      <c r="AG44" s="20" t="n">
        <v>0.146</v>
      </c>
      <c r="AH44" s="20" t="n">
        <v>0.164</v>
      </c>
      <c r="AI44" s="20" t="n">
        <v>0.011</v>
      </c>
      <c r="AJ44" s="20" t="n">
        <v>1.756</v>
      </c>
      <c r="AK44" s="20" t="n">
        <v>1.348</v>
      </c>
      <c r="AL44" s="20" t="n">
        <v>0</v>
      </c>
      <c r="AM44" s="20" t="n">
        <v>0.164</v>
      </c>
      <c r="AN44" s="20" t="n">
        <v>0</v>
      </c>
      <c r="AO44" s="20" t="n">
        <v>0.392</v>
      </c>
      <c r="AP44" s="20" t="n">
        <v>0.347</v>
      </c>
      <c r="AQ44" s="20" t="n">
        <v>0</v>
      </c>
      <c r="AR44" s="20" t="n">
        <v>0.107</v>
      </c>
      <c r="AS44" s="20" t="n">
        <v>0.678</v>
      </c>
      <c r="AT44" s="20" t="n">
        <v>0.158</v>
      </c>
      <c r="AU44" s="20" t="n">
        <v>0.978</v>
      </c>
      <c r="AV44" s="20" t="n">
        <v>0.412</v>
      </c>
      <c r="AW44" s="20" t="n">
        <v>0.35</v>
      </c>
      <c r="AX44" s="20" t="n">
        <v>0.299</v>
      </c>
      <c r="AY44" s="20" t="n">
        <v>1.356</v>
      </c>
      <c r="AZ44" s="20" t="n">
        <v>0.239</v>
      </c>
      <c r="BA44" s="20" t="n">
        <v>0.166</v>
      </c>
      <c r="BB44" s="20" t="n">
        <v>0.484</v>
      </c>
      <c r="BC44" s="20" t="n">
        <v>0.323</v>
      </c>
      <c r="BD44" s="20" t="n">
        <v>0</v>
      </c>
      <c r="BE44" s="20" t="n">
        <v>0.338</v>
      </c>
      <c r="BF44" s="20" t="n">
        <v>0.103</v>
      </c>
      <c r="BG44" s="20" t="n">
        <v>0.314</v>
      </c>
      <c r="BH44" s="20" t="n">
        <v>1.237</v>
      </c>
      <c r="BI44" s="20" t="n">
        <v>0.138</v>
      </c>
      <c r="BJ44" s="20" t="n">
        <v>0.216</v>
      </c>
      <c r="BK44" s="20" t="n">
        <v>0.456</v>
      </c>
      <c r="BL44" s="20" t="n">
        <v>0.361</v>
      </c>
      <c r="BM44" s="20" t="n">
        <v>1.068</v>
      </c>
      <c r="BN44" s="20" t="n">
        <v>0.13</v>
      </c>
      <c r="BO44" s="20" t="n">
        <v>0.34</v>
      </c>
      <c r="BP44" s="20" t="n">
        <v>0.713</v>
      </c>
      <c r="BQ44" s="20" t="n">
        <v>0.158</v>
      </c>
      <c r="BR44" s="20" t="n">
        <v>1.29</v>
      </c>
      <c r="BS44" s="20" t="n">
        <v>0.9379999999999999</v>
      </c>
      <c r="BT44" s="20" t="n">
        <v>0.385</v>
      </c>
      <c r="BU44" s="20" t="n">
        <v>0.128</v>
      </c>
      <c r="BV44" s="20" t="n">
        <v>0.507</v>
      </c>
      <c r="BW44" s="20" t="n">
        <v>0.52</v>
      </c>
      <c r="BX44" s="20" t="n">
        <v>0.286</v>
      </c>
      <c r="BY44" s="20" t="n">
        <v>0.038</v>
      </c>
      <c r="BZ44" s="20" t="n">
        <v>0.411</v>
      </c>
      <c r="CA44" s="20" t="n">
        <v>0</v>
      </c>
      <c r="CB44" s="20" t="n">
        <v>0.494</v>
      </c>
      <c r="CC44" s="20" t="n">
        <v>0.262</v>
      </c>
      <c r="CD44" s="20" t="n">
        <v>0.329</v>
      </c>
      <c r="CE44" s="20" t="n">
        <v>1.339</v>
      </c>
      <c r="CF44" s="20" t="n">
        <v>0.019</v>
      </c>
      <c r="CG44" s="20" t="n">
        <v>0.153</v>
      </c>
      <c r="CH44" s="20" t="n">
        <v>0.4</v>
      </c>
      <c r="CI44" s="20" t="n">
        <v>1.283</v>
      </c>
      <c r="CJ44" s="20" t="n">
        <v>0.005</v>
      </c>
      <c r="CK44" s="20" t="n">
        <v>0.029</v>
      </c>
      <c r="CL44" s="20" t="n">
        <v>0.365</v>
      </c>
      <c r="CM44" s="20" t="n">
        <v>0.134</v>
      </c>
      <c r="CN44" s="20" t="n">
        <v>0.187</v>
      </c>
      <c r="CO44" s="20" t="n">
        <v>0.627</v>
      </c>
      <c r="CP44" s="20" t="n">
        <v>0.382</v>
      </c>
      <c r="CQ44" s="20" t="n">
        <v>0</v>
      </c>
      <c r="CR44" s="20" t="n">
        <v>0.218</v>
      </c>
      <c r="CS44" s="20" t="n">
        <v>0.658</v>
      </c>
    </row>
    <row r="45">
      <c r="A45" s="10" t="n">
        <v>41</v>
      </c>
      <c r="B45" s="10" t="n">
        <v>20</v>
      </c>
      <c r="C45" s="20" t="n">
        <v>0.04</v>
      </c>
      <c r="D45" s="20" t="n">
        <v>1.051</v>
      </c>
      <c r="E45" s="20" t="n">
        <v>0.213</v>
      </c>
      <c r="F45" s="20" t="n">
        <v>0.232</v>
      </c>
      <c r="G45" s="20" t="n">
        <v>0.163</v>
      </c>
      <c r="H45" s="20" t="n">
        <v>0.289</v>
      </c>
      <c r="I45" s="20" t="n">
        <v>0.026</v>
      </c>
      <c r="J45" s="20" t="n">
        <v>0.339</v>
      </c>
      <c r="K45" s="20" t="n">
        <v>0.456</v>
      </c>
      <c r="L45" s="20" t="n">
        <v>0.105</v>
      </c>
      <c r="M45" s="20" t="n">
        <v>0.394</v>
      </c>
      <c r="N45" s="20" t="n">
        <v>0.476</v>
      </c>
      <c r="O45" s="20" t="n">
        <v>0.42</v>
      </c>
      <c r="P45" s="20" t="n">
        <v>0.525</v>
      </c>
      <c r="Q45" s="20" t="n">
        <v>0.301</v>
      </c>
      <c r="R45" s="20" t="n">
        <v>0.307</v>
      </c>
      <c r="S45" s="20" t="n">
        <v>0.03</v>
      </c>
      <c r="T45" s="20" t="n">
        <v>0.495</v>
      </c>
      <c r="U45" s="20" t="n">
        <v>0.036</v>
      </c>
      <c r="V45" s="20" t="n">
        <v>0.626</v>
      </c>
      <c r="W45" s="20" t="n">
        <v>0.739</v>
      </c>
      <c r="X45" s="20" t="n">
        <v>0.233</v>
      </c>
      <c r="Y45" s="20" t="n">
        <v>0.539</v>
      </c>
      <c r="Z45" s="20" t="n">
        <v>0.272</v>
      </c>
      <c r="AA45" s="20" t="n">
        <v>0.047</v>
      </c>
      <c r="AB45" s="20" t="n">
        <v>0.276</v>
      </c>
      <c r="AC45" s="20" t="n">
        <v>1.18</v>
      </c>
      <c r="AD45" s="20" t="n">
        <v>0.405</v>
      </c>
      <c r="AE45" s="20" t="n">
        <v>0.138</v>
      </c>
      <c r="AF45" s="20" t="n">
        <v>0.042</v>
      </c>
      <c r="AG45" s="20" t="n">
        <v>0.266</v>
      </c>
      <c r="AH45" s="20" t="n">
        <v>0.164</v>
      </c>
      <c r="AI45" s="20" t="n">
        <v>0.111</v>
      </c>
      <c r="AJ45" s="20" t="n">
        <v>0.522</v>
      </c>
      <c r="AK45" s="20" t="n">
        <v>0.604</v>
      </c>
      <c r="AL45" s="20" t="n">
        <v>0.042</v>
      </c>
      <c r="AM45" s="20" t="n">
        <v>0.06</v>
      </c>
      <c r="AN45" s="20" t="n">
        <v>0.194</v>
      </c>
      <c r="AO45" s="20" t="n">
        <v>0.438</v>
      </c>
      <c r="AP45" s="20" t="n">
        <v>0.761</v>
      </c>
      <c r="AQ45" s="20" t="n">
        <v>0.148</v>
      </c>
      <c r="AR45" s="20" t="n">
        <v>0.051</v>
      </c>
      <c r="AS45" s="20" t="n">
        <v>0.898</v>
      </c>
      <c r="AT45" s="20" t="n">
        <v>0.096</v>
      </c>
      <c r="AU45" s="20" t="n">
        <v>0.4</v>
      </c>
      <c r="AV45" s="20" t="n">
        <v>0.718</v>
      </c>
      <c r="AW45" s="20" t="n">
        <v>0.371</v>
      </c>
      <c r="AX45" s="20" t="n">
        <v>0.489</v>
      </c>
      <c r="AY45" s="20" t="n">
        <v>2.026</v>
      </c>
      <c r="AZ45" s="20" t="n">
        <v>0.509</v>
      </c>
      <c r="BA45" s="20" t="n">
        <v>0.417</v>
      </c>
      <c r="BB45" s="20" t="n">
        <v>0.361</v>
      </c>
      <c r="BC45" s="20" t="n">
        <v>0.402</v>
      </c>
      <c r="BD45" s="20" t="n">
        <v>0.265</v>
      </c>
      <c r="BE45" s="20" t="n">
        <v>2.151</v>
      </c>
      <c r="BF45" s="20" t="n">
        <v>0.289</v>
      </c>
      <c r="BG45" s="20" t="n">
        <v>0.571</v>
      </c>
      <c r="BH45" s="20" t="n">
        <v>0.489</v>
      </c>
      <c r="BI45" s="20" t="n">
        <v>0.265</v>
      </c>
      <c r="BJ45" s="20" t="n">
        <v>0.029</v>
      </c>
      <c r="BK45" s="20" t="n">
        <v>0.507</v>
      </c>
      <c r="BL45" s="20" t="n">
        <v>0.381</v>
      </c>
      <c r="BM45" s="20" t="n">
        <v>0.655</v>
      </c>
      <c r="BN45" s="20" t="n">
        <v>0.034</v>
      </c>
      <c r="BO45" s="20" t="n">
        <v>0.571</v>
      </c>
      <c r="BP45" s="20" t="n">
        <v>0.548</v>
      </c>
      <c r="BQ45" s="20" t="n">
        <v>0.205</v>
      </c>
      <c r="BR45" s="20" t="n">
        <v>0.611</v>
      </c>
      <c r="BS45" s="20" t="n">
        <v>0.44</v>
      </c>
      <c r="BT45" s="20" t="n">
        <v>0.42</v>
      </c>
      <c r="BU45" s="20" t="n">
        <v>0.336</v>
      </c>
      <c r="BV45" s="20" t="n">
        <v>0.448</v>
      </c>
      <c r="BW45" s="20" t="n">
        <v>0.227</v>
      </c>
      <c r="BX45" s="20" t="n">
        <v>0.209</v>
      </c>
      <c r="BY45" s="20" t="n">
        <v>0.056</v>
      </c>
      <c r="BZ45" s="20" t="n">
        <v>0.548</v>
      </c>
      <c r="CA45" s="20" t="n">
        <v>0.22</v>
      </c>
      <c r="CB45" s="20" t="n">
        <v>0.397</v>
      </c>
      <c r="CC45" s="20" t="n">
        <v>0.28</v>
      </c>
      <c r="CD45" s="20" t="n">
        <v>0.513</v>
      </c>
      <c r="CE45" s="20" t="n">
        <v>0.487</v>
      </c>
      <c r="CF45" s="20" t="n">
        <v>0.164</v>
      </c>
      <c r="CG45" s="20" t="n">
        <v>0.386</v>
      </c>
      <c r="CH45" s="20" t="n">
        <v>0.654</v>
      </c>
      <c r="CI45" s="20" t="n">
        <v>0.962</v>
      </c>
      <c r="CJ45" s="20" t="n">
        <v>1.394</v>
      </c>
      <c r="CK45" s="20" t="n">
        <v>0.098</v>
      </c>
      <c r="CL45" s="20" t="n">
        <v>0.775</v>
      </c>
      <c r="CM45" s="20" t="n">
        <v>0.335</v>
      </c>
      <c r="CN45" s="20" t="n">
        <v>0.624</v>
      </c>
      <c r="CO45" s="20" t="n">
        <v>0.639</v>
      </c>
      <c r="CP45" s="20" t="n">
        <v>0.417</v>
      </c>
      <c r="CQ45" s="20" t="n">
        <v>0.122</v>
      </c>
      <c r="CR45" s="20" t="n">
        <v>0.101</v>
      </c>
      <c r="CS45" s="20" t="n">
        <v>0.369</v>
      </c>
    </row>
    <row r="46">
      <c r="A46" s="10" t="n">
        <v>42</v>
      </c>
      <c r="B46" s="10" t="n">
        <v>20.5</v>
      </c>
      <c r="C46" s="20" t="n">
        <v>0.212</v>
      </c>
      <c r="D46" s="20" t="n">
        <v>0.201</v>
      </c>
      <c r="E46" s="20" t="n">
        <v>0.445</v>
      </c>
      <c r="F46" s="20" t="n">
        <v>0.187</v>
      </c>
      <c r="G46" s="20" t="n">
        <v>0.054</v>
      </c>
      <c r="H46" s="20" t="n">
        <v>0.524</v>
      </c>
      <c r="I46" s="20" t="n">
        <v>0.046</v>
      </c>
      <c r="J46" s="20" t="n">
        <v>0.1</v>
      </c>
      <c r="K46" s="20" t="n">
        <v>1.446</v>
      </c>
      <c r="L46" s="20" t="n">
        <v>0.294</v>
      </c>
      <c r="M46" s="20" t="n">
        <v>0.639</v>
      </c>
      <c r="N46" s="20" t="n">
        <v>0.465</v>
      </c>
      <c r="O46" s="20" t="n">
        <v>0.285</v>
      </c>
      <c r="P46" s="20" t="n">
        <v>0.478</v>
      </c>
      <c r="Q46" s="20" t="n">
        <v>0.392</v>
      </c>
      <c r="R46" s="20" t="n">
        <v>0.264</v>
      </c>
      <c r="S46" s="20" t="n">
        <v>0.05</v>
      </c>
      <c r="T46" s="20" t="n">
        <v>0.48</v>
      </c>
      <c r="U46" s="20" t="n">
        <v>0.056</v>
      </c>
      <c r="V46" s="20" t="n">
        <v>0.744</v>
      </c>
      <c r="W46" s="20" t="n">
        <v>2.73</v>
      </c>
      <c r="X46" s="20" t="n">
        <v>0.508</v>
      </c>
      <c r="Y46" s="20" t="n">
        <v>0.733</v>
      </c>
      <c r="Z46" s="20" t="n">
        <v>0.047</v>
      </c>
      <c r="AA46" s="20" t="n">
        <v>0.054</v>
      </c>
      <c r="AB46" s="20" t="n">
        <v>0.352</v>
      </c>
      <c r="AC46" s="20" t="n">
        <v>1.15</v>
      </c>
      <c r="AD46" s="20" t="n">
        <v>0.305</v>
      </c>
      <c r="AE46" s="20" t="n">
        <v>0.06900000000000001</v>
      </c>
      <c r="AF46" s="20" t="n">
        <v>0.054</v>
      </c>
      <c r="AG46" s="20" t="n">
        <v>0.37</v>
      </c>
      <c r="AH46" s="20" t="n">
        <v>0.096</v>
      </c>
      <c r="AI46" s="20" t="n">
        <v>0.179</v>
      </c>
      <c r="AJ46" s="20" t="n">
        <v>0.231</v>
      </c>
      <c r="AK46" s="20" t="n">
        <v>0.9350000000000001</v>
      </c>
      <c r="AL46" s="20" t="n">
        <v>0.052</v>
      </c>
      <c r="AM46" s="20" t="n">
        <v>0.289</v>
      </c>
      <c r="AN46" s="20" t="n">
        <v>0.046</v>
      </c>
      <c r="AO46" s="20" t="n">
        <v>0.537</v>
      </c>
      <c r="AP46" s="20" t="n">
        <v>0.717</v>
      </c>
      <c r="AQ46" s="20" t="n">
        <v>0.106</v>
      </c>
      <c r="AR46" s="20" t="n">
        <v>0.055</v>
      </c>
      <c r="AS46" s="20" t="n">
        <v>0.635</v>
      </c>
      <c r="AT46" s="20" t="n">
        <v>0.404</v>
      </c>
      <c r="AU46" s="20" t="n">
        <v>1.276</v>
      </c>
      <c r="AV46" s="20" t="n">
        <v>0.783</v>
      </c>
      <c r="AW46" s="20" t="n">
        <v>0.754</v>
      </c>
      <c r="AX46" s="20" t="n">
        <v>0.539</v>
      </c>
      <c r="AY46" s="20" t="n">
        <v>0.527</v>
      </c>
      <c r="AZ46" s="20" t="n">
        <v>0.709</v>
      </c>
      <c r="BA46" s="20" t="n">
        <v>0.355</v>
      </c>
      <c r="BB46" s="20" t="n">
        <v>0.246</v>
      </c>
      <c r="BC46" s="20" t="n">
        <v>0.771</v>
      </c>
      <c r="BD46" s="20" t="n">
        <v>0.07000000000000001</v>
      </c>
      <c r="BE46" s="20" t="n">
        <v>2.465</v>
      </c>
      <c r="BF46" s="20" t="n">
        <v>0.189</v>
      </c>
      <c r="BG46" s="20" t="n">
        <v>0.625</v>
      </c>
      <c r="BH46" s="20" t="n">
        <v>0.5669999999999999</v>
      </c>
      <c r="BI46" s="20" t="n">
        <v>0.196</v>
      </c>
      <c r="BJ46" s="20" t="n">
        <v>0.142</v>
      </c>
      <c r="BK46" s="20" t="n">
        <v>0.308</v>
      </c>
      <c r="BL46" s="20" t="n">
        <v>0.209</v>
      </c>
      <c r="BM46" s="20" t="n">
        <v>0.76</v>
      </c>
      <c r="BN46" s="20" t="n">
        <v>0.274</v>
      </c>
      <c r="BO46" s="20" t="n">
        <v>0.451</v>
      </c>
      <c r="BP46" s="20" t="n">
        <v>0.483</v>
      </c>
      <c r="BQ46" s="20" t="n">
        <v>0.5600000000000001</v>
      </c>
      <c r="BR46" s="20" t="n">
        <v>0.295</v>
      </c>
      <c r="BS46" s="20" t="n">
        <v>0</v>
      </c>
      <c r="BT46" s="20" t="n">
        <v>0.538</v>
      </c>
      <c r="BU46" s="20" t="n">
        <v>0.186</v>
      </c>
      <c r="BV46" s="20" t="n">
        <v>1.4</v>
      </c>
      <c r="BW46" s="20" t="n">
        <v>0.409</v>
      </c>
      <c r="BX46" s="20" t="n">
        <v>0.135</v>
      </c>
      <c r="BY46" s="20" t="n">
        <v>0.201</v>
      </c>
      <c r="BZ46" s="20" t="n">
        <v>0.651</v>
      </c>
      <c r="CA46" s="20" t="n">
        <v>0.064</v>
      </c>
      <c r="CB46" s="20" t="n">
        <v>0.716</v>
      </c>
      <c r="CC46" s="20" t="n">
        <v>0.6</v>
      </c>
      <c r="CD46" s="20" t="n">
        <v>0.841</v>
      </c>
      <c r="CE46" s="20" t="n">
        <v>0.606</v>
      </c>
      <c r="CF46" s="20" t="n">
        <v>0.186</v>
      </c>
      <c r="CG46" s="20" t="n">
        <v>0.721</v>
      </c>
      <c r="CH46" s="20" t="n">
        <v>0.852</v>
      </c>
      <c r="CI46" s="20" t="n">
        <v>0.388</v>
      </c>
      <c r="CJ46" s="20" t="n">
        <v>0.617</v>
      </c>
      <c r="CK46" s="20" t="n">
        <v>0.198</v>
      </c>
      <c r="CL46" s="20" t="n">
        <v>0.419</v>
      </c>
      <c r="CM46" s="20" t="n">
        <v>0.308</v>
      </c>
      <c r="CN46" s="20" t="n">
        <v>0.548</v>
      </c>
      <c r="CO46" s="20" t="n">
        <v>0.393</v>
      </c>
      <c r="CP46" s="20" t="n">
        <v>0.631</v>
      </c>
      <c r="CQ46" s="20" t="n">
        <v>0.142</v>
      </c>
      <c r="CR46" s="20" t="n">
        <v>0.195</v>
      </c>
      <c r="CS46" s="20" t="n">
        <v>0.353</v>
      </c>
    </row>
    <row r="47">
      <c r="A47" s="10" t="n">
        <v>43</v>
      </c>
      <c r="B47" s="10" t="n">
        <v>21</v>
      </c>
      <c r="C47" s="20" t="n">
        <v>0.055</v>
      </c>
      <c r="D47" s="20" t="n">
        <v>0.348</v>
      </c>
      <c r="E47" s="20" t="n">
        <v>0.507</v>
      </c>
      <c r="F47" s="20" t="n">
        <v>0.302</v>
      </c>
      <c r="G47" s="20" t="n">
        <v>0.225</v>
      </c>
      <c r="H47" s="20" t="n">
        <v>1.496</v>
      </c>
      <c r="I47" s="20" t="n">
        <v>0.046</v>
      </c>
      <c r="J47" s="20" t="n">
        <v>0.1</v>
      </c>
      <c r="K47" s="20" t="n">
        <v>0.095</v>
      </c>
      <c r="L47" s="20" t="n">
        <v>0.175</v>
      </c>
      <c r="M47" s="20" t="n">
        <v>0.6820000000000001</v>
      </c>
      <c r="N47" s="20" t="n">
        <v>0.761</v>
      </c>
      <c r="O47" s="20" t="n">
        <v>0.115</v>
      </c>
      <c r="P47" s="20" t="n">
        <v>0.261</v>
      </c>
      <c r="Q47" s="20" t="n">
        <v>0.435</v>
      </c>
      <c r="R47" s="20" t="n">
        <v>0.047</v>
      </c>
      <c r="S47" s="20" t="n">
        <v>0.05</v>
      </c>
      <c r="T47" s="20" t="n">
        <v>0.603</v>
      </c>
      <c r="U47" s="20" t="n">
        <v>0.056</v>
      </c>
      <c r="V47" s="20" t="n">
        <v>0.585</v>
      </c>
      <c r="W47" s="20" t="n">
        <v>2.956</v>
      </c>
      <c r="X47" s="20" t="n">
        <v>0.472</v>
      </c>
      <c r="Y47" s="20" t="n">
        <v>0.531</v>
      </c>
      <c r="Z47" s="20" t="n">
        <v>0.19</v>
      </c>
      <c r="AA47" s="20" t="n">
        <v>0.123</v>
      </c>
      <c r="AB47" s="20" t="n">
        <v>0.501</v>
      </c>
      <c r="AC47" s="20" t="n">
        <v>0.662</v>
      </c>
      <c r="AD47" s="20" t="n">
        <v>0.521</v>
      </c>
      <c r="AE47" s="20" t="n">
        <v>0.052</v>
      </c>
      <c r="AF47" s="20" t="n">
        <v>0.218</v>
      </c>
      <c r="AG47" s="20" t="n">
        <v>0.503</v>
      </c>
      <c r="AH47" s="20" t="n">
        <v>0.168</v>
      </c>
      <c r="AI47" s="20" t="n">
        <v>0.08</v>
      </c>
      <c r="AJ47" s="20" t="n">
        <v>0.329</v>
      </c>
      <c r="AK47" s="20" t="n">
        <v>0.743</v>
      </c>
      <c r="AL47" s="20" t="n">
        <v>0.052</v>
      </c>
      <c r="AM47" s="20" t="n">
        <v>0.249</v>
      </c>
      <c r="AN47" s="20" t="n">
        <v>0.145</v>
      </c>
      <c r="AO47" s="20" t="n">
        <v>0.602</v>
      </c>
      <c r="AP47" s="20" t="n">
        <v>0.517</v>
      </c>
      <c r="AQ47" s="20" t="n">
        <v>1.009</v>
      </c>
      <c r="AR47" s="20" t="n">
        <v>0.166</v>
      </c>
      <c r="AS47" s="20" t="n">
        <v>0.878</v>
      </c>
      <c r="AT47" s="20" t="n">
        <v>0.091</v>
      </c>
      <c r="AU47" s="20" t="n">
        <v>0.664</v>
      </c>
      <c r="AV47" s="20" t="n">
        <v>0.58</v>
      </c>
      <c r="AW47" s="20" t="n">
        <v>0.415</v>
      </c>
      <c r="AX47" s="20" t="n">
        <v>0.733</v>
      </c>
      <c r="AY47" s="20" t="n">
        <v>0.446</v>
      </c>
      <c r="AZ47" s="20" t="n">
        <v>0.613</v>
      </c>
      <c r="BA47" s="20" t="n">
        <v>0.556</v>
      </c>
      <c r="BB47" s="20" t="n">
        <v>0.038</v>
      </c>
      <c r="BC47" s="20" t="n">
        <v>0.49</v>
      </c>
      <c r="BD47" s="20" t="n">
        <v>0.141</v>
      </c>
      <c r="BE47" s="20" t="n">
        <v>1.923</v>
      </c>
      <c r="BF47" s="20" t="n">
        <v>0.242</v>
      </c>
      <c r="BG47" s="20" t="n">
        <v>0.047</v>
      </c>
      <c r="BH47" s="20" t="n">
        <v>0.595</v>
      </c>
      <c r="BI47" s="20" t="n">
        <v>0.369</v>
      </c>
      <c r="BJ47" s="20" t="n">
        <v>0.194</v>
      </c>
      <c r="BK47" s="20" t="n">
        <v>0.5570000000000001</v>
      </c>
      <c r="BL47" s="20" t="n">
        <v>0.261</v>
      </c>
      <c r="BM47" s="20" t="n">
        <v>0.758</v>
      </c>
      <c r="BN47" s="20" t="n">
        <v>0.184</v>
      </c>
      <c r="BO47" s="20" t="n">
        <v>0.268</v>
      </c>
      <c r="BP47" s="20" t="n">
        <v>0.537</v>
      </c>
      <c r="BQ47" s="20" t="n">
        <v>0.516</v>
      </c>
      <c r="BR47" s="20" t="n">
        <v>0.284</v>
      </c>
      <c r="BS47" s="20" t="n">
        <v>0</v>
      </c>
      <c r="BT47" s="20" t="n">
        <v>0.347</v>
      </c>
      <c r="BU47" s="20" t="n">
        <v>0.283</v>
      </c>
      <c r="BV47" s="20" t="n">
        <v>0.498</v>
      </c>
      <c r="BW47" s="20" t="n">
        <v>0.523</v>
      </c>
      <c r="BX47" s="20" t="n">
        <v>0.289</v>
      </c>
      <c r="BY47" s="20" t="n">
        <v>0.058</v>
      </c>
      <c r="BZ47" s="20" t="n">
        <v>0.496</v>
      </c>
      <c r="CA47" s="20" t="n">
        <v>0.202</v>
      </c>
      <c r="CB47" s="20" t="n">
        <v>0.834</v>
      </c>
      <c r="CC47" s="20" t="n">
        <v>0.233</v>
      </c>
      <c r="CD47" s="20" t="n">
        <v>0.454</v>
      </c>
      <c r="CE47" s="20" t="n">
        <v>2.203</v>
      </c>
      <c r="CF47" s="20" t="n">
        <v>0.174</v>
      </c>
      <c r="CG47" s="20" t="n">
        <v>1.493</v>
      </c>
      <c r="CH47" s="20" t="n">
        <v>0.5600000000000001</v>
      </c>
      <c r="CI47" s="20" t="n">
        <v>0.464</v>
      </c>
      <c r="CJ47" s="20" t="n">
        <v>1.244</v>
      </c>
      <c r="CK47" s="20" t="n">
        <v>0.152</v>
      </c>
      <c r="CL47" s="20" t="n">
        <v>0.291</v>
      </c>
      <c r="CM47" s="20" t="n">
        <v>0.338</v>
      </c>
      <c r="CN47" s="20" t="n">
        <v>0.385</v>
      </c>
      <c r="CO47" s="20" t="n">
        <v>0.574</v>
      </c>
      <c r="CP47" s="20" t="n">
        <v>0.68</v>
      </c>
      <c r="CQ47" s="20" t="n">
        <v>0.051</v>
      </c>
      <c r="CR47" s="20" t="n">
        <v>0.366</v>
      </c>
      <c r="CS47" s="20" t="n">
        <v>0.366</v>
      </c>
    </row>
    <row r="48">
      <c r="A48" s="10" t="n">
        <v>44</v>
      </c>
      <c r="B48" s="10" t="n">
        <v>21.5</v>
      </c>
      <c r="C48" s="20" t="n">
        <v>0.055</v>
      </c>
      <c r="D48" s="20" t="n">
        <v>0.22</v>
      </c>
      <c r="E48" s="20" t="n">
        <v>0.405</v>
      </c>
      <c r="F48" s="20" t="n">
        <v>0.345</v>
      </c>
      <c r="G48" s="20" t="n">
        <v>0.16</v>
      </c>
      <c r="H48" s="20" t="n">
        <v>0.197</v>
      </c>
      <c r="I48" s="20" t="n">
        <v>0.101</v>
      </c>
      <c r="J48" s="20" t="n">
        <v>0.082</v>
      </c>
      <c r="K48" s="20" t="n">
        <v>0.208</v>
      </c>
      <c r="L48" s="20" t="n">
        <v>0.554</v>
      </c>
      <c r="M48" s="20" t="n">
        <v>0.372</v>
      </c>
      <c r="N48" s="20" t="n">
        <v>0.614</v>
      </c>
      <c r="O48" s="20" t="n">
        <v>0.096</v>
      </c>
      <c r="P48" s="20" t="n">
        <v>0.047</v>
      </c>
      <c r="Q48" s="20" t="n">
        <v>0.362</v>
      </c>
      <c r="R48" s="20" t="n">
        <v>0.224</v>
      </c>
      <c r="S48" s="20" t="n">
        <v>0.05</v>
      </c>
      <c r="T48" s="20" t="n">
        <v>0.576</v>
      </c>
      <c r="U48" s="20" t="n">
        <v>0.056</v>
      </c>
      <c r="V48" s="20" t="n">
        <v>0.674</v>
      </c>
      <c r="W48" s="20" t="n">
        <v>0.432</v>
      </c>
      <c r="X48" s="20" t="n">
        <v>0.281</v>
      </c>
      <c r="Y48" s="20" t="n">
        <v>0.622</v>
      </c>
      <c r="Z48" s="20" t="n">
        <v>0.153</v>
      </c>
      <c r="AA48" s="20" t="n">
        <v>0.123</v>
      </c>
      <c r="AB48" s="20" t="n">
        <v>0.586</v>
      </c>
      <c r="AC48" s="20" t="n">
        <v>0.607</v>
      </c>
      <c r="AD48" s="20" t="n">
        <v>0.74</v>
      </c>
      <c r="AE48" s="20" t="n">
        <v>0.07199999999999999</v>
      </c>
      <c r="AF48" s="20" t="n">
        <v>0.163</v>
      </c>
      <c r="AG48" s="20" t="n">
        <v>0.611</v>
      </c>
      <c r="AH48" s="20" t="n">
        <v>0.053</v>
      </c>
      <c r="AI48" s="20" t="n">
        <v>0.772</v>
      </c>
      <c r="AJ48" s="20" t="n">
        <v>0.281</v>
      </c>
      <c r="AK48" s="20" t="n">
        <v>1.07</v>
      </c>
      <c r="AL48" s="20" t="n">
        <v>0.222</v>
      </c>
      <c r="AM48" s="20" t="n">
        <v>0.434</v>
      </c>
      <c r="AN48" s="20" t="n">
        <v>0.115</v>
      </c>
      <c r="AO48" s="20" t="n">
        <v>0.465</v>
      </c>
      <c r="AP48" s="20" t="n">
        <v>0.619</v>
      </c>
      <c r="AQ48" s="20" t="n">
        <v>1.062</v>
      </c>
      <c r="AR48" s="20" t="n">
        <v>0.055</v>
      </c>
      <c r="AS48" s="20" t="n">
        <v>0.632</v>
      </c>
      <c r="AT48" s="20" t="n">
        <v>0.259</v>
      </c>
      <c r="AU48" s="20" t="n">
        <v>0.312</v>
      </c>
      <c r="AV48" s="20" t="n">
        <v>1.008</v>
      </c>
      <c r="AW48" s="20" t="n">
        <v>0.524</v>
      </c>
      <c r="AX48" s="20" t="n">
        <v>0.369</v>
      </c>
      <c r="AY48" s="20" t="n">
        <v>0.35</v>
      </c>
      <c r="AZ48" s="20" t="n">
        <v>0.137</v>
      </c>
      <c r="BA48" s="20" t="n">
        <v>0.759</v>
      </c>
      <c r="BB48" s="20" t="n">
        <v>0.067</v>
      </c>
      <c r="BC48" s="20" t="n">
        <v>0.668</v>
      </c>
      <c r="BD48" s="20" t="n">
        <v>0.211</v>
      </c>
      <c r="BE48" s="20" t="n">
        <v>0.167</v>
      </c>
      <c r="BF48" s="20" t="n">
        <v>0.241</v>
      </c>
      <c r="BG48" s="20" t="n">
        <v>0.119</v>
      </c>
      <c r="BH48" s="20" t="n">
        <v>0.47</v>
      </c>
      <c r="BI48" s="20" t="n">
        <v>0.367</v>
      </c>
      <c r="BJ48" s="20" t="n">
        <v>0.083</v>
      </c>
      <c r="BK48" s="20" t="n">
        <v>0.615</v>
      </c>
      <c r="BL48" s="20" t="n">
        <v>0.401</v>
      </c>
      <c r="BM48" s="20" t="n">
        <v>0.467</v>
      </c>
      <c r="BN48" s="20" t="n">
        <v>0.089</v>
      </c>
      <c r="BO48" s="20" t="n">
        <v>0.621</v>
      </c>
      <c r="BP48" s="20" t="n">
        <v>0.86</v>
      </c>
      <c r="BQ48" s="20" t="n">
        <v>0.351</v>
      </c>
      <c r="BR48" s="20" t="n">
        <v>0.359</v>
      </c>
      <c r="BS48" s="20" t="n">
        <v>0</v>
      </c>
      <c r="BT48" s="20" t="n">
        <v>0.707</v>
      </c>
      <c r="BU48" s="20" t="n">
        <v>0.311</v>
      </c>
      <c r="BV48" s="20" t="n">
        <v>0.363</v>
      </c>
      <c r="BW48" s="20" t="n">
        <v>1.231</v>
      </c>
      <c r="BX48" s="20" t="n">
        <v>0.08500000000000001</v>
      </c>
      <c r="BY48" s="20" t="n">
        <v>0.36</v>
      </c>
      <c r="BZ48" s="20" t="n">
        <v>0.17</v>
      </c>
      <c r="CA48" s="20" t="n">
        <v>0.203</v>
      </c>
      <c r="CB48" s="20" t="n">
        <v>0.672</v>
      </c>
      <c r="CC48" s="20" t="n">
        <v>0.092</v>
      </c>
      <c r="CD48" s="20" t="n">
        <v>0.389</v>
      </c>
      <c r="CE48" s="20" t="n">
        <v>0.122</v>
      </c>
      <c r="CF48" s="20" t="n">
        <v>0.129</v>
      </c>
      <c r="CG48" s="20" t="n">
        <v>0.493</v>
      </c>
      <c r="CH48" s="20" t="n">
        <v>0.488</v>
      </c>
      <c r="CI48" s="20" t="n">
        <v>0.576</v>
      </c>
      <c r="CJ48" s="20" t="n">
        <v>0.634</v>
      </c>
      <c r="CK48" s="20" t="n">
        <v>0.304</v>
      </c>
      <c r="CL48" s="20" t="n">
        <v>0.463</v>
      </c>
      <c r="CM48" s="20" t="n">
        <v>0.104</v>
      </c>
      <c r="CN48" s="20" t="n">
        <v>0.823</v>
      </c>
      <c r="CO48" s="20" t="n">
        <v>0.5580000000000001</v>
      </c>
      <c r="CP48" s="20" t="n">
        <v>0.496</v>
      </c>
      <c r="CQ48" s="20" t="n">
        <v>0.191</v>
      </c>
      <c r="CR48" s="20" t="n">
        <v>0.999</v>
      </c>
      <c r="CS48" s="20" t="n">
        <v>0.593</v>
      </c>
    </row>
    <row r="49">
      <c r="A49" s="10" t="n">
        <v>45</v>
      </c>
      <c r="B49" s="10" t="n">
        <v>22</v>
      </c>
      <c r="C49" s="20" t="n">
        <v>0.246</v>
      </c>
      <c r="D49" s="20" t="n">
        <v>0.424</v>
      </c>
      <c r="E49" s="20" t="n">
        <v>0.549</v>
      </c>
      <c r="F49" s="20" t="n">
        <v>0.299</v>
      </c>
      <c r="G49" s="20" t="n">
        <v>0.054</v>
      </c>
      <c r="H49" s="20" t="n">
        <v>0.193</v>
      </c>
      <c r="I49" s="20" t="n">
        <v>0.234</v>
      </c>
      <c r="J49" s="20" t="n">
        <v>0.051</v>
      </c>
      <c r="K49" s="20" t="n">
        <v>0.043</v>
      </c>
      <c r="L49" s="20" t="n">
        <v>0.244</v>
      </c>
      <c r="M49" s="20" t="n">
        <v>0.588</v>
      </c>
      <c r="N49" s="20" t="n">
        <v>0.41</v>
      </c>
      <c r="O49" s="20" t="n">
        <v>0.096</v>
      </c>
      <c r="P49" s="20" t="n">
        <v>0.093</v>
      </c>
      <c r="Q49" s="20" t="n">
        <v>0.256</v>
      </c>
      <c r="R49" s="20" t="n">
        <v>0.166</v>
      </c>
      <c r="S49" s="20" t="n">
        <v>0.05</v>
      </c>
      <c r="T49" s="20" t="n">
        <v>0.494</v>
      </c>
      <c r="U49" s="20" t="n">
        <v>0.478</v>
      </c>
      <c r="V49" s="20" t="n">
        <v>0.503</v>
      </c>
      <c r="W49" s="20" t="n">
        <v>0</v>
      </c>
      <c r="X49" s="20" t="n">
        <v>0.246</v>
      </c>
      <c r="Y49" s="20" t="n">
        <v>0.433</v>
      </c>
      <c r="Z49" s="20" t="n">
        <v>0.1</v>
      </c>
      <c r="AA49" s="20" t="n">
        <v>0.136</v>
      </c>
      <c r="AB49" s="20" t="n">
        <v>0.696</v>
      </c>
      <c r="AC49" s="20" t="n">
        <v>0.46</v>
      </c>
      <c r="AD49" s="20" t="n">
        <v>0.824</v>
      </c>
      <c r="AE49" s="20" t="n">
        <v>0.368</v>
      </c>
      <c r="AF49" s="20" t="n">
        <v>0.06900000000000001</v>
      </c>
      <c r="AG49" s="20" t="n">
        <v>0.216</v>
      </c>
      <c r="AH49" s="20" t="n">
        <v>0.234</v>
      </c>
      <c r="AI49" s="20" t="n">
        <v>0.297</v>
      </c>
      <c r="AJ49" s="20" t="n">
        <v>0.307</v>
      </c>
      <c r="AK49" s="20" t="n">
        <v>0.946</v>
      </c>
      <c r="AL49" s="20" t="n">
        <v>0.426</v>
      </c>
      <c r="AM49" s="20" t="n">
        <v>1.448</v>
      </c>
      <c r="AN49" s="20" t="n">
        <v>0.046</v>
      </c>
      <c r="AO49" s="20" t="n">
        <v>0.06</v>
      </c>
      <c r="AP49" s="20" t="n">
        <v>0.8179999999999999</v>
      </c>
      <c r="AQ49" s="20" t="n">
        <v>0.058</v>
      </c>
      <c r="AR49" s="20" t="n">
        <v>0.166</v>
      </c>
      <c r="AS49" s="20" t="n">
        <v>0.6929999999999999</v>
      </c>
      <c r="AT49" s="20" t="n">
        <v>0.238</v>
      </c>
      <c r="AU49" s="20" t="n">
        <v>0</v>
      </c>
      <c r="AV49" s="20" t="n">
        <v>0.729</v>
      </c>
      <c r="AW49" s="20" t="n">
        <v>0.696</v>
      </c>
      <c r="AX49" s="20" t="n">
        <v>0.488</v>
      </c>
      <c r="AY49" s="20" t="n">
        <v>0.12</v>
      </c>
      <c r="AZ49" s="20" t="n">
        <v>0.106</v>
      </c>
      <c r="BA49" s="20" t="n">
        <v>0.501</v>
      </c>
      <c r="BB49" s="20" t="n">
        <v>0.24</v>
      </c>
      <c r="BC49" s="20" t="n">
        <v>0.364</v>
      </c>
      <c r="BD49" s="20" t="n">
        <v>0.055</v>
      </c>
      <c r="BE49" s="20" t="n">
        <v>0</v>
      </c>
      <c r="BF49" s="20" t="n">
        <v>0.321</v>
      </c>
      <c r="BG49" s="20" t="n">
        <v>0.08799999999999999</v>
      </c>
      <c r="BH49" s="20" t="n">
        <v>0.383</v>
      </c>
      <c r="BI49" s="20" t="n">
        <v>0.449</v>
      </c>
      <c r="BJ49" s="20" t="n">
        <v>0.119</v>
      </c>
      <c r="BK49" s="20" t="n">
        <v>0.593</v>
      </c>
      <c r="BL49" s="20" t="n">
        <v>0.304</v>
      </c>
      <c r="BM49" s="20" t="n">
        <v>0.621</v>
      </c>
      <c r="BN49" s="20" t="n">
        <v>0.368</v>
      </c>
      <c r="BO49" s="20" t="n">
        <v>0.374</v>
      </c>
      <c r="BP49" s="20" t="n">
        <v>1.147</v>
      </c>
      <c r="BQ49" s="20" t="n">
        <v>0.986</v>
      </c>
      <c r="BR49" s="20" t="n">
        <v>0.306</v>
      </c>
      <c r="BS49" s="20" t="n">
        <v>0</v>
      </c>
      <c r="BT49" s="20" t="n">
        <v>0.131</v>
      </c>
      <c r="BU49" s="20" t="n">
        <v>0.32</v>
      </c>
      <c r="BV49" s="20" t="n">
        <v>0.534</v>
      </c>
      <c r="BW49" s="20" t="n">
        <v>0.681</v>
      </c>
      <c r="BX49" s="20" t="n">
        <v>0.21</v>
      </c>
      <c r="BY49" s="20" t="n">
        <v>0.499</v>
      </c>
      <c r="BZ49" s="20" t="n">
        <v>0.058</v>
      </c>
      <c r="CA49" s="20" t="n">
        <v>0.15</v>
      </c>
      <c r="CB49" s="20" t="n">
        <v>0</v>
      </c>
      <c r="CC49" s="20" t="n">
        <v>0.138</v>
      </c>
      <c r="CD49" s="20" t="n">
        <v>0.396</v>
      </c>
      <c r="CE49" s="20" t="n">
        <v>0</v>
      </c>
      <c r="CF49" s="20" t="n">
        <v>0.136</v>
      </c>
      <c r="CG49" s="20" t="n">
        <v>0.301</v>
      </c>
      <c r="CH49" s="20" t="n">
        <v>0.473</v>
      </c>
      <c r="CI49" s="20" t="n">
        <v>0.454</v>
      </c>
      <c r="CJ49" s="20" t="n">
        <v>0.801</v>
      </c>
      <c r="CK49" s="20" t="n">
        <v>0.697</v>
      </c>
      <c r="CL49" s="20" t="n">
        <v>0.533</v>
      </c>
      <c r="CM49" s="20" t="n">
        <v>0.048</v>
      </c>
      <c r="CN49" s="20" t="n">
        <v>0.416</v>
      </c>
      <c r="CO49" s="20" t="n">
        <v>0.601</v>
      </c>
      <c r="CP49" s="20" t="n">
        <v>0.497</v>
      </c>
      <c r="CQ49" s="20" t="n">
        <v>0.092</v>
      </c>
      <c r="CR49" s="20" t="n">
        <v>0.391</v>
      </c>
      <c r="CS49" s="20" t="n">
        <v>0.391</v>
      </c>
    </row>
    <row r="50">
      <c r="A50" s="10" t="n">
        <v>46</v>
      </c>
      <c r="B50" s="10" t="n">
        <v>22.5</v>
      </c>
      <c r="C50" s="20" t="n">
        <v>0.412</v>
      </c>
      <c r="D50" s="20" t="n">
        <v>0.263</v>
      </c>
      <c r="E50" s="20" t="n">
        <v>0.271</v>
      </c>
      <c r="F50" s="20" t="n">
        <v>0.321</v>
      </c>
      <c r="G50" s="20" t="n">
        <v>0.302</v>
      </c>
      <c r="H50" s="20" t="n">
        <v>0.156</v>
      </c>
      <c r="I50" s="20" t="n">
        <v>0.352</v>
      </c>
      <c r="J50" s="20" t="n">
        <v>0.205</v>
      </c>
      <c r="K50" s="20" t="n">
        <v>0</v>
      </c>
      <c r="L50" s="20" t="n">
        <v>0.529</v>
      </c>
      <c r="M50" s="20" t="n">
        <v>0.536</v>
      </c>
      <c r="N50" s="20" t="n">
        <v>0.668</v>
      </c>
      <c r="O50" s="20" t="n">
        <v>0.212</v>
      </c>
      <c r="P50" s="20" t="n">
        <v>0.145</v>
      </c>
      <c r="Q50" s="20" t="n">
        <v>0.357</v>
      </c>
      <c r="R50" s="20" t="n">
        <v>0.047</v>
      </c>
      <c r="S50" s="20" t="n">
        <v>0.05</v>
      </c>
      <c r="T50" s="20" t="n">
        <v>0.586</v>
      </c>
      <c r="U50" s="20" t="n">
        <v>0.39</v>
      </c>
      <c r="V50" s="20" t="n">
        <v>1.885</v>
      </c>
      <c r="W50" s="20" t="n">
        <v>0</v>
      </c>
      <c r="X50" s="20" t="n">
        <v>0.143</v>
      </c>
      <c r="Y50" s="20" t="n">
        <v>0.144</v>
      </c>
      <c r="Z50" s="20" t="n">
        <v>0.196</v>
      </c>
      <c r="AA50" s="20" t="n">
        <v>0.502</v>
      </c>
      <c r="AB50" s="20" t="n">
        <v>0.461</v>
      </c>
      <c r="AC50" s="20" t="n">
        <v>0.056</v>
      </c>
      <c r="AD50" s="20" t="n">
        <v>0.499</v>
      </c>
      <c r="AE50" s="20" t="n">
        <v>0.374</v>
      </c>
      <c r="AF50" s="20" t="n">
        <v>0.313</v>
      </c>
      <c r="AG50" s="20" t="n">
        <v>0.153</v>
      </c>
      <c r="AH50" s="20" t="n">
        <v>0.142</v>
      </c>
      <c r="AI50" s="20" t="n">
        <v>0.057</v>
      </c>
      <c r="AJ50" s="20" t="n">
        <v>0.423</v>
      </c>
      <c r="AK50" s="20" t="n">
        <v>0</v>
      </c>
      <c r="AL50" s="20" t="n">
        <v>0.5610000000000001</v>
      </c>
      <c r="AM50" s="20" t="n">
        <v>0.593</v>
      </c>
      <c r="AN50" s="20" t="n">
        <v>0.046</v>
      </c>
      <c r="AO50" s="20" t="n">
        <v>0.111</v>
      </c>
      <c r="AP50" s="20" t="n">
        <v>0.737</v>
      </c>
      <c r="AQ50" s="20" t="n">
        <v>0.188</v>
      </c>
      <c r="AR50" s="20" t="n">
        <v>0.049</v>
      </c>
      <c r="AS50" s="20" t="n">
        <v>0.843</v>
      </c>
      <c r="AT50" s="20" t="n">
        <v>0.209</v>
      </c>
      <c r="AU50" s="20" t="n">
        <v>0</v>
      </c>
      <c r="AV50" s="20" t="n">
        <v>0.853</v>
      </c>
      <c r="AW50" s="20" t="n">
        <v>0.33</v>
      </c>
      <c r="AX50" s="20" t="n">
        <v>0.598</v>
      </c>
      <c r="AY50" s="20" t="n">
        <v>0.049</v>
      </c>
      <c r="AZ50" s="20" t="n">
        <v>0.19</v>
      </c>
      <c r="BA50" s="20" t="n">
        <v>0.371</v>
      </c>
      <c r="BB50" s="20" t="n">
        <v>0.076</v>
      </c>
      <c r="BC50" s="20" t="n">
        <v>0.055</v>
      </c>
      <c r="BD50" s="20" t="n">
        <v>0.261</v>
      </c>
      <c r="BE50" s="20" t="n">
        <v>0</v>
      </c>
      <c r="BF50" s="20" t="n">
        <v>0.847</v>
      </c>
      <c r="BG50" s="20" t="n">
        <v>0.062</v>
      </c>
      <c r="BH50" s="20" t="n">
        <v>0.462</v>
      </c>
      <c r="BI50" s="20" t="n">
        <v>0.439</v>
      </c>
      <c r="BJ50" s="20" t="n">
        <v>0.173</v>
      </c>
      <c r="BK50" s="20" t="n">
        <v>0.545</v>
      </c>
      <c r="BL50" s="20" t="n">
        <v>0.165</v>
      </c>
      <c r="BM50" s="20" t="n">
        <v>1.66</v>
      </c>
      <c r="BN50" s="20" t="n">
        <v>0.049</v>
      </c>
      <c r="BO50" s="20" t="n">
        <v>0.313</v>
      </c>
      <c r="BP50" s="20" t="n">
        <v>0.674</v>
      </c>
      <c r="BQ50" s="20" t="n">
        <v>0.42</v>
      </c>
      <c r="BR50" s="20" t="n">
        <v>0.386</v>
      </c>
      <c r="BS50" s="20" t="n">
        <v>0</v>
      </c>
      <c r="BT50" s="20" t="n">
        <v>0.038</v>
      </c>
      <c r="BU50" s="20" t="n">
        <v>0.396</v>
      </c>
      <c r="BV50" s="20" t="n">
        <v>0.284</v>
      </c>
      <c r="BW50" s="20" t="n">
        <v>0.75</v>
      </c>
      <c r="BX50" s="20" t="n">
        <v>0.054</v>
      </c>
      <c r="BY50" s="20" t="n">
        <v>0.436</v>
      </c>
      <c r="BZ50" s="20" t="n">
        <v>0.273</v>
      </c>
      <c r="CA50" s="20" t="n">
        <v>0.07199999999999999</v>
      </c>
      <c r="CB50" s="20" t="n">
        <v>0</v>
      </c>
      <c r="CC50" s="20" t="n">
        <v>0.171</v>
      </c>
      <c r="CD50" s="20" t="n">
        <v>0.462</v>
      </c>
      <c r="CE50" s="20" t="n">
        <v>0</v>
      </c>
      <c r="CF50" s="20" t="n">
        <v>0.142</v>
      </c>
      <c r="CG50" s="20" t="n">
        <v>0.08500000000000001</v>
      </c>
      <c r="CH50" s="20" t="n">
        <v>0.074</v>
      </c>
      <c r="CI50" s="20" t="n">
        <v>0.174</v>
      </c>
      <c r="CJ50" s="20" t="n">
        <v>0</v>
      </c>
      <c r="CK50" s="20" t="n">
        <v>0.569</v>
      </c>
      <c r="CL50" s="20" t="n">
        <v>0.593</v>
      </c>
      <c r="CM50" s="20" t="n">
        <v>0.065</v>
      </c>
      <c r="CN50" s="20" t="n">
        <v>0.788</v>
      </c>
      <c r="CO50" s="20" t="n">
        <v>0.53</v>
      </c>
      <c r="CP50" s="20" t="n">
        <v>0.607</v>
      </c>
      <c r="CQ50" s="20" t="n">
        <v>0.051</v>
      </c>
      <c r="CR50" s="20" t="n">
        <v>0.309</v>
      </c>
      <c r="CS50" s="20" t="n">
        <v>0.168</v>
      </c>
    </row>
    <row r="51">
      <c r="A51" s="10" t="n">
        <v>47</v>
      </c>
      <c r="B51" s="10" t="n">
        <v>23</v>
      </c>
      <c r="C51" s="20" t="n">
        <v>0.241</v>
      </c>
      <c r="D51" s="20" t="n">
        <v>0.317</v>
      </c>
      <c r="E51" s="20" t="n">
        <v>0.173</v>
      </c>
      <c r="F51" s="20" t="n">
        <v>0.057</v>
      </c>
      <c r="G51" s="20" t="n">
        <v>0.083</v>
      </c>
      <c r="H51" s="20" t="n">
        <v>0.05</v>
      </c>
      <c r="I51" s="20" t="n">
        <v>0.131</v>
      </c>
      <c r="J51" s="20" t="n">
        <v>0.103</v>
      </c>
      <c r="K51" s="20" t="n">
        <v>0</v>
      </c>
      <c r="L51" s="20" t="n">
        <v>0.326</v>
      </c>
      <c r="M51" s="20" t="n">
        <v>0.341</v>
      </c>
      <c r="N51" s="20" t="n">
        <v>0.386</v>
      </c>
      <c r="O51" s="20" t="n">
        <v>0.366</v>
      </c>
      <c r="P51" s="20" t="n">
        <v>0.047</v>
      </c>
      <c r="Q51" s="20" t="n">
        <v>0.217</v>
      </c>
      <c r="R51" s="20" t="n">
        <v>0.047</v>
      </c>
      <c r="S51" s="20" t="n">
        <v>0.05</v>
      </c>
      <c r="T51" s="20" t="n">
        <v>0.495</v>
      </c>
      <c r="U51" s="20" t="n">
        <v>2.033</v>
      </c>
      <c r="V51" s="20" t="n">
        <v>0.184</v>
      </c>
      <c r="W51" s="20" t="n">
        <v>0</v>
      </c>
      <c r="X51" s="20" t="n">
        <v>0.152</v>
      </c>
      <c r="Y51" s="20" t="n">
        <v>0.217</v>
      </c>
      <c r="Z51" s="20" t="n">
        <v>0.376</v>
      </c>
      <c r="AA51" s="20" t="n">
        <v>0.054</v>
      </c>
      <c r="AB51" s="20" t="n">
        <v>0.37</v>
      </c>
      <c r="AC51" s="20" t="n">
        <v>0.056</v>
      </c>
      <c r="AD51" s="20" t="n">
        <v>0.435</v>
      </c>
      <c r="AE51" s="20" t="n">
        <v>0.43</v>
      </c>
      <c r="AF51" s="20" t="n">
        <v>0.054</v>
      </c>
      <c r="AG51" s="20" t="n">
        <v>0.036</v>
      </c>
      <c r="AH51" s="20" t="n">
        <v>0.197</v>
      </c>
      <c r="AI51" s="20" t="n">
        <v>0.193</v>
      </c>
      <c r="AJ51" s="20" t="n">
        <v>0.857</v>
      </c>
      <c r="AK51" s="20" t="n">
        <v>0</v>
      </c>
      <c r="AL51" s="20" t="n">
        <v>0.516</v>
      </c>
      <c r="AM51" s="20" t="n">
        <v>0.223</v>
      </c>
      <c r="AN51" s="20" t="n">
        <v>0.192</v>
      </c>
      <c r="AO51" s="20" t="n">
        <v>0.267</v>
      </c>
      <c r="AP51" s="20" t="n">
        <v>0.702</v>
      </c>
      <c r="AQ51" s="20" t="n">
        <v>0.079</v>
      </c>
      <c r="AR51" s="20" t="n">
        <v>0.049</v>
      </c>
      <c r="AS51" s="20" t="n">
        <v>0.701</v>
      </c>
      <c r="AT51" s="20" t="n">
        <v>0.265</v>
      </c>
      <c r="AU51" s="20" t="n">
        <v>0</v>
      </c>
      <c r="AV51" s="20" t="n">
        <v>0.676</v>
      </c>
      <c r="AW51" s="20" t="n">
        <v>0.261</v>
      </c>
      <c r="AX51" s="20" t="n">
        <v>0.555</v>
      </c>
      <c r="AY51" s="20" t="n">
        <v>0.144</v>
      </c>
      <c r="AZ51" s="20" t="n">
        <v>0.133</v>
      </c>
      <c r="BA51" s="20" t="n">
        <v>0.389</v>
      </c>
      <c r="BB51" s="20" t="n">
        <v>0.138</v>
      </c>
      <c r="BC51" s="20" t="n">
        <v>0.303</v>
      </c>
      <c r="BD51" s="20" t="n">
        <v>0.091</v>
      </c>
      <c r="BE51" s="20" t="n">
        <v>0</v>
      </c>
      <c r="BF51" s="20" t="n">
        <v>0.289</v>
      </c>
      <c r="BG51" s="20" t="n">
        <v>0.235</v>
      </c>
      <c r="BH51" s="20" t="n">
        <v>0.185</v>
      </c>
      <c r="BI51" s="20" t="n">
        <v>0.44</v>
      </c>
      <c r="BJ51" s="20" t="n">
        <v>0.142</v>
      </c>
      <c r="BK51" s="20" t="n">
        <v>0.038</v>
      </c>
      <c r="BL51" s="20" t="n">
        <v>0.182</v>
      </c>
      <c r="BM51" s="20" t="n">
        <v>0.68</v>
      </c>
      <c r="BN51" s="20" t="n">
        <v>0.117</v>
      </c>
      <c r="BO51" s="20" t="n">
        <v>0.132</v>
      </c>
      <c r="BP51" s="20" t="n">
        <v>1.002</v>
      </c>
      <c r="BQ51" s="20" t="n">
        <v>0.38</v>
      </c>
      <c r="BR51" s="20" t="n">
        <v>0.277</v>
      </c>
      <c r="BS51" s="20" t="n">
        <v>0</v>
      </c>
      <c r="BT51" s="20" t="n">
        <v>0.139</v>
      </c>
      <c r="BU51" s="20" t="n">
        <v>0.358</v>
      </c>
      <c r="BV51" s="20" t="n">
        <v>0.484</v>
      </c>
      <c r="BW51" s="20" t="n">
        <v>0.5669999999999999</v>
      </c>
      <c r="BX51" s="20" t="n">
        <v>0.406</v>
      </c>
      <c r="BY51" s="20" t="n">
        <v>0.596</v>
      </c>
      <c r="BZ51" s="20" t="n">
        <v>0.148</v>
      </c>
      <c r="CA51" s="20" t="n">
        <v>0.334</v>
      </c>
      <c r="CB51" s="20" t="n">
        <v>0</v>
      </c>
      <c r="CC51" s="20" t="n">
        <v>0.206</v>
      </c>
      <c r="CD51" s="20" t="n">
        <v>0.053</v>
      </c>
      <c r="CE51" s="20" t="n">
        <v>0</v>
      </c>
      <c r="CF51" s="20" t="n">
        <v>0.142</v>
      </c>
      <c r="CG51" s="20" t="n">
        <v>0.079</v>
      </c>
      <c r="CH51" s="20" t="n">
        <v>0.199</v>
      </c>
      <c r="CI51" s="20" t="n">
        <v>0.323</v>
      </c>
      <c r="CJ51" s="20" t="n">
        <v>0</v>
      </c>
      <c r="CK51" s="20" t="n">
        <v>0.51</v>
      </c>
      <c r="CL51" s="20" t="n">
        <v>0.546</v>
      </c>
      <c r="CM51" s="20" t="n">
        <v>0.108</v>
      </c>
      <c r="CN51" s="20" t="n">
        <v>0.274</v>
      </c>
      <c r="CO51" s="20" t="n">
        <v>0.05</v>
      </c>
      <c r="CP51" s="20" t="n">
        <v>0.265</v>
      </c>
      <c r="CQ51" s="20" t="n">
        <v>0.166</v>
      </c>
      <c r="CR51" s="20" t="n">
        <v>0.168</v>
      </c>
      <c r="CS51" s="20" t="n">
        <v>0.163</v>
      </c>
    </row>
    <row r="52">
      <c r="A52" s="10" t="n">
        <v>48</v>
      </c>
      <c r="B52" s="10" t="n">
        <v>23.5</v>
      </c>
      <c r="C52" s="20" t="n">
        <v>0.447</v>
      </c>
      <c r="D52" s="20" t="n">
        <v>0.043</v>
      </c>
      <c r="E52" s="20" t="n">
        <v>0.346</v>
      </c>
      <c r="F52" s="20" t="n">
        <v>0.057</v>
      </c>
      <c r="G52" s="20" t="n">
        <v>0.054</v>
      </c>
      <c r="H52" s="20" t="n">
        <v>0.194</v>
      </c>
      <c r="I52" s="20" t="n">
        <v>0.081</v>
      </c>
      <c r="J52" s="20" t="n">
        <v>0.055</v>
      </c>
      <c r="K52" s="20" t="n">
        <v>0</v>
      </c>
      <c r="L52" s="20" t="n">
        <v>0.041</v>
      </c>
      <c r="M52" s="20" t="n">
        <v>0.117</v>
      </c>
      <c r="N52" s="20" t="n">
        <v>0.055</v>
      </c>
      <c r="O52" s="20" t="n">
        <v>0.424</v>
      </c>
      <c r="P52" s="20" t="n">
        <v>0.047</v>
      </c>
      <c r="Q52" s="20" t="n">
        <v>0.054</v>
      </c>
      <c r="R52" s="20" t="n">
        <v>0.343</v>
      </c>
      <c r="S52" s="20" t="n">
        <v>0.05</v>
      </c>
      <c r="T52" s="20" t="n">
        <v>0.328</v>
      </c>
      <c r="U52" s="20" t="n">
        <v>0.486</v>
      </c>
      <c r="V52" s="20" t="n">
        <v>0.041</v>
      </c>
      <c r="W52" s="20" t="n">
        <v>0</v>
      </c>
      <c r="X52" s="20" t="n">
        <v>0.08799999999999999</v>
      </c>
      <c r="Y52" s="20" t="n">
        <v>0.058</v>
      </c>
      <c r="Z52" s="20" t="n">
        <v>0.478</v>
      </c>
      <c r="AA52" s="20" t="n">
        <v>0.174</v>
      </c>
      <c r="AB52" s="20" t="n">
        <v>0.192</v>
      </c>
      <c r="AC52" s="20" t="n">
        <v>0.129</v>
      </c>
      <c r="AD52" s="20" t="n">
        <v>0.548</v>
      </c>
      <c r="AE52" s="20" t="n">
        <v>0.409</v>
      </c>
      <c r="AF52" s="20" t="n">
        <v>0.32</v>
      </c>
      <c r="AG52" s="20" t="n">
        <v>0.048</v>
      </c>
      <c r="AH52" s="20" t="n">
        <v>0.179</v>
      </c>
      <c r="AI52" s="20" t="n">
        <v>0.151</v>
      </c>
      <c r="AJ52" s="20" t="n">
        <v>0.743</v>
      </c>
      <c r="AK52" s="20" t="n">
        <v>0</v>
      </c>
      <c r="AL52" s="20" t="n">
        <v>0.159</v>
      </c>
      <c r="AM52" s="20" t="n">
        <v>0.162</v>
      </c>
      <c r="AN52" s="20" t="n">
        <v>0.725</v>
      </c>
      <c r="AO52" s="20" t="n">
        <v>0.063</v>
      </c>
      <c r="AP52" s="20" t="n">
        <v>0.321</v>
      </c>
      <c r="AQ52" s="20" t="n">
        <v>0.058</v>
      </c>
      <c r="AR52" s="20" t="n">
        <v>0.068</v>
      </c>
      <c r="AS52" s="20" t="n">
        <v>0.6850000000000001</v>
      </c>
      <c r="AT52" s="20" t="n">
        <v>0.213</v>
      </c>
      <c r="AU52" s="20" t="n">
        <v>0</v>
      </c>
      <c r="AV52" s="20" t="n">
        <v>0.609</v>
      </c>
      <c r="AW52" s="20" t="n">
        <v>0.164</v>
      </c>
      <c r="AX52" s="20" t="n">
        <v>0.623</v>
      </c>
      <c r="AY52" s="20" t="n">
        <v>0.049</v>
      </c>
      <c r="AZ52" s="20" t="n">
        <v>0.113</v>
      </c>
      <c r="BA52" s="20" t="n">
        <v>0.337</v>
      </c>
      <c r="BB52" s="20" t="n">
        <v>0.207</v>
      </c>
      <c r="BC52" s="20" t="n">
        <v>0.394</v>
      </c>
      <c r="BD52" s="20" t="n">
        <v>0.22</v>
      </c>
      <c r="BE52" s="20" t="n">
        <v>0</v>
      </c>
      <c r="BF52" s="20" t="n">
        <v>0.048</v>
      </c>
      <c r="BG52" s="20" t="n">
        <v>0.047</v>
      </c>
      <c r="BH52" s="20" t="n">
        <v>0.029</v>
      </c>
      <c r="BI52" s="20" t="n">
        <v>0.253</v>
      </c>
      <c r="BJ52" s="20" t="n">
        <v>0.145</v>
      </c>
      <c r="BK52" s="20" t="n">
        <v>0.153</v>
      </c>
      <c r="BL52" s="20" t="n">
        <v>0.347</v>
      </c>
      <c r="BM52" s="20" t="n">
        <v>0.505</v>
      </c>
      <c r="BN52" s="20" t="n">
        <v>0.23</v>
      </c>
      <c r="BO52" s="20" t="n">
        <v>0.047</v>
      </c>
      <c r="BP52" s="20" t="n">
        <v>0.063</v>
      </c>
      <c r="BQ52" s="20" t="n">
        <v>0.055</v>
      </c>
      <c r="BR52" s="20" t="n">
        <v>0.09</v>
      </c>
      <c r="BS52" s="20" t="n">
        <v>0</v>
      </c>
      <c r="BT52" s="20" t="n">
        <v>0.038</v>
      </c>
      <c r="BU52" s="20" t="n">
        <v>0.171</v>
      </c>
      <c r="BV52" s="20" t="n">
        <v>0.151</v>
      </c>
      <c r="BW52" s="20" t="n">
        <v>0.501</v>
      </c>
      <c r="BX52" s="20" t="n">
        <v>0.066</v>
      </c>
      <c r="BY52" s="20" t="n">
        <v>0.743</v>
      </c>
      <c r="BZ52" s="20" t="n">
        <v>0.058</v>
      </c>
      <c r="CA52" s="20" t="n">
        <v>0.046</v>
      </c>
      <c r="CB52" s="20" t="n">
        <v>0</v>
      </c>
      <c r="CC52" s="20" t="n">
        <v>0.193</v>
      </c>
      <c r="CD52" s="20" t="n">
        <v>0.053</v>
      </c>
      <c r="CE52" s="20" t="n">
        <v>0</v>
      </c>
      <c r="CF52" s="20" t="n">
        <v>0.218</v>
      </c>
      <c r="CG52" s="20" t="n">
        <v>0.137</v>
      </c>
      <c r="CH52" s="20" t="n">
        <v>0.05</v>
      </c>
      <c r="CI52" s="20" t="n">
        <v>0.004</v>
      </c>
      <c r="CJ52" s="20" t="n">
        <v>0</v>
      </c>
      <c r="CK52" s="20" t="n">
        <v>0.075</v>
      </c>
      <c r="CL52" s="20" t="n">
        <v>0.235</v>
      </c>
      <c r="CM52" s="20" t="n">
        <v>0.078</v>
      </c>
      <c r="CN52" s="20" t="n">
        <v>0.07199999999999999</v>
      </c>
      <c r="CO52" s="20" t="n">
        <v>0.08799999999999999</v>
      </c>
      <c r="CP52" s="20" t="n">
        <v>0.142</v>
      </c>
      <c r="CQ52" s="20" t="n">
        <v>0.117</v>
      </c>
      <c r="CR52" s="20" t="n">
        <v>0.225</v>
      </c>
      <c r="CS52" s="20" t="n">
        <v>0.218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TR2 PV allocation — per half-hour</t>
        </is>
      </c>
    </row>
    <row r="2">
      <c r="A2" s="17" t="inlineStr">
        <is>
          <t>VIOLET = aggregated live from the raw sheets 3–6 (SUM / SUMIF).  AMBER = priority split (MIN formulas): PV → prosumer load → battery → customer load → export.</t>
        </is>
      </c>
    </row>
    <row r="4" ht="30" customHeight="1">
      <c r="A4" s="7" t="inlineStr">
        <is>
          <t>period</t>
        </is>
      </c>
      <c r="B4" s="7" t="inlineStr">
        <is>
          <t>hour
(h)</t>
        </is>
      </c>
      <c r="C4" s="7" t="inlineStr">
        <is>
          <t>PV
(kW)</t>
        </is>
      </c>
      <c r="D4" s="7" t="inlineStr">
        <is>
          <t>prosumer
load (kW)</t>
        </is>
      </c>
      <c r="E4" s="7" t="inlineStr">
        <is>
          <t>customer
load (kW)</t>
        </is>
      </c>
      <c r="F4" s="7" t="inlineStr">
        <is>
          <t>batt
charge (kW)</t>
        </is>
      </c>
      <c r="G4" s="7" t="inlineStr">
        <is>
          <t>batt
discharge (kW)</t>
        </is>
      </c>
      <c r="H4" s="7" t="inlineStr">
        <is>
          <t>batt net
=chg−dis</t>
        </is>
      </c>
      <c r="I4" s="7" t="inlineStr">
        <is>
          <t>PV→
prosumer</t>
        </is>
      </c>
      <c r="J4" s="7" t="inlineStr">
        <is>
          <t>PV→
battery</t>
        </is>
      </c>
      <c r="K4" s="7" t="inlineStr">
        <is>
          <t>PV→
customer</t>
        </is>
      </c>
      <c r="L4" s="7" t="inlineStr">
        <is>
          <t>PV→
export</t>
        </is>
      </c>
      <c r="M4" s="7" t="inlineStr">
        <is>
          <t>customer
←grid</t>
        </is>
      </c>
    </row>
    <row r="5">
      <c r="A5" s="10" t="n">
        <v>1</v>
      </c>
      <c r="B5" s="21" t="n">
        <v>0</v>
      </c>
      <c r="C5" s="22">
        <f>SUM('3. Raw PV per load'!C5:C181)</f>
        <v/>
      </c>
      <c r="D5" s="22">
        <f>SUMIF('4. Raw load per load'!$B$5:$B$181,"prosumer",'4. Raw load per load'!C5:C181)</f>
        <v/>
      </c>
      <c r="E5" s="22">
        <f>SUMIF('4. Raw load per load'!$B$5:$B$181,"customer",'4. Raw load per load'!C5:C181)</f>
        <v/>
      </c>
      <c r="F5" s="22">
        <f>SUM('5. Raw batt charge'!C5:CS5)</f>
        <v/>
      </c>
      <c r="G5" s="22">
        <f>SUM('6. Raw batt discharge'!C5:CS5)</f>
        <v/>
      </c>
      <c r="H5" s="23">
        <f>F5-G5</f>
        <v/>
      </c>
      <c r="I5" s="23">
        <f>MIN(C5,D5)</f>
        <v/>
      </c>
      <c r="J5" s="23">
        <f>MIN(C5-I5,MAX(0,H5))</f>
        <v/>
      </c>
      <c r="K5" s="23">
        <f>MIN(C5-I5-J5,E5)</f>
        <v/>
      </c>
      <c r="L5" s="23">
        <f>C5-I5-J5-K5</f>
        <v/>
      </c>
      <c r="M5" s="23">
        <f>E5-K5</f>
        <v/>
      </c>
    </row>
    <row r="6">
      <c r="A6" s="10" t="n">
        <v>2</v>
      </c>
      <c r="B6" s="21" t="n">
        <v>0.5</v>
      </c>
      <c r="C6" s="22">
        <f>SUM('3. Raw PV per load'!D5:D181)</f>
        <v/>
      </c>
      <c r="D6" s="22">
        <f>SUMIF('4. Raw load per load'!$B$5:$B$181,"prosumer",'4. Raw load per load'!D5:D181)</f>
        <v/>
      </c>
      <c r="E6" s="22">
        <f>SUMIF('4. Raw load per load'!$B$5:$B$181,"customer",'4. Raw load per load'!D5:D181)</f>
        <v/>
      </c>
      <c r="F6" s="22">
        <f>SUM('5. Raw batt charge'!C6:CS6)</f>
        <v/>
      </c>
      <c r="G6" s="22">
        <f>SUM('6. Raw batt discharge'!C6:CS6)</f>
        <v/>
      </c>
      <c r="H6" s="23">
        <f>F6-G6</f>
        <v/>
      </c>
      <c r="I6" s="23">
        <f>MIN(C6,D6)</f>
        <v/>
      </c>
      <c r="J6" s="23">
        <f>MIN(C6-I6,MAX(0,H6))</f>
        <v/>
      </c>
      <c r="K6" s="23">
        <f>MIN(C6-I6-J6,E6)</f>
        <v/>
      </c>
      <c r="L6" s="23">
        <f>C6-I6-J6-K6</f>
        <v/>
      </c>
      <c r="M6" s="23">
        <f>E6-K6</f>
        <v/>
      </c>
    </row>
    <row r="7">
      <c r="A7" s="10" t="n">
        <v>3</v>
      </c>
      <c r="B7" s="21" t="n">
        <v>1</v>
      </c>
      <c r="C7" s="22">
        <f>SUM('3. Raw PV per load'!E5:E181)</f>
        <v/>
      </c>
      <c r="D7" s="22">
        <f>SUMIF('4. Raw load per load'!$B$5:$B$181,"prosumer",'4. Raw load per load'!E5:E181)</f>
        <v/>
      </c>
      <c r="E7" s="22">
        <f>SUMIF('4. Raw load per load'!$B$5:$B$181,"customer",'4. Raw load per load'!E5:E181)</f>
        <v/>
      </c>
      <c r="F7" s="22">
        <f>SUM('5. Raw batt charge'!C7:CS7)</f>
        <v/>
      </c>
      <c r="G7" s="22">
        <f>SUM('6. Raw batt discharge'!C7:CS7)</f>
        <v/>
      </c>
      <c r="H7" s="23">
        <f>F7-G7</f>
        <v/>
      </c>
      <c r="I7" s="23">
        <f>MIN(C7,D7)</f>
        <v/>
      </c>
      <c r="J7" s="23">
        <f>MIN(C7-I7,MAX(0,H7))</f>
        <v/>
      </c>
      <c r="K7" s="23">
        <f>MIN(C7-I7-J7,E7)</f>
        <v/>
      </c>
      <c r="L7" s="23">
        <f>C7-I7-J7-K7</f>
        <v/>
      </c>
      <c r="M7" s="23">
        <f>E7-K7</f>
        <v/>
      </c>
    </row>
    <row r="8">
      <c r="A8" s="10" t="n">
        <v>4</v>
      </c>
      <c r="B8" s="21" t="n">
        <v>1.5</v>
      </c>
      <c r="C8" s="22">
        <f>SUM('3. Raw PV per load'!F5:F181)</f>
        <v/>
      </c>
      <c r="D8" s="22">
        <f>SUMIF('4. Raw load per load'!$B$5:$B$181,"prosumer",'4. Raw load per load'!F5:F181)</f>
        <v/>
      </c>
      <c r="E8" s="22">
        <f>SUMIF('4. Raw load per load'!$B$5:$B$181,"customer",'4. Raw load per load'!F5:F181)</f>
        <v/>
      </c>
      <c r="F8" s="22">
        <f>SUM('5. Raw batt charge'!C8:CS8)</f>
        <v/>
      </c>
      <c r="G8" s="22">
        <f>SUM('6. Raw batt discharge'!C8:CS8)</f>
        <v/>
      </c>
      <c r="H8" s="23">
        <f>F8-G8</f>
        <v/>
      </c>
      <c r="I8" s="23">
        <f>MIN(C8,D8)</f>
        <v/>
      </c>
      <c r="J8" s="23">
        <f>MIN(C8-I8,MAX(0,H8))</f>
        <v/>
      </c>
      <c r="K8" s="23">
        <f>MIN(C8-I8-J8,E8)</f>
        <v/>
      </c>
      <c r="L8" s="23">
        <f>C8-I8-J8-K8</f>
        <v/>
      </c>
      <c r="M8" s="23">
        <f>E8-K8</f>
        <v/>
      </c>
    </row>
    <row r="9">
      <c r="A9" s="10" t="n">
        <v>5</v>
      </c>
      <c r="B9" s="21" t="n">
        <v>2</v>
      </c>
      <c r="C9" s="22">
        <f>SUM('3. Raw PV per load'!G5:G181)</f>
        <v/>
      </c>
      <c r="D9" s="22">
        <f>SUMIF('4. Raw load per load'!$B$5:$B$181,"prosumer",'4. Raw load per load'!G5:G181)</f>
        <v/>
      </c>
      <c r="E9" s="22">
        <f>SUMIF('4. Raw load per load'!$B$5:$B$181,"customer",'4. Raw load per load'!G5:G181)</f>
        <v/>
      </c>
      <c r="F9" s="22">
        <f>SUM('5. Raw batt charge'!C9:CS9)</f>
        <v/>
      </c>
      <c r="G9" s="22">
        <f>SUM('6. Raw batt discharge'!C9:CS9)</f>
        <v/>
      </c>
      <c r="H9" s="23">
        <f>F9-G9</f>
        <v/>
      </c>
      <c r="I9" s="23">
        <f>MIN(C9,D9)</f>
        <v/>
      </c>
      <c r="J9" s="23">
        <f>MIN(C9-I9,MAX(0,H9))</f>
        <v/>
      </c>
      <c r="K9" s="23">
        <f>MIN(C9-I9-J9,E9)</f>
        <v/>
      </c>
      <c r="L9" s="23">
        <f>C9-I9-J9-K9</f>
        <v/>
      </c>
      <c r="M9" s="23">
        <f>E9-K9</f>
        <v/>
      </c>
    </row>
    <row r="10">
      <c r="A10" s="10" t="n">
        <v>6</v>
      </c>
      <c r="B10" s="21" t="n">
        <v>2.5</v>
      </c>
      <c r="C10" s="22">
        <f>SUM('3. Raw PV per load'!H5:H181)</f>
        <v/>
      </c>
      <c r="D10" s="22">
        <f>SUMIF('4. Raw load per load'!$B$5:$B$181,"prosumer",'4. Raw load per load'!H5:H181)</f>
        <v/>
      </c>
      <c r="E10" s="22">
        <f>SUMIF('4. Raw load per load'!$B$5:$B$181,"customer",'4. Raw load per load'!H5:H181)</f>
        <v/>
      </c>
      <c r="F10" s="22">
        <f>SUM('5. Raw batt charge'!C10:CS10)</f>
        <v/>
      </c>
      <c r="G10" s="22">
        <f>SUM('6. Raw batt discharge'!C10:CS10)</f>
        <v/>
      </c>
      <c r="H10" s="23">
        <f>F10-G10</f>
        <v/>
      </c>
      <c r="I10" s="23">
        <f>MIN(C10,D10)</f>
        <v/>
      </c>
      <c r="J10" s="23">
        <f>MIN(C10-I10,MAX(0,H10))</f>
        <v/>
      </c>
      <c r="K10" s="23">
        <f>MIN(C10-I10-J10,E10)</f>
        <v/>
      </c>
      <c r="L10" s="23">
        <f>C10-I10-J10-K10</f>
        <v/>
      </c>
      <c r="M10" s="23">
        <f>E10-K10</f>
        <v/>
      </c>
    </row>
    <row r="11">
      <c r="A11" s="10" t="n">
        <v>7</v>
      </c>
      <c r="B11" s="21" t="n">
        <v>3</v>
      </c>
      <c r="C11" s="22">
        <f>SUM('3. Raw PV per load'!I5:I181)</f>
        <v/>
      </c>
      <c r="D11" s="22">
        <f>SUMIF('4. Raw load per load'!$B$5:$B$181,"prosumer",'4. Raw load per load'!I5:I181)</f>
        <v/>
      </c>
      <c r="E11" s="22">
        <f>SUMIF('4. Raw load per load'!$B$5:$B$181,"customer",'4. Raw load per load'!I5:I181)</f>
        <v/>
      </c>
      <c r="F11" s="22">
        <f>SUM('5. Raw batt charge'!C11:CS11)</f>
        <v/>
      </c>
      <c r="G11" s="22">
        <f>SUM('6. Raw batt discharge'!C11:CS11)</f>
        <v/>
      </c>
      <c r="H11" s="23">
        <f>F11-G11</f>
        <v/>
      </c>
      <c r="I11" s="23">
        <f>MIN(C11,D11)</f>
        <v/>
      </c>
      <c r="J11" s="23">
        <f>MIN(C11-I11,MAX(0,H11))</f>
        <v/>
      </c>
      <c r="K11" s="23">
        <f>MIN(C11-I11-J11,E11)</f>
        <v/>
      </c>
      <c r="L11" s="23">
        <f>C11-I11-J11-K11</f>
        <v/>
      </c>
      <c r="M11" s="23">
        <f>E11-K11</f>
        <v/>
      </c>
    </row>
    <row r="12">
      <c r="A12" s="10" t="n">
        <v>8</v>
      </c>
      <c r="B12" s="21" t="n">
        <v>3.5</v>
      </c>
      <c r="C12" s="22">
        <f>SUM('3. Raw PV per load'!J5:J181)</f>
        <v/>
      </c>
      <c r="D12" s="22">
        <f>SUMIF('4. Raw load per load'!$B$5:$B$181,"prosumer",'4. Raw load per load'!J5:J181)</f>
        <v/>
      </c>
      <c r="E12" s="22">
        <f>SUMIF('4. Raw load per load'!$B$5:$B$181,"customer",'4. Raw load per load'!J5:J181)</f>
        <v/>
      </c>
      <c r="F12" s="22">
        <f>SUM('5. Raw batt charge'!C12:CS12)</f>
        <v/>
      </c>
      <c r="G12" s="22">
        <f>SUM('6. Raw batt discharge'!C12:CS12)</f>
        <v/>
      </c>
      <c r="H12" s="23">
        <f>F12-G12</f>
        <v/>
      </c>
      <c r="I12" s="23">
        <f>MIN(C12,D12)</f>
        <v/>
      </c>
      <c r="J12" s="23">
        <f>MIN(C12-I12,MAX(0,H12))</f>
        <v/>
      </c>
      <c r="K12" s="23">
        <f>MIN(C12-I12-J12,E12)</f>
        <v/>
      </c>
      <c r="L12" s="23">
        <f>C12-I12-J12-K12</f>
        <v/>
      </c>
      <c r="M12" s="23">
        <f>E12-K12</f>
        <v/>
      </c>
    </row>
    <row r="13">
      <c r="A13" s="10" t="n">
        <v>9</v>
      </c>
      <c r="B13" s="21" t="n">
        <v>4</v>
      </c>
      <c r="C13" s="22">
        <f>SUM('3. Raw PV per load'!K5:K181)</f>
        <v/>
      </c>
      <c r="D13" s="22">
        <f>SUMIF('4. Raw load per load'!$B$5:$B$181,"prosumer",'4. Raw load per load'!K5:K181)</f>
        <v/>
      </c>
      <c r="E13" s="22">
        <f>SUMIF('4. Raw load per load'!$B$5:$B$181,"customer",'4. Raw load per load'!K5:K181)</f>
        <v/>
      </c>
      <c r="F13" s="22">
        <f>SUM('5. Raw batt charge'!C13:CS13)</f>
        <v/>
      </c>
      <c r="G13" s="22">
        <f>SUM('6. Raw batt discharge'!C13:CS13)</f>
        <v/>
      </c>
      <c r="H13" s="23">
        <f>F13-G13</f>
        <v/>
      </c>
      <c r="I13" s="23">
        <f>MIN(C13,D13)</f>
        <v/>
      </c>
      <c r="J13" s="23">
        <f>MIN(C13-I13,MAX(0,H13))</f>
        <v/>
      </c>
      <c r="K13" s="23">
        <f>MIN(C13-I13-J13,E13)</f>
        <v/>
      </c>
      <c r="L13" s="23">
        <f>C13-I13-J13-K13</f>
        <v/>
      </c>
      <c r="M13" s="23">
        <f>E13-K13</f>
        <v/>
      </c>
    </row>
    <row r="14">
      <c r="A14" s="10" t="n">
        <v>10</v>
      </c>
      <c r="B14" s="21" t="n">
        <v>4.5</v>
      </c>
      <c r="C14" s="22">
        <f>SUM('3. Raw PV per load'!L5:L181)</f>
        <v/>
      </c>
      <c r="D14" s="22">
        <f>SUMIF('4. Raw load per load'!$B$5:$B$181,"prosumer",'4. Raw load per load'!L5:L181)</f>
        <v/>
      </c>
      <c r="E14" s="22">
        <f>SUMIF('4. Raw load per load'!$B$5:$B$181,"customer",'4. Raw load per load'!L5:L181)</f>
        <v/>
      </c>
      <c r="F14" s="22">
        <f>SUM('5. Raw batt charge'!C14:CS14)</f>
        <v/>
      </c>
      <c r="G14" s="22">
        <f>SUM('6. Raw batt discharge'!C14:CS14)</f>
        <v/>
      </c>
      <c r="H14" s="23">
        <f>F14-G14</f>
        <v/>
      </c>
      <c r="I14" s="23">
        <f>MIN(C14,D14)</f>
        <v/>
      </c>
      <c r="J14" s="23">
        <f>MIN(C14-I14,MAX(0,H14))</f>
        <v/>
      </c>
      <c r="K14" s="23">
        <f>MIN(C14-I14-J14,E14)</f>
        <v/>
      </c>
      <c r="L14" s="23">
        <f>C14-I14-J14-K14</f>
        <v/>
      </c>
      <c r="M14" s="23">
        <f>E14-K14</f>
        <v/>
      </c>
    </row>
    <row r="15">
      <c r="A15" s="10" t="n">
        <v>11</v>
      </c>
      <c r="B15" s="21" t="n">
        <v>5</v>
      </c>
      <c r="C15" s="22">
        <f>SUM('3. Raw PV per load'!M5:M181)</f>
        <v/>
      </c>
      <c r="D15" s="22">
        <f>SUMIF('4. Raw load per load'!$B$5:$B$181,"prosumer",'4. Raw load per load'!M5:M181)</f>
        <v/>
      </c>
      <c r="E15" s="22">
        <f>SUMIF('4. Raw load per load'!$B$5:$B$181,"customer",'4. Raw load per load'!M5:M181)</f>
        <v/>
      </c>
      <c r="F15" s="22">
        <f>SUM('5. Raw batt charge'!C15:CS15)</f>
        <v/>
      </c>
      <c r="G15" s="22">
        <f>SUM('6. Raw batt discharge'!C15:CS15)</f>
        <v/>
      </c>
      <c r="H15" s="23">
        <f>F15-G15</f>
        <v/>
      </c>
      <c r="I15" s="23">
        <f>MIN(C15,D15)</f>
        <v/>
      </c>
      <c r="J15" s="23">
        <f>MIN(C15-I15,MAX(0,H15))</f>
        <v/>
      </c>
      <c r="K15" s="23">
        <f>MIN(C15-I15-J15,E15)</f>
        <v/>
      </c>
      <c r="L15" s="23">
        <f>C15-I15-J15-K15</f>
        <v/>
      </c>
      <c r="M15" s="23">
        <f>E15-K15</f>
        <v/>
      </c>
    </row>
    <row r="16">
      <c r="A16" s="10" t="n">
        <v>12</v>
      </c>
      <c r="B16" s="21" t="n">
        <v>5.5</v>
      </c>
      <c r="C16" s="22">
        <f>SUM('3. Raw PV per load'!N5:N181)</f>
        <v/>
      </c>
      <c r="D16" s="22">
        <f>SUMIF('4. Raw load per load'!$B$5:$B$181,"prosumer",'4. Raw load per load'!N5:N181)</f>
        <v/>
      </c>
      <c r="E16" s="22">
        <f>SUMIF('4. Raw load per load'!$B$5:$B$181,"customer",'4. Raw load per load'!N5:N181)</f>
        <v/>
      </c>
      <c r="F16" s="22">
        <f>SUM('5. Raw batt charge'!C16:CS16)</f>
        <v/>
      </c>
      <c r="G16" s="22">
        <f>SUM('6. Raw batt discharge'!C16:CS16)</f>
        <v/>
      </c>
      <c r="H16" s="23">
        <f>F16-G16</f>
        <v/>
      </c>
      <c r="I16" s="23">
        <f>MIN(C16,D16)</f>
        <v/>
      </c>
      <c r="J16" s="23">
        <f>MIN(C16-I16,MAX(0,H16))</f>
        <v/>
      </c>
      <c r="K16" s="23">
        <f>MIN(C16-I16-J16,E16)</f>
        <v/>
      </c>
      <c r="L16" s="23">
        <f>C16-I16-J16-K16</f>
        <v/>
      </c>
      <c r="M16" s="23">
        <f>E16-K16</f>
        <v/>
      </c>
    </row>
    <row r="17">
      <c r="A17" s="10" t="n">
        <v>13</v>
      </c>
      <c r="B17" s="21" t="n">
        <v>6</v>
      </c>
      <c r="C17" s="22">
        <f>SUM('3. Raw PV per load'!O5:O181)</f>
        <v/>
      </c>
      <c r="D17" s="22">
        <f>SUMIF('4. Raw load per load'!$B$5:$B$181,"prosumer",'4. Raw load per load'!O5:O181)</f>
        <v/>
      </c>
      <c r="E17" s="22">
        <f>SUMIF('4. Raw load per load'!$B$5:$B$181,"customer",'4. Raw load per load'!O5:O181)</f>
        <v/>
      </c>
      <c r="F17" s="22">
        <f>SUM('5. Raw batt charge'!C17:CS17)</f>
        <v/>
      </c>
      <c r="G17" s="22">
        <f>SUM('6. Raw batt discharge'!C17:CS17)</f>
        <v/>
      </c>
      <c r="H17" s="23">
        <f>F17-G17</f>
        <v/>
      </c>
      <c r="I17" s="23">
        <f>MIN(C17,D17)</f>
        <v/>
      </c>
      <c r="J17" s="23">
        <f>MIN(C17-I17,MAX(0,H17))</f>
        <v/>
      </c>
      <c r="K17" s="23">
        <f>MIN(C17-I17-J17,E17)</f>
        <v/>
      </c>
      <c r="L17" s="23">
        <f>C17-I17-J17-K17</f>
        <v/>
      </c>
      <c r="M17" s="23">
        <f>E17-K17</f>
        <v/>
      </c>
    </row>
    <row r="18">
      <c r="A18" s="10" t="n">
        <v>14</v>
      </c>
      <c r="B18" s="21" t="n">
        <v>6.5</v>
      </c>
      <c r="C18" s="22">
        <f>SUM('3. Raw PV per load'!P5:P181)</f>
        <v/>
      </c>
      <c r="D18" s="22">
        <f>SUMIF('4. Raw load per load'!$B$5:$B$181,"prosumer",'4. Raw load per load'!P5:P181)</f>
        <v/>
      </c>
      <c r="E18" s="22">
        <f>SUMIF('4. Raw load per load'!$B$5:$B$181,"customer",'4. Raw load per load'!P5:P181)</f>
        <v/>
      </c>
      <c r="F18" s="22">
        <f>SUM('5. Raw batt charge'!C18:CS18)</f>
        <v/>
      </c>
      <c r="G18" s="22">
        <f>SUM('6. Raw batt discharge'!C18:CS18)</f>
        <v/>
      </c>
      <c r="H18" s="23">
        <f>F18-G18</f>
        <v/>
      </c>
      <c r="I18" s="23">
        <f>MIN(C18,D18)</f>
        <v/>
      </c>
      <c r="J18" s="23">
        <f>MIN(C18-I18,MAX(0,H18))</f>
        <v/>
      </c>
      <c r="K18" s="23">
        <f>MIN(C18-I18-J18,E18)</f>
        <v/>
      </c>
      <c r="L18" s="23">
        <f>C18-I18-J18-K18</f>
        <v/>
      </c>
      <c r="M18" s="23">
        <f>E18-K18</f>
        <v/>
      </c>
    </row>
    <row r="19">
      <c r="A19" s="10" t="n">
        <v>15</v>
      </c>
      <c r="B19" s="21" t="n">
        <v>7</v>
      </c>
      <c r="C19" s="22">
        <f>SUM('3. Raw PV per load'!Q5:Q181)</f>
        <v/>
      </c>
      <c r="D19" s="22">
        <f>SUMIF('4. Raw load per load'!$B$5:$B$181,"prosumer",'4. Raw load per load'!Q5:Q181)</f>
        <v/>
      </c>
      <c r="E19" s="22">
        <f>SUMIF('4. Raw load per load'!$B$5:$B$181,"customer",'4. Raw load per load'!Q5:Q181)</f>
        <v/>
      </c>
      <c r="F19" s="22">
        <f>SUM('5. Raw batt charge'!C19:CS19)</f>
        <v/>
      </c>
      <c r="G19" s="22">
        <f>SUM('6. Raw batt discharge'!C19:CS19)</f>
        <v/>
      </c>
      <c r="H19" s="23">
        <f>F19-G19</f>
        <v/>
      </c>
      <c r="I19" s="23">
        <f>MIN(C19,D19)</f>
        <v/>
      </c>
      <c r="J19" s="23">
        <f>MIN(C19-I19,MAX(0,H19))</f>
        <v/>
      </c>
      <c r="K19" s="23">
        <f>MIN(C19-I19-J19,E19)</f>
        <v/>
      </c>
      <c r="L19" s="23">
        <f>C19-I19-J19-K19</f>
        <v/>
      </c>
      <c r="M19" s="23">
        <f>E19-K19</f>
        <v/>
      </c>
    </row>
    <row r="20">
      <c r="A20" s="10" t="n">
        <v>16</v>
      </c>
      <c r="B20" s="21" t="n">
        <v>7.5</v>
      </c>
      <c r="C20" s="22">
        <f>SUM('3. Raw PV per load'!R5:R181)</f>
        <v/>
      </c>
      <c r="D20" s="22">
        <f>SUMIF('4. Raw load per load'!$B$5:$B$181,"prosumer",'4. Raw load per load'!R5:R181)</f>
        <v/>
      </c>
      <c r="E20" s="22">
        <f>SUMIF('4. Raw load per load'!$B$5:$B$181,"customer",'4. Raw load per load'!R5:R181)</f>
        <v/>
      </c>
      <c r="F20" s="22">
        <f>SUM('5. Raw batt charge'!C20:CS20)</f>
        <v/>
      </c>
      <c r="G20" s="22">
        <f>SUM('6. Raw batt discharge'!C20:CS20)</f>
        <v/>
      </c>
      <c r="H20" s="23">
        <f>F20-G20</f>
        <v/>
      </c>
      <c r="I20" s="23">
        <f>MIN(C20,D20)</f>
        <v/>
      </c>
      <c r="J20" s="23">
        <f>MIN(C20-I20,MAX(0,H20))</f>
        <v/>
      </c>
      <c r="K20" s="23">
        <f>MIN(C20-I20-J20,E20)</f>
        <v/>
      </c>
      <c r="L20" s="23">
        <f>C20-I20-J20-K20</f>
        <v/>
      </c>
      <c r="M20" s="23">
        <f>E20-K20</f>
        <v/>
      </c>
    </row>
    <row r="21">
      <c r="A21" s="10" t="n">
        <v>17</v>
      </c>
      <c r="B21" s="21" t="n">
        <v>8</v>
      </c>
      <c r="C21" s="22">
        <f>SUM('3. Raw PV per load'!S5:S181)</f>
        <v/>
      </c>
      <c r="D21" s="22">
        <f>SUMIF('4. Raw load per load'!$B$5:$B$181,"prosumer",'4. Raw load per load'!S5:S181)</f>
        <v/>
      </c>
      <c r="E21" s="22">
        <f>SUMIF('4. Raw load per load'!$B$5:$B$181,"customer",'4. Raw load per load'!S5:S181)</f>
        <v/>
      </c>
      <c r="F21" s="22">
        <f>SUM('5. Raw batt charge'!C21:CS21)</f>
        <v/>
      </c>
      <c r="G21" s="22">
        <f>SUM('6. Raw batt discharge'!C21:CS21)</f>
        <v/>
      </c>
      <c r="H21" s="23">
        <f>F21-G21</f>
        <v/>
      </c>
      <c r="I21" s="23">
        <f>MIN(C21,D21)</f>
        <v/>
      </c>
      <c r="J21" s="23">
        <f>MIN(C21-I21,MAX(0,H21))</f>
        <v/>
      </c>
      <c r="K21" s="23">
        <f>MIN(C21-I21-J21,E21)</f>
        <v/>
      </c>
      <c r="L21" s="23">
        <f>C21-I21-J21-K21</f>
        <v/>
      </c>
      <c r="M21" s="23">
        <f>E21-K21</f>
        <v/>
      </c>
    </row>
    <row r="22">
      <c r="A22" s="10" t="n">
        <v>18</v>
      </c>
      <c r="B22" s="21" t="n">
        <v>8.5</v>
      </c>
      <c r="C22" s="22">
        <f>SUM('3. Raw PV per load'!T5:T181)</f>
        <v/>
      </c>
      <c r="D22" s="22">
        <f>SUMIF('4. Raw load per load'!$B$5:$B$181,"prosumer",'4. Raw load per load'!T5:T181)</f>
        <v/>
      </c>
      <c r="E22" s="22">
        <f>SUMIF('4. Raw load per load'!$B$5:$B$181,"customer",'4. Raw load per load'!T5:T181)</f>
        <v/>
      </c>
      <c r="F22" s="22">
        <f>SUM('5. Raw batt charge'!C22:CS22)</f>
        <v/>
      </c>
      <c r="G22" s="22">
        <f>SUM('6. Raw batt discharge'!C22:CS22)</f>
        <v/>
      </c>
      <c r="H22" s="23">
        <f>F22-G22</f>
        <v/>
      </c>
      <c r="I22" s="23">
        <f>MIN(C22,D22)</f>
        <v/>
      </c>
      <c r="J22" s="23">
        <f>MIN(C22-I22,MAX(0,H22))</f>
        <v/>
      </c>
      <c r="K22" s="23">
        <f>MIN(C22-I22-J22,E22)</f>
        <v/>
      </c>
      <c r="L22" s="23">
        <f>C22-I22-J22-K22</f>
        <v/>
      </c>
      <c r="M22" s="23">
        <f>E22-K22</f>
        <v/>
      </c>
    </row>
    <row r="23">
      <c r="A23" s="10" t="n">
        <v>19</v>
      </c>
      <c r="B23" s="21" t="n">
        <v>9</v>
      </c>
      <c r="C23" s="22">
        <f>SUM('3. Raw PV per load'!U5:U181)</f>
        <v/>
      </c>
      <c r="D23" s="22">
        <f>SUMIF('4. Raw load per load'!$B$5:$B$181,"prosumer",'4. Raw load per load'!U5:U181)</f>
        <v/>
      </c>
      <c r="E23" s="22">
        <f>SUMIF('4. Raw load per load'!$B$5:$B$181,"customer",'4. Raw load per load'!U5:U181)</f>
        <v/>
      </c>
      <c r="F23" s="22">
        <f>SUM('5. Raw batt charge'!C23:CS23)</f>
        <v/>
      </c>
      <c r="G23" s="22">
        <f>SUM('6. Raw batt discharge'!C23:CS23)</f>
        <v/>
      </c>
      <c r="H23" s="23">
        <f>F23-G23</f>
        <v/>
      </c>
      <c r="I23" s="23">
        <f>MIN(C23,D23)</f>
        <v/>
      </c>
      <c r="J23" s="23">
        <f>MIN(C23-I23,MAX(0,H23))</f>
        <v/>
      </c>
      <c r="K23" s="23">
        <f>MIN(C23-I23-J23,E23)</f>
        <v/>
      </c>
      <c r="L23" s="23">
        <f>C23-I23-J23-K23</f>
        <v/>
      </c>
      <c r="M23" s="23">
        <f>E23-K23</f>
        <v/>
      </c>
    </row>
    <row r="24">
      <c r="A24" s="10" t="n">
        <v>20</v>
      </c>
      <c r="B24" s="21" t="n">
        <v>9.5</v>
      </c>
      <c r="C24" s="22">
        <f>SUM('3. Raw PV per load'!V5:V181)</f>
        <v/>
      </c>
      <c r="D24" s="22">
        <f>SUMIF('4. Raw load per load'!$B$5:$B$181,"prosumer",'4. Raw load per load'!V5:V181)</f>
        <v/>
      </c>
      <c r="E24" s="22">
        <f>SUMIF('4. Raw load per load'!$B$5:$B$181,"customer",'4. Raw load per load'!V5:V181)</f>
        <v/>
      </c>
      <c r="F24" s="22">
        <f>SUM('5. Raw batt charge'!C24:CS24)</f>
        <v/>
      </c>
      <c r="G24" s="22">
        <f>SUM('6. Raw batt discharge'!C24:CS24)</f>
        <v/>
      </c>
      <c r="H24" s="23">
        <f>F24-G24</f>
        <v/>
      </c>
      <c r="I24" s="23">
        <f>MIN(C24,D24)</f>
        <v/>
      </c>
      <c r="J24" s="23">
        <f>MIN(C24-I24,MAX(0,H24))</f>
        <v/>
      </c>
      <c r="K24" s="23">
        <f>MIN(C24-I24-J24,E24)</f>
        <v/>
      </c>
      <c r="L24" s="23">
        <f>C24-I24-J24-K24</f>
        <v/>
      </c>
      <c r="M24" s="23">
        <f>E24-K24</f>
        <v/>
      </c>
    </row>
    <row r="25">
      <c r="A25" s="10" t="n">
        <v>21</v>
      </c>
      <c r="B25" s="21" t="n">
        <v>10</v>
      </c>
      <c r="C25" s="22">
        <f>SUM('3. Raw PV per load'!W5:W181)</f>
        <v/>
      </c>
      <c r="D25" s="22">
        <f>SUMIF('4. Raw load per load'!$B$5:$B$181,"prosumer",'4. Raw load per load'!W5:W181)</f>
        <v/>
      </c>
      <c r="E25" s="22">
        <f>SUMIF('4. Raw load per load'!$B$5:$B$181,"customer",'4. Raw load per load'!W5:W181)</f>
        <v/>
      </c>
      <c r="F25" s="22">
        <f>SUM('5. Raw batt charge'!C25:CS25)</f>
        <v/>
      </c>
      <c r="G25" s="22">
        <f>SUM('6. Raw batt discharge'!C25:CS25)</f>
        <v/>
      </c>
      <c r="H25" s="23">
        <f>F25-G25</f>
        <v/>
      </c>
      <c r="I25" s="23">
        <f>MIN(C25,D25)</f>
        <v/>
      </c>
      <c r="J25" s="23">
        <f>MIN(C25-I25,MAX(0,H25))</f>
        <v/>
      </c>
      <c r="K25" s="23">
        <f>MIN(C25-I25-J25,E25)</f>
        <v/>
      </c>
      <c r="L25" s="23">
        <f>C25-I25-J25-K25</f>
        <v/>
      </c>
      <c r="M25" s="23">
        <f>E25-K25</f>
        <v/>
      </c>
    </row>
    <row r="26">
      <c r="A26" s="10" t="n">
        <v>22</v>
      </c>
      <c r="B26" s="21" t="n">
        <v>10.5</v>
      </c>
      <c r="C26" s="22">
        <f>SUM('3. Raw PV per load'!X5:X181)</f>
        <v/>
      </c>
      <c r="D26" s="22">
        <f>SUMIF('4. Raw load per load'!$B$5:$B$181,"prosumer",'4. Raw load per load'!X5:X181)</f>
        <v/>
      </c>
      <c r="E26" s="22">
        <f>SUMIF('4. Raw load per load'!$B$5:$B$181,"customer",'4. Raw load per load'!X5:X181)</f>
        <v/>
      </c>
      <c r="F26" s="22">
        <f>SUM('5. Raw batt charge'!C26:CS26)</f>
        <v/>
      </c>
      <c r="G26" s="22">
        <f>SUM('6. Raw batt discharge'!C26:CS26)</f>
        <v/>
      </c>
      <c r="H26" s="23">
        <f>F26-G26</f>
        <v/>
      </c>
      <c r="I26" s="23">
        <f>MIN(C26,D26)</f>
        <v/>
      </c>
      <c r="J26" s="23">
        <f>MIN(C26-I26,MAX(0,H26))</f>
        <v/>
      </c>
      <c r="K26" s="23">
        <f>MIN(C26-I26-J26,E26)</f>
        <v/>
      </c>
      <c r="L26" s="23">
        <f>C26-I26-J26-K26</f>
        <v/>
      </c>
      <c r="M26" s="23">
        <f>E26-K26</f>
        <v/>
      </c>
    </row>
    <row r="27">
      <c r="A27" s="10" t="n">
        <v>23</v>
      </c>
      <c r="B27" s="21" t="n">
        <v>11</v>
      </c>
      <c r="C27" s="22">
        <f>SUM('3. Raw PV per load'!Y5:Y181)</f>
        <v/>
      </c>
      <c r="D27" s="22">
        <f>SUMIF('4. Raw load per load'!$B$5:$B$181,"prosumer",'4. Raw load per load'!Y5:Y181)</f>
        <v/>
      </c>
      <c r="E27" s="22">
        <f>SUMIF('4. Raw load per load'!$B$5:$B$181,"customer",'4. Raw load per load'!Y5:Y181)</f>
        <v/>
      </c>
      <c r="F27" s="22">
        <f>SUM('5. Raw batt charge'!C27:CS27)</f>
        <v/>
      </c>
      <c r="G27" s="22">
        <f>SUM('6. Raw batt discharge'!C27:CS27)</f>
        <v/>
      </c>
      <c r="H27" s="23">
        <f>F27-G27</f>
        <v/>
      </c>
      <c r="I27" s="23">
        <f>MIN(C27,D27)</f>
        <v/>
      </c>
      <c r="J27" s="23">
        <f>MIN(C27-I27,MAX(0,H27))</f>
        <v/>
      </c>
      <c r="K27" s="23">
        <f>MIN(C27-I27-J27,E27)</f>
        <v/>
      </c>
      <c r="L27" s="23">
        <f>C27-I27-J27-K27</f>
        <v/>
      </c>
      <c r="M27" s="23">
        <f>E27-K27</f>
        <v/>
      </c>
    </row>
    <row r="28">
      <c r="A28" s="10" t="n">
        <v>24</v>
      </c>
      <c r="B28" s="21" t="n">
        <v>11.5</v>
      </c>
      <c r="C28" s="22">
        <f>SUM('3. Raw PV per load'!Z5:Z181)</f>
        <v/>
      </c>
      <c r="D28" s="22">
        <f>SUMIF('4. Raw load per load'!$B$5:$B$181,"prosumer",'4. Raw load per load'!Z5:Z181)</f>
        <v/>
      </c>
      <c r="E28" s="22">
        <f>SUMIF('4. Raw load per load'!$B$5:$B$181,"customer",'4. Raw load per load'!Z5:Z181)</f>
        <v/>
      </c>
      <c r="F28" s="22">
        <f>SUM('5. Raw batt charge'!C28:CS28)</f>
        <v/>
      </c>
      <c r="G28" s="22">
        <f>SUM('6. Raw batt discharge'!C28:CS28)</f>
        <v/>
      </c>
      <c r="H28" s="23">
        <f>F28-G28</f>
        <v/>
      </c>
      <c r="I28" s="23">
        <f>MIN(C28,D28)</f>
        <v/>
      </c>
      <c r="J28" s="23">
        <f>MIN(C28-I28,MAX(0,H28))</f>
        <v/>
      </c>
      <c r="K28" s="23">
        <f>MIN(C28-I28-J28,E28)</f>
        <v/>
      </c>
      <c r="L28" s="23">
        <f>C28-I28-J28-K28</f>
        <v/>
      </c>
      <c r="M28" s="23">
        <f>E28-K28</f>
        <v/>
      </c>
    </row>
    <row r="29">
      <c r="A29" s="10" t="n">
        <v>25</v>
      </c>
      <c r="B29" s="21" t="n">
        <v>12</v>
      </c>
      <c r="C29" s="22">
        <f>SUM('3. Raw PV per load'!AA5:AA181)</f>
        <v/>
      </c>
      <c r="D29" s="22">
        <f>SUMIF('4. Raw load per load'!$B$5:$B$181,"prosumer",'4. Raw load per load'!AA5:AA181)</f>
        <v/>
      </c>
      <c r="E29" s="22">
        <f>SUMIF('4. Raw load per load'!$B$5:$B$181,"customer",'4. Raw load per load'!AA5:AA181)</f>
        <v/>
      </c>
      <c r="F29" s="22">
        <f>SUM('5. Raw batt charge'!C29:CS29)</f>
        <v/>
      </c>
      <c r="G29" s="22">
        <f>SUM('6. Raw batt discharge'!C29:CS29)</f>
        <v/>
      </c>
      <c r="H29" s="23">
        <f>F29-G29</f>
        <v/>
      </c>
      <c r="I29" s="23">
        <f>MIN(C29,D29)</f>
        <v/>
      </c>
      <c r="J29" s="23">
        <f>MIN(C29-I29,MAX(0,H29))</f>
        <v/>
      </c>
      <c r="K29" s="23">
        <f>MIN(C29-I29-J29,E29)</f>
        <v/>
      </c>
      <c r="L29" s="23">
        <f>C29-I29-J29-K29</f>
        <v/>
      </c>
      <c r="M29" s="23">
        <f>E29-K29</f>
        <v/>
      </c>
    </row>
    <row r="30">
      <c r="A30" s="10" t="n">
        <v>26</v>
      </c>
      <c r="B30" s="21" t="n">
        <v>12.5</v>
      </c>
      <c r="C30" s="22">
        <f>SUM('3. Raw PV per load'!AB5:AB181)</f>
        <v/>
      </c>
      <c r="D30" s="22">
        <f>SUMIF('4. Raw load per load'!$B$5:$B$181,"prosumer",'4. Raw load per load'!AB5:AB181)</f>
        <v/>
      </c>
      <c r="E30" s="22">
        <f>SUMIF('4. Raw load per load'!$B$5:$B$181,"customer",'4. Raw load per load'!AB5:AB181)</f>
        <v/>
      </c>
      <c r="F30" s="22">
        <f>SUM('5. Raw batt charge'!C30:CS30)</f>
        <v/>
      </c>
      <c r="G30" s="22">
        <f>SUM('6. Raw batt discharge'!C30:CS30)</f>
        <v/>
      </c>
      <c r="H30" s="23">
        <f>F30-G30</f>
        <v/>
      </c>
      <c r="I30" s="23">
        <f>MIN(C30,D30)</f>
        <v/>
      </c>
      <c r="J30" s="23">
        <f>MIN(C30-I30,MAX(0,H30))</f>
        <v/>
      </c>
      <c r="K30" s="23">
        <f>MIN(C30-I30-J30,E30)</f>
        <v/>
      </c>
      <c r="L30" s="23">
        <f>C30-I30-J30-K30</f>
        <v/>
      </c>
      <c r="M30" s="23">
        <f>E30-K30</f>
        <v/>
      </c>
    </row>
    <row r="31">
      <c r="A31" s="10" t="n">
        <v>27</v>
      </c>
      <c r="B31" s="21" t="n">
        <v>13</v>
      </c>
      <c r="C31" s="22">
        <f>SUM('3. Raw PV per load'!AC5:AC181)</f>
        <v/>
      </c>
      <c r="D31" s="22">
        <f>SUMIF('4. Raw load per load'!$B$5:$B$181,"prosumer",'4. Raw load per load'!AC5:AC181)</f>
        <v/>
      </c>
      <c r="E31" s="22">
        <f>SUMIF('4. Raw load per load'!$B$5:$B$181,"customer",'4. Raw load per load'!AC5:AC181)</f>
        <v/>
      </c>
      <c r="F31" s="22">
        <f>SUM('5. Raw batt charge'!C31:CS31)</f>
        <v/>
      </c>
      <c r="G31" s="22">
        <f>SUM('6. Raw batt discharge'!C31:CS31)</f>
        <v/>
      </c>
      <c r="H31" s="23">
        <f>F31-G31</f>
        <v/>
      </c>
      <c r="I31" s="23">
        <f>MIN(C31,D31)</f>
        <v/>
      </c>
      <c r="J31" s="23">
        <f>MIN(C31-I31,MAX(0,H31))</f>
        <v/>
      </c>
      <c r="K31" s="23">
        <f>MIN(C31-I31-J31,E31)</f>
        <v/>
      </c>
      <c r="L31" s="23">
        <f>C31-I31-J31-K31</f>
        <v/>
      </c>
      <c r="M31" s="23">
        <f>E31-K31</f>
        <v/>
      </c>
    </row>
    <row r="32">
      <c r="A32" s="10" t="n">
        <v>28</v>
      </c>
      <c r="B32" s="21" t="n">
        <v>13.5</v>
      </c>
      <c r="C32" s="22">
        <f>SUM('3. Raw PV per load'!AD5:AD181)</f>
        <v/>
      </c>
      <c r="D32" s="22">
        <f>SUMIF('4. Raw load per load'!$B$5:$B$181,"prosumer",'4. Raw load per load'!AD5:AD181)</f>
        <v/>
      </c>
      <c r="E32" s="22">
        <f>SUMIF('4. Raw load per load'!$B$5:$B$181,"customer",'4. Raw load per load'!AD5:AD181)</f>
        <v/>
      </c>
      <c r="F32" s="22">
        <f>SUM('5. Raw batt charge'!C32:CS32)</f>
        <v/>
      </c>
      <c r="G32" s="22">
        <f>SUM('6. Raw batt discharge'!C32:CS32)</f>
        <v/>
      </c>
      <c r="H32" s="23">
        <f>F32-G32</f>
        <v/>
      </c>
      <c r="I32" s="23">
        <f>MIN(C32,D32)</f>
        <v/>
      </c>
      <c r="J32" s="23">
        <f>MIN(C32-I32,MAX(0,H32))</f>
        <v/>
      </c>
      <c r="K32" s="23">
        <f>MIN(C32-I32-J32,E32)</f>
        <v/>
      </c>
      <c r="L32" s="23">
        <f>C32-I32-J32-K32</f>
        <v/>
      </c>
      <c r="M32" s="23">
        <f>E32-K32</f>
        <v/>
      </c>
    </row>
    <row r="33">
      <c r="A33" s="10" t="n">
        <v>29</v>
      </c>
      <c r="B33" s="21" t="n">
        <v>14</v>
      </c>
      <c r="C33" s="22">
        <f>SUM('3. Raw PV per load'!AE5:AE181)</f>
        <v/>
      </c>
      <c r="D33" s="22">
        <f>SUMIF('4. Raw load per load'!$B$5:$B$181,"prosumer",'4. Raw load per load'!AE5:AE181)</f>
        <v/>
      </c>
      <c r="E33" s="22">
        <f>SUMIF('4. Raw load per load'!$B$5:$B$181,"customer",'4. Raw load per load'!AE5:AE181)</f>
        <v/>
      </c>
      <c r="F33" s="22">
        <f>SUM('5. Raw batt charge'!C33:CS33)</f>
        <v/>
      </c>
      <c r="G33" s="22">
        <f>SUM('6. Raw batt discharge'!C33:CS33)</f>
        <v/>
      </c>
      <c r="H33" s="23">
        <f>F33-G33</f>
        <v/>
      </c>
      <c r="I33" s="23">
        <f>MIN(C33,D33)</f>
        <v/>
      </c>
      <c r="J33" s="23">
        <f>MIN(C33-I33,MAX(0,H33))</f>
        <v/>
      </c>
      <c r="K33" s="23">
        <f>MIN(C33-I33-J33,E33)</f>
        <v/>
      </c>
      <c r="L33" s="23">
        <f>C33-I33-J33-K33</f>
        <v/>
      </c>
      <c r="M33" s="23">
        <f>E33-K33</f>
        <v/>
      </c>
    </row>
    <row r="34">
      <c r="A34" s="10" t="n">
        <v>30</v>
      </c>
      <c r="B34" s="21" t="n">
        <v>14.5</v>
      </c>
      <c r="C34" s="22">
        <f>SUM('3. Raw PV per load'!AF5:AF181)</f>
        <v/>
      </c>
      <c r="D34" s="22">
        <f>SUMIF('4. Raw load per load'!$B$5:$B$181,"prosumer",'4. Raw load per load'!AF5:AF181)</f>
        <v/>
      </c>
      <c r="E34" s="22">
        <f>SUMIF('4. Raw load per load'!$B$5:$B$181,"customer",'4. Raw load per load'!AF5:AF181)</f>
        <v/>
      </c>
      <c r="F34" s="22">
        <f>SUM('5. Raw batt charge'!C34:CS34)</f>
        <v/>
      </c>
      <c r="G34" s="22">
        <f>SUM('6. Raw batt discharge'!C34:CS34)</f>
        <v/>
      </c>
      <c r="H34" s="23">
        <f>F34-G34</f>
        <v/>
      </c>
      <c r="I34" s="23">
        <f>MIN(C34,D34)</f>
        <v/>
      </c>
      <c r="J34" s="23">
        <f>MIN(C34-I34,MAX(0,H34))</f>
        <v/>
      </c>
      <c r="K34" s="23">
        <f>MIN(C34-I34-J34,E34)</f>
        <v/>
      </c>
      <c r="L34" s="23">
        <f>C34-I34-J34-K34</f>
        <v/>
      </c>
      <c r="M34" s="23">
        <f>E34-K34</f>
        <v/>
      </c>
    </row>
    <row r="35">
      <c r="A35" s="10" t="n">
        <v>31</v>
      </c>
      <c r="B35" s="21" t="n">
        <v>15</v>
      </c>
      <c r="C35" s="22">
        <f>SUM('3. Raw PV per load'!AG5:AG181)</f>
        <v/>
      </c>
      <c r="D35" s="22">
        <f>SUMIF('4. Raw load per load'!$B$5:$B$181,"prosumer",'4. Raw load per load'!AG5:AG181)</f>
        <v/>
      </c>
      <c r="E35" s="22">
        <f>SUMIF('4. Raw load per load'!$B$5:$B$181,"customer",'4. Raw load per load'!AG5:AG181)</f>
        <v/>
      </c>
      <c r="F35" s="22">
        <f>SUM('5. Raw batt charge'!C35:CS35)</f>
        <v/>
      </c>
      <c r="G35" s="22">
        <f>SUM('6. Raw batt discharge'!C35:CS35)</f>
        <v/>
      </c>
      <c r="H35" s="23">
        <f>F35-G35</f>
        <v/>
      </c>
      <c r="I35" s="23">
        <f>MIN(C35,D35)</f>
        <v/>
      </c>
      <c r="J35" s="23">
        <f>MIN(C35-I35,MAX(0,H35))</f>
        <v/>
      </c>
      <c r="K35" s="23">
        <f>MIN(C35-I35-J35,E35)</f>
        <v/>
      </c>
      <c r="L35" s="23">
        <f>C35-I35-J35-K35</f>
        <v/>
      </c>
      <c r="M35" s="23">
        <f>E35-K35</f>
        <v/>
      </c>
    </row>
    <row r="36">
      <c r="A36" s="10" t="n">
        <v>32</v>
      </c>
      <c r="B36" s="21" t="n">
        <v>15.5</v>
      </c>
      <c r="C36" s="22">
        <f>SUM('3. Raw PV per load'!AH5:AH181)</f>
        <v/>
      </c>
      <c r="D36" s="22">
        <f>SUMIF('4. Raw load per load'!$B$5:$B$181,"prosumer",'4. Raw load per load'!AH5:AH181)</f>
        <v/>
      </c>
      <c r="E36" s="22">
        <f>SUMIF('4. Raw load per load'!$B$5:$B$181,"customer",'4. Raw load per load'!AH5:AH181)</f>
        <v/>
      </c>
      <c r="F36" s="22">
        <f>SUM('5. Raw batt charge'!C36:CS36)</f>
        <v/>
      </c>
      <c r="G36" s="22">
        <f>SUM('6. Raw batt discharge'!C36:CS36)</f>
        <v/>
      </c>
      <c r="H36" s="23">
        <f>F36-G36</f>
        <v/>
      </c>
      <c r="I36" s="23">
        <f>MIN(C36,D36)</f>
        <v/>
      </c>
      <c r="J36" s="23">
        <f>MIN(C36-I36,MAX(0,H36))</f>
        <v/>
      </c>
      <c r="K36" s="23">
        <f>MIN(C36-I36-J36,E36)</f>
        <v/>
      </c>
      <c r="L36" s="23">
        <f>C36-I36-J36-K36</f>
        <v/>
      </c>
      <c r="M36" s="23">
        <f>E36-K36</f>
        <v/>
      </c>
    </row>
    <row r="37">
      <c r="A37" s="10" t="n">
        <v>33</v>
      </c>
      <c r="B37" s="21" t="n">
        <v>16</v>
      </c>
      <c r="C37" s="22">
        <f>SUM('3. Raw PV per load'!AI5:AI181)</f>
        <v/>
      </c>
      <c r="D37" s="22">
        <f>SUMIF('4. Raw load per load'!$B$5:$B$181,"prosumer",'4. Raw load per load'!AI5:AI181)</f>
        <v/>
      </c>
      <c r="E37" s="22">
        <f>SUMIF('4. Raw load per load'!$B$5:$B$181,"customer",'4. Raw load per load'!AI5:AI181)</f>
        <v/>
      </c>
      <c r="F37" s="22">
        <f>SUM('5. Raw batt charge'!C37:CS37)</f>
        <v/>
      </c>
      <c r="G37" s="22">
        <f>SUM('6. Raw batt discharge'!C37:CS37)</f>
        <v/>
      </c>
      <c r="H37" s="23">
        <f>F37-G37</f>
        <v/>
      </c>
      <c r="I37" s="23">
        <f>MIN(C37,D37)</f>
        <v/>
      </c>
      <c r="J37" s="23">
        <f>MIN(C37-I37,MAX(0,H37))</f>
        <v/>
      </c>
      <c r="K37" s="23">
        <f>MIN(C37-I37-J37,E37)</f>
        <v/>
      </c>
      <c r="L37" s="23">
        <f>C37-I37-J37-K37</f>
        <v/>
      </c>
      <c r="M37" s="23">
        <f>E37-K37</f>
        <v/>
      </c>
    </row>
    <row r="38">
      <c r="A38" s="10" t="n">
        <v>34</v>
      </c>
      <c r="B38" s="21" t="n">
        <v>16.5</v>
      </c>
      <c r="C38" s="22">
        <f>SUM('3. Raw PV per load'!AJ5:AJ181)</f>
        <v/>
      </c>
      <c r="D38" s="22">
        <f>SUMIF('4. Raw load per load'!$B$5:$B$181,"prosumer",'4. Raw load per load'!AJ5:AJ181)</f>
        <v/>
      </c>
      <c r="E38" s="22">
        <f>SUMIF('4. Raw load per load'!$B$5:$B$181,"customer",'4. Raw load per load'!AJ5:AJ181)</f>
        <v/>
      </c>
      <c r="F38" s="22">
        <f>SUM('5. Raw batt charge'!C38:CS38)</f>
        <v/>
      </c>
      <c r="G38" s="22">
        <f>SUM('6. Raw batt discharge'!C38:CS38)</f>
        <v/>
      </c>
      <c r="H38" s="23">
        <f>F38-G38</f>
        <v/>
      </c>
      <c r="I38" s="23">
        <f>MIN(C38,D38)</f>
        <v/>
      </c>
      <c r="J38" s="23">
        <f>MIN(C38-I38,MAX(0,H38))</f>
        <v/>
      </c>
      <c r="K38" s="23">
        <f>MIN(C38-I38-J38,E38)</f>
        <v/>
      </c>
      <c r="L38" s="23">
        <f>C38-I38-J38-K38</f>
        <v/>
      </c>
      <c r="M38" s="23">
        <f>E38-K38</f>
        <v/>
      </c>
    </row>
    <row r="39">
      <c r="A39" s="10" t="n">
        <v>35</v>
      </c>
      <c r="B39" s="21" t="n">
        <v>17</v>
      </c>
      <c r="C39" s="22">
        <f>SUM('3. Raw PV per load'!AK5:AK181)</f>
        <v/>
      </c>
      <c r="D39" s="22">
        <f>SUMIF('4. Raw load per load'!$B$5:$B$181,"prosumer",'4. Raw load per load'!AK5:AK181)</f>
        <v/>
      </c>
      <c r="E39" s="22">
        <f>SUMIF('4. Raw load per load'!$B$5:$B$181,"customer",'4. Raw load per load'!AK5:AK181)</f>
        <v/>
      </c>
      <c r="F39" s="22">
        <f>SUM('5. Raw batt charge'!C39:CS39)</f>
        <v/>
      </c>
      <c r="G39" s="22">
        <f>SUM('6. Raw batt discharge'!C39:CS39)</f>
        <v/>
      </c>
      <c r="H39" s="23">
        <f>F39-G39</f>
        <v/>
      </c>
      <c r="I39" s="23">
        <f>MIN(C39,D39)</f>
        <v/>
      </c>
      <c r="J39" s="23">
        <f>MIN(C39-I39,MAX(0,H39))</f>
        <v/>
      </c>
      <c r="K39" s="23">
        <f>MIN(C39-I39-J39,E39)</f>
        <v/>
      </c>
      <c r="L39" s="23">
        <f>C39-I39-J39-K39</f>
        <v/>
      </c>
      <c r="M39" s="23">
        <f>E39-K39</f>
        <v/>
      </c>
    </row>
    <row r="40">
      <c r="A40" s="10" t="n">
        <v>36</v>
      </c>
      <c r="B40" s="21" t="n">
        <v>17.5</v>
      </c>
      <c r="C40" s="22">
        <f>SUM('3. Raw PV per load'!AL5:AL181)</f>
        <v/>
      </c>
      <c r="D40" s="22">
        <f>SUMIF('4. Raw load per load'!$B$5:$B$181,"prosumer",'4. Raw load per load'!AL5:AL181)</f>
        <v/>
      </c>
      <c r="E40" s="22">
        <f>SUMIF('4. Raw load per load'!$B$5:$B$181,"customer",'4. Raw load per load'!AL5:AL181)</f>
        <v/>
      </c>
      <c r="F40" s="22">
        <f>SUM('5. Raw batt charge'!C40:CS40)</f>
        <v/>
      </c>
      <c r="G40" s="22">
        <f>SUM('6. Raw batt discharge'!C40:CS40)</f>
        <v/>
      </c>
      <c r="H40" s="23">
        <f>F40-G40</f>
        <v/>
      </c>
      <c r="I40" s="23">
        <f>MIN(C40,D40)</f>
        <v/>
      </c>
      <c r="J40" s="23">
        <f>MIN(C40-I40,MAX(0,H40))</f>
        <v/>
      </c>
      <c r="K40" s="23">
        <f>MIN(C40-I40-J40,E40)</f>
        <v/>
      </c>
      <c r="L40" s="23">
        <f>C40-I40-J40-K40</f>
        <v/>
      </c>
      <c r="M40" s="23">
        <f>E40-K40</f>
        <v/>
      </c>
    </row>
    <row r="41">
      <c r="A41" s="10" t="n">
        <v>37</v>
      </c>
      <c r="B41" s="21" t="n">
        <v>18</v>
      </c>
      <c r="C41" s="22">
        <f>SUM('3. Raw PV per load'!AM5:AM181)</f>
        <v/>
      </c>
      <c r="D41" s="22">
        <f>SUMIF('4. Raw load per load'!$B$5:$B$181,"prosumer",'4. Raw load per load'!AM5:AM181)</f>
        <v/>
      </c>
      <c r="E41" s="22">
        <f>SUMIF('4. Raw load per load'!$B$5:$B$181,"customer",'4. Raw load per load'!AM5:AM181)</f>
        <v/>
      </c>
      <c r="F41" s="22">
        <f>SUM('5. Raw batt charge'!C41:CS41)</f>
        <v/>
      </c>
      <c r="G41" s="22">
        <f>SUM('6. Raw batt discharge'!C41:CS41)</f>
        <v/>
      </c>
      <c r="H41" s="23">
        <f>F41-G41</f>
        <v/>
      </c>
      <c r="I41" s="23">
        <f>MIN(C41,D41)</f>
        <v/>
      </c>
      <c r="J41" s="23">
        <f>MIN(C41-I41,MAX(0,H41))</f>
        <v/>
      </c>
      <c r="K41" s="23">
        <f>MIN(C41-I41-J41,E41)</f>
        <v/>
      </c>
      <c r="L41" s="23">
        <f>C41-I41-J41-K41</f>
        <v/>
      </c>
      <c r="M41" s="23">
        <f>E41-K41</f>
        <v/>
      </c>
    </row>
    <row r="42">
      <c r="A42" s="10" t="n">
        <v>38</v>
      </c>
      <c r="B42" s="21" t="n">
        <v>18.5</v>
      </c>
      <c r="C42" s="22">
        <f>SUM('3. Raw PV per load'!AN5:AN181)</f>
        <v/>
      </c>
      <c r="D42" s="22">
        <f>SUMIF('4. Raw load per load'!$B$5:$B$181,"prosumer",'4. Raw load per load'!AN5:AN181)</f>
        <v/>
      </c>
      <c r="E42" s="22">
        <f>SUMIF('4. Raw load per load'!$B$5:$B$181,"customer",'4. Raw load per load'!AN5:AN181)</f>
        <v/>
      </c>
      <c r="F42" s="22">
        <f>SUM('5. Raw batt charge'!C42:CS42)</f>
        <v/>
      </c>
      <c r="G42" s="22">
        <f>SUM('6. Raw batt discharge'!C42:CS42)</f>
        <v/>
      </c>
      <c r="H42" s="23">
        <f>F42-G42</f>
        <v/>
      </c>
      <c r="I42" s="23">
        <f>MIN(C42,D42)</f>
        <v/>
      </c>
      <c r="J42" s="23">
        <f>MIN(C42-I42,MAX(0,H42))</f>
        <v/>
      </c>
      <c r="K42" s="23">
        <f>MIN(C42-I42-J42,E42)</f>
        <v/>
      </c>
      <c r="L42" s="23">
        <f>C42-I42-J42-K42</f>
        <v/>
      </c>
      <c r="M42" s="23">
        <f>E42-K42</f>
        <v/>
      </c>
    </row>
    <row r="43">
      <c r="A43" s="10" t="n">
        <v>39</v>
      </c>
      <c r="B43" s="21" t="n">
        <v>19</v>
      </c>
      <c r="C43" s="22">
        <f>SUM('3. Raw PV per load'!AO5:AO181)</f>
        <v/>
      </c>
      <c r="D43" s="22">
        <f>SUMIF('4. Raw load per load'!$B$5:$B$181,"prosumer",'4. Raw load per load'!AO5:AO181)</f>
        <v/>
      </c>
      <c r="E43" s="22">
        <f>SUMIF('4. Raw load per load'!$B$5:$B$181,"customer",'4. Raw load per load'!AO5:AO181)</f>
        <v/>
      </c>
      <c r="F43" s="22">
        <f>SUM('5. Raw batt charge'!C43:CS43)</f>
        <v/>
      </c>
      <c r="G43" s="22">
        <f>SUM('6. Raw batt discharge'!C43:CS43)</f>
        <v/>
      </c>
      <c r="H43" s="23">
        <f>F43-G43</f>
        <v/>
      </c>
      <c r="I43" s="23">
        <f>MIN(C43,D43)</f>
        <v/>
      </c>
      <c r="J43" s="23">
        <f>MIN(C43-I43,MAX(0,H43))</f>
        <v/>
      </c>
      <c r="K43" s="23">
        <f>MIN(C43-I43-J43,E43)</f>
        <v/>
      </c>
      <c r="L43" s="23">
        <f>C43-I43-J43-K43</f>
        <v/>
      </c>
      <c r="M43" s="23">
        <f>E43-K43</f>
        <v/>
      </c>
    </row>
    <row r="44">
      <c r="A44" s="10" t="n">
        <v>40</v>
      </c>
      <c r="B44" s="21" t="n">
        <v>19.5</v>
      </c>
      <c r="C44" s="22">
        <f>SUM('3. Raw PV per load'!AP5:AP181)</f>
        <v/>
      </c>
      <c r="D44" s="22">
        <f>SUMIF('4. Raw load per load'!$B$5:$B$181,"prosumer",'4. Raw load per load'!AP5:AP181)</f>
        <v/>
      </c>
      <c r="E44" s="22">
        <f>SUMIF('4. Raw load per load'!$B$5:$B$181,"customer",'4. Raw load per load'!AP5:AP181)</f>
        <v/>
      </c>
      <c r="F44" s="22">
        <f>SUM('5. Raw batt charge'!C44:CS44)</f>
        <v/>
      </c>
      <c r="G44" s="22">
        <f>SUM('6. Raw batt discharge'!C44:CS44)</f>
        <v/>
      </c>
      <c r="H44" s="23">
        <f>F44-G44</f>
        <v/>
      </c>
      <c r="I44" s="23">
        <f>MIN(C44,D44)</f>
        <v/>
      </c>
      <c r="J44" s="23">
        <f>MIN(C44-I44,MAX(0,H44))</f>
        <v/>
      </c>
      <c r="K44" s="23">
        <f>MIN(C44-I44-J44,E44)</f>
        <v/>
      </c>
      <c r="L44" s="23">
        <f>C44-I44-J44-K44</f>
        <v/>
      </c>
      <c r="M44" s="23">
        <f>E44-K44</f>
        <v/>
      </c>
    </row>
    <row r="45">
      <c r="A45" s="10" t="n">
        <v>41</v>
      </c>
      <c r="B45" s="21" t="n">
        <v>20</v>
      </c>
      <c r="C45" s="22">
        <f>SUM('3. Raw PV per load'!AQ5:AQ181)</f>
        <v/>
      </c>
      <c r="D45" s="22">
        <f>SUMIF('4. Raw load per load'!$B$5:$B$181,"prosumer",'4. Raw load per load'!AQ5:AQ181)</f>
        <v/>
      </c>
      <c r="E45" s="22">
        <f>SUMIF('4. Raw load per load'!$B$5:$B$181,"customer",'4. Raw load per load'!AQ5:AQ181)</f>
        <v/>
      </c>
      <c r="F45" s="22">
        <f>SUM('5. Raw batt charge'!C45:CS45)</f>
        <v/>
      </c>
      <c r="G45" s="22">
        <f>SUM('6. Raw batt discharge'!C45:CS45)</f>
        <v/>
      </c>
      <c r="H45" s="23">
        <f>F45-G45</f>
        <v/>
      </c>
      <c r="I45" s="23">
        <f>MIN(C45,D45)</f>
        <v/>
      </c>
      <c r="J45" s="23">
        <f>MIN(C45-I45,MAX(0,H45))</f>
        <v/>
      </c>
      <c r="K45" s="23">
        <f>MIN(C45-I45-J45,E45)</f>
        <v/>
      </c>
      <c r="L45" s="23">
        <f>C45-I45-J45-K45</f>
        <v/>
      </c>
      <c r="M45" s="23">
        <f>E45-K45</f>
        <v/>
      </c>
    </row>
    <row r="46">
      <c r="A46" s="10" t="n">
        <v>42</v>
      </c>
      <c r="B46" s="21" t="n">
        <v>20.5</v>
      </c>
      <c r="C46" s="22">
        <f>SUM('3. Raw PV per load'!AR5:AR181)</f>
        <v/>
      </c>
      <c r="D46" s="22">
        <f>SUMIF('4. Raw load per load'!$B$5:$B$181,"prosumer",'4. Raw load per load'!AR5:AR181)</f>
        <v/>
      </c>
      <c r="E46" s="22">
        <f>SUMIF('4. Raw load per load'!$B$5:$B$181,"customer",'4. Raw load per load'!AR5:AR181)</f>
        <v/>
      </c>
      <c r="F46" s="22">
        <f>SUM('5. Raw batt charge'!C46:CS46)</f>
        <v/>
      </c>
      <c r="G46" s="22">
        <f>SUM('6. Raw batt discharge'!C46:CS46)</f>
        <v/>
      </c>
      <c r="H46" s="23">
        <f>F46-G46</f>
        <v/>
      </c>
      <c r="I46" s="23">
        <f>MIN(C46,D46)</f>
        <v/>
      </c>
      <c r="J46" s="23">
        <f>MIN(C46-I46,MAX(0,H46))</f>
        <v/>
      </c>
      <c r="K46" s="23">
        <f>MIN(C46-I46-J46,E46)</f>
        <v/>
      </c>
      <c r="L46" s="23">
        <f>C46-I46-J46-K46</f>
        <v/>
      </c>
      <c r="M46" s="23">
        <f>E46-K46</f>
        <v/>
      </c>
    </row>
    <row r="47">
      <c r="A47" s="10" t="n">
        <v>43</v>
      </c>
      <c r="B47" s="21" t="n">
        <v>21</v>
      </c>
      <c r="C47" s="22">
        <f>SUM('3. Raw PV per load'!AS5:AS181)</f>
        <v/>
      </c>
      <c r="D47" s="22">
        <f>SUMIF('4. Raw load per load'!$B$5:$B$181,"prosumer",'4. Raw load per load'!AS5:AS181)</f>
        <v/>
      </c>
      <c r="E47" s="22">
        <f>SUMIF('4. Raw load per load'!$B$5:$B$181,"customer",'4. Raw load per load'!AS5:AS181)</f>
        <v/>
      </c>
      <c r="F47" s="22">
        <f>SUM('5. Raw batt charge'!C47:CS47)</f>
        <v/>
      </c>
      <c r="G47" s="22">
        <f>SUM('6. Raw batt discharge'!C47:CS47)</f>
        <v/>
      </c>
      <c r="H47" s="23">
        <f>F47-G47</f>
        <v/>
      </c>
      <c r="I47" s="23">
        <f>MIN(C47,D47)</f>
        <v/>
      </c>
      <c r="J47" s="23">
        <f>MIN(C47-I47,MAX(0,H47))</f>
        <v/>
      </c>
      <c r="K47" s="23">
        <f>MIN(C47-I47-J47,E47)</f>
        <v/>
      </c>
      <c r="L47" s="23">
        <f>C47-I47-J47-K47</f>
        <v/>
      </c>
      <c r="M47" s="23">
        <f>E47-K47</f>
        <v/>
      </c>
    </row>
    <row r="48">
      <c r="A48" s="10" t="n">
        <v>44</v>
      </c>
      <c r="B48" s="21" t="n">
        <v>21.5</v>
      </c>
      <c r="C48" s="22">
        <f>SUM('3. Raw PV per load'!AT5:AT181)</f>
        <v/>
      </c>
      <c r="D48" s="22">
        <f>SUMIF('4. Raw load per load'!$B$5:$B$181,"prosumer",'4. Raw load per load'!AT5:AT181)</f>
        <v/>
      </c>
      <c r="E48" s="22">
        <f>SUMIF('4. Raw load per load'!$B$5:$B$181,"customer",'4. Raw load per load'!AT5:AT181)</f>
        <v/>
      </c>
      <c r="F48" s="22">
        <f>SUM('5. Raw batt charge'!C48:CS48)</f>
        <v/>
      </c>
      <c r="G48" s="22">
        <f>SUM('6. Raw batt discharge'!C48:CS48)</f>
        <v/>
      </c>
      <c r="H48" s="23">
        <f>F48-G48</f>
        <v/>
      </c>
      <c r="I48" s="23">
        <f>MIN(C48,D48)</f>
        <v/>
      </c>
      <c r="J48" s="23">
        <f>MIN(C48-I48,MAX(0,H48))</f>
        <v/>
      </c>
      <c r="K48" s="23">
        <f>MIN(C48-I48-J48,E48)</f>
        <v/>
      </c>
      <c r="L48" s="23">
        <f>C48-I48-J48-K48</f>
        <v/>
      </c>
      <c r="M48" s="23">
        <f>E48-K48</f>
        <v/>
      </c>
    </row>
    <row r="49">
      <c r="A49" s="10" t="n">
        <v>45</v>
      </c>
      <c r="B49" s="21" t="n">
        <v>22</v>
      </c>
      <c r="C49" s="22">
        <f>SUM('3. Raw PV per load'!AU5:AU181)</f>
        <v/>
      </c>
      <c r="D49" s="22">
        <f>SUMIF('4. Raw load per load'!$B$5:$B$181,"prosumer",'4. Raw load per load'!AU5:AU181)</f>
        <v/>
      </c>
      <c r="E49" s="22">
        <f>SUMIF('4. Raw load per load'!$B$5:$B$181,"customer",'4. Raw load per load'!AU5:AU181)</f>
        <v/>
      </c>
      <c r="F49" s="22">
        <f>SUM('5. Raw batt charge'!C49:CS49)</f>
        <v/>
      </c>
      <c r="G49" s="22">
        <f>SUM('6. Raw batt discharge'!C49:CS49)</f>
        <v/>
      </c>
      <c r="H49" s="23">
        <f>F49-G49</f>
        <v/>
      </c>
      <c r="I49" s="23">
        <f>MIN(C49,D49)</f>
        <v/>
      </c>
      <c r="J49" s="23">
        <f>MIN(C49-I49,MAX(0,H49))</f>
        <v/>
      </c>
      <c r="K49" s="23">
        <f>MIN(C49-I49-J49,E49)</f>
        <v/>
      </c>
      <c r="L49" s="23">
        <f>C49-I49-J49-K49</f>
        <v/>
      </c>
      <c r="M49" s="23">
        <f>E49-K49</f>
        <v/>
      </c>
    </row>
    <row r="50">
      <c r="A50" s="10" t="n">
        <v>46</v>
      </c>
      <c r="B50" s="21" t="n">
        <v>22.5</v>
      </c>
      <c r="C50" s="22">
        <f>SUM('3. Raw PV per load'!AV5:AV181)</f>
        <v/>
      </c>
      <c r="D50" s="22">
        <f>SUMIF('4. Raw load per load'!$B$5:$B$181,"prosumer",'4. Raw load per load'!AV5:AV181)</f>
        <v/>
      </c>
      <c r="E50" s="22">
        <f>SUMIF('4. Raw load per load'!$B$5:$B$181,"customer",'4. Raw load per load'!AV5:AV181)</f>
        <v/>
      </c>
      <c r="F50" s="22">
        <f>SUM('5. Raw batt charge'!C50:CS50)</f>
        <v/>
      </c>
      <c r="G50" s="22">
        <f>SUM('6. Raw batt discharge'!C50:CS50)</f>
        <v/>
      </c>
      <c r="H50" s="23">
        <f>F50-G50</f>
        <v/>
      </c>
      <c r="I50" s="23">
        <f>MIN(C50,D50)</f>
        <v/>
      </c>
      <c r="J50" s="23">
        <f>MIN(C50-I50,MAX(0,H50))</f>
        <v/>
      </c>
      <c r="K50" s="23">
        <f>MIN(C50-I50-J50,E50)</f>
        <v/>
      </c>
      <c r="L50" s="23">
        <f>C50-I50-J50-K50</f>
        <v/>
      </c>
      <c r="M50" s="23">
        <f>E50-K50</f>
        <v/>
      </c>
    </row>
    <row r="51">
      <c r="A51" s="10" t="n">
        <v>47</v>
      </c>
      <c r="B51" s="21" t="n">
        <v>23</v>
      </c>
      <c r="C51" s="22">
        <f>SUM('3. Raw PV per load'!AW5:AW181)</f>
        <v/>
      </c>
      <c r="D51" s="22">
        <f>SUMIF('4. Raw load per load'!$B$5:$B$181,"prosumer",'4. Raw load per load'!AW5:AW181)</f>
        <v/>
      </c>
      <c r="E51" s="22">
        <f>SUMIF('4. Raw load per load'!$B$5:$B$181,"customer",'4. Raw load per load'!AW5:AW181)</f>
        <v/>
      </c>
      <c r="F51" s="22">
        <f>SUM('5. Raw batt charge'!C51:CS51)</f>
        <v/>
      </c>
      <c r="G51" s="22">
        <f>SUM('6. Raw batt discharge'!C51:CS51)</f>
        <v/>
      </c>
      <c r="H51" s="23">
        <f>F51-G51</f>
        <v/>
      </c>
      <c r="I51" s="23">
        <f>MIN(C51,D51)</f>
        <v/>
      </c>
      <c r="J51" s="23">
        <f>MIN(C51-I51,MAX(0,H51))</f>
        <v/>
      </c>
      <c r="K51" s="23">
        <f>MIN(C51-I51-J51,E51)</f>
        <v/>
      </c>
      <c r="L51" s="23">
        <f>C51-I51-J51-K51</f>
        <v/>
      </c>
      <c r="M51" s="23">
        <f>E51-K51</f>
        <v/>
      </c>
    </row>
    <row r="52">
      <c r="A52" s="10" t="n">
        <v>48</v>
      </c>
      <c r="B52" s="21" t="n">
        <v>23.5</v>
      </c>
      <c r="C52" s="22">
        <f>SUM('3. Raw PV per load'!AX5:AX181)</f>
        <v/>
      </c>
      <c r="D52" s="22">
        <f>SUMIF('4. Raw load per load'!$B$5:$B$181,"prosumer",'4. Raw load per load'!AX5:AX181)</f>
        <v/>
      </c>
      <c r="E52" s="22">
        <f>SUMIF('4. Raw load per load'!$B$5:$B$181,"customer",'4. Raw load per load'!AX5:AX181)</f>
        <v/>
      </c>
      <c r="F52" s="22">
        <f>SUM('5. Raw batt charge'!C52:CS52)</f>
        <v/>
      </c>
      <c r="G52" s="22">
        <f>SUM('6. Raw batt discharge'!C52:CS52)</f>
        <v/>
      </c>
      <c r="H52" s="23">
        <f>F52-G52</f>
        <v/>
      </c>
      <c r="I52" s="23">
        <f>MIN(C52,D52)</f>
        <v/>
      </c>
      <c r="J52" s="23">
        <f>MIN(C52-I52,MAX(0,H52))</f>
        <v/>
      </c>
      <c r="K52" s="23">
        <f>MIN(C52-I52-J52,E52)</f>
        <v/>
      </c>
      <c r="L52" s="23">
        <f>C52-I52-J52-K52</f>
        <v/>
      </c>
      <c r="M52" s="23">
        <f>E52-K52</f>
        <v/>
      </c>
    </row>
    <row r="53">
      <c r="A53" s="24" t="inlineStr">
        <is>
          <t>TOTAL</t>
        </is>
      </c>
      <c r="B53" s="24" t="inlineStr">
        <is>
          <t>kWh/day</t>
        </is>
      </c>
      <c r="C53" s="25">
        <f>SUM(C5:C52)*0.5</f>
        <v/>
      </c>
      <c r="D53" s="25">
        <f>SUM(D5:D52)*0.5</f>
        <v/>
      </c>
      <c r="E53" s="25">
        <f>SUM(E5:E52)*0.5</f>
        <v/>
      </c>
      <c r="F53" s="25">
        <f>SUM(F5:F52)*0.5</f>
        <v/>
      </c>
      <c r="G53" s="25">
        <f>SUM(G5:G52)*0.5</f>
        <v/>
      </c>
      <c r="H53" s="25">
        <f>SUM(H5:H52)*0.5</f>
        <v/>
      </c>
      <c r="I53" s="25">
        <f>SUM(I5:I52)*0.5</f>
        <v/>
      </c>
      <c r="J53" s="25">
        <f>SUM(J5:J52)*0.5</f>
        <v/>
      </c>
      <c r="K53" s="25">
        <f>SUM(K5:K52)*0.5</f>
        <v/>
      </c>
      <c r="L53" s="25">
        <f>SUM(L5:L52)*0.5</f>
        <v/>
      </c>
      <c r="M53" s="25">
        <f>SUM(M5:M52)*0.5</f>
        <v/>
      </c>
    </row>
    <row r="55">
      <c r="A55" s="17" t="inlineStr">
        <is>
          <t>Each half-hour is 0.5 h, so daily energy (kWh) = Σ(power in kW) × 0.5.</t>
        </is>
      </c>
    </row>
    <row r="56">
      <c r="A56" s="17" t="inlineStr">
        <is>
          <t>Trace any input: e.g. cell C5 = SUM of column C on sheet 3 (PV of all 177 connections at 00:00). Click it to see the formula.</t>
        </is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4" customWidth="1" min="4" max="4"/>
    <col width="26" customWidth="1" min="5" max="5"/>
    <col width="13" customWidth="1" min="6" max="6"/>
    <col width="13" customWidth="1" min="7" max="7"/>
  </cols>
  <sheetData>
    <row r="1">
      <c r="A1" s="1" t="inlineStr">
        <is>
          <t>TR2 PV allocation — results</t>
        </is>
      </c>
    </row>
    <row r="3">
      <c r="A3" s="2" t="inlineStr">
        <is>
          <t>Where the day's PV goes</t>
        </is>
      </c>
      <c r="E3" s="2" t="inlineStr">
        <is>
          <t>How the customers (82) are supplied</t>
        </is>
      </c>
    </row>
    <row r="4">
      <c r="A4" s="7" t="inlineStr">
        <is>
          <t>Destination</t>
        </is>
      </c>
      <c r="B4" s="7" t="inlineStr">
        <is>
          <t>kWh/day</t>
        </is>
      </c>
      <c r="C4" s="7" t="inlineStr">
        <is>
          <t>% of PV</t>
        </is>
      </c>
      <c r="E4" s="7" t="inlineStr">
        <is>
          <t>Source</t>
        </is>
      </c>
      <c r="F4" s="7" t="inlineStr">
        <is>
          <t>kWh/day</t>
        </is>
      </c>
      <c r="G4" s="7" t="inlineStr">
        <is>
          <t>% of cust. load</t>
        </is>
      </c>
    </row>
    <row r="5">
      <c r="A5" s="10" t="inlineStr">
        <is>
          <t>PV → prosumers' own load</t>
        </is>
      </c>
      <c r="B5" s="23">
        <f>'7. PV allocation (per period)'!I53</f>
        <v/>
      </c>
      <c r="C5" s="26">
        <f>'7. PV allocation (per period)'!I53/'7. PV allocation (per period)'!C53</f>
        <v/>
      </c>
      <c r="E5" s="10" t="inlineStr">
        <is>
          <t>From prosumer PV (day)</t>
        </is>
      </c>
      <c r="F5" s="23">
        <f>'7. PV allocation (per period)'!K53</f>
        <v/>
      </c>
      <c r="G5" s="26">
        <f>'7. PV allocation (per period)'!K53/'7. PV allocation (per period)'!E53</f>
        <v/>
      </c>
    </row>
    <row r="6">
      <c r="A6" s="10" t="inlineStr">
        <is>
          <t>PV → battery storage</t>
        </is>
      </c>
      <c r="B6" s="23">
        <f>'7. PV allocation (per period)'!J53</f>
        <v/>
      </c>
      <c r="C6" s="26">
        <f>'7. PV allocation (per period)'!J53/'7. PV allocation (per period)'!C53</f>
        <v/>
      </c>
      <c r="E6" s="10" t="inlineStr">
        <is>
          <t>From grid import (night)</t>
        </is>
      </c>
      <c r="F6" s="23">
        <f>'7. PV allocation (per period)'!M53</f>
        <v/>
      </c>
      <c r="G6" s="26">
        <f>'7. PV allocation (per period)'!M53/'7. PV allocation (per period)'!E53</f>
        <v/>
      </c>
    </row>
    <row r="7">
      <c r="A7" s="10" t="inlineStr">
        <is>
          <t>PV → customers</t>
        </is>
      </c>
      <c r="B7" s="23">
        <f>'7. PV allocation (per period)'!K53</f>
        <v/>
      </c>
      <c r="C7" s="26">
        <f>'7. PV allocation (per period)'!K53/'7. PV allocation (per period)'!C53</f>
        <v/>
      </c>
      <c r="E7" s="24" t="inlineStr">
        <is>
          <t>TOTAL customer load</t>
        </is>
      </c>
      <c r="F7" s="25">
        <f>'7. PV allocation (per period)'!E53</f>
        <v/>
      </c>
      <c r="G7" s="27" t="n">
        <v>1</v>
      </c>
    </row>
    <row r="8">
      <c r="A8" s="10" t="inlineStr">
        <is>
          <t>PV → export to grid</t>
        </is>
      </c>
      <c r="B8" s="23">
        <f>'7. PV allocation (per period)'!L53</f>
        <v/>
      </c>
      <c r="C8" s="26">
        <f>'7. PV allocation (per period)'!L53/'7. PV allocation (per period)'!C53</f>
        <v/>
      </c>
    </row>
    <row r="9">
      <c r="A9" s="24" t="inlineStr">
        <is>
          <t>TOTAL (= PV)</t>
        </is>
      </c>
      <c r="B9" s="25">
        <f>'7. PV allocation (per period)'!C53</f>
        <v/>
      </c>
      <c r="C9" s="27" t="n">
        <v>1</v>
      </c>
    </row>
    <row r="55">
      <c r="A55" s="17" t="inlineStr">
        <is>
          <t>Charts read live from sheet 7, which reads live from raw sheets 3–6.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2026-07-24T17:40:44Z</dcterms:created>
  <dcterms:modified xsi:type="dcterms:W3CDTF">2026-07-24T17:40:45Z</dcterms:modified>
</cp:coreProperties>
</file>