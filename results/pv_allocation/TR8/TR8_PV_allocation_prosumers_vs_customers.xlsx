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c22\SFU-Courses\Tese\Tese_Organization_July22_26\TR8_analysis\03_PV_ALLOCATION\"/>
    </mc:Choice>
  </mc:AlternateContent>
  <xr:revisionPtr revIDLastSave="0" documentId="8_{DD9AACC3-1C0E-4928-9800-B4C11A55E6E1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1. Overview" sheetId="1" r:id="rId1"/>
    <sheet name="2. Load classification" sheetId="2" r:id="rId2"/>
    <sheet name="3. Raw PV per load" sheetId="3" r:id="rId3"/>
    <sheet name="4. Raw load per load" sheetId="4" r:id="rId4"/>
    <sheet name="5. Raw batt charge" sheetId="5" r:id="rId5"/>
    <sheet name="6. Raw batt discharge" sheetId="6" r:id="rId6"/>
    <sheet name="7. PV allocation (per period)" sheetId="7" r:id="rId7"/>
    <sheet name="8. Results &amp; charts" sheetId="8" r:id="rId8"/>
  </sheets>
  <definedNames>
    <definedName name="_xlnm._FilterDatabase" localSheetId="1" hidden="1">'2. Load classification'!$A$4:$F$304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2" i="7" l="1"/>
  <c r="G52" i="7"/>
  <c r="H52" i="7" s="1"/>
  <c r="F52" i="7"/>
  <c r="E52" i="7"/>
  <c r="D52" i="7"/>
  <c r="C52" i="7"/>
  <c r="G51" i="7"/>
  <c r="F51" i="7"/>
  <c r="H51" i="7" s="1"/>
  <c r="E51" i="7"/>
  <c r="D51" i="7"/>
  <c r="C51" i="7"/>
  <c r="I50" i="7"/>
  <c r="G50" i="7"/>
  <c r="F50" i="7"/>
  <c r="H50" i="7" s="1"/>
  <c r="E50" i="7"/>
  <c r="D50" i="7"/>
  <c r="C50" i="7"/>
  <c r="I49" i="7"/>
  <c r="H49" i="7"/>
  <c r="G49" i="7"/>
  <c r="F49" i="7"/>
  <c r="E49" i="7"/>
  <c r="D49" i="7"/>
  <c r="C49" i="7"/>
  <c r="G48" i="7"/>
  <c r="F48" i="7"/>
  <c r="H48" i="7" s="1"/>
  <c r="E48" i="7"/>
  <c r="D48" i="7"/>
  <c r="C48" i="7"/>
  <c r="I48" i="7" s="1"/>
  <c r="G47" i="7"/>
  <c r="F47" i="7"/>
  <c r="H47" i="7" s="1"/>
  <c r="E47" i="7"/>
  <c r="D47" i="7"/>
  <c r="C47" i="7"/>
  <c r="I47" i="7" s="1"/>
  <c r="I46" i="7"/>
  <c r="G46" i="7"/>
  <c r="F46" i="7"/>
  <c r="H46" i="7" s="1"/>
  <c r="E46" i="7"/>
  <c r="D46" i="7"/>
  <c r="C46" i="7"/>
  <c r="G45" i="7"/>
  <c r="F45" i="7"/>
  <c r="H45" i="7" s="1"/>
  <c r="E45" i="7"/>
  <c r="D45" i="7"/>
  <c r="C45" i="7"/>
  <c r="G44" i="7"/>
  <c r="F44" i="7"/>
  <c r="H44" i="7" s="1"/>
  <c r="E44" i="7"/>
  <c r="D44" i="7"/>
  <c r="C44" i="7"/>
  <c r="G43" i="7"/>
  <c r="F43" i="7"/>
  <c r="H43" i="7" s="1"/>
  <c r="E43" i="7"/>
  <c r="D43" i="7"/>
  <c r="C43" i="7"/>
  <c r="I43" i="7" s="1"/>
  <c r="G42" i="7"/>
  <c r="F42" i="7"/>
  <c r="H42" i="7" s="1"/>
  <c r="E42" i="7"/>
  <c r="D42" i="7"/>
  <c r="C42" i="7"/>
  <c r="G41" i="7"/>
  <c r="F41" i="7"/>
  <c r="H41" i="7" s="1"/>
  <c r="E41" i="7"/>
  <c r="D41" i="7"/>
  <c r="C41" i="7"/>
  <c r="G40" i="7"/>
  <c r="F40" i="7"/>
  <c r="H40" i="7" s="1"/>
  <c r="E40" i="7"/>
  <c r="D40" i="7"/>
  <c r="C40" i="7"/>
  <c r="G39" i="7"/>
  <c r="F39" i="7"/>
  <c r="H39" i="7" s="1"/>
  <c r="E39" i="7"/>
  <c r="D39" i="7"/>
  <c r="C39" i="7"/>
  <c r="G38" i="7"/>
  <c r="F38" i="7"/>
  <c r="H38" i="7" s="1"/>
  <c r="E38" i="7"/>
  <c r="D38" i="7"/>
  <c r="C38" i="7"/>
  <c r="G37" i="7"/>
  <c r="F37" i="7"/>
  <c r="H37" i="7" s="1"/>
  <c r="E37" i="7"/>
  <c r="D37" i="7"/>
  <c r="C37" i="7"/>
  <c r="G36" i="7"/>
  <c r="F36" i="7"/>
  <c r="H36" i="7" s="1"/>
  <c r="E36" i="7"/>
  <c r="D36" i="7"/>
  <c r="C36" i="7"/>
  <c r="G35" i="7"/>
  <c r="F35" i="7"/>
  <c r="H35" i="7" s="1"/>
  <c r="E35" i="7"/>
  <c r="D35" i="7"/>
  <c r="C35" i="7"/>
  <c r="G34" i="7"/>
  <c r="F34" i="7"/>
  <c r="H34" i="7" s="1"/>
  <c r="E34" i="7"/>
  <c r="D34" i="7"/>
  <c r="C34" i="7"/>
  <c r="G33" i="7"/>
  <c r="F33" i="7"/>
  <c r="H33" i="7" s="1"/>
  <c r="E33" i="7"/>
  <c r="D33" i="7"/>
  <c r="I33" i="7" s="1"/>
  <c r="C33" i="7"/>
  <c r="G32" i="7"/>
  <c r="F32" i="7"/>
  <c r="H32" i="7" s="1"/>
  <c r="E32" i="7"/>
  <c r="D32" i="7"/>
  <c r="C32" i="7"/>
  <c r="G31" i="7"/>
  <c r="F31" i="7"/>
  <c r="H31" i="7" s="1"/>
  <c r="E31" i="7"/>
  <c r="D31" i="7"/>
  <c r="C31" i="7"/>
  <c r="I30" i="7"/>
  <c r="G30" i="7"/>
  <c r="F30" i="7"/>
  <c r="H30" i="7" s="1"/>
  <c r="E30" i="7"/>
  <c r="D30" i="7"/>
  <c r="C30" i="7"/>
  <c r="G29" i="7"/>
  <c r="F29" i="7"/>
  <c r="H29" i="7" s="1"/>
  <c r="E29" i="7"/>
  <c r="D29" i="7"/>
  <c r="I29" i="7" s="1"/>
  <c r="C29" i="7"/>
  <c r="G28" i="7"/>
  <c r="F28" i="7"/>
  <c r="H28" i="7" s="1"/>
  <c r="E28" i="7"/>
  <c r="D28" i="7"/>
  <c r="C28" i="7"/>
  <c r="I27" i="7"/>
  <c r="G27" i="7"/>
  <c r="F27" i="7"/>
  <c r="H27" i="7" s="1"/>
  <c r="E27" i="7"/>
  <c r="D27" i="7"/>
  <c r="C27" i="7"/>
  <c r="I26" i="7"/>
  <c r="G26" i="7"/>
  <c r="F26" i="7"/>
  <c r="H26" i="7" s="1"/>
  <c r="E26" i="7"/>
  <c r="D26" i="7"/>
  <c r="C26" i="7"/>
  <c r="G25" i="7"/>
  <c r="F25" i="7"/>
  <c r="H25" i="7" s="1"/>
  <c r="E25" i="7"/>
  <c r="D25" i="7"/>
  <c r="C25" i="7"/>
  <c r="I24" i="7"/>
  <c r="G24" i="7"/>
  <c r="H24" i="7" s="1"/>
  <c r="F24" i="7"/>
  <c r="E24" i="7"/>
  <c r="D24" i="7"/>
  <c r="C24" i="7"/>
  <c r="I23" i="7"/>
  <c r="G23" i="7"/>
  <c r="F23" i="7"/>
  <c r="H23" i="7" s="1"/>
  <c r="E23" i="7"/>
  <c r="D23" i="7"/>
  <c r="C23" i="7"/>
  <c r="G22" i="7"/>
  <c r="F22" i="7"/>
  <c r="H22" i="7" s="1"/>
  <c r="E22" i="7"/>
  <c r="D22" i="7"/>
  <c r="C22" i="7"/>
  <c r="I22" i="7" s="1"/>
  <c r="I21" i="7"/>
  <c r="H21" i="7"/>
  <c r="G21" i="7"/>
  <c r="F21" i="7"/>
  <c r="E21" i="7"/>
  <c r="D21" i="7"/>
  <c r="C21" i="7"/>
  <c r="I20" i="7"/>
  <c r="G20" i="7"/>
  <c r="H20" i="7" s="1"/>
  <c r="F20" i="7"/>
  <c r="E20" i="7"/>
  <c r="D20" i="7"/>
  <c r="C20" i="7"/>
  <c r="G19" i="7"/>
  <c r="F19" i="7"/>
  <c r="H19" i="7" s="1"/>
  <c r="E19" i="7"/>
  <c r="D19" i="7"/>
  <c r="C19" i="7"/>
  <c r="I19" i="7" s="1"/>
  <c r="I18" i="7"/>
  <c r="G18" i="7"/>
  <c r="F18" i="7"/>
  <c r="H18" i="7" s="1"/>
  <c r="E18" i="7"/>
  <c r="D18" i="7"/>
  <c r="C18" i="7"/>
  <c r="I17" i="7"/>
  <c r="H17" i="7"/>
  <c r="G17" i="7"/>
  <c r="F17" i="7"/>
  <c r="E17" i="7"/>
  <c r="D17" i="7"/>
  <c r="C17" i="7"/>
  <c r="G16" i="7"/>
  <c r="F16" i="7"/>
  <c r="H16" i="7" s="1"/>
  <c r="E16" i="7"/>
  <c r="D16" i="7"/>
  <c r="C16" i="7"/>
  <c r="G15" i="7"/>
  <c r="F15" i="7"/>
  <c r="H15" i="7" s="1"/>
  <c r="E15" i="7"/>
  <c r="D15" i="7"/>
  <c r="C15" i="7"/>
  <c r="I15" i="7" s="1"/>
  <c r="I14" i="7"/>
  <c r="G14" i="7"/>
  <c r="F14" i="7"/>
  <c r="H14" i="7" s="1"/>
  <c r="E14" i="7"/>
  <c r="D14" i="7"/>
  <c r="C14" i="7"/>
  <c r="G13" i="7"/>
  <c r="F13" i="7"/>
  <c r="H13" i="7" s="1"/>
  <c r="E13" i="7"/>
  <c r="D13" i="7"/>
  <c r="C13" i="7"/>
  <c r="G12" i="7"/>
  <c r="F12" i="7"/>
  <c r="H12" i="7" s="1"/>
  <c r="E12" i="7"/>
  <c r="D12" i="7"/>
  <c r="C12" i="7"/>
  <c r="G11" i="7"/>
  <c r="F11" i="7"/>
  <c r="H11" i="7" s="1"/>
  <c r="E11" i="7"/>
  <c r="D11" i="7"/>
  <c r="C11" i="7"/>
  <c r="I11" i="7" s="1"/>
  <c r="G10" i="7"/>
  <c r="F10" i="7"/>
  <c r="H10" i="7" s="1"/>
  <c r="E10" i="7"/>
  <c r="D10" i="7"/>
  <c r="C10" i="7"/>
  <c r="G9" i="7"/>
  <c r="F9" i="7"/>
  <c r="H9" i="7" s="1"/>
  <c r="E9" i="7"/>
  <c r="D9" i="7"/>
  <c r="C9" i="7"/>
  <c r="G8" i="7"/>
  <c r="F8" i="7"/>
  <c r="H8" i="7" s="1"/>
  <c r="E8" i="7"/>
  <c r="D8" i="7"/>
  <c r="C8" i="7"/>
  <c r="G7" i="7"/>
  <c r="F7" i="7"/>
  <c r="H7" i="7" s="1"/>
  <c r="E7" i="7"/>
  <c r="D7" i="7"/>
  <c r="C7" i="7"/>
  <c r="G6" i="7"/>
  <c r="F6" i="7"/>
  <c r="H6" i="7" s="1"/>
  <c r="E6" i="7"/>
  <c r="D6" i="7"/>
  <c r="C6" i="7"/>
  <c r="G5" i="7"/>
  <c r="G53" i="7" s="1"/>
  <c r="F5" i="7"/>
  <c r="H5" i="7" s="1"/>
  <c r="E5" i="7"/>
  <c r="E53" i="7" s="1"/>
  <c r="F7" i="8" s="1"/>
  <c r="D5" i="7"/>
  <c r="D53" i="7" s="1"/>
  <c r="C5" i="7"/>
  <c r="J29" i="7" l="1"/>
  <c r="K29" i="7" s="1"/>
  <c r="M29" i="7" s="1"/>
  <c r="K36" i="7"/>
  <c r="L36" i="7" s="1"/>
  <c r="J15" i="7"/>
  <c r="K15" i="7"/>
  <c r="M15" i="7" s="1"/>
  <c r="J20" i="7"/>
  <c r="J45" i="7"/>
  <c r="J16" i="7"/>
  <c r="L16" i="7" s="1"/>
  <c r="J46" i="7"/>
  <c r="L46" i="7" s="1"/>
  <c r="H53" i="7"/>
  <c r="M35" i="7"/>
  <c r="K13" i="7"/>
  <c r="L13" i="7" s="1"/>
  <c r="K7" i="7"/>
  <c r="L7" i="7" s="1"/>
  <c r="J43" i="7"/>
  <c r="J14" i="7"/>
  <c r="J50" i="7"/>
  <c r="L50" i="7" s="1"/>
  <c r="J33" i="7"/>
  <c r="K33" i="7" s="1"/>
  <c r="M33" i="7" s="1"/>
  <c r="J12" i="7"/>
  <c r="M36" i="7"/>
  <c r="K30" i="7"/>
  <c r="M30" i="7" s="1"/>
  <c r="J11" i="7"/>
  <c r="K11" i="7"/>
  <c r="M11" i="7" s="1"/>
  <c r="J47" i="7"/>
  <c r="K47" i="7" s="1"/>
  <c r="M47" i="7" s="1"/>
  <c r="J52" i="7"/>
  <c r="L52" i="7" s="1"/>
  <c r="K20" i="7"/>
  <c r="M20" i="7" s="1"/>
  <c r="J23" i="7"/>
  <c r="L20" i="7"/>
  <c r="J26" i="7"/>
  <c r="L26" i="7" s="1"/>
  <c r="I32" i="7"/>
  <c r="J32" i="7" s="1"/>
  <c r="K14" i="7"/>
  <c r="M14" i="7" s="1"/>
  <c r="J17" i="7"/>
  <c r="L17" i="7" s="1"/>
  <c r="K46" i="7"/>
  <c r="M46" i="7" s="1"/>
  <c r="J49" i="7"/>
  <c r="K49" i="7" s="1"/>
  <c r="M49" i="7" s="1"/>
  <c r="K17" i="7"/>
  <c r="M17" i="7" s="1"/>
  <c r="K52" i="7"/>
  <c r="M52" i="7" s="1"/>
  <c r="K23" i="7"/>
  <c r="M23" i="7" s="1"/>
  <c r="K26" i="7"/>
  <c r="M26" i="7" s="1"/>
  <c r="I35" i="7"/>
  <c r="L35" i="7" s="1"/>
  <c r="C53" i="7"/>
  <c r="I6" i="7"/>
  <c r="J35" i="7"/>
  <c r="I38" i="7"/>
  <c r="J6" i="7"/>
  <c r="L6" i="7" s="1"/>
  <c r="I9" i="7"/>
  <c r="K35" i="7"/>
  <c r="J38" i="7"/>
  <c r="L38" i="7" s="1"/>
  <c r="I41" i="7"/>
  <c r="K6" i="7"/>
  <c r="M6" i="7" s="1"/>
  <c r="J9" i="7"/>
  <c r="K9" i="7" s="1"/>
  <c r="M9" i="7" s="1"/>
  <c r="I12" i="7"/>
  <c r="K38" i="7"/>
  <c r="M38" i="7" s="1"/>
  <c r="J41" i="7"/>
  <c r="K41" i="7" s="1"/>
  <c r="M41" i="7" s="1"/>
  <c r="I44" i="7"/>
  <c r="F53" i="7"/>
  <c r="K50" i="7"/>
  <c r="M50" i="7" s="1"/>
  <c r="J18" i="7"/>
  <c r="K18" i="7" s="1"/>
  <c r="J24" i="7"/>
  <c r="K16" i="7"/>
  <c r="M16" i="7" s="1"/>
  <c r="J19" i="7"/>
  <c r="K19" i="7" s="1"/>
  <c r="M19" i="7" s="1"/>
  <c r="K48" i="7"/>
  <c r="M48" i="7" s="1"/>
  <c r="J51" i="7"/>
  <c r="K51" i="7" s="1"/>
  <c r="M51" i="7" s="1"/>
  <c r="J22" i="7"/>
  <c r="K22" i="7" s="1"/>
  <c r="M22" i="7" s="1"/>
  <c r="J27" i="7"/>
  <c r="K27" i="7" s="1"/>
  <c r="I36" i="7"/>
  <c r="J36" i="7"/>
  <c r="I39" i="7"/>
  <c r="J7" i="7"/>
  <c r="I10" i="7"/>
  <c r="J10" i="7" s="1"/>
  <c r="I45" i="7"/>
  <c r="K45" i="7" s="1"/>
  <c r="M45" i="7" s="1"/>
  <c r="J13" i="7"/>
  <c r="I16" i="7"/>
  <c r="I25" i="7"/>
  <c r="L25" i="7" s="1"/>
  <c r="J25" i="7"/>
  <c r="I28" i="7"/>
  <c r="K28" i="7" s="1"/>
  <c r="K25" i="7"/>
  <c r="M25" i="7" s="1"/>
  <c r="J28" i="7"/>
  <c r="I31" i="7"/>
  <c r="L31" i="7" s="1"/>
  <c r="J31" i="7"/>
  <c r="I34" i="7"/>
  <c r="K34" i="7" s="1"/>
  <c r="M34" i="7" s="1"/>
  <c r="K31" i="7"/>
  <c r="M31" i="7" s="1"/>
  <c r="J34" i="7"/>
  <c r="I37" i="7"/>
  <c r="J37" i="7" s="1"/>
  <c r="J21" i="7"/>
  <c r="J30" i="7"/>
  <c r="L30" i="7" s="1"/>
  <c r="I7" i="7"/>
  <c r="I13" i="7"/>
  <c r="J48" i="7"/>
  <c r="I51" i="7"/>
  <c r="I5" i="7"/>
  <c r="J5" i="7"/>
  <c r="I8" i="7"/>
  <c r="J8" i="7" s="1"/>
  <c r="I40" i="7"/>
  <c r="J40" i="7" s="1"/>
  <c r="J39" i="7"/>
  <c r="K39" i="7" s="1"/>
  <c r="I42" i="7"/>
  <c r="J42" i="7" s="1"/>
  <c r="K42" i="7" s="1"/>
  <c r="M42" i="7" s="1"/>
  <c r="M18" i="7" l="1"/>
  <c r="L18" i="7"/>
  <c r="M28" i="7"/>
  <c r="L28" i="7"/>
  <c r="M27" i="7"/>
  <c r="L27" i="7"/>
  <c r="M39" i="7"/>
  <c r="L39" i="7"/>
  <c r="L45" i="7"/>
  <c r="K10" i="7"/>
  <c r="M10" i="7" s="1"/>
  <c r="L23" i="7"/>
  <c r="L22" i="7"/>
  <c r="K21" i="7"/>
  <c r="M21" i="7" s="1"/>
  <c r="K44" i="7"/>
  <c r="M44" i="7" s="1"/>
  <c r="J53" i="7"/>
  <c r="M7" i="7"/>
  <c r="L47" i="7"/>
  <c r="L42" i="7"/>
  <c r="L49" i="7"/>
  <c r="K24" i="7"/>
  <c r="M24" i="7" s="1"/>
  <c r="L29" i="7"/>
  <c r="L34" i="7"/>
  <c r="K40" i="7"/>
  <c r="M40" i="7" s="1"/>
  <c r="K8" i="7"/>
  <c r="M8" i="7" s="1"/>
  <c r="K12" i="7"/>
  <c r="M12" i="7" s="1"/>
  <c r="J44" i="7"/>
  <c r="I53" i="7"/>
  <c r="L33" i="7"/>
  <c r="L48" i="7"/>
  <c r="L51" i="7"/>
  <c r="M13" i="7"/>
  <c r="L11" i="7"/>
  <c r="K43" i="7"/>
  <c r="M43" i="7" s="1"/>
  <c r="L19" i="7"/>
  <c r="L15" i="7"/>
  <c r="L14" i="7"/>
  <c r="K37" i="7"/>
  <c r="M37" i="7" s="1"/>
  <c r="L41" i="7"/>
  <c r="K5" i="7"/>
  <c r="L9" i="7"/>
  <c r="K32" i="7"/>
  <c r="M32" i="7" s="1"/>
  <c r="B9" i="8"/>
  <c r="C29" i="1"/>
  <c r="L40" i="7" l="1"/>
  <c r="K53" i="7"/>
  <c r="M5" i="7"/>
  <c r="M53" i="7" s="1"/>
  <c r="L37" i="7"/>
  <c r="B6" i="8"/>
  <c r="C31" i="1"/>
  <c r="C6" i="8"/>
  <c r="L44" i="7"/>
  <c r="L10" i="7"/>
  <c r="L21" i="7"/>
  <c r="C30" i="1"/>
  <c r="B5" i="8"/>
  <c r="C5" i="8"/>
  <c r="L43" i="7"/>
  <c r="L8" i="7"/>
  <c r="L5" i="7"/>
  <c r="L32" i="7"/>
  <c r="L12" i="7"/>
  <c r="L24" i="7"/>
  <c r="L53" i="7" l="1"/>
  <c r="G6" i="8"/>
  <c r="C36" i="1"/>
  <c r="F6" i="8"/>
  <c r="C35" i="1"/>
  <c r="F5" i="8"/>
  <c r="C7" i="8"/>
  <c r="B7" i="8"/>
  <c r="G5" i="8"/>
  <c r="C34" i="1"/>
  <c r="C32" i="1"/>
  <c r="C8" i="8" l="1"/>
  <c r="C33" i="1"/>
  <c r="B8" i="8"/>
</calcChain>
</file>

<file path=xl/sharedStrings.xml><?xml version="1.0" encoding="utf-8"?>
<sst xmlns="http://schemas.openxmlformats.org/spreadsheetml/2006/main" count="2558" uniqueCount="868">
  <si>
    <t>TR8 — Where does the PV energy go?</t>
  </si>
  <si>
    <t>Prosumers vs. pure customers — every kWh traced from the raw model inputs</t>
  </si>
  <si>
    <t>Purpose</t>
  </si>
  <si>
    <t>This workbook accounts for every kWh of PV generated on transformer TR8 over one representative day, and it is fully auditable: nothing is hand-typed except the raw model outputs. Follow the data chain below — each step is a live formula, so changing any raw number updates everything.</t>
  </si>
  <si>
    <t>The data chain (how each number is built)</t>
  </si>
  <si>
    <t>Sheet 3 · Raw PV per load</t>
  </si>
  <si>
    <t>The PV profile of every connection, 48 half-hours. Copied verbatim from TR8_load_PV_48periods.xlsx (sheet PV_generation_kW). Customers = 0.</t>
  </si>
  <si>
    <t>Sheet 4 · Raw load per load</t>
  </si>
  <si>
    <t>The load profile of every connection, 48 half-hours, tagged prosumer / customer. Copied from TR8_load_PV_48periods.xlsx (sheet Load_P_kW).</t>
  </si>
  <si>
    <t>Sheet 5 · Raw batt charge</t>
  </si>
  <si>
    <t>Charging power of every battery, 48 half-hours. Copied from the rolling dispatch TR8_analysis_data.xlsx (sheet Charge_kW).</t>
  </si>
  <si>
    <t>Sheet 6 · Raw batt discharge</t>
  </si>
  <si>
    <t>Discharging power of every battery. Copied from the same run (Discharge_kW).</t>
  </si>
  <si>
    <t>Sheet 7 · PV allocation</t>
  </si>
  <si>
    <t>Per half-hour: the five blue inputs are AGGREGATED from sheets 3–6 by SUM / SUMIF; the amber columns then split the PV by the priority rule.</t>
  </si>
  <si>
    <t>Sheets 1 &amp; 8 · Results</t>
  </si>
  <si>
    <t>Daily totals (Σ×0.5 h) and shares. Every headline cell links to sheet 7.</t>
  </si>
  <si>
    <t>The aggregation formulas (sheet 7, per half-hour)</t>
  </si>
  <si>
    <t>PV (all)</t>
  </si>
  <si>
    <t>prosumer load</t>
  </si>
  <si>
    <t>customer load</t>
  </si>
  <si>
    <t>battery charge</t>
  </si>
  <si>
    <t>battery discharge</t>
  </si>
  <si>
    <t>Headline results (all linked live to sheet 7)</t>
  </si>
  <si>
    <t>Quantity</t>
  </si>
  <si>
    <t>Value</t>
  </si>
  <si>
    <t>Unit</t>
  </si>
  <si>
    <t>Prosumers (PV + battery)</t>
  </si>
  <si>
    <t>connections</t>
  </si>
  <si>
    <t>Pure customers (load only)</t>
  </si>
  <si>
    <t>PV generated</t>
  </si>
  <si>
    <t>kWh/day</t>
  </si>
  <si>
    <t>PV → prosumers' own load (direct)</t>
  </si>
  <si>
    <t>PV → battery storage</t>
  </si>
  <si>
    <t>PV → customers</t>
  </si>
  <si>
    <t>PV → export to grid</t>
  </si>
  <si>
    <t>PV share reaching customers</t>
  </si>
  <si>
    <t>% of PV</t>
  </si>
  <si>
    <t>Customer load covered by PV</t>
  </si>
  <si>
    <t>% of customer load</t>
  </si>
  <si>
    <t>Customer load covered by grid</t>
  </si>
  <si>
    <t>Colour key &amp; provenance</t>
  </si>
  <si>
    <t>• LIGHT-BLUE cell = data belonging to a prosumer (its rooftop PV, load, or battery).  WHITE = a pure customer (load only).  On sheet 7:  VIOLET = value aggregated live from the raw sheets (SUM/SUMIF);  AMBER = allocation formula;  GREEN = daily total (Σ × 0.5 h).</t>
  </si>
  <si>
    <t>• Per-load PV &amp; load profiles:  results/tables/TR8_load_PV_48periods.xlsx  (built from OpData.xls).</t>
  </si>
  <si>
    <t>• Per-battery charge/discharge:  TR8_analysis/01_DAILY_ROLLING_DISPATCH/TR8_analysis_data.xlsx (exact-QCP rolling dispatch, RunFOR_Rolling, CPLEX).</t>
  </si>
  <si>
    <t>• Load classification (PV size &gt; 0 = prosumer):  sheet 'Customers' of the load/PV workbook.</t>
  </si>
  <si>
    <t>• Method note: priority energy allocation per half-hour; downstream network + battery round-trip losses (~3–4% of PV) are not separated out in the per-period disposition.</t>
  </si>
  <si>
    <t>TR8 load classification — 300 connections</t>
  </si>
  <si>
    <t>124 prosumers (PV + battery)  ·  176 pure customers (load only)</t>
  </si>
  <si>
    <t>ID</t>
  </si>
  <si>
    <t>Load name</t>
  </si>
  <si>
    <t>Bus</t>
  </si>
  <si>
    <t>Phase</t>
  </si>
  <si>
    <t>PV size (kW)</t>
  </si>
  <si>
    <t>Type</t>
  </si>
  <si>
    <t>Load_TR8_F1_1</t>
  </si>
  <si>
    <t>TR8_one38</t>
  </si>
  <si>
    <t>customer</t>
  </si>
  <si>
    <t>Load_TR8_F1_10</t>
  </si>
  <si>
    <t>TR8_one195</t>
  </si>
  <si>
    <t>Load_TR8_F1_12</t>
  </si>
  <si>
    <t>TR8_one235</t>
  </si>
  <si>
    <t>Load_TR8_F1_13</t>
  </si>
  <si>
    <t>TR8_one242</t>
  </si>
  <si>
    <t>Load_TR8_F1_15</t>
  </si>
  <si>
    <t>TR8_one260</t>
  </si>
  <si>
    <t>Load_TR8_F1_17</t>
  </si>
  <si>
    <t>TR8_one287</t>
  </si>
  <si>
    <t>Load_TR8_F1_18</t>
  </si>
  <si>
    <t>TR8_one299</t>
  </si>
  <si>
    <t>Load_TR8_F1_2</t>
  </si>
  <si>
    <t>TR8_one42</t>
  </si>
  <si>
    <t>Load_TR8_F1_20</t>
  </si>
  <si>
    <t>TR8_one320</t>
  </si>
  <si>
    <t>Load_TR8_F1_22</t>
  </si>
  <si>
    <t>TR8_one328</t>
  </si>
  <si>
    <t>Load_TR8_F1_24</t>
  </si>
  <si>
    <t>TR8_one346</t>
  </si>
  <si>
    <t>Load_TR8_F1_25</t>
  </si>
  <si>
    <t>TR8_one363</t>
  </si>
  <si>
    <t>Load_TR8_F1_26</t>
  </si>
  <si>
    <t>TR8_one366</t>
  </si>
  <si>
    <t>Load_TR8_F1_27</t>
  </si>
  <si>
    <t>TR8_one371</t>
  </si>
  <si>
    <t>Load_TR8_F1_3</t>
  </si>
  <si>
    <t>TR8_one50</t>
  </si>
  <si>
    <t>Load_TR8_F1_35</t>
  </si>
  <si>
    <t>TR8_one480</t>
  </si>
  <si>
    <t>Load_TR8_F1_37</t>
  </si>
  <si>
    <t>TR8_one521</t>
  </si>
  <si>
    <t>Load_TR8_F1_38</t>
  </si>
  <si>
    <t>TR8_one528</t>
  </si>
  <si>
    <t>Load_TR8_F1_39</t>
  </si>
  <si>
    <t>TR8_one537</t>
  </si>
  <si>
    <t>Load_TR8_F1_40</t>
  </si>
  <si>
    <t>TR8_one544</t>
  </si>
  <si>
    <t>Load_TR8_F1_42</t>
  </si>
  <si>
    <t>TR8_one559</t>
  </si>
  <si>
    <t>Load_TR8_F1_44</t>
  </si>
  <si>
    <t>TR8_one570</t>
  </si>
  <si>
    <t>Load_TR8_F1_45</t>
  </si>
  <si>
    <t>TR8_one585</t>
  </si>
  <si>
    <t>Load_TR8_F1_46</t>
  </si>
  <si>
    <t>TR8_one590</t>
  </si>
  <si>
    <t>Load_TR8_F1_47</t>
  </si>
  <si>
    <t>TR8_one605</t>
  </si>
  <si>
    <t>Load_TR8_F1_48</t>
  </si>
  <si>
    <t>TR8_one614</t>
  </si>
  <si>
    <t>Load_TR8_F1_49</t>
  </si>
  <si>
    <t>TR8_one617</t>
  </si>
  <si>
    <t>Load_TR8_F1_6</t>
  </si>
  <si>
    <t>TR8_one76</t>
  </si>
  <si>
    <t>Load_TR8_F1_7</t>
  </si>
  <si>
    <t>TR8_one133</t>
  </si>
  <si>
    <t>Load_TR8_F1_9</t>
  </si>
  <si>
    <t>TR8_one176</t>
  </si>
  <si>
    <t>Load_TR8_F4_10</t>
  </si>
  <si>
    <t>TR8_four149</t>
  </si>
  <si>
    <t>Load_TR8_F4_100</t>
  </si>
  <si>
    <t>TR8_four1252</t>
  </si>
  <si>
    <t>Load_TR8_F4_11</t>
  </si>
  <si>
    <t>TR8_four163</t>
  </si>
  <si>
    <t>Load_TR8_F4_13</t>
  </si>
  <si>
    <t>TR8_four174</t>
  </si>
  <si>
    <t>Load_TR8_F4_15</t>
  </si>
  <si>
    <t>TR8_four184</t>
  </si>
  <si>
    <t>Load_TR8_F4_20</t>
  </si>
  <si>
    <t>TR8_four279</t>
  </si>
  <si>
    <t>Load_TR8_F4_25</t>
  </si>
  <si>
    <t>TR8_four317</t>
  </si>
  <si>
    <t>Load_TR8_F4_28</t>
  </si>
  <si>
    <t>TR8_four354</t>
  </si>
  <si>
    <t>Load_TR8_F4_3</t>
  </si>
  <si>
    <t>TR8_four65</t>
  </si>
  <si>
    <t>Load_TR8_F4_33</t>
  </si>
  <si>
    <t>TR8_four384</t>
  </si>
  <si>
    <t>Load_TR8_F4_35</t>
  </si>
  <si>
    <t>TR8_four396</t>
  </si>
  <si>
    <t>Load_TR8_F4_39</t>
  </si>
  <si>
    <t>TR8_four451</t>
  </si>
  <si>
    <t>Load_TR8_F4_4</t>
  </si>
  <si>
    <t>TR8_four67</t>
  </si>
  <si>
    <t>Load_TR8_F4_40</t>
  </si>
  <si>
    <t>TR8_four455</t>
  </si>
  <si>
    <t>Load_TR8_F4_41</t>
  </si>
  <si>
    <t>TR8_four459</t>
  </si>
  <si>
    <t>Load_TR8_F4_44</t>
  </si>
  <si>
    <t>TR8_four480</t>
  </si>
  <si>
    <t>Load_TR8_F4_45</t>
  </si>
  <si>
    <t>TR8_four532</t>
  </si>
  <si>
    <t>Load_TR8_F4_47</t>
  </si>
  <si>
    <t>TR8_four553</t>
  </si>
  <si>
    <t>Load_TR8_F4_5</t>
  </si>
  <si>
    <t>TR8_four70</t>
  </si>
  <si>
    <t>Load_TR8_F4_50</t>
  </si>
  <si>
    <t>TR8_four573</t>
  </si>
  <si>
    <t>Load_TR8_F4_51</t>
  </si>
  <si>
    <t>TR8_four586</t>
  </si>
  <si>
    <t>Load_TR8_F4_53</t>
  </si>
  <si>
    <t>TR8_four593</t>
  </si>
  <si>
    <t>Load_TR8_F4_55</t>
  </si>
  <si>
    <t>TR8_four659</t>
  </si>
  <si>
    <t>Load_TR8_F4_56</t>
  </si>
  <si>
    <t>TR8_four664</t>
  </si>
  <si>
    <t>Load_TR8_F4_57</t>
  </si>
  <si>
    <t>TR8_four675</t>
  </si>
  <si>
    <t>Load_TR8_F4_58</t>
  </si>
  <si>
    <t>TR8_four704</t>
  </si>
  <si>
    <t>Load_TR8_F4_59</t>
  </si>
  <si>
    <t>TR8_four710</t>
  </si>
  <si>
    <t>Load_TR8_F4_60</t>
  </si>
  <si>
    <t>TR8_four727</t>
  </si>
  <si>
    <t>Load_TR8_F4_61</t>
  </si>
  <si>
    <t>TR8_four732</t>
  </si>
  <si>
    <t>Load_TR8_F4_63</t>
  </si>
  <si>
    <t>TR8_four763</t>
  </si>
  <si>
    <t>Load_TR8_F4_65</t>
  </si>
  <si>
    <t>TR8_four818</t>
  </si>
  <si>
    <t>Load_TR8_F4_66</t>
  </si>
  <si>
    <t>TR8_four821</t>
  </si>
  <si>
    <t>Load_TR8_F4_67</t>
  </si>
  <si>
    <t>TR8_four829</t>
  </si>
  <si>
    <t>Load_TR8_F4_68</t>
  </si>
  <si>
    <t>TR8_four832</t>
  </si>
  <si>
    <t>Load_TR8_F4_69</t>
  </si>
  <si>
    <t>TR8_four840</t>
  </si>
  <si>
    <t>Load_TR8_F4_7</t>
  </si>
  <si>
    <t>TR8_four98</t>
  </si>
  <si>
    <t>Load_TR8_F4_71</t>
  </si>
  <si>
    <t>TR8_four853</t>
  </si>
  <si>
    <t>Load_TR8_F4_73</t>
  </si>
  <si>
    <t>TR8_four926</t>
  </si>
  <si>
    <t>Load_TR8_F4_76</t>
  </si>
  <si>
    <t>TR8_four957</t>
  </si>
  <si>
    <t>Load_TR8_F4_77</t>
  </si>
  <si>
    <t>TR8_four958</t>
  </si>
  <si>
    <t>Load_TR8_F4_78</t>
  </si>
  <si>
    <t>TR8_four963</t>
  </si>
  <si>
    <t>Load_TR8_F4_83</t>
  </si>
  <si>
    <t>TR8_four1063</t>
  </si>
  <si>
    <t>Load_TR8_F4_84</t>
  </si>
  <si>
    <t>TR8_four1091</t>
  </si>
  <si>
    <t>Load_TR8_F4_85</t>
  </si>
  <si>
    <t>TR8_four1103</t>
  </si>
  <si>
    <t>Load_TR8_F4_86</t>
  </si>
  <si>
    <t>TR8_four1108</t>
  </si>
  <si>
    <t>Load_TR8_F4_87</t>
  </si>
  <si>
    <t>TR8_four1123</t>
  </si>
  <si>
    <t>Load_TR8_F4_89</t>
  </si>
  <si>
    <t>TR8_four1140</t>
  </si>
  <si>
    <t>Load_TR8_F4_90</t>
  </si>
  <si>
    <t>TR8_four1152</t>
  </si>
  <si>
    <t>Load_TR8_F4_92</t>
  </si>
  <si>
    <t>TR8_four1193</t>
  </si>
  <si>
    <t>Load_TR8_F4_94</t>
  </si>
  <si>
    <t>TR8_four1216</t>
  </si>
  <si>
    <t>Load_TR8_F4_95</t>
  </si>
  <si>
    <t>TR8_four1220</t>
  </si>
  <si>
    <t>Load_TR8_F4_96</t>
  </si>
  <si>
    <t>TR8_four1226</t>
  </si>
  <si>
    <t>Load_TR8_F4_97</t>
  </si>
  <si>
    <t>TR8_four1230</t>
  </si>
  <si>
    <t>Load_TR8_F4_98</t>
  </si>
  <si>
    <t>TR8_four1241</t>
  </si>
  <si>
    <t>Load_TR8_F4_99</t>
  </si>
  <si>
    <t>TR8_four1244</t>
  </si>
  <si>
    <t>Load_TR8_F5_1</t>
  </si>
  <si>
    <t>TR8_five58</t>
  </si>
  <si>
    <t>Load_TR8_F5_10</t>
  </si>
  <si>
    <t>TR8_five147</t>
  </si>
  <si>
    <t>Load_TR8_F5_11</t>
  </si>
  <si>
    <t>TR8_five149</t>
  </si>
  <si>
    <t>Load_TR8_F5_12</t>
  </si>
  <si>
    <t>TR8_five160</t>
  </si>
  <si>
    <t>Load_TR8_F5_14</t>
  </si>
  <si>
    <t>TR8_five170</t>
  </si>
  <si>
    <t>Load_TR8_F5_15</t>
  </si>
  <si>
    <t>TR8_five177</t>
  </si>
  <si>
    <t>Load_TR8_F5_18</t>
  </si>
  <si>
    <t>TR8_five199</t>
  </si>
  <si>
    <t>Load_TR8_F5_19</t>
  </si>
  <si>
    <t>TR8_five220</t>
  </si>
  <si>
    <t>Load_TR8_F5_2</t>
  </si>
  <si>
    <t>TR8_five67</t>
  </si>
  <si>
    <t>Load_TR8_F5_21</t>
  </si>
  <si>
    <t>TR8_five242</t>
  </si>
  <si>
    <t>Load_TR8_F5_22</t>
  </si>
  <si>
    <t>TR8_five243</t>
  </si>
  <si>
    <t>Load_TR8_F5_23</t>
  </si>
  <si>
    <t>TR8_five284</t>
  </si>
  <si>
    <t>Load_TR8_F5_24</t>
  </si>
  <si>
    <t>TR8_five285</t>
  </si>
  <si>
    <t>Load_TR8_F5_26</t>
  </si>
  <si>
    <t>TR8_five309</t>
  </si>
  <si>
    <t>Load_TR8_F5_29</t>
  </si>
  <si>
    <t>TR8_five355</t>
  </si>
  <si>
    <t>Load_TR8_F5_3</t>
  </si>
  <si>
    <t>TR8_five78</t>
  </si>
  <si>
    <t>Load_TR8_F5_30</t>
  </si>
  <si>
    <t>TR8_five394</t>
  </si>
  <si>
    <t>Load_TR8_F5_32</t>
  </si>
  <si>
    <t>TR8_five445</t>
  </si>
  <si>
    <t>Load_TR8_F5_33</t>
  </si>
  <si>
    <t>TR8_five451</t>
  </si>
  <si>
    <t>Load_TR8_F5_34</t>
  </si>
  <si>
    <t>TR8_five457</t>
  </si>
  <si>
    <t>Load_TR8_F5_35</t>
  </si>
  <si>
    <t>TR8_five466</t>
  </si>
  <si>
    <t>Load_TR8_F5_36</t>
  </si>
  <si>
    <t>TR8_five472</t>
  </si>
  <si>
    <t>Load_TR8_F5_38</t>
  </si>
  <si>
    <t>TR8_five494</t>
  </si>
  <si>
    <t>Load_TR8_F5_39</t>
  </si>
  <si>
    <t>TR8_five499</t>
  </si>
  <si>
    <t>Load_TR8_F5_4</t>
  </si>
  <si>
    <t>TR8_five92</t>
  </si>
  <si>
    <t>Load_TR8_F5_40</t>
  </si>
  <si>
    <t>TR8_five512</t>
  </si>
  <si>
    <t>Load_TR8_F5_42</t>
  </si>
  <si>
    <t>TR8_five520</t>
  </si>
  <si>
    <t>Load_TR8_F5_45</t>
  </si>
  <si>
    <t>TR8_five545</t>
  </si>
  <si>
    <t>Load_TR8_F5_47</t>
  </si>
  <si>
    <t>TR8_five585</t>
  </si>
  <si>
    <t>Load_TR8_F5_48</t>
  </si>
  <si>
    <t>TR8_five588</t>
  </si>
  <si>
    <t>Load_TR8_F5_5</t>
  </si>
  <si>
    <t>TR8_five108</t>
  </si>
  <si>
    <t>Load_TR8_F5_53</t>
  </si>
  <si>
    <t>TR8_five685</t>
  </si>
  <si>
    <t>Load_TR8_F5_54</t>
  </si>
  <si>
    <t>TR8_five695</t>
  </si>
  <si>
    <t>Load_TR8_F5_57</t>
  </si>
  <si>
    <t>TR8_five733</t>
  </si>
  <si>
    <t>Load_TR8_F5_58</t>
  </si>
  <si>
    <t>TR8_five735</t>
  </si>
  <si>
    <t>Load_TR8_F5_59</t>
  </si>
  <si>
    <t>TR8_five748</t>
  </si>
  <si>
    <t>Load_TR8_F5_6</t>
  </si>
  <si>
    <t>TR8_five117</t>
  </si>
  <si>
    <t>Load_TR8_F5_61</t>
  </si>
  <si>
    <t>TR8_five778</t>
  </si>
  <si>
    <t>Load_TR8_F5_63</t>
  </si>
  <si>
    <t>TR8_five799</t>
  </si>
  <si>
    <t>Load_TR8_F5_65</t>
  </si>
  <si>
    <t>TR8_five809</t>
  </si>
  <si>
    <t>Load_TR8_F5_66</t>
  </si>
  <si>
    <t>TR8_five831</t>
  </si>
  <si>
    <t>Load_TR8_F5_67</t>
  </si>
  <si>
    <t>TR8_five881</t>
  </si>
  <si>
    <t>Load_TR8_F5_9</t>
  </si>
  <si>
    <t>TR8_five129</t>
  </si>
  <si>
    <t>Load_TR8_F6_12</t>
  </si>
  <si>
    <t>TR8_six186</t>
  </si>
  <si>
    <t>Load_TR8_F6_13</t>
  </si>
  <si>
    <t>TR8_six191</t>
  </si>
  <si>
    <t>Load_TR8_F6_14</t>
  </si>
  <si>
    <t>TR8_six203</t>
  </si>
  <si>
    <t>Load_TR8_F6_17</t>
  </si>
  <si>
    <t>TR8_six249</t>
  </si>
  <si>
    <t>Load_TR8_F6_18</t>
  </si>
  <si>
    <t>TR8_six254</t>
  </si>
  <si>
    <t>Load_TR8_F6_2</t>
  </si>
  <si>
    <t>TR8_six68</t>
  </si>
  <si>
    <t>Load_TR8_F6_25</t>
  </si>
  <si>
    <t>TR8_six349</t>
  </si>
  <si>
    <t>Load_TR8_F6_27</t>
  </si>
  <si>
    <t>TR8_six362</t>
  </si>
  <si>
    <t>Load_TR8_F6_29</t>
  </si>
  <si>
    <t>TR8_six378</t>
  </si>
  <si>
    <t>Load_TR8_F6_31</t>
  </si>
  <si>
    <t>TR8_six387</t>
  </si>
  <si>
    <t>Load_TR8_F6_32</t>
  </si>
  <si>
    <t>TR8_six392</t>
  </si>
  <si>
    <t>Load_TR8_F6_33</t>
  </si>
  <si>
    <t>TR8_six410</t>
  </si>
  <si>
    <t>Load_TR8_F6_35</t>
  </si>
  <si>
    <t>TR8_six441</t>
  </si>
  <si>
    <t>Load_TR8_F6_36</t>
  </si>
  <si>
    <t>TR8_six484</t>
  </si>
  <si>
    <t>Load_TR8_F6_37</t>
  </si>
  <si>
    <t>TR8_six501</t>
  </si>
  <si>
    <t>Load_TR8_F6_38</t>
  </si>
  <si>
    <t>TR8_six512</t>
  </si>
  <si>
    <t>Load_TR8_F6_39</t>
  </si>
  <si>
    <t>TR8_six518</t>
  </si>
  <si>
    <t>Load_TR8_F6_4</t>
  </si>
  <si>
    <t>TR8_six82</t>
  </si>
  <si>
    <t>Load_TR8_F6_40</t>
  </si>
  <si>
    <t>TR8_six523</t>
  </si>
  <si>
    <t>Load_TR8_F6_41</t>
  </si>
  <si>
    <t>TR8_six534</t>
  </si>
  <si>
    <t>Load_TR8_F6_43</t>
  </si>
  <si>
    <t>TR8_six583</t>
  </si>
  <si>
    <t>Load_TR8_F6_44</t>
  </si>
  <si>
    <t>TR8_six591</t>
  </si>
  <si>
    <t>Load_TR8_F6_46</t>
  </si>
  <si>
    <t>TR8_six625</t>
  </si>
  <si>
    <t>Load_TR8_F6_48</t>
  </si>
  <si>
    <t>TR8_six646</t>
  </si>
  <si>
    <t>Load_TR8_F6_49</t>
  </si>
  <si>
    <t>TR8_six651</t>
  </si>
  <si>
    <t>Load_TR8_F6_5</t>
  </si>
  <si>
    <t>TR8_six87</t>
  </si>
  <si>
    <t>Load_TR8_F6_51</t>
  </si>
  <si>
    <t>TR8_six665</t>
  </si>
  <si>
    <t>Load_TR8_F6_54</t>
  </si>
  <si>
    <t>TR8_six718</t>
  </si>
  <si>
    <t>Load_TR8_F6_55</t>
  </si>
  <si>
    <t>TR8_six721</t>
  </si>
  <si>
    <t>Load_TR8_F6_58</t>
  </si>
  <si>
    <t>TR8_six758</t>
  </si>
  <si>
    <t>Load_TR8_F6_59</t>
  </si>
  <si>
    <t>TR8_six784</t>
  </si>
  <si>
    <t>Load_TR8_F6_60</t>
  </si>
  <si>
    <t>TR8_six799</t>
  </si>
  <si>
    <t>Load_TR8_F6_64</t>
  </si>
  <si>
    <t>TR8_six852</t>
  </si>
  <si>
    <t>Load_TR8_F6_66</t>
  </si>
  <si>
    <t>TR8_six869</t>
  </si>
  <si>
    <t>Load_TR8_F6_67</t>
  </si>
  <si>
    <t>TR8_six885</t>
  </si>
  <si>
    <t>Load_TR8_F6_68</t>
  </si>
  <si>
    <t>TR8_six894</t>
  </si>
  <si>
    <t>Load_TR8_F6_7</t>
  </si>
  <si>
    <t>TR8_six105</t>
  </si>
  <si>
    <t>Load_TR8_F6_71</t>
  </si>
  <si>
    <t>TR8_six921</t>
  </si>
  <si>
    <t>Load_TR8_F6_72</t>
  </si>
  <si>
    <t>TR8_six929</t>
  </si>
  <si>
    <t>Load_TR8_F6_73</t>
  </si>
  <si>
    <t>TR8_six938</t>
  </si>
  <si>
    <t>Load_TR8_F6_74</t>
  </si>
  <si>
    <t>TR8_six945</t>
  </si>
  <si>
    <t>Load_TR8_F6_75</t>
  </si>
  <si>
    <t>TR8_six952</t>
  </si>
  <si>
    <t>Load_TR8_F6_76</t>
  </si>
  <si>
    <t>TR8_six967</t>
  </si>
  <si>
    <t>Load_TR8_F6_77</t>
  </si>
  <si>
    <t>TR8_six974</t>
  </si>
  <si>
    <t>Load_TR8_F6_78</t>
  </si>
  <si>
    <t>TR8_six979</t>
  </si>
  <si>
    <t>Load_TR8_F6_79</t>
  </si>
  <si>
    <t>TR8_six990</t>
  </si>
  <si>
    <t>Load_TR8_F6_82</t>
  </si>
  <si>
    <t>TR8_six1025</t>
  </si>
  <si>
    <t>Load_TR8_F6_9</t>
  </si>
  <si>
    <t>TR8_six128</t>
  </si>
  <si>
    <t>Load_TR8_F1_11</t>
  </si>
  <si>
    <t>TR8_one223</t>
  </si>
  <si>
    <t>prosumer</t>
  </si>
  <si>
    <t>Load_TR8_F1_14</t>
  </si>
  <si>
    <t>TR8_one252</t>
  </si>
  <si>
    <t>Load_TR8_F1_16</t>
  </si>
  <si>
    <t>TR8_one280</t>
  </si>
  <si>
    <t>Load_TR8_F1_19</t>
  </si>
  <si>
    <t>TR8_one313</t>
  </si>
  <si>
    <t>Load_TR8_F1_21</t>
  </si>
  <si>
    <t>TR8_one321</t>
  </si>
  <si>
    <t>Load_TR8_F1_23</t>
  </si>
  <si>
    <t>TR8_one345</t>
  </si>
  <si>
    <t>Load_TR8_F1_28</t>
  </si>
  <si>
    <t>TR8_one375</t>
  </si>
  <si>
    <t>Load_TR8_F1_29</t>
  </si>
  <si>
    <t>TR8_one410</t>
  </si>
  <si>
    <t>Load_TR8_F1_30</t>
  </si>
  <si>
    <t>TR8_one416</t>
  </si>
  <si>
    <t>Load_TR8_F1_31</t>
  </si>
  <si>
    <t>TR8_one423</t>
  </si>
  <si>
    <t>Load_TR8_F1_32</t>
  </si>
  <si>
    <t>TR8_one446</t>
  </si>
  <si>
    <t>Load_TR8_F1_33</t>
  </si>
  <si>
    <t>TR8_one469</t>
  </si>
  <si>
    <t>Load_TR8_F1_34</t>
  </si>
  <si>
    <t>TR8_one477</t>
  </si>
  <si>
    <t>Load_TR8_F1_36</t>
  </si>
  <si>
    <t>TR8_one482</t>
  </si>
  <si>
    <t>Load_TR8_F1_4</t>
  </si>
  <si>
    <t>TR8_one61</t>
  </si>
  <si>
    <t>Load_TR8_F1_41</t>
  </si>
  <si>
    <t>TR8_one552</t>
  </si>
  <si>
    <t>Load_TR8_F1_43</t>
  </si>
  <si>
    <t>TR8_one560</t>
  </si>
  <si>
    <t>Load_TR8_F1_5</t>
  </si>
  <si>
    <t>TR8_one73</t>
  </si>
  <si>
    <t>Load_TR8_F1_8</t>
  </si>
  <si>
    <t>TR8_one137</t>
  </si>
  <si>
    <t>Load_TR8_F4_1</t>
  </si>
  <si>
    <t>TR8_four50</t>
  </si>
  <si>
    <t>Load_TR8_F4_12</t>
  </si>
  <si>
    <t>TR8_four171</t>
  </si>
  <si>
    <t>Load_TR8_F4_14</t>
  </si>
  <si>
    <t>TR8_four180</t>
  </si>
  <si>
    <t>Load_TR8_F4_16</t>
  </si>
  <si>
    <t>TR8_four200</t>
  </si>
  <si>
    <t>Load_TR8_F4_17</t>
  </si>
  <si>
    <t>TR8_four239</t>
  </si>
  <si>
    <t>Load_TR8_F4_18</t>
  </si>
  <si>
    <t>TR8_four259</t>
  </si>
  <si>
    <t>Load_TR8_F4_19</t>
  </si>
  <si>
    <t>TR8_four265</t>
  </si>
  <si>
    <t>Load_TR8_F4_2</t>
  </si>
  <si>
    <t>TR8_four54</t>
  </si>
  <si>
    <t>Load_TR8_F4_21</t>
  </si>
  <si>
    <t>TR8_four288</t>
  </si>
  <si>
    <t>Load_TR8_F4_22</t>
  </si>
  <si>
    <t>TR8_four289</t>
  </si>
  <si>
    <t>Load_TR8_F4_23</t>
  </si>
  <si>
    <t>TR8_four292</t>
  </si>
  <si>
    <t>Load_TR8_F4_24</t>
  </si>
  <si>
    <t>TR8_four301</t>
  </si>
  <si>
    <t>Load_TR8_F4_26</t>
  </si>
  <si>
    <t>TR8_four326</t>
  </si>
  <si>
    <t>Load_TR8_F4_27</t>
  </si>
  <si>
    <t>TR8_four352</t>
  </si>
  <si>
    <t>Load_TR8_F4_29</t>
  </si>
  <si>
    <t>TR8_four358</t>
  </si>
  <si>
    <t>Load_TR8_F4_30</t>
  </si>
  <si>
    <t>TR8_four368</t>
  </si>
  <si>
    <t>Load_TR8_F4_31</t>
  </si>
  <si>
    <t>TR8_four372</t>
  </si>
  <si>
    <t>Load_TR8_F4_32</t>
  </si>
  <si>
    <t>TR8_four381</t>
  </si>
  <si>
    <t>Load_TR8_F4_34</t>
  </si>
  <si>
    <t>TR8_four385</t>
  </si>
  <si>
    <t>Load_TR8_F4_36</t>
  </si>
  <si>
    <t>TR8_four423</t>
  </si>
  <si>
    <t>Load_TR8_F4_37</t>
  </si>
  <si>
    <t>TR8_four437</t>
  </si>
  <si>
    <t>Load_TR8_F4_38</t>
  </si>
  <si>
    <t>TR8_four446</t>
  </si>
  <si>
    <t>Load_TR8_F4_42</t>
  </si>
  <si>
    <t>TR8_four466</t>
  </si>
  <si>
    <t>Load_TR8_F4_43</t>
  </si>
  <si>
    <t>TR8_four467</t>
  </si>
  <si>
    <t>Load_TR8_F4_46</t>
  </si>
  <si>
    <t>TR8_four548</t>
  </si>
  <si>
    <t>Load_TR8_F4_48</t>
  </si>
  <si>
    <t>TR8_four558</t>
  </si>
  <si>
    <t>Load_TR8_F4_49</t>
  </si>
  <si>
    <t>TR8_four562</t>
  </si>
  <si>
    <t>Load_TR8_F4_52</t>
  </si>
  <si>
    <t>TR8_four590</t>
  </si>
  <si>
    <t>Load_TR8_F4_54</t>
  </si>
  <si>
    <t>TR8_four604</t>
  </si>
  <si>
    <t>Load_TR8_F4_6</t>
  </si>
  <si>
    <t>TR8_four78</t>
  </si>
  <si>
    <t>Load_TR8_F4_62</t>
  </si>
  <si>
    <t>TR8_four734</t>
  </si>
  <si>
    <t>Load_TR8_F4_64</t>
  </si>
  <si>
    <t>TR8_four797</t>
  </si>
  <si>
    <t>Load_TR8_F4_70</t>
  </si>
  <si>
    <t>TR8_four846</t>
  </si>
  <si>
    <t>Load_TR8_F4_72</t>
  </si>
  <si>
    <t>TR8_four854</t>
  </si>
  <si>
    <t>Load_TR8_F4_74</t>
  </si>
  <si>
    <t>TR8_four936</t>
  </si>
  <si>
    <t>Load_TR8_F4_75</t>
  </si>
  <si>
    <t>TR8_four950</t>
  </si>
  <si>
    <t>Load_TR8_F4_79</t>
  </si>
  <si>
    <t>TR8_four978</t>
  </si>
  <si>
    <t>Load_TR8_F4_8</t>
  </si>
  <si>
    <t>TR8_four104</t>
  </si>
  <si>
    <t>Load_TR8_F4_80</t>
  </si>
  <si>
    <t>TR8_four988</t>
  </si>
  <si>
    <t>Load_TR8_F4_81</t>
  </si>
  <si>
    <t>TR8_four1013</t>
  </si>
  <si>
    <t>Load_TR8_F4_82</t>
  </si>
  <si>
    <t>TR8_four1027</t>
  </si>
  <si>
    <t>Load_TR8_F4_88</t>
  </si>
  <si>
    <t>TR8_four1132</t>
  </si>
  <si>
    <t>Load_TR8_F4_9</t>
  </si>
  <si>
    <t>TR8_four126</t>
  </si>
  <si>
    <t>Load_TR8_F4_91</t>
  </si>
  <si>
    <t>TR8_four1187</t>
  </si>
  <si>
    <t>Load_TR8_F4_93</t>
  </si>
  <si>
    <t>TR8_four1207</t>
  </si>
  <si>
    <t>Load_TR8_F5_13</t>
  </si>
  <si>
    <t>TR8_five168</t>
  </si>
  <si>
    <t>Load_TR8_F5_16</t>
  </si>
  <si>
    <t>TR8_five186</t>
  </si>
  <si>
    <t>Load_TR8_F5_17</t>
  </si>
  <si>
    <t>TR8_five194</t>
  </si>
  <si>
    <t>Load_TR8_F5_20</t>
  </si>
  <si>
    <t>TR8_five223</t>
  </si>
  <si>
    <t>Load_TR8_F5_25</t>
  </si>
  <si>
    <t>TR8_five303</t>
  </si>
  <si>
    <t>Load_TR8_F5_27</t>
  </si>
  <si>
    <t>TR8_five324</t>
  </si>
  <si>
    <t>Load_TR8_F5_28</t>
  </si>
  <si>
    <t>TR8_five345</t>
  </si>
  <si>
    <t>Load_TR8_F5_31</t>
  </si>
  <si>
    <t>TR8_five421</t>
  </si>
  <si>
    <t>Load_TR8_F5_37</t>
  </si>
  <si>
    <t>TR8_five488</t>
  </si>
  <si>
    <t>Load_TR8_F5_41</t>
  </si>
  <si>
    <t>TR8_five513</t>
  </si>
  <si>
    <t>Load_TR8_F5_43</t>
  </si>
  <si>
    <t>TR8_five537</t>
  </si>
  <si>
    <t>Load_TR8_F5_44</t>
  </si>
  <si>
    <t>TR8_five540</t>
  </si>
  <si>
    <t>Load_TR8_F5_46</t>
  </si>
  <si>
    <t>TR8_five551</t>
  </si>
  <si>
    <t>Load_TR8_F5_49</t>
  </si>
  <si>
    <t>TR8_five631</t>
  </si>
  <si>
    <t>Load_TR8_F5_50</t>
  </si>
  <si>
    <t>TR8_five649</t>
  </si>
  <si>
    <t>Load_TR8_F5_51</t>
  </si>
  <si>
    <t>TR8_five663</t>
  </si>
  <si>
    <t>Load_TR8_F5_52</t>
  </si>
  <si>
    <t>TR8_five670</t>
  </si>
  <si>
    <t>Load_TR8_F5_55</t>
  </si>
  <si>
    <t>TR8_five704</t>
  </si>
  <si>
    <t>Load_TR8_F5_56</t>
  </si>
  <si>
    <t>TR8_five719</t>
  </si>
  <si>
    <t>Load_TR8_F5_60</t>
  </si>
  <si>
    <t>TR8_five750</t>
  </si>
  <si>
    <t>Load_TR8_F5_62</t>
  </si>
  <si>
    <t>TR8_five793</t>
  </si>
  <si>
    <t>Load_TR8_F5_64</t>
  </si>
  <si>
    <t>TR8_five801</t>
  </si>
  <si>
    <t>Load_TR8_F5_68</t>
  </si>
  <si>
    <t>TR8_five905</t>
  </si>
  <si>
    <t>Load_TR8_F5_7</t>
  </si>
  <si>
    <t>TR8_five118</t>
  </si>
  <si>
    <t>Load_TR8_F5_8</t>
  </si>
  <si>
    <t>TR8_five123</t>
  </si>
  <si>
    <t>Load_TR8_F6_1</t>
  </si>
  <si>
    <t>TR8_six64</t>
  </si>
  <si>
    <t>Load_TR8_F6_10</t>
  </si>
  <si>
    <t>TR8_six154</t>
  </si>
  <si>
    <t>Load_TR8_F6_11</t>
  </si>
  <si>
    <t>TR8_six173</t>
  </si>
  <si>
    <t>Load_TR8_F6_15</t>
  </si>
  <si>
    <t>TR8_six232</t>
  </si>
  <si>
    <t>Load_TR8_F6_16</t>
  </si>
  <si>
    <t>TR8_six238</t>
  </si>
  <si>
    <t>Load_TR8_F6_19</t>
  </si>
  <si>
    <t>TR8_six269</t>
  </si>
  <si>
    <t>Load_TR8_F6_20</t>
  </si>
  <si>
    <t>TR8_six289</t>
  </si>
  <si>
    <t>Load_TR8_F6_21</t>
  </si>
  <si>
    <t>TR8_six317</t>
  </si>
  <si>
    <t>Load_TR8_F6_22</t>
  </si>
  <si>
    <t>TR8_six326</t>
  </si>
  <si>
    <t>Load_TR8_F6_23</t>
  </si>
  <si>
    <t>TR8_six329</t>
  </si>
  <si>
    <t>Load_TR8_F6_24</t>
  </si>
  <si>
    <t>TR8_six342</t>
  </si>
  <si>
    <t>Load_TR8_F6_26</t>
  </si>
  <si>
    <t>TR8_six350</t>
  </si>
  <si>
    <t>Load_TR8_F6_28</t>
  </si>
  <si>
    <t>TR8_six365</t>
  </si>
  <si>
    <t>Load_TR8_F6_3</t>
  </si>
  <si>
    <t>TR8_six75</t>
  </si>
  <si>
    <t>Load_TR8_F6_30</t>
  </si>
  <si>
    <t>TR8_six385</t>
  </si>
  <si>
    <t>Load_TR8_F6_34</t>
  </si>
  <si>
    <t>TR8_six431</t>
  </si>
  <si>
    <t>Load_TR8_F6_42</t>
  </si>
  <si>
    <t>TR8_six571</t>
  </si>
  <si>
    <t>Load_TR8_F6_45</t>
  </si>
  <si>
    <t>TR8_six595</t>
  </si>
  <si>
    <t>Load_TR8_F6_47</t>
  </si>
  <si>
    <t>TR8_six643</t>
  </si>
  <si>
    <t>Load_TR8_F6_50</t>
  </si>
  <si>
    <t>TR8_six652</t>
  </si>
  <si>
    <t>Load_TR8_F6_52</t>
  </si>
  <si>
    <t>TR8_six667</t>
  </si>
  <si>
    <t>Load_TR8_F6_53</t>
  </si>
  <si>
    <t>TR8_six699</t>
  </si>
  <si>
    <t>Load_TR8_F6_56</t>
  </si>
  <si>
    <t>TR8_six723</t>
  </si>
  <si>
    <t>Load_TR8_F6_57</t>
  </si>
  <si>
    <t>TR8_six740</t>
  </si>
  <si>
    <t>Load_TR8_F6_6</t>
  </si>
  <si>
    <t>TR8_six90</t>
  </si>
  <si>
    <t>Load_TR8_F6_61</t>
  </si>
  <si>
    <t>TR8_six801</t>
  </si>
  <si>
    <t>Load_TR8_F6_62</t>
  </si>
  <si>
    <t>TR8_six807</t>
  </si>
  <si>
    <t>Load_TR8_F6_63</t>
  </si>
  <si>
    <t>TR8_six844</t>
  </si>
  <si>
    <t>Load_TR8_F6_65</t>
  </si>
  <si>
    <t>TR8_six860</t>
  </si>
  <si>
    <t>Load_TR8_F6_69</t>
  </si>
  <si>
    <t>TR8_six909</t>
  </si>
  <si>
    <t>Load_TR8_F6_70</t>
  </si>
  <si>
    <t>TR8_six914</t>
  </si>
  <si>
    <t>Load_TR8_F6_8</t>
  </si>
  <si>
    <t>TR8_six111</t>
  </si>
  <si>
    <t>Load_TR8_F6_80</t>
  </si>
  <si>
    <t>TR8_six1006</t>
  </si>
  <si>
    <t>Load_TR8_F6_81</t>
  </si>
  <si>
    <t>TR8_six1020</t>
  </si>
  <si>
    <t>Load_TR8_F6_83</t>
  </si>
  <si>
    <t>TR8_six1064</t>
  </si>
  <si>
    <t>Raw PV per load</t>
  </si>
  <si>
    <t>Verbatim copy of PV_generation_kW (TR8_load_PV_48periods.xlsx). One row per connection, 48 half-hours (kW).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</si>
  <si>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</si>
  <si>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</si>
  <si>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</si>
  <si>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</si>
  <si>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</si>
  <si>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</si>
  <si>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</si>
  <si>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</si>
  <si>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</si>
  <si>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</si>
  <si>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</si>
  <si>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</si>
  <si>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</si>
  <si>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</si>
  <si>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</si>
  <si>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</si>
  <si>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</si>
  <si>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</si>
  <si>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</si>
  <si>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</si>
  <si>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</si>
  <si>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</si>
  <si>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</si>
  <si>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</si>
  <si>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</si>
  <si>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</si>
  <si>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</si>
  <si>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</si>
  <si>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</si>
  <si>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</si>
  <si>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</si>
  <si>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</si>
  <si>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</si>
  <si>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</si>
  <si>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</si>
  <si>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</si>
  <si>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</si>
  <si>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</si>
  <si>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</si>
  <si>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</si>
  <si>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</si>
  <si>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</si>
  <si>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</si>
  <si>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</si>
  <si>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</si>
  <si>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</si>
  <si>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</si>
  <si>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</si>
  <si>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Raw load per load</t>
  </si>
  <si>
    <t>Verbatim copy of Load_P_kW (TR8_load_PV_48periods.xlsx), tagged by type. One row per connection, 48 half-hours (kW).</t>
  </si>
  <si>
    <t>Raw batt charge</t>
  </si>
  <si>
    <t>Verbatim copy of Charge_kW (TR8_analysis_data.xlsx). One row per half-hour, one column per battery (kW).</t>
  </si>
  <si>
    <t>period</t>
  </si>
  <si>
    <t>hour</t>
  </si>
  <si>
    <t>BES_TR8_one223_B</t>
  </si>
  <si>
    <t>BES_TR8_one252_C</t>
  </si>
  <si>
    <t>BES_TR8_one280_A</t>
  </si>
  <si>
    <t>BES_TR8_one313_A</t>
  </si>
  <si>
    <t>BES_TR8_one321_C</t>
  </si>
  <si>
    <t>BES_TR8_one345_A</t>
  </si>
  <si>
    <t>BES_TR8_one375_C</t>
  </si>
  <si>
    <t>BES_TR8_one410_B</t>
  </si>
  <si>
    <t>BES_TR8_one416_C</t>
  </si>
  <si>
    <t>BES_TR8_one423_B</t>
  </si>
  <si>
    <t>BES_TR8_one446_B</t>
  </si>
  <si>
    <t>BES_TR8_one469_A</t>
  </si>
  <si>
    <t>BES_TR8_one477_A</t>
  </si>
  <si>
    <t>BES_TR8_one482_B</t>
  </si>
  <si>
    <t>BES_TR8_one61_A</t>
  </si>
  <si>
    <t>BES_TR8_one552_B</t>
  </si>
  <si>
    <t>BES_TR8_one560_C</t>
  </si>
  <si>
    <t>BES_TR8_one73_A</t>
  </si>
  <si>
    <t>BES_TR8_one137_A</t>
  </si>
  <si>
    <t>BES_TR8_four50_C</t>
  </si>
  <si>
    <t>BES_TR8_four171_A</t>
  </si>
  <si>
    <t>BES_TR8_four180_A</t>
  </si>
  <si>
    <t>BES_TR8_four200_A</t>
  </si>
  <si>
    <t>BES_TR8_four239_A</t>
  </si>
  <si>
    <t>BES_TR8_four259_B</t>
  </si>
  <si>
    <t>BES_TR8_four265_C</t>
  </si>
  <si>
    <t>BES_TR8_four54_C</t>
  </si>
  <si>
    <t>BES_TR8_four288_B</t>
  </si>
  <si>
    <t>BES_TR8_four289_B</t>
  </si>
  <si>
    <t>BES_TR8_four292_C</t>
  </si>
  <si>
    <t>BES_TR8_four301_C</t>
  </si>
  <si>
    <t>BES_TR8_four326_A</t>
  </si>
  <si>
    <t>BES_TR8_four352_A</t>
  </si>
  <si>
    <t>BES_TR8_four358_C</t>
  </si>
  <si>
    <t>BES_TR8_four368_C</t>
  </si>
  <si>
    <t>BES_TR8_four372_C</t>
  </si>
  <si>
    <t>BES_TR8_four381_A</t>
  </si>
  <si>
    <t>BES_TR8_four385_A</t>
  </si>
  <si>
    <t>BES_TR8_four423_C</t>
  </si>
  <si>
    <t>BES_TR8_four437_A</t>
  </si>
  <si>
    <t>BES_TR8_four446_B</t>
  </si>
  <si>
    <t>BES_TR8_four466_C</t>
  </si>
  <si>
    <t>BES_TR8_four467_C</t>
  </si>
  <si>
    <t>BES_TR8_four548_B</t>
  </si>
  <si>
    <t>BES_TR8_four558_C</t>
  </si>
  <si>
    <t>BES_TR8_four562_C</t>
  </si>
  <si>
    <t>BES_TR8_four590_A</t>
  </si>
  <si>
    <t>BES_TR8_four604_A</t>
  </si>
  <si>
    <t>BES_TR8_four78_B</t>
  </si>
  <si>
    <t>BES_TR8_four734_A</t>
  </si>
  <si>
    <t>BES_TR8_four797_C</t>
  </si>
  <si>
    <t>BES_TR8_four846_C</t>
  </si>
  <si>
    <t>BES_TR8_four854_A</t>
  </si>
  <si>
    <t>BES_TR8_four936_C</t>
  </si>
  <si>
    <t>BES_TR8_four950_B</t>
  </si>
  <si>
    <t>BES_TR8_four978_A</t>
  </si>
  <si>
    <t>BES_TR8_four104_A</t>
  </si>
  <si>
    <t>BES_TR8_four988_A</t>
  </si>
  <si>
    <t>BES_TR8_four1013_B</t>
  </si>
  <si>
    <t>BES_TR8_four1027_A</t>
  </si>
  <si>
    <t>BES_TR8_four1132_C</t>
  </si>
  <si>
    <t>BES_TR8_four126_A</t>
  </si>
  <si>
    <t>BES_TR8_four1187_A</t>
  </si>
  <si>
    <t>BES_TR8_four1207_B</t>
  </si>
  <si>
    <t>BES_TR8_five168_A</t>
  </si>
  <si>
    <t>BES_TR8_five186_C</t>
  </si>
  <si>
    <t>BES_TR8_five194_C</t>
  </si>
  <si>
    <t>BES_TR8_five223_A</t>
  </si>
  <si>
    <t>BES_TR8_five303_B</t>
  </si>
  <si>
    <t>BES_TR8_five324_B</t>
  </si>
  <si>
    <t>BES_TR8_five345_A</t>
  </si>
  <si>
    <t>BES_TR8_five421_A</t>
  </si>
  <si>
    <t>BES_TR8_five488_B</t>
  </si>
  <si>
    <t>BES_TR8_five513_B</t>
  </si>
  <si>
    <t>BES_TR8_five537_C</t>
  </si>
  <si>
    <t>BES_TR8_five540_A</t>
  </si>
  <si>
    <t>BES_TR8_five551_C</t>
  </si>
  <si>
    <t>BES_TR8_five631_B</t>
  </si>
  <si>
    <t>BES_TR8_five649_A</t>
  </si>
  <si>
    <t>BES_TR8_five663_C</t>
  </si>
  <si>
    <t>BES_TR8_five670_C</t>
  </si>
  <si>
    <t>BES_TR8_five704_A</t>
  </si>
  <si>
    <t>BES_TR8_five719_A</t>
  </si>
  <si>
    <t>BES_TR8_five750_B</t>
  </si>
  <si>
    <t>BES_TR8_five793_A</t>
  </si>
  <si>
    <t>BES_TR8_five801_C</t>
  </si>
  <si>
    <t>BES_TR8_five905_B</t>
  </si>
  <si>
    <t>BES_TR8_five118_B</t>
  </si>
  <si>
    <t>BES_TR8_five123_B</t>
  </si>
  <si>
    <t>BES_TR8_six64_A</t>
  </si>
  <si>
    <t>BES_TR8_six154_C</t>
  </si>
  <si>
    <t>BES_TR8_six173_C</t>
  </si>
  <si>
    <t>BES_TR8_six232_C</t>
  </si>
  <si>
    <t>BES_TR8_six238_A</t>
  </si>
  <si>
    <t>BES_TR8_six269_C</t>
  </si>
  <si>
    <t>BES_TR8_six289_C</t>
  </si>
  <si>
    <t>BES_TR8_six317_C</t>
  </si>
  <si>
    <t>BES_TR8_six326_A</t>
  </si>
  <si>
    <t>BES_TR8_six329_A</t>
  </si>
  <si>
    <t>BES_TR8_six342_A</t>
  </si>
  <si>
    <t>BES_TR8_six350_B</t>
  </si>
  <si>
    <t>BES_TR8_six365_C</t>
  </si>
  <si>
    <t>BES_TR8_six75_A</t>
  </si>
  <si>
    <t>BES_TR8_six385_B</t>
  </si>
  <si>
    <t>BES_TR8_six431_C</t>
  </si>
  <si>
    <t>BES_TR8_six571_C</t>
  </si>
  <si>
    <t>BES_TR8_six595_B</t>
  </si>
  <si>
    <t>BES_TR8_six643_A</t>
  </si>
  <si>
    <t>BES_TR8_six652_A</t>
  </si>
  <si>
    <t>BES_TR8_six667_A</t>
  </si>
  <si>
    <t>BES_TR8_six699_C</t>
  </si>
  <si>
    <t>BES_TR8_six723_B</t>
  </si>
  <si>
    <t>BES_TR8_six740_A</t>
  </si>
  <si>
    <t>BES_TR8_six90_B</t>
  </si>
  <si>
    <t>BES_TR8_six801_C</t>
  </si>
  <si>
    <t>BES_TR8_six807_A</t>
  </si>
  <si>
    <t>BES_TR8_six844_C</t>
  </si>
  <si>
    <t>BES_TR8_six860_C</t>
  </si>
  <si>
    <t>BES_TR8_six909_C</t>
  </si>
  <si>
    <t>BES_TR8_six914_A</t>
  </si>
  <si>
    <t>BES_TR8_six111_C</t>
  </si>
  <si>
    <t>BES_TR8_six1006_C</t>
  </si>
  <si>
    <t>BES_TR8_six1020_A</t>
  </si>
  <si>
    <t>BES_TR8_six1064_C</t>
  </si>
  <si>
    <t>Raw batt discharge</t>
  </si>
  <si>
    <t>Verbatim copy of Discharge_kW (TR8_analysis_data.xlsx). One row per half-hour, one column per battery (kW).</t>
  </si>
  <si>
    <t>TR8 PV allocation — per half-hour</t>
  </si>
  <si>
    <t>VIOLET = aggregated live from the raw sheets 3–6 (SUM / SUMIF).  AMBER = priority split (MIN formulas): PV → prosumer load → battery → customer load → export.</t>
  </si>
  <si>
    <t>hour
(h)</t>
  </si>
  <si>
    <t>PV
(kW)</t>
  </si>
  <si>
    <t>prosumer
load (kW)</t>
  </si>
  <si>
    <t>customer
load (kW)</t>
  </si>
  <si>
    <t>batt
charge (kW)</t>
  </si>
  <si>
    <t>batt
discharge (kW)</t>
  </si>
  <si>
    <t>batt net
=chg−dis</t>
  </si>
  <si>
    <t>PV→
prosumer</t>
  </si>
  <si>
    <t>PV→
battery</t>
  </si>
  <si>
    <t>PV→
customer</t>
  </si>
  <si>
    <t>PV→
export</t>
  </si>
  <si>
    <t>customer
←grid</t>
  </si>
  <si>
    <t>TOTAL</t>
  </si>
  <si>
    <t>Each half-hour is 0.5 h, so daily energy (kWh) = Σ(power in kW) × 0.5.</t>
  </si>
  <si>
    <t>Trace any input: e.g. cell C5 = SUM of column C on sheet 3 (PV of all 300 connections at 00:00). Click it to see the formula.</t>
  </si>
  <si>
    <t>TR8 PV allocation — results</t>
  </si>
  <si>
    <t>Where the day's PV goes</t>
  </si>
  <si>
    <t>How the customers (176) are supplied</t>
  </si>
  <si>
    <t>Destination</t>
  </si>
  <si>
    <t>Source</t>
  </si>
  <si>
    <t>% of cust. load</t>
  </si>
  <si>
    <t>PV → prosumers' own load</t>
  </si>
  <si>
    <t>From prosumer PV (day)</t>
  </si>
  <si>
    <t>From grid import (night)</t>
  </si>
  <si>
    <t>TOTAL customer load</t>
  </si>
  <si>
    <t>TOTAL (= PV)</t>
  </si>
  <si>
    <t>Charts read live from sheet 7, which reads live from raw sheets 3–6.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</si>
</sst>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5"/>
      <color rgb="FF1F3864"/>
      <name val="Calibri"/>
    </font>
    <font>
      <b/>
      <sz val="11"/>
      <color rgb="FF2E5496"/>
      <name val="Calibri"/>
    </font>
    <font>
      <b/>
      <sz val="11"/>
      <name val="Calibri"/>
    </font>
    <font>
      <sz val="9"/>
      <name val="Consolas"/>
    </font>
    <font>
      <b/>
      <sz val="10"/>
      <color rgb="FFFFFFFF"/>
      <name val="Calibri"/>
    </font>
    <font>
      <i/>
      <sz val="9"/>
      <color rgb="FF66666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0" fillId="0" borderId="1" xfId="0" applyBorder="1"/>
    <xf numFmtId="164" fontId="0" fillId="4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/>
    </xf>
    <xf numFmtId="0" fontId="6" fillId="0" borderId="0" xfId="0" applyFont="1"/>
    <xf numFmtId="166" fontId="0" fillId="0" borderId="0" xfId="0" applyNumberFormat="1"/>
    <xf numFmtId="0" fontId="0" fillId="5" borderId="1" xfId="0" applyFill="1" applyBorder="1"/>
    <xf numFmtId="166" fontId="0" fillId="5" borderId="0" xfId="0" applyNumberFormat="1" applyFill="1"/>
    <xf numFmtId="164" fontId="0" fillId="0" borderId="1" xfId="0" applyNumberFormat="1" applyBorder="1"/>
    <xf numFmtId="164" fontId="0" fillId="6" borderId="1" xfId="0" applyNumberFormat="1" applyFill="1" applyBorder="1"/>
    <xf numFmtId="164" fontId="0" fillId="4" borderId="1" xfId="0" applyNumberFormat="1" applyFill="1" applyBorder="1"/>
    <xf numFmtId="0" fontId="3" fillId="7" borderId="1" xfId="0" applyFont="1" applyFill="1" applyBorder="1"/>
    <xf numFmtId="164" fontId="3" fillId="7" borderId="1" xfId="0" applyNumberFormat="1" applyFont="1" applyFill="1" applyBorder="1"/>
    <xf numFmtId="165" fontId="0" fillId="4" borderId="1" xfId="0" applyNumberFormat="1" applyFill="1" applyBorder="1"/>
    <xf numFmtId="165" fontId="3" fillId="7" borderId="1" xfId="0" applyNumberFormat="1" applyFont="1" applyFill="1" applyBorder="1"/>
    <xf numFmtId="0" fontId="0" fillId="0" borderId="0" xfId="0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Where the PV goes across the day (stacked, kW)</a:t>
            </a:r>
            <a:endParaRPr lang="en-US" sz="700">
              <a:effectLst/>
            </a:endParaRP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'7. PV allocation (per period)'!$I$4</c:f>
              <c:strCache>
                <c:ptCount val="1"/>
                <c:pt idx="0">
                  <c:v>PV→
prosumer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period)'!$I$5:$I$52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0.3268999999999998</c:v>
                </c:pt>
                <c:pt idx="8">
                  <c:v>4.742799999999999</c:v>
                </c:pt>
                <c:pt idx="9">
                  <c:v>14.435599999999997</c:v>
                </c:pt>
                <c:pt idx="10">
                  <c:v>14.085599999999999</c:v>
                </c:pt>
                <c:pt idx="11">
                  <c:v>13.488800000000005</c:v>
                </c:pt>
                <c:pt idx="12">
                  <c:v>15.431100000000006</c:v>
                </c:pt>
                <c:pt idx="13">
                  <c:v>18.157899999999998</c:v>
                </c:pt>
                <c:pt idx="14">
                  <c:v>18.778000000000002</c:v>
                </c:pt>
                <c:pt idx="15">
                  <c:v>22.533599999999993</c:v>
                </c:pt>
                <c:pt idx="16">
                  <c:v>30.581</c:v>
                </c:pt>
                <c:pt idx="17">
                  <c:v>37.009400000000028</c:v>
                </c:pt>
                <c:pt idx="18">
                  <c:v>40.685799999999993</c:v>
                </c:pt>
                <c:pt idx="19">
                  <c:v>41.66109999999999</c:v>
                </c:pt>
                <c:pt idx="20">
                  <c:v>44.838199999999972</c:v>
                </c:pt>
                <c:pt idx="21">
                  <c:v>47.066500000000019</c:v>
                </c:pt>
                <c:pt idx="22">
                  <c:v>42.693399999999997</c:v>
                </c:pt>
                <c:pt idx="23">
                  <c:v>54.352300000000007</c:v>
                </c:pt>
                <c:pt idx="24">
                  <c:v>50.733499999999985</c:v>
                </c:pt>
                <c:pt idx="25">
                  <c:v>37.989999999999988</c:v>
                </c:pt>
                <c:pt idx="26">
                  <c:v>31.134799999999984</c:v>
                </c:pt>
                <c:pt idx="27">
                  <c:v>34.6372</c:v>
                </c:pt>
                <c:pt idx="28">
                  <c:v>37.600799999999978</c:v>
                </c:pt>
                <c:pt idx="29">
                  <c:v>38.684899999999992</c:v>
                </c:pt>
                <c:pt idx="30">
                  <c:v>36.497700000000009</c:v>
                </c:pt>
                <c:pt idx="31">
                  <c:v>35.767599999999995</c:v>
                </c:pt>
                <c:pt idx="32">
                  <c:v>40.627499999999976</c:v>
                </c:pt>
                <c:pt idx="33">
                  <c:v>42.356000000000002</c:v>
                </c:pt>
                <c:pt idx="34">
                  <c:v>33.781100000000009</c:v>
                </c:pt>
                <c:pt idx="35">
                  <c:v>41.850399999999993</c:v>
                </c:pt>
                <c:pt idx="36">
                  <c:v>42.6297</c:v>
                </c:pt>
                <c:pt idx="37">
                  <c:v>46.9056</c:v>
                </c:pt>
                <c:pt idx="38">
                  <c:v>35.128000000000007</c:v>
                </c:pt>
                <c:pt idx="39">
                  <c:v>10.2242</c:v>
                </c:pt>
                <c:pt idx="40">
                  <c:v>1.8871000000000016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13-47C5-860D-ACEC96D67E16}"/>
            </c:ext>
          </c:extLst>
        </c:ser>
        <c:ser>
          <c:idx val="1"/>
          <c:order val="1"/>
          <c:tx>
            <c:strRef>
              <c:f>'7. PV allocation (per period)'!$J$4</c:f>
              <c:strCache>
                <c:ptCount val="1"/>
                <c:pt idx="0">
                  <c:v>PV→
battery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period)'!$J$5:$J$52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7.7472999999999885</c:v>
                </c:pt>
                <c:pt idx="10">
                  <c:v>29.911999999999999</c:v>
                </c:pt>
                <c:pt idx="11">
                  <c:v>57.263999999999989</c:v>
                </c:pt>
                <c:pt idx="12">
                  <c:v>84.512599999999921</c:v>
                </c:pt>
                <c:pt idx="13">
                  <c:v>111.33539999999995</c:v>
                </c:pt>
                <c:pt idx="14">
                  <c:v>140.04400000000001</c:v>
                </c:pt>
                <c:pt idx="15">
                  <c:v>152.85799999999998</c:v>
                </c:pt>
                <c:pt idx="16">
                  <c:v>88.19</c:v>
                </c:pt>
                <c:pt idx="17">
                  <c:v>46.837999999999987</c:v>
                </c:pt>
                <c:pt idx="18">
                  <c:v>30.375000000000004</c:v>
                </c:pt>
                <c:pt idx="19">
                  <c:v>21.02999999999999</c:v>
                </c:pt>
                <c:pt idx="20">
                  <c:v>12.959</c:v>
                </c:pt>
                <c:pt idx="21">
                  <c:v>4.8240000000000007</c:v>
                </c:pt>
                <c:pt idx="22">
                  <c:v>8.6709999999999994</c:v>
                </c:pt>
                <c:pt idx="23">
                  <c:v>0.19999999999999929</c:v>
                </c:pt>
                <c:pt idx="24">
                  <c:v>4.359</c:v>
                </c:pt>
                <c:pt idx="25">
                  <c:v>4.0959999999999992</c:v>
                </c:pt>
                <c:pt idx="26">
                  <c:v>4.2350000000000003</c:v>
                </c:pt>
                <c:pt idx="27">
                  <c:v>1.4579999999999997</c:v>
                </c:pt>
                <c:pt idx="28">
                  <c:v>0.44999999999999996</c:v>
                </c:pt>
                <c:pt idx="29">
                  <c:v>0.27700000000000014</c:v>
                </c:pt>
                <c:pt idx="30">
                  <c:v>0</c:v>
                </c:pt>
                <c:pt idx="31">
                  <c:v>2.8960000000000004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13-47C5-860D-ACEC96D67E16}"/>
            </c:ext>
          </c:extLst>
        </c:ser>
        <c:ser>
          <c:idx val="2"/>
          <c:order val="2"/>
          <c:tx>
            <c:strRef>
              <c:f>'7. PV allocation (per period)'!$K$4</c:f>
              <c:strCache>
                <c:ptCount val="1"/>
                <c:pt idx="0">
                  <c:v>PV→
customer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period)'!$K$5:$K$52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1.4000000000180535E-3</c:v>
                </c:pt>
                <c:pt idx="11">
                  <c:v>3.4000000000133923E-3</c:v>
                </c:pt>
                <c:pt idx="12">
                  <c:v>0</c:v>
                </c:pt>
                <c:pt idx="13">
                  <c:v>0</c:v>
                </c:pt>
                <c:pt idx="14">
                  <c:v>7.0699999999874308E-2</c:v>
                </c:pt>
                <c:pt idx="15">
                  <c:v>12.937200000000104</c:v>
                </c:pt>
                <c:pt idx="16">
                  <c:v>44.49210000000005</c:v>
                </c:pt>
                <c:pt idx="17">
                  <c:v>55.969399999999986</c:v>
                </c:pt>
                <c:pt idx="18">
                  <c:v>60.65029999999998</c:v>
                </c:pt>
                <c:pt idx="19">
                  <c:v>63.152899999999995</c:v>
                </c:pt>
                <c:pt idx="20">
                  <c:v>65.641399999999976</c:v>
                </c:pt>
                <c:pt idx="21">
                  <c:v>66.420200000000008</c:v>
                </c:pt>
                <c:pt idx="22">
                  <c:v>63.302400000000006</c:v>
                </c:pt>
                <c:pt idx="23">
                  <c:v>64.408900000000003</c:v>
                </c:pt>
                <c:pt idx="24">
                  <c:v>65.238199999999978</c:v>
                </c:pt>
                <c:pt idx="25">
                  <c:v>62.775099999999995</c:v>
                </c:pt>
                <c:pt idx="26">
                  <c:v>60.627799999999979</c:v>
                </c:pt>
                <c:pt idx="27">
                  <c:v>55.69950000000005</c:v>
                </c:pt>
                <c:pt idx="28">
                  <c:v>54.452700000000014</c:v>
                </c:pt>
                <c:pt idx="29">
                  <c:v>57.159800000000004</c:v>
                </c:pt>
                <c:pt idx="30">
                  <c:v>60.923000000000016</c:v>
                </c:pt>
                <c:pt idx="31">
                  <c:v>61.753000000000014</c:v>
                </c:pt>
                <c:pt idx="32">
                  <c:v>54.932500000000005</c:v>
                </c:pt>
                <c:pt idx="33">
                  <c:v>54.139999999999986</c:v>
                </c:pt>
                <c:pt idx="34">
                  <c:v>66.996399999999937</c:v>
                </c:pt>
                <c:pt idx="35">
                  <c:v>73.513600000000011</c:v>
                </c:pt>
                <c:pt idx="36">
                  <c:v>45.394399999999976</c:v>
                </c:pt>
                <c:pt idx="37">
                  <c:v>13.254900000000035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13-47C5-860D-ACEC96D67E16}"/>
            </c:ext>
          </c:extLst>
        </c:ser>
        <c:ser>
          <c:idx val="3"/>
          <c:order val="3"/>
          <c:tx>
            <c:strRef>
              <c:f>'7. PV allocation (per period)'!$L$4</c:f>
              <c:strCache>
                <c:ptCount val="1"/>
                <c:pt idx="0">
                  <c:v>PV→
export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period)'!$L$5:$L$52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52.695899999999909</c:v>
                </c:pt>
                <c:pt idx="17">
                  <c:v>102.11830000000009</c:v>
                </c:pt>
                <c:pt idx="18">
                  <c:v>132.34280000000007</c:v>
                </c:pt>
                <c:pt idx="19">
                  <c:v>157.07640000000001</c:v>
                </c:pt>
                <c:pt idx="20">
                  <c:v>176.03889999999973</c:v>
                </c:pt>
                <c:pt idx="21">
                  <c:v>194.83579999999984</c:v>
                </c:pt>
                <c:pt idx="22">
                  <c:v>208.17699999999988</c:v>
                </c:pt>
                <c:pt idx="23">
                  <c:v>208.13689999999997</c:v>
                </c:pt>
                <c:pt idx="24">
                  <c:v>207.99749999999997</c:v>
                </c:pt>
                <c:pt idx="25">
                  <c:v>221.16080000000005</c:v>
                </c:pt>
                <c:pt idx="26">
                  <c:v>222.28579999999994</c:v>
                </c:pt>
                <c:pt idx="27">
                  <c:v>214.67629999999991</c:v>
                </c:pt>
                <c:pt idx="28">
                  <c:v>199.86879999999988</c:v>
                </c:pt>
                <c:pt idx="29">
                  <c:v>178.38530000000009</c:v>
                </c:pt>
                <c:pt idx="30">
                  <c:v>158.10000000000008</c:v>
                </c:pt>
                <c:pt idx="31">
                  <c:v>132.25820000000036</c:v>
                </c:pt>
                <c:pt idx="32">
                  <c:v>111.38600000000008</c:v>
                </c:pt>
                <c:pt idx="33">
                  <c:v>79.383499999999913</c:v>
                </c:pt>
                <c:pt idx="34">
                  <c:v>46.023699999999963</c:v>
                </c:pt>
                <c:pt idx="35">
                  <c:v>1.5592999999998653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13-47C5-860D-ACEC96D67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050" b="1" i="0" baseline="0">
                    <a:effectLst/>
                  </a:rPr>
                  <a:t>hour of day</a:t>
                </a:r>
                <a:endParaRPr lang="en-US" sz="500">
                  <a:effectLst/>
                </a:endParaRPr>
              </a:p>
            </c:rich>
          </c:tx>
          <c:overlay val="0"/>
        </c:title>
        <c:numFmt formatCode="0" sourceLinked="0"/>
        <c:majorTickMark val="cross"/>
        <c:minorTickMark val="none"/>
        <c:tickLblPos val="nextTo"/>
        <c:spPr>
          <a:ln/>
        </c:spPr>
        <c:crossAx val="100"/>
        <c:crosses val="autoZero"/>
        <c:auto val="1"/>
        <c:lblAlgn val="ctr"/>
        <c:lblOffset val="100"/>
        <c:tickLblSkip val="2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kW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Daily PV destination (kWh)</a:t>
            </a:r>
            <a:endParaRPr lang="en-US" sz="7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dLbl>
              <c:idx val="3"/>
              <c:layout>
                <c:manualLayout>
                  <c:x val="0"/>
                  <c:y val="-4.409722222222222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1A-4922-B90E-1F3EF8311E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Results &amp; charts'!$A$5:$A$8</c:f>
              <c:strCache>
                <c:ptCount val="4"/>
                <c:pt idx="0">
                  <c:v>PV → prosumers' own load</c:v>
                </c:pt>
                <c:pt idx="1">
                  <c:v>PV → battery storage</c:v>
                </c:pt>
                <c:pt idx="2">
                  <c:v>PV → customers</c:v>
                </c:pt>
                <c:pt idx="3">
                  <c:v>PV → export to grid</c:v>
                </c:pt>
              </c:strCache>
            </c:strRef>
          </c:cat>
          <c:val>
            <c:numRef>
              <c:f>'8. Results &amp; charts'!$B$5:$B$8</c:f>
              <c:numCache>
                <c:formatCode>0.0</c:formatCode>
                <c:ptCount val="4"/>
                <c:pt idx="0">
                  <c:v>529.65205000000003</c:v>
                </c:pt>
                <c:pt idx="1">
                  <c:v>407.26564999999988</c:v>
                </c:pt>
                <c:pt idx="2">
                  <c:v>641.95560000000012</c:v>
                </c:pt>
                <c:pt idx="3">
                  <c:v>1502.2535999999996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A-4922-B90E-1F3EF8311E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50" b="1" i="0" baseline="0">
                    <a:effectLst/>
                  </a:rPr>
                  <a:t>kWh/day</a:t>
                </a:r>
                <a:endParaRPr lang="en-US" sz="500">
                  <a:effectLst/>
                </a:endParaRP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Customer load: PV vs grid (kWh)</a:t>
            </a:r>
            <a:endParaRPr lang="en-US" sz="7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dLbl>
              <c:idx val="1"/>
              <c:layout>
                <c:manualLayout>
                  <c:x val="0"/>
                  <c:y val="-5.732638888888889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C45-44DE-8418-6B446B3356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Results &amp; charts'!$E$5:$E$6</c:f>
              <c:strCache>
                <c:ptCount val="2"/>
                <c:pt idx="0">
                  <c:v>From prosumer PV (day)</c:v>
                </c:pt>
                <c:pt idx="1">
                  <c:v>From grid import (night)</c:v>
                </c:pt>
              </c:strCache>
            </c:strRef>
          </c:cat>
          <c:val>
            <c:numRef>
              <c:f>'8. Results &amp; charts'!$F$5:$F$6</c:f>
              <c:numCache>
                <c:formatCode>0.0</c:formatCode>
                <c:ptCount val="2"/>
                <c:pt idx="0">
                  <c:v>641.95560000000012</c:v>
                </c:pt>
                <c:pt idx="1">
                  <c:v>605.96455000000003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5-44DE-8418-6B446B335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baseline="0">
                    <a:effectLst/>
                  </a:rPr>
                  <a:t>kWh/day</a:t>
                </a:r>
                <a:endParaRPr lang="en-US" sz="400">
                  <a:effectLst/>
                </a:endParaRP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190499</xdr:rowOff>
    </xdr:from>
    <xdr:ext cx="7991474" cy="3857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39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28575</xdr:colOff>
      <xdr:row>32</xdr:row>
      <xdr:rowOff>19050</xdr:rowOff>
    </xdr:from>
    <xdr:ext cx="39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4"/>
  <sheetViews>
    <sheetView showGridLines="0" workbookViewId="0"/>
  </sheetViews>
  <sheetFormatPr defaultRowHeight="15" x14ac:dyDescent="0.25"/>
  <cols>
    <col min="1" max="1" width="2" customWidth="1"/>
    <col min="2" max="2" width="32" customWidth="1"/>
    <col min="3" max="3" width="16" customWidth="1"/>
    <col min="4" max="4" width="20.85546875" customWidth="1"/>
    <col min="5" max="5" width="40" customWidth="1"/>
  </cols>
  <sheetData>
    <row r="2" spans="2:5" ht="19.5" x14ac:dyDescent="0.3">
      <c r="B2" s="1" t="s">
        <v>0</v>
      </c>
    </row>
    <row r="3" spans="2:5" x14ac:dyDescent="0.25">
      <c r="B3" s="2" t="s">
        <v>1</v>
      </c>
    </row>
    <row r="5" spans="2:5" x14ac:dyDescent="0.25">
      <c r="B5" s="2" t="s">
        <v>2</v>
      </c>
    </row>
    <row r="6" spans="2:5" x14ac:dyDescent="0.25">
      <c r="B6" s="26" t="s">
        <v>3</v>
      </c>
      <c r="C6" s="27"/>
      <c r="D6" s="27"/>
      <c r="E6" s="27"/>
    </row>
    <row r="7" spans="2:5" x14ac:dyDescent="0.25">
      <c r="B7" s="27"/>
      <c r="C7" s="27"/>
      <c r="D7" s="27"/>
      <c r="E7" s="27"/>
    </row>
    <row r="8" spans="2:5" x14ac:dyDescent="0.25">
      <c r="B8" s="27"/>
      <c r="C8" s="27"/>
      <c r="D8" s="27"/>
      <c r="E8" s="27"/>
    </row>
    <row r="10" spans="2:5" x14ac:dyDescent="0.25">
      <c r="B10" s="2" t="s">
        <v>4</v>
      </c>
    </row>
    <row r="11" spans="2:5" ht="39.950000000000003" customHeight="1" x14ac:dyDescent="0.25">
      <c r="B11" s="3" t="s">
        <v>5</v>
      </c>
      <c r="C11" s="26" t="s">
        <v>6</v>
      </c>
      <c r="D11" s="27"/>
      <c r="E11" s="27"/>
    </row>
    <row r="12" spans="2:5" ht="39.950000000000003" customHeight="1" x14ac:dyDescent="0.25">
      <c r="B12" s="3" t="s">
        <v>7</v>
      </c>
      <c r="C12" s="26" t="s">
        <v>8</v>
      </c>
      <c r="D12" s="27"/>
      <c r="E12" s="27"/>
    </row>
    <row r="13" spans="2:5" ht="39.950000000000003" customHeight="1" x14ac:dyDescent="0.25">
      <c r="B13" s="3" t="s">
        <v>9</v>
      </c>
      <c r="C13" s="26" t="s">
        <v>10</v>
      </c>
      <c r="D13" s="27"/>
      <c r="E13" s="27"/>
    </row>
    <row r="14" spans="2:5" ht="39.950000000000003" customHeight="1" x14ac:dyDescent="0.25">
      <c r="B14" s="3" t="s">
        <v>11</v>
      </c>
      <c r="C14" s="26" t="s">
        <v>12</v>
      </c>
      <c r="D14" s="27"/>
      <c r="E14" s="27"/>
    </row>
    <row r="15" spans="2:5" ht="39.950000000000003" customHeight="1" x14ac:dyDescent="0.25">
      <c r="B15" s="3" t="s">
        <v>13</v>
      </c>
      <c r="C15" s="26" t="s">
        <v>14</v>
      </c>
      <c r="D15" s="27"/>
      <c r="E15" s="27"/>
    </row>
    <row r="16" spans="2:5" ht="39.950000000000003" customHeight="1" x14ac:dyDescent="0.25">
      <c r="B16" s="3" t="s">
        <v>15</v>
      </c>
      <c r="C16" s="26" t="s">
        <v>16</v>
      </c>
      <c r="D16" s="27"/>
      <c r="E16" s="27"/>
    </row>
    <row r="18" spans="2:5" x14ac:dyDescent="0.25">
      <c r="B18" s="2" t="s">
        <v>17</v>
      </c>
    </row>
    <row r="19" spans="2:5" x14ac:dyDescent="0.25">
      <c r="B19" s="4" t="s">
        <v>18</v>
      </c>
      <c r="C19" s="28"/>
      <c r="D19" s="27"/>
      <c r="E19" s="27"/>
    </row>
    <row r="20" spans="2:5" x14ac:dyDescent="0.25">
      <c r="B20" s="4" t="s">
        <v>19</v>
      </c>
      <c r="C20" s="28"/>
      <c r="D20" s="27"/>
      <c r="E20" s="27"/>
    </row>
    <row r="21" spans="2:5" x14ac:dyDescent="0.25">
      <c r="B21" s="4" t="s">
        <v>20</v>
      </c>
      <c r="C21" s="28"/>
      <c r="D21" s="27"/>
      <c r="E21" s="27"/>
    </row>
    <row r="22" spans="2:5" x14ac:dyDescent="0.25">
      <c r="B22" s="4" t="s">
        <v>21</v>
      </c>
      <c r="C22" s="28"/>
      <c r="D22" s="27"/>
      <c r="E22" s="27"/>
    </row>
    <row r="23" spans="2:5" x14ac:dyDescent="0.25">
      <c r="B23" s="4" t="s">
        <v>22</v>
      </c>
      <c r="C23" s="28"/>
      <c r="D23" s="27"/>
      <c r="E23" s="27"/>
    </row>
    <row r="25" spans="2:5" x14ac:dyDescent="0.25">
      <c r="B25" s="2" t="s">
        <v>23</v>
      </c>
    </row>
    <row r="26" spans="2:5" x14ac:dyDescent="0.25">
      <c r="B26" s="5" t="s">
        <v>24</v>
      </c>
      <c r="C26" s="5" t="s">
        <v>25</v>
      </c>
      <c r="D26" s="5" t="s">
        <v>26</v>
      </c>
    </row>
    <row r="27" spans="2:5" x14ac:dyDescent="0.25">
      <c r="B27" s="6" t="s">
        <v>27</v>
      </c>
      <c r="C27" s="7">
        <v>124</v>
      </c>
      <c r="D27" s="7" t="s">
        <v>28</v>
      </c>
    </row>
    <row r="28" spans="2:5" x14ac:dyDescent="0.25">
      <c r="B28" s="6" t="s">
        <v>29</v>
      </c>
      <c r="C28" s="7">
        <v>176</v>
      </c>
      <c r="D28" s="7" t="s">
        <v>28</v>
      </c>
    </row>
    <row r="29" spans="2:5" x14ac:dyDescent="0.25">
      <c r="B29" s="8" t="s">
        <v>30</v>
      </c>
      <c r="C29" s="9">
        <f>'7. PV allocation (per period)'!C53</f>
        <v>3081.1268999999993</v>
      </c>
      <c r="D29" s="10" t="s">
        <v>31</v>
      </c>
    </row>
    <row r="30" spans="2:5" x14ac:dyDescent="0.25">
      <c r="B30" s="8" t="s">
        <v>32</v>
      </c>
      <c r="C30" s="9">
        <f>'7. PV allocation (per period)'!I53</f>
        <v>529.65205000000003</v>
      </c>
      <c r="D30" s="10" t="s">
        <v>31</v>
      </c>
    </row>
    <row r="31" spans="2:5" x14ac:dyDescent="0.25">
      <c r="B31" s="8" t="s">
        <v>33</v>
      </c>
      <c r="C31" s="9">
        <f>'7. PV allocation (per period)'!J53</f>
        <v>407.26564999999988</v>
      </c>
      <c r="D31" s="10" t="s">
        <v>31</v>
      </c>
    </row>
    <row r="32" spans="2:5" x14ac:dyDescent="0.25">
      <c r="B32" s="8" t="s">
        <v>34</v>
      </c>
      <c r="C32" s="9">
        <f>'7. PV allocation (per period)'!K53</f>
        <v>641.95560000000012</v>
      </c>
      <c r="D32" s="10" t="s">
        <v>31</v>
      </c>
    </row>
    <row r="33" spans="2:5" x14ac:dyDescent="0.25">
      <c r="B33" s="8" t="s">
        <v>35</v>
      </c>
      <c r="C33" s="9">
        <f>'7. PV allocation (per period)'!L53</f>
        <v>1502.2535999999996</v>
      </c>
      <c r="D33" s="10" t="s">
        <v>31</v>
      </c>
    </row>
    <row r="34" spans="2:5" x14ac:dyDescent="0.25">
      <c r="B34" s="8" t="s">
        <v>36</v>
      </c>
      <c r="C34" s="11">
        <f>'7. PV allocation (per period)'!K53/'7. PV allocation (per period)'!C53</f>
        <v>0.20835091212893578</v>
      </c>
      <c r="D34" s="10" t="s">
        <v>37</v>
      </c>
    </row>
    <row r="35" spans="2:5" x14ac:dyDescent="0.25">
      <c r="B35" s="8" t="s">
        <v>38</v>
      </c>
      <c r="C35" s="11">
        <f>'7. PV allocation (per period)'!K53/'7. PV allocation (per period)'!E53</f>
        <v>0.51442041383817716</v>
      </c>
      <c r="D35" s="10" t="s">
        <v>39</v>
      </c>
    </row>
    <row r="36" spans="2:5" x14ac:dyDescent="0.25">
      <c r="B36" s="8" t="s">
        <v>40</v>
      </c>
      <c r="C36" s="11">
        <f>'7. PV allocation (per period)'!M53/'7. PV allocation (per period)'!E53</f>
        <v>0.48557958616182301</v>
      </c>
      <c r="D36" s="10" t="s">
        <v>39</v>
      </c>
    </row>
    <row r="39" spans="2:5" x14ac:dyDescent="0.25">
      <c r="B39" s="2" t="s">
        <v>41</v>
      </c>
    </row>
    <row r="40" spans="2:5" x14ac:dyDescent="0.25">
      <c r="B40" s="26" t="s">
        <v>42</v>
      </c>
      <c r="C40" s="27"/>
      <c r="D40" s="27"/>
      <c r="E40" s="27"/>
    </row>
    <row r="41" spans="2:5" x14ac:dyDescent="0.25">
      <c r="B41" s="26" t="s">
        <v>43</v>
      </c>
      <c r="C41" s="27"/>
      <c r="D41" s="27"/>
      <c r="E41" s="27"/>
    </row>
    <row r="42" spans="2:5" x14ac:dyDescent="0.25">
      <c r="B42" s="26" t="s">
        <v>44</v>
      </c>
      <c r="C42" s="27"/>
      <c r="D42" s="27"/>
      <c r="E42" s="27"/>
    </row>
    <row r="43" spans="2:5" x14ac:dyDescent="0.25">
      <c r="B43" s="26" t="s">
        <v>45</v>
      </c>
      <c r="C43" s="27"/>
      <c r="D43" s="27"/>
      <c r="E43" s="27"/>
    </row>
    <row r="44" spans="2:5" x14ac:dyDescent="0.25">
      <c r="B44" s="26" t="s">
        <v>46</v>
      </c>
      <c r="C44" s="27"/>
      <c r="D44" s="27"/>
      <c r="E44" s="27"/>
    </row>
  </sheetData>
  <mergeCells count="17">
    <mergeCell ref="B44:E44"/>
    <mergeCell ref="C21:E21"/>
    <mergeCell ref="C20:E20"/>
    <mergeCell ref="C12:E12"/>
    <mergeCell ref="B43:E43"/>
    <mergeCell ref="C23:E23"/>
    <mergeCell ref="B42:E42"/>
    <mergeCell ref="C15:E15"/>
    <mergeCell ref="C22:E22"/>
    <mergeCell ref="C16:E16"/>
    <mergeCell ref="B6:E8"/>
    <mergeCell ref="B40:E40"/>
    <mergeCell ref="B41:E41"/>
    <mergeCell ref="C14:E14"/>
    <mergeCell ref="C11:E11"/>
    <mergeCell ref="C13:E13"/>
    <mergeCell ref="C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7" customWidth="1"/>
    <col min="2" max="2" width="26" customWidth="1"/>
    <col min="3" max="3" width="16" customWidth="1"/>
    <col min="4" max="4" width="7" customWidth="1"/>
    <col min="5" max="6" width="13" customWidth="1"/>
  </cols>
  <sheetData>
    <row r="1" spans="1:6" ht="19.5" x14ac:dyDescent="0.3">
      <c r="A1" s="1" t="s">
        <v>47</v>
      </c>
    </row>
    <row r="2" spans="1:6" x14ac:dyDescent="0.25">
      <c r="A2" s="2" t="s">
        <v>48</v>
      </c>
    </row>
    <row r="4" spans="1:6" x14ac:dyDescent="0.25">
      <c r="A4" s="5" t="s">
        <v>49</v>
      </c>
      <c r="B4" s="5" t="s">
        <v>50</v>
      </c>
      <c r="C4" s="5" t="s">
        <v>51</v>
      </c>
      <c r="D4" s="5" t="s">
        <v>52</v>
      </c>
      <c r="E4" s="5" t="s">
        <v>53</v>
      </c>
      <c r="F4" s="5" t="s">
        <v>54</v>
      </c>
    </row>
    <row r="5" spans="1:6" x14ac:dyDescent="0.25">
      <c r="A5" s="10">
        <v>1959</v>
      </c>
      <c r="B5" s="12" t="s">
        <v>55</v>
      </c>
      <c r="C5" s="10" t="s">
        <v>56</v>
      </c>
      <c r="D5" s="10">
        <v>2</v>
      </c>
      <c r="E5" s="10">
        <v>0</v>
      </c>
      <c r="F5" s="10" t="s">
        <v>57</v>
      </c>
    </row>
    <row r="6" spans="1:6" x14ac:dyDescent="0.25">
      <c r="A6" s="10">
        <v>1960</v>
      </c>
      <c r="B6" s="12" t="s">
        <v>58</v>
      </c>
      <c r="C6" s="10" t="s">
        <v>59</v>
      </c>
      <c r="D6" s="10">
        <v>3</v>
      </c>
      <c r="E6" s="10">
        <v>0</v>
      </c>
      <c r="F6" s="10" t="s">
        <v>57</v>
      </c>
    </row>
    <row r="7" spans="1:6" x14ac:dyDescent="0.25">
      <c r="A7" s="10">
        <v>1962</v>
      </c>
      <c r="B7" s="12" t="s">
        <v>60</v>
      </c>
      <c r="C7" s="10" t="s">
        <v>61</v>
      </c>
      <c r="D7" s="10">
        <v>1</v>
      </c>
      <c r="E7" s="10">
        <v>0</v>
      </c>
      <c r="F7" s="10" t="s">
        <v>57</v>
      </c>
    </row>
    <row r="8" spans="1:6" x14ac:dyDescent="0.25">
      <c r="A8" s="10">
        <v>1963</v>
      </c>
      <c r="B8" s="12" t="s">
        <v>62</v>
      </c>
      <c r="C8" s="10" t="s">
        <v>63</v>
      </c>
      <c r="D8" s="10">
        <v>2</v>
      </c>
      <c r="E8" s="10">
        <v>0</v>
      </c>
      <c r="F8" s="10" t="s">
        <v>57</v>
      </c>
    </row>
    <row r="9" spans="1:6" x14ac:dyDescent="0.25">
      <c r="A9" s="10">
        <v>1965</v>
      </c>
      <c r="B9" s="12" t="s">
        <v>64</v>
      </c>
      <c r="C9" s="10" t="s">
        <v>65</v>
      </c>
      <c r="D9" s="10">
        <v>3</v>
      </c>
      <c r="E9" s="10">
        <v>0</v>
      </c>
      <c r="F9" s="10" t="s">
        <v>57</v>
      </c>
    </row>
    <row r="10" spans="1:6" x14ac:dyDescent="0.25">
      <c r="A10" s="10">
        <v>1967</v>
      </c>
      <c r="B10" s="12" t="s">
        <v>66</v>
      </c>
      <c r="C10" s="10" t="s">
        <v>67</v>
      </c>
      <c r="D10" s="10">
        <v>2</v>
      </c>
      <c r="E10" s="10">
        <v>0</v>
      </c>
      <c r="F10" s="10" t="s">
        <v>57</v>
      </c>
    </row>
    <row r="11" spans="1:6" x14ac:dyDescent="0.25">
      <c r="A11" s="10">
        <v>1968</v>
      </c>
      <c r="B11" s="12" t="s">
        <v>68</v>
      </c>
      <c r="C11" s="10" t="s">
        <v>69</v>
      </c>
      <c r="D11" s="10">
        <v>2</v>
      </c>
      <c r="E11" s="10">
        <v>0</v>
      </c>
      <c r="F11" s="10" t="s">
        <v>57</v>
      </c>
    </row>
    <row r="12" spans="1:6" x14ac:dyDescent="0.25">
      <c r="A12" s="10">
        <v>1970</v>
      </c>
      <c r="B12" s="12" t="s">
        <v>70</v>
      </c>
      <c r="C12" s="10" t="s">
        <v>71</v>
      </c>
      <c r="D12" s="10">
        <v>2</v>
      </c>
      <c r="E12" s="10">
        <v>0</v>
      </c>
      <c r="F12" s="10" t="s">
        <v>57</v>
      </c>
    </row>
    <row r="13" spans="1:6" x14ac:dyDescent="0.25">
      <c r="A13" s="10">
        <v>1971</v>
      </c>
      <c r="B13" s="12" t="s">
        <v>72</v>
      </c>
      <c r="C13" s="10" t="s">
        <v>73</v>
      </c>
      <c r="D13" s="10">
        <v>2</v>
      </c>
      <c r="E13" s="10">
        <v>0</v>
      </c>
      <c r="F13" s="10" t="s">
        <v>57</v>
      </c>
    </row>
    <row r="14" spans="1:6" x14ac:dyDescent="0.25">
      <c r="A14" s="10">
        <v>1973</v>
      </c>
      <c r="B14" s="12" t="s">
        <v>74</v>
      </c>
      <c r="C14" s="10" t="s">
        <v>75</v>
      </c>
      <c r="D14" s="10">
        <v>1</v>
      </c>
      <c r="E14" s="10">
        <v>0</v>
      </c>
      <c r="F14" s="10" t="s">
        <v>57</v>
      </c>
    </row>
    <row r="15" spans="1:6" x14ac:dyDescent="0.25">
      <c r="A15" s="10">
        <v>1975</v>
      </c>
      <c r="B15" s="12" t="s">
        <v>76</v>
      </c>
      <c r="C15" s="10" t="s">
        <v>77</v>
      </c>
      <c r="D15" s="10">
        <v>3</v>
      </c>
      <c r="E15" s="10">
        <v>0</v>
      </c>
      <c r="F15" s="10" t="s">
        <v>57</v>
      </c>
    </row>
    <row r="16" spans="1:6" x14ac:dyDescent="0.25">
      <c r="A16" s="10">
        <v>1976</v>
      </c>
      <c r="B16" s="12" t="s">
        <v>78</v>
      </c>
      <c r="C16" s="10" t="s">
        <v>79</v>
      </c>
      <c r="D16" s="10">
        <v>3</v>
      </c>
      <c r="E16" s="10">
        <v>0</v>
      </c>
      <c r="F16" s="10" t="s">
        <v>57</v>
      </c>
    </row>
    <row r="17" spans="1:6" x14ac:dyDescent="0.25">
      <c r="A17" s="10">
        <v>1977</v>
      </c>
      <c r="B17" s="12" t="s">
        <v>80</v>
      </c>
      <c r="C17" s="10" t="s">
        <v>81</v>
      </c>
      <c r="D17" s="10">
        <v>2</v>
      </c>
      <c r="E17" s="10">
        <v>0</v>
      </c>
      <c r="F17" s="10" t="s">
        <v>57</v>
      </c>
    </row>
    <row r="18" spans="1:6" x14ac:dyDescent="0.25">
      <c r="A18" s="10">
        <v>1978</v>
      </c>
      <c r="B18" s="12" t="s">
        <v>82</v>
      </c>
      <c r="C18" s="10" t="s">
        <v>83</v>
      </c>
      <c r="D18" s="10">
        <v>3</v>
      </c>
      <c r="E18" s="10">
        <v>0</v>
      </c>
      <c r="F18" s="10" t="s">
        <v>57</v>
      </c>
    </row>
    <row r="19" spans="1:6" x14ac:dyDescent="0.25">
      <c r="A19" s="10">
        <v>1981</v>
      </c>
      <c r="B19" s="12" t="s">
        <v>84</v>
      </c>
      <c r="C19" s="10" t="s">
        <v>85</v>
      </c>
      <c r="D19" s="10">
        <v>1</v>
      </c>
      <c r="E19" s="10">
        <v>0</v>
      </c>
      <c r="F19" s="10" t="s">
        <v>57</v>
      </c>
    </row>
    <row r="20" spans="1:6" x14ac:dyDescent="0.25">
      <c r="A20" s="10">
        <v>1987</v>
      </c>
      <c r="B20" s="12" t="s">
        <v>86</v>
      </c>
      <c r="C20" s="10" t="s">
        <v>87</v>
      </c>
      <c r="D20" s="10">
        <v>1</v>
      </c>
      <c r="E20" s="10">
        <v>0</v>
      </c>
      <c r="F20" s="10" t="s">
        <v>57</v>
      </c>
    </row>
    <row r="21" spans="1:6" x14ac:dyDescent="0.25">
      <c r="A21" s="10">
        <v>1989</v>
      </c>
      <c r="B21" s="12" t="s">
        <v>88</v>
      </c>
      <c r="C21" s="10" t="s">
        <v>89</v>
      </c>
      <c r="D21" s="10">
        <v>3</v>
      </c>
      <c r="E21" s="10">
        <v>0</v>
      </c>
      <c r="F21" s="10" t="s">
        <v>57</v>
      </c>
    </row>
    <row r="22" spans="1:6" x14ac:dyDescent="0.25">
      <c r="A22" s="10">
        <v>1990</v>
      </c>
      <c r="B22" s="12" t="s">
        <v>90</v>
      </c>
      <c r="C22" s="10" t="s">
        <v>91</v>
      </c>
      <c r="D22" s="10">
        <v>3</v>
      </c>
      <c r="E22" s="10">
        <v>0</v>
      </c>
      <c r="F22" s="10" t="s">
        <v>57</v>
      </c>
    </row>
    <row r="23" spans="1:6" x14ac:dyDescent="0.25">
      <c r="A23" s="10">
        <v>1991</v>
      </c>
      <c r="B23" s="12" t="s">
        <v>92</v>
      </c>
      <c r="C23" s="10" t="s">
        <v>93</v>
      </c>
      <c r="D23" s="10">
        <v>1</v>
      </c>
      <c r="E23" s="10">
        <v>0</v>
      </c>
      <c r="F23" s="10" t="s">
        <v>57</v>
      </c>
    </row>
    <row r="24" spans="1:6" x14ac:dyDescent="0.25">
      <c r="A24" s="10">
        <v>1993</v>
      </c>
      <c r="B24" s="12" t="s">
        <v>94</v>
      </c>
      <c r="C24" s="10" t="s">
        <v>95</v>
      </c>
      <c r="D24" s="10">
        <v>1</v>
      </c>
      <c r="E24" s="10">
        <v>0</v>
      </c>
      <c r="F24" s="10" t="s">
        <v>57</v>
      </c>
    </row>
    <row r="25" spans="1:6" x14ac:dyDescent="0.25">
      <c r="A25" s="10">
        <v>1995</v>
      </c>
      <c r="B25" s="12" t="s">
        <v>96</v>
      </c>
      <c r="C25" s="10" t="s">
        <v>97</v>
      </c>
      <c r="D25" s="10">
        <v>3</v>
      </c>
      <c r="E25" s="10">
        <v>0</v>
      </c>
      <c r="F25" s="10" t="s">
        <v>57</v>
      </c>
    </row>
    <row r="26" spans="1:6" x14ac:dyDescent="0.25">
      <c r="A26" s="10">
        <v>1997</v>
      </c>
      <c r="B26" s="12" t="s">
        <v>98</v>
      </c>
      <c r="C26" s="10" t="s">
        <v>99</v>
      </c>
      <c r="D26" s="10">
        <v>2</v>
      </c>
      <c r="E26" s="10">
        <v>0</v>
      </c>
      <c r="F26" s="10" t="s">
        <v>57</v>
      </c>
    </row>
    <row r="27" spans="1:6" x14ac:dyDescent="0.25">
      <c r="A27" s="10">
        <v>1998</v>
      </c>
      <c r="B27" s="12" t="s">
        <v>100</v>
      </c>
      <c r="C27" s="10" t="s">
        <v>101</v>
      </c>
      <c r="D27" s="10">
        <v>1</v>
      </c>
      <c r="E27" s="10">
        <v>0</v>
      </c>
      <c r="F27" s="10" t="s">
        <v>57</v>
      </c>
    </row>
    <row r="28" spans="1:6" x14ac:dyDescent="0.25">
      <c r="A28" s="10">
        <v>1999</v>
      </c>
      <c r="B28" s="12" t="s">
        <v>102</v>
      </c>
      <c r="C28" s="10" t="s">
        <v>103</v>
      </c>
      <c r="D28" s="10">
        <v>1</v>
      </c>
      <c r="E28" s="10">
        <v>0</v>
      </c>
      <c r="F28" s="10" t="s">
        <v>57</v>
      </c>
    </row>
    <row r="29" spans="1:6" x14ac:dyDescent="0.25">
      <c r="A29" s="10">
        <v>2000</v>
      </c>
      <c r="B29" s="12" t="s">
        <v>104</v>
      </c>
      <c r="C29" s="10" t="s">
        <v>105</v>
      </c>
      <c r="D29" s="10">
        <v>1</v>
      </c>
      <c r="E29" s="10">
        <v>0</v>
      </c>
      <c r="F29" s="10" t="s">
        <v>57</v>
      </c>
    </row>
    <row r="30" spans="1:6" x14ac:dyDescent="0.25">
      <c r="A30" s="10">
        <v>2001</v>
      </c>
      <c r="B30" s="12" t="s">
        <v>106</v>
      </c>
      <c r="C30" s="10" t="s">
        <v>107</v>
      </c>
      <c r="D30" s="10">
        <v>2</v>
      </c>
      <c r="E30" s="10">
        <v>0</v>
      </c>
      <c r="F30" s="10" t="s">
        <v>57</v>
      </c>
    </row>
    <row r="31" spans="1:6" x14ac:dyDescent="0.25">
      <c r="A31" s="10">
        <v>2002</v>
      </c>
      <c r="B31" s="12" t="s">
        <v>108</v>
      </c>
      <c r="C31" s="10" t="s">
        <v>109</v>
      </c>
      <c r="D31" s="10">
        <v>1</v>
      </c>
      <c r="E31" s="10">
        <v>0</v>
      </c>
      <c r="F31" s="10" t="s">
        <v>57</v>
      </c>
    </row>
    <row r="32" spans="1:6" x14ac:dyDescent="0.25">
      <c r="A32" s="10">
        <v>2004</v>
      </c>
      <c r="B32" s="12" t="s">
        <v>110</v>
      </c>
      <c r="C32" s="10" t="s">
        <v>111</v>
      </c>
      <c r="D32" s="10">
        <v>1</v>
      </c>
      <c r="E32" s="10">
        <v>0</v>
      </c>
      <c r="F32" s="10" t="s">
        <v>57</v>
      </c>
    </row>
    <row r="33" spans="1:6" x14ac:dyDescent="0.25">
      <c r="A33" s="10">
        <v>2005</v>
      </c>
      <c r="B33" s="12" t="s">
        <v>112</v>
      </c>
      <c r="C33" s="10" t="s">
        <v>113</v>
      </c>
      <c r="D33" s="10">
        <v>1</v>
      </c>
      <c r="E33" s="10">
        <v>0</v>
      </c>
      <c r="F33" s="10" t="s">
        <v>57</v>
      </c>
    </row>
    <row r="34" spans="1:6" x14ac:dyDescent="0.25">
      <c r="A34" s="10">
        <v>2007</v>
      </c>
      <c r="B34" s="12" t="s">
        <v>114</v>
      </c>
      <c r="C34" s="10" t="s">
        <v>115</v>
      </c>
      <c r="D34" s="10">
        <v>1</v>
      </c>
      <c r="E34" s="10">
        <v>0</v>
      </c>
      <c r="F34" s="10" t="s">
        <v>57</v>
      </c>
    </row>
    <row r="35" spans="1:6" x14ac:dyDescent="0.25">
      <c r="A35" s="10">
        <v>2009</v>
      </c>
      <c r="B35" s="12" t="s">
        <v>116</v>
      </c>
      <c r="C35" s="10" t="s">
        <v>117</v>
      </c>
      <c r="D35" s="10">
        <v>2</v>
      </c>
      <c r="E35" s="10">
        <v>0</v>
      </c>
      <c r="F35" s="10" t="s">
        <v>57</v>
      </c>
    </row>
    <row r="36" spans="1:6" x14ac:dyDescent="0.25">
      <c r="A36" s="10">
        <v>2010</v>
      </c>
      <c r="B36" s="12" t="s">
        <v>118</v>
      </c>
      <c r="C36" s="10" t="s">
        <v>119</v>
      </c>
      <c r="D36" s="10">
        <v>3</v>
      </c>
      <c r="E36" s="10">
        <v>0</v>
      </c>
      <c r="F36" s="10" t="s">
        <v>57</v>
      </c>
    </row>
    <row r="37" spans="1:6" x14ac:dyDescent="0.25">
      <c r="A37" s="10">
        <v>2011</v>
      </c>
      <c r="B37" s="12" t="s">
        <v>120</v>
      </c>
      <c r="C37" s="10" t="s">
        <v>121</v>
      </c>
      <c r="D37" s="10">
        <v>3</v>
      </c>
      <c r="E37" s="10">
        <v>0</v>
      </c>
      <c r="F37" s="10" t="s">
        <v>57</v>
      </c>
    </row>
    <row r="38" spans="1:6" x14ac:dyDescent="0.25">
      <c r="A38" s="10">
        <v>2013</v>
      </c>
      <c r="B38" s="12" t="s">
        <v>122</v>
      </c>
      <c r="C38" s="10" t="s">
        <v>123</v>
      </c>
      <c r="D38" s="10">
        <v>3</v>
      </c>
      <c r="E38" s="10">
        <v>0</v>
      </c>
      <c r="F38" s="10" t="s">
        <v>57</v>
      </c>
    </row>
    <row r="39" spans="1:6" x14ac:dyDescent="0.25">
      <c r="A39" s="10">
        <v>2015</v>
      </c>
      <c r="B39" s="12" t="s">
        <v>124</v>
      </c>
      <c r="C39" s="10" t="s">
        <v>125</v>
      </c>
      <c r="D39" s="10">
        <v>2</v>
      </c>
      <c r="E39" s="10">
        <v>0</v>
      </c>
      <c r="F39" s="10" t="s">
        <v>57</v>
      </c>
    </row>
    <row r="40" spans="1:6" x14ac:dyDescent="0.25">
      <c r="A40" s="10">
        <v>2021</v>
      </c>
      <c r="B40" s="12" t="s">
        <v>126</v>
      </c>
      <c r="C40" s="10" t="s">
        <v>127</v>
      </c>
      <c r="D40" s="10">
        <v>2</v>
      </c>
      <c r="E40" s="10">
        <v>0</v>
      </c>
      <c r="F40" s="10" t="s">
        <v>57</v>
      </c>
    </row>
    <row r="41" spans="1:6" x14ac:dyDescent="0.25">
      <c r="A41" s="10">
        <v>2026</v>
      </c>
      <c r="B41" s="12" t="s">
        <v>128</v>
      </c>
      <c r="C41" s="10" t="s">
        <v>129</v>
      </c>
      <c r="D41" s="10">
        <v>2</v>
      </c>
      <c r="E41" s="10">
        <v>0</v>
      </c>
      <c r="F41" s="10" t="s">
        <v>57</v>
      </c>
    </row>
    <row r="42" spans="1:6" x14ac:dyDescent="0.25">
      <c r="A42" s="10">
        <v>2029</v>
      </c>
      <c r="B42" s="12" t="s">
        <v>130</v>
      </c>
      <c r="C42" s="10" t="s">
        <v>131</v>
      </c>
      <c r="D42" s="10">
        <v>2</v>
      </c>
      <c r="E42" s="10">
        <v>0</v>
      </c>
      <c r="F42" s="10" t="s">
        <v>57</v>
      </c>
    </row>
    <row r="43" spans="1:6" x14ac:dyDescent="0.25">
      <c r="A43" s="10">
        <v>2031</v>
      </c>
      <c r="B43" s="12" t="s">
        <v>132</v>
      </c>
      <c r="C43" s="10" t="s">
        <v>133</v>
      </c>
      <c r="D43" s="10">
        <v>2</v>
      </c>
      <c r="E43" s="10">
        <v>0</v>
      </c>
      <c r="F43" s="10" t="s">
        <v>57</v>
      </c>
    </row>
    <row r="44" spans="1:6" x14ac:dyDescent="0.25">
      <c r="A44" s="10">
        <v>2035</v>
      </c>
      <c r="B44" s="12" t="s">
        <v>134</v>
      </c>
      <c r="C44" s="10" t="s">
        <v>135</v>
      </c>
      <c r="D44" s="10">
        <v>2</v>
      </c>
      <c r="E44" s="10">
        <v>0</v>
      </c>
      <c r="F44" s="10" t="s">
        <v>57</v>
      </c>
    </row>
    <row r="45" spans="1:6" x14ac:dyDescent="0.25">
      <c r="A45" s="10">
        <v>2037</v>
      </c>
      <c r="B45" s="12" t="s">
        <v>136</v>
      </c>
      <c r="C45" s="10" t="s">
        <v>137</v>
      </c>
      <c r="D45" s="10">
        <v>2</v>
      </c>
      <c r="E45" s="10">
        <v>0</v>
      </c>
      <c r="F45" s="10" t="s">
        <v>57</v>
      </c>
    </row>
    <row r="46" spans="1:6" x14ac:dyDescent="0.25">
      <c r="A46" s="10">
        <v>2041</v>
      </c>
      <c r="B46" s="12" t="s">
        <v>138</v>
      </c>
      <c r="C46" s="10" t="s">
        <v>139</v>
      </c>
      <c r="D46" s="10">
        <v>3</v>
      </c>
      <c r="E46" s="10">
        <v>0</v>
      </c>
      <c r="F46" s="10" t="s">
        <v>57</v>
      </c>
    </row>
    <row r="47" spans="1:6" x14ac:dyDescent="0.25">
      <c r="A47" s="10">
        <v>2042</v>
      </c>
      <c r="B47" s="12" t="s">
        <v>140</v>
      </c>
      <c r="C47" s="10" t="s">
        <v>141</v>
      </c>
      <c r="D47" s="10">
        <v>1</v>
      </c>
      <c r="E47" s="10">
        <v>0</v>
      </c>
      <c r="F47" s="10" t="s">
        <v>57</v>
      </c>
    </row>
    <row r="48" spans="1:6" x14ac:dyDescent="0.25">
      <c r="A48" s="10">
        <v>2043</v>
      </c>
      <c r="B48" s="12" t="s">
        <v>142</v>
      </c>
      <c r="C48" s="10" t="s">
        <v>143</v>
      </c>
      <c r="D48" s="10">
        <v>1</v>
      </c>
      <c r="E48" s="10">
        <v>0</v>
      </c>
      <c r="F48" s="10" t="s">
        <v>57</v>
      </c>
    </row>
    <row r="49" spans="1:6" x14ac:dyDescent="0.25">
      <c r="A49" s="10">
        <v>2044</v>
      </c>
      <c r="B49" s="12" t="s">
        <v>144</v>
      </c>
      <c r="C49" s="10" t="s">
        <v>145</v>
      </c>
      <c r="D49" s="10">
        <v>2</v>
      </c>
      <c r="E49" s="10">
        <v>0</v>
      </c>
      <c r="F49" s="10" t="s">
        <v>57</v>
      </c>
    </row>
    <row r="50" spans="1:6" x14ac:dyDescent="0.25">
      <c r="A50" s="10">
        <v>2047</v>
      </c>
      <c r="B50" s="12" t="s">
        <v>146</v>
      </c>
      <c r="C50" s="10" t="s">
        <v>147</v>
      </c>
      <c r="D50" s="10">
        <v>1</v>
      </c>
      <c r="E50" s="10">
        <v>0</v>
      </c>
      <c r="F50" s="10" t="s">
        <v>57</v>
      </c>
    </row>
    <row r="51" spans="1:6" x14ac:dyDescent="0.25">
      <c r="A51" s="10">
        <v>2048</v>
      </c>
      <c r="B51" s="12" t="s">
        <v>148</v>
      </c>
      <c r="C51" s="10" t="s">
        <v>149</v>
      </c>
      <c r="D51" s="10">
        <v>1</v>
      </c>
      <c r="E51" s="10">
        <v>0</v>
      </c>
      <c r="F51" s="10" t="s">
        <v>57</v>
      </c>
    </row>
    <row r="52" spans="1:6" x14ac:dyDescent="0.25">
      <c r="A52" s="10">
        <v>2050</v>
      </c>
      <c r="B52" s="12" t="s">
        <v>150</v>
      </c>
      <c r="C52" s="10" t="s">
        <v>151</v>
      </c>
      <c r="D52" s="10">
        <v>2</v>
      </c>
      <c r="E52" s="10">
        <v>0</v>
      </c>
      <c r="F52" s="10" t="s">
        <v>57</v>
      </c>
    </row>
    <row r="53" spans="1:6" x14ac:dyDescent="0.25">
      <c r="A53" s="10">
        <v>2053</v>
      </c>
      <c r="B53" s="12" t="s">
        <v>152</v>
      </c>
      <c r="C53" s="10" t="s">
        <v>153</v>
      </c>
      <c r="D53" s="10">
        <v>2</v>
      </c>
      <c r="E53" s="10">
        <v>0</v>
      </c>
      <c r="F53" s="10" t="s">
        <v>57</v>
      </c>
    </row>
    <row r="54" spans="1:6" x14ac:dyDescent="0.25">
      <c r="A54" s="10">
        <v>2054</v>
      </c>
      <c r="B54" s="12" t="s">
        <v>154</v>
      </c>
      <c r="C54" s="10" t="s">
        <v>155</v>
      </c>
      <c r="D54" s="10">
        <v>1</v>
      </c>
      <c r="E54" s="10">
        <v>0</v>
      </c>
      <c r="F54" s="10" t="s">
        <v>57</v>
      </c>
    </row>
    <row r="55" spans="1:6" x14ac:dyDescent="0.25">
      <c r="A55" s="10">
        <v>2055</v>
      </c>
      <c r="B55" s="12" t="s">
        <v>156</v>
      </c>
      <c r="C55" s="10" t="s">
        <v>157</v>
      </c>
      <c r="D55" s="10">
        <v>2</v>
      </c>
      <c r="E55" s="10">
        <v>0</v>
      </c>
      <c r="F55" s="10" t="s">
        <v>57</v>
      </c>
    </row>
    <row r="56" spans="1:6" x14ac:dyDescent="0.25">
      <c r="A56" s="10">
        <v>2057</v>
      </c>
      <c r="B56" s="12" t="s">
        <v>158</v>
      </c>
      <c r="C56" s="10" t="s">
        <v>159</v>
      </c>
      <c r="D56" s="10">
        <v>3</v>
      </c>
      <c r="E56" s="10">
        <v>0</v>
      </c>
      <c r="F56" s="10" t="s">
        <v>57</v>
      </c>
    </row>
    <row r="57" spans="1:6" x14ac:dyDescent="0.25">
      <c r="A57" s="10">
        <v>2059</v>
      </c>
      <c r="B57" s="12" t="s">
        <v>160</v>
      </c>
      <c r="C57" s="10" t="s">
        <v>161</v>
      </c>
      <c r="D57" s="10">
        <v>2</v>
      </c>
      <c r="E57" s="10">
        <v>0</v>
      </c>
      <c r="F57" s="10" t="s">
        <v>57</v>
      </c>
    </row>
    <row r="58" spans="1:6" x14ac:dyDescent="0.25">
      <c r="A58" s="10">
        <v>2060</v>
      </c>
      <c r="B58" s="12" t="s">
        <v>162</v>
      </c>
      <c r="C58" s="10" t="s">
        <v>163</v>
      </c>
      <c r="D58" s="10">
        <v>1</v>
      </c>
      <c r="E58" s="10">
        <v>0</v>
      </c>
      <c r="F58" s="10" t="s">
        <v>57</v>
      </c>
    </row>
    <row r="59" spans="1:6" x14ac:dyDescent="0.25">
      <c r="A59" s="10">
        <v>2061</v>
      </c>
      <c r="B59" s="12" t="s">
        <v>164</v>
      </c>
      <c r="C59" s="10" t="s">
        <v>165</v>
      </c>
      <c r="D59" s="10">
        <v>3</v>
      </c>
      <c r="E59" s="10">
        <v>0</v>
      </c>
      <c r="F59" s="10" t="s">
        <v>57</v>
      </c>
    </row>
    <row r="60" spans="1:6" x14ac:dyDescent="0.25">
      <c r="A60" s="10">
        <v>2062</v>
      </c>
      <c r="B60" s="12" t="s">
        <v>166</v>
      </c>
      <c r="C60" s="10" t="s">
        <v>167</v>
      </c>
      <c r="D60" s="10">
        <v>2</v>
      </c>
      <c r="E60" s="10">
        <v>0</v>
      </c>
      <c r="F60" s="10" t="s">
        <v>57</v>
      </c>
    </row>
    <row r="61" spans="1:6" x14ac:dyDescent="0.25">
      <c r="A61" s="10">
        <v>2063</v>
      </c>
      <c r="B61" s="12" t="s">
        <v>168</v>
      </c>
      <c r="C61" s="10" t="s">
        <v>169</v>
      </c>
      <c r="D61" s="10">
        <v>3</v>
      </c>
      <c r="E61" s="10">
        <v>0</v>
      </c>
      <c r="F61" s="10" t="s">
        <v>57</v>
      </c>
    </row>
    <row r="62" spans="1:6" x14ac:dyDescent="0.25">
      <c r="A62" s="10">
        <v>2065</v>
      </c>
      <c r="B62" s="12" t="s">
        <v>170</v>
      </c>
      <c r="C62" s="10" t="s">
        <v>171</v>
      </c>
      <c r="D62" s="10">
        <v>2</v>
      </c>
      <c r="E62" s="10">
        <v>0</v>
      </c>
      <c r="F62" s="10" t="s">
        <v>57</v>
      </c>
    </row>
    <row r="63" spans="1:6" x14ac:dyDescent="0.25">
      <c r="A63" s="10">
        <v>2066</v>
      </c>
      <c r="B63" s="12" t="s">
        <v>172</v>
      </c>
      <c r="C63" s="10" t="s">
        <v>173</v>
      </c>
      <c r="D63" s="10">
        <v>2</v>
      </c>
      <c r="E63" s="10">
        <v>0</v>
      </c>
      <c r="F63" s="10" t="s">
        <v>57</v>
      </c>
    </row>
    <row r="64" spans="1:6" x14ac:dyDescent="0.25">
      <c r="A64" s="10">
        <v>2068</v>
      </c>
      <c r="B64" s="12" t="s">
        <v>174</v>
      </c>
      <c r="C64" s="10" t="s">
        <v>175</v>
      </c>
      <c r="D64" s="10">
        <v>1</v>
      </c>
      <c r="E64" s="10">
        <v>0</v>
      </c>
      <c r="F64" s="10" t="s">
        <v>57</v>
      </c>
    </row>
    <row r="65" spans="1:6" x14ac:dyDescent="0.25">
      <c r="A65" s="10">
        <v>2070</v>
      </c>
      <c r="B65" s="12" t="s">
        <v>176</v>
      </c>
      <c r="C65" s="10" t="s">
        <v>177</v>
      </c>
      <c r="D65" s="10">
        <v>2</v>
      </c>
      <c r="E65" s="10">
        <v>0</v>
      </c>
      <c r="F65" s="10" t="s">
        <v>57</v>
      </c>
    </row>
    <row r="66" spans="1:6" x14ac:dyDescent="0.25">
      <c r="A66" s="10">
        <v>2071</v>
      </c>
      <c r="B66" s="12" t="s">
        <v>178</v>
      </c>
      <c r="C66" s="10" t="s">
        <v>179</v>
      </c>
      <c r="D66" s="10">
        <v>1</v>
      </c>
      <c r="E66" s="10">
        <v>0</v>
      </c>
      <c r="F66" s="10" t="s">
        <v>57</v>
      </c>
    </row>
    <row r="67" spans="1:6" x14ac:dyDescent="0.25">
      <c r="A67" s="10">
        <v>2072</v>
      </c>
      <c r="B67" s="12" t="s">
        <v>180</v>
      </c>
      <c r="C67" s="10" t="s">
        <v>181</v>
      </c>
      <c r="D67" s="10">
        <v>2</v>
      </c>
      <c r="E67" s="10">
        <v>0</v>
      </c>
      <c r="F67" s="10" t="s">
        <v>57</v>
      </c>
    </row>
    <row r="68" spans="1:6" x14ac:dyDescent="0.25">
      <c r="A68" s="10">
        <v>2073</v>
      </c>
      <c r="B68" s="12" t="s">
        <v>182</v>
      </c>
      <c r="C68" s="10" t="s">
        <v>183</v>
      </c>
      <c r="D68" s="10">
        <v>1</v>
      </c>
      <c r="E68" s="10">
        <v>0</v>
      </c>
      <c r="F68" s="10" t="s">
        <v>57</v>
      </c>
    </row>
    <row r="69" spans="1:6" x14ac:dyDescent="0.25">
      <c r="A69" s="10">
        <v>2074</v>
      </c>
      <c r="B69" s="12" t="s">
        <v>184</v>
      </c>
      <c r="C69" s="10" t="s">
        <v>185</v>
      </c>
      <c r="D69" s="10">
        <v>1</v>
      </c>
      <c r="E69" s="10">
        <v>0</v>
      </c>
      <c r="F69" s="10" t="s">
        <v>57</v>
      </c>
    </row>
    <row r="70" spans="1:6" x14ac:dyDescent="0.25">
      <c r="A70" s="10">
        <v>2075</v>
      </c>
      <c r="B70" s="12" t="s">
        <v>186</v>
      </c>
      <c r="C70" s="10" t="s">
        <v>187</v>
      </c>
      <c r="D70" s="10">
        <v>3</v>
      </c>
      <c r="E70" s="10">
        <v>0</v>
      </c>
      <c r="F70" s="10" t="s">
        <v>57</v>
      </c>
    </row>
    <row r="71" spans="1:6" x14ac:dyDescent="0.25">
      <c r="A71" s="10">
        <v>2077</v>
      </c>
      <c r="B71" s="12" t="s">
        <v>188</v>
      </c>
      <c r="C71" s="10" t="s">
        <v>189</v>
      </c>
      <c r="D71" s="10">
        <v>3</v>
      </c>
      <c r="E71" s="10">
        <v>0</v>
      </c>
      <c r="F71" s="10" t="s">
        <v>57</v>
      </c>
    </row>
    <row r="72" spans="1:6" x14ac:dyDescent="0.25">
      <c r="A72" s="10">
        <v>2079</v>
      </c>
      <c r="B72" s="12" t="s">
        <v>190</v>
      </c>
      <c r="C72" s="10" t="s">
        <v>191</v>
      </c>
      <c r="D72" s="10">
        <v>2</v>
      </c>
      <c r="E72" s="10">
        <v>0</v>
      </c>
      <c r="F72" s="10" t="s">
        <v>57</v>
      </c>
    </row>
    <row r="73" spans="1:6" x14ac:dyDescent="0.25">
      <c r="A73" s="10">
        <v>2082</v>
      </c>
      <c r="B73" s="12" t="s">
        <v>192</v>
      </c>
      <c r="C73" s="10" t="s">
        <v>193</v>
      </c>
      <c r="D73" s="10">
        <v>1</v>
      </c>
      <c r="E73" s="10">
        <v>0</v>
      </c>
      <c r="F73" s="10" t="s">
        <v>57</v>
      </c>
    </row>
    <row r="74" spans="1:6" x14ac:dyDescent="0.25">
      <c r="A74" s="10">
        <v>2083</v>
      </c>
      <c r="B74" s="12" t="s">
        <v>194</v>
      </c>
      <c r="C74" s="10" t="s">
        <v>195</v>
      </c>
      <c r="D74" s="10">
        <v>3</v>
      </c>
      <c r="E74" s="10">
        <v>0</v>
      </c>
      <c r="F74" s="10" t="s">
        <v>57</v>
      </c>
    </row>
    <row r="75" spans="1:6" x14ac:dyDescent="0.25">
      <c r="A75" s="10">
        <v>2084</v>
      </c>
      <c r="B75" s="12" t="s">
        <v>196</v>
      </c>
      <c r="C75" s="10" t="s">
        <v>197</v>
      </c>
      <c r="D75" s="10">
        <v>3</v>
      </c>
      <c r="E75" s="10">
        <v>0</v>
      </c>
      <c r="F75" s="10" t="s">
        <v>57</v>
      </c>
    </row>
    <row r="76" spans="1:6" x14ac:dyDescent="0.25">
      <c r="A76" s="10">
        <v>2090</v>
      </c>
      <c r="B76" s="12" t="s">
        <v>198</v>
      </c>
      <c r="C76" s="10" t="s">
        <v>199</v>
      </c>
      <c r="D76" s="10">
        <v>3</v>
      </c>
      <c r="E76" s="10">
        <v>0</v>
      </c>
      <c r="F76" s="10" t="s">
        <v>57</v>
      </c>
    </row>
    <row r="77" spans="1:6" x14ac:dyDescent="0.25">
      <c r="A77" s="10">
        <v>2091</v>
      </c>
      <c r="B77" s="12" t="s">
        <v>200</v>
      </c>
      <c r="C77" s="10" t="s">
        <v>201</v>
      </c>
      <c r="D77" s="10">
        <v>2</v>
      </c>
      <c r="E77" s="10">
        <v>0</v>
      </c>
      <c r="F77" s="10" t="s">
        <v>57</v>
      </c>
    </row>
    <row r="78" spans="1:6" x14ac:dyDescent="0.25">
      <c r="A78" s="10">
        <v>2092</v>
      </c>
      <c r="B78" s="12" t="s">
        <v>202</v>
      </c>
      <c r="C78" s="10" t="s">
        <v>203</v>
      </c>
      <c r="D78" s="10">
        <v>3</v>
      </c>
      <c r="E78" s="10">
        <v>0</v>
      </c>
      <c r="F78" s="10" t="s">
        <v>57</v>
      </c>
    </row>
    <row r="79" spans="1:6" x14ac:dyDescent="0.25">
      <c r="A79" s="10">
        <v>2093</v>
      </c>
      <c r="B79" s="12" t="s">
        <v>204</v>
      </c>
      <c r="C79" s="10" t="s">
        <v>205</v>
      </c>
      <c r="D79" s="10">
        <v>3</v>
      </c>
      <c r="E79" s="10">
        <v>0</v>
      </c>
      <c r="F79" s="10" t="s">
        <v>57</v>
      </c>
    </row>
    <row r="80" spans="1:6" x14ac:dyDescent="0.25">
      <c r="A80" s="10">
        <v>2094</v>
      </c>
      <c r="B80" s="12" t="s">
        <v>206</v>
      </c>
      <c r="C80" s="10" t="s">
        <v>207</v>
      </c>
      <c r="D80" s="10">
        <v>3</v>
      </c>
      <c r="E80" s="10">
        <v>0</v>
      </c>
      <c r="F80" s="10" t="s">
        <v>57</v>
      </c>
    </row>
    <row r="81" spans="1:6" x14ac:dyDescent="0.25">
      <c r="A81" s="10">
        <v>2096</v>
      </c>
      <c r="B81" s="12" t="s">
        <v>208</v>
      </c>
      <c r="C81" s="10" t="s">
        <v>209</v>
      </c>
      <c r="D81" s="10">
        <v>1</v>
      </c>
      <c r="E81" s="10">
        <v>0</v>
      </c>
      <c r="F81" s="10" t="s">
        <v>57</v>
      </c>
    </row>
    <row r="82" spans="1:6" x14ac:dyDescent="0.25">
      <c r="A82" s="10">
        <v>2098</v>
      </c>
      <c r="B82" s="12" t="s">
        <v>210</v>
      </c>
      <c r="C82" s="10" t="s">
        <v>211</v>
      </c>
      <c r="D82" s="10">
        <v>2</v>
      </c>
      <c r="E82" s="10">
        <v>0</v>
      </c>
      <c r="F82" s="10" t="s">
        <v>57</v>
      </c>
    </row>
    <row r="83" spans="1:6" x14ac:dyDescent="0.25">
      <c r="A83" s="10">
        <v>2100</v>
      </c>
      <c r="B83" s="12" t="s">
        <v>212</v>
      </c>
      <c r="C83" s="10" t="s">
        <v>213</v>
      </c>
      <c r="D83" s="10">
        <v>3</v>
      </c>
      <c r="E83" s="10">
        <v>0</v>
      </c>
      <c r="F83" s="10" t="s">
        <v>57</v>
      </c>
    </row>
    <row r="84" spans="1:6" x14ac:dyDescent="0.25">
      <c r="A84" s="10">
        <v>2102</v>
      </c>
      <c r="B84" s="12" t="s">
        <v>214</v>
      </c>
      <c r="C84" s="10" t="s">
        <v>215</v>
      </c>
      <c r="D84" s="10">
        <v>3</v>
      </c>
      <c r="E84" s="10">
        <v>0</v>
      </c>
      <c r="F84" s="10" t="s">
        <v>57</v>
      </c>
    </row>
    <row r="85" spans="1:6" x14ac:dyDescent="0.25">
      <c r="A85" s="10">
        <v>2103</v>
      </c>
      <c r="B85" s="12" t="s">
        <v>216</v>
      </c>
      <c r="C85" s="10" t="s">
        <v>217</v>
      </c>
      <c r="D85" s="10">
        <v>3</v>
      </c>
      <c r="E85" s="10">
        <v>0</v>
      </c>
      <c r="F85" s="10" t="s">
        <v>57</v>
      </c>
    </row>
    <row r="86" spans="1:6" x14ac:dyDescent="0.25">
      <c r="A86" s="10">
        <v>2104</v>
      </c>
      <c r="B86" s="12" t="s">
        <v>218</v>
      </c>
      <c r="C86" s="10" t="s">
        <v>219</v>
      </c>
      <c r="D86" s="10">
        <v>1</v>
      </c>
      <c r="E86" s="10">
        <v>0</v>
      </c>
      <c r="F86" s="10" t="s">
        <v>57</v>
      </c>
    </row>
    <row r="87" spans="1:6" x14ac:dyDescent="0.25">
      <c r="A87" s="10">
        <v>2105</v>
      </c>
      <c r="B87" s="12" t="s">
        <v>220</v>
      </c>
      <c r="C87" s="10" t="s">
        <v>221</v>
      </c>
      <c r="D87" s="10">
        <v>3</v>
      </c>
      <c r="E87" s="10">
        <v>0</v>
      </c>
      <c r="F87" s="10" t="s">
        <v>57</v>
      </c>
    </row>
    <row r="88" spans="1:6" x14ac:dyDescent="0.25">
      <c r="A88" s="10">
        <v>2106</v>
      </c>
      <c r="B88" s="12" t="s">
        <v>222</v>
      </c>
      <c r="C88" s="10" t="s">
        <v>223</v>
      </c>
      <c r="D88" s="10">
        <v>3</v>
      </c>
      <c r="E88" s="10">
        <v>0</v>
      </c>
      <c r="F88" s="10" t="s">
        <v>57</v>
      </c>
    </row>
    <row r="89" spans="1:6" x14ac:dyDescent="0.25">
      <c r="A89" s="10">
        <v>2107</v>
      </c>
      <c r="B89" s="12" t="s">
        <v>224</v>
      </c>
      <c r="C89" s="10" t="s">
        <v>225</v>
      </c>
      <c r="D89" s="10">
        <v>2</v>
      </c>
      <c r="E89" s="10">
        <v>0</v>
      </c>
      <c r="F89" s="10" t="s">
        <v>57</v>
      </c>
    </row>
    <row r="90" spans="1:6" x14ac:dyDescent="0.25">
      <c r="A90" s="10">
        <v>2108</v>
      </c>
      <c r="B90" s="12" t="s">
        <v>226</v>
      </c>
      <c r="C90" s="10" t="s">
        <v>227</v>
      </c>
      <c r="D90" s="10">
        <v>3</v>
      </c>
      <c r="E90" s="10">
        <v>0</v>
      </c>
      <c r="F90" s="10" t="s">
        <v>57</v>
      </c>
    </row>
    <row r="91" spans="1:6" x14ac:dyDescent="0.25">
      <c r="A91" s="10">
        <v>2109</v>
      </c>
      <c r="B91" s="12" t="s">
        <v>228</v>
      </c>
      <c r="C91" s="10" t="s">
        <v>229</v>
      </c>
      <c r="D91" s="10">
        <v>3</v>
      </c>
      <c r="E91" s="10">
        <v>0</v>
      </c>
      <c r="F91" s="10" t="s">
        <v>57</v>
      </c>
    </row>
    <row r="92" spans="1:6" x14ac:dyDescent="0.25">
      <c r="A92" s="10">
        <v>2110</v>
      </c>
      <c r="B92" s="12" t="s">
        <v>230</v>
      </c>
      <c r="C92" s="10" t="s">
        <v>231</v>
      </c>
      <c r="D92" s="10">
        <v>1</v>
      </c>
      <c r="E92" s="10">
        <v>0</v>
      </c>
      <c r="F92" s="10" t="s">
        <v>57</v>
      </c>
    </row>
    <row r="93" spans="1:6" x14ac:dyDescent="0.25">
      <c r="A93" s="10">
        <v>2111</v>
      </c>
      <c r="B93" s="12" t="s">
        <v>232</v>
      </c>
      <c r="C93" s="10" t="s">
        <v>233</v>
      </c>
      <c r="D93" s="10">
        <v>3</v>
      </c>
      <c r="E93" s="10">
        <v>0</v>
      </c>
      <c r="F93" s="10" t="s">
        <v>57</v>
      </c>
    </row>
    <row r="94" spans="1:6" x14ac:dyDescent="0.25">
      <c r="A94" s="10">
        <v>2113</v>
      </c>
      <c r="B94" s="12" t="s">
        <v>234</v>
      </c>
      <c r="C94" s="10" t="s">
        <v>235</v>
      </c>
      <c r="D94" s="10">
        <v>1</v>
      </c>
      <c r="E94" s="10">
        <v>0</v>
      </c>
      <c r="F94" s="10" t="s">
        <v>57</v>
      </c>
    </row>
    <row r="95" spans="1:6" x14ac:dyDescent="0.25">
      <c r="A95" s="10">
        <v>2114</v>
      </c>
      <c r="B95" s="12" t="s">
        <v>236</v>
      </c>
      <c r="C95" s="10" t="s">
        <v>237</v>
      </c>
      <c r="D95" s="10">
        <v>1</v>
      </c>
      <c r="E95" s="10">
        <v>0</v>
      </c>
      <c r="F95" s="10" t="s">
        <v>57</v>
      </c>
    </row>
    <row r="96" spans="1:6" x14ac:dyDescent="0.25">
      <c r="A96" s="10">
        <v>2117</v>
      </c>
      <c r="B96" s="12" t="s">
        <v>238</v>
      </c>
      <c r="C96" s="10" t="s">
        <v>239</v>
      </c>
      <c r="D96" s="10">
        <v>3</v>
      </c>
      <c r="E96" s="10">
        <v>0</v>
      </c>
      <c r="F96" s="10" t="s">
        <v>57</v>
      </c>
    </row>
    <row r="97" spans="1:6" x14ac:dyDescent="0.25">
      <c r="A97" s="10">
        <v>2118</v>
      </c>
      <c r="B97" s="12" t="s">
        <v>240</v>
      </c>
      <c r="C97" s="10" t="s">
        <v>241</v>
      </c>
      <c r="D97" s="10">
        <v>3</v>
      </c>
      <c r="E97" s="10">
        <v>0</v>
      </c>
      <c r="F97" s="10" t="s">
        <v>57</v>
      </c>
    </row>
    <row r="98" spans="1:6" x14ac:dyDescent="0.25">
      <c r="A98" s="10">
        <v>2119</v>
      </c>
      <c r="B98" s="12" t="s">
        <v>242</v>
      </c>
      <c r="C98" s="10" t="s">
        <v>243</v>
      </c>
      <c r="D98" s="10">
        <v>3</v>
      </c>
      <c r="E98" s="10">
        <v>0</v>
      </c>
      <c r="F98" s="10" t="s">
        <v>57</v>
      </c>
    </row>
    <row r="99" spans="1:6" x14ac:dyDescent="0.25">
      <c r="A99" s="10">
        <v>2121</v>
      </c>
      <c r="B99" s="12" t="s">
        <v>244</v>
      </c>
      <c r="C99" s="10" t="s">
        <v>245</v>
      </c>
      <c r="D99" s="10">
        <v>1</v>
      </c>
      <c r="E99" s="10">
        <v>0</v>
      </c>
      <c r="F99" s="10" t="s">
        <v>57</v>
      </c>
    </row>
    <row r="100" spans="1:6" x14ac:dyDescent="0.25">
      <c r="A100" s="10">
        <v>2122</v>
      </c>
      <c r="B100" s="12" t="s">
        <v>246</v>
      </c>
      <c r="C100" s="10" t="s">
        <v>247</v>
      </c>
      <c r="D100" s="10">
        <v>2</v>
      </c>
      <c r="E100" s="10">
        <v>0</v>
      </c>
      <c r="F100" s="10" t="s">
        <v>57</v>
      </c>
    </row>
    <row r="101" spans="1:6" x14ac:dyDescent="0.25">
      <c r="A101" s="10">
        <v>2123</v>
      </c>
      <c r="B101" s="12" t="s">
        <v>248</v>
      </c>
      <c r="C101" s="10" t="s">
        <v>249</v>
      </c>
      <c r="D101" s="10">
        <v>3</v>
      </c>
      <c r="E101" s="10">
        <v>0</v>
      </c>
      <c r="F101" s="10" t="s">
        <v>57</v>
      </c>
    </row>
    <row r="102" spans="1:6" x14ac:dyDescent="0.25">
      <c r="A102" s="10">
        <v>2124</v>
      </c>
      <c r="B102" s="12" t="s">
        <v>250</v>
      </c>
      <c r="C102" s="10" t="s">
        <v>251</v>
      </c>
      <c r="D102" s="10">
        <v>2</v>
      </c>
      <c r="E102" s="10">
        <v>0</v>
      </c>
      <c r="F102" s="10" t="s">
        <v>57</v>
      </c>
    </row>
    <row r="103" spans="1:6" x14ac:dyDescent="0.25">
      <c r="A103" s="10">
        <v>2126</v>
      </c>
      <c r="B103" s="12" t="s">
        <v>252</v>
      </c>
      <c r="C103" s="10" t="s">
        <v>253</v>
      </c>
      <c r="D103" s="10">
        <v>3</v>
      </c>
      <c r="E103" s="10">
        <v>0</v>
      </c>
      <c r="F103" s="10" t="s">
        <v>57</v>
      </c>
    </row>
    <row r="104" spans="1:6" x14ac:dyDescent="0.25">
      <c r="A104" s="10">
        <v>2129</v>
      </c>
      <c r="B104" s="12" t="s">
        <v>254</v>
      </c>
      <c r="C104" s="10" t="s">
        <v>255</v>
      </c>
      <c r="D104" s="10">
        <v>1</v>
      </c>
      <c r="E104" s="10">
        <v>0</v>
      </c>
      <c r="F104" s="10" t="s">
        <v>57</v>
      </c>
    </row>
    <row r="105" spans="1:6" x14ac:dyDescent="0.25">
      <c r="A105" s="10">
        <v>2130</v>
      </c>
      <c r="B105" s="12" t="s">
        <v>256</v>
      </c>
      <c r="C105" s="10" t="s">
        <v>257</v>
      </c>
      <c r="D105" s="10">
        <v>1</v>
      </c>
      <c r="E105" s="10">
        <v>0</v>
      </c>
      <c r="F105" s="10" t="s">
        <v>57</v>
      </c>
    </row>
    <row r="106" spans="1:6" x14ac:dyDescent="0.25">
      <c r="A106" s="10">
        <v>2131</v>
      </c>
      <c r="B106" s="12" t="s">
        <v>258</v>
      </c>
      <c r="C106" s="10" t="s">
        <v>259</v>
      </c>
      <c r="D106" s="10">
        <v>3</v>
      </c>
      <c r="E106" s="10">
        <v>0</v>
      </c>
      <c r="F106" s="10" t="s">
        <v>57</v>
      </c>
    </row>
    <row r="107" spans="1:6" x14ac:dyDescent="0.25">
      <c r="A107" s="10">
        <v>2133</v>
      </c>
      <c r="B107" s="12" t="s">
        <v>260</v>
      </c>
      <c r="C107" s="10" t="s">
        <v>261</v>
      </c>
      <c r="D107" s="10">
        <v>3</v>
      </c>
      <c r="E107" s="10">
        <v>0</v>
      </c>
      <c r="F107" s="10" t="s">
        <v>57</v>
      </c>
    </row>
    <row r="108" spans="1:6" x14ac:dyDescent="0.25">
      <c r="A108" s="10">
        <v>2134</v>
      </c>
      <c r="B108" s="12" t="s">
        <v>262</v>
      </c>
      <c r="C108" s="10" t="s">
        <v>263</v>
      </c>
      <c r="D108" s="10">
        <v>1</v>
      </c>
      <c r="E108" s="10">
        <v>0</v>
      </c>
      <c r="F108" s="10" t="s">
        <v>57</v>
      </c>
    </row>
    <row r="109" spans="1:6" x14ac:dyDescent="0.25">
      <c r="A109" s="10">
        <v>2135</v>
      </c>
      <c r="B109" s="12" t="s">
        <v>264</v>
      </c>
      <c r="C109" s="10" t="s">
        <v>265</v>
      </c>
      <c r="D109" s="10">
        <v>2</v>
      </c>
      <c r="E109" s="10">
        <v>0</v>
      </c>
      <c r="F109" s="10" t="s">
        <v>57</v>
      </c>
    </row>
    <row r="110" spans="1:6" x14ac:dyDescent="0.25">
      <c r="A110" s="10">
        <v>2136</v>
      </c>
      <c r="B110" s="12" t="s">
        <v>266</v>
      </c>
      <c r="C110" s="10" t="s">
        <v>267</v>
      </c>
      <c r="D110" s="10">
        <v>1</v>
      </c>
      <c r="E110" s="10">
        <v>0</v>
      </c>
      <c r="F110" s="10" t="s">
        <v>57</v>
      </c>
    </row>
    <row r="111" spans="1:6" x14ac:dyDescent="0.25">
      <c r="A111" s="10">
        <v>2137</v>
      </c>
      <c r="B111" s="12" t="s">
        <v>268</v>
      </c>
      <c r="C111" s="10" t="s">
        <v>269</v>
      </c>
      <c r="D111" s="10">
        <v>1</v>
      </c>
      <c r="E111" s="10">
        <v>0</v>
      </c>
      <c r="F111" s="10" t="s">
        <v>57</v>
      </c>
    </row>
    <row r="112" spans="1:6" x14ac:dyDescent="0.25">
      <c r="A112" s="10">
        <v>2139</v>
      </c>
      <c r="B112" s="12" t="s">
        <v>270</v>
      </c>
      <c r="C112" s="10" t="s">
        <v>271</v>
      </c>
      <c r="D112" s="10">
        <v>2</v>
      </c>
      <c r="E112" s="10">
        <v>0</v>
      </c>
      <c r="F112" s="10" t="s">
        <v>57</v>
      </c>
    </row>
    <row r="113" spans="1:6" x14ac:dyDescent="0.25">
      <c r="A113" s="10">
        <v>2140</v>
      </c>
      <c r="B113" s="12" t="s">
        <v>272</v>
      </c>
      <c r="C113" s="10" t="s">
        <v>273</v>
      </c>
      <c r="D113" s="10">
        <v>2</v>
      </c>
      <c r="E113" s="10">
        <v>0</v>
      </c>
      <c r="F113" s="10" t="s">
        <v>57</v>
      </c>
    </row>
    <row r="114" spans="1:6" x14ac:dyDescent="0.25">
      <c r="A114" s="10">
        <v>2141</v>
      </c>
      <c r="B114" s="12" t="s">
        <v>274</v>
      </c>
      <c r="C114" s="10" t="s">
        <v>275</v>
      </c>
      <c r="D114" s="10">
        <v>1</v>
      </c>
      <c r="E114" s="10">
        <v>0</v>
      </c>
      <c r="F114" s="10" t="s">
        <v>57</v>
      </c>
    </row>
    <row r="115" spans="1:6" x14ac:dyDescent="0.25">
      <c r="A115" s="10">
        <v>2142</v>
      </c>
      <c r="B115" s="12" t="s">
        <v>276</v>
      </c>
      <c r="C115" s="10" t="s">
        <v>277</v>
      </c>
      <c r="D115" s="10">
        <v>1</v>
      </c>
      <c r="E115" s="10">
        <v>0</v>
      </c>
      <c r="F115" s="10" t="s">
        <v>57</v>
      </c>
    </row>
    <row r="116" spans="1:6" x14ac:dyDescent="0.25">
      <c r="A116" s="10">
        <v>2144</v>
      </c>
      <c r="B116" s="12" t="s">
        <v>278</v>
      </c>
      <c r="C116" s="10" t="s">
        <v>279</v>
      </c>
      <c r="D116" s="10">
        <v>3</v>
      </c>
      <c r="E116" s="10">
        <v>0</v>
      </c>
      <c r="F116" s="10" t="s">
        <v>57</v>
      </c>
    </row>
    <row r="117" spans="1:6" x14ac:dyDescent="0.25">
      <c r="A117" s="10">
        <v>2147</v>
      </c>
      <c r="B117" s="12" t="s">
        <v>280</v>
      </c>
      <c r="C117" s="10" t="s">
        <v>281</v>
      </c>
      <c r="D117" s="10">
        <v>2</v>
      </c>
      <c r="E117" s="10">
        <v>0</v>
      </c>
      <c r="F117" s="10" t="s">
        <v>57</v>
      </c>
    </row>
    <row r="118" spans="1:6" x14ac:dyDescent="0.25">
      <c r="A118" s="10">
        <v>2149</v>
      </c>
      <c r="B118" s="12" t="s">
        <v>282</v>
      </c>
      <c r="C118" s="10" t="s">
        <v>283</v>
      </c>
      <c r="D118" s="10">
        <v>1</v>
      </c>
      <c r="E118" s="10">
        <v>0</v>
      </c>
      <c r="F118" s="10" t="s">
        <v>57</v>
      </c>
    </row>
    <row r="119" spans="1:6" x14ac:dyDescent="0.25">
      <c r="A119" s="10">
        <v>2150</v>
      </c>
      <c r="B119" s="12" t="s">
        <v>284</v>
      </c>
      <c r="C119" s="10" t="s">
        <v>285</v>
      </c>
      <c r="D119" s="10">
        <v>1</v>
      </c>
      <c r="E119" s="10">
        <v>0</v>
      </c>
      <c r="F119" s="10" t="s">
        <v>57</v>
      </c>
    </row>
    <row r="120" spans="1:6" x14ac:dyDescent="0.25">
      <c r="A120" s="10">
        <v>2152</v>
      </c>
      <c r="B120" s="12" t="s">
        <v>286</v>
      </c>
      <c r="C120" s="10" t="s">
        <v>287</v>
      </c>
      <c r="D120" s="10">
        <v>2</v>
      </c>
      <c r="E120" s="10">
        <v>0</v>
      </c>
      <c r="F120" s="10" t="s">
        <v>57</v>
      </c>
    </row>
    <row r="121" spans="1:6" x14ac:dyDescent="0.25">
      <c r="A121" s="10">
        <v>2156</v>
      </c>
      <c r="B121" s="12" t="s">
        <v>288</v>
      </c>
      <c r="C121" s="10" t="s">
        <v>289</v>
      </c>
      <c r="D121" s="10">
        <v>2</v>
      </c>
      <c r="E121" s="10">
        <v>0</v>
      </c>
      <c r="F121" s="10" t="s">
        <v>57</v>
      </c>
    </row>
    <row r="122" spans="1:6" x14ac:dyDescent="0.25">
      <c r="A122" s="10">
        <v>2157</v>
      </c>
      <c r="B122" s="12" t="s">
        <v>290</v>
      </c>
      <c r="C122" s="10" t="s">
        <v>291</v>
      </c>
      <c r="D122" s="10">
        <v>1</v>
      </c>
      <c r="E122" s="10">
        <v>0</v>
      </c>
      <c r="F122" s="10" t="s">
        <v>57</v>
      </c>
    </row>
    <row r="123" spans="1:6" x14ac:dyDescent="0.25">
      <c r="A123" s="10">
        <v>2160</v>
      </c>
      <c r="B123" s="12" t="s">
        <v>292</v>
      </c>
      <c r="C123" s="10" t="s">
        <v>293</v>
      </c>
      <c r="D123" s="10">
        <v>3</v>
      </c>
      <c r="E123" s="10">
        <v>0</v>
      </c>
      <c r="F123" s="10" t="s">
        <v>57</v>
      </c>
    </row>
    <row r="124" spans="1:6" x14ac:dyDescent="0.25">
      <c r="A124" s="10">
        <v>2161</v>
      </c>
      <c r="B124" s="12" t="s">
        <v>294</v>
      </c>
      <c r="C124" s="10" t="s">
        <v>295</v>
      </c>
      <c r="D124" s="10">
        <v>1</v>
      </c>
      <c r="E124" s="10">
        <v>0</v>
      </c>
      <c r="F124" s="10" t="s">
        <v>57</v>
      </c>
    </row>
    <row r="125" spans="1:6" x14ac:dyDescent="0.25">
      <c r="A125" s="10">
        <v>2162</v>
      </c>
      <c r="B125" s="12" t="s">
        <v>296</v>
      </c>
      <c r="C125" s="10" t="s">
        <v>297</v>
      </c>
      <c r="D125" s="10">
        <v>2</v>
      </c>
      <c r="E125" s="10">
        <v>0</v>
      </c>
      <c r="F125" s="10" t="s">
        <v>57</v>
      </c>
    </row>
    <row r="126" spans="1:6" x14ac:dyDescent="0.25">
      <c r="A126" s="10">
        <v>2163</v>
      </c>
      <c r="B126" s="12" t="s">
        <v>298</v>
      </c>
      <c r="C126" s="10" t="s">
        <v>299</v>
      </c>
      <c r="D126" s="10">
        <v>2</v>
      </c>
      <c r="E126" s="10">
        <v>0</v>
      </c>
      <c r="F126" s="10" t="s">
        <v>57</v>
      </c>
    </row>
    <row r="127" spans="1:6" x14ac:dyDescent="0.25">
      <c r="A127" s="10">
        <v>2165</v>
      </c>
      <c r="B127" s="12" t="s">
        <v>300</v>
      </c>
      <c r="C127" s="10" t="s">
        <v>301</v>
      </c>
      <c r="D127" s="10">
        <v>2</v>
      </c>
      <c r="E127" s="10">
        <v>0</v>
      </c>
      <c r="F127" s="10" t="s">
        <v>57</v>
      </c>
    </row>
    <row r="128" spans="1:6" x14ac:dyDescent="0.25">
      <c r="A128" s="10">
        <v>2167</v>
      </c>
      <c r="B128" s="12" t="s">
        <v>302</v>
      </c>
      <c r="C128" s="10" t="s">
        <v>303</v>
      </c>
      <c r="D128" s="10">
        <v>3</v>
      </c>
      <c r="E128" s="10">
        <v>0</v>
      </c>
      <c r="F128" s="10" t="s">
        <v>57</v>
      </c>
    </row>
    <row r="129" spans="1:6" x14ac:dyDescent="0.25">
      <c r="A129" s="10">
        <v>2169</v>
      </c>
      <c r="B129" s="12" t="s">
        <v>304</v>
      </c>
      <c r="C129" s="10" t="s">
        <v>305</v>
      </c>
      <c r="D129" s="10">
        <v>2</v>
      </c>
      <c r="E129" s="10">
        <v>0</v>
      </c>
      <c r="F129" s="10" t="s">
        <v>57</v>
      </c>
    </row>
    <row r="130" spans="1:6" x14ac:dyDescent="0.25">
      <c r="A130" s="10">
        <v>2170</v>
      </c>
      <c r="B130" s="12" t="s">
        <v>306</v>
      </c>
      <c r="C130" s="10" t="s">
        <v>307</v>
      </c>
      <c r="D130" s="10">
        <v>3</v>
      </c>
      <c r="E130" s="10">
        <v>0</v>
      </c>
      <c r="F130" s="10" t="s">
        <v>57</v>
      </c>
    </row>
    <row r="131" spans="1:6" x14ac:dyDescent="0.25">
      <c r="A131" s="10">
        <v>2171</v>
      </c>
      <c r="B131" s="12" t="s">
        <v>308</v>
      </c>
      <c r="C131" s="10" t="s">
        <v>309</v>
      </c>
      <c r="D131" s="10">
        <v>3</v>
      </c>
      <c r="E131" s="10">
        <v>0</v>
      </c>
      <c r="F131" s="10" t="s">
        <v>57</v>
      </c>
    </row>
    <row r="132" spans="1:6" x14ac:dyDescent="0.25">
      <c r="A132" s="10">
        <v>2175</v>
      </c>
      <c r="B132" s="12" t="s">
        <v>310</v>
      </c>
      <c r="C132" s="10" t="s">
        <v>311</v>
      </c>
      <c r="D132" s="10">
        <v>3</v>
      </c>
      <c r="E132" s="10">
        <v>0</v>
      </c>
      <c r="F132" s="10" t="s">
        <v>57</v>
      </c>
    </row>
    <row r="133" spans="1:6" x14ac:dyDescent="0.25">
      <c r="A133" s="10">
        <v>2179</v>
      </c>
      <c r="B133" s="12" t="s">
        <v>312</v>
      </c>
      <c r="C133" s="10" t="s">
        <v>313</v>
      </c>
      <c r="D133" s="10">
        <v>1</v>
      </c>
      <c r="E133" s="10">
        <v>0</v>
      </c>
      <c r="F133" s="10" t="s">
        <v>57</v>
      </c>
    </row>
    <row r="134" spans="1:6" x14ac:dyDescent="0.25">
      <c r="A134" s="10">
        <v>2180</v>
      </c>
      <c r="B134" s="12" t="s">
        <v>314</v>
      </c>
      <c r="C134" s="10" t="s">
        <v>315</v>
      </c>
      <c r="D134" s="10">
        <v>2</v>
      </c>
      <c r="E134" s="10">
        <v>0</v>
      </c>
      <c r="F134" s="10" t="s">
        <v>57</v>
      </c>
    </row>
    <row r="135" spans="1:6" x14ac:dyDescent="0.25">
      <c r="A135" s="10">
        <v>2181</v>
      </c>
      <c r="B135" s="12" t="s">
        <v>316</v>
      </c>
      <c r="C135" s="10" t="s">
        <v>317</v>
      </c>
      <c r="D135" s="10">
        <v>1</v>
      </c>
      <c r="E135" s="10">
        <v>0</v>
      </c>
      <c r="F135" s="10" t="s">
        <v>57</v>
      </c>
    </row>
    <row r="136" spans="1:6" x14ac:dyDescent="0.25">
      <c r="A136" s="10">
        <v>2184</v>
      </c>
      <c r="B136" s="12" t="s">
        <v>318</v>
      </c>
      <c r="C136" s="10" t="s">
        <v>319</v>
      </c>
      <c r="D136" s="10">
        <v>2</v>
      </c>
      <c r="E136" s="10">
        <v>0</v>
      </c>
      <c r="F136" s="10" t="s">
        <v>57</v>
      </c>
    </row>
    <row r="137" spans="1:6" x14ac:dyDescent="0.25">
      <c r="A137" s="10">
        <v>2185</v>
      </c>
      <c r="B137" s="12" t="s">
        <v>320</v>
      </c>
      <c r="C137" s="10" t="s">
        <v>321</v>
      </c>
      <c r="D137" s="10">
        <v>2</v>
      </c>
      <c r="E137" s="10">
        <v>0</v>
      </c>
      <c r="F137" s="10" t="s">
        <v>57</v>
      </c>
    </row>
    <row r="138" spans="1:6" x14ac:dyDescent="0.25">
      <c r="A138" s="10">
        <v>2187</v>
      </c>
      <c r="B138" s="12" t="s">
        <v>322</v>
      </c>
      <c r="C138" s="10" t="s">
        <v>323</v>
      </c>
      <c r="D138" s="10">
        <v>3</v>
      </c>
      <c r="E138" s="10">
        <v>0</v>
      </c>
      <c r="F138" s="10" t="s">
        <v>57</v>
      </c>
    </row>
    <row r="139" spans="1:6" x14ac:dyDescent="0.25">
      <c r="A139" s="10">
        <v>2193</v>
      </c>
      <c r="B139" s="12" t="s">
        <v>324</v>
      </c>
      <c r="C139" s="10" t="s">
        <v>325</v>
      </c>
      <c r="D139" s="10">
        <v>1</v>
      </c>
      <c r="E139" s="10">
        <v>0</v>
      </c>
      <c r="F139" s="10" t="s">
        <v>57</v>
      </c>
    </row>
    <row r="140" spans="1:6" x14ac:dyDescent="0.25">
      <c r="A140" s="10">
        <v>2195</v>
      </c>
      <c r="B140" s="12" t="s">
        <v>326</v>
      </c>
      <c r="C140" s="10" t="s">
        <v>327</v>
      </c>
      <c r="D140" s="10">
        <v>3</v>
      </c>
      <c r="E140" s="10">
        <v>0</v>
      </c>
      <c r="F140" s="10" t="s">
        <v>57</v>
      </c>
    </row>
    <row r="141" spans="1:6" x14ac:dyDescent="0.25">
      <c r="A141" s="10">
        <v>2197</v>
      </c>
      <c r="B141" s="12" t="s">
        <v>328</v>
      </c>
      <c r="C141" s="10" t="s">
        <v>329</v>
      </c>
      <c r="D141" s="10">
        <v>1</v>
      </c>
      <c r="E141" s="10">
        <v>0</v>
      </c>
      <c r="F141" s="10" t="s">
        <v>57</v>
      </c>
    </row>
    <row r="142" spans="1:6" x14ac:dyDescent="0.25">
      <c r="A142" s="10">
        <v>2200</v>
      </c>
      <c r="B142" s="12" t="s">
        <v>330</v>
      </c>
      <c r="C142" s="10" t="s">
        <v>331</v>
      </c>
      <c r="D142" s="10">
        <v>1</v>
      </c>
      <c r="E142" s="10">
        <v>0</v>
      </c>
      <c r="F142" s="10" t="s">
        <v>57</v>
      </c>
    </row>
    <row r="143" spans="1:6" x14ac:dyDescent="0.25">
      <c r="A143" s="10">
        <v>2201</v>
      </c>
      <c r="B143" s="12" t="s">
        <v>332</v>
      </c>
      <c r="C143" s="10" t="s">
        <v>333</v>
      </c>
      <c r="D143" s="10">
        <v>3</v>
      </c>
      <c r="E143" s="10">
        <v>0</v>
      </c>
      <c r="F143" s="10" t="s">
        <v>57</v>
      </c>
    </row>
    <row r="144" spans="1:6" x14ac:dyDescent="0.25">
      <c r="A144" s="10">
        <v>2202</v>
      </c>
      <c r="B144" s="12" t="s">
        <v>334</v>
      </c>
      <c r="C144" s="10" t="s">
        <v>335</v>
      </c>
      <c r="D144" s="10">
        <v>1</v>
      </c>
      <c r="E144" s="10">
        <v>0</v>
      </c>
      <c r="F144" s="10" t="s">
        <v>57</v>
      </c>
    </row>
    <row r="145" spans="1:6" x14ac:dyDescent="0.25">
      <c r="A145" s="10">
        <v>2204</v>
      </c>
      <c r="B145" s="12" t="s">
        <v>336</v>
      </c>
      <c r="C145" s="10" t="s">
        <v>337</v>
      </c>
      <c r="D145" s="10">
        <v>1</v>
      </c>
      <c r="E145" s="10">
        <v>0</v>
      </c>
      <c r="F145" s="10" t="s">
        <v>57</v>
      </c>
    </row>
    <row r="146" spans="1:6" x14ac:dyDescent="0.25">
      <c r="A146" s="10">
        <v>2205</v>
      </c>
      <c r="B146" s="12" t="s">
        <v>338</v>
      </c>
      <c r="C146" s="10" t="s">
        <v>339</v>
      </c>
      <c r="D146" s="10">
        <v>2</v>
      </c>
      <c r="E146" s="10">
        <v>0</v>
      </c>
      <c r="F146" s="10" t="s">
        <v>57</v>
      </c>
    </row>
    <row r="147" spans="1:6" x14ac:dyDescent="0.25">
      <c r="A147" s="10">
        <v>2206</v>
      </c>
      <c r="B147" s="12" t="s">
        <v>340</v>
      </c>
      <c r="C147" s="10" t="s">
        <v>341</v>
      </c>
      <c r="D147" s="10">
        <v>1</v>
      </c>
      <c r="E147" s="10">
        <v>0</v>
      </c>
      <c r="F147" s="10" t="s">
        <v>57</v>
      </c>
    </row>
    <row r="148" spans="1:6" x14ac:dyDescent="0.25">
      <c r="A148" s="10">
        <v>2207</v>
      </c>
      <c r="B148" s="12" t="s">
        <v>342</v>
      </c>
      <c r="C148" s="10" t="s">
        <v>343</v>
      </c>
      <c r="D148" s="10">
        <v>2</v>
      </c>
      <c r="E148" s="10">
        <v>0</v>
      </c>
      <c r="F148" s="10" t="s">
        <v>57</v>
      </c>
    </row>
    <row r="149" spans="1:6" x14ac:dyDescent="0.25">
      <c r="A149" s="10">
        <v>2208</v>
      </c>
      <c r="B149" s="12" t="s">
        <v>344</v>
      </c>
      <c r="C149" s="10" t="s">
        <v>345</v>
      </c>
      <c r="D149" s="10">
        <v>2</v>
      </c>
      <c r="E149" s="10">
        <v>0</v>
      </c>
      <c r="F149" s="10" t="s">
        <v>57</v>
      </c>
    </row>
    <row r="150" spans="1:6" x14ac:dyDescent="0.25">
      <c r="A150" s="10">
        <v>2209</v>
      </c>
      <c r="B150" s="12" t="s">
        <v>346</v>
      </c>
      <c r="C150" s="10" t="s">
        <v>347</v>
      </c>
      <c r="D150" s="10">
        <v>1</v>
      </c>
      <c r="E150" s="10">
        <v>0</v>
      </c>
      <c r="F150" s="10" t="s">
        <v>57</v>
      </c>
    </row>
    <row r="151" spans="1:6" x14ac:dyDescent="0.25">
      <c r="A151" s="10">
        <v>2210</v>
      </c>
      <c r="B151" s="12" t="s">
        <v>348</v>
      </c>
      <c r="C151" s="10" t="s">
        <v>349</v>
      </c>
      <c r="D151" s="10">
        <v>3</v>
      </c>
      <c r="E151" s="10">
        <v>0</v>
      </c>
      <c r="F151" s="10" t="s">
        <v>57</v>
      </c>
    </row>
    <row r="152" spans="1:6" x14ac:dyDescent="0.25">
      <c r="A152" s="10">
        <v>2211</v>
      </c>
      <c r="B152" s="12" t="s">
        <v>350</v>
      </c>
      <c r="C152" s="10" t="s">
        <v>351</v>
      </c>
      <c r="D152" s="10">
        <v>2</v>
      </c>
      <c r="E152" s="10">
        <v>0</v>
      </c>
      <c r="F152" s="10" t="s">
        <v>57</v>
      </c>
    </row>
    <row r="153" spans="1:6" x14ac:dyDescent="0.25">
      <c r="A153" s="10">
        <v>2213</v>
      </c>
      <c r="B153" s="12" t="s">
        <v>352</v>
      </c>
      <c r="C153" s="10" t="s">
        <v>353</v>
      </c>
      <c r="D153" s="10">
        <v>1</v>
      </c>
      <c r="E153" s="10">
        <v>0</v>
      </c>
      <c r="F153" s="10" t="s">
        <v>57</v>
      </c>
    </row>
    <row r="154" spans="1:6" x14ac:dyDescent="0.25">
      <c r="A154" s="10">
        <v>2214</v>
      </c>
      <c r="B154" s="12" t="s">
        <v>354</v>
      </c>
      <c r="C154" s="10" t="s">
        <v>355</v>
      </c>
      <c r="D154" s="10">
        <v>3</v>
      </c>
      <c r="E154" s="10">
        <v>0</v>
      </c>
      <c r="F154" s="10" t="s">
        <v>57</v>
      </c>
    </row>
    <row r="155" spans="1:6" x14ac:dyDescent="0.25">
      <c r="A155" s="10">
        <v>2216</v>
      </c>
      <c r="B155" s="12" t="s">
        <v>356</v>
      </c>
      <c r="C155" s="10" t="s">
        <v>357</v>
      </c>
      <c r="D155" s="10">
        <v>1</v>
      </c>
      <c r="E155" s="10">
        <v>0</v>
      </c>
      <c r="F155" s="10" t="s">
        <v>57</v>
      </c>
    </row>
    <row r="156" spans="1:6" x14ac:dyDescent="0.25">
      <c r="A156" s="10">
        <v>2218</v>
      </c>
      <c r="B156" s="12" t="s">
        <v>358</v>
      </c>
      <c r="C156" s="10" t="s">
        <v>359</v>
      </c>
      <c r="D156" s="10">
        <v>2</v>
      </c>
      <c r="E156" s="10">
        <v>0</v>
      </c>
      <c r="F156" s="10" t="s">
        <v>57</v>
      </c>
    </row>
    <row r="157" spans="1:6" x14ac:dyDescent="0.25">
      <c r="A157" s="10">
        <v>2219</v>
      </c>
      <c r="B157" s="12" t="s">
        <v>360</v>
      </c>
      <c r="C157" s="10" t="s">
        <v>361</v>
      </c>
      <c r="D157" s="10">
        <v>3</v>
      </c>
      <c r="E157" s="10">
        <v>0</v>
      </c>
      <c r="F157" s="10" t="s">
        <v>57</v>
      </c>
    </row>
    <row r="158" spans="1:6" x14ac:dyDescent="0.25">
      <c r="A158" s="10">
        <v>2220</v>
      </c>
      <c r="B158" s="12" t="s">
        <v>362</v>
      </c>
      <c r="C158" s="10" t="s">
        <v>363</v>
      </c>
      <c r="D158" s="10">
        <v>1</v>
      </c>
      <c r="E158" s="10">
        <v>0</v>
      </c>
      <c r="F158" s="10" t="s">
        <v>57</v>
      </c>
    </row>
    <row r="159" spans="1:6" x14ac:dyDescent="0.25">
      <c r="A159" s="10">
        <v>2222</v>
      </c>
      <c r="B159" s="12" t="s">
        <v>364</v>
      </c>
      <c r="C159" s="10" t="s">
        <v>365</v>
      </c>
      <c r="D159" s="10">
        <v>2</v>
      </c>
      <c r="E159" s="10">
        <v>0</v>
      </c>
      <c r="F159" s="10" t="s">
        <v>57</v>
      </c>
    </row>
    <row r="160" spans="1:6" x14ac:dyDescent="0.25">
      <c r="A160" s="10">
        <v>2225</v>
      </c>
      <c r="B160" s="12" t="s">
        <v>366</v>
      </c>
      <c r="C160" s="10" t="s">
        <v>367</v>
      </c>
      <c r="D160" s="10">
        <v>3</v>
      </c>
      <c r="E160" s="10">
        <v>0</v>
      </c>
      <c r="F160" s="10" t="s">
        <v>57</v>
      </c>
    </row>
    <row r="161" spans="1:6" x14ac:dyDescent="0.25">
      <c r="A161" s="10">
        <v>2226</v>
      </c>
      <c r="B161" s="12" t="s">
        <v>368</v>
      </c>
      <c r="C161" s="10" t="s">
        <v>369</v>
      </c>
      <c r="D161" s="10">
        <v>1</v>
      </c>
      <c r="E161" s="10">
        <v>0</v>
      </c>
      <c r="F161" s="10" t="s">
        <v>57</v>
      </c>
    </row>
    <row r="162" spans="1:6" x14ac:dyDescent="0.25">
      <c r="A162" s="10">
        <v>2229</v>
      </c>
      <c r="B162" s="12" t="s">
        <v>370</v>
      </c>
      <c r="C162" s="10" t="s">
        <v>371</v>
      </c>
      <c r="D162" s="10">
        <v>2</v>
      </c>
      <c r="E162" s="10">
        <v>0</v>
      </c>
      <c r="F162" s="10" t="s">
        <v>57</v>
      </c>
    </row>
    <row r="163" spans="1:6" x14ac:dyDescent="0.25">
      <c r="A163" s="10">
        <v>2230</v>
      </c>
      <c r="B163" s="12" t="s">
        <v>372</v>
      </c>
      <c r="C163" s="10" t="s">
        <v>373</v>
      </c>
      <c r="D163" s="10">
        <v>2</v>
      </c>
      <c r="E163" s="10">
        <v>0</v>
      </c>
      <c r="F163" s="10" t="s">
        <v>57</v>
      </c>
    </row>
    <row r="164" spans="1:6" x14ac:dyDescent="0.25">
      <c r="A164" s="10">
        <v>2232</v>
      </c>
      <c r="B164" s="12" t="s">
        <v>374</v>
      </c>
      <c r="C164" s="10" t="s">
        <v>375</v>
      </c>
      <c r="D164" s="10">
        <v>2</v>
      </c>
      <c r="E164" s="10">
        <v>0</v>
      </c>
      <c r="F164" s="10" t="s">
        <v>57</v>
      </c>
    </row>
    <row r="165" spans="1:6" x14ac:dyDescent="0.25">
      <c r="A165" s="10">
        <v>2236</v>
      </c>
      <c r="B165" s="12" t="s">
        <v>376</v>
      </c>
      <c r="C165" s="10" t="s">
        <v>377</v>
      </c>
      <c r="D165" s="10">
        <v>2</v>
      </c>
      <c r="E165" s="10">
        <v>0</v>
      </c>
      <c r="F165" s="10" t="s">
        <v>57</v>
      </c>
    </row>
    <row r="166" spans="1:6" x14ac:dyDescent="0.25">
      <c r="A166" s="10">
        <v>2238</v>
      </c>
      <c r="B166" s="12" t="s">
        <v>378</v>
      </c>
      <c r="C166" s="10" t="s">
        <v>379</v>
      </c>
      <c r="D166" s="10">
        <v>3</v>
      </c>
      <c r="E166" s="10">
        <v>0</v>
      </c>
      <c r="F166" s="10" t="s">
        <v>57</v>
      </c>
    </row>
    <row r="167" spans="1:6" x14ac:dyDescent="0.25">
      <c r="A167" s="10">
        <v>2239</v>
      </c>
      <c r="B167" s="12" t="s">
        <v>380</v>
      </c>
      <c r="C167" s="10" t="s">
        <v>381</v>
      </c>
      <c r="D167" s="10">
        <v>1</v>
      </c>
      <c r="E167" s="10">
        <v>0</v>
      </c>
      <c r="F167" s="10" t="s">
        <v>57</v>
      </c>
    </row>
    <row r="168" spans="1:6" x14ac:dyDescent="0.25">
      <c r="A168" s="10">
        <v>2240</v>
      </c>
      <c r="B168" s="12" t="s">
        <v>382</v>
      </c>
      <c r="C168" s="10" t="s">
        <v>383</v>
      </c>
      <c r="D168" s="10">
        <v>2</v>
      </c>
      <c r="E168" s="10">
        <v>0</v>
      </c>
      <c r="F168" s="10" t="s">
        <v>57</v>
      </c>
    </row>
    <row r="169" spans="1:6" x14ac:dyDescent="0.25">
      <c r="A169" s="10">
        <v>2242</v>
      </c>
      <c r="B169" s="12" t="s">
        <v>384</v>
      </c>
      <c r="C169" s="10" t="s">
        <v>385</v>
      </c>
      <c r="D169" s="10">
        <v>1</v>
      </c>
      <c r="E169" s="10">
        <v>0</v>
      </c>
      <c r="F169" s="10" t="s">
        <v>57</v>
      </c>
    </row>
    <row r="170" spans="1:6" x14ac:dyDescent="0.25">
      <c r="A170" s="10">
        <v>2244</v>
      </c>
      <c r="B170" s="12" t="s">
        <v>386</v>
      </c>
      <c r="C170" s="10" t="s">
        <v>387</v>
      </c>
      <c r="D170" s="10">
        <v>2</v>
      </c>
      <c r="E170" s="10">
        <v>0</v>
      </c>
      <c r="F170" s="10" t="s">
        <v>57</v>
      </c>
    </row>
    <row r="171" spans="1:6" x14ac:dyDescent="0.25">
      <c r="A171" s="10">
        <v>2245</v>
      </c>
      <c r="B171" s="12" t="s">
        <v>388</v>
      </c>
      <c r="C171" s="10" t="s">
        <v>389</v>
      </c>
      <c r="D171" s="10">
        <v>1</v>
      </c>
      <c r="E171" s="10">
        <v>0</v>
      </c>
      <c r="F171" s="10" t="s">
        <v>57</v>
      </c>
    </row>
    <row r="172" spans="1:6" x14ac:dyDescent="0.25">
      <c r="A172" s="10">
        <v>2246</v>
      </c>
      <c r="B172" s="12" t="s">
        <v>390</v>
      </c>
      <c r="C172" s="10" t="s">
        <v>391</v>
      </c>
      <c r="D172" s="10">
        <v>1</v>
      </c>
      <c r="E172" s="10">
        <v>0</v>
      </c>
      <c r="F172" s="10" t="s">
        <v>57</v>
      </c>
    </row>
    <row r="173" spans="1:6" x14ac:dyDescent="0.25">
      <c r="A173" s="10">
        <v>2247</v>
      </c>
      <c r="B173" s="12" t="s">
        <v>392</v>
      </c>
      <c r="C173" s="10" t="s">
        <v>393</v>
      </c>
      <c r="D173" s="10">
        <v>3</v>
      </c>
      <c r="E173" s="10">
        <v>0</v>
      </c>
      <c r="F173" s="10" t="s">
        <v>57</v>
      </c>
    </row>
    <row r="174" spans="1:6" x14ac:dyDescent="0.25">
      <c r="A174" s="10">
        <v>2248</v>
      </c>
      <c r="B174" s="12" t="s">
        <v>394</v>
      </c>
      <c r="C174" s="10" t="s">
        <v>395</v>
      </c>
      <c r="D174" s="10">
        <v>1</v>
      </c>
      <c r="E174" s="10">
        <v>0</v>
      </c>
      <c r="F174" s="10" t="s">
        <v>57</v>
      </c>
    </row>
    <row r="175" spans="1:6" x14ac:dyDescent="0.25">
      <c r="A175" s="10">
        <v>2249</v>
      </c>
      <c r="B175" s="12" t="s">
        <v>396</v>
      </c>
      <c r="C175" s="10" t="s">
        <v>397</v>
      </c>
      <c r="D175" s="10">
        <v>2</v>
      </c>
      <c r="E175" s="10">
        <v>0</v>
      </c>
      <c r="F175" s="10" t="s">
        <v>57</v>
      </c>
    </row>
    <row r="176" spans="1:6" x14ac:dyDescent="0.25">
      <c r="A176" s="10">
        <v>2250</v>
      </c>
      <c r="B176" s="12" t="s">
        <v>398</v>
      </c>
      <c r="C176" s="10" t="s">
        <v>399</v>
      </c>
      <c r="D176" s="10">
        <v>3</v>
      </c>
      <c r="E176" s="10">
        <v>0</v>
      </c>
      <c r="F176" s="10" t="s">
        <v>57</v>
      </c>
    </row>
    <row r="177" spans="1:6" x14ac:dyDescent="0.25">
      <c r="A177" s="10">
        <v>2251</v>
      </c>
      <c r="B177" s="12" t="s">
        <v>400</v>
      </c>
      <c r="C177" s="10" t="s">
        <v>401</v>
      </c>
      <c r="D177" s="10">
        <v>1</v>
      </c>
      <c r="E177" s="10">
        <v>0</v>
      </c>
      <c r="F177" s="10" t="s">
        <v>57</v>
      </c>
    </row>
    <row r="178" spans="1:6" x14ac:dyDescent="0.25">
      <c r="A178" s="10">
        <v>2252</v>
      </c>
      <c r="B178" s="12" t="s">
        <v>402</v>
      </c>
      <c r="C178" s="10" t="s">
        <v>403</v>
      </c>
      <c r="D178" s="10">
        <v>2</v>
      </c>
      <c r="E178" s="10">
        <v>0</v>
      </c>
      <c r="F178" s="10" t="s">
        <v>57</v>
      </c>
    </row>
    <row r="179" spans="1:6" x14ac:dyDescent="0.25">
      <c r="A179" s="10">
        <v>2256</v>
      </c>
      <c r="B179" s="12" t="s">
        <v>404</v>
      </c>
      <c r="C179" s="10" t="s">
        <v>405</v>
      </c>
      <c r="D179" s="10">
        <v>2</v>
      </c>
      <c r="E179" s="10">
        <v>0</v>
      </c>
      <c r="F179" s="10" t="s">
        <v>57</v>
      </c>
    </row>
    <row r="180" spans="1:6" x14ac:dyDescent="0.25">
      <c r="A180" s="10">
        <v>2258</v>
      </c>
      <c r="B180" s="12" t="s">
        <v>406</v>
      </c>
      <c r="C180" s="10" t="s">
        <v>407</v>
      </c>
      <c r="D180" s="10">
        <v>2</v>
      </c>
      <c r="E180" s="10">
        <v>0</v>
      </c>
      <c r="F180" s="10" t="s">
        <v>57</v>
      </c>
    </row>
    <row r="181" spans="1:6" x14ac:dyDescent="0.25">
      <c r="A181" s="13">
        <v>1961</v>
      </c>
      <c r="B181" s="14" t="s">
        <v>408</v>
      </c>
      <c r="C181" s="13" t="s">
        <v>409</v>
      </c>
      <c r="D181" s="13">
        <v>2</v>
      </c>
      <c r="E181" s="13">
        <v>2</v>
      </c>
      <c r="F181" s="13" t="s">
        <v>410</v>
      </c>
    </row>
    <row r="182" spans="1:6" x14ac:dyDescent="0.25">
      <c r="A182" s="13">
        <v>1964</v>
      </c>
      <c r="B182" s="14" t="s">
        <v>411</v>
      </c>
      <c r="C182" s="13" t="s">
        <v>412</v>
      </c>
      <c r="D182" s="13">
        <v>3</v>
      </c>
      <c r="E182" s="13">
        <v>2.5</v>
      </c>
      <c r="F182" s="13" t="s">
        <v>410</v>
      </c>
    </row>
    <row r="183" spans="1:6" x14ac:dyDescent="0.25">
      <c r="A183" s="13">
        <v>1966</v>
      </c>
      <c r="B183" s="14" t="s">
        <v>413</v>
      </c>
      <c r="C183" s="13" t="s">
        <v>414</v>
      </c>
      <c r="D183" s="13">
        <v>1</v>
      </c>
      <c r="E183" s="13">
        <v>2.5</v>
      </c>
      <c r="F183" s="13" t="s">
        <v>410</v>
      </c>
    </row>
    <row r="184" spans="1:6" x14ac:dyDescent="0.25">
      <c r="A184" s="13">
        <v>1969</v>
      </c>
      <c r="B184" s="14" t="s">
        <v>415</v>
      </c>
      <c r="C184" s="13" t="s">
        <v>416</v>
      </c>
      <c r="D184" s="13">
        <v>1</v>
      </c>
      <c r="E184" s="13">
        <v>2</v>
      </c>
      <c r="F184" s="13" t="s">
        <v>410</v>
      </c>
    </row>
    <row r="185" spans="1:6" x14ac:dyDescent="0.25">
      <c r="A185" s="13">
        <v>1972</v>
      </c>
      <c r="B185" s="14" t="s">
        <v>417</v>
      </c>
      <c r="C185" s="13" t="s">
        <v>418</v>
      </c>
      <c r="D185" s="13">
        <v>3</v>
      </c>
      <c r="E185" s="13">
        <v>4</v>
      </c>
      <c r="F185" s="13" t="s">
        <v>410</v>
      </c>
    </row>
    <row r="186" spans="1:6" x14ac:dyDescent="0.25">
      <c r="A186" s="13">
        <v>1974</v>
      </c>
      <c r="B186" s="14" t="s">
        <v>419</v>
      </c>
      <c r="C186" s="13" t="s">
        <v>420</v>
      </c>
      <c r="D186" s="13">
        <v>1</v>
      </c>
      <c r="E186" s="13">
        <v>4</v>
      </c>
      <c r="F186" s="13" t="s">
        <v>410</v>
      </c>
    </row>
    <row r="187" spans="1:6" x14ac:dyDescent="0.25">
      <c r="A187" s="13">
        <v>1979</v>
      </c>
      <c r="B187" s="14" t="s">
        <v>421</v>
      </c>
      <c r="C187" s="13" t="s">
        <v>422</v>
      </c>
      <c r="D187" s="13">
        <v>3</v>
      </c>
      <c r="E187" s="13">
        <v>4</v>
      </c>
      <c r="F187" s="13" t="s">
        <v>410</v>
      </c>
    </row>
    <row r="188" spans="1:6" x14ac:dyDescent="0.25">
      <c r="A188" s="13">
        <v>1980</v>
      </c>
      <c r="B188" s="14" t="s">
        <v>423</v>
      </c>
      <c r="C188" s="13" t="s">
        <v>424</v>
      </c>
      <c r="D188" s="13">
        <v>2</v>
      </c>
      <c r="E188" s="13">
        <v>3</v>
      </c>
      <c r="F188" s="13" t="s">
        <v>410</v>
      </c>
    </row>
    <row r="189" spans="1:6" x14ac:dyDescent="0.25">
      <c r="A189" s="13">
        <v>1982</v>
      </c>
      <c r="B189" s="14" t="s">
        <v>425</v>
      </c>
      <c r="C189" s="13" t="s">
        <v>426</v>
      </c>
      <c r="D189" s="13">
        <v>3</v>
      </c>
      <c r="E189" s="13">
        <v>2</v>
      </c>
      <c r="F189" s="13" t="s">
        <v>410</v>
      </c>
    </row>
    <row r="190" spans="1:6" x14ac:dyDescent="0.25">
      <c r="A190" s="13">
        <v>1983</v>
      </c>
      <c r="B190" s="14" t="s">
        <v>427</v>
      </c>
      <c r="C190" s="13" t="s">
        <v>428</v>
      </c>
      <c r="D190" s="13">
        <v>2</v>
      </c>
      <c r="E190" s="13">
        <v>3</v>
      </c>
      <c r="F190" s="13" t="s">
        <v>410</v>
      </c>
    </row>
    <row r="191" spans="1:6" x14ac:dyDescent="0.25">
      <c r="A191" s="13">
        <v>1984</v>
      </c>
      <c r="B191" s="14" t="s">
        <v>429</v>
      </c>
      <c r="C191" s="13" t="s">
        <v>430</v>
      </c>
      <c r="D191" s="13">
        <v>2</v>
      </c>
      <c r="E191" s="13">
        <v>4</v>
      </c>
      <c r="F191" s="13" t="s">
        <v>410</v>
      </c>
    </row>
    <row r="192" spans="1:6" x14ac:dyDescent="0.25">
      <c r="A192" s="13">
        <v>1985</v>
      </c>
      <c r="B192" s="14" t="s">
        <v>431</v>
      </c>
      <c r="C192" s="13" t="s">
        <v>432</v>
      </c>
      <c r="D192" s="13">
        <v>1</v>
      </c>
      <c r="E192" s="13">
        <v>4</v>
      </c>
      <c r="F192" s="13" t="s">
        <v>410</v>
      </c>
    </row>
    <row r="193" spans="1:6" x14ac:dyDescent="0.25">
      <c r="A193" s="13">
        <v>1986</v>
      </c>
      <c r="B193" s="14" t="s">
        <v>433</v>
      </c>
      <c r="C193" s="13" t="s">
        <v>434</v>
      </c>
      <c r="D193" s="13">
        <v>1</v>
      </c>
      <c r="E193" s="13">
        <v>4</v>
      </c>
      <c r="F193" s="13" t="s">
        <v>410</v>
      </c>
    </row>
    <row r="194" spans="1:6" x14ac:dyDescent="0.25">
      <c r="A194" s="13">
        <v>1988</v>
      </c>
      <c r="B194" s="14" t="s">
        <v>435</v>
      </c>
      <c r="C194" s="13" t="s">
        <v>436</v>
      </c>
      <c r="D194" s="13">
        <v>2</v>
      </c>
      <c r="E194" s="13">
        <v>3.5</v>
      </c>
      <c r="F194" s="13" t="s">
        <v>410</v>
      </c>
    </row>
    <row r="195" spans="1:6" x14ac:dyDescent="0.25">
      <c r="A195" s="13">
        <v>1992</v>
      </c>
      <c r="B195" s="14" t="s">
        <v>437</v>
      </c>
      <c r="C195" s="13" t="s">
        <v>438</v>
      </c>
      <c r="D195" s="13">
        <v>1</v>
      </c>
      <c r="E195" s="13">
        <v>2</v>
      </c>
      <c r="F195" s="13" t="s">
        <v>410</v>
      </c>
    </row>
    <row r="196" spans="1:6" x14ac:dyDescent="0.25">
      <c r="A196" s="13">
        <v>1994</v>
      </c>
      <c r="B196" s="14" t="s">
        <v>439</v>
      </c>
      <c r="C196" s="13" t="s">
        <v>440</v>
      </c>
      <c r="D196" s="13">
        <v>2</v>
      </c>
      <c r="E196" s="13">
        <v>1.5</v>
      </c>
      <c r="F196" s="13" t="s">
        <v>410</v>
      </c>
    </row>
    <row r="197" spans="1:6" x14ac:dyDescent="0.25">
      <c r="A197" s="13">
        <v>1996</v>
      </c>
      <c r="B197" s="14" t="s">
        <v>441</v>
      </c>
      <c r="C197" s="13" t="s">
        <v>442</v>
      </c>
      <c r="D197" s="13">
        <v>3</v>
      </c>
      <c r="E197" s="13">
        <v>2</v>
      </c>
      <c r="F197" s="13" t="s">
        <v>410</v>
      </c>
    </row>
    <row r="198" spans="1:6" x14ac:dyDescent="0.25">
      <c r="A198" s="13">
        <v>2003</v>
      </c>
      <c r="B198" s="14" t="s">
        <v>443</v>
      </c>
      <c r="C198" s="13" t="s">
        <v>444</v>
      </c>
      <c r="D198" s="13">
        <v>1</v>
      </c>
      <c r="E198" s="13">
        <v>1</v>
      </c>
      <c r="F198" s="13" t="s">
        <v>410</v>
      </c>
    </row>
    <row r="199" spans="1:6" x14ac:dyDescent="0.25">
      <c r="A199" s="13">
        <v>2006</v>
      </c>
      <c r="B199" s="14" t="s">
        <v>445</v>
      </c>
      <c r="C199" s="13" t="s">
        <v>446</v>
      </c>
      <c r="D199" s="13">
        <v>1</v>
      </c>
      <c r="E199" s="13">
        <v>4</v>
      </c>
      <c r="F199" s="13" t="s">
        <v>410</v>
      </c>
    </row>
    <row r="200" spans="1:6" x14ac:dyDescent="0.25">
      <c r="A200" s="13">
        <v>2008</v>
      </c>
      <c r="B200" s="14" t="s">
        <v>447</v>
      </c>
      <c r="C200" s="13" t="s">
        <v>448</v>
      </c>
      <c r="D200" s="13">
        <v>3</v>
      </c>
      <c r="E200" s="13">
        <v>4</v>
      </c>
      <c r="F200" s="13" t="s">
        <v>410</v>
      </c>
    </row>
    <row r="201" spans="1:6" x14ac:dyDescent="0.25">
      <c r="A201" s="13">
        <v>2012</v>
      </c>
      <c r="B201" s="14" t="s">
        <v>449</v>
      </c>
      <c r="C201" s="13" t="s">
        <v>450</v>
      </c>
      <c r="D201" s="13">
        <v>1</v>
      </c>
      <c r="E201" s="13">
        <v>2</v>
      </c>
      <c r="F201" s="13" t="s">
        <v>410</v>
      </c>
    </row>
    <row r="202" spans="1:6" x14ac:dyDescent="0.25">
      <c r="A202" s="13">
        <v>2014</v>
      </c>
      <c r="B202" s="14" t="s">
        <v>451</v>
      </c>
      <c r="C202" s="13" t="s">
        <v>452</v>
      </c>
      <c r="D202" s="13">
        <v>1</v>
      </c>
      <c r="E202" s="13">
        <v>2.5</v>
      </c>
      <c r="F202" s="13" t="s">
        <v>410</v>
      </c>
    </row>
    <row r="203" spans="1:6" x14ac:dyDescent="0.25">
      <c r="A203" s="13">
        <v>2016</v>
      </c>
      <c r="B203" s="14" t="s">
        <v>453</v>
      </c>
      <c r="C203" s="13" t="s">
        <v>454</v>
      </c>
      <c r="D203" s="13">
        <v>1</v>
      </c>
      <c r="E203" s="13">
        <v>3</v>
      </c>
      <c r="F203" s="13" t="s">
        <v>410</v>
      </c>
    </row>
    <row r="204" spans="1:6" x14ac:dyDescent="0.25">
      <c r="A204" s="13">
        <v>2017</v>
      </c>
      <c r="B204" s="14" t="s">
        <v>455</v>
      </c>
      <c r="C204" s="13" t="s">
        <v>456</v>
      </c>
      <c r="D204" s="13">
        <v>1</v>
      </c>
      <c r="E204" s="13">
        <v>4</v>
      </c>
      <c r="F204" s="13" t="s">
        <v>410</v>
      </c>
    </row>
    <row r="205" spans="1:6" x14ac:dyDescent="0.25">
      <c r="A205" s="13">
        <v>2018</v>
      </c>
      <c r="B205" s="14" t="s">
        <v>457</v>
      </c>
      <c r="C205" s="13" t="s">
        <v>458</v>
      </c>
      <c r="D205" s="13">
        <v>2</v>
      </c>
      <c r="E205" s="13">
        <v>3.5</v>
      </c>
      <c r="F205" s="13" t="s">
        <v>410</v>
      </c>
    </row>
    <row r="206" spans="1:6" x14ac:dyDescent="0.25">
      <c r="A206" s="13">
        <v>2019</v>
      </c>
      <c r="B206" s="14" t="s">
        <v>459</v>
      </c>
      <c r="C206" s="13" t="s">
        <v>460</v>
      </c>
      <c r="D206" s="13">
        <v>3</v>
      </c>
      <c r="E206" s="13">
        <v>2.5</v>
      </c>
      <c r="F206" s="13" t="s">
        <v>410</v>
      </c>
    </row>
    <row r="207" spans="1:6" x14ac:dyDescent="0.25">
      <c r="A207" s="13">
        <v>2020</v>
      </c>
      <c r="B207" s="14" t="s">
        <v>461</v>
      </c>
      <c r="C207" s="13" t="s">
        <v>462</v>
      </c>
      <c r="D207" s="13">
        <v>3</v>
      </c>
      <c r="E207" s="13">
        <v>4</v>
      </c>
      <c r="F207" s="13" t="s">
        <v>410</v>
      </c>
    </row>
    <row r="208" spans="1:6" x14ac:dyDescent="0.25">
      <c r="A208" s="13">
        <v>2022</v>
      </c>
      <c r="B208" s="14" t="s">
        <v>463</v>
      </c>
      <c r="C208" s="13" t="s">
        <v>464</v>
      </c>
      <c r="D208" s="13">
        <v>2</v>
      </c>
      <c r="E208" s="13">
        <v>4</v>
      </c>
      <c r="F208" s="13" t="s">
        <v>410</v>
      </c>
    </row>
    <row r="209" spans="1:6" x14ac:dyDescent="0.25">
      <c r="A209" s="13">
        <v>2023</v>
      </c>
      <c r="B209" s="14" t="s">
        <v>465</v>
      </c>
      <c r="C209" s="13" t="s">
        <v>466</v>
      </c>
      <c r="D209" s="13">
        <v>2</v>
      </c>
      <c r="E209" s="13">
        <v>4</v>
      </c>
      <c r="F209" s="13" t="s">
        <v>410</v>
      </c>
    </row>
    <row r="210" spans="1:6" x14ac:dyDescent="0.25">
      <c r="A210" s="13">
        <v>2024</v>
      </c>
      <c r="B210" s="14" t="s">
        <v>467</v>
      </c>
      <c r="C210" s="13" t="s">
        <v>468</v>
      </c>
      <c r="D210" s="13">
        <v>3</v>
      </c>
      <c r="E210" s="13">
        <v>3</v>
      </c>
      <c r="F210" s="13" t="s">
        <v>410</v>
      </c>
    </row>
    <row r="211" spans="1:6" x14ac:dyDescent="0.25">
      <c r="A211" s="13">
        <v>2025</v>
      </c>
      <c r="B211" s="14" t="s">
        <v>469</v>
      </c>
      <c r="C211" s="13" t="s">
        <v>470</v>
      </c>
      <c r="D211" s="13">
        <v>3</v>
      </c>
      <c r="E211" s="13">
        <v>2.5</v>
      </c>
      <c r="F211" s="13" t="s">
        <v>410</v>
      </c>
    </row>
    <row r="212" spans="1:6" x14ac:dyDescent="0.25">
      <c r="A212" s="13">
        <v>2027</v>
      </c>
      <c r="B212" s="14" t="s">
        <v>471</v>
      </c>
      <c r="C212" s="13" t="s">
        <v>472</v>
      </c>
      <c r="D212" s="13">
        <v>1</v>
      </c>
      <c r="E212" s="13">
        <v>4</v>
      </c>
      <c r="F212" s="13" t="s">
        <v>410</v>
      </c>
    </row>
    <row r="213" spans="1:6" x14ac:dyDescent="0.25">
      <c r="A213" s="13">
        <v>2028</v>
      </c>
      <c r="B213" s="14" t="s">
        <v>473</v>
      </c>
      <c r="C213" s="13" t="s">
        <v>474</v>
      </c>
      <c r="D213" s="13">
        <v>1</v>
      </c>
      <c r="E213" s="13">
        <v>3.5</v>
      </c>
      <c r="F213" s="13" t="s">
        <v>410</v>
      </c>
    </row>
    <row r="214" spans="1:6" x14ac:dyDescent="0.25">
      <c r="A214" s="13">
        <v>2030</v>
      </c>
      <c r="B214" s="14" t="s">
        <v>475</v>
      </c>
      <c r="C214" s="13" t="s">
        <v>476</v>
      </c>
      <c r="D214" s="13">
        <v>3</v>
      </c>
      <c r="E214" s="13">
        <v>3.5</v>
      </c>
      <c r="F214" s="13" t="s">
        <v>410</v>
      </c>
    </row>
    <row r="215" spans="1:6" x14ac:dyDescent="0.25">
      <c r="A215" s="13">
        <v>2032</v>
      </c>
      <c r="B215" s="14" t="s">
        <v>477</v>
      </c>
      <c r="C215" s="13" t="s">
        <v>478</v>
      </c>
      <c r="D215" s="13">
        <v>3</v>
      </c>
      <c r="E215" s="13">
        <v>3</v>
      </c>
      <c r="F215" s="13" t="s">
        <v>410</v>
      </c>
    </row>
    <row r="216" spans="1:6" x14ac:dyDescent="0.25">
      <c r="A216" s="13">
        <v>2033</v>
      </c>
      <c r="B216" s="14" t="s">
        <v>479</v>
      </c>
      <c r="C216" s="13" t="s">
        <v>480</v>
      </c>
      <c r="D216" s="13">
        <v>3</v>
      </c>
      <c r="E216" s="13">
        <v>2.5</v>
      </c>
      <c r="F216" s="13" t="s">
        <v>410</v>
      </c>
    </row>
    <row r="217" spans="1:6" x14ac:dyDescent="0.25">
      <c r="A217" s="13">
        <v>2034</v>
      </c>
      <c r="B217" s="14" t="s">
        <v>481</v>
      </c>
      <c r="C217" s="13" t="s">
        <v>482</v>
      </c>
      <c r="D217" s="13">
        <v>1</v>
      </c>
      <c r="E217" s="13">
        <v>2</v>
      </c>
      <c r="F217" s="13" t="s">
        <v>410</v>
      </c>
    </row>
    <row r="218" spans="1:6" x14ac:dyDescent="0.25">
      <c r="A218" s="13">
        <v>2036</v>
      </c>
      <c r="B218" s="14" t="s">
        <v>483</v>
      </c>
      <c r="C218" s="13" t="s">
        <v>484</v>
      </c>
      <c r="D218" s="13">
        <v>1</v>
      </c>
      <c r="E218" s="13">
        <v>4</v>
      </c>
      <c r="F218" s="13" t="s">
        <v>410</v>
      </c>
    </row>
    <row r="219" spans="1:6" x14ac:dyDescent="0.25">
      <c r="A219" s="13">
        <v>2038</v>
      </c>
      <c r="B219" s="14" t="s">
        <v>485</v>
      </c>
      <c r="C219" s="13" t="s">
        <v>486</v>
      </c>
      <c r="D219" s="13">
        <v>3</v>
      </c>
      <c r="E219" s="13">
        <v>4</v>
      </c>
      <c r="F219" s="13" t="s">
        <v>410</v>
      </c>
    </row>
    <row r="220" spans="1:6" x14ac:dyDescent="0.25">
      <c r="A220" s="13">
        <v>2039</v>
      </c>
      <c r="B220" s="14" t="s">
        <v>487</v>
      </c>
      <c r="C220" s="13" t="s">
        <v>488</v>
      </c>
      <c r="D220" s="13">
        <v>1</v>
      </c>
      <c r="E220" s="13">
        <v>3.5</v>
      </c>
      <c r="F220" s="13" t="s">
        <v>410</v>
      </c>
    </row>
    <row r="221" spans="1:6" x14ac:dyDescent="0.25">
      <c r="A221" s="13">
        <v>2040</v>
      </c>
      <c r="B221" s="14" t="s">
        <v>489</v>
      </c>
      <c r="C221" s="13" t="s">
        <v>490</v>
      </c>
      <c r="D221" s="13">
        <v>2</v>
      </c>
      <c r="E221" s="13">
        <v>3.5</v>
      </c>
      <c r="F221" s="13" t="s">
        <v>410</v>
      </c>
    </row>
    <row r="222" spans="1:6" x14ac:dyDescent="0.25">
      <c r="A222" s="13">
        <v>2045</v>
      </c>
      <c r="B222" s="14" t="s">
        <v>491</v>
      </c>
      <c r="C222" s="13" t="s">
        <v>492</v>
      </c>
      <c r="D222" s="13">
        <v>3</v>
      </c>
      <c r="E222" s="13">
        <v>4</v>
      </c>
      <c r="F222" s="13" t="s">
        <v>410</v>
      </c>
    </row>
    <row r="223" spans="1:6" x14ac:dyDescent="0.25">
      <c r="A223" s="13">
        <v>2046</v>
      </c>
      <c r="B223" s="14" t="s">
        <v>493</v>
      </c>
      <c r="C223" s="13" t="s">
        <v>494</v>
      </c>
      <c r="D223" s="13">
        <v>3</v>
      </c>
      <c r="E223" s="13">
        <v>4</v>
      </c>
      <c r="F223" s="13" t="s">
        <v>410</v>
      </c>
    </row>
    <row r="224" spans="1:6" x14ac:dyDescent="0.25">
      <c r="A224" s="13">
        <v>2049</v>
      </c>
      <c r="B224" s="14" t="s">
        <v>495</v>
      </c>
      <c r="C224" s="13" t="s">
        <v>496</v>
      </c>
      <c r="D224" s="13">
        <v>2</v>
      </c>
      <c r="E224" s="13">
        <v>2</v>
      </c>
      <c r="F224" s="13" t="s">
        <v>410</v>
      </c>
    </row>
    <row r="225" spans="1:6" x14ac:dyDescent="0.25">
      <c r="A225" s="13">
        <v>2051</v>
      </c>
      <c r="B225" s="14" t="s">
        <v>497</v>
      </c>
      <c r="C225" s="13" t="s">
        <v>498</v>
      </c>
      <c r="D225" s="13">
        <v>3</v>
      </c>
      <c r="E225" s="13">
        <v>4</v>
      </c>
      <c r="F225" s="13" t="s">
        <v>410</v>
      </c>
    </row>
    <row r="226" spans="1:6" x14ac:dyDescent="0.25">
      <c r="A226" s="13">
        <v>2052</v>
      </c>
      <c r="B226" s="14" t="s">
        <v>499</v>
      </c>
      <c r="C226" s="13" t="s">
        <v>500</v>
      </c>
      <c r="D226" s="13">
        <v>3</v>
      </c>
      <c r="E226" s="13">
        <v>3.5</v>
      </c>
      <c r="F226" s="13" t="s">
        <v>410</v>
      </c>
    </row>
    <row r="227" spans="1:6" x14ac:dyDescent="0.25">
      <c r="A227" s="13">
        <v>2056</v>
      </c>
      <c r="B227" s="14" t="s">
        <v>501</v>
      </c>
      <c r="C227" s="13" t="s">
        <v>502</v>
      </c>
      <c r="D227" s="13">
        <v>1</v>
      </c>
      <c r="E227" s="13">
        <v>4</v>
      </c>
      <c r="F227" s="13" t="s">
        <v>410</v>
      </c>
    </row>
    <row r="228" spans="1:6" x14ac:dyDescent="0.25">
      <c r="A228" s="13">
        <v>2058</v>
      </c>
      <c r="B228" s="14" t="s">
        <v>503</v>
      </c>
      <c r="C228" s="13" t="s">
        <v>504</v>
      </c>
      <c r="D228" s="13">
        <v>1</v>
      </c>
      <c r="E228" s="13">
        <v>2.5</v>
      </c>
      <c r="F228" s="13" t="s">
        <v>410</v>
      </c>
    </row>
    <row r="229" spans="1:6" x14ac:dyDescent="0.25">
      <c r="A229" s="13">
        <v>2064</v>
      </c>
      <c r="B229" s="14" t="s">
        <v>505</v>
      </c>
      <c r="C229" s="13" t="s">
        <v>506</v>
      </c>
      <c r="D229" s="13">
        <v>2</v>
      </c>
      <c r="E229" s="13">
        <v>4</v>
      </c>
      <c r="F229" s="13" t="s">
        <v>410</v>
      </c>
    </row>
    <row r="230" spans="1:6" x14ac:dyDescent="0.25">
      <c r="A230" s="13">
        <v>2067</v>
      </c>
      <c r="B230" s="14" t="s">
        <v>507</v>
      </c>
      <c r="C230" s="13" t="s">
        <v>508</v>
      </c>
      <c r="D230" s="13">
        <v>1</v>
      </c>
      <c r="E230" s="13">
        <v>3</v>
      </c>
      <c r="F230" s="13" t="s">
        <v>410</v>
      </c>
    </row>
    <row r="231" spans="1:6" x14ac:dyDescent="0.25">
      <c r="A231" s="13">
        <v>2069</v>
      </c>
      <c r="B231" s="14" t="s">
        <v>509</v>
      </c>
      <c r="C231" s="13" t="s">
        <v>510</v>
      </c>
      <c r="D231" s="13">
        <v>3</v>
      </c>
      <c r="E231" s="13">
        <v>3</v>
      </c>
      <c r="F231" s="13" t="s">
        <v>410</v>
      </c>
    </row>
    <row r="232" spans="1:6" x14ac:dyDescent="0.25">
      <c r="A232" s="13">
        <v>2076</v>
      </c>
      <c r="B232" s="14" t="s">
        <v>511</v>
      </c>
      <c r="C232" s="13" t="s">
        <v>512</v>
      </c>
      <c r="D232" s="13">
        <v>3</v>
      </c>
      <c r="E232" s="13">
        <v>4</v>
      </c>
      <c r="F232" s="13" t="s">
        <v>410</v>
      </c>
    </row>
    <row r="233" spans="1:6" x14ac:dyDescent="0.25">
      <c r="A233" s="13">
        <v>2078</v>
      </c>
      <c r="B233" s="14" t="s">
        <v>513</v>
      </c>
      <c r="C233" s="13" t="s">
        <v>514</v>
      </c>
      <c r="D233" s="13">
        <v>1</v>
      </c>
      <c r="E233" s="13">
        <v>4</v>
      </c>
      <c r="F233" s="13" t="s">
        <v>410</v>
      </c>
    </row>
    <row r="234" spans="1:6" x14ac:dyDescent="0.25">
      <c r="A234" s="13">
        <v>2080</v>
      </c>
      <c r="B234" s="14" t="s">
        <v>515</v>
      </c>
      <c r="C234" s="13" t="s">
        <v>516</v>
      </c>
      <c r="D234" s="13">
        <v>3</v>
      </c>
      <c r="E234" s="13">
        <v>1.5</v>
      </c>
      <c r="F234" s="13" t="s">
        <v>410</v>
      </c>
    </row>
    <row r="235" spans="1:6" x14ac:dyDescent="0.25">
      <c r="A235" s="13">
        <v>2081</v>
      </c>
      <c r="B235" s="14" t="s">
        <v>517</v>
      </c>
      <c r="C235" s="13" t="s">
        <v>518</v>
      </c>
      <c r="D235" s="13">
        <v>2</v>
      </c>
      <c r="E235" s="13">
        <v>4</v>
      </c>
      <c r="F235" s="13" t="s">
        <v>410</v>
      </c>
    </row>
    <row r="236" spans="1:6" x14ac:dyDescent="0.25">
      <c r="A236" s="13">
        <v>2085</v>
      </c>
      <c r="B236" s="14" t="s">
        <v>519</v>
      </c>
      <c r="C236" s="13" t="s">
        <v>520</v>
      </c>
      <c r="D236" s="13">
        <v>1</v>
      </c>
      <c r="E236" s="13">
        <v>2.5</v>
      </c>
      <c r="F236" s="13" t="s">
        <v>410</v>
      </c>
    </row>
    <row r="237" spans="1:6" x14ac:dyDescent="0.25">
      <c r="A237" s="13">
        <v>2086</v>
      </c>
      <c r="B237" s="14" t="s">
        <v>521</v>
      </c>
      <c r="C237" s="13" t="s">
        <v>522</v>
      </c>
      <c r="D237" s="13">
        <v>1</v>
      </c>
      <c r="E237" s="13">
        <v>1.5</v>
      </c>
      <c r="F237" s="13" t="s">
        <v>410</v>
      </c>
    </row>
    <row r="238" spans="1:6" x14ac:dyDescent="0.25">
      <c r="A238" s="13">
        <v>2087</v>
      </c>
      <c r="B238" s="14" t="s">
        <v>523</v>
      </c>
      <c r="C238" s="13" t="s">
        <v>524</v>
      </c>
      <c r="D238" s="13">
        <v>1</v>
      </c>
      <c r="E238" s="13">
        <v>2</v>
      </c>
      <c r="F238" s="13" t="s">
        <v>410</v>
      </c>
    </row>
    <row r="239" spans="1:6" x14ac:dyDescent="0.25">
      <c r="A239" s="13">
        <v>2088</v>
      </c>
      <c r="B239" s="14" t="s">
        <v>525</v>
      </c>
      <c r="C239" s="13" t="s">
        <v>526</v>
      </c>
      <c r="D239" s="13">
        <v>2</v>
      </c>
      <c r="E239" s="13">
        <v>4</v>
      </c>
      <c r="F239" s="13" t="s">
        <v>410</v>
      </c>
    </row>
    <row r="240" spans="1:6" x14ac:dyDescent="0.25">
      <c r="A240" s="13">
        <v>2089</v>
      </c>
      <c r="B240" s="14" t="s">
        <v>527</v>
      </c>
      <c r="C240" s="13" t="s">
        <v>528</v>
      </c>
      <c r="D240" s="13">
        <v>1</v>
      </c>
      <c r="E240" s="13">
        <v>2</v>
      </c>
      <c r="F240" s="13" t="s">
        <v>410</v>
      </c>
    </row>
    <row r="241" spans="1:6" x14ac:dyDescent="0.25">
      <c r="A241" s="13">
        <v>2095</v>
      </c>
      <c r="B241" s="14" t="s">
        <v>529</v>
      </c>
      <c r="C241" s="13" t="s">
        <v>530</v>
      </c>
      <c r="D241" s="13">
        <v>3</v>
      </c>
      <c r="E241" s="13">
        <v>3.5</v>
      </c>
      <c r="F241" s="13" t="s">
        <v>410</v>
      </c>
    </row>
    <row r="242" spans="1:6" x14ac:dyDescent="0.25">
      <c r="A242" s="13">
        <v>2097</v>
      </c>
      <c r="B242" s="14" t="s">
        <v>531</v>
      </c>
      <c r="C242" s="13" t="s">
        <v>532</v>
      </c>
      <c r="D242" s="13">
        <v>1</v>
      </c>
      <c r="E242" s="13">
        <v>3.5</v>
      </c>
      <c r="F242" s="13" t="s">
        <v>410</v>
      </c>
    </row>
    <row r="243" spans="1:6" x14ac:dyDescent="0.25">
      <c r="A243" s="13">
        <v>2099</v>
      </c>
      <c r="B243" s="14" t="s">
        <v>533</v>
      </c>
      <c r="C243" s="13" t="s">
        <v>534</v>
      </c>
      <c r="D243" s="13">
        <v>1</v>
      </c>
      <c r="E243" s="13">
        <v>2</v>
      </c>
      <c r="F243" s="13" t="s">
        <v>410</v>
      </c>
    </row>
    <row r="244" spans="1:6" x14ac:dyDescent="0.25">
      <c r="A244" s="13">
        <v>2101</v>
      </c>
      <c r="B244" s="14" t="s">
        <v>535</v>
      </c>
      <c r="C244" s="13" t="s">
        <v>536</v>
      </c>
      <c r="D244" s="13">
        <v>2</v>
      </c>
      <c r="E244" s="13">
        <v>1.5</v>
      </c>
      <c r="F244" s="13" t="s">
        <v>410</v>
      </c>
    </row>
    <row r="245" spans="1:6" x14ac:dyDescent="0.25">
      <c r="A245" s="13">
        <v>2112</v>
      </c>
      <c r="B245" s="14" t="s">
        <v>537</v>
      </c>
      <c r="C245" s="13" t="s">
        <v>538</v>
      </c>
      <c r="D245" s="13">
        <v>1</v>
      </c>
      <c r="E245" s="13">
        <v>3.5</v>
      </c>
      <c r="F245" s="13" t="s">
        <v>410</v>
      </c>
    </row>
    <row r="246" spans="1:6" x14ac:dyDescent="0.25">
      <c r="A246" s="13">
        <v>2115</v>
      </c>
      <c r="B246" s="14" t="s">
        <v>539</v>
      </c>
      <c r="C246" s="13" t="s">
        <v>540</v>
      </c>
      <c r="D246" s="13">
        <v>3</v>
      </c>
      <c r="E246" s="13">
        <v>3</v>
      </c>
      <c r="F246" s="13" t="s">
        <v>410</v>
      </c>
    </row>
    <row r="247" spans="1:6" x14ac:dyDescent="0.25">
      <c r="A247" s="13">
        <v>2116</v>
      </c>
      <c r="B247" s="14" t="s">
        <v>541</v>
      </c>
      <c r="C247" s="13" t="s">
        <v>542</v>
      </c>
      <c r="D247" s="13">
        <v>3</v>
      </c>
      <c r="E247" s="13">
        <v>4</v>
      </c>
      <c r="F247" s="13" t="s">
        <v>410</v>
      </c>
    </row>
    <row r="248" spans="1:6" x14ac:dyDescent="0.25">
      <c r="A248" s="13">
        <v>2120</v>
      </c>
      <c r="B248" s="14" t="s">
        <v>543</v>
      </c>
      <c r="C248" s="13" t="s">
        <v>544</v>
      </c>
      <c r="D248" s="13">
        <v>1</v>
      </c>
      <c r="E248" s="13">
        <v>3.5</v>
      </c>
      <c r="F248" s="13" t="s">
        <v>410</v>
      </c>
    </row>
    <row r="249" spans="1:6" x14ac:dyDescent="0.25">
      <c r="A249" s="13">
        <v>2125</v>
      </c>
      <c r="B249" s="14" t="s">
        <v>545</v>
      </c>
      <c r="C249" s="13" t="s">
        <v>546</v>
      </c>
      <c r="D249" s="13">
        <v>2</v>
      </c>
      <c r="E249" s="13">
        <v>2</v>
      </c>
      <c r="F249" s="13" t="s">
        <v>410</v>
      </c>
    </row>
    <row r="250" spans="1:6" x14ac:dyDescent="0.25">
      <c r="A250" s="13">
        <v>2127</v>
      </c>
      <c r="B250" s="14" t="s">
        <v>547</v>
      </c>
      <c r="C250" s="13" t="s">
        <v>548</v>
      </c>
      <c r="D250" s="13">
        <v>2</v>
      </c>
      <c r="E250" s="13">
        <v>3</v>
      </c>
      <c r="F250" s="13" t="s">
        <v>410</v>
      </c>
    </row>
    <row r="251" spans="1:6" x14ac:dyDescent="0.25">
      <c r="A251" s="13">
        <v>2128</v>
      </c>
      <c r="B251" s="14" t="s">
        <v>549</v>
      </c>
      <c r="C251" s="13" t="s">
        <v>550</v>
      </c>
      <c r="D251" s="13">
        <v>1</v>
      </c>
      <c r="E251" s="13">
        <v>4</v>
      </c>
      <c r="F251" s="13" t="s">
        <v>410</v>
      </c>
    </row>
    <row r="252" spans="1:6" x14ac:dyDescent="0.25">
      <c r="A252" s="13">
        <v>2132</v>
      </c>
      <c r="B252" s="14" t="s">
        <v>551</v>
      </c>
      <c r="C252" s="13" t="s">
        <v>552</v>
      </c>
      <c r="D252" s="13">
        <v>1</v>
      </c>
      <c r="E252" s="13">
        <v>3</v>
      </c>
      <c r="F252" s="13" t="s">
        <v>410</v>
      </c>
    </row>
    <row r="253" spans="1:6" x14ac:dyDescent="0.25">
      <c r="A253" s="13">
        <v>2138</v>
      </c>
      <c r="B253" s="14" t="s">
        <v>553</v>
      </c>
      <c r="C253" s="13" t="s">
        <v>554</v>
      </c>
      <c r="D253" s="13">
        <v>2</v>
      </c>
      <c r="E253" s="13">
        <v>4</v>
      </c>
      <c r="F253" s="13" t="s">
        <v>410</v>
      </c>
    </row>
    <row r="254" spans="1:6" x14ac:dyDescent="0.25">
      <c r="A254" s="13">
        <v>2143</v>
      </c>
      <c r="B254" s="14" t="s">
        <v>555</v>
      </c>
      <c r="C254" s="13" t="s">
        <v>556</v>
      </c>
      <c r="D254" s="13">
        <v>2</v>
      </c>
      <c r="E254" s="13">
        <v>3.5</v>
      </c>
      <c r="F254" s="13" t="s">
        <v>410</v>
      </c>
    </row>
    <row r="255" spans="1:6" x14ac:dyDescent="0.25">
      <c r="A255" s="13">
        <v>2145</v>
      </c>
      <c r="B255" s="14" t="s">
        <v>557</v>
      </c>
      <c r="C255" s="13" t="s">
        <v>558</v>
      </c>
      <c r="D255" s="13">
        <v>3</v>
      </c>
      <c r="E255" s="13">
        <v>4</v>
      </c>
      <c r="F255" s="13" t="s">
        <v>410</v>
      </c>
    </row>
    <row r="256" spans="1:6" x14ac:dyDescent="0.25">
      <c r="A256" s="13">
        <v>2146</v>
      </c>
      <c r="B256" s="14" t="s">
        <v>559</v>
      </c>
      <c r="C256" s="13" t="s">
        <v>560</v>
      </c>
      <c r="D256" s="13">
        <v>1</v>
      </c>
      <c r="E256" s="13">
        <v>3</v>
      </c>
      <c r="F256" s="13" t="s">
        <v>410</v>
      </c>
    </row>
    <row r="257" spans="1:6" x14ac:dyDescent="0.25">
      <c r="A257" s="13">
        <v>2148</v>
      </c>
      <c r="B257" s="14" t="s">
        <v>561</v>
      </c>
      <c r="C257" s="13" t="s">
        <v>562</v>
      </c>
      <c r="D257" s="13">
        <v>3</v>
      </c>
      <c r="E257" s="13">
        <v>4</v>
      </c>
      <c r="F257" s="13" t="s">
        <v>410</v>
      </c>
    </row>
    <row r="258" spans="1:6" x14ac:dyDescent="0.25">
      <c r="A258" s="13">
        <v>2151</v>
      </c>
      <c r="B258" s="14" t="s">
        <v>563</v>
      </c>
      <c r="C258" s="13" t="s">
        <v>564</v>
      </c>
      <c r="D258" s="13">
        <v>2</v>
      </c>
      <c r="E258" s="13">
        <v>3</v>
      </c>
      <c r="F258" s="13" t="s">
        <v>410</v>
      </c>
    </row>
    <row r="259" spans="1:6" x14ac:dyDescent="0.25">
      <c r="A259" s="13">
        <v>2153</v>
      </c>
      <c r="B259" s="14" t="s">
        <v>565</v>
      </c>
      <c r="C259" s="13" t="s">
        <v>566</v>
      </c>
      <c r="D259" s="13">
        <v>1</v>
      </c>
      <c r="E259" s="13">
        <v>4</v>
      </c>
      <c r="F259" s="13" t="s">
        <v>410</v>
      </c>
    </row>
    <row r="260" spans="1:6" x14ac:dyDescent="0.25">
      <c r="A260" s="13">
        <v>2154</v>
      </c>
      <c r="B260" s="14" t="s">
        <v>567</v>
      </c>
      <c r="C260" s="13" t="s">
        <v>568</v>
      </c>
      <c r="D260" s="13">
        <v>3</v>
      </c>
      <c r="E260" s="13">
        <v>3</v>
      </c>
      <c r="F260" s="13" t="s">
        <v>410</v>
      </c>
    </row>
    <row r="261" spans="1:6" x14ac:dyDescent="0.25">
      <c r="A261" s="13">
        <v>2155</v>
      </c>
      <c r="B261" s="14" t="s">
        <v>569</v>
      </c>
      <c r="C261" s="13" t="s">
        <v>570</v>
      </c>
      <c r="D261" s="13">
        <v>3</v>
      </c>
      <c r="E261" s="13">
        <v>2.5</v>
      </c>
      <c r="F261" s="13" t="s">
        <v>410</v>
      </c>
    </row>
    <row r="262" spans="1:6" x14ac:dyDescent="0.25">
      <c r="A262" s="13">
        <v>2158</v>
      </c>
      <c r="B262" s="14" t="s">
        <v>571</v>
      </c>
      <c r="C262" s="13" t="s">
        <v>572</v>
      </c>
      <c r="D262" s="13">
        <v>1</v>
      </c>
      <c r="E262" s="13">
        <v>4</v>
      </c>
      <c r="F262" s="13" t="s">
        <v>410</v>
      </c>
    </row>
    <row r="263" spans="1:6" x14ac:dyDescent="0.25">
      <c r="A263" s="13">
        <v>2159</v>
      </c>
      <c r="B263" s="14" t="s">
        <v>573</v>
      </c>
      <c r="C263" s="13" t="s">
        <v>574</v>
      </c>
      <c r="D263" s="13">
        <v>1</v>
      </c>
      <c r="E263" s="13">
        <v>4</v>
      </c>
      <c r="F263" s="13" t="s">
        <v>410</v>
      </c>
    </row>
    <row r="264" spans="1:6" x14ac:dyDescent="0.25">
      <c r="A264" s="13">
        <v>2164</v>
      </c>
      <c r="B264" s="14" t="s">
        <v>575</v>
      </c>
      <c r="C264" s="13" t="s">
        <v>576</v>
      </c>
      <c r="D264" s="13">
        <v>2</v>
      </c>
      <c r="E264" s="13">
        <v>4</v>
      </c>
      <c r="F264" s="13" t="s">
        <v>410</v>
      </c>
    </row>
    <row r="265" spans="1:6" x14ac:dyDescent="0.25">
      <c r="A265" s="13">
        <v>2166</v>
      </c>
      <c r="B265" s="14" t="s">
        <v>577</v>
      </c>
      <c r="C265" s="13" t="s">
        <v>578</v>
      </c>
      <c r="D265" s="13">
        <v>1</v>
      </c>
      <c r="E265" s="13">
        <v>1.5</v>
      </c>
      <c r="F265" s="13" t="s">
        <v>410</v>
      </c>
    </row>
    <row r="266" spans="1:6" x14ac:dyDescent="0.25">
      <c r="A266" s="13">
        <v>2168</v>
      </c>
      <c r="B266" s="14" t="s">
        <v>579</v>
      </c>
      <c r="C266" s="13" t="s">
        <v>580</v>
      </c>
      <c r="D266" s="13">
        <v>3</v>
      </c>
      <c r="E266" s="13">
        <v>3.5</v>
      </c>
      <c r="F266" s="13" t="s">
        <v>410</v>
      </c>
    </row>
    <row r="267" spans="1:6" x14ac:dyDescent="0.25">
      <c r="A267" s="13">
        <v>2172</v>
      </c>
      <c r="B267" s="14" t="s">
        <v>581</v>
      </c>
      <c r="C267" s="13" t="s">
        <v>582</v>
      </c>
      <c r="D267" s="13">
        <v>2</v>
      </c>
      <c r="E267" s="13">
        <v>2.5</v>
      </c>
      <c r="F267" s="13" t="s">
        <v>410</v>
      </c>
    </row>
    <row r="268" spans="1:6" x14ac:dyDescent="0.25">
      <c r="A268" s="13">
        <v>2173</v>
      </c>
      <c r="B268" s="14" t="s">
        <v>583</v>
      </c>
      <c r="C268" s="13" t="s">
        <v>584</v>
      </c>
      <c r="D268" s="13">
        <v>2</v>
      </c>
      <c r="E268" s="13">
        <v>3</v>
      </c>
      <c r="F268" s="13" t="s">
        <v>410</v>
      </c>
    </row>
    <row r="269" spans="1:6" x14ac:dyDescent="0.25">
      <c r="A269" s="13">
        <v>2174</v>
      </c>
      <c r="B269" s="14" t="s">
        <v>585</v>
      </c>
      <c r="C269" s="13" t="s">
        <v>586</v>
      </c>
      <c r="D269" s="13">
        <v>2</v>
      </c>
      <c r="E269" s="13">
        <v>3</v>
      </c>
      <c r="F269" s="13" t="s">
        <v>410</v>
      </c>
    </row>
    <row r="270" spans="1:6" x14ac:dyDescent="0.25">
      <c r="A270" s="13">
        <v>2176</v>
      </c>
      <c r="B270" s="14" t="s">
        <v>587</v>
      </c>
      <c r="C270" s="13" t="s">
        <v>588</v>
      </c>
      <c r="D270" s="13">
        <v>1</v>
      </c>
      <c r="E270" s="13">
        <v>2</v>
      </c>
      <c r="F270" s="13" t="s">
        <v>410</v>
      </c>
    </row>
    <row r="271" spans="1:6" x14ac:dyDescent="0.25">
      <c r="A271" s="13">
        <v>2177</v>
      </c>
      <c r="B271" s="14" t="s">
        <v>589</v>
      </c>
      <c r="C271" s="13" t="s">
        <v>590</v>
      </c>
      <c r="D271" s="13">
        <v>3</v>
      </c>
      <c r="E271" s="13">
        <v>3</v>
      </c>
      <c r="F271" s="13" t="s">
        <v>410</v>
      </c>
    </row>
    <row r="272" spans="1:6" x14ac:dyDescent="0.25">
      <c r="A272" s="13">
        <v>2178</v>
      </c>
      <c r="B272" s="14" t="s">
        <v>591</v>
      </c>
      <c r="C272" s="13" t="s">
        <v>592</v>
      </c>
      <c r="D272" s="13">
        <v>3</v>
      </c>
      <c r="E272" s="13">
        <v>4</v>
      </c>
      <c r="F272" s="13" t="s">
        <v>410</v>
      </c>
    </row>
    <row r="273" spans="1:6" x14ac:dyDescent="0.25">
      <c r="A273" s="13">
        <v>2182</v>
      </c>
      <c r="B273" s="14" t="s">
        <v>593</v>
      </c>
      <c r="C273" s="13" t="s">
        <v>594</v>
      </c>
      <c r="D273" s="13">
        <v>3</v>
      </c>
      <c r="E273" s="13">
        <v>2</v>
      </c>
      <c r="F273" s="13" t="s">
        <v>410</v>
      </c>
    </row>
    <row r="274" spans="1:6" x14ac:dyDescent="0.25">
      <c r="A274" s="13">
        <v>2183</v>
      </c>
      <c r="B274" s="14" t="s">
        <v>595</v>
      </c>
      <c r="C274" s="13" t="s">
        <v>596</v>
      </c>
      <c r="D274" s="13">
        <v>1</v>
      </c>
      <c r="E274" s="13">
        <v>1.5</v>
      </c>
      <c r="F274" s="13" t="s">
        <v>410</v>
      </c>
    </row>
    <row r="275" spans="1:6" x14ac:dyDescent="0.25">
      <c r="A275" s="13">
        <v>2186</v>
      </c>
      <c r="B275" s="14" t="s">
        <v>597</v>
      </c>
      <c r="C275" s="13" t="s">
        <v>598</v>
      </c>
      <c r="D275" s="13">
        <v>3</v>
      </c>
      <c r="E275" s="13">
        <v>4</v>
      </c>
      <c r="F275" s="13" t="s">
        <v>410</v>
      </c>
    </row>
    <row r="276" spans="1:6" x14ac:dyDescent="0.25">
      <c r="A276" s="13">
        <v>2188</v>
      </c>
      <c r="B276" s="14" t="s">
        <v>599</v>
      </c>
      <c r="C276" s="13" t="s">
        <v>600</v>
      </c>
      <c r="D276" s="13">
        <v>3</v>
      </c>
      <c r="E276" s="13">
        <v>3.5</v>
      </c>
      <c r="F276" s="13" t="s">
        <v>410</v>
      </c>
    </row>
    <row r="277" spans="1:6" x14ac:dyDescent="0.25">
      <c r="A277" s="13">
        <v>2189</v>
      </c>
      <c r="B277" s="14" t="s">
        <v>601</v>
      </c>
      <c r="C277" s="13" t="s">
        <v>602</v>
      </c>
      <c r="D277" s="13">
        <v>3</v>
      </c>
      <c r="E277" s="13">
        <v>3.5</v>
      </c>
      <c r="F277" s="13" t="s">
        <v>410</v>
      </c>
    </row>
    <row r="278" spans="1:6" x14ac:dyDescent="0.25">
      <c r="A278" s="13">
        <v>2190</v>
      </c>
      <c r="B278" s="14" t="s">
        <v>603</v>
      </c>
      <c r="C278" s="13" t="s">
        <v>604</v>
      </c>
      <c r="D278" s="13">
        <v>1</v>
      </c>
      <c r="E278" s="13">
        <v>3.5</v>
      </c>
      <c r="F278" s="13" t="s">
        <v>410</v>
      </c>
    </row>
    <row r="279" spans="1:6" x14ac:dyDescent="0.25">
      <c r="A279" s="13">
        <v>2191</v>
      </c>
      <c r="B279" s="14" t="s">
        <v>605</v>
      </c>
      <c r="C279" s="13" t="s">
        <v>606</v>
      </c>
      <c r="D279" s="13">
        <v>1</v>
      </c>
      <c r="E279" s="13">
        <v>1.5</v>
      </c>
      <c r="F279" s="13" t="s">
        <v>410</v>
      </c>
    </row>
    <row r="280" spans="1:6" x14ac:dyDescent="0.25">
      <c r="A280" s="13">
        <v>2192</v>
      </c>
      <c r="B280" s="14" t="s">
        <v>607</v>
      </c>
      <c r="C280" s="13" t="s">
        <v>608</v>
      </c>
      <c r="D280" s="13">
        <v>1</v>
      </c>
      <c r="E280" s="13">
        <v>1.5</v>
      </c>
      <c r="F280" s="13" t="s">
        <v>410</v>
      </c>
    </row>
    <row r="281" spans="1:6" x14ac:dyDescent="0.25">
      <c r="A281" s="13">
        <v>2194</v>
      </c>
      <c r="B281" s="14" t="s">
        <v>609</v>
      </c>
      <c r="C281" s="13" t="s">
        <v>610</v>
      </c>
      <c r="D281" s="13">
        <v>2</v>
      </c>
      <c r="E281" s="13">
        <v>4</v>
      </c>
      <c r="F281" s="13" t="s">
        <v>410</v>
      </c>
    </row>
    <row r="282" spans="1:6" x14ac:dyDescent="0.25">
      <c r="A282" s="13">
        <v>2196</v>
      </c>
      <c r="B282" s="14" t="s">
        <v>611</v>
      </c>
      <c r="C282" s="13" t="s">
        <v>612</v>
      </c>
      <c r="D282" s="13">
        <v>3</v>
      </c>
      <c r="E282" s="13">
        <v>2</v>
      </c>
      <c r="F282" s="13" t="s">
        <v>410</v>
      </c>
    </row>
    <row r="283" spans="1:6" x14ac:dyDescent="0.25">
      <c r="A283" s="13">
        <v>2198</v>
      </c>
      <c r="B283" s="14" t="s">
        <v>613</v>
      </c>
      <c r="C283" s="13" t="s">
        <v>614</v>
      </c>
      <c r="D283" s="13">
        <v>1</v>
      </c>
      <c r="E283" s="13">
        <v>4</v>
      </c>
      <c r="F283" s="13" t="s">
        <v>410</v>
      </c>
    </row>
    <row r="284" spans="1:6" x14ac:dyDescent="0.25">
      <c r="A284" s="13">
        <v>2199</v>
      </c>
      <c r="B284" s="14" t="s">
        <v>615</v>
      </c>
      <c r="C284" s="13" t="s">
        <v>616</v>
      </c>
      <c r="D284" s="13">
        <v>2</v>
      </c>
      <c r="E284" s="13">
        <v>2.5</v>
      </c>
      <c r="F284" s="13" t="s">
        <v>410</v>
      </c>
    </row>
    <row r="285" spans="1:6" x14ac:dyDescent="0.25">
      <c r="A285" s="13">
        <v>2203</v>
      </c>
      <c r="B285" s="14" t="s">
        <v>617</v>
      </c>
      <c r="C285" s="13" t="s">
        <v>618</v>
      </c>
      <c r="D285" s="13">
        <v>3</v>
      </c>
      <c r="E285" s="13">
        <v>1.5</v>
      </c>
      <c r="F285" s="13" t="s">
        <v>410</v>
      </c>
    </row>
    <row r="286" spans="1:6" x14ac:dyDescent="0.25">
      <c r="A286" s="13">
        <v>2212</v>
      </c>
      <c r="B286" s="14" t="s">
        <v>619</v>
      </c>
      <c r="C286" s="13" t="s">
        <v>620</v>
      </c>
      <c r="D286" s="13">
        <v>3</v>
      </c>
      <c r="E286" s="13">
        <v>2</v>
      </c>
      <c r="F286" s="13" t="s">
        <v>410</v>
      </c>
    </row>
    <row r="287" spans="1:6" x14ac:dyDescent="0.25">
      <c r="A287" s="13">
        <v>2215</v>
      </c>
      <c r="B287" s="14" t="s">
        <v>621</v>
      </c>
      <c r="C287" s="13" t="s">
        <v>622</v>
      </c>
      <c r="D287" s="13">
        <v>2</v>
      </c>
      <c r="E287" s="13">
        <v>2</v>
      </c>
      <c r="F287" s="13" t="s">
        <v>410</v>
      </c>
    </row>
    <row r="288" spans="1:6" x14ac:dyDescent="0.25">
      <c r="A288" s="13">
        <v>2217</v>
      </c>
      <c r="B288" s="14" t="s">
        <v>623</v>
      </c>
      <c r="C288" s="13" t="s">
        <v>624</v>
      </c>
      <c r="D288" s="13">
        <v>1</v>
      </c>
      <c r="E288" s="13">
        <v>3.5</v>
      </c>
      <c r="F288" s="13" t="s">
        <v>410</v>
      </c>
    </row>
    <row r="289" spans="1:6" x14ac:dyDescent="0.25">
      <c r="A289" s="13">
        <v>2221</v>
      </c>
      <c r="B289" s="14" t="s">
        <v>625</v>
      </c>
      <c r="C289" s="13" t="s">
        <v>626</v>
      </c>
      <c r="D289" s="13">
        <v>1</v>
      </c>
      <c r="E289" s="13">
        <v>4</v>
      </c>
      <c r="F289" s="13" t="s">
        <v>410</v>
      </c>
    </row>
    <row r="290" spans="1:6" x14ac:dyDescent="0.25">
      <c r="A290" s="13">
        <v>2223</v>
      </c>
      <c r="B290" s="14" t="s">
        <v>627</v>
      </c>
      <c r="C290" s="13" t="s">
        <v>628</v>
      </c>
      <c r="D290" s="13">
        <v>1</v>
      </c>
      <c r="E290" s="13">
        <v>4</v>
      </c>
      <c r="F290" s="13" t="s">
        <v>410</v>
      </c>
    </row>
    <row r="291" spans="1:6" x14ac:dyDescent="0.25">
      <c r="A291" s="13">
        <v>2224</v>
      </c>
      <c r="B291" s="14" t="s">
        <v>629</v>
      </c>
      <c r="C291" s="13" t="s">
        <v>630</v>
      </c>
      <c r="D291" s="13">
        <v>3</v>
      </c>
      <c r="E291" s="13">
        <v>3.5</v>
      </c>
      <c r="F291" s="13" t="s">
        <v>410</v>
      </c>
    </row>
    <row r="292" spans="1:6" x14ac:dyDescent="0.25">
      <c r="A292" s="13">
        <v>2227</v>
      </c>
      <c r="B292" s="14" t="s">
        <v>631</v>
      </c>
      <c r="C292" s="13" t="s">
        <v>632</v>
      </c>
      <c r="D292" s="13">
        <v>2</v>
      </c>
      <c r="E292" s="13">
        <v>4</v>
      </c>
      <c r="F292" s="13" t="s">
        <v>410</v>
      </c>
    </row>
    <row r="293" spans="1:6" x14ac:dyDescent="0.25">
      <c r="A293" s="13">
        <v>2228</v>
      </c>
      <c r="B293" s="14" t="s">
        <v>633</v>
      </c>
      <c r="C293" s="13" t="s">
        <v>634</v>
      </c>
      <c r="D293" s="13">
        <v>1</v>
      </c>
      <c r="E293" s="13">
        <v>3.5</v>
      </c>
      <c r="F293" s="13" t="s">
        <v>410</v>
      </c>
    </row>
    <row r="294" spans="1:6" x14ac:dyDescent="0.25">
      <c r="A294" s="13">
        <v>2231</v>
      </c>
      <c r="B294" s="14" t="s">
        <v>635</v>
      </c>
      <c r="C294" s="13" t="s">
        <v>636</v>
      </c>
      <c r="D294" s="13">
        <v>2</v>
      </c>
      <c r="E294" s="13">
        <v>3</v>
      </c>
      <c r="F294" s="13" t="s">
        <v>410</v>
      </c>
    </row>
    <row r="295" spans="1:6" x14ac:dyDescent="0.25">
      <c r="A295" s="13">
        <v>2233</v>
      </c>
      <c r="B295" s="14" t="s">
        <v>637</v>
      </c>
      <c r="C295" s="13" t="s">
        <v>638</v>
      </c>
      <c r="D295" s="13">
        <v>3</v>
      </c>
      <c r="E295" s="13">
        <v>4</v>
      </c>
      <c r="F295" s="13" t="s">
        <v>410</v>
      </c>
    </row>
    <row r="296" spans="1:6" x14ac:dyDescent="0.25">
      <c r="A296" s="13">
        <v>2234</v>
      </c>
      <c r="B296" s="14" t="s">
        <v>639</v>
      </c>
      <c r="C296" s="13" t="s">
        <v>640</v>
      </c>
      <c r="D296" s="13">
        <v>1</v>
      </c>
      <c r="E296" s="13">
        <v>4</v>
      </c>
      <c r="F296" s="13" t="s">
        <v>410</v>
      </c>
    </row>
    <row r="297" spans="1:6" x14ac:dyDescent="0.25">
      <c r="A297" s="13">
        <v>2235</v>
      </c>
      <c r="B297" s="14" t="s">
        <v>641</v>
      </c>
      <c r="C297" s="13" t="s">
        <v>642</v>
      </c>
      <c r="D297" s="13">
        <v>3</v>
      </c>
      <c r="E297" s="13">
        <v>4</v>
      </c>
      <c r="F297" s="13" t="s">
        <v>410</v>
      </c>
    </row>
    <row r="298" spans="1:6" x14ac:dyDescent="0.25">
      <c r="A298" s="13">
        <v>2237</v>
      </c>
      <c r="B298" s="14" t="s">
        <v>643</v>
      </c>
      <c r="C298" s="13" t="s">
        <v>644</v>
      </c>
      <c r="D298" s="13">
        <v>3</v>
      </c>
      <c r="E298" s="13">
        <v>2.5</v>
      </c>
      <c r="F298" s="13" t="s">
        <v>410</v>
      </c>
    </row>
    <row r="299" spans="1:6" x14ac:dyDescent="0.25">
      <c r="A299" s="13">
        <v>2241</v>
      </c>
      <c r="B299" s="14" t="s">
        <v>645</v>
      </c>
      <c r="C299" s="13" t="s">
        <v>646</v>
      </c>
      <c r="D299" s="13">
        <v>3</v>
      </c>
      <c r="E299" s="13">
        <v>2.5</v>
      </c>
      <c r="F299" s="13" t="s">
        <v>410</v>
      </c>
    </row>
    <row r="300" spans="1:6" x14ac:dyDescent="0.25">
      <c r="A300" s="13">
        <v>2243</v>
      </c>
      <c r="B300" s="14" t="s">
        <v>647</v>
      </c>
      <c r="C300" s="13" t="s">
        <v>648</v>
      </c>
      <c r="D300" s="13">
        <v>1</v>
      </c>
      <c r="E300" s="13">
        <v>4</v>
      </c>
      <c r="F300" s="13" t="s">
        <v>410</v>
      </c>
    </row>
    <row r="301" spans="1:6" x14ac:dyDescent="0.25">
      <c r="A301" s="13">
        <v>2253</v>
      </c>
      <c r="B301" s="14" t="s">
        <v>649</v>
      </c>
      <c r="C301" s="13" t="s">
        <v>650</v>
      </c>
      <c r="D301" s="13">
        <v>3</v>
      </c>
      <c r="E301" s="13">
        <v>2</v>
      </c>
      <c r="F301" s="13" t="s">
        <v>410</v>
      </c>
    </row>
    <row r="302" spans="1:6" x14ac:dyDescent="0.25">
      <c r="A302" s="13">
        <v>2254</v>
      </c>
      <c r="B302" s="14" t="s">
        <v>651</v>
      </c>
      <c r="C302" s="13" t="s">
        <v>652</v>
      </c>
      <c r="D302" s="13">
        <v>3</v>
      </c>
      <c r="E302" s="13">
        <v>2</v>
      </c>
      <c r="F302" s="13" t="s">
        <v>410</v>
      </c>
    </row>
    <row r="303" spans="1:6" x14ac:dyDescent="0.25">
      <c r="A303" s="13">
        <v>2255</v>
      </c>
      <c r="B303" s="14" t="s">
        <v>653</v>
      </c>
      <c r="C303" s="13" t="s">
        <v>654</v>
      </c>
      <c r="D303" s="13">
        <v>1</v>
      </c>
      <c r="E303" s="13">
        <v>2</v>
      </c>
      <c r="F303" s="13" t="s">
        <v>410</v>
      </c>
    </row>
    <row r="304" spans="1:6" x14ac:dyDescent="0.25">
      <c r="A304" s="13">
        <v>2257</v>
      </c>
      <c r="B304" s="14" t="s">
        <v>655</v>
      </c>
      <c r="C304" s="13" t="s">
        <v>656</v>
      </c>
      <c r="D304" s="13">
        <v>3</v>
      </c>
      <c r="E304" s="13">
        <v>1</v>
      </c>
      <c r="F304" s="13" t="s">
        <v>410</v>
      </c>
    </row>
  </sheetData>
  <autoFilter ref="A4:F30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304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1" customWidth="1"/>
    <col min="3" max="50" width="7" customWidth="1"/>
  </cols>
  <sheetData>
    <row r="1" spans="1:50" ht="19.5" x14ac:dyDescent="0.3">
      <c r="A1" s="1" t="s">
        <v>657</v>
      </c>
    </row>
    <row r="2" spans="1:50" x14ac:dyDescent="0.25">
      <c r="A2" s="29" t="s">
        <v>658</v>
      </c>
      <c r="B2" s="27"/>
      <c r="C2" s="27"/>
      <c r="D2" s="27"/>
      <c r="E2" s="27"/>
      <c r="F2" s="27"/>
    </row>
    <row r="4" spans="1:50" x14ac:dyDescent="0.25">
      <c r="A4" s="5" t="s">
        <v>50</v>
      </c>
      <c r="B4" s="5" t="s">
        <v>54</v>
      </c>
      <c r="C4" s="5" t="s">
        <v>659</v>
      </c>
      <c r="D4" s="5" t="s">
        <v>660</v>
      </c>
      <c r="E4" s="5" t="s">
        <v>661</v>
      </c>
      <c r="F4" s="5" t="s">
        <v>662</v>
      </c>
      <c r="G4" s="5" t="s">
        <v>663</v>
      </c>
      <c r="H4" s="5" t="s">
        <v>664</v>
      </c>
      <c r="I4" s="5" t="s">
        <v>665</v>
      </c>
      <c r="J4" s="5" t="s">
        <v>666</v>
      </c>
      <c r="K4" s="5" t="s">
        <v>667</v>
      </c>
      <c r="L4" s="5" t="s">
        <v>668</v>
      </c>
      <c r="M4" s="5" t="s">
        <v>669</v>
      </c>
      <c r="N4" s="5" t="s">
        <v>670</v>
      </c>
      <c r="O4" s="5" t="s">
        <v>671</v>
      </c>
      <c r="P4" s="5" t="s">
        <v>672</v>
      </c>
      <c r="Q4" s="5" t="s">
        <v>673</v>
      </c>
      <c r="R4" s="5" t="s">
        <v>674</v>
      </c>
      <c r="S4" s="5" t="s">
        <v>675</v>
      </c>
      <c r="T4" s="5" t="s">
        <v>676</v>
      </c>
      <c r="U4" s="5" t="s">
        <v>677</v>
      </c>
      <c r="V4" s="5" t="s">
        <v>678</v>
      </c>
      <c r="W4" s="5" t="s">
        <v>679</v>
      </c>
      <c r="X4" s="5" t="s">
        <v>680</v>
      </c>
      <c r="Y4" s="5" t="s">
        <v>681</v>
      </c>
      <c r="Z4" s="5" t="s">
        <v>682</v>
      </c>
      <c r="AA4" s="5" t="s">
        <v>683</v>
      </c>
      <c r="AB4" s="5" t="s">
        <v>684</v>
      </c>
      <c r="AC4" s="5" t="s">
        <v>685</v>
      </c>
      <c r="AD4" s="5" t="s">
        <v>686</v>
      </c>
      <c r="AE4" s="5" t="s">
        <v>687</v>
      </c>
      <c r="AF4" s="5" t="s">
        <v>688</v>
      </c>
      <c r="AG4" s="5" t="s">
        <v>689</v>
      </c>
      <c r="AH4" s="5" t="s">
        <v>690</v>
      </c>
      <c r="AI4" s="5" t="s">
        <v>691</v>
      </c>
      <c r="AJ4" s="5" t="s">
        <v>692</v>
      </c>
      <c r="AK4" s="5" t="s">
        <v>693</v>
      </c>
      <c r="AL4" s="5" t="s">
        <v>694</v>
      </c>
      <c r="AM4" s="5" t="s">
        <v>695</v>
      </c>
      <c r="AN4" s="5" t="s">
        <v>696</v>
      </c>
      <c r="AO4" s="5" t="s">
        <v>697</v>
      </c>
      <c r="AP4" s="5" t="s">
        <v>698</v>
      </c>
      <c r="AQ4" s="5" t="s">
        <v>699</v>
      </c>
      <c r="AR4" s="5" t="s">
        <v>700</v>
      </c>
      <c r="AS4" s="5" t="s">
        <v>701</v>
      </c>
      <c r="AT4" s="5" t="s">
        <v>702</v>
      </c>
      <c r="AU4" s="5" t="s">
        <v>703</v>
      </c>
      <c r="AV4" s="5" t="s">
        <v>704</v>
      </c>
      <c r="AW4" s="5" t="s">
        <v>705</v>
      </c>
      <c r="AX4" s="5" t="s">
        <v>706</v>
      </c>
    </row>
    <row r="5" spans="1:50" x14ac:dyDescent="0.25">
      <c r="A5" s="8" t="s">
        <v>55</v>
      </c>
      <c r="B5" s="10" t="s">
        <v>57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</row>
    <row r="6" spans="1:50" x14ac:dyDescent="0.25">
      <c r="A6" s="8" t="s">
        <v>58</v>
      </c>
      <c r="B6" s="10" t="s">
        <v>57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</row>
    <row r="7" spans="1:50" x14ac:dyDescent="0.25">
      <c r="A7" s="17" t="s">
        <v>408</v>
      </c>
      <c r="B7" s="13" t="s">
        <v>410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1.6999999999999999E-3</v>
      </c>
      <c r="K7" s="18">
        <v>2.4899999999999999E-2</v>
      </c>
      <c r="L7" s="18">
        <v>0.1163</v>
      </c>
      <c r="M7" s="18">
        <v>0.23069999999999999</v>
      </c>
      <c r="N7" s="18">
        <v>0.37090000000000001</v>
      </c>
      <c r="O7" s="18">
        <v>0.52400000000000002</v>
      </c>
      <c r="P7" s="18">
        <v>0.67889999999999995</v>
      </c>
      <c r="Q7" s="18">
        <v>0.83299999999999996</v>
      </c>
      <c r="R7" s="18">
        <v>0.98729999999999996</v>
      </c>
      <c r="S7" s="18">
        <v>1.1322000000000001</v>
      </c>
      <c r="T7" s="18">
        <v>1.2683</v>
      </c>
      <c r="U7" s="18">
        <v>1.3843000000000001</v>
      </c>
      <c r="V7" s="18">
        <v>1.4832000000000001</v>
      </c>
      <c r="W7" s="18">
        <v>1.57</v>
      </c>
      <c r="X7" s="18">
        <v>1.6416999999999999</v>
      </c>
      <c r="Y7" s="18">
        <v>1.6924999999999999</v>
      </c>
      <c r="Z7" s="18">
        <v>1.7148000000000001</v>
      </c>
      <c r="AA7" s="18">
        <v>1.7212000000000001</v>
      </c>
      <c r="AB7" s="18">
        <v>1.7092000000000001</v>
      </c>
      <c r="AC7" s="18">
        <v>1.6686000000000001</v>
      </c>
      <c r="AD7" s="18">
        <v>1.6067</v>
      </c>
      <c r="AE7" s="18">
        <v>1.5327999999999999</v>
      </c>
      <c r="AF7" s="18">
        <v>1.4391</v>
      </c>
      <c r="AG7" s="18">
        <v>1.3395999999999999</v>
      </c>
      <c r="AH7" s="18">
        <v>1.2198</v>
      </c>
      <c r="AI7" s="18">
        <v>1.0849</v>
      </c>
      <c r="AJ7" s="18">
        <v>0.92200000000000004</v>
      </c>
      <c r="AK7" s="18">
        <v>0.76959999999999995</v>
      </c>
      <c r="AL7" s="18">
        <v>0.61299999999999999</v>
      </c>
      <c r="AM7" s="18">
        <v>0.46150000000000002</v>
      </c>
      <c r="AN7" s="18">
        <v>0.31540000000000001</v>
      </c>
      <c r="AO7" s="18">
        <v>0.1842</v>
      </c>
      <c r="AP7" s="18">
        <v>5.3600000000000002E-2</v>
      </c>
      <c r="AQ7" s="18">
        <v>9.9000000000000008E-3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</row>
    <row r="8" spans="1:50" x14ac:dyDescent="0.25">
      <c r="A8" s="8" t="s">
        <v>60</v>
      </c>
      <c r="B8" s="10" t="s">
        <v>57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</row>
    <row r="9" spans="1:50" x14ac:dyDescent="0.25">
      <c r="A9" s="8" t="s">
        <v>62</v>
      </c>
      <c r="B9" s="10" t="s">
        <v>57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</row>
    <row r="10" spans="1:50" x14ac:dyDescent="0.25">
      <c r="A10" s="17" t="s">
        <v>411</v>
      </c>
      <c r="B10" s="13" t="s">
        <v>410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2.2000000000000001E-3</v>
      </c>
      <c r="K10" s="18">
        <v>3.1099999999999999E-2</v>
      </c>
      <c r="L10" s="18">
        <v>0.1454</v>
      </c>
      <c r="M10" s="18">
        <v>0.2883</v>
      </c>
      <c r="N10" s="18">
        <v>0.4637</v>
      </c>
      <c r="O10" s="18">
        <v>0.65490000000000004</v>
      </c>
      <c r="P10" s="18">
        <v>0.84860000000000002</v>
      </c>
      <c r="Q10" s="18">
        <v>1.0411999999999999</v>
      </c>
      <c r="R10" s="18">
        <v>1.2341</v>
      </c>
      <c r="S10" s="18">
        <v>1.4152</v>
      </c>
      <c r="T10" s="18">
        <v>1.5853999999999999</v>
      </c>
      <c r="U10" s="18">
        <v>1.7303999999999999</v>
      </c>
      <c r="V10" s="18">
        <v>1.8540000000000001</v>
      </c>
      <c r="W10" s="18">
        <v>1.9624999999999999</v>
      </c>
      <c r="X10" s="18">
        <v>2.0520999999999998</v>
      </c>
      <c r="Y10" s="18">
        <v>2.1156000000000001</v>
      </c>
      <c r="Z10" s="18">
        <v>2.1435</v>
      </c>
      <c r="AA10" s="18">
        <v>2.1516000000000002</v>
      </c>
      <c r="AB10" s="18">
        <v>2.1364999999999998</v>
      </c>
      <c r="AC10" s="18">
        <v>2.0857000000000001</v>
      </c>
      <c r="AD10" s="18">
        <v>2.0083000000000002</v>
      </c>
      <c r="AE10" s="18">
        <v>1.9158999999999999</v>
      </c>
      <c r="AF10" s="18">
        <v>1.7988999999999999</v>
      </c>
      <c r="AG10" s="18">
        <v>1.6745000000000001</v>
      </c>
      <c r="AH10" s="18">
        <v>1.5246999999999999</v>
      </c>
      <c r="AI10" s="18">
        <v>1.3561000000000001</v>
      </c>
      <c r="AJ10" s="18">
        <v>1.1525000000000001</v>
      </c>
      <c r="AK10" s="18">
        <v>0.96199999999999997</v>
      </c>
      <c r="AL10" s="18">
        <v>0.76619999999999999</v>
      </c>
      <c r="AM10" s="18">
        <v>0.57679999999999998</v>
      </c>
      <c r="AN10" s="18">
        <v>0.39419999999999999</v>
      </c>
      <c r="AO10" s="18">
        <v>0.23019999999999999</v>
      </c>
      <c r="AP10" s="18">
        <v>6.7000000000000004E-2</v>
      </c>
      <c r="AQ10" s="18">
        <v>1.24E-2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</row>
    <row r="11" spans="1:50" x14ac:dyDescent="0.25">
      <c r="A11" s="8" t="s">
        <v>64</v>
      </c>
      <c r="B11" s="10" t="s">
        <v>57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</row>
    <row r="12" spans="1:50" x14ac:dyDescent="0.25">
      <c r="A12" s="17" t="s">
        <v>413</v>
      </c>
      <c r="B12" s="13" t="s">
        <v>410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2.2000000000000001E-3</v>
      </c>
      <c r="K12" s="18">
        <v>3.1099999999999999E-2</v>
      </c>
      <c r="L12" s="18">
        <v>0.1454</v>
      </c>
      <c r="M12" s="18">
        <v>0.2883</v>
      </c>
      <c r="N12" s="18">
        <v>0.4637</v>
      </c>
      <c r="O12" s="18">
        <v>0.65490000000000004</v>
      </c>
      <c r="P12" s="18">
        <v>0.84860000000000002</v>
      </c>
      <c r="Q12" s="18">
        <v>1.0411999999999999</v>
      </c>
      <c r="R12" s="18">
        <v>1.2341</v>
      </c>
      <c r="S12" s="18">
        <v>1.4152</v>
      </c>
      <c r="T12" s="18">
        <v>1.5853999999999999</v>
      </c>
      <c r="U12" s="18">
        <v>1.7303999999999999</v>
      </c>
      <c r="V12" s="18">
        <v>1.8540000000000001</v>
      </c>
      <c r="W12" s="18">
        <v>1.9624999999999999</v>
      </c>
      <c r="X12" s="18">
        <v>2.0520999999999998</v>
      </c>
      <c r="Y12" s="18">
        <v>2.1156000000000001</v>
      </c>
      <c r="Z12" s="18">
        <v>2.1435</v>
      </c>
      <c r="AA12" s="18">
        <v>2.1516000000000002</v>
      </c>
      <c r="AB12" s="18">
        <v>2.1364999999999998</v>
      </c>
      <c r="AC12" s="18">
        <v>2.0857000000000001</v>
      </c>
      <c r="AD12" s="18">
        <v>2.0083000000000002</v>
      </c>
      <c r="AE12" s="18">
        <v>1.9158999999999999</v>
      </c>
      <c r="AF12" s="18">
        <v>1.7988999999999999</v>
      </c>
      <c r="AG12" s="18">
        <v>1.6745000000000001</v>
      </c>
      <c r="AH12" s="18">
        <v>1.5246999999999999</v>
      </c>
      <c r="AI12" s="18">
        <v>1.3561000000000001</v>
      </c>
      <c r="AJ12" s="18">
        <v>1.1525000000000001</v>
      </c>
      <c r="AK12" s="18">
        <v>0.96199999999999997</v>
      </c>
      <c r="AL12" s="18">
        <v>0.76619999999999999</v>
      </c>
      <c r="AM12" s="18">
        <v>0.57679999999999998</v>
      </c>
      <c r="AN12" s="18">
        <v>0.39419999999999999</v>
      </c>
      <c r="AO12" s="18">
        <v>0.23019999999999999</v>
      </c>
      <c r="AP12" s="18">
        <v>6.7000000000000004E-2</v>
      </c>
      <c r="AQ12" s="18">
        <v>1.24E-2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</row>
    <row r="13" spans="1:50" x14ac:dyDescent="0.25">
      <c r="A13" s="8" t="s">
        <v>66</v>
      </c>
      <c r="B13" s="10" t="s">
        <v>57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</row>
    <row r="14" spans="1:50" x14ac:dyDescent="0.25">
      <c r="A14" s="8" t="s">
        <v>68</v>
      </c>
      <c r="B14" s="10" t="s">
        <v>57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</row>
    <row r="15" spans="1:50" x14ac:dyDescent="0.25">
      <c r="A15" s="17" t="s">
        <v>415</v>
      </c>
      <c r="B15" s="13" t="s">
        <v>410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1.6999999999999999E-3</v>
      </c>
      <c r="K15" s="18">
        <v>2.4899999999999999E-2</v>
      </c>
      <c r="L15" s="18">
        <v>0.1163</v>
      </c>
      <c r="M15" s="18">
        <v>0.23069999999999999</v>
      </c>
      <c r="N15" s="18">
        <v>0.37090000000000001</v>
      </c>
      <c r="O15" s="18">
        <v>0.52400000000000002</v>
      </c>
      <c r="P15" s="18">
        <v>0.67889999999999995</v>
      </c>
      <c r="Q15" s="18">
        <v>0.83299999999999996</v>
      </c>
      <c r="R15" s="18">
        <v>0.98729999999999996</v>
      </c>
      <c r="S15" s="18">
        <v>1.1322000000000001</v>
      </c>
      <c r="T15" s="18">
        <v>1.2683</v>
      </c>
      <c r="U15" s="18">
        <v>1.3843000000000001</v>
      </c>
      <c r="V15" s="18">
        <v>1.4832000000000001</v>
      </c>
      <c r="W15" s="18">
        <v>1.57</v>
      </c>
      <c r="X15" s="18">
        <v>1.6416999999999999</v>
      </c>
      <c r="Y15" s="18">
        <v>1.6924999999999999</v>
      </c>
      <c r="Z15" s="18">
        <v>1.7148000000000001</v>
      </c>
      <c r="AA15" s="18">
        <v>1.7212000000000001</v>
      </c>
      <c r="AB15" s="18">
        <v>1.7092000000000001</v>
      </c>
      <c r="AC15" s="18">
        <v>1.6686000000000001</v>
      </c>
      <c r="AD15" s="18">
        <v>1.6067</v>
      </c>
      <c r="AE15" s="18">
        <v>1.5327999999999999</v>
      </c>
      <c r="AF15" s="18">
        <v>1.4391</v>
      </c>
      <c r="AG15" s="18">
        <v>1.3395999999999999</v>
      </c>
      <c r="AH15" s="18">
        <v>1.2198</v>
      </c>
      <c r="AI15" s="18">
        <v>1.0849</v>
      </c>
      <c r="AJ15" s="18">
        <v>0.92200000000000004</v>
      </c>
      <c r="AK15" s="18">
        <v>0.76959999999999995</v>
      </c>
      <c r="AL15" s="18">
        <v>0.61299999999999999</v>
      </c>
      <c r="AM15" s="18">
        <v>0.46150000000000002</v>
      </c>
      <c r="AN15" s="18">
        <v>0.31540000000000001</v>
      </c>
      <c r="AO15" s="18">
        <v>0.1842</v>
      </c>
      <c r="AP15" s="18">
        <v>5.3600000000000002E-2</v>
      </c>
      <c r="AQ15" s="18">
        <v>9.9000000000000008E-3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</row>
    <row r="16" spans="1:50" x14ac:dyDescent="0.25">
      <c r="A16" s="8" t="s">
        <v>70</v>
      </c>
      <c r="B16" s="10" t="s">
        <v>57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</row>
    <row r="17" spans="1:50" x14ac:dyDescent="0.25">
      <c r="A17" s="8" t="s">
        <v>72</v>
      </c>
      <c r="B17" s="10" t="s">
        <v>57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</row>
    <row r="18" spans="1:50" x14ac:dyDescent="0.25">
      <c r="A18" s="17" t="s">
        <v>417</v>
      </c>
      <c r="B18" s="13" t="s">
        <v>410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3.3999999999999998E-3</v>
      </c>
      <c r="K18" s="18">
        <v>4.9700000000000001E-2</v>
      </c>
      <c r="L18" s="18">
        <v>0.2326</v>
      </c>
      <c r="M18" s="18">
        <v>0.46129999999999999</v>
      </c>
      <c r="N18" s="18">
        <v>0.7419</v>
      </c>
      <c r="O18" s="18">
        <v>1.0479000000000001</v>
      </c>
      <c r="P18" s="18">
        <v>1.3576999999999999</v>
      </c>
      <c r="Q18" s="18">
        <v>1.6659999999999999</v>
      </c>
      <c r="R18" s="18">
        <v>1.9745999999999999</v>
      </c>
      <c r="S18" s="18">
        <v>2.2643</v>
      </c>
      <c r="T18" s="18">
        <v>2.5367000000000002</v>
      </c>
      <c r="U18" s="18">
        <v>2.7686000000000002</v>
      </c>
      <c r="V18" s="18">
        <v>2.9664000000000001</v>
      </c>
      <c r="W18" s="18">
        <v>3.14</v>
      </c>
      <c r="X18" s="18">
        <v>3.2833000000000001</v>
      </c>
      <c r="Y18" s="18">
        <v>3.3849999999999998</v>
      </c>
      <c r="Z18" s="18">
        <v>3.4296000000000002</v>
      </c>
      <c r="AA18" s="18">
        <v>3.4424999999999999</v>
      </c>
      <c r="AB18" s="18">
        <v>3.4182999999999999</v>
      </c>
      <c r="AC18" s="18">
        <v>3.3372000000000002</v>
      </c>
      <c r="AD18" s="18">
        <v>3.2132999999999998</v>
      </c>
      <c r="AE18" s="18">
        <v>3.0655000000000001</v>
      </c>
      <c r="AF18" s="18">
        <v>2.8782000000000001</v>
      </c>
      <c r="AG18" s="18">
        <v>2.6791</v>
      </c>
      <c r="AH18" s="18">
        <v>2.4396</v>
      </c>
      <c r="AI18" s="18">
        <v>2.1698</v>
      </c>
      <c r="AJ18" s="18">
        <v>1.8441000000000001</v>
      </c>
      <c r="AK18" s="18">
        <v>1.5391999999999999</v>
      </c>
      <c r="AL18" s="18">
        <v>1.2259</v>
      </c>
      <c r="AM18" s="18">
        <v>0.92290000000000005</v>
      </c>
      <c r="AN18" s="18">
        <v>0.63080000000000003</v>
      </c>
      <c r="AO18" s="18">
        <v>0.36830000000000002</v>
      </c>
      <c r="AP18" s="18">
        <v>0.1072</v>
      </c>
      <c r="AQ18" s="18">
        <v>1.9800000000000002E-2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</row>
    <row r="19" spans="1:50" x14ac:dyDescent="0.25">
      <c r="A19" s="8" t="s">
        <v>74</v>
      </c>
      <c r="B19" s="10" t="s">
        <v>57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</row>
    <row r="20" spans="1:50" x14ac:dyDescent="0.25">
      <c r="A20" s="17" t="s">
        <v>419</v>
      </c>
      <c r="B20" s="13" t="s">
        <v>410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3.3999999999999998E-3</v>
      </c>
      <c r="K20" s="18">
        <v>4.9700000000000001E-2</v>
      </c>
      <c r="L20" s="18">
        <v>0.2326</v>
      </c>
      <c r="M20" s="18">
        <v>0.46129999999999999</v>
      </c>
      <c r="N20" s="18">
        <v>0.7419</v>
      </c>
      <c r="O20" s="18">
        <v>1.0479000000000001</v>
      </c>
      <c r="P20" s="18">
        <v>1.3576999999999999</v>
      </c>
      <c r="Q20" s="18">
        <v>1.6659999999999999</v>
      </c>
      <c r="R20" s="18">
        <v>1.9745999999999999</v>
      </c>
      <c r="S20" s="18">
        <v>2.2643</v>
      </c>
      <c r="T20" s="18">
        <v>2.5367000000000002</v>
      </c>
      <c r="U20" s="18">
        <v>2.7686000000000002</v>
      </c>
      <c r="V20" s="18">
        <v>2.9664000000000001</v>
      </c>
      <c r="W20" s="18">
        <v>3.14</v>
      </c>
      <c r="X20" s="18">
        <v>3.2833000000000001</v>
      </c>
      <c r="Y20" s="18">
        <v>3.3849999999999998</v>
      </c>
      <c r="Z20" s="18">
        <v>3.4296000000000002</v>
      </c>
      <c r="AA20" s="18">
        <v>3.4424999999999999</v>
      </c>
      <c r="AB20" s="18">
        <v>3.4182999999999999</v>
      </c>
      <c r="AC20" s="18">
        <v>3.3372000000000002</v>
      </c>
      <c r="AD20" s="18">
        <v>3.2132999999999998</v>
      </c>
      <c r="AE20" s="18">
        <v>3.0655000000000001</v>
      </c>
      <c r="AF20" s="18">
        <v>2.8782000000000001</v>
      </c>
      <c r="AG20" s="18">
        <v>2.6791</v>
      </c>
      <c r="AH20" s="18">
        <v>2.4396</v>
      </c>
      <c r="AI20" s="18">
        <v>2.1698</v>
      </c>
      <c r="AJ20" s="18">
        <v>1.8441000000000001</v>
      </c>
      <c r="AK20" s="18">
        <v>1.5391999999999999</v>
      </c>
      <c r="AL20" s="18">
        <v>1.2259</v>
      </c>
      <c r="AM20" s="18">
        <v>0.92290000000000005</v>
      </c>
      <c r="AN20" s="18">
        <v>0.63080000000000003</v>
      </c>
      <c r="AO20" s="18">
        <v>0.36830000000000002</v>
      </c>
      <c r="AP20" s="18">
        <v>0.1072</v>
      </c>
      <c r="AQ20" s="18">
        <v>1.9800000000000002E-2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</row>
    <row r="21" spans="1:50" x14ac:dyDescent="0.25">
      <c r="A21" s="8" t="s">
        <v>76</v>
      </c>
      <c r="B21" s="10" t="s">
        <v>57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</row>
    <row r="22" spans="1:50" x14ac:dyDescent="0.25">
      <c r="A22" s="8" t="s">
        <v>78</v>
      </c>
      <c r="B22" s="10" t="s">
        <v>57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</row>
    <row r="23" spans="1:50" x14ac:dyDescent="0.25">
      <c r="A23" s="8" t="s">
        <v>80</v>
      </c>
      <c r="B23" s="10" t="s">
        <v>57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</row>
    <row r="24" spans="1:50" x14ac:dyDescent="0.25">
      <c r="A24" s="8" t="s">
        <v>82</v>
      </c>
      <c r="B24" s="10" t="s">
        <v>57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</row>
    <row r="25" spans="1:50" x14ac:dyDescent="0.25">
      <c r="A25" s="17" t="s">
        <v>421</v>
      </c>
      <c r="B25" s="13" t="s">
        <v>410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3.3999999999999998E-3</v>
      </c>
      <c r="K25" s="18">
        <v>4.9700000000000001E-2</v>
      </c>
      <c r="L25" s="18">
        <v>0.2326</v>
      </c>
      <c r="M25" s="18">
        <v>0.46129999999999999</v>
      </c>
      <c r="N25" s="18">
        <v>0.7419</v>
      </c>
      <c r="O25" s="18">
        <v>1.0479000000000001</v>
      </c>
      <c r="P25" s="18">
        <v>1.3576999999999999</v>
      </c>
      <c r="Q25" s="18">
        <v>1.6659999999999999</v>
      </c>
      <c r="R25" s="18">
        <v>1.9745999999999999</v>
      </c>
      <c r="S25" s="18">
        <v>2.2643</v>
      </c>
      <c r="T25" s="18">
        <v>2.5367000000000002</v>
      </c>
      <c r="U25" s="18">
        <v>2.7686000000000002</v>
      </c>
      <c r="V25" s="18">
        <v>2.9664000000000001</v>
      </c>
      <c r="W25" s="18">
        <v>3.14</v>
      </c>
      <c r="X25" s="18">
        <v>3.2833000000000001</v>
      </c>
      <c r="Y25" s="18">
        <v>3.3849999999999998</v>
      </c>
      <c r="Z25" s="18">
        <v>3.4296000000000002</v>
      </c>
      <c r="AA25" s="18">
        <v>3.4424999999999999</v>
      </c>
      <c r="AB25" s="18">
        <v>3.4182999999999999</v>
      </c>
      <c r="AC25" s="18">
        <v>3.3372000000000002</v>
      </c>
      <c r="AD25" s="18">
        <v>3.2132999999999998</v>
      </c>
      <c r="AE25" s="18">
        <v>3.0655000000000001</v>
      </c>
      <c r="AF25" s="18">
        <v>2.8782000000000001</v>
      </c>
      <c r="AG25" s="18">
        <v>2.6791</v>
      </c>
      <c r="AH25" s="18">
        <v>2.4396</v>
      </c>
      <c r="AI25" s="18">
        <v>2.1698</v>
      </c>
      <c r="AJ25" s="18">
        <v>1.8441000000000001</v>
      </c>
      <c r="AK25" s="18">
        <v>1.5391999999999999</v>
      </c>
      <c r="AL25" s="18">
        <v>1.2259</v>
      </c>
      <c r="AM25" s="18">
        <v>0.92290000000000005</v>
      </c>
      <c r="AN25" s="18">
        <v>0.63080000000000003</v>
      </c>
      <c r="AO25" s="18">
        <v>0.36830000000000002</v>
      </c>
      <c r="AP25" s="18">
        <v>0.1072</v>
      </c>
      <c r="AQ25" s="18">
        <v>1.9800000000000002E-2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</row>
    <row r="26" spans="1:50" x14ac:dyDescent="0.25">
      <c r="A26" s="17" t="s">
        <v>423</v>
      </c>
      <c r="B26" s="13" t="s">
        <v>410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2.5999999999999999E-3</v>
      </c>
      <c r="K26" s="18">
        <v>3.73E-2</v>
      </c>
      <c r="L26" s="18">
        <v>0.1744</v>
      </c>
      <c r="M26" s="18">
        <v>0.34599999999999997</v>
      </c>
      <c r="N26" s="18">
        <v>0.55640000000000001</v>
      </c>
      <c r="O26" s="18">
        <v>0.78590000000000004</v>
      </c>
      <c r="P26" s="18">
        <v>1.0183</v>
      </c>
      <c r="Q26" s="18">
        <v>1.2495000000000001</v>
      </c>
      <c r="R26" s="18">
        <v>1.4810000000000001</v>
      </c>
      <c r="S26" s="18">
        <v>1.6981999999999999</v>
      </c>
      <c r="T26" s="18">
        <v>1.9025000000000001</v>
      </c>
      <c r="U26" s="18">
        <v>2.0764</v>
      </c>
      <c r="V26" s="18">
        <v>2.2248000000000001</v>
      </c>
      <c r="W26" s="18">
        <v>2.355</v>
      </c>
      <c r="X26" s="18">
        <v>2.4624999999999999</v>
      </c>
      <c r="Y26" s="18">
        <v>2.5387</v>
      </c>
      <c r="Z26" s="18">
        <v>2.5722</v>
      </c>
      <c r="AA26" s="18">
        <v>2.5819000000000001</v>
      </c>
      <c r="AB26" s="18">
        <v>2.5636999999999999</v>
      </c>
      <c r="AC26" s="18">
        <v>2.5028999999999999</v>
      </c>
      <c r="AD26" s="18">
        <v>2.41</v>
      </c>
      <c r="AE26" s="18">
        <v>2.2991000000000001</v>
      </c>
      <c r="AF26" s="18">
        <v>2.1585999999999999</v>
      </c>
      <c r="AG26" s="18">
        <v>2.0093000000000001</v>
      </c>
      <c r="AH26" s="18">
        <v>1.8297000000000001</v>
      </c>
      <c r="AI26" s="18">
        <v>1.6274</v>
      </c>
      <c r="AJ26" s="18">
        <v>1.3831</v>
      </c>
      <c r="AK26" s="18">
        <v>1.1544000000000001</v>
      </c>
      <c r="AL26" s="18">
        <v>0.91949999999999998</v>
      </c>
      <c r="AM26" s="18">
        <v>0.69220000000000004</v>
      </c>
      <c r="AN26" s="18">
        <v>0.47310000000000002</v>
      </c>
      <c r="AO26" s="18">
        <v>0.2762</v>
      </c>
      <c r="AP26" s="18">
        <v>8.0399999999999999E-2</v>
      </c>
      <c r="AQ26" s="18">
        <v>1.4800000000000001E-2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</row>
    <row r="27" spans="1:50" x14ac:dyDescent="0.25">
      <c r="A27" s="8" t="s">
        <v>84</v>
      </c>
      <c r="B27" s="10" t="s">
        <v>57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</row>
    <row r="28" spans="1:50" x14ac:dyDescent="0.25">
      <c r="A28" s="17" t="s">
        <v>425</v>
      </c>
      <c r="B28" s="13" t="s">
        <v>410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1.6999999999999999E-3</v>
      </c>
      <c r="K28" s="18">
        <v>2.4899999999999999E-2</v>
      </c>
      <c r="L28" s="18">
        <v>0.1163</v>
      </c>
      <c r="M28" s="18">
        <v>0.23069999999999999</v>
      </c>
      <c r="N28" s="18">
        <v>0.37090000000000001</v>
      </c>
      <c r="O28" s="18">
        <v>0.52400000000000002</v>
      </c>
      <c r="P28" s="18">
        <v>0.67889999999999995</v>
      </c>
      <c r="Q28" s="18">
        <v>0.83299999999999996</v>
      </c>
      <c r="R28" s="18">
        <v>0.98729999999999996</v>
      </c>
      <c r="S28" s="18">
        <v>1.1322000000000001</v>
      </c>
      <c r="T28" s="18">
        <v>1.2683</v>
      </c>
      <c r="U28" s="18">
        <v>1.3843000000000001</v>
      </c>
      <c r="V28" s="18">
        <v>1.4832000000000001</v>
      </c>
      <c r="W28" s="18">
        <v>1.57</v>
      </c>
      <c r="X28" s="18">
        <v>1.6416999999999999</v>
      </c>
      <c r="Y28" s="18">
        <v>1.6924999999999999</v>
      </c>
      <c r="Z28" s="18">
        <v>1.7148000000000001</v>
      </c>
      <c r="AA28" s="18">
        <v>1.7212000000000001</v>
      </c>
      <c r="AB28" s="18">
        <v>1.7092000000000001</v>
      </c>
      <c r="AC28" s="18">
        <v>1.6686000000000001</v>
      </c>
      <c r="AD28" s="18">
        <v>1.6067</v>
      </c>
      <c r="AE28" s="18">
        <v>1.5327999999999999</v>
      </c>
      <c r="AF28" s="18">
        <v>1.4391</v>
      </c>
      <c r="AG28" s="18">
        <v>1.3395999999999999</v>
      </c>
      <c r="AH28" s="18">
        <v>1.2198</v>
      </c>
      <c r="AI28" s="18">
        <v>1.0849</v>
      </c>
      <c r="AJ28" s="18">
        <v>0.92200000000000004</v>
      </c>
      <c r="AK28" s="18">
        <v>0.76959999999999995</v>
      </c>
      <c r="AL28" s="18">
        <v>0.61299999999999999</v>
      </c>
      <c r="AM28" s="18">
        <v>0.46150000000000002</v>
      </c>
      <c r="AN28" s="18">
        <v>0.31540000000000001</v>
      </c>
      <c r="AO28" s="18">
        <v>0.1842</v>
      </c>
      <c r="AP28" s="18">
        <v>5.3600000000000002E-2</v>
      </c>
      <c r="AQ28" s="18">
        <v>9.9000000000000008E-3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</row>
    <row r="29" spans="1:50" x14ac:dyDescent="0.25">
      <c r="A29" s="17" t="s">
        <v>427</v>
      </c>
      <c r="B29" s="13" t="s">
        <v>410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2.5999999999999999E-3</v>
      </c>
      <c r="K29" s="18">
        <v>3.73E-2</v>
      </c>
      <c r="L29" s="18">
        <v>0.1744</v>
      </c>
      <c r="M29" s="18">
        <v>0.34599999999999997</v>
      </c>
      <c r="N29" s="18">
        <v>0.55640000000000001</v>
      </c>
      <c r="O29" s="18">
        <v>0.78590000000000004</v>
      </c>
      <c r="P29" s="18">
        <v>1.0183</v>
      </c>
      <c r="Q29" s="18">
        <v>1.2495000000000001</v>
      </c>
      <c r="R29" s="18">
        <v>1.4810000000000001</v>
      </c>
      <c r="S29" s="18">
        <v>1.6981999999999999</v>
      </c>
      <c r="T29" s="18">
        <v>1.9025000000000001</v>
      </c>
      <c r="U29" s="18">
        <v>2.0764</v>
      </c>
      <c r="V29" s="18">
        <v>2.2248000000000001</v>
      </c>
      <c r="W29" s="18">
        <v>2.355</v>
      </c>
      <c r="X29" s="18">
        <v>2.4624999999999999</v>
      </c>
      <c r="Y29" s="18">
        <v>2.5387</v>
      </c>
      <c r="Z29" s="18">
        <v>2.5722</v>
      </c>
      <c r="AA29" s="18">
        <v>2.5819000000000001</v>
      </c>
      <c r="AB29" s="18">
        <v>2.5636999999999999</v>
      </c>
      <c r="AC29" s="18">
        <v>2.5028999999999999</v>
      </c>
      <c r="AD29" s="18">
        <v>2.41</v>
      </c>
      <c r="AE29" s="18">
        <v>2.2991000000000001</v>
      </c>
      <c r="AF29" s="18">
        <v>2.1585999999999999</v>
      </c>
      <c r="AG29" s="18">
        <v>2.0093000000000001</v>
      </c>
      <c r="AH29" s="18">
        <v>1.8297000000000001</v>
      </c>
      <c r="AI29" s="18">
        <v>1.6274</v>
      </c>
      <c r="AJ29" s="18">
        <v>1.3831</v>
      </c>
      <c r="AK29" s="18">
        <v>1.1544000000000001</v>
      </c>
      <c r="AL29" s="18">
        <v>0.91949999999999998</v>
      </c>
      <c r="AM29" s="18">
        <v>0.69220000000000004</v>
      </c>
      <c r="AN29" s="18">
        <v>0.47310000000000002</v>
      </c>
      <c r="AO29" s="18">
        <v>0.2762</v>
      </c>
      <c r="AP29" s="18">
        <v>8.0399999999999999E-2</v>
      </c>
      <c r="AQ29" s="18">
        <v>1.4800000000000001E-2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</row>
    <row r="30" spans="1:50" x14ac:dyDescent="0.25">
      <c r="A30" s="17" t="s">
        <v>429</v>
      </c>
      <c r="B30" s="13" t="s">
        <v>410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3.3999999999999998E-3</v>
      </c>
      <c r="K30" s="18">
        <v>4.9700000000000001E-2</v>
      </c>
      <c r="L30" s="18">
        <v>0.2326</v>
      </c>
      <c r="M30" s="18">
        <v>0.46129999999999999</v>
      </c>
      <c r="N30" s="18">
        <v>0.7419</v>
      </c>
      <c r="O30" s="18">
        <v>1.0479000000000001</v>
      </c>
      <c r="P30" s="18">
        <v>1.3576999999999999</v>
      </c>
      <c r="Q30" s="18">
        <v>1.6659999999999999</v>
      </c>
      <c r="R30" s="18">
        <v>1.9745999999999999</v>
      </c>
      <c r="S30" s="18">
        <v>2.2643</v>
      </c>
      <c r="T30" s="18">
        <v>2.5367000000000002</v>
      </c>
      <c r="U30" s="18">
        <v>2.7686000000000002</v>
      </c>
      <c r="V30" s="18">
        <v>2.9664000000000001</v>
      </c>
      <c r="W30" s="18">
        <v>3.14</v>
      </c>
      <c r="X30" s="18">
        <v>3.2833000000000001</v>
      </c>
      <c r="Y30" s="18">
        <v>3.3849999999999998</v>
      </c>
      <c r="Z30" s="18">
        <v>3.4296000000000002</v>
      </c>
      <c r="AA30" s="18">
        <v>3.4424999999999999</v>
      </c>
      <c r="AB30" s="18">
        <v>3.4182999999999999</v>
      </c>
      <c r="AC30" s="18">
        <v>3.3372000000000002</v>
      </c>
      <c r="AD30" s="18">
        <v>3.2132999999999998</v>
      </c>
      <c r="AE30" s="18">
        <v>3.0655000000000001</v>
      </c>
      <c r="AF30" s="18">
        <v>2.8782000000000001</v>
      </c>
      <c r="AG30" s="18">
        <v>2.6791</v>
      </c>
      <c r="AH30" s="18">
        <v>2.4396</v>
      </c>
      <c r="AI30" s="18">
        <v>2.1698</v>
      </c>
      <c r="AJ30" s="18">
        <v>1.8441000000000001</v>
      </c>
      <c r="AK30" s="18">
        <v>1.5391999999999999</v>
      </c>
      <c r="AL30" s="18">
        <v>1.2259</v>
      </c>
      <c r="AM30" s="18">
        <v>0.92290000000000005</v>
      </c>
      <c r="AN30" s="18">
        <v>0.63080000000000003</v>
      </c>
      <c r="AO30" s="18">
        <v>0.36830000000000002</v>
      </c>
      <c r="AP30" s="18">
        <v>0.1072</v>
      </c>
      <c r="AQ30" s="18">
        <v>1.9800000000000002E-2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</row>
    <row r="31" spans="1:50" x14ac:dyDescent="0.25">
      <c r="A31" s="17" t="s">
        <v>431</v>
      </c>
      <c r="B31" s="13" t="s">
        <v>410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3.3999999999999998E-3</v>
      </c>
      <c r="K31" s="18">
        <v>4.9700000000000001E-2</v>
      </c>
      <c r="L31" s="18">
        <v>0.2326</v>
      </c>
      <c r="M31" s="18">
        <v>0.46129999999999999</v>
      </c>
      <c r="N31" s="18">
        <v>0.7419</v>
      </c>
      <c r="O31" s="18">
        <v>1.0479000000000001</v>
      </c>
      <c r="P31" s="18">
        <v>1.3576999999999999</v>
      </c>
      <c r="Q31" s="18">
        <v>1.6659999999999999</v>
      </c>
      <c r="R31" s="18">
        <v>1.9745999999999999</v>
      </c>
      <c r="S31" s="18">
        <v>2.2643</v>
      </c>
      <c r="T31" s="18">
        <v>2.5367000000000002</v>
      </c>
      <c r="U31" s="18">
        <v>2.7686000000000002</v>
      </c>
      <c r="V31" s="18">
        <v>2.9664000000000001</v>
      </c>
      <c r="W31" s="18">
        <v>3.14</v>
      </c>
      <c r="X31" s="18">
        <v>3.2833000000000001</v>
      </c>
      <c r="Y31" s="18">
        <v>3.3849999999999998</v>
      </c>
      <c r="Z31" s="18">
        <v>3.4296000000000002</v>
      </c>
      <c r="AA31" s="18">
        <v>3.4424999999999999</v>
      </c>
      <c r="AB31" s="18">
        <v>3.4182999999999999</v>
      </c>
      <c r="AC31" s="18">
        <v>3.3372000000000002</v>
      </c>
      <c r="AD31" s="18">
        <v>3.2132999999999998</v>
      </c>
      <c r="AE31" s="18">
        <v>3.0655000000000001</v>
      </c>
      <c r="AF31" s="18">
        <v>2.8782000000000001</v>
      </c>
      <c r="AG31" s="18">
        <v>2.6791</v>
      </c>
      <c r="AH31" s="18">
        <v>2.4396</v>
      </c>
      <c r="AI31" s="18">
        <v>2.1698</v>
      </c>
      <c r="AJ31" s="18">
        <v>1.8441000000000001</v>
      </c>
      <c r="AK31" s="18">
        <v>1.5391999999999999</v>
      </c>
      <c r="AL31" s="18">
        <v>1.2259</v>
      </c>
      <c r="AM31" s="18">
        <v>0.92290000000000005</v>
      </c>
      <c r="AN31" s="18">
        <v>0.63080000000000003</v>
      </c>
      <c r="AO31" s="18">
        <v>0.36830000000000002</v>
      </c>
      <c r="AP31" s="18">
        <v>0.1072</v>
      </c>
      <c r="AQ31" s="18">
        <v>1.9800000000000002E-2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</row>
    <row r="32" spans="1:50" x14ac:dyDescent="0.25">
      <c r="A32" s="17" t="s">
        <v>433</v>
      </c>
      <c r="B32" s="13" t="s">
        <v>410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3.3999999999999998E-3</v>
      </c>
      <c r="K32" s="18">
        <v>4.9700000000000001E-2</v>
      </c>
      <c r="L32" s="18">
        <v>0.2326</v>
      </c>
      <c r="M32" s="18">
        <v>0.46129999999999999</v>
      </c>
      <c r="N32" s="18">
        <v>0.7419</v>
      </c>
      <c r="O32" s="18">
        <v>1.0479000000000001</v>
      </c>
      <c r="P32" s="18">
        <v>1.3576999999999999</v>
      </c>
      <c r="Q32" s="18">
        <v>1.6659999999999999</v>
      </c>
      <c r="R32" s="18">
        <v>1.9745999999999999</v>
      </c>
      <c r="S32" s="18">
        <v>2.2643</v>
      </c>
      <c r="T32" s="18">
        <v>2.5367000000000002</v>
      </c>
      <c r="U32" s="18">
        <v>2.7686000000000002</v>
      </c>
      <c r="V32" s="18">
        <v>2.9664000000000001</v>
      </c>
      <c r="W32" s="18">
        <v>3.14</v>
      </c>
      <c r="X32" s="18">
        <v>3.2833000000000001</v>
      </c>
      <c r="Y32" s="18">
        <v>3.3849999999999998</v>
      </c>
      <c r="Z32" s="18">
        <v>3.4296000000000002</v>
      </c>
      <c r="AA32" s="18">
        <v>3.4424999999999999</v>
      </c>
      <c r="AB32" s="18">
        <v>3.4182999999999999</v>
      </c>
      <c r="AC32" s="18">
        <v>3.3372000000000002</v>
      </c>
      <c r="AD32" s="18">
        <v>3.2132999999999998</v>
      </c>
      <c r="AE32" s="18">
        <v>3.0655000000000001</v>
      </c>
      <c r="AF32" s="18">
        <v>2.8782000000000001</v>
      </c>
      <c r="AG32" s="18">
        <v>2.6791</v>
      </c>
      <c r="AH32" s="18">
        <v>2.4396</v>
      </c>
      <c r="AI32" s="18">
        <v>2.1698</v>
      </c>
      <c r="AJ32" s="18">
        <v>1.8441000000000001</v>
      </c>
      <c r="AK32" s="18">
        <v>1.5391999999999999</v>
      </c>
      <c r="AL32" s="18">
        <v>1.2259</v>
      </c>
      <c r="AM32" s="18">
        <v>0.92290000000000005</v>
      </c>
      <c r="AN32" s="18">
        <v>0.63080000000000003</v>
      </c>
      <c r="AO32" s="18">
        <v>0.36830000000000002</v>
      </c>
      <c r="AP32" s="18">
        <v>0.1072</v>
      </c>
      <c r="AQ32" s="18">
        <v>1.9800000000000002E-2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</row>
    <row r="33" spans="1:50" x14ac:dyDescent="0.25">
      <c r="A33" s="8" t="s">
        <v>86</v>
      </c>
      <c r="B33" s="10" t="s">
        <v>57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</row>
    <row r="34" spans="1:50" x14ac:dyDescent="0.25">
      <c r="A34" s="17" t="s">
        <v>435</v>
      </c>
      <c r="B34" s="13" t="s">
        <v>410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3.0000000000000001E-3</v>
      </c>
      <c r="K34" s="18">
        <v>4.3499999999999997E-2</v>
      </c>
      <c r="L34" s="18">
        <v>0.20349999999999999</v>
      </c>
      <c r="M34" s="18">
        <v>0.4037</v>
      </c>
      <c r="N34" s="18">
        <v>0.64910000000000001</v>
      </c>
      <c r="O34" s="18">
        <v>0.91690000000000005</v>
      </c>
      <c r="P34" s="18">
        <v>1.1879999999999999</v>
      </c>
      <c r="Q34" s="18">
        <v>1.4577</v>
      </c>
      <c r="R34" s="18">
        <v>1.7278</v>
      </c>
      <c r="S34" s="18">
        <v>1.9813000000000001</v>
      </c>
      <c r="T34" s="18">
        <v>2.2195999999999998</v>
      </c>
      <c r="U34" s="18">
        <v>2.4224999999999999</v>
      </c>
      <c r="V34" s="18">
        <v>2.5956000000000001</v>
      </c>
      <c r="W34" s="18">
        <v>2.7475000000000001</v>
      </c>
      <c r="X34" s="18">
        <v>2.8729</v>
      </c>
      <c r="Y34" s="18">
        <v>2.9619</v>
      </c>
      <c r="Z34" s="18">
        <v>3.0009000000000001</v>
      </c>
      <c r="AA34" s="18">
        <v>3.0122</v>
      </c>
      <c r="AB34" s="18">
        <v>2.9910000000000001</v>
      </c>
      <c r="AC34" s="18">
        <v>2.92</v>
      </c>
      <c r="AD34" s="18">
        <v>2.8117000000000001</v>
      </c>
      <c r="AE34" s="18">
        <v>2.6823000000000001</v>
      </c>
      <c r="AF34" s="18">
        <v>2.5184000000000002</v>
      </c>
      <c r="AG34" s="18">
        <v>2.3441999999999998</v>
      </c>
      <c r="AH34" s="18">
        <v>2.1345999999999998</v>
      </c>
      <c r="AI34" s="18">
        <v>1.8986000000000001</v>
      </c>
      <c r="AJ34" s="18">
        <v>1.6135999999999999</v>
      </c>
      <c r="AK34" s="18">
        <v>1.3468</v>
      </c>
      <c r="AL34" s="18">
        <v>1.0727</v>
      </c>
      <c r="AM34" s="18">
        <v>0.80759999999999998</v>
      </c>
      <c r="AN34" s="18">
        <v>0.55189999999999995</v>
      </c>
      <c r="AO34" s="18">
        <v>0.32229999999999998</v>
      </c>
      <c r="AP34" s="18">
        <v>9.3799999999999994E-2</v>
      </c>
      <c r="AQ34" s="18">
        <v>1.7299999999999999E-2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</row>
    <row r="35" spans="1:50" x14ac:dyDescent="0.25">
      <c r="A35" s="8" t="s">
        <v>88</v>
      </c>
      <c r="B35" s="10" t="s">
        <v>57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</row>
    <row r="36" spans="1:50" x14ac:dyDescent="0.25">
      <c r="A36" s="8" t="s">
        <v>90</v>
      </c>
      <c r="B36" s="10" t="s">
        <v>57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</row>
    <row r="37" spans="1:50" x14ac:dyDescent="0.25">
      <c r="A37" s="8" t="s">
        <v>92</v>
      </c>
      <c r="B37" s="10" t="s">
        <v>57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</row>
    <row r="38" spans="1:50" x14ac:dyDescent="0.25">
      <c r="A38" s="17" t="s">
        <v>437</v>
      </c>
      <c r="B38" s="13" t="s">
        <v>410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1.6999999999999999E-3</v>
      </c>
      <c r="K38" s="18">
        <v>2.4899999999999999E-2</v>
      </c>
      <c r="L38" s="18">
        <v>0.1163</v>
      </c>
      <c r="M38" s="18">
        <v>0.23069999999999999</v>
      </c>
      <c r="N38" s="18">
        <v>0.37090000000000001</v>
      </c>
      <c r="O38" s="18">
        <v>0.52400000000000002</v>
      </c>
      <c r="P38" s="18">
        <v>0.67889999999999995</v>
      </c>
      <c r="Q38" s="18">
        <v>0.83299999999999996</v>
      </c>
      <c r="R38" s="18">
        <v>0.98729999999999996</v>
      </c>
      <c r="S38" s="18">
        <v>1.1322000000000001</v>
      </c>
      <c r="T38" s="18">
        <v>1.2683</v>
      </c>
      <c r="U38" s="18">
        <v>1.3843000000000001</v>
      </c>
      <c r="V38" s="18">
        <v>1.4832000000000001</v>
      </c>
      <c r="W38" s="18">
        <v>1.57</v>
      </c>
      <c r="X38" s="18">
        <v>1.6416999999999999</v>
      </c>
      <c r="Y38" s="18">
        <v>1.6924999999999999</v>
      </c>
      <c r="Z38" s="18">
        <v>1.7148000000000001</v>
      </c>
      <c r="AA38" s="18">
        <v>1.7212000000000001</v>
      </c>
      <c r="AB38" s="18">
        <v>1.7092000000000001</v>
      </c>
      <c r="AC38" s="18">
        <v>1.6686000000000001</v>
      </c>
      <c r="AD38" s="18">
        <v>1.6067</v>
      </c>
      <c r="AE38" s="18">
        <v>1.5327999999999999</v>
      </c>
      <c r="AF38" s="18">
        <v>1.4391</v>
      </c>
      <c r="AG38" s="18">
        <v>1.3395999999999999</v>
      </c>
      <c r="AH38" s="18">
        <v>1.2198</v>
      </c>
      <c r="AI38" s="18">
        <v>1.0849</v>
      </c>
      <c r="AJ38" s="18">
        <v>0.92200000000000004</v>
      </c>
      <c r="AK38" s="18">
        <v>0.76959999999999995</v>
      </c>
      <c r="AL38" s="18">
        <v>0.61299999999999999</v>
      </c>
      <c r="AM38" s="18">
        <v>0.46150000000000002</v>
      </c>
      <c r="AN38" s="18">
        <v>0.31540000000000001</v>
      </c>
      <c r="AO38" s="18">
        <v>0.1842</v>
      </c>
      <c r="AP38" s="18">
        <v>5.3600000000000002E-2</v>
      </c>
      <c r="AQ38" s="18">
        <v>9.9000000000000008E-3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</row>
    <row r="39" spans="1:50" x14ac:dyDescent="0.25">
      <c r="A39" s="8" t="s">
        <v>94</v>
      </c>
      <c r="B39" s="10" t="s">
        <v>57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</row>
    <row r="40" spans="1:50" x14ac:dyDescent="0.25">
      <c r="A40" s="17" t="s">
        <v>439</v>
      </c>
      <c r="B40" s="13" t="s">
        <v>410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1.2999999999999999E-3</v>
      </c>
      <c r="K40" s="18">
        <v>1.8700000000000001E-2</v>
      </c>
      <c r="L40" s="18">
        <v>8.72E-2</v>
      </c>
      <c r="M40" s="18">
        <v>0.17299999999999999</v>
      </c>
      <c r="N40" s="18">
        <v>0.2782</v>
      </c>
      <c r="O40" s="18">
        <v>0.39300000000000002</v>
      </c>
      <c r="P40" s="18">
        <v>0.50919999999999999</v>
      </c>
      <c r="Q40" s="18">
        <v>0.62470000000000003</v>
      </c>
      <c r="R40" s="18">
        <v>0.74050000000000005</v>
      </c>
      <c r="S40" s="18">
        <v>0.84909999999999997</v>
      </c>
      <c r="T40" s="18">
        <v>0.95120000000000005</v>
      </c>
      <c r="U40" s="18">
        <v>1.0382</v>
      </c>
      <c r="V40" s="18">
        <v>1.1124000000000001</v>
      </c>
      <c r="W40" s="18">
        <v>1.1775</v>
      </c>
      <c r="X40" s="18">
        <v>1.2312000000000001</v>
      </c>
      <c r="Y40" s="18">
        <v>1.2694000000000001</v>
      </c>
      <c r="Z40" s="18">
        <v>1.2861</v>
      </c>
      <c r="AA40" s="18">
        <v>1.2908999999999999</v>
      </c>
      <c r="AB40" s="18">
        <v>1.2819</v>
      </c>
      <c r="AC40" s="18">
        <v>1.2514000000000001</v>
      </c>
      <c r="AD40" s="18">
        <v>1.2050000000000001</v>
      </c>
      <c r="AE40" s="18">
        <v>1.1496</v>
      </c>
      <c r="AF40" s="18">
        <v>1.0792999999999999</v>
      </c>
      <c r="AG40" s="18">
        <v>1.0046999999999999</v>
      </c>
      <c r="AH40" s="18">
        <v>0.91479999999999995</v>
      </c>
      <c r="AI40" s="18">
        <v>0.81369999999999998</v>
      </c>
      <c r="AJ40" s="18">
        <v>0.6915</v>
      </c>
      <c r="AK40" s="18">
        <v>0.57720000000000005</v>
      </c>
      <c r="AL40" s="18">
        <v>0.4597</v>
      </c>
      <c r="AM40" s="18">
        <v>0.34610000000000002</v>
      </c>
      <c r="AN40" s="18">
        <v>0.23649999999999999</v>
      </c>
      <c r="AO40" s="18">
        <v>0.1381</v>
      </c>
      <c r="AP40" s="18">
        <v>4.02E-2</v>
      </c>
      <c r="AQ40" s="18">
        <v>7.4000000000000003E-3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</row>
    <row r="41" spans="1:50" x14ac:dyDescent="0.25">
      <c r="A41" s="8" t="s">
        <v>96</v>
      </c>
      <c r="B41" s="10" t="s">
        <v>57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</row>
    <row r="42" spans="1:50" x14ac:dyDescent="0.25">
      <c r="A42" s="17" t="s">
        <v>441</v>
      </c>
      <c r="B42" s="13" t="s">
        <v>410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1.6999999999999999E-3</v>
      </c>
      <c r="K42" s="18">
        <v>2.4899999999999999E-2</v>
      </c>
      <c r="L42" s="18">
        <v>0.1163</v>
      </c>
      <c r="M42" s="18">
        <v>0.23069999999999999</v>
      </c>
      <c r="N42" s="18">
        <v>0.37090000000000001</v>
      </c>
      <c r="O42" s="18">
        <v>0.52400000000000002</v>
      </c>
      <c r="P42" s="18">
        <v>0.67889999999999995</v>
      </c>
      <c r="Q42" s="18">
        <v>0.83299999999999996</v>
      </c>
      <c r="R42" s="18">
        <v>0.98729999999999996</v>
      </c>
      <c r="S42" s="18">
        <v>1.1322000000000001</v>
      </c>
      <c r="T42" s="18">
        <v>1.2683</v>
      </c>
      <c r="U42" s="18">
        <v>1.3843000000000001</v>
      </c>
      <c r="V42" s="18">
        <v>1.4832000000000001</v>
      </c>
      <c r="W42" s="18">
        <v>1.57</v>
      </c>
      <c r="X42" s="18">
        <v>1.6416999999999999</v>
      </c>
      <c r="Y42" s="18">
        <v>1.6924999999999999</v>
      </c>
      <c r="Z42" s="18">
        <v>1.7148000000000001</v>
      </c>
      <c r="AA42" s="18">
        <v>1.7212000000000001</v>
      </c>
      <c r="AB42" s="18">
        <v>1.7092000000000001</v>
      </c>
      <c r="AC42" s="18">
        <v>1.6686000000000001</v>
      </c>
      <c r="AD42" s="18">
        <v>1.6067</v>
      </c>
      <c r="AE42" s="18">
        <v>1.5327999999999999</v>
      </c>
      <c r="AF42" s="18">
        <v>1.4391</v>
      </c>
      <c r="AG42" s="18">
        <v>1.3395999999999999</v>
      </c>
      <c r="AH42" s="18">
        <v>1.2198</v>
      </c>
      <c r="AI42" s="18">
        <v>1.0849</v>
      </c>
      <c r="AJ42" s="18">
        <v>0.92200000000000004</v>
      </c>
      <c r="AK42" s="18">
        <v>0.76959999999999995</v>
      </c>
      <c r="AL42" s="18">
        <v>0.61299999999999999</v>
      </c>
      <c r="AM42" s="18">
        <v>0.46150000000000002</v>
      </c>
      <c r="AN42" s="18">
        <v>0.31540000000000001</v>
      </c>
      <c r="AO42" s="18">
        <v>0.1842</v>
      </c>
      <c r="AP42" s="18">
        <v>5.3600000000000002E-2</v>
      </c>
      <c r="AQ42" s="18">
        <v>9.9000000000000008E-3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</row>
    <row r="43" spans="1:50" x14ac:dyDescent="0.25">
      <c r="A43" s="8" t="s">
        <v>98</v>
      </c>
      <c r="B43" s="10" t="s">
        <v>57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</row>
    <row r="44" spans="1:50" x14ac:dyDescent="0.25">
      <c r="A44" s="8" t="s">
        <v>100</v>
      </c>
      <c r="B44" s="10" t="s">
        <v>57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</row>
    <row r="45" spans="1:50" x14ac:dyDescent="0.25">
      <c r="A45" s="8" t="s">
        <v>102</v>
      </c>
      <c r="B45" s="10" t="s">
        <v>57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</row>
    <row r="46" spans="1:50" x14ac:dyDescent="0.25">
      <c r="A46" s="8" t="s">
        <v>104</v>
      </c>
      <c r="B46" s="10" t="s">
        <v>57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</row>
    <row r="47" spans="1:50" x14ac:dyDescent="0.25">
      <c r="A47" s="8" t="s">
        <v>106</v>
      </c>
      <c r="B47" s="10" t="s">
        <v>57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</row>
    <row r="48" spans="1:50" x14ac:dyDescent="0.25">
      <c r="A48" s="8" t="s">
        <v>108</v>
      </c>
      <c r="B48" s="10" t="s">
        <v>57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</row>
    <row r="49" spans="1:50" x14ac:dyDescent="0.25">
      <c r="A49" s="17" t="s">
        <v>443</v>
      </c>
      <c r="B49" s="13" t="s">
        <v>410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8.9999999999999998E-4</v>
      </c>
      <c r="K49" s="18">
        <v>1.24E-2</v>
      </c>
      <c r="L49" s="18">
        <v>5.8099999999999999E-2</v>
      </c>
      <c r="M49" s="18">
        <v>0.1153</v>
      </c>
      <c r="N49" s="18">
        <v>0.1855</v>
      </c>
      <c r="O49" s="18">
        <v>0.26200000000000001</v>
      </c>
      <c r="P49" s="18">
        <v>0.33939999999999998</v>
      </c>
      <c r="Q49" s="18">
        <v>0.41649999999999998</v>
      </c>
      <c r="R49" s="18">
        <v>0.49370000000000003</v>
      </c>
      <c r="S49" s="18">
        <v>0.56610000000000005</v>
      </c>
      <c r="T49" s="18">
        <v>0.63419999999999999</v>
      </c>
      <c r="U49" s="18">
        <v>0.69210000000000005</v>
      </c>
      <c r="V49" s="18">
        <v>0.74160000000000004</v>
      </c>
      <c r="W49" s="18">
        <v>0.78500000000000003</v>
      </c>
      <c r="X49" s="18">
        <v>0.82079999999999997</v>
      </c>
      <c r="Y49" s="18">
        <v>0.84619999999999995</v>
      </c>
      <c r="Z49" s="18">
        <v>0.85740000000000005</v>
      </c>
      <c r="AA49" s="18">
        <v>0.86060000000000003</v>
      </c>
      <c r="AB49" s="18">
        <v>0.85460000000000003</v>
      </c>
      <c r="AC49" s="18">
        <v>0.83430000000000004</v>
      </c>
      <c r="AD49" s="18">
        <v>0.80330000000000001</v>
      </c>
      <c r="AE49" s="18">
        <v>0.76639999999999997</v>
      </c>
      <c r="AF49" s="18">
        <v>0.71950000000000003</v>
      </c>
      <c r="AG49" s="18">
        <v>0.66979999999999995</v>
      </c>
      <c r="AH49" s="18">
        <v>0.6099</v>
      </c>
      <c r="AI49" s="18">
        <v>0.54249999999999998</v>
      </c>
      <c r="AJ49" s="18">
        <v>0.46100000000000002</v>
      </c>
      <c r="AK49" s="18">
        <v>0.38479999999999998</v>
      </c>
      <c r="AL49" s="18">
        <v>0.30649999999999999</v>
      </c>
      <c r="AM49" s="18">
        <v>0.23069999999999999</v>
      </c>
      <c r="AN49" s="18">
        <v>0.15770000000000001</v>
      </c>
      <c r="AO49" s="18">
        <v>9.2100000000000001E-2</v>
      </c>
      <c r="AP49" s="18">
        <v>2.6800000000000001E-2</v>
      </c>
      <c r="AQ49" s="18">
        <v>4.8999999999999998E-3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</row>
    <row r="50" spans="1:50" x14ac:dyDescent="0.25">
      <c r="A50" s="8" t="s">
        <v>110</v>
      </c>
      <c r="B50" s="10" t="s">
        <v>57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</row>
    <row r="51" spans="1:50" x14ac:dyDescent="0.25">
      <c r="A51" s="8" t="s">
        <v>112</v>
      </c>
      <c r="B51" s="10" t="s">
        <v>57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</row>
    <row r="52" spans="1:50" x14ac:dyDescent="0.25">
      <c r="A52" s="17" t="s">
        <v>445</v>
      </c>
      <c r="B52" s="13" t="s">
        <v>410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3.3999999999999998E-3</v>
      </c>
      <c r="K52" s="18">
        <v>4.9700000000000001E-2</v>
      </c>
      <c r="L52" s="18">
        <v>0.2326</v>
      </c>
      <c r="M52" s="18">
        <v>0.46129999999999999</v>
      </c>
      <c r="N52" s="18">
        <v>0.7419</v>
      </c>
      <c r="O52" s="18">
        <v>1.0479000000000001</v>
      </c>
      <c r="P52" s="18">
        <v>1.3576999999999999</v>
      </c>
      <c r="Q52" s="18">
        <v>1.6659999999999999</v>
      </c>
      <c r="R52" s="18">
        <v>1.9745999999999999</v>
      </c>
      <c r="S52" s="18">
        <v>2.2643</v>
      </c>
      <c r="T52" s="18">
        <v>2.5367000000000002</v>
      </c>
      <c r="U52" s="18">
        <v>2.7686000000000002</v>
      </c>
      <c r="V52" s="18">
        <v>2.9664000000000001</v>
      </c>
      <c r="W52" s="18">
        <v>3.14</v>
      </c>
      <c r="X52" s="18">
        <v>3.2833000000000001</v>
      </c>
      <c r="Y52" s="18">
        <v>3.3849999999999998</v>
      </c>
      <c r="Z52" s="18">
        <v>3.4296000000000002</v>
      </c>
      <c r="AA52" s="18">
        <v>3.4424999999999999</v>
      </c>
      <c r="AB52" s="18">
        <v>3.4182999999999999</v>
      </c>
      <c r="AC52" s="18">
        <v>3.3372000000000002</v>
      </c>
      <c r="AD52" s="18">
        <v>3.2132999999999998</v>
      </c>
      <c r="AE52" s="18">
        <v>3.0655000000000001</v>
      </c>
      <c r="AF52" s="18">
        <v>2.8782000000000001</v>
      </c>
      <c r="AG52" s="18">
        <v>2.6791</v>
      </c>
      <c r="AH52" s="18">
        <v>2.4396</v>
      </c>
      <c r="AI52" s="18">
        <v>2.1698</v>
      </c>
      <c r="AJ52" s="18">
        <v>1.8441000000000001</v>
      </c>
      <c r="AK52" s="18">
        <v>1.5391999999999999</v>
      </c>
      <c r="AL52" s="18">
        <v>1.2259</v>
      </c>
      <c r="AM52" s="18">
        <v>0.92290000000000005</v>
      </c>
      <c r="AN52" s="18">
        <v>0.63080000000000003</v>
      </c>
      <c r="AO52" s="18">
        <v>0.36830000000000002</v>
      </c>
      <c r="AP52" s="18">
        <v>0.1072</v>
      </c>
      <c r="AQ52" s="18">
        <v>1.9800000000000002E-2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</row>
    <row r="53" spans="1:50" x14ac:dyDescent="0.25">
      <c r="A53" s="8" t="s">
        <v>114</v>
      </c>
      <c r="B53" s="10" t="s">
        <v>57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</row>
    <row r="54" spans="1:50" x14ac:dyDescent="0.25">
      <c r="A54" s="17" t="s">
        <v>447</v>
      </c>
      <c r="B54" s="13" t="s">
        <v>410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3.3999999999999998E-3</v>
      </c>
      <c r="K54" s="18">
        <v>4.9700000000000001E-2</v>
      </c>
      <c r="L54" s="18">
        <v>0.2326</v>
      </c>
      <c r="M54" s="18">
        <v>0.46129999999999999</v>
      </c>
      <c r="N54" s="18">
        <v>0.7419</v>
      </c>
      <c r="O54" s="18">
        <v>1.0479000000000001</v>
      </c>
      <c r="P54" s="18">
        <v>1.3576999999999999</v>
      </c>
      <c r="Q54" s="18">
        <v>1.6659999999999999</v>
      </c>
      <c r="R54" s="18">
        <v>1.9745999999999999</v>
      </c>
      <c r="S54" s="18">
        <v>2.2643</v>
      </c>
      <c r="T54" s="18">
        <v>2.5367000000000002</v>
      </c>
      <c r="U54" s="18">
        <v>2.7686000000000002</v>
      </c>
      <c r="V54" s="18">
        <v>2.9664000000000001</v>
      </c>
      <c r="W54" s="18">
        <v>3.14</v>
      </c>
      <c r="X54" s="18">
        <v>3.2833000000000001</v>
      </c>
      <c r="Y54" s="18">
        <v>3.3849999999999998</v>
      </c>
      <c r="Z54" s="18">
        <v>3.4296000000000002</v>
      </c>
      <c r="AA54" s="18">
        <v>3.4424999999999999</v>
      </c>
      <c r="AB54" s="18">
        <v>3.4182999999999999</v>
      </c>
      <c r="AC54" s="18">
        <v>3.3372000000000002</v>
      </c>
      <c r="AD54" s="18">
        <v>3.2132999999999998</v>
      </c>
      <c r="AE54" s="18">
        <v>3.0655000000000001</v>
      </c>
      <c r="AF54" s="18">
        <v>2.8782000000000001</v>
      </c>
      <c r="AG54" s="18">
        <v>2.6791</v>
      </c>
      <c r="AH54" s="18">
        <v>2.4396</v>
      </c>
      <c r="AI54" s="18">
        <v>2.1698</v>
      </c>
      <c r="AJ54" s="18">
        <v>1.8441000000000001</v>
      </c>
      <c r="AK54" s="18">
        <v>1.5391999999999999</v>
      </c>
      <c r="AL54" s="18">
        <v>1.2259</v>
      </c>
      <c r="AM54" s="18">
        <v>0.92290000000000005</v>
      </c>
      <c r="AN54" s="18">
        <v>0.63080000000000003</v>
      </c>
      <c r="AO54" s="18">
        <v>0.36830000000000002</v>
      </c>
      <c r="AP54" s="18">
        <v>0.1072</v>
      </c>
      <c r="AQ54" s="18">
        <v>1.9800000000000002E-2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</row>
    <row r="55" spans="1:50" x14ac:dyDescent="0.25">
      <c r="A55" s="8" t="s">
        <v>116</v>
      </c>
      <c r="B55" s="10" t="s">
        <v>57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</row>
    <row r="56" spans="1:50" x14ac:dyDescent="0.25">
      <c r="A56" s="8" t="s">
        <v>118</v>
      </c>
      <c r="B56" s="10" t="s">
        <v>57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</row>
    <row r="57" spans="1:50" x14ac:dyDescent="0.25">
      <c r="A57" s="8" t="s">
        <v>120</v>
      </c>
      <c r="B57" s="10" t="s">
        <v>57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</row>
    <row r="58" spans="1:50" x14ac:dyDescent="0.25">
      <c r="A58" s="17" t="s">
        <v>449</v>
      </c>
      <c r="B58" s="13" t="s">
        <v>410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1.6999999999999999E-3</v>
      </c>
      <c r="K58" s="18">
        <v>2.4899999999999999E-2</v>
      </c>
      <c r="L58" s="18">
        <v>0.1163</v>
      </c>
      <c r="M58" s="18">
        <v>0.23069999999999999</v>
      </c>
      <c r="N58" s="18">
        <v>0.37090000000000001</v>
      </c>
      <c r="O58" s="18">
        <v>0.52400000000000002</v>
      </c>
      <c r="P58" s="18">
        <v>0.67889999999999995</v>
      </c>
      <c r="Q58" s="18">
        <v>0.83299999999999996</v>
      </c>
      <c r="R58" s="18">
        <v>0.98729999999999996</v>
      </c>
      <c r="S58" s="18">
        <v>1.1322000000000001</v>
      </c>
      <c r="T58" s="18">
        <v>1.2683</v>
      </c>
      <c r="U58" s="18">
        <v>1.3843000000000001</v>
      </c>
      <c r="V58" s="18">
        <v>1.4832000000000001</v>
      </c>
      <c r="W58" s="18">
        <v>1.57</v>
      </c>
      <c r="X58" s="18">
        <v>1.6416999999999999</v>
      </c>
      <c r="Y58" s="18">
        <v>1.6924999999999999</v>
      </c>
      <c r="Z58" s="18">
        <v>1.7148000000000001</v>
      </c>
      <c r="AA58" s="18">
        <v>1.7212000000000001</v>
      </c>
      <c r="AB58" s="18">
        <v>1.7092000000000001</v>
      </c>
      <c r="AC58" s="18">
        <v>1.6686000000000001</v>
      </c>
      <c r="AD58" s="18">
        <v>1.6067</v>
      </c>
      <c r="AE58" s="18">
        <v>1.5327999999999999</v>
      </c>
      <c r="AF58" s="18">
        <v>1.4391</v>
      </c>
      <c r="AG58" s="18">
        <v>1.3395999999999999</v>
      </c>
      <c r="AH58" s="18">
        <v>1.2198</v>
      </c>
      <c r="AI58" s="18">
        <v>1.0849</v>
      </c>
      <c r="AJ58" s="18">
        <v>0.92200000000000004</v>
      </c>
      <c r="AK58" s="18">
        <v>0.76959999999999995</v>
      </c>
      <c r="AL58" s="18">
        <v>0.61299999999999999</v>
      </c>
      <c r="AM58" s="18">
        <v>0.46150000000000002</v>
      </c>
      <c r="AN58" s="18">
        <v>0.31540000000000001</v>
      </c>
      <c r="AO58" s="18">
        <v>0.1842</v>
      </c>
      <c r="AP58" s="18">
        <v>5.3600000000000002E-2</v>
      </c>
      <c r="AQ58" s="18">
        <v>9.9000000000000008E-3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</row>
    <row r="59" spans="1:50" x14ac:dyDescent="0.25">
      <c r="A59" s="8" t="s">
        <v>122</v>
      </c>
      <c r="B59" s="10" t="s">
        <v>57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</row>
    <row r="60" spans="1:50" x14ac:dyDescent="0.25">
      <c r="A60" s="17" t="s">
        <v>451</v>
      </c>
      <c r="B60" s="13" t="s">
        <v>410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2.2000000000000001E-3</v>
      </c>
      <c r="K60" s="18">
        <v>3.1099999999999999E-2</v>
      </c>
      <c r="L60" s="18">
        <v>0.1454</v>
      </c>
      <c r="M60" s="18">
        <v>0.2883</v>
      </c>
      <c r="N60" s="18">
        <v>0.4637</v>
      </c>
      <c r="O60" s="18">
        <v>0.65490000000000004</v>
      </c>
      <c r="P60" s="18">
        <v>0.84860000000000002</v>
      </c>
      <c r="Q60" s="18">
        <v>1.0411999999999999</v>
      </c>
      <c r="R60" s="18">
        <v>1.2341</v>
      </c>
      <c r="S60" s="18">
        <v>1.4152</v>
      </c>
      <c r="T60" s="18">
        <v>1.5853999999999999</v>
      </c>
      <c r="U60" s="18">
        <v>1.7303999999999999</v>
      </c>
      <c r="V60" s="18">
        <v>1.8540000000000001</v>
      </c>
      <c r="W60" s="18">
        <v>1.9624999999999999</v>
      </c>
      <c r="X60" s="18">
        <v>2.0520999999999998</v>
      </c>
      <c r="Y60" s="18">
        <v>2.1156000000000001</v>
      </c>
      <c r="Z60" s="18">
        <v>2.1435</v>
      </c>
      <c r="AA60" s="18">
        <v>2.1516000000000002</v>
      </c>
      <c r="AB60" s="18">
        <v>2.1364999999999998</v>
      </c>
      <c r="AC60" s="18">
        <v>2.0857000000000001</v>
      </c>
      <c r="AD60" s="18">
        <v>2.0083000000000002</v>
      </c>
      <c r="AE60" s="18">
        <v>1.9158999999999999</v>
      </c>
      <c r="AF60" s="18">
        <v>1.7988999999999999</v>
      </c>
      <c r="AG60" s="18">
        <v>1.6745000000000001</v>
      </c>
      <c r="AH60" s="18">
        <v>1.5246999999999999</v>
      </c>
      <c r="AI60" s="18">
        <v>1.3561000000000001</v>
      </c>
      <c r="AJ60" s="18">
        <v>1.1525000000000001</v>
      </c>
      <c r="AK60" s="18">
        <v>0.96199999999999997</v>
      </c>
      <c r="AL60" s="18">
        <v>0.76619999999999999</v>
      </c>
      <c r="AM60" s="18">
        <v>0.57679999999999998</v>
      </c>
      <c r="AN60" s="18">
        <v>0.39419999999999999</v>
      </c>
      <c r="AO60" s="18">
        <v>0.23019999999999999</v>
      </c>
      <c r="AP60" s="18">
        <v>6.7000000000000004E-2</v>
      </c>
      <c r="AQ60" s="18">
        <v>1.24E-2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</row>
    <row r="61" spans="1:50" x14ac:dyDescent="0.25">
      <c r="A61" s="8" t="s">
        <v>124</v>
      </c>
      <c r="B61" s="10" t="s">
        <v>57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</row>
    <row r="62" spans="1:50" x14ac:dyDescent="0.25">
      <c r="A62" s="17" t="s">
        <v>453</v>
      </c>
      <c r="B62" s="13" t="s">
        <v>410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2.5999999999999999E-3</v>
      </c>
      <c r="K62" s="18">
        <v>3.73E-2</v>
      </c>
      <c r="L62" s="18">
        <v>0.1744</v>
      </c>
      <c r="M62" s="18">
        <v>0.34599999999999997</v>
      </c>
      <c r="N62" s="18">
        <v>0.55640000000000001</v>
      </c>
      <c r="O62" s="18">
        <v>0.78590000000000004</v>
      </c>
      <c r="P62" s="18">
        <v>1.0183</v>
      </c>
      <c r="Q62" s="18">
        <v>1.2495000000000001</v>
      </c>
      <c r="R62" s="18">
        <v>1.4810000000000001</v>
      </c>
      <c r="S62" s="18">
        <v>1.6981999999999999</v>
      </c>
      <c r="T62" s="18">
        <v>1.9025000000000001</v>
      </c>
      <c r="U62" s="18">
        <v>2.0764</v>
      </c>
      <c r="V62" s="18">
        <v>2.2248000000000001</v>
      </c>
      <c r="W62" s="18">
        <v>2.355</v>
      </c>
      <c r="X62" s="18">
        <v>2.4624999999999999</v>
      </c>
      <c r="Y62" s="18">
        <v>2.5387</v>
      </c>
      <c r="Z62" s="18">
        <v>2.5722</v>
      </c>
      <c r="AA62" s="18">
        <v>2.5819000000000001</v>
      </c>
      <c r="AB62" s="18">
        <v>2.5636999999999999</v>
      </c>
      <c r="AC62" s="18">
        <v>2.5028999999999999</v>
      </c>
      <c r="AD62" s="18">
        <v>2.41</v>
      </c>
      <c r="AE62" s="18">
        <v>2.2991000000000001</v>
      </c>
      <c r="AF62" s="18">
        <v>2.1585999999999999</v>
      </c>
      <c r="AG62" s="18">
        <v>2.0093000000000001</v>
      </c>
      <c r="AH62" s="18">
        <v>1.8297000000000001</v>
      </c>
      <c r="AI62" s="18">
        <v>1.6274</v>
      </c>
      <c r="AJ62" s="18">
        <v>1.3831</v>
      </c>
      <c r="AK62" s="18">
        <v>1.1544000000000001</v>
      </c>
      <c r="AL62" s="18">
        <v>0.91949999999999998</v>
      </c>
      <c r="AM62" s="18">
        <v>0.69220000000000004</v>
      </c>
      <c r="AN62" s="18">
        <v>0.47310000000000002</v>
      </c>
      <c r="AO62" s="18">
        <v>0.2762</v>
      </c>
      <c r="AP62" s="18">
        <v>8.0399999999999999E-2</v>
      </c>
      <c r="AQ62" s="18">
        <v>1.4800000000000001E-2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</row>
    <row r="63" spans="1:50" x14ac:dyDescent="0.25">
      <c r="A63" s="17" t="s">
        <v>455</v>
      </c>
      <c r="B63" s="13" t="s">
        <v>410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3.3999999999999998E-3</v>
      </c>
      <c r="K63" s="18">
        <v>4.9700000000000001E-2</v>
      </c>
      <c r="L63" s="18">
        <v>0.2326</v>
      </c>
      <c r="M63" s="18">
        <v>0.46129999999999999</v>
      </c>
      <c r="N63" s="18">
        <v>0.7419</v>
      </c>
      <c r="O63" s="18">
        <v>1.0479000000000001</v>
      </c>
      <c r="P63" s="18">
        <v>1.3576999999999999</v>
      </c>
      <c r="Q63" s="18">
        <v>1.6659999999999999</v>
      </c>
      <c r="R63" s="18">
        <v>1.9745999999999999</v>
      </c>
      <c r="S63" s="18">
        <v>2.2643</v>
      </c>
      <c r="T63" s="18">
        <v>2.5367000000000002</v>
      </c>
      <c r="U63" s="18">
        <v>2.7686000000000002</v>
      </c>
      <c r="V63" s="18">
        <v>2.9664000000000001</v>
      </c>
      <c r="W63" s="18">
        <v>3.14</v>
      </c>
      <c r="X63" s="18">
        <v>3.2833000000000001</v>
      </c>
      <c r="Y63" s="18">
        <v>3.3849999999999998</v>
      </c>
      <c r="Z63" s="18">
        <v>3.4296000000000002</v>
      </c>
      <c r="AA63" s="18">
        <v>3.4424999999999999</v>
      </c>
      <c r="AB63" s="18">
        <v>3.4182999999999999</v>
      </c>
      <c r="AC63" s="18">
        <v>3.3372000000000002</v>
      </c>
      <c r="AD63" s="18">
        <v>3.2132999999999998</v>
      </c>
      <c r="AE63" s="18">
        <v>3.0655000000000001</v>
      </c>
      <c r="AF63" s="18">
        <v>2.8782000000000001</v>
      </c>
      <c r="AG63" s="18">
        <v>2.6791</v>
      </c>
      <c r="AH63" s="18">
        <v>2.4396</v>
      </c>
      <c r="AI63" s="18">
        <v>2.1698</v>
      </c>
      <c r="AJ63" s="18">
        <v>1.8441000000000001</v>
      </c>
      <c r="AK63" s="18">
        <v>1.5391999999999999</v>
      </c>
      <c r="AL63" s="18">
        <v>1.2259</v>
      </c>
      <c r="AM63" s="18">
        <v>0.92290000000000005</v>
      </c>
      <c r="AN63" s="18">
        <v>0.63080000000000003</v>
      </c>
      <c r="AO63" s="18">
        <v>0.36830000000000002</v>
      </c>
      <c r="AP63" s="18">
        <v>0.1072</v>
      </c>
      <c r="AQ63" s="18">
        <v>1.9800000000000002E-2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</row>
    <row r="64" spans="1:50" x14ac:dyDescent="0.25">
      <c r="A64" s="17" t="s">
        <v>457</v>
      </c>
      <c r="B64" s="13" t="s">
        <v>410</v>
      </c>
      <c r="C64" s="18">
        <v>0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3.0000000000000001E-3</v>
      </c>
      <c r="K64" s="18">
        <v>4.3499999999999997E-2</v>
      </c>
      <c r="L64" s="18">
        <v>0.20349999999999999</v>
      </c>
      <c r="M64" s="18">
        <v>0.4037</v>
      </c>
      <c r="N64" s="18">
        <v>0.64910000000000001</v>
      </c>
      <c r="O64" s="18">
        <v>0.91690000000000005</v>
      </c>
      <c r="P64" s="18">
        <v>1.1879999999999999</v>
      </c>
      <c r="Q64" s="18">
        <v>1.4577</v>
      </c>
      <c r="R64" s="18">
        <v>1.7278</v>
      </c>
      <c r="S64" s="18">
        <v>1.9813000000000001</v>
      </c>
      <c r="T64" s="18">
        <v>2.2195999999999998</v>
      </c>
      <c r="U64" s="18">
        <v>2.4224999999999999</v>
      </c>
      <c r="V64" s="18">
        <v>2.5956000000000001</v>
      </c>
      <c r="W64" s="18">
        <v>2.7475000000000001</v>
      </c>
      <c r="X64" s="18">
        <v>2.8729</v>
      </c>
      <c r="Y64" s="18">
        <v>2.9619</v>
      </c>
      <c r="Z64" s="18">
        <v>3.0009000000000001</v>
      </c>
      <c r="AA64" s="18">
        <v>3.0122</v>
      </c>
      <c r="AB64" s="18">
        <v>2.9910000000000001</v>
      </c>
      <c r="AC64" s="18">
        <v>2.92</v>
      </c>
      <c r="AD64" s="18">
        <v>2.8117000000000001</v>
      </c>
      <c r="AE64" s="18">
        <v>2.6823000000000001</v>
      </c>
      <c r="AF64" s="18">
        <v>2.5184000000000002</v>
      </c>
      <c r="AG64" s="18">
        <v>2.3441999999999998</v>
      </c>
      <c r="AH64" s="18">
        <v>2.1345999999999998</v>
      </c>
      <c r="AI64" s="18">
        <v>1.8986000000000001</v>
      </c>
      <c r="AJ64" s="18">
        <v>1.6135999999999999</v>
      </c>
      <c r="AK64" s="18">
        <v>1.3468</v>
      </c>
      <c r="AL64" s="18">
        <v>1.0727</v>
      </c>
      <c r="AM64" s="18">
        <v>0.80759999999999998</v>
      </c>
      <c r="AN64" s="18">
        <v>0.55189999999999995</v>
      </c>
      <c r="AO64" s="18">
        <v>0.32229999999999998</v>
      </c>
      <c r="AP64" s="18">
        <v>9.3799999999999994E-2</v>
      </c>
      <c r="AQ64" s="18">
        <v>1.7299999999999999E-2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0</v>
      </c>
    </row>
    <row r="65" spans="1:50" x14ac:dyDescent="0.25">
      <c r="A65" s="17" t="s">
        <v>459</v>
      </c>
      <c r="B65" s="13" t="s">
        <v>410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2.2000000000000001E-3</v>
      </c>
      <c r="K65" s="18">
        <v>3.1099999999999999E-2</v>
      </c>
      <c r="L65" s="18">
        <v>0.1454</v>
      </c>
      <c r="M65" s="18">
        <v>0.2883</v>
      </c>
      <c r="N65" s="18">
        <v>0.4637</v>
      </c>
      <c r="O65" s="18">
        <v>0.65490000000000004</v>
      </c>
      <c r="P65" s="18">
        <v>0.84860000000000002</v>
      </c>
      <c r="Q65" s="18">
        <v>1.0411999999999999</v>
      </c>
      <c r="R65" s="18">
        <v>1.2341</v>
      </c>
      <c r="S65" s="18">
        <v>1.4152</v>
      </c>
      <c r="T65" s="18">
        <v>1.5853999999999999</v>
      </c>
      <c r="U65" s="18">
        <v>1.7303999999999999</v>
      </c>
      <c r="V65" s="18">
        <v>1.8540000000000001</v>
      </c>
      <c r="W65" s="18">
        <v>1.9624999999999999</v>
      </c>
      <c r="X65" s="18">
        <v>2.0520999999999998</v>
      </c>
      <c r="Y65" s="18">
        <v>2.1156000000000001</v>
      </c>
      <c r="Z65" s="18">
        <v>2.1435</v>
      </c>
      <c r="AA65" s="18">
        <v>2.1516000000000002</v>
      </c>
      <c r="AB65" s="18">
        <v>2.1364999999999998</v>
      </c>
      <c r="AC65" s="18">
        <v>2.0857000000000001</v>
      </c>
      <c r="AD65" s="18">
        <v>2.0083000000000002</v>
      </c>
      <c r="AE65" s="18">
        <v>1.9158999999999999</v>
      </c>
      <c r="AF65" s="18">
        <v>1.7988999999999999</v>
      </c>
      <c r="AG65" s="18">
        <v>1.6745000000000001</v>
      </c>
      <c r="AH65" s="18">
        <v>1.5246999999999999</v>
      </c>
      <c r="AI65" s="18">
        <v>1.3561000000000001</v>
      </c>
      <c r="AJ65" s="18">
        <v>1.1525000000000001</v>
      </c>
      <c r="AK65" s="18">
        <v>0.96199999999999997</v>
      </c>
      <c r="AL65" s="18">
        <v>0.76619999999999999</v>
      </c>
      <c r="AM65" s="18">
        <v>0.57679999999999998</v>
      </c>
      <c r="AN65" s="18">
        <v>0.39419999999999999</v>
      </c>
      <c r="AO65" s="18">
        <v>0.23019999999999999</v>
      </c>
      <c r="AP65" s="18">
        <v>6.7000000000000004E-2</v>
      </c>
      <c r="AQ65" s="18">
        <v>1.24E-2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</row>
    <row r="66" spans="1:50" x14ac:dyDescent="0.25">
      <c r="A66" s="17" t="s">
        <v>461</v>
      </c>
      <c r="B66" s="13" t="s">
        <v>410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3.3999999999999998E-3</v>
      </c>
      <c r="K66" s="18">
        <v>4.9700000000000001E-2</v>
      </c>
      <c r="L66" s="18">
        <v>0.2326</v>
      </c>
      <c r="M66" s="18">
        <v>0.46129999999999999</v>
      </c>
      <c r="N66" s="18">
        <v>0.7419</v>
      </c>
      <c r="O66" s="18">
        <v>1.0479000000000001</v>
      </c>
      <c r="P66" s="18">
        <v>1.3576999999999999</v>
      </c>
      <c r="Q66" s="18">
        <v>1.6659999999999999</v>
      </c>
      <c r="R66" s="18">
        <v>1.9745999999999999</v>
      </c>
      <c r="S66" s="18">
        <v>2.2643</v>
      </c>
      <c r="T66" s="18">
        <v>2.5367000000000002</v>
      </c>
      <c r="U66" s="18">
        <v>2.7686000000000002</v>
      </c>
      <c r="V66" s="18">
        <v>2.9664000000000001</v>
      </c>
      <c r="W66" s="18">
        <v>3.14</v>
      </c>
      <c r="X66" s="18">
        <v>3.2833000000000001</v>
      </c>
      <c r="Y66" s="18">
        <v>3.3849999999999998</v>
      </c>
      <c r="Z66" s="18">
        <v>3.4296000000000002</v>
      </c>
      <c r="AA66" s="18">
        <v>3.4424999999999999</v>
      </c>
      <c r="AB66" s="18">
        <v>3.4182999999999999</v>
      </c>
      <c r="AC66" s="18">
        <v>3.3372000000000002</v>
      </c>
      <c r="AD66" s="18">
        <v>3.2132999999999998</v>
      </c>
      <c r="AE66" s="18">
        <v>3.0655000000000001</v>
      </c>
      <c r="AF66" s="18">
        <v>2.8782000000000001</v>
      </c>
      <c r="AG66" s="18">
        <v>2.6791</v>
      </c>
      <c r="AH66" s="18">
        <v>2.4396</v>
      </c>
      <c r="AI66" s="18">
        <v>2.1698</v>
      </c>
      <c r="AJ66" s="18">
        <v>1.8441000000000001</v>
      </c>
      <c r="AK66" s="18">
        <v>1.5391999999999999</v>
      </c>
      <c r="AL66" s="18">
        <v>1.2259</v>
      </c>
      <c r="AM66" s="18">
        <v>0.92290000000000005</v>
      </c>
      <c r="AN66" s="18">
        <v>0.63080000000000003</v>
      </c>
      <c r="AO66" s="18">
        <v>0.36830000000000002</v>
      </c>
      <c r="AP66" s="18">
        <v>0.1072</v>
      </c>
      <c r="AQ66" s="18">
        <v>1.9800000000000002E-2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</row>
    <row r="67" spans="1:50" x14ac:dyDescent="0.25">
      <c r="A67" s="8" t="s">
        <v>126</v>
      </c>
      <c r="B67" s="10" t="s">
        <v>57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</row>
    <row r="68" spans="1:50" x14ac:dyDescent="0.25">
      <c r="A68" s="17" t="s">
        <v>463</v>
      </c>
      <c r="B68" s="13" t="s">
        <v>410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3.3999999999999998E-3</v>
      </c>
      <c r="K68" s="18">
        <v>4.9700000000000001E-2</v>
      </c>
      <c r="L68" s="18">
        <v>0.2326</v>
      </c>
      <c r="M68" s="18">
        <v>0.46129999999999999</v>
      </c>
      <c r="N68" s="18">
        <v>0.7419</v>
      </c>
      <c r="O68" s="18">
        <v>1.0479000000000001</v>
      </c>
      <c r="P68" s="18">
        <v>1.3576999999999999</v>
      </c>
      <c r="Q68" s="18">
        <v>1.6659999999999999</v>
      </c>
      <c r="R68" s="18">
        <v>1.9745999999999999</v>
      </c>
      <c r="S68" s="18">
        <v>2.2643</v>
      </c>
      <c r="T68" s="18">
        <v>2.5367000000000002</v>
      </c>
      <c r="U68" s="18">
        <v>2.7686000000000002</v>
      </c>
      <c r="V68" s="18">
        <v>2.9664000000000001</v>
      </c>
      <c r="W68" s="18">
        <v>3.14</v>
      </c>
      <c r="X68" s="18">
        <v>3.2833000000000001</v>
      </c>
      <c r="Y68" s="18">
        <v>3.3849999999999998</v>
      </c>
      <c r="Z68" s="18">
        <v>3.4296000000000002</v>
      </c>
      <c r="AA68" s="18">
        <v>3.4424999999999999</v>
      </c>
      <c r="AB68" s="18">
        <v>3.4182999999999999</v>
      </c>
      <c r="AC68" s="18">
        <v>3.3372000000000002</v>
      </c>
      <c r="AD68" s="18">
        <v>3.2132999999999998</v>
      </c>
      <c r="AE68" s="18">
        <v>3.0655000000000001</v>
      </c>
      <c r="AF68" s="18">
        <v>2.8782000000000001</v>
      </c>
      <c r="AG68" s="18">
        <v>2.6791</v>
      </c>
      <c r="AH68" s="18">
        <v>2.4396</v>
      </c>
      <c r="AI68" s="18">
        <v>2.1698</v>
      </c>
      <c r="AJ68" s="18">
        <v>1.8441000000000001</v>
      </c>
      <c r="AK68" s="18">
        <v>1.5391999999999999</v>
      </c>
      <c r="AL68" s="18">
        <v>1.2259</v>
      </c>
      <c r="AM68" s="18">
        <v>0.92290000000000005</v>
      </c>
      <c r="AN68" s="18">
        <v>0.63080000000000003</v>
      </c>
      <c r="AO68" s="18">
        <v>0.36830000000000002</v>
      </c>
      <c r="AP68" s="18">
        <v>0.1072</v>
      </c>
      <c r="AQ68" s="18">
        <v>1.9800000000000002E-2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</row>
    <row r="69" spans="1:50" x14ac:dyDescent="0.25">
      <c r="A69" s="17" t="s">
        <v>465</v>
      </c>
      <c r="B69" s="13" t="s">
        <v>410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3.3999999999999998E-3</v>
      </c>
      <c r="K69" s="18">
        <v>4.9700000000000001E-2</v>
      </c>
      <c r="L69" s="18">
        <v>0.2326</v>
      </c>
      <c r="M69" s="18">
        <v>0.46129999999999999</v>
      </c>
      <c r="N69" s="18">
        <v>0.7419</v>
      </c>
      <c r="O69" s="18">
        <v>1.0479000000000001</v>
      </c>
      <c r="P69" s="18">
        <v>1.3576999999999999</v>
      </c>
      <c r="Q69" s="18">
        <v>1.6659999999999999</v>
      </c>
      <c r="R69" s="18">
        <v>1.9745999999999999</v>
      </c>
      <c r="S69" s="18">
        <v>2.2643</v>
      </c>
      <c r="T69" s="18">
        <v>2.5367000000000002</v>
      </c>
      <c r="U69" s="18">
        <v>2.7686000000000002</v>
      </c>
      <c r="V69" s="18">
        <v>2.9664000000000001</v>
      </c>
      <c r="W69" s="18">
        <v>3.14</v>
      </c>
      <c r="X69" s="18">
        <v>3.2833000000000001</v>
      </c>
      <c r="Y69" s="18">
        <v>3.3849999999999998</v>
      </c>
      <c r="Z69" s="18">
        <v>3.4296000000000002</v>
      </c>
      <c r="AA69" s="18">
        <v>3.4424999999999999</v>
      </c>
      <c r="AB69" s="18">
        <v>3.4182999999999999</v>
      </c>
      <c r="AC69" s="18">
        <v>3.3372000000000002</v>
      </c>
      <c r="AD69" s="18">
        <v>3.2132999999999998</v>
      </c>
      <c r="AE69" s="18">
        <v>3.0655000000000001</v>
      </c>
      <c r="AF69" s="18">
        <v>2.8782000000000001</v>
      </c>
      <c r="AG69" s="18">
        <v>2.6791</v>
      </c>
      <c r="AH69" s="18">
        <v>2.4396</v>
      </c>
      <c r="AI69" s="18">
        <v>2.1698</v>
      </c>
      <c r="AJ69" s="18">
        <v>1.8441000000000001</v>
      </c>
      <c r="AK69" s="18">
        <v>1.5391999999999999</v>
      </c>
      <c r="AL69" s="18">
        <v>1.2259</v>
      </c>
      <c r="AM69" s="18">
        <v>0.92290000000000005</v>
      </c>
      <c r="AN69" s="18">
        <v>0.63080000000000003</v>
      </c>
      <c r="AO69" s="18">
        <v>0.36830000000000002</v>
      </c>
      <c r="AP69" s="18">
        <v>0.1072</v>
      </c>
      <c r="AQ69" s="18">
        <v>1.9800000000000002E-2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</row>
    <row r="70" spans="1:50" x14ac:dyDescent="0.25">
      <c r="A70" s="17" t="s">
        <v>467</v>
      </c>
      <c r="B70" s="13" t="s">
        <v>410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2.5999999999999999E-3</v>
      </c>
      <c r="K70" s="18">
        <v>3.73E-2</v>
      </c>
      <c r="L70" s="18">
        <v>0.1744</v>
      </c>
      <c r="M70" s="18">
        <v>0.34599999999999997</v>
      </c>
      <c r="N70" s="18">
        <v>0.55640000000000001</v>
      </c>
      <c r="O70" s="18">
        <v>0.78590000000000004</v>
      </c>
      <c r="P70" s="18">
        <v>1.0183</v>
      </c>
      <c r="Q70" s="18">
        <v>1.2495000000000001</v>
      </c>
      <c r="R70" s="18">
        <v>1.4810000000000001</v>
      </c>
      <c r="S70" s="18">
        <v>1.6981999999999999</v>
      </c>
      <c r="T70" s="18">
        <v>1.9025000000000001</v>
      </c>
      <c r="U70" s="18">
        <v>2.0764</v>
      </c>
      <c r="V70" s="18">
        <v>2.2248000000000001</v>
      </c>
      <c r="W70" s="18">
        <v>2.355</v>
      </c>
      <c r="X70" s="18">
        <v>2.4624999999999999</v>
      </c>
      <c r="Y70" s="18">
        <v>2.5387</v>
      </c>
      <c r="Z70" s="18">
        <v>2.5722</v>
      </c>
      <c r="AA70" s="18">
        <v>2.5819000000000001</v>
      </c>
      <c r="AB70" s="18">
        <v>2.5636999999999999</v>
      </c>
      <c r="AC70" s="18">
        <v>2.5028999999999999</v>
      </c>
      <c r="AD70" s="18">
        <v>2.41</v>
      </c>
      <c r="AE70" s="18">
        <v>2.2991000000000001</v>
      </c>
      <c r="AF70" s="18">
        <v>2.1585999999999999</v>
      </c>
      <c r="AG70" s="18">
        <v>2.0093000000000001</v>
      </c>
      <c r="AH70" s="18">
        <v>1.8297000000000001</v>
      </c>
      <c r="AI70" s="18">
        <v>1.6274</v>
      </c>
      <c r="AJ70" s="18">
        <v>1.3831</v>
      </c>
      <c r="AK70" s="18">
        <v>1.1544000000000001</v>
      </c>
      <c r="AL70" s="18">
        <v>0.91949999999999998</v>
      </c>
      <c r="AM70" s="18">
        <v>0.69220000000000004</v>
      </c>
      <c r="AN70" s="18">
        <v>0.47310000000000002</v>
      </c>
      <c r="AO70" s="18">
        <v>0.2762</v>
      </c>
      <c r="AP70" s="18">
        <v>8.0399999999999999E-2</v>
      </c>
      <c r="AQ70" s="18">
        <v>1.4800000000000001E-2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</row>
    <row r="71" spans="1:50" x14ac:dyDescent="0.25">
      <c r="A71" s="17" t="s">
        <v>469</v>
      </c>
      <c r="B71" s="13" t="s">
        <v>410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2.2000000000000001E-3</v>
      </c>
      <c r="K71" s="18">
        <v>3.1099999999999999E-2</v>
      </c>
      <c r="L71" s="18">
        <v>0.1454</v>
      </c>
      <c r="M71" s="18">
        <v>0.2883</v>
      </c>
      <c r="N71" s="18">
        <v>0.4637</v>
      </c>
      <c r="O71" s="18">
        <v>0.65490000000000004</v>
      </c>
      <c r="P71" s="18">
        <v>0.84860000000000002</v>
      </c>
      <c r="Q71" s="18">
        <v>1.0411999999999999</v>
      </c>
      <c r="R71" s="18">
        <v>1.2341</v>
      </c>
      <c r="S71" s="18">
        <v>1.4152</v>
      </c>
      <c r="T71" s="18">
        <v>1.5853999999999999</v>
      </c>
      <c r="U71" s="18">
        <v>1.7303999999999999</v>
      </c>
      <c r="V71" s="18">
        <v>1.8540000000000001</v>
      </c>
      <c r="W71" s="18">
        <v>1.9624999999999999</v>
      </c>
      <c r="X71" s="18">
        <v>2.0520999999999998</v>
      </c>
      <c r="Y71" s="18">
        <v>2.1156000000000001</v>
      </c>
      <c r="Z71" s="18">
        <v>2.1435</v>
      </c>
      <c r="AA71" s="18">
        <v>2.1516000000000002</v>
      </c>
      <c r="AB71" s="18">
        <v>2.1364999999999998</v>
      </c>
      <c r="AC71" s="18">
        <v>2.0857000000000001</v>
      </c>
      <c r="AD71" s="18">
        <v>2.0083000000000002</v>
      </c>
      <c r="AE71" s="18">
        <v>1.9158999999999999</v>
      </c>
      <c r="AF71" s="18">
        <v>1.7988999999999999</v>
      </c>
      <c r="AG71" s="18">
        <v>1.6745000000000001</v>
      </c>
      <c r="AH71" s="18">
        <v>1.5246999999999999</v>
      </c>
      <c r="AI71" s="18">
        <v>1.3561000000000001</v>
      </c>
      <c r="AJ71" s="18">
        <v>1.1525000000000001</v>
      </c>
      <c r="AK71" s="18">
        <v>0.96199999999999997</v>
      </c>
      <c r="AL71" s="18">
        <v>0.76619999999999999</v>
      </c>
      <c r="AM71" s="18">
        <v>0.57679999999999998</v>
      </c>
      <c r="AN71" s="18">
        <v>0.39419999999999999</v>
      </c>
      <c r="AO71" s="18">
        <v>0.23019999999999999</v>
      </c>
      <c r="AP71" s="18">
        <v>6.7000000000000004E-2</v>
      </c>
      <c r="AQ71" s="18">
        <v>1.24E-2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</row>
    <row r="72" spans="1:50" x14ac:dyDescent="0.25">
      <c r="A72" s="8" t="s">
        <v>128</v>
      </c>
      <c r="B72" s="10" t="s">
        <v>57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</row>
    <row r="73" spans="1:50" x14ac:dyDescent="0.25">
      <c r="A73" s="17" t="s">
        <v>471</v>
      </c>
      <c r="B73" s="13" t="s">
        <v>410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3.3999999999999998E-3</v>
      </c>
      <c r="K73" s="18">
        <v>4.9700000000000001E-2</v>
      </c>
      <c r="L73" s="18">
        <v>0.2326</v>
      </c>
      <c r="M73" s="18">
        <v>0.46129999999999999</v>
      </c>
      <c r="N73" s="18">
        <v>0.7419</v>
      </c>
      <c r="O73" s="18">
        <v>1.0479000000000001</v>
      </c>
      <c r="P73" s="18">
        <v>1.3576999999999999</v>
      </c>
      <c r="Q73" s="18">
        <v>1.6659999999999999</v>
      </c>
      <c r="R73" s="18">
        <v>1.9745999999999999</v>
      </c>
      <c r="S73" s="18">
        <v>2.2643</v>
      </c>
      <c r="T73" s="18">
        <v>2.5367000000000002</v>
      </c>
      <c r="U73" s="18">
        <v>2.7686000000000002</v>
      </c>
      <c r="V73" s="18">
        <v>2.9664000000000001</v>
      </c>
      <c r="W73" s="18">
        <v>3.14</v>
      </c>
      <c r="X73" s="18">
        <v>3.2833000000000001</v>
      </c>
      <c r="Y73" s="18">
        <v>3.3849999999999998</v>
      </c>
      <c r="Z73" s="18">
        <v>3.4296000000000002</v>
      </c>
      <c r="AA73" s="18">
        <v>3.4424999999999999</v>
      </c>
      <c r="AB73" s="18">
        <v>3.4182999999999999</v>
      </c>
      <c r="AC73" s="18">
        <v>3.3372000000000002</v>
      </c>
      <c r="AD73" s="18">
        <v>3.2132999999999998</v>
      </c>
      <c r="AE73" s="18">
        <v>3.0655000000000001</v>
      </c>
      <c r="AF73" s="18">
        <v>2.8782000000000001</v>
      </c>
      <c r="AG73" s="18">
        <v>2.6791</v>
      </c>
      <c r="AH73" s="18">
        <v>2.4396</v>
      </c>
      <c r="AI73" s="18">
        <v>2.1698</v>
      </c>
      <c r="AJ73" s="18">
        <v>1.8441000000000001</v>
      </c>
      <c r="AK73" s="18">
        <v>1.5391999999999999</v>
      </c>
      <c r="AL73" s="18">
        <v>1.2259</v>
      </c>
      <c r="AM73" s="18">
        <v>0.92290000000000005</v>
      </c>
      <c r="AN73" s="18">
        <v>0.63080000000000003</v>
      </c>
      <c r="AO73" s="18">
        <v>0.36830000000000002</v>
      </c>
      <c r="AP73" s="18">
        <v>0.1072</v>
      </c>
      <c r="AQ73" s="18">
        <v>1.9800000000000002E-2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</row>
    <row r="74" spans="1:50" x14ac:dyDescent="0.25">
      <c r="A74" s="17" t="s">
        <v>473</v>
      </c>
      <c r="B74" s="13" t="s">
        <v>410</v>
      </c>
      <c r="C74" s="18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3.0000000000000001E-3</v>
      </c>
      <c r="K74" s="18">
        <v>4.3499999999999997E-2</v>
      </c>
      <c r="L74" s="18">
        <v>0.20349999999999999</v>
      </c>
      <c r="M74" s="18">
        <v>0.4037</v>
      </c>
      <c r="N74" s="18">
        <v>0.64910000000000001</v>
      </c>
      <c r="O74" s="18">
        <v>0.91690000000000005</v>
      </c>
      <c r="P74" s="18">
        <v>1.1879999999999999</v>
      </c>
      <c r="Q74" s="18">
        <v>1.4577</v>
      </c>
      <c r="R74" s="18">
        <v>1.7278</v>
      </c>
      <c r="S74" s="18">
        <v>1.9813000000000001</v>
      </c>
      <c r="T74" s="18">
        <v>2.2195999999999998</v>
      </c>
      <c r="U74" s="18">
        <v>2.4224999999999999</v>
      </c>
      <c r="V74" s="18">
        <v>2.5956000000000001</v>
      </c>
      <c r="W74" s="18">
        <v>2.7475000000000001</v>
      </c>
      <c r="X74" s="18">
        <v>2.8729</v>
      </c>
      <c r="Y74" s="18">
        <v>2.9619</v>
      </c>
      <c r="Z74" s="18">
        <v>3.0009000000000001</v>
      </c>
      <c r="AA74" s="18">
        <v>3.0122</v>
      </c>
      <c r="AB74" s="18">
        <v>2.9910000000000001</v>
      </c>
      <c r="AC74" s="18">
        <v>2.92</v>
      </c>
      <c r="AD74" s="18">
        <v>2.8117000000000001</v>
      </c>
      <c r="AE74" s="18">
        <v>2.6823000000000001</v>
      </c>
      <c r="AF74" s="18">
        <v>2.5184000000000002</v>
      </c>
      <c r="AG74" s="18">
        <v>2.3441999999999998</v>
      </c>
      <c r="AH74" s="18">
        <v>2.1345999999999998</v>
      </c>
      <c r="AI74" s="18">
        <v>1.8986000000000001</v>
      </c>
      <c r="AJ74" s="18">
        <v>1.6135999999999999</v>
      </c>
      <c r="AK74" s="18">
        <v>1.3468</v>
      </c>
      <c r="AL74" s="18">
        <v>1.0727</v>
      </c>
      <c r="AM74" s="18">
        <v>0.80759999999999998</v>
      </c>
      <c r="AN74" s="18">
        <v>0.55189999999999995</v>
      </c>
      <c r="AO74" s="18">
        <v>0.32229999999999998</v>
      </c>
      <c r="AP74" s="18">
        <v>9.3799999999999994E-2</v>
      </c>
      <c r="AQ74" s="18">
        <v>1.7299999999999999E-2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</row>
    <row r="75" spans="1:50" x14ac:dyDescent="0.25">
      <c r="A75" s="8" t="s">
        <v>130</v>
      </c>
      <c r="B75" s="10" t="s">
        <v>57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</row>
    <row r="76" spans="1:50" x14ac:dyDescent="0.25">
      <c r="A76" s="17" t="s">
        <v>475</v>
      </c>
      <c r="B76" s="13" t="s">
        <v>410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3.0000000000000001E-3</v>
      </c>
      <c r="K76" s="18">
        <v>4.3499999999999997E-2</v>
      </c>
      <c r="L76" s="18">
        <v>0.20349999999999999</v>
      </c>
      <c r="M76" s="18">
        <v>0.4037</v>
      </c>
      <c r="N76" s="18">
        <v>0.64910000000000001</v>
      </c>
      <c r="O76" s="18">
        <v>0.91690000000000005</v>
      </c>
      <c r="P76" s="18">
        <v>1.1879999999999999</v>
      </c>
      <c r="Q76" s="18">
        <v>1.4577</v>
      </c>
      <c r="R76" s="18">
        <v>1.7278</v>
      </c>
      <c r="S76" s="18">
        <v>1.9813000000000001</v>
      </c>
      <c r="T76" s="18">
        <v>2.2195999999999998</v>
      </c>
      <c r="U76" s="18">
        <v>2.4224999999999999</v>
      </c>
      <c r="V76" s="18">
        <v>2.5956000000000001</v>
      </c>
      <c r="W76" s="18">
        <v>2.7475000000000001</v>
      </c>
      <c r="X76" s="18">
        <v>2.8729</v>
      </c>
      <c r="Y76" s="18">
        <v>2.9619</v>
      </c>
      <c r="Z76" s="18">
        <v>3.0009000000000001</v>
      </c>
      <c r="AA76" s="18">
        <v>3.0122</v>
      </c>
      <c r="AB76" s="18">
        <v>2.9910000000000001</v>
      </c>
      <c r="AC76" s="18">
        <v>2.92</v>
      </c>
      <c r="AD76" s="18">
        <v>2.8117000000000001</v>
      </c>
      <c r="AE76" s="18">
        <v>2.6823000000000001</v>
      </c>
      <c r="AF76" s="18">
        <v>2.5184000000000002</v>
      </c>
      <c r="AG76" s="18">
        <v>2.3441999999999998</v>
      </c>
      <c r="AH76" s="18">
        <v>2.1345999999999998</v>
      </c>
      <c r="AI76" s="18">
        <v>1.8986000000000001</v>
      </c>
      <c r="AJ76" s="18">
        <v>1.6135999999999999</v>
      </c>
      <c r="AK76" s="18">
        <v>1.3468</v>
      </c>
      <c r="AL76" s="18">
        <v>1.0727</v>
      </c>
      <c r="AM76" s="18">
        <v>0.80759999999999998</v>
      </c>
      <c r="AN76" s="18">
        <v>0.55189999999999995</v>
      </c>
      <c r="AO76" s="18">
        <v>0.32229999999999998</v>
      </c>
      <c r="AP76" s="18">
        <v>9.3799999999999994E-2</v>
      </c>
      <c r="AQ76" s="18">
        <v>1.7299999999999999E-2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</row>
    <row r="77" spans="1:50" x14ac:dyDescent="0.25">
      <c r="A77" s="8" t="s">
        <v>132</v>
      </c>
      <c r="B77" s="10" t="s">
        <v>57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</row>
    <row r="78" spans="1:50" x14ac:dyDescent="0.25">
      <c r="A78" s="17" t="s">
        <v>477</v>
      </c>
      <c r="B78" s="13" t="s">
        <v>410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2.5999999999999999E-3</v>
      </c>
      <c r="K78" s="18">
        <v>3.73E-2</v>
      </c>
      <c r="L78" s="18">
        <v>0.1744</v>
      </c>
      <c r="M78" s="18">
        <v>0.34599999999999997</v>
      </c>
      <c r="N78" s="18">
        <v>0.55640000000000001</v>
      </c>
      <c r="O78" s="18">
        <v>0.78590000000000004</v>
      </c>
      <c r="P78" s="18">
        <v>1.0183</v>
      </c>
      <c r="Q78" s="18">
        <v>1.2495000000000001</v>
      </c>
      <c r="R78" s="18">
        <v>1.4810000000000001</v>
      </c>
      <c r="S78" s="18">
        <v>1.6981999999999999</v>
      </c>
      <c r="T78" s="18">
        <v>1.9025000000000001</v>
      </c>
      <c r="U78" s="18">
        <v>2.0764</v>
      </c>
      <c r="V78" s="18">
        <v>2.2248000000000001</v>
      </c>
      <c r="W78" s="18">
        <v>2.355</v>
      </c>
      <c r="X78" s="18">
        <v>2.4624999999999999</v>
      </c>
      <c r="Y78" s="18">
        <v>2.5387</v>
      </c>
      <c r="Z78" s="18">
        <v>2.5722</v>
      </c>
      <c r="AA78" s="18">
        <v>2.5819000000000001</v>
      </c>
      <c r="AB78" s="18">
        <v>2.5636999999999999</v>
      </c>
      <c r="AC78" s="18">
        <v>2.5028999999999999</v>
      </c>
      <c r="AD78" s="18">
        <v>2.41</v>
      </c>
      <c r="AE78" s="18">
        <v>2.2991000000000001</v>
      </c>
      <c r="AF78" s="18">
        <v>2.1585999999999999</v>
      </c>
      <c r="AG78" s="18">
        <v>2.0093000000000001</v>
      </c>
      <c r="AH78" s="18">
        <v>1.8297000000000001</v>
      </c>
      <c r="AI78" s="18">
        <v>1.6274</v>
      </c>
      <c r="AJ78" s="18">
        <v>1.3831</v>
      </c>
      <c r="AK78" s="18">
        <v>1.1544000000000001</v>
      </c>
      <c r="AL78" s="18">
        <v>0.91949999999999998</v>
      </c>
      <c r="AM78" s="18">
        <v>0.69220000000000004</v>
      </c>
      <c r="AN78" s="18">
        <v>0.47310000000000002</v>
      </c>
      <c r="AO78" s="18">
        <v>0.2762</v>
      </c>
      <c r="AP78" s="18">
        <v>8.0399999999999999E-2</v>
      </c>
      <c r="AQ78" s="18">
        <v>1.4800000000000001E-2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</row>
    <row r="79" spans="1:50" x14ac:dyDescent="0.25">
      <c r="A79" s="17" t="s">
        <v>479</v>
      </c>
      <c r="B79" s="13" t="s">
        <v>410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2.2000000000000001E-3</v>
      </c>
      <c r="K79" s="18">
        <v>3.1099999999999999E-2</v>
      </c>
      <c r="L79" s="18">
        <v>0.1454</v>
      </c>
      <c r="M79" s="18">
        <v>0.2883</v>
      </c>
      <c r="N79" s="18">
        <v>0.4637</v>
      </c>
      <c r="O79" s="18">
        <v>0.65490000000000004</v>
      </c>
      <c r="P79" s="18">
        <v>0.84860000000000002</v>
      </c>
      <c r="Q79" s="18">
        <v>1.0411999999999999</v>
      </c>
      <c r="R79" s="18">
        <v>1.2341</v>
      </c>
      <c r="S79" s="18">
        <v>1.4152</v>
      </c>
      <c r="T79" s="18">
        <v>1.5853999999999999</v>
      </c>
      <c r="U79" s="18">
        <v>1.7303999999999999</v>
      </c>
      <c r="V79" s="18">
        <v>1.8540000000000001</v>
      </c>
      <c r="W79" s="18">
        <v>1.9624999999999999</v>
      </c>
      <c r="X79" s="18">
        <v>2.0520999999999998</v>
      </c>
      <c r="Y79" s="18">
        <v>2.1156000000000001</v>
      </c>
      <c r="Z79" s="18">
        <v>2.1435</v>
      </c>
      <c r="AA79" s="18">
        <v>2.1516000000000002</v>
      </c>
      <c r="AB79" s="18">
        <v>2.1364999999999998</v>
      </c>
      <c r="AC79" s="18">
        <v>2.0857000000000001</v>
      </c>
      <c r="AD79" s="18">
        <v>2.0083000000000002</v>
      </c>
      <c r="AE79" s="18">
        <v>1.9158999999999999</v>
      </c>
      <c r="AF79" s="18">
        <v>1.7988999999999999</v>
      </c>
      <c r="AG79" s="18">
        <v>1.6745000000000001</v>
      </c>
      <c r="AH79" s="18">
        <v>1.5246999999999999</v>
      </c>
      <c r="AI79" s="18">
        <v>1.3561000000000001</v>
      </c>
      <c r="AJ79" s="18">
        <v>1.1525000000000001</v>
      </c>
      <c r="AK79" s="18">
        <v>0.96199999999999997</v>
      </c>
      <c r="AL79" s="18">
        <v>0.76619999999999999</v>
      </c>
      <c r="AM79" s="18">
        <v>0.57679999999999998</v>
      </c>
      <c r="AN79" s="18">
        <v>0.39419999999999999</v>
      </c>
      <c r="AO79" s="18">
        <v>0.23019999999999999</v>
      </c>
      <c r="AP79" s="18">
        <v>6.7000000000000004E-2</v>
      </c>
      <c r="AQ79" s="18">
        <v>1.24E-2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</row>
    <row r="80" spans="1:50" x14ac:dyDescent="0.25">
      <c r="A80" s="17" t="s">
        <v>481</v>
      </c>
      <c r="B80" s="13" t="s">
        <v>410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1.6999999999999999E-3</v>
      </c>
      <c r="K80" s="18">
        <v>2.4899999999999999E-2</v>
      </c>
      <c r="L80" s="18">
        <v>0.1163</v>
      </c>
      <c r="M80" s="18">
        <v>0.23069999999999999</v>
      </c>
      <c r="N80" s="18">
        <v>0.37090000000000001</v>
      </c>
      <c r="O80" s="18">
        <v>0.52400000000000002</v>
      </c>
      <c r="P80" s="18">
        <v>0.67889999999999995</v>
      </c>
      <c r="Q80" s="18">
        <v>0.83299999999999996</v>
      </c>
      <c r="R80" s="18">
        <v>0.98729999999999996</v>
      </c>
      <c r="S80" s="18">
        <v>1.1322000000000001</v>
      </c>
      <c r="T80" s="18">
        <v>1.2683</v>
      </c>
      <c r="U80" s="18">
        <v>1.3843000000000001</v>
      </c>
      <c r="V80" s="18">
        <v>1.4832000000000001</v>
      </c>
      <c r="W80" s="18">
        <v>1.57</v>
      </c>
      <c r="X80" s="18">
        <v>1.6416999999999999</v>
      </c>
      <c r="Y80" s="18">
        <v>1.6924999999999999</v>
      </c>
      <c r="Z80" s="18">
        <v>1.7148000000000001</v>
      </c>
      <c r="AA80" s="18">
        <v>1.7212000000000001</v>
      </c>
      <c r="AB80" s="18">
        <v>1.7092000000000001</v>
      </c>
      <c r="AC80" s="18">
        <v>1.6686000000000001</v>
      </c>
      <c r="AD80" s="18">
        <v>1.6067</v>
      </c>
      <c r="AE80" s="18">
        <v>1.5327999999999999</v>
      </c>
      <c r="AF80" s="18">
        <v>1.4391</v>
      </c>
      <c r="AG80" s="18">
        <v>1.3395999999999999</v>
      </c>
      <c r="AH80" s="18">
        <v>1.2198</v>
      </c>
      <c r="AI80" s="18">
        <v>1.0849</v>
      </c>
      <c r="AJ80" s="18">
        <v>0.92200000000000004</v>
      </c>
      <c r="AK80" s="18">
        <v>0.76959999999999995</v>
      </c>
      <c r="AL80" s="18">
        <v>0.61299999999999999</v>
      </c>
      <c r="AM80" s="18">
        <v>0.46150000000000002</v>
      </c>
      <c r="AN80" s="18">
        <v>0.31540000000000001</v>
      </c>
      <c r="AO80" s="18">
        <v>0.1842</v>
      </c>
      <c r="AP80" s="18">
        <v>5.3600000000000002E-2</v>
      </c>
      <c r="AQ80" s="18">
        <v>9.9000000000000008E-3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</row>
    <row r="81" spans="1:50" x14ac:dyDescent="0.25">
      <c r="A81" s="8" t="s">
        <v>134</v>
      </c>
      <c r="B81" s="10" t="s">
        <v>57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</row>
    <row r="82" spans="1:50" x14ac:dyDescent="0.25">
      <c r="A82" s="17" t="s">
        <v>483</v>
      </c>
      <c r="B82" s="13" t="s">
        <v>410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3.3999999999999998E-3</v>
      </c>
      <c r="K82" s="18">
        <v>4.9700000000000001E-2</v>
      </c>
      <c r="L82" s="18">
        <v>0.2326</v>
      </c>
      <c r="M82" s="18">
        <v>0.46129999999999999</v>
      </c>
      <c r="N82" s="18">
        <v>0.7419</v>
      </c>
      <c r="O82" s="18">
        <v>1.0479000000000001</v>
      </c>
      <c r="P82" s="18">
        <v>1.3576999999999999</v>
      </c>
      <c r="Q82" s="18">
        <v>1.6659999999999999</v>
      </c>
      <c r="R82" s="18">
        <v>1.9745999999999999</v>
      </c>
      <c r="S82" s="18">
        <v>2.2643</v>
      </c>
      <c r="T82" s="18">
        <v>2.5367000000000002</v>
      </c>
      <c r="U82" s="18">
        <v>2.7686000000000002</v>
      </c>
      <c r="V82" s="18">
        <v>2.9664000000000001</v>
      </c>
      <c r="W82" s="18">
        <v>3.14</v>
      </c>
      <c r="X82" s="18">
        <v>3.2833000000000001</v>
      </c>
      <c r="Y82" s="18">
        <v>3.3849999999999998</v>
      </c>
      <c r="Z82" s="18">
        <v>3.4296000000000002</v>
      </c>
      <c r="AA82" s="18">
        <v>3.4424999999999999</v>
      </c>
      <c r="AB82" s="18">
        <v>3.4182999999999999</v>
      </c>
      <c r="AC82" s="18">
        <v>3.3372000000000002</v>
      </c>
      <c r="AD82" s="18">
        <v>3.2132999999999998</v>
      </c>
      <c r="AE82" s="18">
        <v>3.0655000000000001</v>
      </c>
      <c r="AF82" s="18">
        <v>2.8782000000000001</v>
      </c>
      <c r="AG82" s="18">
        <v>2.6791</v>
      </c>
      <c r="AH82" s="18">
        <v>2.4396</v>
      </c>
      <c r="AI82" s="18">
        <v>2.1698</v>
      </c>
      <c r="AJ82" s="18">
        <v>1.8441000000000001</v>
      </c>
      <c r="AK82" s="18">
        <v>1.5391999999999999</v>
      </c>
      <c r="AL82" s="18">
        <v>1.2259</v>
      </c>
      <c r="AM82" s="18">
        <v>0.92290000000000005</v>
      </c>
      <c r="AN82" s="18">
        <v>0.63080000000000003</v>
      </c>
      <c r="AO82" s="18">
        <v>0.36830000000000002</v>
      </c>
      <c r="AP82" s="18">
        <v>0.1072</v>
      </c>
      <c r="AQ82" s="18">
        <v>1.9800000000000002E-2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</row>
    <row r="83" spans="1:50" x14ac:dyDescent="0.25">
      <c r="A83" s="8" t="s">
        <v>136</v>
      </c>
      <c r="B83" s="10" t="s">
        <v>57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</row>
    <row r="84" spans="1:50" x14ac:dyDescent="0.25">
      <c r="A84" s="17" t="s">
        <v>485</v>
      </c>
      <c r="B84" s="13" t="s">
        <v>410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3.3999999999999998E-3</v>
      </c>
      <c r="K84" s="18">
        <v>4.9700000000000001E-2</v>
      </c>
      <c r="L84" s="18">
        <v>0.2326</v>
      </c>
      <c r="M84" s="18">
        <v>0.46129999999999999</v>
      </c>
      <c r="N84" s="18">
        <v>0.7419</v>
      </c>
      <c r="O84" s="18">
        <v>1.0479000000000001</v>
      </c>
      <c r="P84" s="18">
        <v>1.3576999999999999</v>
      </c>
      <c r="Q84" s="18">
        <v>1.6659999999999999</v>
      </c>
      <c r="R84" s="18">
        <v>1.9745999999999999</v>
      </c>
      <c r="S84" s="18">
        <v>2.2643</v>
      </c>
      <c r="T84" s="18">
        <v>2.5367000000000002</v>
      </c>
      <c r="U84" s="18">
        <v>2.7686000000000002</v>
      </c>
      <c r="V84" s="18">
        <v>2.9664000000000001</v>
      </c>
      <c r="W84" s="18">
        <v>3.14</v>
      </c>
      <c r="X84" s="18">
        <v>3.2833000000000001</v>
      </c>
      <c r="Y84" s="18">
        <v>3.3849999999999998</v>
      </c>
      <c r="Z84" s="18">
        <v>3.4296000000000002</v>
      </c>
      <c r="AA84" s="18">
        <v>3.4424999999999999</v>
      </c>
      <c r="AB84" s="18">
        <v>3.4182999999999999</v>
      </c>
      <c r="AC84" s="18">
        <v>3.3372000000000002</v>
      </c>
      <c r="AD84" s="18">
        <v>3.2132999999999998</v>
      </c>
      <c r="AE84" s="18">
        <v>3.0655000000000001</v>
      </c>
      <c r="AF84" s="18">
        <v>2.8782000000000001</v>
      </c>
      <c r="AG84" s="18">
        <v>2.6791</v>
      </c>
      <c r="AH84" s="18">
        <v>2.4396</v>
      </c>
      <c r="AI84" s="18">
        <v>2.1698</v>
      </c>
      <c r="AJ84" s="18">
        <v>1.8441000000000001</v>
      </c>
      <c r="AK84" s="18">
        <v>1.5391999999999999</v>
      </c>
      <c r="AL84" s="18">
        <v>1.2259</v>
      </c>
      <c r="AM84" s="18">
        <v>0.92290000000000005</v>
      </c>
      <c r="AN84" s="18">
        <v>0.63080000000000003</v>
      </c>
      <c r="AO84" s="18">
        <v>0.36830000000000002</v>
      </c>
      <c r="AP84" s="18">
        <v>0.1072</v>
      </c>
      <c r="AQ84" s="18">
        <v>1.9800000000000002E-2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</row>
    <row r="85" spans="1:50" x14ac:dyDescent="0.25">
      <c r="A85" s="17" t="s">
        <v>487</v>
      </c>
      <c r="B85" s="13" t="s">
        <v>410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3.0000000000000001E-3</v>
      </c>
      <c r="K85" s="18">
        <v>4.3499999999999997E-2</v>
      </c>
      <c r="L85" s="18">
        <v>0.20349999999999999</v>
      </c>
      <c r="M85" s="18">
        <v>0.4037</v>
      </c>
      <c r="N85" s="18">
        <v>0.64910000000000001</v>
      </c>
      <c r="O85" s="18">
        <v>0.91690000000000005</v>
      </c>
      <c r="P85" s="18">
        <v>1.1879999999999999</v>
      </c>
      <c r="Q85" s="18">
        <v>1.4577</v>
      </c>
      <c r="R85" s="18">
        <v>1.7278</v>
      </c>
      <c r="S85" s="18">
        <v>1.9813000000000001</v>
      </c>
      <c r="T85" s="18">
        <v>2.2195999999999998</v>
      </c>
      <c r="U85" s="18">
        <v>2.4224999999999999</v>
      </c>
      <c r="V85" s="18">
        <v>2.5956000000000001</v>
      </c>
      <c r="W85" s="18">
        <v>2.7475000000000001</v>
      </c>
      <c r="X85" s="18">
        <v>2.8729</v>
      </c>
      <c r="Y85" s="18">
        <v>2.9619</v>
      </c>
      <c r="Z85" s="18">
        <v>3.0009000000000001</v>
      </c>
      <c r="AA85" s="18">
        <v>3.0122</v>
      </c>
      <c r="AB85" s="18">
        <v>2.9910000000000001</v>
      </c>
      <c r="AC85" s="18">
        <v>2.92</v>
      </c>
      <c r="AD85" s="18">
        <v>2.8117000000000001</v>
      </c>
      <c r="AE85" s="18">
        <v>2.6823000000000001</v>
      </c>
      <c r="AF85" s="18">
        <v>2.5184000000000002</v>
      </c>
      <c r="AG85" s="18">
        <v>2.3441999999999998</v>
      </c>
      <c r="AH85" s="18">
        <v>2.1345999999999998</v>
      </c>
      <c r="AI85" s="18">
        <v>1.8986000000000001</v>
      </c>
      <c r="AJ85" s="18">
        <v>1.6135999999999999</v>
      </c>
      <c r="AK85" s="18">
        <v>1.3468</v>
      </c>
      <c r="AL85" s="18">
        <v>1.0727</v>
      </c>
      <c r="AM85" s="18">
        <v>0.80759999999999998</v>
      </c>
      <c r="AN85" s="18">
        <v>0.55189999999999995</v>
      </c>
      <c r="AO85" s="18">
        <v>0.32229999999999998</v>
      </c>
      <c r="AP85" s="18">
        <v>9.3799999999999994E-2</v>
      </c>
      <c r="AQ85" s="18">
        <v>1.7299999999999999E-2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</row>
    <row r="86" spans="1:50" x14ac:dyDescent="0.25">
      <c r="A86" s="17" t="s">
        <v>489</v>
      </c>
      <c r="B86" s="13" t="s">
        <v>410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3.0000000000000001E-3</v>
      </c>
      <c r="K86" s="18">
        <v>4.3499999999999997E-2</v>
      </c>
      <c r="L86" s="18">
        <v>0.20349999999999999</v>
      </c>
      <c r="M86" s="18">
        <v>0.4037</v>
      </c>
      <c r="N86" s="18">
        <v>0.64910000000000001</v>
      </c>
      <c r="O86" s="18">
        <v>0.91690000000000005</v>
      </c>
      <c r="P86" s="18">
        <v>1.1879999999999999</v>
      </c>
      <c r="Q86" s="18">
        <v>1.4577</v>
      </c>
      <c r="R86" s="18">
        <v>1.7278</v>
      </c>
      <c r="S86" s="18">
        <v>1.9813000000000001</v>
      </c>
      <c r="T86" s="18">
        <v>2.2195999999999998</v>
      </c>
      <c r="U86" s="18">
        <v>2.4224999999999999</v>
      </c>
      <c r="V86" s="18">
        <v>2.5956000000000001</v>
      </c>
      <c r="W86" s="18">
        <v>2.7475000000000001</v>
      </c>
      <c r="X86" s="18">
        <v>2.8729</v>
      </c>
      <c r="Y86" s="18">
        <v>2.9619</v>
      </c>
      <c r="Z86" s="18">
        <v>3.0009000000000001</v>
      </c>
      <c r="AA86" s="18">
        <v>3.0122</v>
      </c>
      <c r="AB86" s="18">
        <v>2.9910000000000001</v>
      </c>
      <c r="AC86" s="18">
        <v>2.92</v>
      </c>
      <c r="AD86" s="18">
        <v>2.8117000000000001</v>
      </c>
      <c r="AE86" s="18">
        <v>2.6823000000000001</v>
      </c>
      <c r="AF86" s="18">
        <v>2.5184000000000002</v>
      </c>
      <c r="AG86" s="18">
        <v>2.3441999999999998</v>
      </c>
      <c r="AH86" s="18">
        <v>2.1345999999999998</v>
      </c>
      <c r="AI86" s="18">
        <v>1.8986000000000001</v>
      </c>
      <c r="AJ86" s="18">
        <v>1.6135999999999999</v>
      </c>
      <c r="AK86" s="18">
        <v>1.3468</v>
      </c>
      <c r="AL86" s="18">
        <v>1.0727</v>
      </c>
      <c r="AM86" s="18">
        <v>0.80759999999999998</v>
      </c>
      <c r="AN86" s="18">
        <v>0.55189999999999995</v>
      </c>
      <c r="AO86" s="18">
        <v>0.32229999999999998</v>
      </c>
      <c r="AP86" s="18">
        <v>9.3799999999999994E-2</v>
      </c>
      <c r="AQ86" s="18">
        <v>1.7299999999999999E-2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</row>
    <row r="87" spans="1:50" x14ac:dyDescent="0.25">
      <c r="A87" s="8" t="s">
        <v>138</v>
      </c>
      <c r="B87" s="10" t="s">
        <v>57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0</v>
      </c>
      <c r="AX87" s="16">
        <v>0</v>
      </c>
    </row>
    <row r="88" spans="1:50" x14ac:dyDescent="0.25">
      <c r="A88" s="8" t="s">
        <v>140</v>
      </c>
      <c r="B88" s="10" t="s">
        <v>57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</row>
    <row r="89" spans="1:50" x14ac:dyDescent="0.25">
      <c r="A89" s="8" t="s">
        <v>142</v>
      </c>
      <c r="B89" s="10" t="s">
        <v>57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</row>
    <row r="90" spans="1:50" x14ac:dyDescent="0.25">
      <c r="A90" s="8" t="s">
        <v>144</v>
      </c>
      <c r="B90" s="10" t="s">
        <v>57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</row>
    <row r="91" spans="1:50" x14ac:dyDescent="0.25">
      <c r="A91" s="17" t="s">
        <v>491</v>
      </c>
      <c r="B91" s="13" t="s">
        <v>410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3.3999999999999998E-3</v>
      </c>
      <c r="K91" s="18">
        <v>4.9700000000000001E-2</v>
      </c>
      <c r="L91" s="18">
        <v>0.2326</v>
      </c>
      <c r="M91" s="18">
        <v>0.46129999999999999</v>
      </c>
      <c r="N91" s="18">
        <v>0.7419</v>
      </c>
      <c r="O91" s="18">
        <v>1.0479000000000001</v>
      </c>
      <c r="P91" s="18">
        <v>1.3576999999999999</v>
      </c>
      <c r="Q91" s="18">
        <v>1.6659999999999999</v>
      </c>
      <c r="R91" s="18">
        <v>1.9745999999999999</v>
      </c>
      <c r="S91" s="18">
        <v>2.2643</v>
      </c>
      <c r="T91" s="18">
        <v>2.5367000000000002</v>
      </c>
      <c r="U91" s="18">
        <v>2.7686000000000002</v>
      </c>
      <c r="V91" s="18">
        <v>2.9664000000000001</v>
      </c>
      <c r="W91" s="18">
        <v>3.14</v>
      </c>
      <c r="X91" s="18">
        <v>3.2833000000000001</v>
      </c>
      <c r="Y91" s="18">
        <v>3.3849999999999998</v>
      </c>
      <c r="Z91" s="18">
        <v>3.4296000000000002</v>
      </c>
      <c r="AA91" s="18">
        <v>3.4424999999999999</v>
      </c>
      <c r="AB91" s="18">
        <v>3.4182999999999999</v>
      </c>
      <c r="AC91" s="18">
        <v>3.3372000000000002</v>
      </c>
      <c r="AD91" s="18">
        <v>3.2132999999999998</v>
      </c>
      <c r="AE91" s="18">
        <v>3.0655000000000001</v>
      </c>
      <c r="AF91" s="18">
        <v>2.8782000000000001</v>
      </c>
      <c r="AG91" s="18">
        <v>2.6791</v>
      </c>
      <c r="AH91" s="18">
        <v>2.4396</v>
      </c>
      <c r="AI91" s="18">
        <v>2.1698</v>
      </c>
      <c r="AJ91" s="18">
        <v>1.8441000000000001</v>
      </c>
      <c r="AK91" s="18">
        <v>1.5391999999999999</v>
      </c>
      <c r="AL91" s="18">
        <v>1.2259</v>
      </c>
      <c r="AM91" s="18">
        <v>0.92290000000000005</v>
      </c>
      <c r="AN91" s="18">
        <v>0.63080000000000003</v>
      </c>
      <c r="AO91" s="18">
        <v>0.36830000000000002</v>
      </c>
      <c r="AP91" s="18">
        <v>0.1072</v>
      </c>
      <c r="AQ91" s="18">
        <v>1.9800000000000002E-2</v>
      </c>
      <c r="AR91" s="18">
        <v>0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</row>
    <row r="92" spans="1:50" x14ac:dyDescent="0.25">
      <c r="A92" s="17" t="s">
        <v>493</v>
      </c>
      <c r="B92" s="13" t="s">
        <v>410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3.3999999999999998E-3</v>
      </c>
      <c r="K92" s="18">
        <v>4.9700000000000001E-2</v>
      </c>
      <c r="L92" s="18">
        <v>0.2326</v>
      </c>
      <c r="M92" s="18">
        <v>0.46129999999999999</v>
      </c>
      <c r="N92" s="18">
        <v>0.7419</v>
      </c>
      <c r="O92" s="18">
        <v>1.0479000000000001</v>
      </c>
      <c r="P92" s="18">
        <v>1.3576999999999999</v>
      </c>
      <c r="Q92" s="18">
        <v>1.6659999999999999</v>
      </c>
      <c r="R92" s="18">
        <v>1.9745999999999999</v>
      </c>
      <c r="S92" s="18">
        <v>2.2643</v>
      </c>
      <c r="T92" s="18">
        <v>2.5367000000000002</v>
      </c>
      <c r="U92" s="18">
        <v>2.7686000000000002</v>
      </c>
      <c r="V92" s="18">
        <v>2.9664000000000001</v>
      </c>
      <c r="W92" s="18">
        <v>3.14</v>
      </c>
      <c r="X92" s="18">
        <v>3.2833000000000001</v>
      </c>
      <c r="Y92" s="18">
        <v>3.3849999999999998</v>
      </c>
      <c r="Z92" s="18">
        <v>3.4296000000000002</v>
      </c>
      <c r="AA92" s="18">
        <v>3.4424999999999999</v>
      </c>
      <c r="AB92" s="18">
        <v>3.4182999999999999</v>
      </c>
      <c r="AC92" s="18">
        <v>3.3372000000000002</v>
      </c>
      <c r="AD92" s="18">
        <v>3.2132999999999998</v>
      </c>
      <c r="AE92" s="18">
        <v>3.0655000000000001</v>
      </c>
      <c r="AF92" s="18">
        <v>2.8782000000000001</v>
      </c>
      <c r="AG92" s="18">
        <v>2.6791</v>
      </c>
      <c r="AH92" s="18">
        <v>2.4396</v>
      </c>
      <c r="AI92" s="18">
        <v>2.1698</v>
      </c>
      <c r="AJ92" s="18">
        <v>1.8441000000000001</v>
      </c>
      <c r="AK92" s="18">
        <v>1.5391999999999999</v>
      </c>
      <c r="AL92" s="18">
        <v>1.2259</v>
      </c>
      <c r="AM92" s="18">
        <v>0.92290000000000005</v>
      </c>
      <c r="AN92" s="18">
        <v>0.63080000000000003</v>
      </c>
      <c r="AO92" s="18">
        <v>0.36830000000000002</v>
      </c>
      <c r="AP92" s="18">
        <v>0.1072</v>
      </c>
      <c r="AQ92" s="18">
        <v>1.9800000000000002E-2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</row>
    <row r="93" spans="1:50" x14ac:dyDescent="0.25">
      <c r="A93" s="8" t="s">
        <v>146</v>
      </c>
      <c r="B93" s="10" t="s">
        <v>57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</row>
    <row r="94" spans="1:50" x14ac:dyDescent="0.25">
      <c r="A94" s="8" t="s">
        <v>148</v>
      </c>
      <c r="B94" s="10" t="s">
        <v>57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</row>
    <row r="95" spans="1:50" x14ac:dyDescent="0.25">
      <c r="A95" s="17" t="s">
        <v>495</v>
      </c>
      <c r="B95" s="13" t="s">
        <v>410</v>
      </c>
      <c r="C95" s="18">
        <v>0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18">
        <v>1.6999999999999999E-3</v>
      </c>
      <c r="K95" s="18">
        <v>2.4899999999999999E-2</v>
      </c>
      <c r="L95" s="18">
        <v>0.1163</v>
      </c>
      <c r="M95" s="18">
        <v>0.23069999999999999</v>
      </c>
      <c r="N95" s="18">
        <v>0.37090000000000001</v>
      </c>
      <c r="O95" s="18">
        <v>0.52400000000000002</v>
      </c>
      <c r="P95" s="18">
        <v>0.67889999999999995</v>
      </c>
      <c r="Q95" s="18">
        <v>0.83299999999999996</v>
      </c>
      <c r="R95" s="18">
        <v>0.98729999999999996</v>
      </c>
      <c r="S95" s="18">
        <v>1.1322000000000001</v>
      </c>
      <c r="T95" s="18">
        <v>1.2683</v>
      </c>
      <c r="U95" s="18">
        <v>1.3843000000000001</v>
      </c>
      <c r="V95" s="18">
        <v>1.4832000000000001</v>
      </c>
      <c r="W95" s="18">
        <v>1.57</v>
      </c>
      <c r="X95" s="18">
        <v>1.6416999999999999</v>
      </c>
      <c r="Y95" s="18">
        <v>1.6924999999999999</v>
      </c>
      <c r="Z95" s="18">
        <v>1.7148000000000001</v>
      </c>
      <c r="AA95" s="18">
        <v>1.7212000000000001</v>
      </c>
      <c r="AB95" s="18">
        <v>1.7092000000000001</v>
      </c>
      <c r="AC95" s="18">
        <v>1.6686000000000001</v>
      </c>
      <c r="AD95" s="18">
        <v>1.6067</v>
      </c>
      <c r="AE95" s="18">
        <v>1.5327999999999999</v>
      </c>
      <c r="AF95" s="18">
        <v>1.4391</v>
      </c>
      <c r="AG95" s="18">
        <v>1.3395999999999999</v>
      </c>
      <c r="AH95" s="18">
        <v>1.2198</v>
      </c>
      <c r="AI95" s="18">
        <v>1.0849</v>
      </c>
      <c r="AJ95" s="18">
        <v>0.92200000000000004</v>
      </c>
      <c r="AK95" s="18">
        <v>0.76959999999999995</v>
      </c>
      <c r="AL95" s="18">
        <v>0.61299999999999999</v>
      </c>
      <c r="AM95" s="18">
        <v>0.46150000000000002</v>
      </c>
      <c r="AN95" s="18">
        <v>0.31540000000000001</v>
      </c>
      <c r="AO95" s="18">
        <v>0.1842</v>
      </c>
      <c r="AP95" s="18">
        <v>5.3600000000000002E-2</v>
      </c>
      <c r="AQ95" s="18">
        <v>9.9000000000000008E-3</v>
      </c>
      <c r="AR95" s="18">
        <v>0</v>
      </c>
      <c r="AS95" s="18">
        <v>0</v>
      </c>
      <c r="AT95" s="18">
        <v>0</v>
      </c>
      <c r="AU95" s="18">
        <v>0</v>
      </c>
      <c r="AV95" s="18">
        <v>0</v>
      </c>
      <c r="AW95" s="18">
        <v>0</v>
      </c>
      <c r="AX95" s="18">
        <v>0</v>
      </c>
    </row>
    <row r="96" spans="1:50" x14ac:dyDescent="0.25">
      <c r="A96" s="8" t="s">
        <v>150</v>
      </c>
      <c r="B96" s="10" t="s">
        <v>57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</row>
    <row r="97" spans="1:50" x14ac:dyDescent="0.25">
      <c r="A97" s="17" t="s">
        <v>497</v>
      </c>
      <c r="B97" s="13" t="s">
        <v>410</v>
      </c>
      <c r="C97" s="18">
        <v>0</v>
      </c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8">
        <v>3.3999999999999998E-3</v>
      </c>
      <c r="K97" s="18">
        <v>4.9700000000000001E-2</v>
      </c>
      <c r="L97" s="18">
        <v>0.2326</v>
      </c>
      <c r="M97" s="18">
        <v>0.46129999999999999</v>
      </c>
      <c r="N97" s="18">
        <v>0.7419</v>
      </c>
      <c r="O97" s="18">
        <v>1.0479000000000001</v>
      </c>
      <c r="P97" s="18">
        <v>1.3576999999999999</v>
      </c>
      <c r="Q97" s="18">
        <v>1.6659999999999999</v>
      </c>
      <c r="R97" s="18">
        <v>1.9745999999999999</v>
      </c>
      <c r="S97" s="18">
        <v>2.2643</v>
      </c>
      <c r="T97" s="18">
        <v>2.5367000000000002</v>
      </c>
      <c r="U97" s="18">
        <v>2.7686000000000002</v>
      </c>
      <c r="V97" s="18">
        <v>2.9664000000000001</v>
      </c>
      <c r="W97" s="18">
        <v>3.14</v>
      </c>
      <c r="X97" s="18">
        <v>3.2833000000000001</v>
      </c>
      <c r="Y97" s="18">
        <v>3.3849999999999998</v>
      </c>
      <c r="Z97" s="18">
        <v>3.4296000000000002</v>
      </c>
      <c r="AA97" s="18">
        <v>3.4424999999999999</v>
      </c>
      <c r="AB97" s="18">
        <v>3.4182999999999999</v>
      </c>
      <c r="AC97" s="18">
        <v>3.3372000000000002</v>
      </c>
      <c r="AD97" s="18">
        <v>3.2132999999999998</v>
      </c>
      <c r="AE97" s="18">
        <v>3.0655000000000001</v>
      </c>
      <c r="AF97" s="18">
        <v>2.8782000000000001</v>
      </c>
      <c r="AG97" s="18">
        <v>2.6791</v>
      </c>
      <c r="AH97" s="18">
        <v>2.4396</v>
      </c>
      <c r="AI97" s="18">
        <v>2.1698</v>
      </c>
      <c r="AJ97" s="18">
        <v>1.8441000000000001</v>
      </c>
      <c r="AK97" s="18">
        <v>1.5391999999999999</v>
      </c>
      <c r="AL97" s="18">
        <v>1.2259</v>
      </c>
      <c r="AM97" s="18">
        <v>0.92290000000000005</v>
      </c>
      <c r="AN97" s="18">
        <v>0.63080000000000003</v>
      </c>
      <c r="AO97" s="18">
        <v>0.36830000000000002</v>
      </c>
      <c r="AP97" s="18">
        <v>0.1072</v>
      </c>
      <c r="AQ97" s="18">
        <v>1.9800000000000002E-2</v>
      </c>
      <c r="AR97" s="18">
        <v>0</v>
      </c>
      <c r="AS97" s="18">
        <v>0</v>
      </c>
      <c r="AT97" s="18">
        <v>0</v>
      </c>
      <c r="AU97" s="18">
        <v>0</v>
      </c>
      <c r="AV97" s="18">
        <v>0</v>
      </c>
      <c r="AW97" s="18">
        <v>0</v>
      </c>
      <c r="AX97" s="18">
        <v>0</v>
      </c>
    </row>
    <row r="98" spans="1:50" x14ac:dyDescent="0.25">
      <c r="A98" s="17" t="s">
        <v>499</v>
      </c>
      <c r="B98" s="13" t="s">
        <v>410</v>
      </c>
      <c r="C98" s="18">
        <v>0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3.0000000000000001E-3</v>
      </c>
      <c r="K98" s="18">
        <v>4.3499999999999997E-2</v>
      </c>
      <c r="L98" s="18">
        <v>0.20349999999999999</v>
      </c>
      <c r="M98" s="18">
        <v>0.4037</v>
      </c>
      <c r="N98" s="18">
        <v>0.64910000000000001</v>
      </c>
      <c r="O98" s="18">
        <v>0.91690000000000005</v>
      </c>
      <c r="P98" s="18">
        <v>1.1879999999999999</v>
      </c>
      <c r="Q98" s="18">
        <v>1.4577</v>
      </c>
      <c r="R98" s="18">
        <v>1.7278</v>
      </c>
      <c r="S98" s="18">
        <v>1.9813000000000001</v>
      </c>
      <c r="T98" s="18">
        <v>2.2195999999999998</v>
      </c>
      <c r="U98" s="18">
        <v>2.4224999999999999</v>
      </c>
      <c r="V98" s="18">
        <v>2.5956000000000001</v>
      </c>
      <c r="W98" s="18">
        <v>2.7475000000000001</v>
      </c>
      <c r="X98" s="18">
        <v>2.8729</v>
      </c>
      <c r="Y98" s="18">
        <v>2.9619</v>
      </c>
      <c r="Z98" s="18">
        <v>3.0009000000000001</v>
      </c>
      <c r="AA98" s="18">
        <v>3.0122</v>
      </c>
      <c r="AB98" s="18">
        <v>2.9910000000000001</v>
      </c>
      <c r="AC98" s="18">
        <v>2.92</v>
      </c>
      <c r="AD98" s="18">
        <v>2.8117000000000001</v>
      </c>
      <c r="AE98" s="18">
        <v>2.6823000000000001</v>
      </c>
      <c r="AF98" s="18">
        <v>2.5184000000000002</v>
      </c>
      <c r="AG98" s="18">
        <v>2.3441999999999998</v>
      </c>
      <c r="AH98" s="18">
        <v>2.1345999999999998</v>
      </c>
      <c r="AI98" s="18">
        <v>1.8986000000000001</v>
      </c>
      <c r="AJ98" s="18">
        <v>1.6135999999999999</v>
      </c>
      <c r="AK98" s="18">
        <v>1.3468</v>
      </c>
      <c r="AL98" s="18">
        <v>1.0727</v>
      </c>
      <c r="AM98" s="18">
        <v>0.80759999999999998</v>
      </c>
      <c r="AN98" s="18">
        <v>0.55189999999999995</v>
      </c>
      <c r="AO98" s="18">
        <v>0.32229999999999998</v>
      </c>
      <c r="AP98" s="18">
        <v>9.3799999999999994E-2</v>
      </c>
      <c r="AQ98" s="18">
        <v>1.7299999999999999E-2</v>
      </c>
      <c r="AR98" s="18">
        <v>0</v>
      </c>
      <c r="AS98" s="18">
        <v>0</v>
      </c>
      <c r="AT98" s="18">
        <v>0</v>
      </c>
      <c r="AU98" s="18">
        <v>0</v>
      </c>
      <c r="AV98" s="18">
        <v>0</v>
      </c>
      <c r="AW98" s="18">
        <v>0</v>
      </c>
      <c r="AX98" s="18">
        <v>0</v>
      </c>
    </row>
    <row r="99" spans="1:50" x14ac:dyDescent="0.25">
      <c r="A99" s="8" t="s">
        <v>152</v>
      </c>
      <c r="B99" s="10" t="s">
        <v>57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</row>
    <row r="100" spans="1:50" x14ac:dyDescent="0.25">
      <c r="A100" s="8" t="s">
        <v>154</v>
      </c>
      <c r="B100" s="10" t="s">
        <v>57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</row>
    <row r="101" spans="1:50" x14ac:dyDescent="0.25">
      <c r="A101" s="8" t="s">
        <v>156</v>
      </c>
      <c r="B101" s="10" t="s">
        <v>57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</row>
    <row r="102" spans="1:50" x14ac:dyDescent="0.25">
      <c r="A102" s="17" t="s">
        <v>501</v>
      </c>
      <c r="B102" s="13" t="s">
        <v>410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3.3999999999999998E-3</v>
      </c>
      <c r="K102" s="18">
        <v>4.9700000000000001E-2</v>
      </c>
      <c r="L102" s="18">
        <v>0.2326</v>
      </c>
      <c r="M102" s="18">
        <v>0.46129999999999999</v>
      </c>
      <c r="N102" s="18">
        <v>0.7419</v>
      </c>
      <c r="O102" s="18">
        <v>1.0479000000000001</v>
      </c>
      <c r="P102" s="18">
        <v>1.3576999999999999</v>
      </c>
      <c r="Q102" s="18">
        <v>1.6659999999999999</v>
      </c>
      <c r="R102" s="18">
        <v>1.9745999999999999</v>
      </c>
      <c r="S102" s="18">
        <v>2.2643</v>
      </c>
      <c r="T102" s="18">
        <v>2.5367000000000002</v>
      </c>
      <c r="U102" s="18">
        <v>2.7686000000000002</v>
      </c>
      <c r="V102" s="18">
        <v>2.9664000000000001</v>
      </c>
      <c r="W102" s="18">
        <v>3.14</v>
      </c>
      <c r="X102" s="18">
        <v>3.2833000000000001</v>
      </c>
      <c r="Y102" s="18">
        <v>3.3849999999999998</v>
      </c>
      <c r="Z102" s="18">
        <v>3.4296000000000002</v>
      </c>
      <c r="AA102" s="18">
        <v>3.4424999999999999</v>
      </c>
      <c r="AB102" s="18">
        <v>3.4182999999999999</v>
      </c>
      <c r="AC102" s="18">
        <v>3.3372000000000002</v>
      </c>
      <c r="AD102" s="18">
        <v>3.2132999999999998</v>
      </c>
      <c r="AE102" s="18">
        <v>3.0655000000000001</v>
      </c>
      <c r="AF102" s="18">
        <v>2.8782000000000001</v>
      </c>
      <c r="AG102" s="18">
        <v>2.6791</v>
      </c>
      <c r="AH102" s="18">
        <v>2.4396</v>
      </c>
      <c r="AI102" s="18">
        <v>2.1698</v>
      </c>
      <c r="AJ102" s="18">
        <v>1.8441000000000001</v>
      </c>
      <c r="AK102" s="18">
        <v>1.5391999999999999</v>
      </c>
      <c r="AL102" s="18">
        <v>1.2259</v>
      </c>
      <c r="AM102" s="18">
        <v>0.92290000000000005</v>
      </c>
      <c r="AN102" s="18">
        <v>0.63080000000000003</v>
      </c>
      <c r="AO102" s="18">
        <v>0.36830000000000002</v>
      </c>
      <c r="AP102" s="18">
        <v>0.1072</v>
      </c>
      <c r="AQ102" s="18">
        <v>1.9800000000000002E-2</v>
      </c>
      <c r="AR102" s="18">
        <v>0</v>
      </c>
      <c r="AS102" s="18">
        <v>0</v>
      </c>
      <c r="AT102" s="18">
        <v>0</v>
      </c>
      <c r="AU102" s="18">
        <v>0</v>
      </c>
      <c r="AV102" s="18">
        <v>0</v>
      </c>
      <c r="AW102" s="18">
        <v>0</v>
      </c>
      <c r="AX102" s="18">
        <v>0</v>
      </c>
    </row>
    <row r="103" spans="1:50" x14ac:dyDescent="0.25">
      <c r="A103" s="8" t="s">
        <v>158</v>
      </c>
      <c r="B103" s="10" t="s">
        <v>57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</row>
    <row r="104" spans="1:50" x14ac:dyDescent="0.25">
      <c r="A104" s="17" t="s">
        <v>503</v>
      </c>
      <c r="B104" s="13" t="s">
        <v>410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2.2000000000000001E-3</v>
      </c>
      <c r="K104" s="18">
        <v>3.1099999999999999E-2</v>
      </c>
      <c r="L104" s="18">
        <v>0.1454</v>
      </c>
      <c r="M104" s="18">
        <v>0.2883</v>
      </c>
      <c r="N104" s="18">
        <v>0.4637</v>
      </c>
      <c r="O104" s="18">
        <v>0.65490000000000004</v>
      </c>
      <c r="P104" s="18">
        <v>0.84860000000000002</v>
      </c>
      <c r="Q104" s="18">
        <v>1.0411999999999999</v>
      </c>
      <c r="R104" s="18">
        <v>1.2341</v>
      </c>
      <c r="S104" s="18">
        <v>1.4152</v>
      </c>
      <c r="T104" s="18">
        <v>1.5853999999999999</v>
      </c>
      <c r="U104" s="18">
        <v>1.7303999999999999</v>
      </c>
      <c r="V104" s="18">
        <v>1.8540000000000001</v>
      </c>
      <c r="W104" s="18">
        <v>1.9624999999999999</v>
      </c>
      <c r="X104" s="18">
        <v>2.0520999999999998</v>
      </c>
      <c r="Y104" s="18">
        <v>2.1156000000000001</v>
      </c>
      <c r="Z104" s="18">
        <v>2.1435</v>
      </c>
      <c r="AA104" s="18">
        <v>2.1516000000000002</v>
      </c>
      <c r="AB104" s="18">
        <v>2.1364999999999998</v>
      </c>
      <c r="AC104" s="18">
        <v>2.0857000000000001</v>
      </c>
      <c r="AD104" s="18">
        <v>2.0083000000000002</v>
      </c>
      <c r="AE104" s="18">
        <v>1.9158999999999999</v>
      </c>
      <c r="AF104" s="18">
        <v>1.7988999999999999</v>
      </c>
      <c r="AG104" s="18">
        <v>1.6745000000000001</v>
      </c>
      <c r="AH104" s="18">
        <v>1.5246999999999999</v>
      </c>
      <c r="AI104" s="18">
        <v>1.3561000000000001</v>
      </c>
      <c r="AJ104" s="18">
        <v>1.1525000000000001</v>
      </c>
      <c r="AK104" s="18">
        <v>0.96199999999999997</v>
      </c>
      <c r="AL104" s="18">
        <v>0.76619999999999999</v>
      </c>
      <c r="AM104" s="18">
        <v>0.57679999999999998</v>
      </c>
      <c r="AN104" s="18">
        <v>0.39419999999999999</v>
      </c>
      <c r="AO104" s="18">
        <v>0.23019999999999999</v>
      </c>
      <c r="AP104" s="18">
        <v>6.7000000000000004E-2</v>
      </c>
      <c r="AQ104" s="18">
        <v>1.24E-2</v>
      </c>
      <c r="AR104" s="18">
        <v>0</v>
      </c>
      <c r="AS104" s="18">
        <v>0</v>
      </c>
      <c r="AT104" s="18">
        <v>0</v>
      </c>
      <c r="AU104" s="18">
        <v>0</v>
      </c>
      <c r="AV104" s="18">
        <v>0</v>
      </c>
      <c r="AW104" s="18">
        <v>0</v>
      </c>
      <c r="AX104" s="18">
        <v>0</v>
      </c>
    </row>
    <row r="105" spans="1:50" x14ac:dyDescent="0.25">
      <c r="A105" s="8" t="s">
        <v>160</v>
      </c>
      <c r="B105" s="10" t="s">
        <v>57</v>
      </c>
      <c r="C105" s="16">
        <v>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  <c r="AK105" s="16">
        <v>0</v>
      </c>
      <c r="AL105" s="16">
        <v>0</v>
      </c>
      <c r="AM105" s="16">
        <v>0</v>
      </c>
      <c r="AN105" s="16">
        <v>0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6">
        <v>0</v>
      </c>
      <c r="AU105" s="16">
        <v>0</v>
      </c>
      <c r="AV105" s="16">
        <v>0</v>
      </c>
      <c r="AW105" s="16">
        <v>0</v>
      </c>
      <c r="AX105" s="16">
        <v>0</v>
      </c>
    </row>
    <row r="106" spans="1:50" x14ac:dyDescent="0.25">
      <c r="A106" s="8" t="s">
        <v>162</v>
      </c>
      <c r="B106" s="10" t="s">
        <v>57</v>
      </c>
      <c r="C106" s="16">
        <v>0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  <c r="AK106" s="16">
        <v>0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  <c r="AW106" s="16">
        <v>0</v>
      </c>
      <c r="AX106" s="16">
        <v>0</v>
      </c>
    </row>
    <row r="107" spans="1:50" x14ac:dyDescent="0.25">
      <c r="A107" s="8" t="s">
        <v>164</v>
      </c>
      <c r="B107" s="10" t="s">
        <v>57</v>
      </c>
      <c r="C107" s="16">
        <v>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6">
        <v>0</v>
      </c>
      <c r="AS107" s="16">
        <v>0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</row>
    <row r="108" spans="1:50" x14ac:dyDescent="0.25">
      <c r="A108" s="8" t="s">
        <v>166</v>
      </c>
      <c r="B108" s="10" t="s">
        <v>57</v>
      </c>
      <c r="C108" s="16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6">
        <v>0</v>
      </c>
      <c r="AO108" s="16">
        <v>0</v>
      </c>
      <c r="AP108" s="16"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0</v>
      </c>
      <c r="AW108" s="16">
        <v>0</v>
      </c>
      <c r="AX108" s="16">
        <v>0</v>
      </c>
    </row>
    <row r="109" spans="1:50" x14ac:dyDescent="0.25">
      <c r="A109" s="8" t="s">
        <v>168</v>
      </c>
      <c r="B109" s="10" t="s">
        <v>57</v>
      </c>
      <c r="C109" s="16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>
        <v>0</v>
      </c>
      <c r="AP109" s="16"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0</v>
      </c>
      <c r="AW109" s="16">
        <v>0</v>
      </c>
      <c r="AX109" s="16">
        <v>0</v>
      </c>
    </row>
    <row r="110" spans="1:50" x14ac:dyDescent="0.25">
      <c r="A110" s="17" t="s">
        <v>505</v>
      </c>
      <c r="B110" s="13" t="s">
        <v>410</v>
      </c>
      <c r="C110" s="18">
        <v>0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3.3999999999999998E-3</v>
      </c>
      <c r="K110" s="18">
        <v>4.9700000000000001E-2</v>
      </c>
      <c r="L110" s="18">
        <v>0.2326</v>
      </c>
      <c r="M110" s="18">
        <v>0.46129999999999999</v>
      </c>
      <c r="N110" s="18">
        <v>0.7419</v>
      </c>
      <c r="O110" s="18">
        <v>1.0479000000000001</v>
      </c>
      <c r="P110" s="18">
        <v>1.3576999999999999</v>
      </c>
      <c r="Q110" s="18">
        <v>1.6659999999999999</v>
      </c>
      <c r="R110" s="18">
        <v>1.9745999999999999</v>
      </c>
      <c r="S110" s="18">
        <v>2.2643</v>
      </c>
      <c r="T110" s="18">
        <v>2.5367000000000002</v>
      </c>
      <c r="U110" s="18">
        <v>2.7686000000000002</v>
      </c>
      <c r="V110" s="18">
        <v>2.9664000000000001</v>
      </c>
      <c r="W110" s="18">
        <v>3.14</v>
      </c>
      <c r="X110" s="18">
        <v>3.2833000000000001</v>
      </c>
      <c r="Y110" s="18">
        <v>3.3849999999999998</v>
      </c>
      <c r="Z110" s="18">
        <v>3.4296000000000002</v>
      </c>
      <c r="AA110" s="18">
        <v>3.4424999999999999</v>
      </c>
      <c r="AB110" s="18">
        <v>3.4182999999999999</v>
      </c>
      <c r="AC110" s="18">
        <v>3.3372000000000002</v>
      </c>
      <c r="AD110" s="18">
        <v>3.2132999999999998</v>
      </c>
      <c r="AE110" s="18">
        <v>3.0655000000000001</v>
      </c>
      <c r="AF110" s="18">
        <v>2.8782000000000001</v>
      </c>
      <c r="AG110" s="18">
        <v>2.6791</v>
      </c>
      <c r="AH110" s="18">
        <v>2.4396</v>
      </c>
      <c r="AI110" s="18">
        <v>2.1698</v>
      </c>
      <c r="AJ110" s="18">
        <v>1.8441000000000001</v>
      </c>
      <c r="AK110" s="18">
        <v>1.5391999999999999</v>
      </c>
      <c r="AL110" s="18">
        <v>1.2259</v>
      </c>
      <c r="AM110" s="18">
        <v>0.92290000000000005</v>
      </c>
      <c r="AN110" s="18">
        <v>0.63080000000000003</v>
      </c>
      <c r="AO110" s="18">
        <v>0.36830000000000002</v>
      </c>
      <c r="AP110" s="18">
        <v>0.1072</v>
      </c>
      <c r="AQ110" s="18">
        <v>1.9800000000000002E-2</v>
      </c>
      <c r="AR110" s="18">
        <v>0</v>
      </c>
      <c r="AS110" s="18">
        <v>0</v>
      </c>
      <c r="AT110" s="18">
        <v>0</v>
      </c>
      <c r="AU110" s="18">
        <v>0</v>
      </c>
      <c r="AV110" s="18">
        <v>0</v>
      </c>
      <c r="AW110" s="18">
        <v>0</v>
      </c>
      <c r="AX110" s="18">
        <v>0</v>
      </c>
    </row>
    <row r="111" spans="1:50" x14ac:dyDescent="0.25">
      <c r="A111" s="8" t="s">
        <v>170</v>
      </c>
      <c r="B111" s="10" t="s">
        <v>57</v>
      </c>
      <c r="C111" s="16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  <c r="AK111" s="16">
        <v>0</v>
      </c>
      <c r="AL111" s="16">
        <v>0</v>
      </c>
      <c r="AM111" s="16">
        <v>0</v>
      </c>
      <c r="AN111" s="16">
        <v>0</v>
      </c>
      <c r="AO111" s="16">
        <v>0</v>
      </c>
      <c r="AP111" s="16">
        <v>0</v>
      </c>
      <c r="AQ111" s="16">
        <v>0</v>
      </c>
      <c r="AR111" s="16">
        <v>0</v>
      </c>
      <c r="AS111" s="16">
        <v>0</v>
      </c>
      <c r="AT111" s="16">
        <v>0</v>
      </c>
      <c r="AU111" s="16">
        <v>0</v>
      </c>
      <c r="AV111" s="16">
        <v>0</v>
      </c>
      <c r="AW111" s="16">
        <v>0</v>
      </c>
      <c r="AX111" s="16">
        <v>0</v>
      </c>
    </row>
    <row r="112" spans="1:50" x14ac:dyDescent="0.25">
      <c r="A112" s="8" t="s">
        <v>172</v>
      </c>
      <c r="B112" s="10" t="s">
        <v>57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  <c r="AK112" s="16">
        <v>0</v>
      </c>
      <c r="AL112" s="16">
        <v>0</v>
      </c>
      <c r="AM112" s="16">
        <v>0</v>
      </c>
      <c r="AN112" s="16">
        <v>0</v>
      </c>
      <c r="AO112" s="16">
        <v>0</v>
      </c>
      <c r="AP112" s="16">
        <v>0</v>
      </c>
      <c r="AQ112" s="16">
        <v>0</v>
      </c>
      <c r="AR112" s="16">
        <v>0</v>
      </c>
      <c r="AS112" s="16">
        <v>0</v>
      </c>
      <c r="AT112" s="16">
        <v>0</v>
      </c>
      <c r="AU112" s="16">
        <v>0</v>
      </c>
      <c r="AV112" s="16">
        <v>0</v>
      </c>
      <c r="AW112" s="16">
        <v>0</v>
      </c>
      <c r="AX112" s="16">
        <v>0</v>
      </c>
    </row>
    <row r="113" spans="1:50" x14ac:dyDescent="0.25">
      <c r="A113" s="17" t="s">
        <v>507</v>
      </c>
      <c r="B113" s="13" t="s">
        <v>410</v>
      </c>
      <c r="C113" s="18">
        <v>0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2.5999999999999999E-3</v>
      </c>
      <c r="K113" s="18">
        <v>3.73E-2</v>
      </c>
      <c r="L113" s="18">
        <v>0.1744</v>
      </c>
      <c r="M113" s="18">
        <v>0.34599999999999997</v>
      </c>
      <c r="N113" s="18">
        <v>0.55640000000000001</v>
      </c>
      <c r="O113" s="18">
        <v>0.78590000000000004</v>
      </c>
      <c r="P113" s="18">
        <v>1.0183</v>
      </c>
      <c r="Q113" s="18">
        <v>1.2495000000000001</v>
      </c>
      <c r="R113" s="18">
        <v>1.4810000000000001</v>
      </c>
      <c r="S113" s="18">
        <v>1.6981999999999999</v>
      </c>
      <c r="T113" s="18">
        <v>1.9025000000000001</v>
      </c>
      <c r="U113" s="18">
        <v>2.0764</v>
      </c>
      <c r="V113" s="18">
        <v>2.2248000000000001</v>
      </c>
      <c r="W113" s="18">
        <v>2.355</v>
      </c>
      <c r="X113" s="18">
        <v>2.4624999999999999</v>
      </c>
      <c r="Y113" s="18">
        <v>2.5387</v>
      </c>
      <c r="Z113" s="18">
        <v>2.5722</v>
      </c>
      <c r="AA113" s="18">
        <v>2.5819000000000001</v>
      </c>
      <c r="AB113" s="18">
        <v>2.5636999999999999</v>
      </c>
      <c r="AC113" s="18">
        <v>2.5028999999999999</v>
      </c>
      <c r="AD113" s="18">
        <v>2.41</v>
      </c>
      <c r="AE113" s="18">
        <v>2.2991000000000001</v>
      </c>
      <c r="AF113" s="18">
        <v>2.1585999999999999</v>
      </c>
      <c r="AG113" s="18">
        <v>2.0093000000000001</v>
      </c>
      <c r="AH113" s="18">
        <v>1.8297000000000001</v>
      </c>
      <c r="AI113" s="18">
        <v>1.6274</v>
      </c>
      <c r="AJ113" s="18">
        <v>1.3831</v>
      </c>
      <c r="AK113" s="18">
        <v>1.1544000000000001</v>
      </c>
      <c r="AL113" s="18">
        <v>0.91949999999999998</v>
      </c>
      <c r="AM113" s="18">
        <v>0.69220000000000004</v>
      </c>
      <c r="AN113" s="18">
        <v>0.47310000000000002</v>
      </c>
      <c r="AO113" s="18">
        <v>0.2762</v>
      </c>
      <c r="AP113" s="18">
        <v>8.0399999999999999E-2</v>
      </c>
      <c r="AQ113" s="18">
        <v>1.4800000000000001E-2</v>
      </c>
      <c r="AR113" s="18">
        <v>0</v>
      </c>
      <c r="AS113" s="18">
        <v>0</v>
      </c>
      <c r="AT113" s="18">
        <v>0</v>
      </c>
      <c r="AU113" s="18">
        <v>0</v>
      </c>
      <c r="AV113" s="18">
        <v>0</v>
      </c>
      <c r="AW113" s="18">
        <v>0</v>
      </c>
      <c r="AX113" s="18">
        <v>0</v>
      </c>
    </row>
    <row r="114" spans="1:50" x14ac:dyDescent="0.25">
      <c r="A114" s="8" t="s">
        <v>174</v>
      </c>
      <c r="B114" s="10" t="s">
        <v>57</v>
      </c>
      <c r="C114" s="16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  <c r="AK114" s="16">
        <v>0</v>
      </c>
      <c r="AL114" s="16">
        <v>0</v>
      </c>
      <c r="AM114" s="16">
        <v>0</v>
      </c>
      <c r="AN114" s="16">
        <v>0</v>
      </c>
      <c r="AO114" s="16">
        <v>0</v>
      </c>
      <c r="AP114" s="16">
        <v>0</v>
      </c>
      <c r="AQ114" s="16">
        <v>0</v>
      </c>
      <c r="AR114" s="16">
        <v>0</v>
      </c>
      <c r="AS114" s="16">
        <v>0</v>
      </c>
      <c r="AT114" s="16">
        <v>0</v>
      </c>
      <c r="AU114" s="16">
        <v>0</v>
      </c>
      <c r="AV114" s="16">
        <v>0</v>
      </c>
      <c r="AW114" s="16">
        <v>0</v>
      </c>
      <c r="AX114" s="16">
        <v>0</v>
      </c>
    </row>
    <row r="115" spans="1:50" x14ac:dyDescent="0.25">
      <c r="A115" s="17" t="s">
        <v>509</v>
      </c>
      <c r="B115" s="13" t="s">
        <v>410</v>
      </c>
      <c r="C115" s="18">
        <v>0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8">
        <v>2.5999999999999999E-3</v>
      </c>
      <c r="K115" s="18">
        <v>3.73E-2</v>
      </c>
      <c r="L115" s="18">
        <v>0.1744</v>
      </c>
      <c r="M115" s="18">
        <v>0.34599999999999997</v>
      </c>
      <c r="N115" s="18">
        <v>0.55640000000000001</v>
      </c>
      <c r="O115" s="18">
        <v>0.78590000000000004</v>
      </c>
      <c r="P115" s="18">
        <v>1.0183</v>
      </c>
      <c r="Q115" s="18">
        <v>1.2495000000000001</v>
      </c>
      <c r="R115" s="18">
        <v>1.4810000000000001</v>
      </c>
      <c r="S115" s="18">
        <v>1.6981999999999999</v>
      </c>
      <c r="T115" s="18">
        <v>1.9025000000000001</v>
      </c>
      <c r="U115" s="18">
        <v>2.0764</v>
      </c>
      <c r="V115" s="18">
        <v>2.2248000000000001</v>
      </c>
      <c r="W115" s="18">
        <v>2.355</v>
      </c>
      <c r="X115" s="18">
        <v>2.4624999999999999</v>
      </c>
      <c r="Y115" s="18">
        <v>2.5387</v>
      </c>
      <c r="Z115" s="18">
        <v>2.5722</v>
      </c>
      <c r="AA115" s="18">
        <v>2.5819000000000001</v>
      </c>
      <c r="AB115" s="18">
        <v>2.5636999999999999</v>
      </c>
      <c r="AC115" s="18">
        <v>2.5028999999999999</v>
      </c>
      <c r="AD115" s="18">
        <v>2.41</v>
      </c>
      <c r="AE115" s="18">
        <v>2.2991000000000001</v>
      </c>
      <c r="AF115" s="18">
        <v>2.1585999999999999</v>
      </c>
      <c r="AG115" s="18">
        <v>2.0093000000000001</v>
      </c>
      <c r="AH115" s="18">
        <v>1.8297000000000001</v>
      </c>
      <c r="AI115" s="18">
        <v>1.6274</v>
      </c>
      <c r="AJ115" s="18">
        <v>1.3831</v>
      </c>
      <c r="AK115" s="18">
        <v>1.1544000000000001</v>
      </c>
      <c r="AL115" s="18">
        <v>0.91949999999999998</v>
      </c>
      <c r="AM115" s="18">
        <v>0.69220000000000004</v>
      </c>
      <c r="AN115" s="18">
        <v>0.47310000000000002</v>
      </c>
      <c r="AO115" s="18">
        <v>0.2762</v>
      </c>
      <c r="AP115" s="18">
        <v>8.0399999999999999E-2</v>
      </c>
      <c r="AQ115" s="18">
        <v>1.4800000000000001E-2</v>
      </c>
      <c r="AR115" s="18">
        <v>0</v>
      </c>
      <c r="AS115" s="18">
        <v>0</v>
      </c>
      <c r="AT115" s="18">
        <v>0</v>
      </c>
      <c r="AU115" s="18">
        <v>0</v>
      </c>
      <c r="AV115" s="18">
        <v>0</v>
      </c>
      <c r="AW115" s="18">
        <v>0</v>
      </c>
      <c r="AX115" s="18">
        <v>0</v>
      </c>
    </row>
    <row r="116" spans="1:50" x14ac:dyDescent="0.25">
      <c r="A116" s="8" t="s">
        <v>176</v>
      </c>
      <c r="B116" s="10" t="s">
        <v>57</v>
      </c>
      <c r="C116" s="16">
        <v>0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6">
        <v>0</v>
      </c>
      <c r="AO116" s="16">
        <v>0</v>
      </c>
      <c r="AP116" s="16">
        <v>0</v>
      </c>
      <c r="AQ116" s="16">
        <v>0</v>
      </c>
      <c r="AR116" s="16">
        <v>0</v>
      </c>
      <c r="AS116" s="16">
        <v>0</v>
      </c>
      <c r="AT116" s="16">
        <v>0</v>
      </c>
      <c r="AU116" s="16">
        <v>0</v>
      </c>
      <c r="AV116" s="16">
        <v>0</v>
      </c>
      <c r="AW116" s="16">
        <v>0</v>
      </c>
      <c r="AX116" s="16">
        <v>0</v>
      </c>
    </row>
    <row r="117" spans="1:50" x14ac:dyDescent="0.25">
      <c r="A117" s="8" t="s">
        <v>178</v>
      </c>
      <c r="B117" s="10" t="s">
        <v>57</v>
      </c>
      <c r="C117" s="16">
        <v>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  <c r="AK117" s="16">
        <v>0</v>
      </c>
      <c r="AL117" s="16">
        <v>0</v>
      </c>
      <c r="AM117" s="16">
        <v>0</v>
      </c>
      <c r="AN117" s="16">
        <v>0</v>
      </c>
      <c r="AO117" s="16">
        <v>0</v>
      </c>
      <c r="AP117" s="16">
        <v>0</v>
      </c>
      <c r="AQ117" s="16">
        <v>0</v>
      </c>
      <c r="AR117" s="16">
        <v>0</v>
      </c>
      <c r="AS117" s="16">
        <v>0</v>
      </c>
      <c r="AT117" s="16">
        <v>0</v>
      </c>
      <c r="AU117" s="16">
        <v>0</v>
      </c>
      <c r="AV117" s="16">
        <v>0</v>
      </c>
      <c r="AW117" s="16">
        <v>0</v>
      </c>
      <c r="AX117" s="16">
        <v>0</v>
      </c>
    </row>
    <row r="118" spans="1:50" x14ac:dyDescent="0.25">
      <c r="A118" s="8" t="s">
        <v>180</v>
      </c>
      <c r="B118" s="10" t="s">
        <v>57</v>
      </c>
      <c r="C118" s="16">
        <v>0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  <c r="AK118" s="16">
        <v>0</v>
      </c>
      <c r="AL118" s="16">
        <v>0</v>
      </c>
      <c r="AM118" s="16">
        <v>0</v>
      </c>
      <c r="AN118" s="16">
        <v>0</v>
      </c>
      <c r="AO118" s="16">
        <v>0</v>
      </c>
      <c r="AP118" s="16">
        <v>0</v>
      </c>
      <c r="AQ118" s="16">
        <v>0</v>
      </c>
      <c r="AR118" s="16">
        <v>0</v>
      </c>
      <c r="AS118" s="16">
        <v>0</v>
      </c>
      <c r="AT118" s="16">
        <v>0</v>
      </c>
      <c r="AU118" s="16">
        <v>0</v>
      </c>
      <c r="AV118" s="16">
        <v>0</v>
      </c>
      <c r="AW118" s="16">
        <v>0</v>
      </c>
      <c r="AX118" s="16">
        <v>0</v>
      </c>
    </row>
    <row r="119" spans="1:50" x14ac:dyDescent="0.25">
      <c r="A119" s="8" t="s">
        <v>182</v>
      </c>
      <c r="B119" s="10" t="s">
        <v>57</v>
      </c>
      <c r="C119" s="16">
        <v>0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  <c r="AK119" s="16">
        <v>0</v>
      </c>
      <c r="AL119" s="16">
        <v>0</v>
      </c>
      <c r="AM119" s="16">
        <v>0</v>
      </c>
      <c r="AN119" s="16">
        <v>0</v>
      </c>
      <c r="AO119" s="16">
        <v>0</v>
      </c>
      <c r="AP119" s="16">
        <v>0</v>
      </c>
      <c r="AQ119" s="16">
        <v>0</v>
      </c>
      <c r="AR119" s="16">
        <v>0</v>
      </c>
      <c r="AS119" s="16">
        <v>0</v>
      </c>
      <c r="AT119" s="16">
        <v>0</v>
      </c>
      <c r="AU119" s="16">
        <v>0</v>
      </c>
      <c r="AV119" s="16">
        <v>0</v>
      </c>
      <c r="AW119" s="16">
        <v>0</v>
      </c>
      <c r="AX119" s="16">
        <v>0</v>
      </c>
    </row>
    <row r="120" spans="1:50" x14ac:dyDescent="0.25">
      <c r="A120" s="8" t="s">
        <v>184</v>
      </c>
      <c r="B120" s="10" t="s">
        <v>57</v>
      </c>
      <c r="C120" s="16">
        <v>0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  <c r="AK120" s="16">
        <v>0</v>
      </c>
      <c r="AL120" s="16">
        <v>0</v>
      </c>
      <c r="AM120" s="16">
        <v>0</v>
      </c>
      <c r="AN120" s="16">
        <v>0</v>
      </c>
      <c r="AO120" s="16">
        <v>0</v>
      </c>
      <c r="AP120" s="16">
        <v>0</v>
      </c>
      <c r="AQ120" s="16">
        <v>0</v>
      </c>
      <c r="AR120" s="16">
        <v>0</v>
      </c>
      <c r="AS120" s="16">
        <v>0</v>
      </c>
      <c r="AT120" s="16">
        <v>0</v>
      </c>
      <c r="AU120" s="16">
        <v>0</v>
      </c>
      <c r="AV120" s="16">
        <v>0</v>
      </c>
      <c r="AW120" s="16">
        <v>0</v>
      </c>
      <c r="AX120" s="16">
        <v>0</v>
      </c>
    </row>
    <row r="121" spans="1:50" x14ac:dyDescent="0.25">
      <c r="A121" s="8" t="s">
        <v>186</v>
      </c>
      <c r="B121" s="10" t="s">
        <v>57</v>
      </c>
      <c r="C121" s="16">
        <v>0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  <c r="AK121" s="16">
        <v>0</v>
      </c>
      <c r="AL121" s="16">
        <v>0</v>
      </c>
      <c r="AM121" s="16">
        <v>0</v>
      </c>
      <c r="AN121" s="16">
        <v>0</v>
      </c>
      <c r="AO121" s="16">
        <v>0</v>
      </c>
      <c r="AP121" s="16">
        <v>0</v>
      </c>
      <c r="AQ121" s="16">
        <v>0</v>
      </c>
      <c r="AR121" s="16">
        <v>0</v>
      </c>
      <c r="AS121" s="16">
        <v>0</v>
      </c>
      <c r="AT121" s="16">
        <v>0</v>
      </c>
      <c r="AU121" s="16">
        <v>0</v>
      </c>
      <c r="AV121" s="16">
        <v>0</v>
      </c>
      <c r="AW121" s="16">
        <v>0</v>
      </c>
      <c r="AX121" s="16">
        <v>0</v>
      </c>
    </row>
    <row r="122" spans="1:50" x14ac:dyDescent="0.25">
      <c r="A122" s="17" t="s">
        <v>511</v>
      </c>
      <c r="B122" s="13" t="s">
        <v>410</v>
      </c>
      <c r="C122" s="18">
        <v>0</v>
      </c>
      <c r="D122" s="18">
        <v>0</v>
      </c>
      <c r="E122" s="18">
        <v>0</v>
      </c>
      <c r="F122" s="18">
        <v>0</v>
      </c>
      <c r="G122" s="18">
        <v>0</v>
      </c>
      <c r="H122" s="18">
        <v>0</v>
      </c>
      <c r="I122" s="18">
        <v>0</v>
      </c>
      <c r="J122" s="18">
        <v>3.3999999999999998E-3</v>
      </c>
      <c r="K122" s="18">
        <v>4.9700000000000001E-2</v>
      </c>
      <c r="L122" s="18">
        <v>0.2326</v>
      </c>
      <c r="M122" s="18">
        <v>0.46129999999999999</v>
      </c>
      <c r="N122" s="18">
        <v>0.7419</v>
      </c>
      <c r="O122" s="18">
        <v>1.0479000000000001</v>
      </c>
      <c r="P122" s="18">
        <v>1.3576999999999999</v>
      </c>
      <c r="Q122" s="18">
        <v>1.6659999999999999</v>
      </c>
      <c r="R122" s="18">
        <v>1.9745999999999999</v>
      </c>
      <c r="S122" s="18">
        <v>2.2643</v>
      </c>
      <c r="T122" s="18">
        <v>2.5367000000000002</v>
      </c>
      <c r="U122" s="18">
        <v>2.7686000000000002</v>
      </c>
      <c r="V122" s="18">
        <v>2.9664000000000001</v>
      </c>
      <c r="W122" s="18">
        <v>3.14</v>
      </c>
      <c r="X122" s="18">
        <v>3.2833000000000001</v>
      </c>
      <c r="Y122" s="18">
        <v>3.3849999999999998</v>
      </c>
      <c r="Z122" s="18">
        <v>3.4296000000000002</v>
      </c>
      <c r="AA122" s="18">
        <v>3.4424999999999999</v>
      </c>
      <c r="AB122" s="18">
        <v>3.4182999999999999</v>
      </c>
      <c r="AC122" s="18">
        <v>3.3372000000000002</v>
      </c>
      <c r="AD122" s="18">
        <v>3.2132999999999998</v>
      </c>
      <c r="AE122" s="18">
        <v>3.0655000000000001</v>
      </c>
      <c r="AF122" s="18">
        <v>2.8782000000000001</v>
      </c>
      <c r="AG122" s="18">
        <v>2.6791</v>
      </c>
      <c r="AH122" s="18">
        <v>2.4396</v>
      </c>
      <c r="AI122" s="18">
        <v>2.1698</v>
      </c>
      <c r="AJ122" s="18">
        <v>1.8441000000000001</v>
      </c>
      <c r="AK122" s="18">
        <v>1.5391999999999999</v>
      </c>
      <c r="AL122" s="18">
        <v>1.2259</v>
      </c>
      <c r="AM122" s="18">
        <v>0.92290000000000005</v>
      </c>
      <c r="AN122" s="18">
        <v>0.63080000000000003</v>
      </c>
      <c r="AO122" s="18">
        <v>0.36830000000000002</v>
      </c>
      <c r="AP122" s="18">
        <v>0.1072</v>
      </c>
      <c r="AQ122" s="18">
        <v>1.9800000000000002E-2</v>
      </c>
      <c r="AR122" s="18">
        <v>0</v>
      </c>
      <c r="AS122" s="18">
        <v>0</v>
      </c>
      <c r="AT122" s="18">
        <v>0</v>
      </c>
      <c r="AU122" s="18">
        <v>0</v>
      </c>
      <c r="AV122" s="18">
        <v>0</v>
      </c>
      <c r="AW122" s="18">
        <v>0</v>
      </c>
      <c r="AX122" s="18">
        <v>0</v>
      </c>
    </row>
    <row r="123" spans="1:50" x14ac:dyDescent="0.25">
      <c r="A123" s="8" t="s">
        <v>188</v>
      </c>
      <c r="B123" s="10" t="s">
        <v>57</v>
      </c>
      <c r="C123" s="16">
        <v>0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  <c r="AK123" s="16">
        <v>0</v>
      </c>
      <c r="AL123" s="16">
        <v>0</v>
      </c>
      <c r="AM123" s="16">
        <v>0</v>
      </c>
      <c r="AN123" s="16">
        <v>0</v>
      </c>
      <c r="AO123" s="16">
        <v>0</v>
      </c>
      <c r="AP123" s="16">
        <v>0</v>
      </c>
      <c r="AQ123" s="16">
        <v>0</v>
      </c>
      <c r="AR123" s="16">
        <v>0</v>
      </c>
      <c r="AS123" s="16">
        <v>0</v>
      </c>
      <c r="AT123" s="16">
        <v>0</v>
      </c>
      <c r="AU123" s="16">
        <v>0</v>
      </c>
      <c r="AV123" s="16">
        <v>0</v>
      </c>
      <c r="AW123" s="16">
        <v>0</v>
      </c>
      <c r="AX123" s="16">
        <v>0</v>
      </c>
    </row>
    <row r="124" spans="1:50" x14ac:dyDescent="0.25">
      <c r="A124" s="17" t="s">
        <v>513</v>
      </c>
      <c r="B124" s="13" t="s">
        <v>410</v>
      </c>
      <c r="C124" s="18">
        <v>0</v>
      </c>
      <c r="D124" s="18">
        <v>0</v>
      </c>
      <c r="E124" s="18">
        <v>0</v>
      </c>
      <c r="F124" s="18">
        <v>0</v>
      </c>
      <c r="G124" s="18">
        <v>0</v>
      </c>
      <c r="H124" s="18">
        <v>0</v>
      </c>
      <c r="I124" s="18">
        <v>0</v>
      </c>
      <c r="J124" s="18">
        <v>3.3999999999999998E-3</v>
      </c>
      <c r="K124" s="18">
        <v>4.9700000000000001E-2</v>
      </c>
      <c r="L124" s="18">
        <v>0.2326</v>
      </c>
      <c r="M124" s="18">
        <v>0.46129999999999999</v>
      </c>
      <c r="N124" s="18">
        <v>0.7419</v>
      </c>
      <c r="O124" s="18">
        <v>1.0479000000000001</v>
      </c>
      <c r="P124" s="18">
        <v>1.3576999999999999</v>
      </c>
      <c r="Q124" s="18">
        <v>1.6659999999999999</v>
      </c>
      <c r="R124" s="18">
        <v>1.9745999999999999</v>
      </c>
      <c r="S124" s="18">
        <v>2.2643</v>
      </c>
      <c r="T124" s="18">
        <v>2.5367000000000002</v>
      </c>
      <c r="U124" s="18">
        <v>2.7686000000000002</v>
      </c>
      <c r="V124" s="18">
        <v>2.9664000000000001</v>
      </c>
      <c r="W124" s="18">
        <v>3.14</v>
      </c>
      <c r="X124" s="18">
        <v>3.2833000000000001</v>
      </c>
      <c r="Y124" s="18">
        <v>3.3849999999999998</v>
      </c>
      <c r="Z124" s="18">
        <v>3.4296000000000002</v>
      </c>
      <c r="AA124" s="18">
        <v>3.4424999999999999</v>
      </c>
      <c r="AB124" s="18">
        <v>3.4182999999999999</v>
      </c>
      <c r="AC124" s="18">
        <v>3.3372000000000002</v>
      </c>
      <c r="AD124" s="18">
        <v>3.2132999999999998</v>
      </c>
      <c r="AE124" s="18">
        <v>3.0655000000000001</v>
      </c>
      <c r="AF124" s="18">
        <v>2.8782000000000001</v>
      </c>
      <c r="AG124" s="18">
        <v>2.6791</v>
      </c>
      <c r="AH124" s="18">
        <v>2.4396</v>
      </c>
      <c r="AI124" s="18">
        <v>2.1698</v>
      </c>
      <c r="AJ124" s="18">
        <v>1.8441000000000001</v>
      </c>
      <c r="AK124" s="18">
        <v>1.5391999999999999</v>
      </c>
      <c r="AL124" s="18">
        <v>1.2259</v>
      </c>
      <c r="AM124" s="18">
        <v>0.92290000000000005</v>
      </c>
      <c r="AN124" s="18">
        <v>0.63080000000000003</v>
      </c>
      <c r="AO124" s="18">
        <v>0.36830000000000002</v>
      </c>
      <c r="AP124" s="18">
        <v>0.1072</v>
      </c>
      <c r="AQ124" s="18">
        <v>1.9800000000000002E-2</v>
      </c>
      <c r="AR124" s="18">
        <v>0</v>
      </c>
      <c r="AS124" s="18">
        <v>0</v>
      </c>
      <c r="AT124" s="18">
        <v>0</v>
      </c>
      <c r="AU124" s="18">
        <v>0</v>
      </c>
      <c r="AV124" s="18">
        <v>0</v>
      </c>
      <c r="AW124" s="18">
        <v>0</v>
      </c>
      <c r="AX124" s="18">
        <v>0</v>
      </c>
    </row>
    <row r="125" spans="1:50" x14ac:dyDescent="0.25">
      <c r="A125" s="8" t="s">
        <v>190</v>
      </c>
      <c r="B125" s="10" t="s">
        <v>57</v>
      </c>
      <c r="C125" s="16">
        <v>0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  <c r="AK125" s="16">
        <v>0</v>
      </c>
      <c r="AL125" s="16">
        <v>0</v>
      </c>
      <c r="AM125" s="16">
        <v>0</v>
      </c>
      <c r="AN125" s="16">
        <v>0</v>
      </c>
      <c r="AO125" s="16">
        <v>0</v>
      </c>
      <c r="AP125" s="16">
        <v>0</v>
      </c>
      <c r="AQ125" s="16">
        <v>0</v>
      </c>
      <c r="AR125" s="16">
        <v>0</v>
      </c>
      <c r="AS125" s="16">
        <v>0</v>
      </c>
      <c r="AT125" s="16">
        <v>0</v>
      </c>
      <c r="AU125" s="16">
        <v>0</v>
      </c>
      <c r="AV125" s="16">
        <v>0</v>
      </c>
      <c r="AW125" s="16">
        <v>0</v>
      </c>
      <c r="AX125" s="16">
        <v>0</v>
      </c>
    </row>
    <row r="126" spans="1:50" x14ac:dyDescent="0.25">
      <c r="A126" s="17" t="s">
        <v>515</v>
      </c>
      <c r="B126" s="13" t="s">
        <v>410</v>
      </c>
      <c r="C126" s="18">
        <v>0</v>
      </c>
      <c r="D126" s="18">
        <v>0</v>
      </c>
      <c r="E126" s="18">
        <v>0</v>
      </c>
      <c r="F126" s="18">
        <v>0</v>
      </c>
      <c r="G126" s="18">
        <v>0</v>
      </c>
      <c r="H126" s="18">
        <v>0</v>
      </c>
      <c r="I126" s="18">
        <v>0</v>
      </c>
      <c r="J126" s="18">
        <v>1.2999999999999999E-3</v>
      </c>
      <c r="K126" s="18">
        <v>1.8700000000000001E-2</v>
      </c>
      <c r="L126" s="18">
        <v>8.72E-2</v>
      </c>
      <c r="M126" s="18">
        <v>0.17299999999999999</v>
      </c>
      <c r="N126" s="18">
        <v>0.2782</v>
      </c>
      <c r="O126" s="18">
        <v>0.39300000000000002</v>
      </c>
      <c r="P126" s="18">
        <v>0.50919999999999999</v>
      </c>
      <c r="Q126" s="18">
        <v>0.62470000000000003</v>
      </c>
      <c r="R126" s="18">
        <v>0.74050000000000005</v>
      </c>
      <c r="S126" s="18">
        <v>0.84909999999999997</v>
      </c>
      <c r="T126" s="18">
        <v>0.95120000000000005</v>
      </c>
      <c r="U126" s="18">
        <v>1.0382</v>
      </c>
      <c r="V126" s="18">
        <v>1.1124000000000001</v>
      </c>
      <c r="W126" s="18">
        <v>1.1775</v>
      </c>
      <c r="X126" s="18">
        <v>1.2312000000000001</v>
      </c>
      <c r="Y126" s="18">
        <v>1.2694000000000001</v>
      </c>
      <c r="Z126" s="18">
        <v>1.2861</v>
      </c>
      <c r="AA126" s="18">
        <v>1.2908999999999999</v>
      </c>
      <c r="AB126" s="18">
        <v>1.2819</v>
      </c>
      <c r="AC126" s="18">
        <v>1.2514000000000001</v>
      </c>
      <c r="AD126" s="18">
        <v>1.2050000000000001</v>
      </c>
      <c r="AE126" s="18">
        <v>1.1496</v>
      </c>
      <c r="AF126" s="18">
        <v>1.0792999999999999</v>
      </c>
      <c r="AG126" s="18">
        <v>1.0046999999999999</v>
      </c>
      <c r="AH126" s="18">
        <v>0.91479999999999995</v>
      </c>
      <c r="AI126" s="18">
        <v>0.81369999999999998</v>
      </c>
      <c r="AJ126" s="18">
        <v>0.6915</v>
      </c>
      <c r="AK126" s="18">
        <v>0.57720000000000005</v>
      </c>
      <c r="AL126" s="18">
        <v>0.4597</v>
      </c>
      <c r="AM126" s="18">
        <v>0.34610000000000002</v>
      </c>
      <c r="AN126" s="18">
        <v>0.23649999999999999</v>
      </c>
      <c r="AO126" s="18">
        <v>0.1381</v>
      </c>
      <c r="AP126" s="18">
        <v>4.02E-2</v>
      </c>
      <c r="AQ126" s="18">
        <v>7.4000000000000003E-3</v>
      </c>
      <c r="AR126" s="18">
        <v>0</v>
      </c>
      <c r="AS126" s="18">
        <v>0</v>
      </c>
      <c r="AT126" s="18">
        <v>0</v>
      </c>
      <c r="AU126" s="18">
        <v>0</v>
      </c>
      <c r="AV126" s="18">
        <v>0</v>
      </c>
      <c r="AW126" s="18">
        <v>0</v>
      </c>
      <c r="AX126" s="18">
        <v>0</v>
      </c>
    </row>
    <row r="127" spans="1:50" x14ac:dyDescent="0.25">
      <c r="A127" s="17" t="s">
        <v>517</v>
      </c>
      <c r="B127" s="13" t="s">
        <v>410</v>
      </c>
      <c r="C127" s="18">
        <v>0</v>
      </c>
      <c r="D127" s="18">
        <v>0</v>
      </c>
      <c r="E127" s="18">
        <v>0</v>
      </c>
      <c r="F127" s="18">
        <v>0</v>
      </c>
      <c r="G127" s="18">
        <v>0</v>
      </c>
      <c r="H127" s="18">
        <v>0</v>
      </c>
      <c r="I127" s="18">
        <v>0</v>
      </c>
      <c r="J127" s="18">
        <v>3.3999999999999998E-3</v>
      </c>
      <c r="K127" s="18">
        <v>4.9700000000000001E-2</v>
      </c>
      <c r="L127" s="18">
        <v>0.2326</v>
      </c>
      <c r="M127" s="18">
        <v>0.46129999999999999</v>
      </c>
      <c r="N127" s="18">
        <v>0.7419</v>
      </c>
      <c r="O127" s="18">
        <v>1.0479000000000001</v>
      </c>
      <c r="P127" s="18">
        <v>1.3576999999999999</v>
      </c>
      <c r="Q127" s="18">
        <v>1.6659999999999999</v>
      </c>
      <c r="R127" s="18">
        <v>1.9745999999999999</v>
      </c>
      <c r="S127" s="18">
        <v>2.2643</v>
      </c>
      <c r="T127" s="18">
        <v>2.5367000000000002</v>
      </c>
      <c r="U127" s="18">
        <v>2.7686000000000002</v>
      </c>
      <c r="V127" s="18">
        <v>2.9664000000000001</v>
      </c>
      <c r="W127" s="18">
        <v>3.14</v>
      </c>
      <c r="X127" s="18">
        <v>3.2833000000000001</v>
      </c>
      <c r="Y127" s="18">
        <v>3.3849999999999998</v>
      </c>
      <c r="Z127" s="18">
        <v>3.4296000000000002</v>
      </c>
      <c r="AA127" s="18">
        <v>3.4424999999999999</v>
      </c>
      <c r="AB127" s="18">
        <v>3.4182999999999999</v>
      </c>
      <c r="AC127" s="18">
        <v>3.3372000000000002</v>
      </c>
      <c r="AD127" s="18">
        <v>3.2132999999999998</v>
      </c>
      <c r="AE127" s="18">
        <v>3.0655000000000001</v>
      </c>
      <c r="AF127" s="18">
        <v>2.8782000000000001</v>
      </c>
      <c r="AG127" s="18">
        <v>2.6791</v>
      </c>
      <c r="AH127" s="18">
        <v>2.4396</v>
      </c>
      <c r="AI127" s="18">
        <v>2.1698</v>
      </c>
      <c r="AJ127" s="18">
        <v>1.8441000000000001</v>
      </c>
      <c r="AK127" s="18">
        <v>1.5391999999999999</v>
      </c>
      <c r="AL127" s="18">
        <v>1.2259</v>
      </c>
      <c r="AM127" s="18">
        <v>0.92290000000000005</v>
      </c>
      <c r="AN127" s="18">
        <v>0.63080000000000003</v>
      </c>
      <c r="AO127" s="18">
        <v>0.36830000000000002</v>
      </c>
      <c r="AP127" s="18">
        <v>0.1072</v>
      </c>
      <c r="AQ127" s="18">
        <v>1.9800000000000002E-2</v>
      </c>
      <c r="AR127" s="18">
        <v>0</v>
      </c>
      <c r="AS127" s="18">
        <v>0</v>
      </c>
      <c r="AT127" s="18">
        <v>0</v>
      </c>
      <c r="AU127" s="18">
        <v>0</v>
      </c>
      <c r="AV127" s="18">
        <v>0</v>
      </c>
      <c r="AW127" s="18">
        <v>0</v>
      </c>
      <c r="AX127" s="18">
        <v>0</v>
      </c>
    </row>
    <row r="128" spans="1:50" x14ac:dyDescent="0.25">
      <c r="A128" s="8" t="s">
        <v>192</v>
      </c>
      <c r="B128" s="10" t="s">
        <v>57</v>
      </c>
      <c r="C128" s="16">
        <v>0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  <c r="AK128" s="16">
        <v>0</v>
      </c>
      <c r="AL128" s="16">
        <v>0</v>
      </c>
      <c r="AM128" s="16">
        <v>0</v>
      </c>
      <c r="AN128" s="16">
        <v>0</v>
      </c>
      <c r="AO128" s="16">
        <v>0</v>
      </c>
      <c r="AP128" s="16">
        <v>0</v>
      </c>
      <c r="AQ128" s="16">
        <v>0</v>
      </c>
      <c r="AR128" s="16">
        <v>0</v>
      </c>
      <c r="AS128" s="16">
        <v>0</v>
      </c>
      <c r="AT128" s="16">
        <v>0</v>
      </c>
      <c r="AU128" s="16">
        <v>0</v>
      </c>
      <c r="AV128" s="16">
        <v>0</v>
      </c>
      <c r="AW128" s="16">
        <v>0</v>
      </c>
      <c r="AX128" s="16">
        <v>0</v>
      </c>
    </row>
    <row r="129" spans="1:50" x14ac:dyDescent="0.25">
      <c r="A129" s="8" t="s">
        <v>194</v>
      </c>
      <c r="B129" s="10" t="s">
        <v>57</v>
      </c>
      <c r="C129" s="16">
        <v>0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  <c r="AK129" s="16">
        <v>0</v>
      </c>
      <c r="AL129" s="16">
        <v>0</v>
      </c>
      <c r="AM129" s="16">
        <v>0</v>
      </c>
      <c r="AN129" s="16">
        <v>0</v>
      </c>
      <c r="AO129" s="16">
        <v>0</v>
      </c>
      <c r="AP129" s="16">
        <v>0</v>
      </c>
      <c r="AQ129" s="16">
        <v>0</v>
      </c>
      <c r="AR129" s="16">
        <v>0</v>
      </c>
      <c r="AS129" s="16">
        <v>0</v>
      </c>
      <c r="AT129" s="16">
        <v>0</v>
      </c>
      <c r="AU129" s="16">
        <v>0</v>
      </c>
      <c r="AV129" s="16">
        <v>0</v>
      </c>
      <c r="AW129" s="16">
        <v>0</v>
      </c>
      <c r="AX129" s="16">
        <v>0</v>
      </c>
    </row>
    <row r="130" spans="1:50" x14ac:dyDescent="0.25">
      <c r="A130" s="8" t="s">
        <v>196</v>
      </c>
      <c r="B130" s="10" t="s">
        <v>57</v>
      </c>
      <c r="C130" s="16">
        <v>0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  <c r="AK130" s="16">
        <v>0</v>
      </c>
      <c r="AL130" s="16">
        <v>0</v>
      </c>
      <c r="AM130" s="16">
        <v>0</v>
      </c>
      <c r="AN130" s="16">
        <v>0</v>
      </c>
      <c r="AO130" s="16">
        <v>0</v>
      </c>
      <c r="AP130" s="16">
        <v>0</v>
      </c>
      <c r="AQ130" s="16">
        <v>0</v>
      </c>
      <c r="AR130" s="16">
        <v>0</v>
      </c>
      <c r="AS130" s="16">
        <v>0</v>
      </c>
      <c r="AT130" s="16">
        <v>0</v>
      </c>
      <c r="AU130" s="16">
        <v>0</v>
      </c>
      <c r="AV130" s="16">
        <v>0</v>
      </c>
      <c r="AW130" s="16">
        <v>0</v>
      </c>
      <c r="AX130" s="16">
        <v>0</v>
      </c>
    </row>
    <row r="131" spans="1:50" x14ac:dyDescent="0.25">
      <c r="A131" s="17" t="s">
        <v>519</v>
      </c>
      <c r="B131" s="13" t="s">
        <v>410</v>
      </c>
      <c r="C131" s="18">
        <v>0</v>
      </c>
      <c r="D131" s="18">
        <v>0</v>
      </c>
      <c r="E131" s="18">
        <v>0</v>
      </c>
      <c r="F131" s="18">
        <v>0</v>
      </c>
      <c r="G131" s="18">
        <v>0</v>
      </c>
      <c r="H131" s="18">
        <v>0</v>
      </c>
      <c r="I131" s="18">
        <v>0</v>
      </c>
      <c r="J131" s="18">
        <v>2.2000000000000001E-3</v>
      </c>
      <c r="K131" s="18">
        <v>3.1099999999999999E-2</v>
      </c>
      <c r="L131" s="18">
        <v>0.1454</v>
      </c>
      <c r="M131" s="18">
        <v>0.2883</v>
      </c>
      <c r="N131" s="18">
        <v>0.4637</v>
      </c>
      <c r="O131" s="18">
        <v>0.65490000000000004</v>
      </c>
      <c r="P131" s="18">
        <v>0.84860000000000002</v>
      </c>
      <c r="Q131" s="18">
        <v>1.0411999999999999</v>
      </c>
      <c r="R131" s="18">
        <v>1.2341</v>
      </c>
      <c r="S131" s="18">
        <v>1.4152</v>
      </c>
      <c r="T131" s="18">
        <v>1.5853999999999999</v>
      </c>
      <c r="U131" s="18">
        <v>1.7303999999999999</v>
      </c>
      <c r="V131" s="18">
        <v>1.8540000000000001</v>
      </c>
      <c r="W131" s="18">
        <v>1.9624999999999999</v>
      </c>
      <c r="X131" s="18">
        <v>2.0520999999999998</v>
      </c>
      <c r="Y131" s="18">
        <v>2.1156000000000001</v>
      </c>
      <c r="Z131" s="18">
        <v>2.1435</v>
      </c>
      <c r="AA131" s="18">
        <v>2.1516000000000002</v>
      </c>
      <c r="AB131" s="18">
        <v>2.1364999999999998</v>
      </c>
      <c r="AC131" s="18">
        <v>2.0857000000000001</v>
      </c>
      <c r="AD131" s="18">
        <v>2.0083000000000002</v>
      </c>
      <c r="AE131" s="18">
        <v>1.9158999999999999</v>
      </c>
      <c r="AF131" s="18">
        <v>1.7988999999999999</v>
      </c>
      <c r="AG131" s="18">
        <v>1.6745000000000001</v>
      </c>
      <c r="AH131" s="18">
        <v>1.5246999999999999</v>
      </c>
      <c r="AI131" s="18">
        <v>1.3561000000000001</v>
      </c>
      <c r="AJ131" s="18">
        <v>1.1525000000000001</v>
      </c>
      <c r="AK131" s="18">
        <v>0.96199999999999997</v>
      </c>
      <c r="AL131" s="18">
        <v>0.76619999999999999</v>
      </c>
      <c r="AM131" s="18">
        <v>0.57679999999999998</v>
      </c>
      <c r="AN131" s="18">
        <v>0.39419999999999999</v>
      </c>
      <c r="AO131" s="18">
        <v>0.23019999999999999</v>
      </c>
      <c r="AP131" s="18">
        <v>6.7000000000000004E-2</v>
      </c>
      <c r="AQ131" s="18">
        <v>1.24E-2</v>
      </c>
      <c r="AR131" s="18">
        <v>0</v>
      </c>
      <c r="AS131" s="18">
        <v>0</v>
      </c>
      <c r="AT131" s="18">
        <v>0</v>
      </c>
      <c r="AU131" s="18">
        <v>0</v>
      </c>
      <c r="AV131" s="18">
        <v>0</v>
      </c>
      <c r="AW131" s="18">
        <v>0</v>
      </c>
      <c r="AX131" s="18">
        <v>0</v>
      </c>
    </row>
    <row r="132" spans="1:50" x14ac:dyDescent="0.25">
      <c r="A132" s="17" t="s">
        <v>521</v>
      </c>
      <c r="B132" s="13" t="s">
        <v>410</v>
      </c>
      <c r="C132" s="18">
        <v>0</v>
      </c>
      <c r="D132" s="18">
        <v>0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8">
        <v>1.2999999999999999E-3</v>
      </c>
      <c r="K132" s="18">
        <v>1.8700000000000001E-2</v>
      </c>
      <c r="L132" s="18">
        <v>8.72E-2</v>
      </c>
      <c r="M132" s="18">
        <v>0.17299999999999999</v>
      </c>
      <c r="N132" s="18">
        <v>0.2782</v>
      </c>
      <c r="O132" s="18">
        <v>0.39300000000000002</v>
      </c>
      <c r="P132" s="18">
        <v>0.50919999999999999</v>
      </c>
      <c r="Q132" s="18">
        <v>0.62470000000000003</v>
      </c>
      <c r="R132" s="18">
        <v>0.74050000000000005</v>
      </c>
      <c r="S132" s="18">
        <v>0.84909999999999997</v>
      </c>
      <c r="T132" s="18">
        <v>0.95120000000000005</v>
      </c>
      <c r="U132" s="18">
        <v>1.0382</v>
      </c>
      <c r="V132" s="18">
        <v>1.1124000000000001</v>
      </c>
      <c r="W132" s="18">
        <v>1.1775</v>
      </c>
      <c r="X132" s="18">
        <v>1.2312000000000001</v>
      </c>
      <c r="Y132" s="18">
        <v>1.2694000000000001</v>
      </c>
      <c r="Z132" s="18">
        <v>1.2861</v>
      </c>
      <c r="AA132" s="18">
        <v>1.2908999999999999</v>
      </c>
      <c r="AB132" s="18">
        <v>1.2819</v>
      </c>
      <c r="AC132" s="18">
        <v>1.2514000000000001</v>
      </c>
      <c r="AD132" s="18">
        <v>1.2050000000000001</v>
      </c>
      <c r="AE132" s="18">
        <v>1.1496</v>
      </c>
      <c r="AF132" s="18">
        <v>1.0792999999999999</v>
      </c>
      <c r="AG132" s="18">
        <v>1.0046999999999999</v>
      </c>
      <c r="AH132" s="18">
        <v>0.91479999999999995</v>
      </c>
      <c r="AI132" s="18">
        <v>0.81369999999999998</v>
      </c>
      <c r="AJ132" s="18">
        <v>0.6915</v>
      </c>
      <c r="AK132" s="18">
        <v>0.57720000000000005</v>
      </c>
      <c r="AL132" s="18">
        <v>0.4597</v>
      </c>
      <c r="AM132" s="18">
        <v>0.34610000000000002</v>
      </c>
      <c r="AN132" s="18">
        <v>0.23649999999999999</v>
      </c>
      <c r="AO132" s="18">
        <v>0.1381</v>
      </c>
      <c r="AP132" s="18">
        <v>4.02E-2</v>
      </c>
      <c r="AQ132" s="18">
        <v>7.4000000000000003E-3</v>
      </c>
      <c r="AR132" s="18">
        <v>0</v>
      </c>
      <c r="AS132" s="18">
        <v>0</v>
      </c>
      <c r="AT132" s="18">
        <v>0</v>
      </c>
      <c r="AU132" s="18">
        <v>0</v>
      </c>
      <c r="AV132" s="18">
        <v>0</v>
      </c>
      <c r="AW132" s="18">
        <v>0</v>
      </c>
      <c r="AX132" s="18">
        <v>0</v>
      </c>
    </row>
    <row r="133" spans="1:50" x14ac:dyDescent="0.25">
      <c r="A133" s="17" t="s">
        <v>523</v>
      </c>
      <c r="B133" s="13" t="s">
        <v>410</v>
      </c>
      <c r="C133" s="18">
        <v>0</v>
      </c>
      <c r="D133" s="18">
        <v>0</v>
      </c>
      <c r="E133" s="18">
        <v>0</v>
      </c>
      <c r="F133" s="18">
        <v>0</v>
      </c>
      <c r="G133" s="18">
        <v>0</v>
      </c>
      <c r="H133" s="18">
        <v>0</v>
      </c>
      <c r="I133" s="18">
        <v>0</v>
      </c>
      <c r="J133" s="18">
        <v>1.6999999999999999E-3</v>
      </c>
      <c r="K133" s="18">
        <v>2.4899999999999999E-2</v>
      </c>
      <c r="L133" s="18">
        <v>0.1163</v>
      </c>
      <c r="M133" s="18">
        <v>0.23069999999999999</v>
      </c>
      <c r="N133" s="18">
        <v>0.37090000000000001</v>
      </c>
      <c r="O133" s="18">
        <v>0.52400000000000002</v>
      </c>
      <c r="P133" s="18">
        <v>0.67889999999999995</v>
      </c>
      <c r="Q133" s="18">
        <v>0.83299999999999996</v>
      </c>
      <c r="R133" s="18">
        <v>0.98729999999999996</v>
      </c>
      <c r="S133" s="18">
        <v>1.1322000000000001</v>
      </c>
      <c r="T133" s="18">
        <v>1.2683</v>
      </c>
      <c r="U133" s="18">
        <v>1.3843000000000001</v>
      </c>
      <c r="V133" s="18">
        <v>1.4832000000000001</v>
      </c>
      <c r="W133" s="18">
        <v>1.57</v>
      </c>
      <c r="X133" s="18">
        <v>1.6416999999999999</v>
      </c>
      <c r="Y133" s="18">
        <v>1.6924999999999999</v>
      </c>
      <c r="Z133" s="18">
        <v>1.7148000000000001</v>
      </c>
      <c r="AA133" s="18">
        <v>1.7212000000000001</v>
      </c>
      <c r="AB133" s="18">
        <v>1.7092000000000001</v>
      </c>
      <c r="AC133" s="18">
        <v>1.6686000000000001</v>
      </c>
      <c r="AD133" s="18">
        <v>1.6067</v>
      </c>
      <c r="AE133" s="18">
        <v>1.5327999999999999</v>
      </c>
      <c r="AF133" s="18">
        <v>1.4391</v>
      </c>
      <c r="AG133" s="18">
        <v>1.3395999999999999</v>
      </c>
      <c r="AH133" s="18">
        <v>1.2198</v>
      </c>
      <c r="AI133" s="18">
        <v>1.0849</v>
      </c>
      <c r="AJ133" s="18">
        <v>0.92200000000000004</v>
      </c>
      <c r="AK133" s="18">
        <v>0.76959999999999995</v>
      </c>
      <c r="AL133" s="18">
        <v>0.61299999999999999</v>
      </c>
      <c r="AM133" s="18">
        <v>0.46150000000000002</v>
      </c>
      <c r="AN133" s="18">
        <v>0.31540000000000001</v>
      </c>
      <c r="AO133" s="18">
        <v>0.1842</v>
      </c>
      <c r="AP133" s="18">
        <v>5.3600000000000002E-2</v>
      </c>
      <c r="AQ133" s="18">
        <v>9.9000000000000008E-3</v>
      </c>
      <c r="AR133" s="18">
        <v>0</v>
      </c>
      <c r="AS133" s="18">
        <v>0</v>
      </c>
      <c r="AT133" s="18">
        <v>0</v>
      </c>
      <c r="AU133" s="18">
        <v>0</v>
      </c>
      <c r="AV133" s="18">
        <v>0</v>
      </c>
      <c r="AW133" s="18">
        <v>0</v>
      </c>
      <c r="AX133" s="18">
        <v>0</v>
      </c>
    </row>
    <row r="134" spans="1:50" x14ac:dyDescent="0.25">
      <c r="A134" s="17" t="s">
        <v>525</v>
      </c>
      <c r="B134" s="13" t="s">
        <v>410</v>
      </c>
      <c r="C134" s="18">
        <v>0</v>
      </c>
      <c r="D134" s="18">
        <v>0</v>
      </c>
      <c r="E134" s="18">
        <v>0</v>
      </c>
      <c r="F134" s="18">
        <v>0</v>
      </c>
      <c r="G134" s="18">
        <v>0</v>
      </c>
      <c r="H134" s="18">
        <v>0</v>
      </c>
      <c r="I134" s="18">
        <v>0</v>
      </c>
      <c r="J134" s="18">
        <v>3.3999999999999998E-3</v>
      </c>
      <c r="K134" s="18">
        <v>4.9700000000000001E-2</v>
      </c>
      <c r="L134" s="18">
        <v>0.2326</v>
      </c>
      <c r="M134" s="18">
        <v>0.46129999999999999</v>
      </c>
      <c r="N134" s="18">
        <v>0.7419</v>
      </c>
      <c r="O134" s="18">
        <v>1.0479000000000001</v>
      </c>
      <c r="P134" s="18">
        <v>1.3576999999999999</v>
      </c>
      <c r="Q134" s="18">
        <v>1.6659999999999999</v>
      </c>
      <c r="R134" s="18">
        <v>1.9745999999999999</v>
      </c>
      <c r="S134" s="18">
        <v>2.2643</v>
      </c>
      <c r="T134" s="18">
        <v>2.5367000000000002</v>
      </c>
      <c r="U134" s="18">
        <v>2.7686000000000002</v>
      </c>
      <c r="V134" s="18">
        <v>2.9664000000000001</v>
      </c>
      <c r="W134" s="18">
        <v>3.14</v>
      </c>
      <c r="X134" s="18">
        <v>3.2833000000000001</v>
      </c>
      <c r="Y134" s="18">
        <v>3.3849999999999998</v>
      </c>
      <c r="Z134" s="18">
        <v>3.4296000000000002</v>
      </c>
      <c r="AA134" s="18">
        <v>3.4424999999999999</v>
      </c>
      <c r="AB134" s="18">
        <v>3.4182999999999999</v>
      </c>
      <c r="AC134" s="18">
        <v>3.3372000000000002</v>
      </c>
      <c r="AD134" s="18">
        <v>3.2132999999999998</v>
      </c>
      <c r="AE134" s="18">
        <v>3.0655000000000001</v>
      </c>
      <c r="AF134" s="18">
        <v>2.8782000000000001</v>
      </c>
      <c r="AG134" s="18">
        <v>2.6791</v>
      </c>
      <c r="AH134" s="18">
        <v>2.4396</v>
      </c>
      <c r="AI134" s="18">
        <v>2.1698</v>
      </c>
      <c r="AJ134" s="18">
        <v>1.8441000000000001</v>
      </c>
      <c r="AK134" s="18">
        <v>1.5391999999999999</v>
      </c>
      <c r="AL134" s="18">
        <v>1.2259</v>
      </c>
      <c r="AM134" s="18">
        <v>0.92290000000000005</v>
      </c>
      <c r="AN134" s="18">
        <v>0.63080000000000003</v>
      </c>
      <c r="AO134" s="18">
        <v>0.36830000000000002</v>
      </c>
      <c r="AP134" s="18">
        <v>0.1072</v>
      </c>
      <c r="AQ134" s="18">
        <v>1.9800000000000002E-2</v>
      </c>
      <c r="AR134" s="18">
        <v>0</v>
      </c>
      <c r="AS134" s="18">
        <v>0</v>
      </c>
      <c r="AT134" s="18">
        <v>0</v>
      </c>
      <c r="AU134" s="18">
        <v>0</v>
      </c>
      <c r="AV134" s="18">
        <v>0</v>
      </c>
      <c r="AW134" s="18">
        <v>0</v>
      </c>
      <c r="AX134" s="18">
        <v>0</v>
      </c>
    </row>
    <row r="135" spans="1:50" x14ac:dyDescent="0.25">
      <c r="A135" s="17" t="s">
        <v>527</v>
      </c>
      <c r="B135" s="13" t="s">
        <v>410</v>
      </c>
      <c r="C135" s="18">
        <v>0</v>
      </c>
      <c r="D135" s="18">
        <v>0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  <c r="J135" s="18">
        <v>1.6999999999999999E-3</v>
      </c>
      <c r="K135" s="18">
        <v>2.4899999999999999E-2</v>
      </c>
      <c r="L135" s="18">
        <v>0.1163</v>
      </c>
      <c r="M135" s="18">
        <v>0.23069999999999999</v>
      </c>
      <c r="N135" s="18">
        <v>0.37090000000000001</v>
      </c>
      <c r="O135" s="18">
        <v>0.52400000000000002</v>
      </c>
      <c r="P135" s="18">
        <v>0.67889999999999995</v>
      </c>
      <c r="Q135" s="18">
        <v>0.83299999999999996</v>
      </c>
      <c r="R135" s="18">
        <v>0.98729999999999996</v>
      </c>
      <c r="S135" s="18">
        <v>1.1322000000000001</v>
      </c>
      <c r="T135" s="18">
        <v>1.2683</v>
      </c>
      <c r="U135" s="18">
        <v>1.3843000000000001</v>
      </c>
      <c r="V135" s="18">
        <v>1.4832000000000001</v>
      </c>
      <c r="W135" s="18">
        <v>1.57</v>
      </c>
      <c r="X135" s="18">
        <v>1.6416999999999999</v>
      </c>
      <c r="Y135" s="18">
        <v>1.6924999999999999</v>
      </c>
      <c r="Z135" s="18">
        <v>1.7148000000000001</v>
      </c>
      <c r="AA135" s="18">
        <v>1.7212000000000001</v>
      </c>
      <c r="AB135" s="18">
        <v>1.7092000000000001</v>
      </c>
      <c r="AC135" s="18">
        <v>1.6686000000000001</v>
      </c>
      <c r="AD135" s="18">
        <v>1.6067</v>
      </c>
      <c r="AE135" s="18">
        <v>1.5327999999999999</v>
      </c>
      <c r="AF135" s="18">
        <v>1.4391</v>
      </c>
      <c r="AG135" s="18">
        <v>1.3395999999999999</v>
      </c>
      <c r="AH135" s="18">
        <v>1.2198</v>
      </c>
      <c r="AI135" s="18">
        <v>1.0849</v>
      </c>
      <c r="AJ135" s="18">
        <v>0.92200000000000004</v>
      </c>
      <c r="AK135" s="18">
        <v>0.76959999999999995</v>
      </c>
      <c r="AL135" s="18">
        <v>0.61299999999999999</v>
      </c>
      <c r="AM135" s="18">
        <v>0.46150000000000002</v>
      </c>
      <c r="AN135" s="18">
        <v>0.31540000000000001</v>
      </c>
      <c r="AO135" s="18">
        <v>0.1842</v>
      </c>
      <c r="AP135" s="18">
        <v>5.3600000000000002E-2</v>
      </c>
      <c r="AQ135" s="18">
        <v>9.9000000000000008E-3</v>
      </c>
      <c r="AR135" s="18">
        <v>0</v>
      </c>
      <c r="AS135" s="18">
        <v>0</v>
      </c>
      <c r="AT135" s="18">
        <v>0</v>
      </c>
      <c r="AU135" s="18">
        <v>0</v>
      </c>
      <c r="AV135" s="18">
        <v>0</v>
      </c>
      <c r="AW135" s="18">
        <v>0</v>
      </c>
      <c r="AX135" s="18">
        <v>0</v>
      </c>
    </row>
    <row r="136" spans="1:50" x14ac:dyDescent="0.25">
      <c r="A136" s="8" t="s">
        <v>198</v>
      </c>
      <c r="B136" s="10" t="s">
        <v>57</v>
      </c>
      <c r="C136" s="16">
        <v>0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  <c r="AK136" s="16">
        <v>0</v>
      </c>
      <c r="AL136" s="16">
        <v>0</v>
      </c>
      <c r="AM136" s="16">
        <v>0</v>
      </c>
      <c r="AN136" s="16">
        <v>0</v>
      </c>
      <c r="AO136" s="16">
        <v>0</v>
      </c>
      <c r="AP136" s="16">
        <v>0</v>
      </c>
      <c r="AQ136" s="16">
        <v>0</v>
      </c>
      <c r="AR136" s="16">
        <v>0</v>
      </c>
      <c r="AS136" s="16">
        <v>0</v>
      </c>
      <c r="AT136" s="16">
        <v>0</v>
      </c>
      <c r="AU136" s="16">
        <v>0</v>
      </c>
      <c r="AV136" s="16">
        <v>0</v>
      </c>
      <c r="AW136" s="16">
        <v>0</v>
      </c>
      <c r="AX136" s="16">
        <v>0</v>
      </c>
    </row>
    <row r="137" spans="1:50" x14ac:dyDescent="0.25">
      <c r="A137" s="8" t="s">
        <v>200</v>
      </c>
      <c r="B137" s="10" t="s">
        <v>57</v>
      </c>
      <c r="C137" s="16">
        <v>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  <c r="AK137" s="16">
        <v>0</v>
      </c>
      <c r="AL137" s="16">
        <v>0</v>
      </c>
      <c r="AM137" s="16">
        <v>0</v>
      </c>
      <c r="AN137" s="16">
        <v>0</v>
      </c>
      <c r="AO137" s="16">
        <v>0</v>
      </c>
      <c r="AP137" s="16">
        <v>0</v>
      </c>
      <c r="AQ137" s="16">
        <v>0</v>
      </c>
      <c r="AR137" s="16">
        <v>0</v>
      </c>
      <c r="AS137" s="16">
        <v>0</v>
      </c>
      <c r="AT137" s="16">
        <v>0</v>
      </c>
      <c r="AU137" s="16">
        <v>0</v>
      </c>
      <c r="AV137" s="16">
        <v>0</v>
      </c>
      <c r="AW137" s="16">
        <v>0</v>
      </c>
      <c r="AX137" s="16">
        <v>0</v>
      </c>
    </row>
    <row r="138" spans="1:50" x14ac:dyDescent="0.25">
      <c r="A138" s="8" t="s">
        <v>202</v>
      </c>
      <c r="B138" s="10" t="s">
        <v>57</v>
      </c>
      <c r="C138" s="16">
        <v>0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  <c r="AK138" s="16">
        <v>0</v>
      </c>
      <c r="AL138" s="16">
        <v>0</v>
      </c>
      <c r="AM138" s="16">
        <v>0</v>
      </c>
      <c r="AN138" s="16">
        <v>0</v>
      </c>
      <c r="AO138" s="16">
        <v>0</v>
      </c>
      <c r="AP138" s="16">
        <v>0</v>
      </c>
      <c r="AQ138" s="16">
        <v>0</v>
      </c>
      <c r="AR138" s="16">
        <v>0</v>
      </c>
      <c r="AS138" s="16">
        <v>0</v>
      </c>
      <c r="AT138" s="16">
        <v>0</v>
      </c>
      <c r="AU138" s="16">
        <v>0</v>
      </c>
      <c r="AV138" s="16">
        <v>0</v>
      </c>
      <c r="AW138" s="16">
        <v>0</v>
      </c>
      <c r="AX138" s="16">
        <v>0</v>
      </c>
    </row>
    <row r="139" spans="1:50" x14ac:dyDescent="0.25">
      <c r="A139" s="8" t="s">
        <v>204</v>
      </c>
      <c r="B139" s="10" t="s">
        <v>57</v>
      </c>
      <c r="C139" s="16">
        <v>0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  <c r="AK139" s="16">
        <v>0</v>
      </c>
      <c r="AL139" s="16">
        <v>0</v>
      </c>
      <c r="AM139" s="16">
        <v>0</v>
      </c>
      <c r="AN139" s="16">
        <v>0</v>
      </c>
      <c r="AO139" s="16">
        <v>0</v>
      </c>
      <c r="AP139" s="16">
        <v>0</v>
      </c>
      <c r="AQ139" s="16">
        <v>0</v>
      </c>
      <c r="AR139" s="16">
        <v>0</v>
      </c>
      <c r="AS139" s="16">
        <v>0</v>
      </c>
      <c r="AT139" s="16">
        <v>0</v>
      </c>
      <c r="AU139" s="16">
        <v>0</v>
      </c>
      <c r="AV139" s="16">
        <v>0</v>
      </c>
      <c r="AW139" s="16">
        <v>0</v>
      </c>
      <c r="AX139" s="16">
        <v>0</v>
      </c>
    </row>
    <row r="140" spans="1:50" x14ac:dyDescent="0.25">
      <c r="A140" s="8" t="s">
        <v>206</v>
      </c>
      <c r="B140" s="10" t="s">
        <v>57</v>
      </c>
      <c r="C140" s="16">
        <v>0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  <c r="AK140" s="16">
        <v>0</v>
      </c>
      <c r="AL140" s="16">
        <v>0</v>
      </c>
      <c r="AM140" s="16">
        <v>0</v>
      </c>
      <c r="AN140" s="16">
        <v>0</v>
      </c>
      <c r="AO140" s="16">
        <v>0</v>
      </c>
      <c r="AP140" s="16">
        <v>0</v>
      </c>
      <c r="AQ140" s="16">
        <v>0</v>
      </c>
      <c r="AR140" s="16">
        <v>0</v>
      </c>
      <c r="AS140" s="16">
        <v>0</v>
      </c>
      <c r="AT140" s="16">
        <v>0</v>
      </c>
      <c r="AU140" s="16">
        <v>0</v>
      </c>
      <c r="AV140" s="16">
        <v>0</v>
      </c>
      <c r="AW140" s="16">
        <v>0</v>
      </c>
      <c r="AX140" s="16">
        <v>0</v>
      </c>
    </row>
    <row r="141" spans="1:50" x14ac:dyDescent="0.25">
      <c r="A141" s="17" t="s">
        <v>529</v>
      </c>
      <c r="B141" s="13" t="s">
        <v>410</v>
      </c>
      <c r="C141" s="18">
        <v>0</v>
      </c>
      <c r="D141" s="18">
        <v>0</v>
      </c>
      <c r="E141" s="18">
        <v>0</v>
      </c>
      <c r="F141" s="18">
        <v>0</v>
      </c>
      <c r="G141" s="18">
        <v>0</v>
      </c>
      <c r="H141" s="18">
        <v>0</v>
      </c>
      <c r="I141" s="18">
        <v>0</v>
      </c>
      <c r="J141" s="18">
        <v>3.0000000000000001E-3</v>
      </c>
      <c r="K141" s="18">
        <v>4.3499999999999997E-2</v>
      </c>
      <c r="L141" s="18">
        <v>0.20349999999999999</v>
      </c>
      <c r="M141" s="18">
        <v>0.4037</v>
      </c>
      <c r="N141" s="18">
        <v>0.64910000000000001</v>
      </c>
      <c r="O141" s="18">
        <v>0.91690000000000005</v>
      </c>
      <c r="P141" s="18">
        <v>1.1879999999999999</v>
      </c>
      <c r="Q141" s="18">
        <v>1.4577</v>
      </c>
      <c r="R141" s="18">
        <v>1.7278</v>
      </c>
      <c r="S141" s="18">
        <v>1.9813000000000001</v>
      </c>
      <c r="T141" s="18">
        <v>2.2195999999999998</v>
      </c>
      <c r="U141" s="18">
        <v>2.4224999999999999</v>
      </c>
      <c r="V141" s="18">
        <v>2.5956000000000001</v>
      </c>
      <c r="W141" s="18">
        <v>2.7475000000000001</v>
      </c>
      <c r="X141" s="18">
        <v>2.8729</v>
      </c>
      <c r="Y141" s="18">
        <v>2.9619</v>
      </c>
      <c r="Z141" s="18">
        <v>3.0009000000000001</v>
      </c>
      <c r="AA141" s="18">
        <v>3.0122</v>
      </c>
      <c r="AB141" s="18">
        <v>2.9910000000000001</v>
      </c>
      <c r="AC141" s="18">
        <v>2.92</v>
      </c>
      <c r="AD141" s="18">
        <v>2.8117000000000001</v>
      </c>
      <c r="AE141" s="18">
        <v>2.6823000000000001</v>
      </c>
      <c r="AF141" s="18">
        <v>2.5184000000000002</v>
      </c>
      <c r="AG141" s="18">
        <v>2.3441999999999998</v>
      </c>
      <c r="AH141" s="18">
        <v>2.1345999999999998</v>
      </c>
      <c r="AI141" s="18">
        <v>1.8986000000000001</v>
      </c>
      <c r="AJ141" s="18">
        <v>1.6135999999999999</v>
      </c>
      <c r="AK141" s="18">
        <v>1.3468</v>
      </c>
      <c r="AL141" s="18">
        <v>1.0727</v>
      </c>
      <c r="AM141" s="18">
        <v>0.80759999999999998</v>
      </c>
      <c r="AN141" s="18">
        <v>0.55189999999999995</v>
      </c>
      <c r="AO141" s="18">
        <v>0.32229999999999998</v>
      </c>
      <c r="AP141" s="18">
        <v>9.3799999999999994E-2</v>
      </c>
      <c r="AQ141" s="18">
        <v>1.7299999999999999E-2</v>
      </c>
      <c r="AR141" s="18">
        <v>0</v>
      </c>
      <c r="AS141" s="18">
        <v>0</v>
      </c>
      <c r="AT141" s="18">
        <v>0</v>
      </c>
      <c r="AU141" s="18">
        <v>0</v>
      </c>
      <c r="AV141" s="18">
        <v>0</v>
      </c>
      <c r="AW141" s="18">
        <v>0</v>
      </c>
      <c r="AX141" s="18">
        <v>0</v>
      </c>
    </row>
    <row r="142" spans="1:50" x14ac:dyDescent="0.25">
      <c r="A142" s="8" t="s">
        <v>208</v>
      </c>
      <c r="B142" s="10" t="s">
        <v>57</v>
      </c>
      <c r="C142" s="16">
        <v>0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  <c r="AK142" s="16">
        <v>0</v>
      </c>
      <c r="AL142" s="16">
        <v>0</v>
      </c>
      <c r="AM142" s="16">
        <v>0</v>
      </c>
      <c r="AN142" s="16">
        <v>0</v>
      </c>
      <c r="AO142" s="16">
        <v>0</v>
      </c>
      <c r="AP142" s="16">
        <v>0</v>
      </c>
      <c r="AQ142" s="16">
        <v>0</v>
      </c>
      <c r="AR142" s="16">
        <v>0</v>
      </c>
      <c r="AS142" s="16">
        <v>0</v>
      </c>
      <c r="AT142" s="16">
        <v>0</v>
      </c>
      <c r="AU142" s="16">
        <v>0</v>
      </c>
      <c r="AV142" s="16">
        <v>0</v>
      </c>
      <c r="AW142" s="16">
        <v>0</v>
      </c>
      <c r="AX142" s="16">
        <v>0</v>
      </c>
    </row>
    <row r="143" spans="1:50" x14ac:dyDescent="0.25">
      <c r="A143" s="17" t="s">
        <v>531</v>
      </c>
      <c r="B143" s="13" t="s">
        <v>410</v>
      </c>
      <c r="C143" s="18">
        <v>0</v>
      </c>
      <c r="D143" s="18">
        <v>0</v>
      </c>
      <c r="E143" s="18">
        <v>0</v>
      </c>
      <c r="F143" s="18">
        <v>0</v>
      </c>
      <c r="G143" s="18">
        <v>0</v>
      </c>
      <c r="H143" s="18">
        <v>0</v>
      </c>
      <c r="I143" s="18">
        <v>0</v>
      </c>
      <c r="J143" s="18">
        <v>3.0000000000000001E-3</v>
      </c>
      <c r="K143" s="18">
        <v>4.3499999999999997E-2</v>
      </c>
      <c r="L143" s="18">
        <v>0.20349999999999999</v>
      </c>
      <c r="M143" s="18">
        <v>0.4037</v>
      </c>
      <c r="N143" s="18">
        <v>0.64910000000000001</v>
      </c>
      <c r="O143" s="18">
        <v>0.91690000000000005</v>
      </c>
      <c r="P143" s="18">
        <v>1.1879999999999999</v>
      </c>
      <c r="Q143" s="18">
        <v>1.4577</v>
      </c>
      <c r="R143" s="18">
        <v>1.7278</v>
      </c>
      <c r="S143" s="18">
        <v>1.9813000000000001</v>
      </c>
      <c r="T143" s="18">
        <v>2.2195999999999998</v>
      </c>
      <c r="U143" s="18">
        <v>2.4224999999999999</v>
      </c>
      <c r="V143" s="18">
        <v>2.5956000000000001</v>
      </c>
      <c r="W143" s="18">
        <v>2.7475000000000001</v>
      </c>
      <c r="X143" s="18">
        <v>2.8729</v>
      </c>
      <c r="Y143" s="18">
        <v>2.9619</v>
      </c>
      <c r="Z143" s="18">
        <v>3.0009000000000001</v>
      </c>
      <c r="AA143" s="18">
        <v>3.0122</v>
      </c>
      <c r="AB143" s="18">
        <v>2.9910000000000001</v>
      </c>
      <c r="AC143" s="18">
        <v>2.92</v>
      </c>
      <c r="AD143" s="18">
        <v>2.8117000000000001</v>
      </c>
      <c r="AE143" s="18">
        <v>2.6823000000000001</v>
      </c>
      <c r="AF143" s="18">
        <v>2.5184000000000002</v>
      </c>
      <c r="AG143" s="18">
        <v>2.3441999999999998</v>
      </c>
      <c r="AH143" s="18">
        <v>2.1345999999999998</v>
      </c>
      <c r="AI143" s="18">
        <v>1.8986000000000001</v>
      </c>
      <c r="AJ143" s="18">
        <v>1.6135999999999999</v>
      </c>
      <c r="AK143" s="18">
        <v>1.3468</v>
      </c>
      <c r="AL143" s="18">
        <v>1.0727</v>
      </c>
      <c r="AM143" s="18">
        <v>0.80759999999999998</v>
      </c>
      <c r="AN143" s="18">
        <v>0.55189999999999995</v>
      </c>
      <c r="AO143" s="18">
        <v>0.32229999999999998</v>
      </c>
      <c r="AP143" s="18">
        <v>9.3799999999999994E-2</v>
      </c>
      <c r="AQ143" s="18">
        <v>1.7299999999999999E-2</v>
      </c>
      <c r="AR143" s="18">
        <v>0</v>
      </c>
      <c r="AS143" s="18">
        <v>0</v>
      </c>
      <c r="AT143" s="18">
        <v>0</v>
      </c>
      <c r="AU143" s="18">
        <v>0</v>
      </c>
      <c r="AV143" s="18">
        <v>0</v>
      </c>
      <c r="AW143" s="18">
        <v>0</v>
      </c>
      <c r="AX143" s="18">
        <v>0</v>
      </c>
    </row>
    <row r="144" spans="1:50" x14ac:dyDescent="0.25">
      <c r="A144" s="8" t="s">
        <v>210</v>
      </c>
      <c r="B144" s="10" t="s">
        <v>57</v>
      </c>
      <c r="C144" s="16">
        <v>0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  <c r="AK144" s="16">
        <v>0</v>
      </c>
      <c r="AL144" s="16">
        <v>0</v>
      </c>
      <c r="AM144" s="16">
        <v>0</v>
      </c>
      <c r="AN144" s="16">
        <v>0</v>
      </c>
      <c r="AO144" s="16">
        <v>0</v>
      </c>
      <c r="AP144" s="16">
        <v>0</v>
      </c>
      <c r="AQ144" s="16">
        <v>0</v>
      </c>
      <c r="AR144" s="16">
        <v>0</v>
      </c>
      <c r="AS144" s="16">
        <v>0</v>
      </c>
      <c r="AT144" s="16">
        <v>0</v>
      </c>
      <c r="AU144" s="16">
        <v>0</v>
      </c>
      <c r="AV144" s="16">
        <v>0</v>
      </c>
      <c r="AW144" s="16">
        <v>0</v>
      </c>
      <c r="AX144" s="16">
        <v>0</v>
      </c>
    </row>
    <row r="145" spans="1:50" x14ac:dyDescent="0.25">
      <c r="A145" s="17" t="s">
        <v>533</v>
      </c>
      <c r="B145" s="13" t="s">
        <v>410</v>
      </c>
      <c r="C145" s="18">
        <v>0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1.6999999999999999E-3</v>
      </c>
      <c r="K145" s="18">
        <v>2.4899999999999999E-2</v>
      </c>
      <c r="L145" s="18">
        <v>0.1163</v>
      </c>
      <c r="M145" s="18">
        <v>0.23069999999999999</v>
      </c>
      <c r="N145" s="18">
        <v>0.37090000000000001</v>
      </c>
      <c r="O145" s="18">
        <v>0.52400000000000002</v>
      </c>
      <c r="P145" s="18">
        <v>0.67889999999999995</v>
      </c>
      <c r="Q145" s="18">
        <v>0.83299999999999996</v>
      </c>
      <c r="R145" s="18">
        <v>0.98729999999999996</v>
      </c>
      <c r="S145" s="18">
        <v>1.1322000000000001</v>
      </c>
      <c r="T145" s="18">
        <v>1.2683</v>
      </c>
      <c r="U145" s="18">
        <v>1.3843000000000001</v>
      </c>
      <c r="V145" s="18">
        <v>1.4832000000000001</v>
      </c>
      <c r="W145" s="18">
        <v>1.57</v>
      </c>
      <c r="X145" s="18">
        <v>1.6416999999999999</v>
      </c>
      <c r="Y145" s="18">
        <v>1.6924999999999999</v>
      </c>
      <c r="Z145" s="18">
        <v>1.7148000000000001</v>
      </c>
      <c r="AA145" s="18">
        <v>1.7212000000000001</v>
      </c>
      <c r="AB145" s="18">
        <v>1.7092000000000001</v>
      </c>
      <c r="AC145" s="18">
        <v>1.6686000000000001</v>
      </c>
      <c r="AD145" s="18">
        <v>1.6067</v>
      </c>
      <c r="AE145" s="18">
        <v>1.5327999999999999</v>
      </c>
      <c r="AF145" s="18">
        <v>1.4391</v>
      </c>
      <c r="AG145" s="18">
        <v>1.3395999999999999</v>
      </c>
      <c r="AH145" s="18">
        <v>1.2198</v>
      </c>
      <c r="AI145" s="18">
        <v>1.0849</v>
      </c>
      <c r="AJ145" s="18">
        <v>0.92200000000000004</v>
      </c>
      <c r="AK145" s="18">
        <v>0.76959999999999995</v>
      </c>
      <c r="AL145" s="18">
        <v>0.61299999999999999</v>
      </c>
      <c r="AM145" s="18">
        <v>0.46150000000000002</v>
      </c>
      <c r="AN145" s="18">
        <v>0.31540000000000001</v>
      </c>
      <c r="AO145" s="18">
        <v>0.1842</v>
      </c>
      <c r="AP145" s="18">
        <v>5.3600000000000002E-2</v>
      </c>
      <c r="AQ145" s="18">
        <v>9.9000000000000008E-3</v>
      </c>
      <c r="AR145" s="18">
        <v>0</v>
      </c>
      <c r="AS145" s="18">
        <v>0</v>
      </c>
      <c r="AT145" s="18">
        <v>0</v>
      </c>
      <c r="AU145" s="18">
        <v>0</v>
      </c>
      <c r="AV145" s="18">
        <v>0</v>
      </c>
      <c r="AW145" s="18">
        <v>0</v>
      </c>
      <c r="AX145" s="18">
        <v>0</v>
      </c>
    </row>
    <row r="146" spans="1:50" x14ac:dyDescent="0.25">
      <c r="A146" s="8" t="s">
        <v>212</v>
      </c>
      <c r="B146" s="10" t="s">
        <v>57</v>
      </c>
      <c r="C146" s="16">
        <v>0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  <c r="AK146" s="16">
        <v>0</v>
      </c>
      <c r="AL146" s="16">
        <v>0</v>
      </c>
      <c r="AM146" s="16">
        <v>0</v>
      </c>
      <c r="AN146" s="16">
        <v>0</v>
      </c>
      <c r="AO146" s="16">
        <v>0</v>
      </c>
      <c r="AP146" s="16">
        <v>0</v>
      </c>
      <c r="AQ146" s="16">
        <v>0</v>
      </c>
      <c r="AR146" s="16">
        <v>0</v>
      </c>
      <c r="AS146" s="16">
        <v>0</v>
      </c>
      <c r="AT146" s="16">
        <v>0</v>
      </c>
      <c r="AU146" s="16">
        <v>0</v>
      </c>
      <c r="AV146" s="16">
        <v>0</v>
      </c>
      <c r="AW146" s="16">
        <v>0</v>
      </c>
      <c r="AX146" s="16">
        <v>0</v>
      </c>
    </row>
    <row r="147" spans="1:50" x14ac:dyDescent="0.25">
      <c r="A147" s="17" t="s">
        <v>535</v>
      </c>
      <c r="B147" s="13" t="s">
        <v>410</v>
      </c>
      <c r="C147" s="18">
        <v>0</v>
      </c>
      <c r="D147" s="18">
        <v>0</v>
      </c>
      <c r="E147" s="18">
        <v>0</v>
      </c>
      <c r="F147" s="18">
        <v>0</v>
      </c>
      <c r="G147" s="18">
        <v>0</v>
      </c>
      <c r="H147" s="18">
        <v>0</v>
      </c>
      <c r="I147" s="18">
        <v>0</v>
      </c>
      <c r="J147" s="18">
        <v>1.2999999999999999E-3</v>
      </c>
      <c r="K147" s="18">
        <v>1.8700000000000001E-2</v>
      </c>
      <c r="L147" s="18">
        <v>8.72E-2</v>
      </c>
      <c r="M147" s="18">
        <v>0.17299999999999999</v>
      </c>
      <c r="N147" s="18">
        <v>0.2782</v>
      </c>
      <c r="O147" s="18">
        <v>0.39300000000000002</v>
      </c>
      <c r="P147" s="18">
        <v>0.50919999999999999</v>
      </c>
      <c r="Q147" s="18">
        <v>0.62470000000000003</v>
      </c>
      <c r="R147" s="18">
        <v>0.74050000000000005</v>
      </c>
      <c r="S147" s="18">
        <v>0.84909999999999997</v>
      </c>
      <c r="T147" s="18">
        <v>0.95120000000000005</v>
      </c>
      <c r="U147" s="18">
        <v>1.0382</v>
      </c>
      <c r="V147" s="18">
        <v>1.1124000000000001</v>
      </c>
      <c r="W147" s="18">
        <v>1.1775</v>
      </c>
      <c r="X147" s="18">
        <v>1.2312000000000001</v>
      </c>
      <c r="Y147" s="18">
        <v>1.2694000000000001</v>
      </c>
      <c r="Z147" s="18">
        <v>1.2861</v>
      </c>
      <c r="AA147" s="18">
        <v>1.2908999999999999</v>
      </c>
      <c r="AB147" s="18">
        <v>1.2819</v>
      </c>
      <c r="AC147" s="18">
        <v>1.2514000000000001</v>
      </c>
      <c r="AD147" s="18">
        <v>1.2050000000000001</v>
      </c>
      <c r="AE147" s="18">
        <v>1.1496</v>
      </c>
      <c r="AF147" s="18">
        <v>1.0792999999999999</v>
      </c>
      <c r="AG147" s="18">
        <v>1.0046999999999999</v>
      </c>
      <c r="AH147" s="18">
        <v>0.91479999999999995</v>
      </c>
      <c r="AI147" s="18">
        <v>0.81369999999999998</v>
      </c>
      <c r="AJ147" s="18">
        <v>0.6915</v>
      </c>
      <c r="AK147" s="18">
        <v>0.57720000000000005</v>
      </c>
      <c r="AL147" s="18">
        <v>0.4597</v>
      </c>
      <c r="AM147" s="18">
        <v>0.34610000000000002</v>
      </c>
      <c r="AN147" s="18">
        <v>0.23649999999999999</v>
      </c>
      <c r="AO147" s="18">
        <v>0.1381</v>
      </c>
      <c r="AP147" s="18">
        <v>4.02E-2</v>
      </c>
      <c r="AQ147" s="18">
        <v>7.4000000000000003E-3</v>
      </c>
      <c r="AR147" s="18">
        <v>0</v>
      </c>
      <c r="AS147" s="18">
        <v>0</v>
      </c>
      <c r="AT147" s="18">
        <v>0</v>
      </c>
      <c r="AU147" s="18">
        <v>0</v>
      </c>
      <c r="AV147" s="18">
        <v>0</v>
      </c>
      <c r="AW147" s="18">
        <v>0</v>
      </c>
      <c r="AX147" s="18">
        <v>0</v>
      </c>
    </row>
    <row r="148" spans="1:50" x14ac:dyDescent="0.25">
      <c r="A148" s="8" t="s">
        <v>214</v>
      </c>
      <c r="B148" s="10" t="s">
        <v>57</v>
      </c>
      <c r="C148" s="16">
        <v>0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  <c r="AK148" s="16">
        <v>0</v>
      </c>
      <c r="AL148" s="16">
        <v>0</v>
      </c>
      <c r="AM148" s="16">
        <v>0</v>
      </c>
      <c r="AN148" s="16">
        <v>0</v>
      </c>
      <c r="AO148" s="16">
        <v>0</v>
      </c>
      <c r="AP148" s="16">
        <v>0</v>
      </c>
      <c r="AQ148" s="16">
        <v>0</v>
      </c>
      <c r="AR148" s="16">
        <v>0</v>
      </c>
      <c r="AS148" s="16">
        <v>0</v>
      </c>
      <c r="AT148" s="16">
        <v>0</v>
      </c>
      <c r="AU148" s="16">
        <v>0</v>
      </c>
      <c r="AV148" s="16">
        <v>0</v>
      </c>
      <c r="AW148" s="16">
        <v>0</v>
      </c>
      <c r="AX148" s="16">
        <v>0</v>
      </c>
    </row>
    <row r="149" spans="1:50" x14ac:dyDescent="0.25">
      <c r="A149" s="8" t="s">
        <v>216</v>
      </c>
      <c r="B149" s="10" t="s">
        <v>57</v>
      </c>
      <c r="C149" s="16">
        <v>0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  <c r="AK149" s="16">
        <v>0</v>
      </c>
      <c r="AL149" s="16">
        <v>0</v>
      </c>
      <c r="AM149" s="16">
        <v>0</v>
      </c>
      <c r="AN149" s="16">
        <v>0</v>
      </c>
      <c r="AO149" s="16">
        <v>0</v>
      </c>
      <c r="AP149" s="16">
        <v>0</v>
      </c>
      <c r="AQ149" s="16">
        <v>0</v>
      </c>
      <c r="AR149" s="16">
        <v>0</v>
      </c>
      <c r="AS149" s="16">
        <v>0</v>
      </c>
      <c r="AT149" s="16">
        <v>0</v>
      </c>
      <c r="AU149" s="16">
        <v>0</v>
      </c>
      <c r="AV149" s="16">
        <v>0</v>
      </c>
      <c r="AW149" s="16">
        <v>0</v>
      </c>
      <c r="AX149" s="16">
        <v>0</v>
      </c>
    </row>
    <row r="150" spans="1:50" x14ac:dyDescent="0.25">
      <c r="A150" s="8" t="s">
        <v>218</v>
      </c>
      <c r="B150" s="10" t="s">
        <v>57</v>
      </c>
      <c r="C150" s="16">
        <v>0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  <c r="AK150" s="16">
        <v>0</v>
      </c>
      <c r="AL150" s="16">
        <v>0</v>
      </c>
      <c r="AM150" s="16">
        <v>0</v>
      </c>
      <c r="AN150" s="16">
        <v>0</v>
      </c>
      <c r="AO150" s="16">
        <v>0</v>
      </c>
      <c r="AP150" s="16">
        <v>0</v>
      </c>
      <c r="AQ150" s="16">
        <v>0</v>
      </c>
      <c r="AR150" s="16">
        <v>0</v>
      </c>
      <c r="AS150" s="16">
        <v>0</v>
      </c>
      <c r="AT150" s="16">
        <v>0</v>
      </c>
      <c r="AU150" s="16">
        <v>0</v>
      </c>
      <c r="AV150" s="16">
        <v>0</v>
      </c>
      <c r="AW150" s="16">
        <v>0</v>
      </c>
      <c r="AX150" s="16">
        <v>0</v>
      </c>
    </row>
    <row r="151" spans="1:50" x14ac:dyDescent="0.25">
      <c r="A151" s="8" t="s">
        <v>220</v>
      </c>
      <c r="B151" s="10" t="s">
        <v>57</v>
      </c>
      <c r="C151" s="16">
        <v>0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  <c r="AK151" s="16">
        <v>0</v>
      </c>
      <c r="AL151" s="16">
        <v>0</v>
      </c>
      <c r="AM151" s="16">
        <v>0</v>
      </c>
      <c r="AN151" s="16">
        <v>0</v>
      </c>
      <c r="AO151" s="16">
        <v>0</v>
      </c>
      <c r="AP151" s="16">
        <v>0</v>
      </c>
      <c r="AQ151" s="16">
        <v>0</v>
      </c>
      <c r="AR151" s="16">
        <v>0</v>
      </c>
      <c r="AS151" s="16">
        <v>0</v>
      </c>
      <c r="AT151" s="16">
        <v>0</v>
      </c>
      <c r="AU151" s="16">
        <v>0</v>
      </c>
      <c r="AV151" s="16">
        <v>0</v>
      </c>
      <c r="AW151" s="16">
        <v>0</v>
      </c>
      <c r="AX151" s="16">
        <v>0</v>
      </c>
    </row>
    <row r="152" spans="1:50" x14ac:dyDescent="0.25">
      <c r="A152" s="8" t="s">
        <v>222</v>
      </c>
      <c r="B152" s="10" t="s">
        <v>57</v>
      </c>
      <c r="C152" s="16">
        <v>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  <c r="AK152" s="16">
        <v>0</v>
      </c>
      <c r="AL152" s="16">
        <v>0</v>
      </c>
      <c r="AM152" s="16">
        <v>0</v>
      </c>
      <c r="AN152" s="16">
        <v>0</v>
      </c>
      <c r="AO152" s="16">
        <v>0</v>
      </c>
      <c r="AP152" s="16">
        <v>0</v>
      </c>
      <c r="AQ152" s="16">
        <v>0</v>
      </c>
      <c r="AR152" s="16">
        <v>0</v>
      </c>
      <c r="AS152" s="16">
        <v>0</v>
      </c>
      <c r="AT152" s="16">
        <v>0</v>
      </c>
      <c r="AU152" s="16">
        <v>0</v>
      </c>
      <c r="AV152" s="16">
        <v>0</v>
      </c>
      <c r="AW152" s="16">
        <v>0</v>
      </c>
      <c r="AX152" s="16">
        <v>0</v>
      </c>
    </row>
    <row r="153" spans="1:50" x14ac:dyDescent="0.25">
      <c r="A153" s="8" t="s">
        <v>224</v>
      </c>
      <c r="B153" s="10" t="s">
        <v>57</v>
      </c>
      <c r="C153" s="16">
        <v>0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  <c r="AK153" s="16">
        <v>0</v>
      </c>
      <c r="AL153" s="16">
        <v>0</v>
      </c>
      <c r="AM153" s="16">
        <v>0</v>
      </c>
      <c r="AN153" s="16">
        <v>0</v>
      </c>
      <c r="AO153" s="16">
        <v>0</v>
      </c>
      <c r="AP153" s="16">
        <v>0</v>
      </c>
      <c r="AQ153" s="16">
        <v>0</v>
      </c>
      <c r="AR153" s="16">
        <v>0</v>
      </c>
      <c r="AS153" s="16">
        <v>0</v>
      </c>
      <c r="AT153" s="16">
        <v>0</v>
      </c>
      <c r="AU153" s="16">
        <v>0</v>
      </c>
      <c r="AV153" s="16">
        <v>0</v>
      </c>
      <c r="AW153" s="16">
        <v>0</v>
      </c>
      <c r="AX153" s="16">
        <v>0</v>
      </c>
    </row>
    <row r="154" spans="1:50" x14ac:dyDescent="0.25">
      <c r="A154" s="8" t="s">
        <v>226</v>
      </c>
      <c r="B154" s="10" t="s">
        <v>57</v>
      </c>
      <c r="C154" s="16">
        <v>0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  <c r="AK154" s="16">
        <v>0</v>
      </c>
      <c r="AL154" s="16">
        <v>0</v>
      </c>
      <c r="AM154" s="16">
        <v>0</v>
      </c>
      <c r="AN154" s="16">
        <v>0</v>
      </c>
      <c r="AO154" s="16">
        <v>0</v>
      </c>
      <c r="AP154" s="16">
        <v>0</v>
      </c>
      <c r="AQ154" s="16">
        <v>0</v>
      </c>
      <c r="AR154" s="16">
        <v>0</v>
      </c>
      <c r="AS154" s="16">
        <v>0</v>
      </c>
      <c r="AT154" s="16">
        <v>0</v>
      </c>
      <c r="AU154" s="16">
        <v>0</v>
      </c>
      <c r="AV154" s="16">
        <v>0</v>
      </c>
      <c r="AW154" s="16">
        <v>0</v>
      </c>
      <c r="AX154" s="16">
        <v>0</v>
      </c>
    </row>
    <row r="155" spans="1:50" x14ac:dyDescent="0.25">
      <c r="A155" s="8" t="s">
        <v>228</v>
      </c>
      <c r="B155" s="10" t="s">
        <v>57</v>
      </c>
      <c r="C155" s="16">
        <v>0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  <c r="AK155" s="16">
        <v>0</v>
      </c>
      <c r="AL155" s="16">
        <v>0</v>
      </c>
      <c r="AM155" s="16">
        <v>0</v>
      </c>
      <c r="AN155" s="16">
        <v>0</v>
      </c>
      <c r="AO155" s="16">
        <v>0</v>
      </c>
      <c r="AP155" s="16">
        <v>0</v>
      </c>
      <c r="AQ155" s="16">
        <v>0</v>
      </c>
      <c r="AR155" s="16">
        <v>0</v>
      </c>
      <c r="AS155" s="16">
        <v>0</v>
      </c>
      <c r="AT155" s="16">
        <v>0</v>
      </c>
      <c r="AU155" s="16">
        <v>0</v>
      </c>
      <c r="AV155" s="16">
        <v>0</v>
      </c>
      <c r="AW155" s="16">
        <v>0</v>
      </c>
      <c r="AX155" s="16">
        <v>0</v>
      </c>
    </row>
    <row r="156" spans="1:50" x14ac:dyDescent="0.25">
      <c r="A156" s="8" t="s">
        <v>230</v>
      </c>
      <c r="B156" s="10" t="s">
        <v>57</v>
      </c>
      <c r="C156" s="16">
        <v>0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  <c r="AK156" s="16">
        <v>0</v>
      </c>
      <c r="AL156" s="16">
        <v>0</v>
      </c>
      <c r="AM156" s="16">
        <v>0</v>
      </c>
      <c r="AN156" s="16">
        <v>0</v>
      </c>
      <c r="AO156" s="16">
        <v>0</v>
      </c>
      <c r="AP156" s="16">
        <v>0</v>
      </c>
      <c r="AQ156" s="16">
        <v>0</v>
      </c>
      <c r="AR156" s="16">
        <v>0</v>
      </c>
      <c r="AS156" s="16">
        <v>0</v>
      </c>
      <c r="AT156" s="16">
        <v>0</v>
      </c>
      <c r="AU156" s="16">
        <v>0</v>
      </c>
      <c r="AV156" s="16">
        <v>0</v>
      </c>
      <c r="AW156" s="16">
        <v>0</v>
      </c>
      <c r="AX156" s="16">
        <v>0</v>
      </c>
    </row>
    <row r="157" spans="1:50" x14ac:dyDescent="0.25">
      <c r="A157" s="8" t="s">
        <v>232</v>
      </c>
      <c r="B157" s="10" t="s">
        <v>57</v>
      </c>
      <c r="C157" s="16">
        <v>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  <c r="AK157" s="16">
        <v>0</v>
      </c>
      <c r="AL157" s="16">
        <v>0</v>
      </c>
      <c r="AM157" s="16">
        <v>0</v>
      </c>
      <c r="AN157" s="16">
        <v>0</v>
      </c>
      <c r="AO157" s="16">
        <v>0</v>
      </c>
      <c r="AP157" s="16">
        <v>0</v>
      </c>
      <c r="AQ157" s="16">
        <v>0</v>
      </c>
      <c r="AR157" s="16">
        <v>0</v>
      </c>
      <c r="AS157" s="16">
        <v>0</v>
      </c>
      <c r="AT157" s="16">
        <v>0</v>
      </c>
      <c r="AU157" s="16">
        <v>0</v>
      </c>
      <c r="AV157" s="16">
        <v>0</v>
      </c>
      <c r="AW157" s="16">
        <v>0</v>
      </c>
      <c r="AX157" s="16">
        <v>0</v>
      </c>
    </row>
    <row r="158" spans="1:50" x14ac:dyDescent="0.25">
      <c r="A158" s="17" t="s">
        <v>537</v>
      </c>
      <c r="B158" s="13" t="s">
        <v>410</v>
      </c>
      <c r="C158" s="18">
        <v>0</v>
      </c>
      <c r="D158" s="18">
        <v>0</v>
      </c>
      <c r="E158" s="18">
        <v>0</v>
      </c>
      <c r="F158" s="18">
        <v>0</v>
      </c>
      <c r="G158" s="18">
        <v>0</v>
      </c>
      <c r="H158" s="18">
        <v>0</v>
      </c>
      <c r="I158" s="18">
        <v>0</v>
      </c>
      <c r="J158" s="18">
        <v>3.0000000000000001E-3</v>
      </c>
      <c r="K158" s="18">
        <v>4.3499999999999997E-2</v>
      </c>
      <c r="L158" s="18">
        <v>0.20349999999999999</v>
      </c>
      <c r="M158" s="18">
        <v>0.4037</v>
      </c>
      <c r="N158" s="18">
        <v>0.64910000000000001</v>
      </c>
      <c r="O158" s="18">
        <v>0.91690000000000005</v>
      </c>
      <c r="P158" s="18">
        <v>1.1879999999999999</v>
      </c>
      <c r="Q158" s="18">
        <v>1.4577</v>
      </c>
      <c r="R158" s="18">
        <v>1.7278</v>
      </c>
      <c r="S158" s="18">
        <v>1.9813000000000001</v>
      </c>
      <c r="T158" s="18">
        <v>2.2195999999999998</v>
      </c>
      <c r="U158" s="18">
        <v>2.4224999999999999</v>
      </c>
      <c r="V158" s="18">
        <v>2.5956000000000001</v>
      </c>
      <c r="W158" s="18">
        <v>2.7475000000000001</v>
      </c>
      <c r="X158" s="18">
        <v>2.8729</v>
      </c>
      <c r="Y158" s="18">
        <v>2.9619</v>
      </c>
      <c r="Z158" s="18">
        <v>3.0009000000000001</v>
      </c>
      <c r="AA158" s="18">
        <v>3.0122</v>
      </c>
      <c r="AB158" s="18">
        <v>2.9910000000000001</v>
      </c>
      <c r="AC158" s="18">
        <v>2.92</v>
      </c>
      <c r="AD158" s="18">
        <v>2.8117000000000001</v>
      </c>
      <c r="AE158" s="18">
        <v>2.6823000000000001</v>
      </c>
      <c r="AF158" s="18">
        <v>2.5184000000000002</v>
      </c>
      <c r="AG158" s="18">
        <v>2.3441999999999998</v>
      </c>
      <c r="AH158" s="18">
        <v>2.1345999999999998</v>
      </c>
      <c r="AI158" s="18">
        <v>1.8986000000000001</v>
      </c>
      <c r="AJ158" s="18">
        <v>1.6135999999999999</v>
      </c>
      <c r="AK158" s="18">
        <v>1.3468</v>
      </c>
      <c r="AL158" s="18">
        <v>1.0727</v>
      </c>
      <c r="AM158" s="18">
        <v>0.80759999999999998</v>
      </c>
      <c r="AN158" s="18">
        <v>0.55189999999999995</v>
      </c>
      <c r="AO158" s="18">
        <v>0.32229999999999998</v>
      </c>
      <c r="AP158" s="18">
        <v>9.3799999999999994E-2</v>
      </c>
      <c r="AQ158" s="18">
        <v>1.7299999999999999E-2</v>
      </c>
      <c r="AR158" s="18">
        <v>0</v>
      </c>
      <c r="AS158" s="18">
        <v>0</v>
      </c>
      <c r="AT158" s="18">
        <v>0</v>
      </c>
      <c r="AU158" s="18">
        <v>0</v>
      </c>
      <c r="AV158" s="18">
        <v>0</v>
      </c>
      <c r="AW158" s="18">
        <v>0</v>
      </c>
      <c r="AX158" s="18">
        <v>0</v>
      </c>
    </row>
    <row r="159" spans="1:50" x14ac:dyDescent="0.25">
      <c r="A159" s="8" t="s">
        <v>234</v>
      </c>
      <c r="B159" s="10" t="s">
        <v>57</v>
      </c>
      <c r="C159" s="16">
        <v>0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  <c r="AK159" s="16">
        <v>0</v>
      </c>
      <c r="AL159" s="16">
        <v>0</v>
      </c>
      <c r="AM159" s="16">
        <v>0</v>
      </c>
      <c r="AN159" s="16">
        <v>0</v>
      </c>
      <c r="AO159" s="16">
        <v>0</v>
      </c>
      <c r="AP159" s="16">
        <v>0</v>
      </c>
      <c r="AQ159" s="16">
        <v>0</v>
      </c>
      <c r="AR159" s="16">
        <v>0</v>
      </c>
      <c r="AS159" s="16">
        <v>0</v>
      </c>
      <c r="AT159" s="16">
        <v>0</v>
      </c>
      <c r="AU159" s="16">
        <v>0</v>
      </c>
      <c r="AV159" s="16">
        <v>0</v>
      </c>
      <c r="AW159" s="16">
        <v>0</v>
      </c>
      <c r="AX159" s="16">
        <v>0</v>
      </c>
    </row>
    <row r="160" spans="1:50" x14ac:dyDescent="0.25">
      <c r="A160" s="8" t="s">
        <v>236</v>
      </c>
      <c r="B160" s="10" t="s">
        <v>57</v>
      </c>
      <c r="C160" s="16">
        <v>0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  <c r="AK160" s="16">
        <v>0</v>
      </c>
      <c r="AL160" s="16">
        <v>0</v>
      </c>
      <c r="AM160" s="16">
        <v>0</v>
      </c>
      <c r="AN160" s="16">
        <v>0</v>
      </c>
      <c r="AO160" s="16">
        <v>0</v>
      </c>
      <c r="AP160" s="16">
        <v>0</v>
      </c>
      <c r="AQ160" s="16">
        <v>0</v>
      </c>
      <c r="AR160" s="16">
        <v>0</v>
      </c>
      <c r="AS160" s="16">
        <v>0</v>
      </c>
      <c r="AT160" s="16">
        <v>0</v>
      </c>
      <c r="AU160" s="16">
        <v>0</v>
      </c>
      <c r="AV160" s="16">
        <v>0</v>
      </c>
      <c r="AW160" s="16">
        <v>0</v>
      </c>
      <c r="AX160" s="16">
        <v>0</v>
      </c>
    </row>
    <row r="161" spans="1:50" x14ac:dyDescent="0.25">
      <c r="A161" s="17" t="s">
        <v>539</v>
      </c>
      <c r="B161" s="13" t="s">
        <v>410</v>
      </c>
      <c r="C161" s="18">
        <v>0</v>
      </c>
      <c r="D161" s="18">
        <v>0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8">
        <v>2.5999999999999999E-3</v>
      </c>
      <c r="K161" s="18">
        <v>3.73E-2</v>
      </c>
      <c r="L161" s="18">
        <v>0.1744</v>
      </c>
      <c r="M161" s="18">
        <v>0.34599999999999997</v>
      </c>
      <c r="N161" s="18">
        <v>0.55640000000000001</v>
      </c>
      <c r="O161" s="18">
        <v>0.78590000000000004</v>
      </c>
      <c r="P161" s="18">
        <v>1.0183</v>
      </c>
      <c r="Q161" s="18">
        <v>1.2495000000000001</v>
      </c>
      <c r="R161" s="18">
        <v>1.4810000000000001</v>
      </c>
      <c r="S161" s="18">
        <v>1.6981999999999999</v>
      </c>
      <c r="T161" s="18">
        <v>1.9025000000000001</v>
      </c>
      <c r="U161" s="18">
        <v>2.0764</v>
      </c>
      <c r="V161" s="18">
        <v>2.2248000000000001</v>
      </c>
      <c r="W161" s="18">
        <v>2.355</v>
      </c>
      <c r="X161" s="18">
        <v>2.4624999999999999</v>
      </c>
      <c r="Y161" s="18">
        <v>2.5387</v>
      </c>
      <c r="Z161" s="18">
        <v>2.5722</v>
      </c>
      <c r="AA161" s="18">
        <v>2.5819000000000001</v>
      </c>
      <c r="AB161" s="18">
        <v>2.5636999999999999</v>
      </c>
      <c r="AC161" s="18">
        <v>2.5028999999999999</v>
      </c>
      <c r="AD161" s="18">
        <v>2.41</v>
      </c>
      <c r="AE161" s="18">
        <v>2.2991000000000001</v>
      </c>
      <c r="AF161" s="18">
        <v>2.1585999999999999</v>
      </c>
      <c r="AG161" s="18">
        <v>2.0093000000000001</v>
      </c>
      <c r="AH161" s="18">
        <v>1.8297000000000001</v>
      </c>
      <c r="AI161" s="18">
        <v>1.6274</v>
      </c>
      <c r="AJ161" s="18">
        <v>1.3831</v>
      </c>
      <c r="AK161" s="18">
        <v>1.1544000000000001</v>
      </c>
      <c r="AL161" s="18">
        <v>0.91949999999999998</v>
      </c>
      <c r="AM161" s="18">
        <v>0.69220000000000004</v>
      </c>
      <c r="AN161" s="18">
        <v>0.47310000000000002</v>
      </c>
      <c r="AO161" s="18">
        <v>0.2762</v>
      </c>
      <c r="AP161" s="18">
        <v>8.0399999999999999E-2</v>
      </c>
      <c r="AQ161" s="18">
        <v>1.4800000000000001E-2</v>
      </c>
      <c r="AR161" s="18">
        <v>0</v>
      </c>
      <c r="AS161" s="18">
        <v>0</v>
      </c>
      <c r="AT161" s="18">
        <v>0</v>
      </c>
      <c r="AU161" s="18">
        <v>0</v>
      </c>
      <c r="AV161" s="18">
        <v>0</v>
      </c>
      <c r="AW161" s="18">
        <v>0</v>
      </c>
      <c r="AX161" s="18">
        <v>0</v>
      </c>
    </row>
    <row r="162" spans="1:50" x14ac:dyDescent="0.25">
      <c r="A162" s="17" t="s">
        <v>541</v>
      </c>
      <c r="B162" s="13" t="s">
        <v>410</v>
      </c>
      <c r="C162" s="18">
        <v>0</v>
      </c>
      <c r="D162" s="18">
        <v>0</v>
      </c>
      <c r="E162" s="18">
        <v>0</v>
      </c>
      <c r="F162" s="18">
        <v>0</v>
      </c>
      <c r="G162" s="18">
        <v>0</v>
      </c>
      <c r="H162" s="18">
        <v>0</v>
      </c>
      <c r="I162" s="18">
        <v>0</v>
      </c>
      <c r="J162" s="18">
        <v>3.3999999999999998E-3</v>
      </c>
      <c r="K162" s="18">
        <v>4.9700000000000001E-2</v>
      </c>
      <c r="L162" s="18">
        <v>0.2326</v>
      </c>
      <c r="M162" s="18">
        <v>0.46129999999999999</v>
      </c>
      <c r="N162" s="18">
        <v>0.7419</v>
      </c>
      <c r="O162" s="18">
        <v>1.0479000000000001</v>
      </c>
      <c r="P162" s="18">
        <v>1.3576999999999999</v>
      </c>
      <c r="Q162" s="18">
        <v>1.6659999999999999</v>
      </c>
      <c r="R162" s="18">
        <v>1.9745999999999999</v>
      </c>
      <c r="S162" s="18">
        <v>2.2643</v>
      </c>
      <c r="T162" s="18">
        <v>2.5367000000000002</v>
      </c>
      <c r="U162" s="18">
        <v>2.7686000000000002</v>
      </c>
      <c r="V162" s="18">
        <v>2.9664000000000001</v>
      </c>
      <c r="W162" s="18">
        <v>3.14</v>
      </c>
      <c r="X162" s="18">
        <v>3.2833000000000001</v>
      </c>
      <c r="Y162" s="18">
        <v>3.3849999999999998</v>
      </c>
      <c r="Z162" s="18">
        <v>3.4296000000000002</v>
      </c>
      <c r="AA162" s="18">
        <v>3.4424999999999999</v>
      </c>
      <c r="AB162" s="18">
        <v>3.4182999999999999</v>
      </c>
      <c r="AC162" s="18">
        <v>3.3372000000000002</v>
      </c>
      <c r="AD162" s="18">
        <v>3.2132999999999998</v>
      </c>
      <c r="AE162" s="18">
        <v>3.0655000000000001</v>
      </c>
      <c r="AF162" s="18">
        <v>2.8782000000000001</v>
      </c>
      <c r="AG162" s="18">
        <v>2.6791</v>
      </c>
      <c r="AH162" s="18">
        <v>2.4396</v>
      </c>
      <c r="AI162" s="18">
        <v>2.1698</v>
      </c>
      <c r="AJ162" s="18">
        <v>1.8441000000000001</v>
      </c>
      <c r="AK162" s="18">
        <v>1.5391999999999999</v>
      </c>
      <c r="AL162" s="18">
        <v>1.2259</v>
      </c>
      <c r="AM162" s="18">
        <v>0.92290000000000005</v>
      </c>
      <c r="AN162" s="18">
        <v>0.63080000000000003</v>
      </c>
      <c r="AO162" s="18">
        <v>0.36830000000000002</v>
      </c>
      <c r="AP162" s="18">
        <v>0.1072</v>
      </c>
      <c r="AQ162" s="18">
        <v>1.9800000000000002E-2</v>
      </c>
      <c r="AR162" s="18">
        <v>0</v>
      </c>
      <c r="AS162" s="18">
        <v>0</v>
      </c>
      <c r="AT162" s="18">
        <v>0</v>
      </c>
      <c r="AU162" s="18">
        <v>0</v>
      </c>
      <c r="AV162" s="18">
        <v>0</v>
      </c>
      <c r="AW162" s="18">
        <v>0</v>
      </c>
      <c r="AX162" s="18">
        <v>0</v>
      </c>
    </row>
    <row r="163" spans="1:50" x14ac:dyDescent="0.25">
      <c r="A163" s="8" t="s">
        <v>238</v>
      </c>
      <c r="B163" s="10" t="s">
        <v>57</v>
      </c>
      <c r="C163" s="16">
        <v>0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  <c r="AK163" s="16">
        <v>0</v>
      </c>
      <c r="AL163" s="16">
        <v>0</v>
      </c>
      <c r="AM163" s="16">
        <v>0</v>
      </c>
      <c r="AN163" s="16">
        <v>0</v>
      </c>
      <c r="AO163" s="16">
        <v>0</v>
      </c>
      <c r="AP163" s="16">
        <v>0</v>
      </c>
      <c r="AQ163" s="16">
        <v>0</v>
      </c>
      <c r="AR163" s="16">
        <v>0</v>
      </c>
      <c r="AS163" s="16">
        <v>0</v>
      </c>
      <c r="AT163" s="16">
        <v>0</v>
      </c>
      <c r="AU163" s="16">
        <v>0</v>
      </c>
      <c r="AV163" s="16">
        <v>0</v>
      </c>
      <c r="AW163" s="16">
        <v>0</v>
      </c>
      <c r="AX163" s="16">
        <v>0</v>
      </c>
    </row>
    <row r="164" spans="1:50" x14ac:dyDescent="0.25">
      <c r="A164" s="8" t="s">
        <v>240</v>
      </c>
      <c r="B164" s="10" t="s">
        <v>57</v>
      </c>
      <c r="C164" s="16">
        <v>0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  <c r="AK164" s="16">
        <v>0</v>
      </c>
      <c r="AL164" s="16">
        <v>0</v>
      </c>
      <c r="AM164" s="16">
        <v>0</v>
      </c>
      <c r="AN164" s="16">
        <v>0</v>
      </c>
      <c r="AO164" s="16">
        <v>0</v>
      </c>
      <c r="AP164" s="16">
        <v>0</v>
      </c>
      <c r="AQ164" s="16">
        <v>0</v>
      </c>
      <c r="AR164" s="16">
        <v>0</v>
      </c>
      <c r="AS164" s="16">
        <v>0</v>
      </c>
      <c r="AT164" s="16">
        <v>0</v>
      </c>
      <c r="AU164" s="16">
        <v>0</v>
      </c>
      <c r="AV164" s="16">
        <v>0</v>
      </c>
      <c r="AW164" s="16">
        <v>0</v>
      </c>
      <c r="AX164" s="16">
        <v>0</v>
      </c>
    </row>
    <row r="165" spans="1:50" x14ac:dyDescent="0.25">
      <c r="A165" s="8" t="s">
        <v>242</v>
      </c>
      <c r="B165" s="10" t="s">
        <v>57</v>
      </c>
      <c r="C165" s="16">
        <v>0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  <c r="AK165" s="16">
        <v>0</v>
      </c>
      <c r="AL165" s="16">
        <v>0</v>
      </c>
      <c r="AM165" s="16">
        <v>0</v>
      </c>
      <c r="AN165" s="16">
        <v>0</v>
      </c>
      <c r="AO165" s="16">
        <v>0</v>
      </c>
      <c r="AP165" s="16">
        <v>0</v>
      </c>
      <c r="AQ165" s="16">
        <v>0</v>
      </c>
      <c r="AR165" s="16">
        <v>0</v>
      </c>
      <c r="AS165" s="16">
        <v>0</v>
      </c>
      <c r="AT165" s="16">
        <v>0</v>
      </c>
      <c r="AU165" s="16">
        <v>0</v>
      </c>
      <c r="AV165" s="16">
        <v>0</v>
      </c>
      <c r="AW165" s="16">
        <v>0</v>
      </c>
      <c r="AX165" s="16">
        <v>0</v>
      </c>
    </row>
    <row r="166" spans="1:50" x14ac:dyDescent="0.25">
      <c r="A166" s="17" t="s">
        <v>543</v>
      </c>
      <c r="B166" s="13" t="s">
        <v>410</v>
      </c>
      <c r="C166" s="18">
        <v>0</v>
      </c>
      <c r="D166" s="18">
        <v>0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8">
        <v>3.0000000000000001E-3</v>
      </c>
      <c r="K166" s="18">
        <v>4.3499999999999997E-2</v>
      </c>
      <c r="L166" s="18">
        <v>0.20349999999999999</v>
      </c>
      <c r="M166" s="18">
        <v>0.4037</v>
      </c>
      <c r="N166" s="18">
        <v>0.64910000000000001</v>
      </c>
      <c r="O166" s="18">
        <v>0.91690000000000005</v>
      </c>
      <c r="P166" s="18">
        <v>1.1879999999999999</v>
      </c>
      <c r="Q166" s="18">
        <v>1.4577</v>
      </c>
      <c r="R166" s="18">
        <v>1.7278</v>
      </c>
      <c r="S166" s="18">
        <v>1.9813000000000001</v>
      </c>
      <c r="T166" s="18">
        <v>2.2195999999999998</v>
      </c>
      <c r="U166" s="18">
        <v>2.4224999999999999</v>
      </c>
      <c r="V166" s="18">
        <v>2.5956000000000001</v>
      </c>
      <c r="W166" s="18">
        <v>2.7475000000000001</v>
      </c>
      <c r="X166" s="18">
        <v>2.8729</v>
      </c>
      <c r="Y166" s="18">
        <v>2.9619</v>
      </c>
      <c r="Z166" s="18">
        <v>3.0009000000000001</v>
      </c>
      <c r="AA166" s="18">
        <v>3.0122</v>
      </c>
      <c r="AB166" s="18">
        <v>2.9910000000000001</v>
      </c>
      <c r="AC166" s="18">
        <v>2.92</v>
      </c>
      <c r="AD166" s="18">
        <v>2.8117000000000001</v>
      </c>
      <c r="AE166" s="18">
        <v>2.6823000000000001</v>
      </c>
      <c r="AF166" s="18">
        <v>2.5184000000000002</v>
      </c>
      <c r="AG166" s="18">
        <v>2.3441999999999998</v>
      </c>
      <c r="AH166" s="18">
        <v>2.1345999999999998</v>
      </c>
      <c r="AI166" s="18">
        <v>1.8986000000000001</v>
      </c>
      <c r="AJ166" s="18">
        <v>1.6135999999999999</v>
      </c>
      <c r="AK166" s="18">
        <v>1.3468</v>
      </c>
      <c r="AL166" s="18">
        <v>1.0727</v>
      </c>
      <c r="AM166" s="18">
        <v>0.80759999999999998</v>
      </c>
      <c r="AN166" s="18">
        <v>0.55189999999999995</v>
      </c>
      <c r="AO166" s="18">
        <v>0.32229999999999998</v>
      </c>
      <c r="AP166" s="18">
        <v>9.3799999999999994E-2</v>
      </c>
      <c r="AQ166" s="18">
        <v>1.7299999999999999E-2</v>
      </c>
      <c r="AR166" s="18">
        <v>0</v>
      </c>
      <c r="AS166" s="18">
        <v>0</v>
      </c>
      <c r="AT166" s="18">
        <v>0</v>
      </c>
      <c r="AU166" s="18">
        <v>0</v>
      </c>
      <c r="AV166" s="18">
        <v>0</v>
      </c>
      <c r="AW166" s="18">
        <v>0</v>
      </c>
      <c r="AX166" s="18">
        <v>0</v>
      </c>
    </row>
    <row r="167" spans="1:50" x14ac:dyDescent="0.25">
      <c r="A167" s="8" t="s">
        <v>244</v>
      </c>
      <c r="B167" s="10" t="s">
        <v>57</v>
      </c>
      <c r="C167" s="16">
        <v>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  <c r="AK167" s="16">
        <v>0</v>
      </c>
      <c r="AL167" s="16">
        <v>0</v>
      </c>
      <c r="AM167" s="16">
        <v>0</v>
      </c>
      <c r="AN167" s="16">
        <v>0</v>
      </c>
      <c r="AO167" s="16">
        <v>0</v>
      </c>
      <c r="AP167" s="16">
        <v>0</v>
      </c>
      <c r="AQ167" s="16">
        <v>0</v>
      </c>
      <c r="AR167" s="16">
        <v>0</v>
      </c>
      <c r="AS167" s="16">
        <v>0</v>
      </c>
      <c r="AT167" s="16">
        <v>0</v>
      </c>
      <c r="AU167" s="16">
        <v>0</v>
      </c>
      <c r="AV167" s="16">
        <v>0</v>
      </c>
      <c r="AW167" s="16">
        <v>0</v>
      </c>
      <c r="AX167" s="16">
        <v>0</v>
      </c>
    </row>
    <row r="168" spans="1:50" x14ac:dyDescent="0.25">
      <c r="A168" s="8" t="s">
        <v>246</v>
      </c>
      <c r="B168" s="10" t="s">
        <v>57</v>
      </c>
      <c r="C168" s="16">
        <v>0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  <c r="AK168" s="16">
        <v>0</v>
      </c>
      <c r="AL168" s="16">
        <v>0</v>
      </c>
      <c r="AM168" s="16">
        <v>0</v>
      </c>
      <c r="AN168" s="16">
        <v>0</v>
      </c>
      <c r="AO168" s="16">
        <v>0</v>
      </c>
      <c r="AP168" s="16">
        <v>0</v>
      </c>
      <c r="AQ168" s="16">
        <v>0</v>
      </c>
      <c r="AR168" s="16">
        <v>0</v>
      </c>
      <c r="AS168" s="16">
        <v>0</v>
      </c>
      <c r="AT168" s="16">
        <v>0</v>
      </c>
      <c r="AU168" s="16">
        <v>0</v>
      </c>
      <c r="AV168" s="16">
        <v>0</v>
      </c>
      <c r="AW168" s="16">
        <v>0</v>
      </c>
      <c r="AX168" s="16">
        <v>0</v>
      </c>
    </row>
    <row r="169" spans="1:50" x14ac:dyDescent="0.25">
      <c r="A169" s="8" t="s">
        <v>248</v>
      </c>
      <c r="B169" s="10" t="s">
        <v>57</v>
      </c>
      <c r="C169" s="16">
        <v>0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  <c r="AK169" s="16">
        <v>0</v>
      </c>
      <c r="AL169" s="16">
        <v>0</v>
      </c>
      <c r="AM169" s="16">
        <v>0</v>
      </c>
      <c r="AN169" s="16">
        <v>0</v>
      </c>
      <c r="AO169" s="16">
        <v>0</v>
      </c>
      <c r="AP169" s="16">
        <v>0</v>
      </c>
      <c r="AQ169" s="16">
        <v>0</v>
      </c>
      <c r="AR169" s="16">
        <v>0</v>
      </c>
      <c r="AS169" s="16">
        <v>0</v>
      </c>
      <c r="AT169" s="16">
        <v>0</v>
      </c>
      <c r="AU169" s="16">
        <v>0</v>
      </c>
      <c r="AV169" s="16">
        <v>0</v>
      </c>
      <c r="AW169" s="16">
        <v>0</v>
      </c>
      <c r="AX169" s="16">
        <v>0</v>
      </c>
    </row>
    <row r="170" spans="1:50" x14ac:dyDescent="0.25">
      <c r="A170" s="8" t="s">
        <v>250</v>
      </c>
      <c r="B170" s="10" t="s">
        <v>57</v>
      </c>
      <c r="C170" s="16">
        <v>0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  <c r="AK170" s="16">
        <v>0</v>
      </c>
      <c r="AL170" s="16">
        <v>0</v>
      </c>
      <c r="AM170" s="16">
        <v>0</v>
      </c>
      <c r="AN170" s="16">
        <v>0</v>
      </c>
      <c r="AO170" s="16">
        <v>0</v>
      </c>
      <c r="AP170" s="16">
        <v>0</v>
      </c>
      <c r="AQ170" s="16">
        <v>0</v>
      </c>
      <c r="AR170" s="16">
        <v>0</v>
      </c>
      <c r="AS170" s="16">
        <v>0</v>
      </c>
      <c r="AT170" s="16">
        <v>0</v>
      </c>
      <c r="AU170" s="16">
        <v>0</v>
      </c>
      <c r="AV170" s="16">
        <v>0</v>
      </c>
      <c r="AW170" s="16">
        <v>0</v>
      </c>
      <c r="AX170" s="16">
        <v>0</v>
      </c>
    </row>
    <row r="171" spans="1:50" x14ac:dyDescent="0.25">
      <c r="A171" s="17" t="s">
        <v>545</v>
      </c>
      <c r="B171" s="13" t="s">
        <v>410</v>
      </c>
      <c r="C171" s="18">
        <v>0</v>
      </c>
      <c r="D171" s="18">
        <v>0</v>
      </c>
      <c r="E171" s="18">
        <v>0</v>
      </c>
      <c r="F171" s="18">
        <v>0</v>
      </c>
      <c r="G171" s="18">
        <v>0</v>
      </c>
      <c r="H171" s="18">
        <v>0</v>
      </c>
      <c r="I171" s="18">
        <v>0</v>
      </c>
      <c r="J171" s="18">
        <v>1.6999999999999999E-3</v>
      </c>
      <c r="K171" s="18">
        <v>2.4899999999999999E-2</v>
      </c>
      <c r="L171" s="18">
        <v>0.1163</v>
      </c>
      <c r="M171" s="18">
        <v>0.23069999999999999</v>
      </c>
      <c r="N171" s="18">
        <v>0.37090000000000001</v>
      </c>
      <c r="O171" s="18">
        <v>0.52400000000000002</v>
      </c>
      <c r="P171" s="18">
        <v>0.67889999999999995</v>
      </c>
      <c r="Q171" s="18">
        <v>0.83299999999999996</v>
      </c>
      <c r="R171" s="18">
        <v>0.98729999999999996</v>
      </c>
      <c r="S171" s="18">
        <v>1.1322000000000001</v>
      </c>
      <c r="T171" s="18">
        <v>1.2683</v>
      </c>
      <c r="U171" s="18">
        <v>1.3843000000000001</v>
      </c>
      <c r="V171" s="18">
        <v>1.4832000000000001</v>
      </c>
      <c r="W171" s="18">
        <v>1.57</v>
      </c>
      <c r="X171" s="18">
        <v>1.6416999999999999</v>
      </c>
      <c r="Y171" s="18">
        <v>1.6924999999999999</v>
      </c>
      <c r="Z171" s="18">
        <v>1.7148000000000001</v>
      </c>
      <c r="AA171" s="18">
        <v>1.7212000000000001</v>
      </c>
      <c r="AB171" s="18">
        <v>1.7092000000000001</v>
      </c>
      <c r="AC171" s="18">
        <v>1.6686000000000001</v>
      </c>
      <c r="AD171" s="18">
        <v>1.6067</v>
      </c>
      <c r="AE171" s="18">
        <v>1.5327999999999999</v>
      </c>
      <c r="AF171" s="18">
        <v>1.4391</v>
      </c>
      <c r="AG171" s="18">
        <v>1.3395999999999999</v>
      </c>
      <c r="AH171" s="18">
        <v>1.2198</v>
      </c>
      <c r="AI171" s="18">
        <v>1.0849</v>
      </c>
      <c r="AJ171" s="18">
        <v>0.92200000000000004</v>
      </c>
      <c r="AK171" s="18">
        <v>0.76959999999999995</v>
      </c>
      <c r="AL171" s="18">
        <v>0.61299999999999999</v>
      </c>
      <c r="AM171" s="18">
        <v>0.46150000000000002</v>
      </c>
      <c r="AN171" s="18">
        <v>0.31540000000000001</v>
      </c>
      <c r="AO171" s="18">
        <v>0.1842</v>
      </c>
      <c r="AP171" s="18">
        <v>5.3600000000000002E-2</v>
      </c>
      <c r="AQ171" s="18">
        <v>9.9000000000000008E-3</v>
      </c>
      <c r="AR171" s="18">
        <v>0</v>
      </c>
      <c r="AS171" s="18">
        <v>0</v>
      </c>
      <c r="AT171" s="18">
        <v>0</v>
      </c>
      <c r="AU171" s="18">
        <v>0</v>
      </c>
      <c r="AV171" s="18">
        <v>0</v>
      </c>
      <c r="AW171" s="18">
        <v>0</v>
      </c>
      <c r="AX171" s="18">
        <v>0</v>
      </c>
    </row>
    <row r="172" spans="1:50" x14ac:dyDescent="0.25">
      <c r="A172" s="8" t="s">
        <v>252</v>
      </c>
      <c r="B172" s="10" t="s">
        <v>57</v>
      </c>
      <c r="C172" s="16">
        <v>0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  <c r="AK172" s="16">
        <v>0</v>
      </c>
      <c r="AL172" s="16">
        <v>0</v>
      </c>
      <c r="AM172" s="16">
        <v>0</v>
      </c>
      <c r="AN172" s="16">
        <v>0</v>
      </c>
      <c r="AO172" s="16">
        <v>0</v>
      </c>
      <c r="AP172" s="16">
        <v>0</v>
      </c>
      <c r="AQ172" s="16">
        <v>0</v>
      </c>
      <c r="AR172" s="16">
        <v>0</v>
      </c>
      <c r="AS172" s="16">
        <v>0</v>
      </c>
      <c r="AT172" s="16">
        <v>0</v>
      </c>
      <c r="AU172" s="16">
        <v>0</v>
      </c>
      <c r="AV172" s="16">
        <v>0</v>
      </c>
      <c r="AW172" s="16">
        <v>0</v>
      </c>
      <c r="AX172" s="16">
        <v>0</v>
      </c>
    </row>
    <row r="173" spans="1:50" x14ac:dyDescent="0.25">
      <c r="A173" s="17" t="s">
        <v>547</v>
      </c>
      <c r="B173" s="13" t="s">
        <v>410</v>
      </c>
      <c r="C173" s="18">
        <v>0</v>
      </c>
      <c r="D173" s="18">
        <v>0</v>
      </c>
      <c r="E173" s="18">
        <v>0</v>
      </c>
      <c r="F173" s="18">
        <v>0</v>
      </c>
      <c r="G173" s="18">
        <v>0</v>
      </c>
      <c r="H173" s="18">
        <v>0</v>
      </c>
      <c r="I173" s="18">
        <v>0</v>
      </c>
      <c r="J173" s="18">
        <v>2.5999999999999999E-3</v>
      </c>
      <c r="K173" s="18">
        <v>3.73E-2</v>
      </c>
      <c r="L173" s="18">
        <v>0.1744</v>
      </c>
      <c r="M173" s="18">
        <v>0.34599999999999997</v>
      </c>
      <c r="N173" s="18">
        <v>0.55640000000000001</v>
      </c>
      <c r="O173" s="18">
        <v>0.78590000000000004</v>
      </c>
      <c r="P173" s="18">
        <v>1.0183</v>
      </c>
      <c r="Q173" s="18">
        <v>1.2495000000000001</v>
      </c>
      <c r="R173" s="18">
        <v>1.4810000000000001</v>
      </c>
      <c r="S173" s="18">
        <v>1.6981999999999999</v>
      </c>
      <c r="T173" s="18">
        <v>1.9025000000000001</v>
      </c>
      <c r="U173" s="18">
        <v>2.0764</v>
      </c>
      <c r="V173" s="18">
        <v>2.2248000000000001</v>
      </c>
      <c r="W173" s="18">
        <v>2.355</v>
      </c>
      <c r="X173" s="18">
        <v>2.4624999999999999</v>
      </c>
      <c r="Y173" s="18">
        <v>2.5387</v>
      </c>
      <c r="Z173" s="18">
        <v>2.5722</v>
      </c>
      <c r="AA173" s="18">
        <v>2.5819000000000001</v>
      </c>
      <c r="AB173" s="18">
        <v>2.5636999999999999</v>
      </c>
      <c r="AC173" s="18">
        <v>2.5028999999999999</v>
      </c>
      <c r="AD173" s="18">
        <v>2.41</v>
      </c>
      <c r="AE173" s="18">
        <v>2.2991000000000001</v>
      </c>
      <c r="AF173" s="18">
        <v>2.1585999999999999</v>
      </c>
      <c r="AG173" s="18">
        <v>2.0093000000000001</v>
      </c>
      <c r="AH173" s="18">
        <v>1.8297000000000001</v>
      </c>
      <c r="AI173" s="18">
        <v>1.6274</v>
      </c>
      <c r="AJ173" s="18">
        <v>1.3831</v>
      </c>
      <c r="AK173" s="18">
        <v>1.1544000000000001</v>
      </c>
      <c r="AL173" s="18">
        <v>0.91949999999999998</v>
      </c>
      <c r="AM173" s="18">
        <v>0.69220000000000004</v>
      </c>
      <c r="AN173" s="18">
        <v>0.47310000000000002</v>
      </c>
      <c r="AO173" s="18">
        <v>0.2762</v>
      </c>
      <c r="AP173" s="18">
        <v>8.0399999999999999E-2</v>
      </c>
      <c r="AQ173" s="18">
        <v>1.4800000000000001E-2</v>
      </c>
      <c r="AR173" s="18">
        <v>0</v>
      </c>
      <c r="AS173" s="18">
        <v>0</v>
      </c>
      <c r="AT173" s="18">
        <v>0</v>
      </c>
      <c r="AU173" s="18">
        <v>0</v>
      </c>
      <c r="AV173" s="18">
        <v>0</v>
      </c>
      <c r="AW173" s="18">
        <v>0</v>
      </c>
      <c r="AX173" s="18">
        <v>0</v>
      </c>
    </row>
    <row r="174" spans="1:50" x14ac:dyDescent="0.25">
      <c r="A174" s="17" t="s">
        <v>549</v>
      </c>
      <c r="B174" s="13" t="s">
        <v>410</v>
      </c>
      <c r="C174" s="18">
        <v>0</v>
      </c>
      <c r="D174" s="18">
        <v>0</v>
      </c>
      <c r="E174" s="18">
        <v>0</v>
      </c>
      <c r="F174" s="18">
        <v>0</v>
      </c>
      <c r="G174" s="18">
        <v>0</v>
      </c>
      <c r="H174" s="18">
        <v>0</v>
      </c>
      <c r="I174" s="18">
        <v>0</v>
      </c>
      <c r="J174" s="18">
        <v>3.3999999999999998E-3</v>
      </c>
      <c r="K174" s="18">
        <v>4.9700000000000001E-2</v>
      </c>
      <c r="L174" s="18">
        <v>0.2326</v>
      </c>
      <c r="M174" s="18">
        <v>0.46129999999999999</v>
      </c>
      <c r="N174" s="18">
        <v>0.7419</v>
      </c>
      <c r="O174" s="18">
        <v>1.0479000000000001</v>
      </c>
      <c r="P174" s="18">
        <v>1.3576999999999999</v>
      </c>
      <c r="Q174" s="18">
        <v>1.6659999999999999</v>
      </c>
      <c r="R174" s="18">
        <v>1.9745999999999999</v>
      </c>
      <c r="S174" s="18">
        <v>2.2643</v>
      </c>
      <c r="T174" s="18">
        <v>2.5367000000000002</v>
      </c>
      <c r="U174" s="18">
        <v>2.7686000000000002</v>
      </c>
      <c r="V174" s="18">
        <v>2.9664000000000001</v>
      </c>
      <c r="W174" s="18">
        <v>3.14</v>
      </c>
      <c r="X174" s="18">
        <v>3.2833000000000001</v>
      </c>
      <c r="Y174" s="18">
        <v>3.3849999999999998</v>
      </c>
      <c r="Z174" s="18">
        <v>3.4296000000000002</v>
      </c>
      <c r="AA174" s="18">
        <v>3.4424999999999999</v>
      </c>
      <c r="AB174" s="18">
        <v>3.4182999999999999</v>
      </c>
      <c r="AC174" s="18">
        <v>3.3372000000000002</v>
      </c>
      <c r="AD174" s="18">
        <v>3.2132999999999998</v>
      </c>
      <c r="AE174" s="18">
        <v>3.0655000000000001</v>
      </c>
      <c r="AF174" s="18">
        <v>2.8782000000000001</v>
      </c>
      <c r="AG174" s="18">
        <v>2.6791</v>
      </c>
      <c r="AH174" s="18">
        <v>2.4396</v>
      </c>
      <c r="AI174" s="18">
        <v>2.1698</v>
      </c>
      <c r="AJ174" s="18">
        <v>1.8441000000000001</v>
      </c>
      <c r="AK174" s="18">
        <v>1.5391999999999999</v>
      </c>
      <c r="AL174" s="18">
        <v>1.2259</v>
      </c>
      <c r="AM174" s="18">
        <v>0.92290000000000005</v>
      </c>
      <c r="AN174" s="18">
        <v>0.63080000000000003</v>
      </c>
      <c r="AO174" s="18">
        <v>0.36830000000000002</v>
      </c>
      <c r="AP174" s="18">
        <v>0.1072</v>
      </c>
      <c r="AQ174" s="18">
        <v>1.9800000000000002E-2</v>
      </c>
      <c r="AR174" s="18">
        <v>0</v>
      </c>
      <c r="AS174" s="18">
        <v>0</v>
      </c>
      <c r="AT174" s="18">
        <v>0</v>
      </c>
      <c r="AU174" s="18">
        <v>0</v>
      </c>
      <c r="AV174" s="18">
        <v>0</v>
      </c>
      <c r="AW174" s="18">
        <v>0</v>
      </c>
      <c r="AX174" s="18">
        <v>0</v>
      </c>
    </row>
    <row r="175" spans="1:50" x14ac:dyDescent="0.25">
      <c r="A175" s="8" t="s">
        <v>254</v>
      </c>
      <c r="B175" s="10" t="s">
        <v>57</v>
      </c>
      <c r="C175" s="16">
        <v>0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  <c r="AK175" s="16">
        <v>0</v>
      </c>
      <c r="AL175" s="16">
        <v>0</v>
      </c>
      <c r="AM175" s="16">
        <v>0</v>
      </c>
      <c r="AN175" s="16">
        <v>0</v>
      </c>
      <c r="AO175" s="16">
        <v>0</v>
      </c>
      <c r="AP175" s="16">
        <v>0</v>
      </c>
      <c r="AQ175" s="16">
        <v>0</v>
      </c>
      <c r="AR175" s="16">
        <v>0</v>
      </c>
      <c r="AS175" s="16">
        <v>0</v>
      </c>
      <c r="AT175" s="16">
        <v>0</v>
      </c>
      <c r="AU175" s="16">
        <v>0</v>
      </c>
      <c r="AV175" s="16">
        <v>0</v>
      </c>
      <c r="AW175" s="16">
        <v>0</v>
      </c>
      <c r="AX175" s="16">
        <v>0</v>
      </c>
    </row>
    <row r="176" spans="1:50" x14ac:dyDescent="0.25">
      <c r="A176" s="8" t="s">
        <v>256</v>
      </c>
      <c r="B176" s="10" t="s">
        <v>57</v>
      </c>
      <c r="C176" s="16">
        <v>0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  <c r="AK176" s="16">
        <v>0</v>
      </c>
      <c r="AL176" s="16">
        <v>0</v>
      </c>
      <c r="AM176" s="16">
        <v>0</v>
      </c>
      <c r="AN176" s="16">
        <v>0</v>
      </c>
      <c r="AO176" s="16">
        <v>0</v>
      </c>
      <c r="AP176" s="16">
        <v>0</v>
      </c>
      <c r="AQ176" s="16">
        <v>0</v>
      </c>
      <c r="AR176" s="16">
        <v>0</v>
      </c>
      <c r="AS176" s="16">
        <v>0</v>
      </c>
      <c r="AT176" s="16">
        <v>0</v>
      </c>
      <c r="AU176" s="16">
        <v>0</v>
      </c>
      <c r="AV176" s="16">
        <v>0</v>
      </c>
      <c r="AW176" s="16">
        <v>0</v>
      </c>
      <c r="AX176" s="16">
        <v>0</v>
      </c>
    </row>
    <row r="177" spans="1:50" x14ac:dyDescent="0.25">
      <c r="A177" s="8" t="s">
        <v>258</v>
      </c>
      <c r="B177" s="10" t="s">
        <v>57</v>
      </c>
      <c r="C177" s="16">
        <v>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  <c r="AK177" s="16">
        <v>0</v>
      </c>
      <c r="AL177" s="16">
        <v>0</v>
      </c>
      <c r="AM177" s="16">
        <v>0</v>
      </c>
      <c r="AN177" s="16">
        <v>0</v>
      </c>
      <c r="AO177" s="16">
        <v>0</v>
      </c>
      <c r="AP177" s="16">
        <v>0</v>
      </c>
      <c r="AQ177" s="16">
        <v>0</v>
      </c>
      <c r="AR177" s="16">
        <v>0</v>
      </c>
      <c r="AS177" s="16">
        <v>0</v>
      </c>
      <c r="AT177" s="16">
        <v>0</v>
      </c>
      <c r="AU177" s="16">
        <v>0</v>
      </c>
      <c r="AV177" s="16">
        <v>0</v>
      </c>
      <c r="AW177" s="16">
        <v>0</v>
      </c>
      <c r="AX177" s="16">
        <v>0</v>
      </c>
    </row>
    <row r="178" spans="1:50" x14ac:dyDescent="0.25">
      <c r="A178" s="17" t="s">
        <v>551</v>
      </c>
      <c r="B178" s="13" t="s">
        <v>410</v>
      </c>
      <c r="C178" s="18">
        <v>0</v>
      </c>
      <c r="D178" s="18">
        <v>0</v>
      </c>
      <c r="E178" s="18">
        <v>0</v>
      </c>
      <c r="F178" s="18">
        <v>0</v>
      </c>
      <c r="G178" s="18">
        <v>0</v>
      </c>
      <c r="H178" s="18">
        <v>0</v>
      </c>
      <c r="I178" s="18">
        <v>0</v>
      </c>
      <c r="J178" s="18">
        <v>2.5999999999999999E-3</v>
      </c>
      <c r="K178" s="18">
        <v>3.73E-2</v>
      </c>
      <c r="L178" s="18">
        <v>0.1744</v>
      </c>
      <c r="M178" s="18">
        <v>0.34599999999999997</v>
      </c>
      <c r="N178" s="18">
        <v>0.55640000000000001</v>
      </c>
      <c r="O178" s="18">
        <v>0.78590000000000004</v>
      </c>
      <c r="P178" s="18">
        <v>1.0183</v>
      </c>
      <c r="Q178" s="18">
        <v>1.2495000000000001</v>
      </c>
      <c r="R178" s="18">
        <v>1.4810000000000001</v>
      </c>
      <c r="S178" s="18">
        <v>1.6981999999999999</v>
      </c>
      <c r="T178" s="18">
        <v>1.9025000000000001</v>
      </c>
      <c r="U178" s="18">
        <v>2.0764</v>
      </c>
      <c r="V178" s="18">
        <v>2.2248000000000001</v>
      </c>
      <c r="W178" s="18">
        <v>2.355</v>
      </c>
      <c r="X178" s="18">
        <v>2.4624999999999999</v>
      </c>
      <c r="Y178" s="18">
        <v>2.5387</v>
      </c>
      <c r="Z178" s="18">
        <v>2.5722</v>
      </c>
      <c r="AA178" s="18">
        <v>2.5819000000000001</v>
      </c>
      <c r="AB178" s="18">
        <v>2.5636999999999999</v>
      </c>
      <c r="AC178" s="18">
        <v>2.5028999999999999</v>
      </c>
      <c r="AD178" s="18">
        <v>2.41</v>
      </c>
      <c r="AE178" s="18">
        <v>2.2991000000000001</v>
      </c>
      <c r="AF178" s="18">
        <v>2.1585999999999999</v>
      </c>
      <c r="AG178" s="18">
        <v>2.0093000000000001</v>
      </c>
      <c r="AH178" s="18">
        <v>1.8297000000000001</v>
      </c>
      <c r="AI178" s="18">
        <v>1.6274</v>
      </c>
      <c r="AJ178" s="18">
        <v>1.3831</v>
      </c>
      <c r="AK178" s="18">
        <v>1.1544000000000001</v>
      </c>
      <c r="AL178" s="18">
        <v>0.91949999999999998</v>
      </c>
      <c r="AM178" s="18">
        <v>0.69220000000000004</v>
      </c>
      <c r="AN178" s="18">
        <v>0.47310000000000002</v>
      </c>
      <c r="AO178" s="18">
        <v>0.2762</v>
      </c>
      <c r="AP178" s="18">
        <v>8.0399999999999999E-2</v>
      </c>
      <c r="AQ178" s="18">
        <v>1.4800000000000001E-2</v>
      </c>
      <c r="AR178" s="18">
        <v>0</v>
      </c>
      <c r="AS178" s="18">
        <v>0</v>
      </c>
      <c r="AT178" s="18">
        <v>0</v>
      </c>
      <c r="AU178" s="18">
        <v>0</v>
      </c>
      <c r="AV178" s="18">
        <v>0</v>
      </c>
      <c r="AW178" s="18">
        <v>0</v>
      </c>
      <c r="AX178" s="18">
        <v>0</v>
      </c>
    </row>
    <row r="179" spans="1:50" x14ac:dyDescent="0.25">
      <c r="A179" s="8" t="s">
        <v>260</v>
      </c>
      <c r="B179" s="10" t="s">
        <v>57</v>
      </c>
      <c r="C179" s="16">
        <v>0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  <c r="AK179" s="16">
        <v>0</v>
      </c>
      <c r="AL179" s="16">
        <v>0</v>
      </c>
      <c r="AM179" s="16">
        <v>0</v>
      </c>
      <c r="AN179" s="16">
        <v>0</v>
      </c>
      <c r="AO179" s="16">
        <v>0</v>
      </c>
      <c r="AP179" s="16">
        <v>0</v>
      </c>
      <c r="AQ179" s="16">
        <v>0</v>
      </c>
      <c r="AR179" s="16">
        <v>0</v>
      </c>
      <c r="AS179" s="16">
        <v>0</v>
      </c>
      <c r="AT179" s="16">
        <v>0</v>
      </c>
      <c r="AU179" s="16">
        <v>0</v>
      </c>
      <c r="AV179" s="16">
        <v>0</v>
      </c>
      <c r="AW179" s="16">
        <v>0</v>
      </c>
      <c r="AX179" s="16">
        <v>0</v>
      </c>
    </row>
    <row r="180" spans="1:50" x14ac:dyDescent="0.25">
      <c r="A180" s="8" t="s">
        <v>262</v>
      </c>
      <c r="B180" s="10" t="s">
        <v>57</v>
      </c>
      <c r="C180" s="16">
        <v>0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  <c r="AK180" s="16">
        <v>0</v>
      </c>
      <c r="AL180" s="16">
        <v>0</v>
      </c>
      <c r="AM180" s="16">
        <v>0</v>
      </c>
      <c r="AN180" s="16">
        <v>0</v>
      </c>
      <c r="AO180" s="16">
        <v>0</v>
      </c>
      <c r="AP180" s="16">
        <v>0</v>
      </c>
      <c r="AQ180" s="16">
        <v>0</v>
      </c>
      <c r="AR180" s="16">
        <v>0</v>
      </c>
      <c r="AS180" s="16">
        <v>0</v>
      </c>
      <c r="AT180" s="16">
        <v>0</v>
      </c>
      <c r="AU180" s="16">
        <v>0</v>
      </c>
      <c r="AV180" s="16">
        <v>0</v>
      </c>
      <c r="AW180" s="16">
        <v>0</v>
      </c>
      <c r="AX180" s="16">
        <v>0</v>
      </c>
    </row>
    <row r="181" spans="1:50" x14ac:dyDescent="0.25">
      <c r="A181" s="8" t="s">
        <v>264</v>
      </c>
      <c r="B181" s="10" t="s">
        <v>57</v>
      </c>
      <c r="C181" s="16">
        <v>0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  <c r="AK181" s="16">
        <v>0</v>
      </c>
      <c r="AL181" s="16">
        <v>0</v>
      </c>
      <c r="AM181" s="16">
        <v>0</v>
      </c>
      <c r="AN181" s="16">
        <v>0</v>
      </c>
      <c r="AO181" s="16">
        <v>0</v>
      </c>
      <c r="AP181" s="16">
        <v>0</v>
      </c>
      <c r="AQ181" s="16">
        <v>0</v>
      </c>
      <c r="AR181" s="16">
        <v>0</v>
      </c>
      <c r="AS181" s="16">
        <v>0</v>
      </c>
      <c r="AT181" s="16">
        <v>0</v>
      </c>
      <c r="AU181" s="16">
        <v>0</v>
      </c>
      <c r="AV181" s="16">
        <v>0</v>
      </c>
      <c r="AW181" s="16">
        <v>0</v>
      </c>
      <c r="AX181" s="16">
        <v>0</v>
      </c>
    </row>
    <row r="182" spans="1:50" x14ac:dyDescent="0.25">
      <c r="A182" s="8" t="s">
        <v>266</v>
      </c>
      <c r="B182" s="10" t="s">
        <v>57</v>
      </c>
      <c r="C182" s="16">
        <v>0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  <c r="AK182" s="16">
        <v>0</v>
      </c>
      <c r="AL182" s="16">
        <v>0</v>
      </c>
      <c r="AM182" s="16">
        <v>0</v>
      </c>
      <c r="AN182" s="16">
        <v>0</v>
      </c>
      <c r="AO182" s="16">
        <v>0</v>
      </c>
      <c r="AP182" s="16">
        <v>0</v>
      </c>
      <c r="AQ182" s="16">
        <v>0</v>
      </c>
      <c r="AR182" s="16">
        <v>0</v>
      </c>
      <c r="AS182" s="16">
        <v>0</v>
      </c>
      <c r="AT182" s="16">
        <v>0</v>
      </c>
      <c r="AU182" s="16">
        <v>0</v>
      </c>
      <c r="AV182" s="16">
        <v>0</v>
      </c>
      <c r="AW182" s="16">
        <v>0</v>
      </c>
      <c r="AX182" s="16">
        <v>0</v>
      </c>
    </row>
    <row r="183" spans="1:50" x14ac:dyDescent="0.25">
      <c r="A183" s="8" t="s">
        <v>268</v>
      </c>
      <c r="B183" s="10" t="s">
        <v>57</v>
      </c>
      <c r="C183" s="16">
        <v>0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  <c r="AK183" s="16">
        <v>0</v>
      </c>
      <c r="AL183" s="16">
        <v>0</v>
      </c>
      <c r="AM183" s="16">
        <v>0</v>
      </c>
      <c r="AN183" s="16">
        <v>0</v>
      </c>
      <c r="AO183" s="16">
        <v>0</v>
      </c>
      <c r="AP183" s="16">
        <v>0</v>
      </c>
      <c r="AQ183" s="16">
        <v>0</v>
      </c>
      <c r="AR183" s="16">
        <v>0</v>
      </c>
      <c r="AS183" s="16">
        <v>0</v>
      </c>
      <c r="AT183" s="16">
        <v>0</v>
      </c>
      <c r="AU183" s="16">
        <v>0</v>
      </c>
      <c r="AV183" s="16">
        <v>0</v>
      </c>
      <c r="AW183" s="16">
        <v>0</v>
      </c>
      <c r="AX183" s="16">
        <v>0</v>
      </c>
    </row>
    <row r="184" spans="1:50" x14ac:dyDescent="0.25">
      <c r="A184" s="17" t="s">
        <v>553</v>
      </c>
      <c r="B184" s="13" t="s">
        <v>410</v>
      </c>
      <c r="C184" s="18">
        <v>0</v>
      </c>
      <c r="D184" s="18">
        <v>0</v>
      </c>
      <c r="E184" s="18">
        <v>0</v>
      </c>
      <c r="F184" s="18">
        <v>0</v>
      </c>
      <c r="G184" s="18">
        <v>0</v>
      </c>
      <c r="H184" s="18">
        <v>0</v>
      </c>
      <c r="I184" s="18">
        <v>0</v>
      </c>
      <c r="J184" s="18">
        <v>3.3999999999999998E-3</v>
      </c>
      <c r="K184" s="18">
        <v>4.9700000000000001E-2</v>
      </c>
      <c r="L184" s="18">
        <v>0.2326</v>
      </c>
      <c r="M184" s="18">
        <v>0.46129999999999999</v>
      </c>
      <c r="N184" s="18">
        <v>0.7419</v>
      </c>
      <c r="O184" s="18">
        <v>1.0479000000000001</v>
      </c>
      <c r="P184" s="18">
        <v>1.3576999999999999</v>
      </c>
      <c r="Q184" s="18">
        <v>1.6659999999999999</v>
      </c>
      <c r="R184" s="18">
        <v>1.9745999999999999</v>
      </c>
      <c r="S184" s="18">
        <v>2.2643</v>
      </c>
      <c r="T184" s="18">
        <v>2.5367000000000002</v>
      </c>
      <c r="U184" s="18">
        <v>2.7686000000000002</v>
      </c>
      <c r="V184" s="18">
        <v>2.9664000000000001</v>
      </c>
      <c r="W184" s="18">
        <v>3.14</v>
      </c>
      <c r="X184" s="18">
        <v>3.2833000000000001</v>
      </c>
      <c r="Y184" s="18">
        <v>3.3849999999999998</v>
      </c>
      <c r="Z184" s="18">
        <v>3.4296000000000002</v>
      </c>
      <c r="AA184" s="18">
        <v>3.4424999999999999</v>
      </c>
      <c r="AB184" s="18">
        <v>3.4182999999999999</v>
      </c>
      <c r="AC184" s="18">
        <v>3.3372000000000002</v>
      </c>
      <c r="AD184" s="18">
        <v>3.2132999999999998</v>
      </c>
      <c r="AE184" s="18">
        <v>3.0655000000000001</v>
      </c>
      <c r="AF184" s="18">
        <v>2.8782000000000001</v>
      </c>
      <c r="AG184" s="18">
        <v>2.6791</v>
      </c>
      <c r="AH184" s="18">
        <v>2.4396</v>
      </c>
      <c r="AI184" s="18">
        <v>2.1698</v>
      </c>
      <c r="AJ184" s="18">
        <v>1.8441000000000001</v>
      </c>
      <c r="AK184" s="18">
        <v>1.5391999999999999</v>
      </c>
      <c r="AL184" s="18">
        <v>1.2259</v>
      </c>
      <c r="AM184" s="18">
        <v>0.92290000000000005</v>
      </c>
      <c r="AN184" s="18">
        <v>0.63080000000000003</v>
      </c>
      <c r="AO184" s="18">
        <v>0.36830000000000002</v>
      </c>
      <c r="AP184" s="18">
        <v>0.1072</v>
      </c>
      <c r="AQ184" s="18">
        <v>1.9800000000000002E-2</v>
      </c>
      <c r="AR184" s="18">
        <v>0</v>
      </c>
      <c r="AS184" s="18">
        <v>0</v>
      </c>
      <c r="AT184" s="18">
        <v>0</v>
      </c>
      <c r="AU184" s="18">
        <v>0</v>
      </c>
      <c r="AV184" s="18">
        <v>0</v>
      </c>
      <c r="AW184" s="18">
        <v>0</v>
      </c>
      <c r="AX184" s="18">
        <v>0</v>
      </c>
    </row>
    <row r="185" spans="1:50" x14ac:dyDescent="0.25">
      <c r="A185" s="8" t="s">
        <v>270</v>
      </c>
      <c r="B185" s="10" t="s">
        <v>57</v>
      </c>
      <c r="C185" s="16">
        <v>0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  <c r="AK185" s="16">
        <v>0</v>
      </c>
      <c r="AL185" s="16">
        <v>0</v>
      </c>
      <c r="AM185" s="16">
        <v>0</v>
      </c>
      <c r="AN185" s="16">
        <v>0</v>
      </c>
      <c r="AO185" s="16">
        <v>0</v>
      </c>
      <c r="AP185" s="16">
        <v>0</v>
      </c>
      <c r="AQ185" s="16">
        <v>0</v>
      </c>
      <c r="AR185" s="16">
        <v>0</v>
      </c>
      <c r="AS185" s="16">
        <v>0</v>
      </c>
      <c r="AT185" s="16">
        <v>0</v>
      </c>
      <c r="AU185" s="16">
        <v>0</v>
      </c>
      <c r="AV185" s="16">
        <v>0</v>
      </c>
      <c r="AW185" s="16">
        <v>0</v>
      </c>
      <c r="AX185" s="16">
        <v>0</v>
      </c>
    </row>
    <row r="186" spans="1:50" x14ac:dyDescent="0.25">
      <c r="A186" s="8" t="s">
        <v>272</v>
      </c>
      <c r="B186" s="10" t="s">
        <v>57</v>
      </c>
      <c r="C186" s="16">
        <v>0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  <c r="AK186" s="16">
        <v>0</v>
      </c>
      <c r="AL186" s="16">
        <v>0</v>
      </c>
      <c r="AM186" s="16">
        <v>0</v>
      </c>
      <c r="AN186" s="16">
        <v>0</v>
      </c>
      <c r="AO186" s="16">
        <v>0</v>
      </c>
      <c r="AP186" s="16">
        <v>0</v>
      </c>
      <c r="AQ186" s="16">
        <v>0</v>
      </c>
      <c r="AR186" s="16">
        <v>0</v>
      </c>
      <c r="AS186" s="16">
        <v>0</v>
      </c>
      <c r="AT186" s="16">
        <v>0</v>
      </c>
      <c r="AU186" s="16">
        <v>0</v>
      </c>
      <c r="AV186" s="16">
        <v>0</v>
      </c>
      <c r="AW186" s="16">
        <v>0</v>
      </c>
      <c r="AX186" s="16">
        <v>0</v>
      </c>
    </row>
    <row r="187" spans="1:50" x14ac:dyDescent="0.25">
      <c r="A187" s="8" t="s">
        <v>274</v>
      </c>
      <c r="B187" s="10" t="s">
        <v>57</v>
      </c>
      <c r="C187" s="16">
        <v>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  <c r="AK187" s="16">
        <v>0</v>
      </c>
      <c r="AL187" s="16">
        <v>0</v>
      </c>
      <c r="AM187" s="16">
        <v>0</v>
      </c>
      <c r="AN187" s="16">
        <v>0</v>
      </c>
      <c r="AO187" s="16">
        <v>0</v>
      </c>
      <c r="AP187" s="16">
        <v>0</v>
      </c>
      <c r="AQ187" s="16">
        <v>0</v>
      </c>
      <c r="AR187" s="16">
        <v>0</v>
      </c>
      <c r="AS187" s="16">
        <v>0</v>
      </c>
      <c r="AT187" s="16">
        <v>0</v>
      </c>
      <c r="AU187" s="16">
        <v>0</v>
      </c>
      <c r="AV187" s="16">
        <v>0</v>
      </c>
      <c r="AW187" s="16">
        <v>0</v>
      </c>
      <c r="AX187" s="16">
        <v>0</v>
      </c>
    </row>
    <row r="188" spans="1:50" x14ac:dyDescent="0.25">
      <c r="A188" s="8" t="s">
        <v>276</v>
      </c>
      <c r="B188" s="10" t="s">
        <v>57</v>
      </c>
      <c r="C188" s="16">
        <v>0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  <c r="AK188" s="16">
        <v>0</v>
      </c>
      <c r="AL188" s="16">
        <v>0</v>
      </c>
      <c r="AM188" s="16">
        <v>0</v>
      </c>
      <c r="AN188" s="16">
        <v>0</v>
      </c>
      <c r="AO188" s="16">
        <v>0</v>
      </c>
      <c r="AP188" s="16">
        <v>0</v>
      </c>
      <c r="AQ188" s="16">
        <v>0</v>
      </c>
      <c r="AR188" s="16">
        <v>0</v>
      </c>
      <c r="AS188" s="16">
        <v>0</v>
      </c>
      <c r="AT188" s="16">
        <v>0</v>
      </c>
      <c r="AU188" s="16">
        <v>0</v>
      </c>
      <c r="AV188" s="16">
        <v>0</v>
      </c>
      <c r="AW188" s="16">
        <v>0</v>
      </c>
      <c r="AX188" s="16">
        <v>0</v>
      </c>
    </row>
    <row r="189" spans="1:50" x14ac:dyDescent="0.25">
      <c r="A189" s="17" t="s">
        <v>555</v>
      </c>
      <c r="B189" s="13" t="s">
        <v>410</v>
      </c>
      <c r="C189" s="18">
        <v>0</v>
      </c>
      <c r="D189" s="18">
        <v>0</v>
      </c>
      <c r="E189" s="18">
        <v>0</v>
      </c>
      <c r="F189" s="18">
        <v>0</v>
      </c>
      <c r="G189" s="18">
        <v>0</v>
      </c>
      <c r="H189" s="18">
        <v>0</v>
      </c>
      <c r="I189" s="18">
        <v>0</v>
      </c>
      <c r="J189" s="18">
        <v>3.0000000000000001E-3</v>
      </c>
      <c r="K189" s="18">
        <v>4.3499999999999997E-2</v>
      </c>
      <c r="L189" s="18">
        <v>0.20349999999999999</v>
      </c>
      <c r="M189" s="18">
        <v>0.4037</v>
      </c>
      <c r="N189" s="18">
        <v>0.64910000000000001</v>
      </c>
      <c r="O189" s="18">
        <v>0.91690000000000005</v>
      </c>
      <c r="P189" s="18">
        <v>1.1879999999999999</v>
      </c>
      <c r="Q189" s="18">
        <v>1.4577</v>
      </c>
      <c r="R189" s="18">
        <v>1.7278</v>
      </c>
      <c r="S189" s="18">
        <v>1.9813000000000001</v>
      </c>
      <c r="T189" s="18">
        <v>2.2195999999999998</v>
      </c>
      <c r="U189" s="18">
        <v>2.4224999999999999</v>
      </c>
      <c r="V189" s="18">
        <v>2.5956000000000001</v>
      </c>
      <c r="W189" s="18">
        <v>2.7475000000000001</v>
      </c>
      <c r="X189" s="18">
        <v>2.8729</v>
      </c>
      <c r="Y189" s="18">
        <v>2.9619</v>
      </c>
      <c r="Z189" s="18">
        <v>3.0009000000000001</v>
      </c>
      <c r="AA189" s="18">
        <v>3.0122</v>
      </c>
      <c r="AB189" s="18">
        <v>2.9910000000000001</v>
      </c>
      <c r="AC189" s="18">
        <v>2.92</v>
      </c>
      <c r="AD189" s="18">
        <v>2.8117000000000001</v>
      </c>
      <c r="AE189" s="18">
        <v>2.6823000000000001</v>
      </c>
      <c r="AF189" s="18">
        <v>2.5184000000000002</v>
      </c>
      <c r="AG189" s="18">
        <v>2.3441999999999998</v>
      </c>
      <c r="AH189" s="18">
        <v>2.1345999999999998</v>
      </c>
      <c r="AI189" s="18">
        <v>1.8986000000000001</v>
      </c>
      <c r="AJ189" s="18">
        <v>1.6135999999999999</v>
      </c>
      <c r="AK189" s="18">
        <v>1.3468</v>
      </c>
      <c r="AL189" s="18">
        <v>1.0727</v>
      </c>
      <c r="AM189" s="18">
        <v>0.80759999999999998</v>
      </c>
      <c r="AN189" s="18">
        <v>0.55189999999999995</v>
      </c>
      <c r="AO189" s="18">
        <v>0.32229999999999998</v>
      </c>
      <c r="AP189" s="18">
        <v>9.3799999999999994E-2</v>
      </c>
      <c r="AQ189" s="18">
        <v>1.7299999999999999E-2</v>
      </c>
      <c r="AR189" s="18">
        <v>0</v>
      </c>
      <c r="AS189" s="18">
        <v>0</v>
      </c>
      <c r="AT189" s="18">
        <v>0</v>
      </c>
      <c r="AU189" s="18">
        <v>0</v>
      </c>
      <c r="AV189" s="18">
        <v>0</v>
      </c>
      <c r="AW189" s="18">
        <v>0</v>
      </c>
      <c r="AX189" s="18">
        <v>0</v>
      </c>
    </row>
    <row r="190" spans="1:50" x14ac:dyDescent="0.25">
      <c r="A190" s="8" t="s">
        <v>278</v>
      </c>
      <c r="B190" s="10" t="s">
        <v>57</v>
      </c>
      <c r="C190" s="16">
        <v>0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  <c r="AK190" s="16">
        <v>0</v>
      </c>
      <c r="AL190" s="16">
        <v>0</v>
      </c>
      <c r="AM190" s="16">
        <v>0</v>
      </c>
      <c r="AN190" s="16">
        <v>0</v>
      </c>
      <c r="AO190" s="16">
        <v>0</v>
      </c>
      <c r="AP190" s="16">
        <v>0</v>
      </c>
      <c r="AQ190" s="16">
        <v>0</v>
      </c>
      <c r="AR190" s="16">
        <v>0</v>
      </c>
      <c r="AS190" s="16">
        <v>0</v>
      </c>
      <c r="AT190" s="16">
        <v>0</v>
      </c>
      <c r="AU190" s="16">
        <v>0</v>
      </c>
      <c r="AV190" s="16">
        <v>0</v>
      </c>
      <c r="AW190" s="16">
        <v>0</v>
      </c>
      <c r="AX190" s="16">
        <v>0</v>
      </c>
    </row>
    <row r="191" spans="1:50" x14ac:dyDescent="0.25">
      <c r="A191" s="17" t="s">
        <v>557</v>
      </c>
      <c r="B191" s="13" t="s">
        <v>410</v>
      </c>
      <c r="C191" s="18">
        <v>0</v>
      </c>
      <c r="D191" s="18">
        <v>0</v>
      </c>
      <c r="E191" s="18">
        <v>0</v>
      </c>
      <c r="F191" s="18">
        <v>0</v>
      </c>
      <c r="G191" s="18">
        <v>0</v>
      </c>
      <c r="H191" s="18">
        <v>0</v>
      </c>
      <c r="I191" s="18">
        <v>0</v>
      </c>
      <c r="J191" s="18">
        <v>3.3999999999999998E-3</v>
      </c>
      <c r="K191" s="18">
        <v>4.9700000000000001E-2</v>
      </c>
      <c r="L191" s="18">
        <v>0.2326</v>
      </c>
      <c r="M191" s="18">
        <v>0.46129999999999999</v>
      </c>
      <c r="N191" s="18">
        <v>0.7419</v>
      </c>
      <c r="O191" s="18">
        <v>1.0479000000000001</v>
      </c>
      <c r="P191" s="18">
        <v>1.3576999999999999</v>
      </c>
      <c r="Q191" s="18">
        <v>1.6659999999999999</v>
      </c>
      <c r="R191" s="18">
        <v>1.9745999999999999</v>
      </c>
      <c r="S191" s="18">
        <v>2.2643</v>
      </c>
      <c r="T191" s="18">
        <v>2.5367000000000002</v>
      </c>
      <c r="U191" s="18">
        <v>2.7686000000000002</v>
      </c>
      <c r="V191" s="18">
        <v>2.9664000000000001</v>
      </c>
      <c r="W191" s="18">
        <v>3.14</v>
      </c>
      <c r="X191" s="18">
        <v>3.2833000000000001</v>
      </c>
      <c r="Y191" s="18">
        <v>3.3849999999999998</v>
      </c>
      <c r="Z191" s="18">
        <v>3.4296000000000002</v>
      </c>
      <c r="AA191" s="18">
        <v>3.4424999999999999</v>
      </c>
      <c r="AB191" s="18">
        <v>3.4182999999999999</v>
      </c>
      <c r="AC191" s="18">
        <v>3.3372000000000002</v>
      </c>
      <c r="AD191" s="18">
        <v>3.2132999999999998</v>
      </c>
      <c r="AE191" s="18">
        <v>3.0655000000000001</v>
      </c>
      <c r="AF191" s="18">
        <v>2.8782000000000001</v>
      </c>
      <c r="AG191" s="18">
        <v>2.6791</v>
      </c>
      <c r="AH191" s="18">
        <v>2.4396</v>
      </c>
      <c r="AI191" s="18">
        <v>2.1698</v>
      </c>
      <c r="AJ191" s="18">
        <v>1.8441000000000001</v>
      </c>
      <c r="AK191" s="18">
        <v>1.5391999999999999</v>
      </c>
      <c r="AL191" s="18">
        <v>1.2259</v>
      </c>
      <c r="AM191" s="18">
        <v>0.92290000000000005</v>
      </c>
      <c r="AN191" s="18">
        <v>0.63080000000000003</v>
      </c>
      <c r="AO191" s="18">
        <v>0.36830000000000002</v>
      </c>
      <c r="AP191" s="18">
        <v>0.1072</v>
      </c>
      <c r="AQ191" s="18">
        <v>1.9800000000000002E-2</v>
      </c>
      <c r="AR191" s="18">
        <v>0</v>
      </c>
      <c r="AS191" s="18">
        <v>0</v>
      </c>
      <c r="AT191" s="18">
        <v>0</v>
      </c>
      <c r="AU191" s="18">
        <v>0</v>
      </c>
      <c r="AV191" s="18">
        <v>0</v>
      </c>
      <c r="AW191" s="18">
        <v>0</v>
      </c>
      <c r="AX191" s="18">
        <v>0</v>
      </c>
    </row>
    <row r="192" spans="1:50" x14ac:dyDescent="0.25">
      <c r="A192" s="17" t="s">
        <v>559</v>
      </c>
      <c r="B192" s="13" t="s">
        <v>410</v>
      </c>
      <c r="C192" s="18">
        <v>0</v>
      </c>
      <c r="D192" s="18">
        <v>0</v>
      </c>
      <c r="E192" s="18">
        <v>0</v>
      </c>
      <c r="F192" s="18">
        <v>0</v>
      </c>
      <c r="G192" s="18">
        <v>0</v>
      </c>
      <c r="H192" s="18">
        <v>0</v>
      </c>
      <c r="I192" s="18">
        <v>0</v>
      </c>
      <c r="J192" s="18">
        <v>2.5999999999999999E-3</v>
      </c>
      <c r="K192" s="18">
        <v>3.73E-2</v>
      </c>
      <c r="L192" s="18">
        <v>0.1744</v>
      </c>
      <c r="M192" s="18">
        <v>0.34599999999999997</v>
      </c>
      <c r="N192" s="18">
        <v>0.55640000000000001</v>
      </c>
      <c r="O192" s="18">
        <v>0.78590000000000004</v>
      </c>
      <c r="P192" s="18">
        <v>1.0183</v>
      </c>
      <c r="Q192" s="18">
        <v>1.2495000000000001</v>
      </c>
      <c r="R192" s="18">
        <v>1.4810000000000001</v>
      </c>
      <c r="S192" s="18">
        <v>1.6981999999999999</v>
      </c>
      <c r="T192" s="18">
        <v>1.9025000000000001</v>
      </c>
      <c r="U192" s="18">
        <v>2.0764</v>
      </c>
      <c r="V192" s="18">
        <v>2.2248000000000001</v>
      </c>
      <c r="W192" s="18">
        <v>2.355</v>
      </c>
      <c r="X192" s="18">
        <v>2.4624999999999999</v>
      </c>
      <c r="Y192" s="18">
        <v>2.5387</v>
      </c>
      <c r="Z192" s="18">
        <v>2.5722</v>
      </c>
      <c r="AA192" s="18">
        <v>2.5819000000000001</v>
      </c>
      <c r="AB192" s="18">
        <v>2.5636999999999999</v>
      </c>
      <c r="AC192" s="18">
        <v>2.5028999999999999</v>
      </c>
      <c r="AD192" s="18">
        <v>2.41</v>
      </c>
      <c r="AE192" s="18">
        <v>2.2991000000000001</v>
      </c>
      <c r="AF192" s="18">
        <v>2.1585999999999999</v>
      </c>
      <c r="AG192" s="18">
        <v>2.0093000000000001</v>
      </c>
      <c r="AH192" s="18">
        <v>1.8297000000000001</v>
      </c>
      <c r="AI192" s="18">
        <v>1.6274</v>
      </c>
      <c r="AJ192" s="18">
        <v>1.3831</v>
      </c>
      <c r="AK192" s="18">
        <v>1.1544000000000001</v>
      </c>
      <c r="AL192" s="18">
        <v>0.91949999999999998</v>
      </c>
      <c r="AM192" s="18">
        <v>0.69220000000000004</v>
      </c>
      <c r="AN192" s="18">
        <v>0.47310000000000002</v>
      </c>
      <c r="AO192" s="18">
        <v>0.2762</v>
      </c>
      <c r="AP192" s="18">
        <v>8.0399999999999999E-2</v>
      </c>
      <c r="AQ192" s="18">
        <v>1.4800000000000001E-2</v>
      </c>
      <c r="AR192" s="18">
        <v>0</v>
      </c>
      <c r="AS192" s="18">
        <v>0</v>
      </c>
      <c r="AT192" s="18">
        <v>0</v>
      </c>
      <c r="AU192" s="18">
        <v>0</v>
      </c>
      <c r="AV192" s="18">
        <v>0</v>
      </c>
      <c r="AW192" s="18">
        <v>0</v>
      </c>
      <c r="AX192" s="18">
        <v>0</v>
      </c>
    </row>
    <row r="193" spans="1:50" x14ac:dyDescent="0.25">
      <c r="A193" s="8" t="s">
        <v>280</v>
      </c>
      <c r="B193" s="10" t="s">
        <v>57</v>
      </c>
      <c r="C193" s="16">
        <v>0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  <c r="AK193" s="16">
        <v>0</v>
      </c>
      <c r="AL193" s="16">
        <v>0</v>
      </c>
      <c r="AM193" s="16">
        <v>0</v>
      </c>
      <c r="AN193" s="16">
        <v>0</v>
      </c>
      <c r="AO193" s="16">
        <v>0</v>
      </c>
      <c r="AP193" s="16">
        <v>0</v>
      </c>
      <c r="AQ193" s="16">
        <v>0</v>
      </c>
      <c r="AR193" s="16">
        <v>0</v>
      </c>
      <c r="AS193" s="16">
        <v>0</v>
      </c>
      <c r="AT193" s="16">
        <v>0</v>
      </c>
      <c r="AU193" s="16">
        <v>0</v>
      </c>
      <c r="AV193" s="16">
        <v>0</v>
      </c>
      <c r="AW193" s="16">
        <v>0</v>
      </c>
      <c r="AX193" s="16">
        <v>0</v>
      </c>
    </row>
    <row r="194" spans="1:50" x14ac:dyDescent="0.25">
      <c r="A194" s="17" t="s">
        <v>561</v>
      </c>
      <c r="B194" s="13" t="s">
        <v>410</v>
      </c>
      <c r="C194" s="18">
        <v>0</v>
      </c>
      <c r="D194" s="18">
        <v>0</v>
      </c>
      <c r="E194" s="18">
        <v>0</v>
      </c>
      <c r="F194" s="18">
        <v>0</v>
      </c>
      <c r="G194" s="18">
        <v>0</v>
      </c>
      <c r="H194" s="18">
        <v>0</v>
      </c>
      <c r="I194" s="18">
        <v>0</v>
      </c>
      <c r="J194" s="18">
        <v>3.3999999999999998E-3</v>
      </c>
      <c r="K194" s="18">
        <v>4.9700000000000001E-2</v>
      </c>
      <c r="L194" s="18">
        <v>0.2326</v>
      </c>
      <c r="M194" s="18">
        <v>0.46129999999999999</v>
      </c>
      <c r="N194" s="18">
        <v>0.7419</v>
      </c>
      <c r="O194" s="18">
        <v>1.0479000000000001</v>
      </c>
      <c r="P194" s="18">
        <v>1.3576999999999999</v>
      </c>
      <c r="Q194" s="18">
        <v>1.6659999999999999</v>
      </c>
      <c r="R194" s="18">
        <v>1.9745999999999999</v>
      </c>
      <c r="S194" s="18">
        <v>2.2643</v>
      </c>
      <c r="T194" s="18">
        <v>2.5367000000000002</v>
      </c>
      <c r="U194" s="18">
        <v>2.7686000000000002</v>
      </c>
      <c r="V194" s="18">
        <v>2.9664000000000001</v>
      </c>
      <c r="W194" s="18">
        <v>3.14</v>
      </c>
      <c r="X194" s="18">
        <v>3.2833000000000001</v>
      </c>
      <c r="Y194" s="18">
        <v>3.3849999999999998</v>
      </c>
      <c r="Z194" s="18">
        <v>3.4296000000000002</v>
      </c>
      <c r="AA194" s="18">
        <v>3.4424999999999999</v>
      </c>
      <c r="AB194" s="18">
        <v>3.4182999999999999</v>
      </c>
      <c r="AC194" s="18">
        <v>3.3372000000000002</v>
      </c>
      <c r="AD194" s="18">
        <v>3.2132999999999998</v>
      </c>
      <c r="AE194" s="18">
        <v>3.0655000000000001</v>
      </c>
      <c r="AF194" s="18">
        <v>2.8782000000000001</v>
      </c>
      <c r="AG194" s="18">
        <v>2.6791</v>
      </c>
      <c r="AH194" s="18">
        <v>2.4396</v>
      </c>
      <c r="AI194" s="18">
        <v>2.1698</v>
      </c>
      <c r="AJ194" s="18">
        <v>1.8441000000000001</v>
      </c>
      <c r="AK194" s="18">
        <v>1.5391999999999999</v>
      </c>
      <c r="AL194" s="18">
        <v>1.2259</v>
      </c>
      <c r="AM194" s="18">
        <v>0.92290000000000005</v>
      </c>
      <c r="AN194" s="18">
        <v>0.63080000000000003</v>
      </c>
      <c r="AO194" s="18">
        <v>0.36830000000000002</v>
      </c>
      <c r="AP194" s="18">
        <v>0.1072</v>
      </c>
      <c r="AQ194" s="18">
        <v>1.9800000000000002E-2</v>
      </c>
      <c r="AR194" s="18">
        <v>0</v>
      </c>
      <c r="AS194" s="18">
        <v>0</v>
      </c>
      <c r="AT194" s="18">
        <v>0</v>
      </c>
      <c r="AU194" s="18">
        <v>0</v>
      </c>
      <c r="AV194" s="18">
        <v>0</v>
      </c>
      <c r="AW194" s="18">
        <v>0</v>
      </c>
      <c r="AX194" s="18">
        <v>0</v>
      </c>
    </row>
    <row r="195" spans="1:50" x14ac:dyDescent="0.25">
      <c r="A195" s="8" t="s">
        <v>282</v>
      </c>
      <c r="B195" s="10" t="s">
        <v>57</v>
      </c>
      <c r="C195" s="16">
        <v>0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  <c r="AK195" s="16">
        <v>0</v>
      </c>
      <c r="AL195" s="16">
        <v>0</v>
      </c>
      <c r="AM195" s="16">
        <v>0</v>
      </c>
      <c r="AN195" s="16">
        <v>0</v>
      </c>
      <c r="AO195" s="16">
        <v>0</v>
      </c>
      <c r="AP195" s="16">
        <v>0</v>
      </c>
      <c r="AQ195" s="16">
        <v>0</v>
      </c>
      <c r="AR195" s="16">
        <v>0</v>
      </c>
      <c r="AS195" s="16">
        <v>0</v>
      </c>
      <c r="AT195" s="16">
        <v>0</v>
      </c>
      <c r="AU195" s="16">
        <v>0</v>
      </c>
      <c r="AV195" s="16">
        <v>0</v>
      </c>
      <c r="AW195" s="16">
        <v>0</v>
      </c>
      <c r="AX195" s="16">
        <v>0</v>
      </c>
    </row>
    <row r="196" spans="1:50" x14ac:dyDescent="0.25">
      <c r="A196" s="8" t="s">
        <v>284</v>
      </c>
      <c r="B196" s="10" t="s">
        <v>57</v>
      </c>
      <c r="C196" s="16">
        <v>0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  <c r="AK196" s="16">
        <v>0</v>
      </c>
      <c r="AL196" s="16">
        <v>0</v>
      </c>
      <c r="AM196" s="16">
        <v>0</v>
      </c>
      <c r="AN196" s="16">
        <v>0</v>
      </c>
      <c r="AO196" s="16">
        <v>0</v>
      </c>
      <c r="AP196" s="16">
        <v>0</v>
      </c>
      <c r="AQ196" s="16">
        <v>0</v>
      </c>
      <c r="AR196" s="16">
        <v>0</v>
      </c>
      <c r="AS196" s="16">
        <v>0</v>
      </c>
      <c r="AT196" s="16">
        <v>0</v>
      </c>
      <c r="AU196" s="16">
        <v>0</v>
      </c>
      <c r="AV196" s="16">
        <v>0</v>
      </c>
      <c r="AW196" s="16">
        <v>0</v>
      </c>
      <c r="AX196" s="16">
        <v>0</v>
      </c>
    </row>
    <row r="197" spans="1:50" x14ac:dyDescent="0.25">
      <c r="A197" s="17" t="s">
        <v>563</v>
      </c>
      <c r="B197" s="13" t="s">
        <v>410</v>
      </c>
      <c r="C197" s="18">
        <v>0</v>
      </c>
      <c r="D197" s="18">
        <v>0</v>
      </c>
      <c r="E197" s="18">
        <v>0</v>
      </c>
      <c r="F197" s="18">
        <v>0</v>
      </c>
      <c r="G197" s="18">
        <v>0</v>
      </c>
      <c r="H197" s="18">
        <v>0</v>
      </c>
      <c r="I197" s="18">
        <v>0</v>
      </c>
      <c r="J197" s="18">
        <v>2.5999999999999999E-3</v>
      </c>
      <c r="K197" s="18">
        <v>3.73E-2</v>
      </c>
      <c r="L197" s="18">
        <v>0.1744</v>
      </c>
      <c r="M197" s="18">
        <v>0.34599999999999997</v>
      </c>
      <c r="N197" s="18">
        <v>0.55640000000000001</v>
      </c>
      <c r="O197" s="18">
        <v>0.78590000000000004</v>
      </c>
      <c r="P197" s="18">
        <v>1.0183</v>
      </c>
      <c r="Q197" s="18">
        <v>1.2495000000000001</v>
      </c>
      <c r="R197" s="18">
        <v>1.4810000000000001</v>
      </c>
      <c r="S197" s="18">
        <v>1.6981999999999999</v>
      </c>
      <c r="T197" s="18">
        <v>1.9025000000000001</v>
      </c>
      <c r="U197" s="18">
        <v>2.0764</v>
      </c>
      <c r="V197" s="18">
        <v>2.2248000000000001</v>
      </c>
      <c r="W197" s="18">
        <v>2.355</v>
      </c>
      <c r="X197" s="18">
        <v>2.4624999999999999</v>
      </c>
      <c r="Y197" s="18">
        <v>2.5387</v>
      </c>
      <c r="Z197" s="18">
        <v>2.5722</v>
      </c>
      <c r="AA197" s="18">
        <v>2.5819000000000001</v>
      </c>
      <c r="AB197" s="18">
        <v>2.5636999999999999</v>
      </c>
      <c r="AC197" s="18">
        <v>2.5028999999999999</v>
      </c>
      <c r="AD197" s="18">
        <v>2.41</v>
      </c>
      <c r="AE197" s="18">
        <v>2.2991000000000001</v>
      </c>
      <c r="AF197" s="18">
        <v>2.1585999999999999</v>
      </c>
      <c r="AG197" s="18">
        <v>2.0093000000000001</v>
      </c>
      <c r="AH197" s="18">
        <v>1.8297000000000001</v>
      </c>
      <c r="AI197" s="18">
        <v>1.6274</v>
      </c>
      <c r="AJ197" s="18">
        <v>1.3831</v>
      </c>
      <c r="AK197" s="18">
        <v>1.1544000000000001</v>
      </c>
      <c r="AL197" s="18">
        <v>0.91949999999999998</v>
      </c>
      <c r="AM197" s="18">
        <v>0.69220000000000004</v>
      </c>
      <c r="AN197" s="18">
        <v>0.47310000000000002</v>
      </c>
      <c r="AO197" s="18">
        <v>0.2762</v>
      </c>
      <c r="AP197" s="18">
        <v>8.0399999999999999E-2</v>
      </c>
      <c r="AQ197" s="18">
        <v>1.4800000000000001E-2</v>
      </c>
      <c r="AR197" s="18">
        <v>0</v>
      </c>
      <c r="AS197" s="18">
        <v>0</v>
      </c>
      <c r="AT197" s="18">
        <v>0</v>
      </c>
      <c r="AU197" s="18">
        <v>0</v>
      </c>
      <c r="AV197" s="18">
        <v>0</v>
      </c>
      <c r="AW197" s="18">
        <v>0</v>
      </c>
      <c r="AX197" s="18">
        <v>0</v>
      </c>
    </row>
    <row r="198" spans="1:50" x14ac:dyDescent="0.25">
      <c r="A198" s="8" t="s">
        <v>286</v>
      </c>
      <c r="B198" s="10" t="s">
        <v>57</v>
      </c>
      <c r="C198" s="16">
        <v>0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  <c r="AI198" s="16">
        <v>0</v>
      </c>
      <c r="AJ198" s="16">
        <v>0</v>
      </c>
      <c r="AK198" s="16">
        <v>0</v>
      </c>
      <c r="AL198" s="16">
        <v>0</v>
      </c>
      <c r="AM198" s="16">
        <v>0</v>
      </c>
      <c r="AN198" s="16">
        <v>0</v>
      </c>
      <c r="AO198" s="16">
        <v>0</v>
      </c>
      <c r="AP198" s="16">
        <v>0</v>
      </c>
      <c r="AQ198" s="16">
        <v>0</v>
      </c>
      <c r="AR198" s="16">
        <v>0</v>
      </c>
      <c r="AS198" s="16">
        <v>0</v>
      </c>
      <c r="AT198" s="16">
        <v>0</v>
      </c>
      <c r="AU198" s="16">
        <v>0</v>
      </c>
      <c r="AV198" s="16">
        <v>0</v>
      </c>
      <c r="AW198" s="16">
        <v>0</v>
      </c>
      <c r="AX198" s="16">
        <v>0</v>
      </c>
    </row>
    <row r="199" spans="1:50" x14ac:dyDescent="0.25">
      <c r="A199" s="17" t="s">
        <v>565</v>
      </c>
      <c r="B199" s="13" t="s">
        <v>410</v>
      </c>
      <c r="C199" s="18">
        <v>0</v>
      </c>
      <c r="D199" s="18">
        <v>0</v>
      </c>
      <c r="E199" s="18">
        <v>0</v>
      </c>
      <c r="F199" s="18">
        <v>0</v>
      </c>
      <c r="G199" s="18">
        <v>0</v>
      </c>
      <c r="H199" s="18">
        <v>0</v>
      </c>
      <c r="I199" s="18">
        <v>0</v>
      </c>
      <c r="J199" s="18">
        <v>3.3999999999999998E-3</v>
      </c>
      <c r="K199" s="18">
        <v>4.9700000000000001E-2</v>
      </c>
      <c r="L199" s="18">
        <v>0.2326</v>
      </c>
      <c r="M199" s="18">
        <v>0.46129999999999999</v>
      </c>
      <c r="N199" s="18">
        <v>0.7419</v>
      </c>
      <c r="O199" s="18">
        <v>1.0479000000000001</v>
      </c>
      <c r="P199" s="18">
        <v>1.3576999999999999</v>
      </c>
      <c r="Q199" s="18">
        <v>1.6659999999999999</v>
      </c>
      <c r="R199" s="18">
        <v>1.9745999999999999</v>
      </c>
      <c r="S199" s="18">
        <v>2.2643</v>
      </c>
      <c r="T199" s="18">
        <v>2.5367000000000002</v>
      </c>
      <c r="U199" s="18">
        <v>2.7686000000000002</v>
      </c>
      <c r="V199" s="18">
        <v>2.9664000000000001</v>
      </c>
      <c r="W199" s="18">
        <v>3.14</v>
      </c>
      <c r="X199" s="18">
        <v>3.2833000000000001</v>
      </c>
      <c r="Y199" s="18">
        <v>3.3849999999999998</v>
      </c>
      <c r="Z199" s="18">
        <v>3.4296000000000002</v>
      </c>
      <c r="AA199" s="18">
        <v>3.4424999999999999</v>
      </c>
      <c r="AB199" s="18">
        <v>3.4182999999999999</v>
      </c>
      <c r="AC199" s="18">
        <v>3.3372000000000002</v>
      </c>
      <c r="AD199" s="18">
        <v>3.2132999999999998</v>
      </c>
      <c r="AE199" s="18">
        <v>3.0655000000000001</v>
      </c>
      <c r="AF199" s="18">
        <v>2.8782000000000001</v>
      </c>
      <c r="AG199" s="18">
        <v>2.6791</v>
      </c>
      <c r="AH199" s="18">
        <v>2.4396</v>
      </c>
      <c r="AI199" s="18">
        <v>2.1698</v>
      </c>
      <c r="AJ199" s="18">
        <v>1.8441000000000001</v>
      </c>
      <c r="AK199" s="18">
        <v>1.5391999999999999</v>
      </c>
      <c r="AL199" s="18">
        <v>1.2259</v>
      </c>
      <c r="AM199" s="18">
        <v>0.92290000000000005</v>
      </c>
      <c r="AN199" s="18">
        <v>0.63080000000000003</v>
      </c>
      <c r="AO199" s="18">
        <v>0.36830000000000002</v>
      </c>
      <c r="AP199" s="18">
        <v>0.1072</v>
      </c>
      <c r="AQ199" s="18">
        <v>1.9800000000000002E-2</v>
      </c>
      <c r="AR199" s="18">
        <v>0</v>
      </c>
      <c r="AS199" s="18">
        <v>0</v>
      </c>
      <c r="AT199" s="18">
        <v>0</v>
      </c>
      <c r="AU199" s="18">
        <v>0</v>
      </c>
      <c r="AV199" s="18">
        <v>0</v>
      </c>
      <c r="AW199" s="18">
        <v>0</v>
      </c>
      <c r="AX199" s="18">
        <v>0</v>
      </c>
    </row>
    <row r="200" spans="1:50" x14ac:dyDescent="0.25">
      <c r="A200" s="17" t="s">
        <v>567</v>
      </c>
      <c r="B200" s="13" t="s">
        <v>410</v>
      </c>
      <c r="C200" s="18">
        <v>0</v>
      </c>
      <c r="D200" s="18">
        <v>0</v>
      </c>
      <c r="E200" s="18">
        <v>0</v>
      </c>
      <c r="F200" s="18">
        <v>0</v>
      </c>
      <c r="G200" s="18">
        <v>0</v>
      </c>
      <c r="H200" s="18">
        <v>0</v>
      </c>
      <c r="I200" s="18">
        <v>0</v>
      </c>
      <c r="J200" s="18">
        <v>2.5999999999999999E-3</v>
      </c>
      <c r="K200" s="18">
        <v>3.73E-2</v>
      </c>
      <c r="L200" s="18">
        <v>0.1744</v>
      </c>
      <c r="M200" s="18">
        <v>0.34599999999999997</v>
      </c>
      <c r="N200" s="18">
        <v>0.55640000000000001</v>
      </c>
      <c r="O200" s="18">
        <v>0.78590000000000004</v>
      </c>
      <c r="P200" s="18">
        <v>1.0183</v>
      </c>
      <c r="Q200" s="18">
        <v>1.2495000000000001</v>
      </c>
      <c r="R200" s="18">
        <v>1.4810000000000001</v>
      </c>
      <c r="S200" s="18">
        <v>1.6981999999999999</v>
      </c>
      <c r="T200" s="18">
        <v>1.9025000000000001</v>
      </c>
      <c r="U200" s="18">
        <v>2.0764</v>
      </c>
      <c r="V200" s="18">
        <v>2.2248000000000001</v>
      </c>
      <c r="W200" s="18">
        <v>2.355</v>
      </c>
      <c r="X200" s="18">
        <v>2.4624999999999999</v>
      </c>
      <c r="Y200" s="18">
        <v>2.5387</v>
      </c>
      <c r="Z200" s="18">
        <v>2.5722</v>
      </c>
      <c r="AA200" s="18">
        <v>2.5819000000000001</v>
      </c>
      <c r="AB200" s="18">
        <v>2.5636999999999999</v>
      </c>
      <c r="AC200" s="18">
        <v>2.5028999999999999</v>
      </c>
      <c r="AD200" s="18">
        <v>2.41</v>
      </c>
      <c r="AE200" s="18">
        <v>2.2991000000000001</v>
      </c>
      <c r="AF200" s="18">
        <v>2.1585999999999999</v>
      </c>
      <c r="AG200" s="18">
        <v>2.0093000000000001</v>
      </c>
      <c r="AH200" s="18">
        <v>1.8297000000000001</v>
      </c>
      <c r="AI200" s="18">
        <v>1.6274</v>
      </c>
      <c r="AJ200" s="18">
        <v>1.3831</v>
      </c>
      <c r="AK200" s="18">
        <v>1.1544000000000001</v>
      </c>
      <c r="AL200" s="18">
        <v>0.91949999999999998</v>
      </c>
      <c r="AM200" s="18">
        <v>0.69220000000000004</v>
      </c>
      <c r="AN200" s="18">
        <v>0.47310000000000002</v>
      </c>
      <c r="AO200" s="18">
        <v>0.2762</v>
      </c>
      <c r="AP200" s="18">
        <v>8.0399999999999999E-2</v>
      </c>
      <c r="AQ200" s="18">
        <v>1.4800000000000001E-2</v>
      </c>
      <c r="AR200" s="18">
        <v>0</v>
      </c>
      <c r="AS200" s="18">
        <v>0</v>
      </c>
      <c r="AT200" s="18">
        <v>0</v>
      </c>
      <c r="AU200" s="18">
        <v>0</v>
      </c>
      <c r="AV200" s="18">
        <v>0</v>
      </c>
      <c r="AW200" s="18">
        <v>0</v>
      </c>
      <c r="AX200" s="18">
        <v>0</v>
      </c>
    </row>
    <row r="201" spans="1:50" x14ac:dyDescent="0.25">
      <c r="A201" s="17" t="s">
        <v>569</v>
      </c>
      <c r="B201" s="13" t="s">
        <v>410</v>
      </c>
      <c r="C201" s="18">
        <v>0</v>
      </c>
      <c r="D201" s="18">
        <v>0</v>
      </c>
      <c r="E201" s="18">
        <v>0</v>
      </c>
      <c r="F201" s="18">
        <v>0</v>
      </c>
      <c r="G201" s="18">
        <v>0</v>
      </c>
      <c r="H201" s="18">
        <v>0</v>
      </c>
      <c r="I201" s="18">
        <v>0</v>
      </c>
      <c r="J201" s="18">
        <v>2.2000000000000001E-3</v>
      </c>
      <c r="K201" s="18">
        <v>3.1099999999999999E-2</v>
      </c>
      <c r="L201" s="18">
        <v>0.1454</v>
      </c>
      <c r="M201" s="18">
        <v>0.2883</v>
      </c>
      <c r="N201" s="18">
        <v>0.4637</v>
      </c>
      <c r="O201" s="18">
        <v>0.65490000000000004</v>
      </c>
      <c r="P201" s="18">
        <v>0.84860000000000002</v>
      </c>
      <c r="Q201" s="18">
        <v>1.0411999999999999</v>
      </c>
      <c r="R201" s="18">
        <v>1.2341</v>
      </c>
      <c r="S201" s="18">
        <v>1.4152</v>
      </c>
      <c r="T201" s="18">
        <v>1.5853999999999999</v>
      </c>
      <c r="U201" s="18">
        <v>1.7303999999999999</v>
      </c>
      <c r="V201" s="18">
        <v>1.8540000000000001</v>
      </c>
      <c r="W201" s="18">
        <v>1.9624999999999999</v>
      </c>
      <c r="X201" s="18">
        <v>2.0520999999999998</v>
      </c>
      <c r="Y201" s="18">
        <v>2.1156000000000001</v>
      </c>
      <c r="Z201" s="18">
        <v>2.1435</v>
      </c>
      <c r="AA201" s="18">
        <v>2.1516000000000002</v>
      </c>
      <c r="AB201" s="18">
        <v>2.1364999999999998</v>
      </c>
      <c r="AC201" s="18">
        <v>2.0857000000000001</v>
      </c>
      <c r="AD201" s="18">
        <v>2.0083000000000002</v>
      </c>
      <c r="AE201" s="18">
        <v>1.9158999999999999</v>
      </c>
      <c r="AF201" s="18">
        <v>1.7988999999999999</v>
      </c>
      <c r="AG201" s="18">
        <v>1.6745000000000001</v>
      </c>
      <c r="AH201" s="18">
        <v>1.5246999999999999</v>
      </c>
      <c r="AI201" s="18">
        <v>1.3561000000000001</v>
      </c>
      <c r="AJ201" s="18">
        <v>1.1525000000000001</v>
      </c>
      <c r="AK201" s="18">
        <v>0.96199999999999997</v>
      </c>
      <c r="AL201" s="18">
        <v>0.76619999999999999</v>
      </c>
      <c r="AM201" s="18">
        <v>0.57679999999999998</v>
      </c>
      <c r="AN201" s="18">
        <v>0.39419999999999999</v>
      </c>
      <c r="AO201" s="18">
        <v>0.23019999999999999</v>
      </c>
      <c r="AP201" s="18">
        <v>6.7000000000000004E-2</v>
      </c>
      <c r="AQ201" s="18">
        <v>1.24E-2</v>
      </c>
      <c r="AR201" s="18">
        <v>0</v>
      </c>
      <c r="AS201" s="18">
        <v>0</v>
      </c>
      <c r="AT201" s="18">
        <v>0</v>
      </c>
      <c r="AU201" s="18">
        <v>0</v>
      </c>
      <c r="AV201" s="18">
        <v>0</v>
      </c>
      <c r="AW201" s="18">
        <v>0</v>
      </c>
      <c r="AX201" s="18">
        <v>0</v>
      </c>
    </row>
    <row r="202" spans="1:50" x14ac:dyDescent="0.25">
      <c r="A202" s="8" t="s">
        <v>288</v>
      </c>
      <c r="B202" s="10" t="s">
        <v>57</v>
      </c>
      <c r="C202" s="16">
        <v>0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  <c r="AI202" s="16">
        <v>0</v>
      </c>
      <c r="AJ202" s="16">
        <v>0</v>
      </c>
      <c r="AK202" s="16">
        <v>0</v>
      </c>
      <c r="AL202" s="16">
        <v>0</v>
      </c>
      <c r="AM202" s="16">
        <v>0</v>
      </c>
      <c r="AN202" s="16">
        <v>0</v>
      </c>
      <c r="AO202" s="16">
        <v>0</v>
      </c>
      <c r="AP202" s="16">
        <v>0</v>
      </c>
      <c r="AQ202" s="16">
        <v>0</v>
      </c>
      <c r="AR202" s="16">
        <v>0</v>
      </c>
      <c r="AS202" s="16">
        <v>0</v>
      </c>
      <c r="AT202" s="16">
        <v>0</v>
      </c>
      <c r="AU202" s="16">
        <v>0</v>
      </c>
      <c r="AV202" s="16">
        <v>0</v>
      </c>
      <c r="AW202" s="16">
        <v>0</v>
      </c>
      <c r="AX202" s="16">
        <v>0</v>
      </c>
    </row>
    <row r="203" spans="1:50" x14ac:dyDescent="0.25">
      <c r="A203" s="8" t="s">
        <v>290</v>
      </c>
      <c r="B203" s="10" t="s">
        <v>57</v>
      </c>
      <c r="C203" s="16">
        <v>0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0</v>
      </c>
      <c r="AE203" s="16">
        <v>0</v>
      </c>
      <c r="AF203" s="16">
        <v>0</v>
      </c>
      <c r="AG203" s="16">
        <v>0</v>
      </c>
      <c r="AH203" s="16">
        <v>0</v>
      </c>
      <c r="AI203" s="16">
        <v>0</v>
      </c>
      <c r="AJ203" s="16">
        <v>0</v>
      </c>
      <c r="AK203" s="16">
        <v>0</v>
      </c>
      <c r="AL203" s="16">
        <v>0</v>
      </c>
      <c r="AM203" s="16">
        <v>0</v>
      </c>
      <c r="AN203" s="16">
        <v>0</v>
      </c>
      <c r="AO203" s="16">
        <v>0</v>
      </c>
      <c r="AP203" s="16">
        <v>0</v>
      </c>
      <c r="AQ203" s="16">
        <v>0</v>
      </c>
      <c r="AR203" s="16">
        <v>0</v>
      </c>
      <c r="AS203" s="16">
        <v>0</v>
      </c>
      <c r="AT203" s="16">
        <v>0</v>
      </c>
      <c r="AU203" s="16">
        <v>0</v>
      </c>
      <c r="AV203" s="16">
        <v>0</v>
      </c>
      <c r="AW203" s="16">
        <v>0</v>
      </c>
      <c r="AX203" s="16">
        <v>0</v>
      </c>
    </row>
    <row r="204" spans="1:50" x14ac:dyDescent="0.25">
      <c r="A204" s="17" t="s">
        <v>571</v>
      </c>
      <c r="B204" s="13" t="s">
        <v>410</v>
      </c>
      <c r="C204" s="18">
        <v>0</v>
      </c>
      <c r="D204" s="18">
        <v>0</v>
      </c>
      <c r="E204" s="18">
        <v>0</v>
      </c>
      <c r="F204" s="18">
        <v>0</v>
      </c>
      <c r="G204" s="18">
        <v>0</v>
      </c>
      <c r="H204" s="18">
        <v>0</v>
      </c>
      <c r="I204" s="18">
        <v>0</v>
      </c>
      <c r="J204" s="18">
        <v>3.3999999999999998E-3</v>
      </c>
      <c r="K204" s="18">
        <v>4.9700000000000001E-2</v>
      </c>
      <c r="L204" s="18">
        <v>0.2326</v>
      </c>
      <c r="M204" s="18">
        <v>0.46129999999999999</v>
      </c>
      <c r="N204" s="18">
        <v>0.7419</v>
      </c>
      <c r="O204" s="18">
        <v>1.0479000000000001</v>
      </c>
      <c r="P204" s="18">
        <v>1.3576999999999999</v>
      </c>
      <c r="Q204" s="18">
        <v>1.6659999999999999</v>
      </c>
      <c r="R204" s="18">
        <v>1.9745999999999999</v>
      </c>
      <c r="S204" s="18">
        <v>2.2643</v>
      </c>
      <c r="T204" s="18">
        <v>2.5367000000000002</v>
      </c>
      <c r="U204" s="18">
        <v>2.7686000000000002</v>
      </c>
      <c r="V204" s="18">
        <v>2.9664000000000001</v>
      </c>
      <c r="W204" s="18">
        <v>3.14</v>
      </c>
      <c r="X204" s="18">
        <v>3.2833000000000001</v>
      </c>
      <c r="Y204" s="18">
        <v>3.3849999999999998</v>
      </c>
      <c r="Z204" s="18">
        <v>3.4296000000000002</v>
      </c>
      <c r="AA204" s="18">
        <v>3.4424999999999999</v>
      </c>
      <c r="AB204" s="18">
        <v>3.4182999999999999</v>
      </c>
      <c r="AC204" s="18">
        <v>3.3372000000000002</v>
      </c>
      <c r="AD204" s="18">
        <v>3.2132999999999998</v>
      </c>
      <c r="AE204" s="18">
        <v>3.0655000000000001</v>
      </c>
      <c r="AF204" s="18">
        <v>2.8782000000000001</v>
      </c>
      <c r="AG204" s="18">
        <v>2.6791</v>
      </c>
      <c r="AH204" s="18">
        <v>2.4396</v>
      </c>
      <c r="AI204" s="18">
        <v>2.1698</v>
      </c>
      <c r="AJ204" s="18">
        <v>1.8441000000000001</v>
      </c>
      <c r="AK204" s="18">
        <v>1.5391999999999999</v>
      </c>
      <c r="AL204" s="18">
        <v>1.2259</v>
      </c>
      <c r="AM204" s="18">
        <v>0.92290000000000005</v>
      </c>
      <c r="AN204" s="18">
        <v>0.63080000000000003</v>
      </c>
      <c r="AO204" s="18">
        <v>0.36830000000000002</v>
      </c>
      <c r="AP204" s="18">
        <v>0.1072</v>
      </c>
      <c r="AQ204" s="18">
        <v>1.9800000000000002E-2</v>
      </c>
      <c r="AR204" s="18">
        <v>0</v>
      </c>
      <c r="AS204" s="18">
        <v>0</v>
      </c>
      <c r="AT204" s="18">
        <v>0</v>
      </c>
      <c r="AU204" s="18">
        <v>0</v>
      </c>
      <c r="AV204" s="18">
        <v>0</v>
      </c>
      <c r="AW204" s="18">
        <v>0</v>
      </c>
      <c r="AX204" s="18">
        <v>0</v>
      </c>
    </row>
    <row r="205" spans="1:50" x14ac:dyDescent="0.25">
      <c r="A205" s="17" t="s">
        <v>573</v>
      </c>
      <c r="B205" s="13" t="s">
        <v>410</v>
      </c>
      <c r="C205" s="18">
        <v>0</v>
      </c>
      <c r="D205" s="18">
        <v>0</v>
      </c>
      <c r="E205" s="18">
        <v>0</v>
      </c>
      <c r="F205" s="18">
        <v>0</v>
      </c>
      <c r="G205" s="18">
        <v>0</v>
      </c>
      <c r="H205" s="18">
        <v>0</v>
      </c>
      <c r="I205" s="18">
        <v>0</v>
      </c>
      <c r="J205" s="18">
        <v>3.3999999999999998E-3</v>
      </c>
      <c r="K205" s="18">
        <v>4.9700000000000001E-2</v>
      </c>
      <c r="L205" s="18">
        <v>0.2326</v>
      </c>
      <c r="M205" s="18">
        <v>0.46129999999999999</v>
      </c>
      <c r="N205" s="18">
        <v>0.7419</v>
      </c>
      <c r="O205" s="18">
        <v>1.0479000000000001</v>
      </c>
      <c r="P205" s="18">
        <v>1.3576999999999999</v>
      </c>
      <c r="Q205" s="18">
        <v>1.6659999999999999</v>
      </c>
      <c r="R205" s="18">
        <v>1.9745999999999999</v>
      </c>
      <c r="S205" s="18">
        <v>2.2643</v>
      </c>
      <c r="T205" s="18">
        <v>2.5367000000000002</v>
      </c>
      <c r="U205" s="18">
        <v>2.7686000000000002</v>
      </c>
      <c r="V205" s="18">
        <v>2.9664000000000001</v>
      </c>
      <c r="W205" s="18">
        <v>3.14</v>
      </c>
      <c r="X205" s="18">
        <v>3.2833000000000001</v>
      </c>
      <c r="Y205" s="18">
        <v>3.3849999999999998</v>
      </c>
      <c r="Z205" s="18">
        <v>3.4296000000000002</v>
      </c>
      <c r="AA205" s="18">
        <v>3.4424999999999999</v>
      </c>
      <c r="AB205" s="18">
        <v>3.4182999999999999</v>
      </c>
      <c r="AC205" s="18">
        <v>3.3372000000000002</v>
      </c>
      <c r="AD205" s="18">
        <v>3.2132999999999998</v>
      </c>
      <c r="AE205" s="18">
        <v>3.0655000000000001</v>
      </c>
      <c r="AF205" s="18">
        <v>2.8782000000000001</v>
      </c>
      <c r="AG205" s="18">
        <v>2.6791</v>
      </c>
      <c r="AH205" s="18">
        <v>2.4396</v>
      </c>
      <c r="AI205" s="18">
        <v>2.1698</v>
      </c>
      <c r="AJ205" s="18">
        <v>1.8441000000000001</v>
      </c>
      <c r="AK205" s="18">
        <v>1.5391999999999999</v>
      </c>
      <c r="AL205" s="18">
        <v>1.2259</v>
      </c>
      <c r="AM205" s="18">
        <v>0.92290000000000005</v>
      </c>
      <c r="AN205" s="18">
        <v>0.63080000000000003</v>
      </c>
      <c r="AO205" s="18">
        <v>0.36830000000000002</v>
      </c>
      <c r="AP205" s="18">
        <v>0.1072</v>
      </c>
      <c r="AQ205" s="18">
        <v>1.9800000000000002E-2</v>
      </c>
      <c r="AR205" s="18">
        <v>0</v>
      </c>
      <c r="AS205" s="18">
        <v>0</v>
      </c>
      <c r="AT205" s="18">
        <v>0</v>
      </c>
      <c r="AU205" s="18">
        <v>0</v>
      </c>
      <c r="AV205" s="18">
        <v>0</v>
      </c>
      <c r="AW205" s="18">
        <v>0</v>
      </c>
      <c r="AX205" s="18">
        <v>0</v>
      </c>
    </row>
    <row r="206" spans="1:50" x14ac:dyDescent="0.25">
      <c r="A206" s="8" t="s">
        <v>292</v>
      </c>
      <c r="B206" s="10" t="s">
        <v>57</v>
      </c>
      <c r="C206" s="16">
        <v>0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0</v>
      </c>
      <c r="AG206" s="16">
        <v>0</v>
      </c>
      <c r="AH206" s="16">
        <v>0</v>
      </c>
      <c r="AI206" s="16">
        <v>0</v>
      </c>
      <c r="AJ206" s="16">
        <v>0</v>
      </c>
      <c r="AK206" s="16">
        <v>0</v>
      </c>
      <c r="AL206" s="16">
        <v>0</v>
      </c>
      <c r="AM206" s="16">
        <v>0</v>
      </c>
      <c r="AN206" s="16">
        <v>0</v>
      </c>
      <c r="AO206" s="16">
        <v>0</v>
      </c>
      <c r="AP206" s="16">
        <v>0</v>
      </c>
      <c r="AQ206" s="16">
        <v>0</v>
      </c>
      <c r="AR206" s="16">
        <v>0</v>
      </c>
      <c r="AS206" s="16">
        <v>0</v>
      </c>
      <c r="AT206" s="16">
        <v>0</v>
      </c>
      <c r="AU206" s="16">
        <v>0</v>
      </c>
      <c r="AV206" s="16">
        <v>0</v>
      </c>
      <c r="AW206" s="16">
        <v>0</v>
      </c>
      <c r="AX206" s="16">
        <v>0</v>
      </c>
    </row>
    <row r="207" spans="1:50" x14ac:dyDescent="0.25">
      <c r="A207" s="8" t="s">
        <v>294</v>
      </c>
      <c r="B207" s="10" t="s">
        <v>57</v>
      </c>
      <c r="C207" s="16">
        <v>0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6">
        <v>0</v>
      </c>
      <c r="AG207" s="16">
        <v>0</v>
      </c>
      <c r="AH207" s="16">
        <v>0</v>
      </c>
      <c r="AI207" s="16">
        <v>0</v>
      </c>
      <c r="AJ207" s="16">
        <v>0</v>
      </c>
      <c r="AK207" s="16">
        <v>0</v>
      </c>
      <c r="AL207" s="16">
        <v>0</v>
      </c>
      <c r="AM207" s="16">
        <v>0</v>
      </c>
      <c r="AN207" s="16">
        <v>0</v>
      </c>
      <c r="AO207" s="16">
        <v>0</v>
      </c>
      <c r="AP207" s="16">
        <v>0</v>
      </c>
      <c r="AQ207" s="16">
        <v>0</v>
      </c>
      <c r="AR207" s="16">
        <v>0</v>
      </c>
      <c r="AS207" s="16">
        <v>0</v>
      </c>
      <c r="AT207" s="16">
        <v>0</v>
      </c>
      <c r="AU207" s="16">
        <v>0</v>
      </c>
      <c r="AV207" s="16">
        <v>0</v>
      </c>
      <c r="AW207" s="16">
        <v>0</v>
      </c>
      <c r="AX207" s="16">
        <v>0</v>
      </c>
    </row>
    <row r="208" spans="1:50" x14ac:dyDescent="0.25">
      <c r="A208" s="8" t="s">
        <v>296</v>
      </c>
      <c r="B208" s="10" t="s">
        <v>57</v>
      </c>
      <c r="C208" s="16">
        <v>0</v>
      </c>
      <c r="D208" s="16">
        <v>0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6">
        <v>0</v>
      </c>
      <c r="AF208" s="16">
        <v>0</v>
      </c>
      <c r="AG208" s="16">
        <v>0</v>
      </c>
      <c r="AH208" s="16">
        <v>0</v>
      </c>
      <c r="AI208" s="16">
        <v>0</v>
      </c>
      <c r="AJ208" s="16">
        <v>0</v>
      </c>
      <c r="AK208" s="16">
        <v>0</v>
      </c>
      <c r="AL208" s="16">
        <v>0</v>
      </c>
      <c r="AM208" s="16">
        <v>0</v>
      </c>
      <c r="AN208" s="16">
        <v>0</v>
      </c>
      <c r="AO208" s="16">
        <v>0</v>
      </c>
      <c r="AP208" s="16">
        <v>0</v>
      </c>
      <c r="AQ208" s="16">
        <v>0</v>
      </c>
      <c r="AR208" s="16">
        <v>0</v>
      </c>
      <c r="AS208" s="16">
        <v>0</v>
      </c>
      <c r="AT208" s="16">
        <v>0</v>
      </c>
      <c r="AU208" s="16">
        <v>0</v>
      </c>
      <c r="AV208" s="16">
        <v>0</v>
      </c>
      <c r="AW208" s="16">
        <v>0</v>
      </c>
      <c r="AX208" s="16">
        <v>0</v>
      </c>
    </row>
    <row r="209" spans="1:50" x14ac:dyDescent="0.25">
      <c r="A209" s="8" t="s">
        <v>298</v>
      </c>
      <c r="B209" s="10" t="s">
        <v>57</v>
      </c>
      <c r="C209" s="16">
        <v>0</v>
      </c>
      <c r="D209" s="16">
        <v>0</v>
      </c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  <c r="AG209" s="16">
        <v>0</v>
      </c>
      <c r="AH209" s="16">
        <v>0</v>
      </c>
      <c r="AI209" s="16">
        <v>0</v>
      </c>
      <c r="AJ209" s="16">
        <v>0</v>
      </c>
      <c r="AK209" s="16">
        <v>0</v>
      </c>
      <c r="AL209" s="16">
        <v>0</v>
      </c>
      <c r="AM209" s="16">
        <v>0</v>
      </c>
      <c r="AN209" s="16">
        <v>0</v>
      </c>
      <c r="AO209" s="16">
        <v>0</v>
      </c>
      <c r="AP209" s="16">
        <v>0</v>
      </c>
      <c r="AQ209" s="16">
        <v>0</v>
      </c>
      <c r="AR209" s="16">
        <v>0</v>
      </c>
      <c r="AS209" s="16">
        <v>0</v>
      </c>
      <c r="AT209" s="16">
        <v>0</v>
      </c>
      <c r="AU209" s="16">
        <v>0</v>
      </c>
      <c r="AV209" s="16">
        <v>0</v>
      </c>
      <c r="AW209" s="16">
        <v>0</v>
      </c>
      <c r="AX209" s="16">
        <v>0</v>
      </c>
    </row>
    <row r="210" spans="1:50" x14ac:dyDescent="0.25">
      <c r="A210" s="17" t="s">
        <v>575</v>
      </c>
      <c r="B210" s="13" t="s">
        <v>410</v>
      </c>
      <c r="C210" s="18">
        <v>0</v>
      </c>
      <c r="D210" s="18">
        <v>0</v>
      </c>
      <c r="E210" s="18">
        <v>0</v>
      </c>
      <c r="F210" s="18">
        <v>0</v>
      </c>
      <c r="G210" s="18">
        <v>0</v>
      </c>
      <c r="H210" s="18">
        <v>0</v>
      </c>
      <c r="I210" s="18">
        <v>0</v>
      </c>
      <c r="J210" s="18">
        <v>3.3999999999999998E-3</v>
      </c>
      <c r="K210" s="18">
        <v>4.9700000000000001E-2</v>
      </c>
      <c r="L210" s="18">
        <v>0.2326</v>
      </c>
      <c r="M210" s="18">
        <v>0.46129999999999999</v>
      </c>
      <c r="N210" s="18">
        <v>0.7419</v>
      </c>
      <c r="O210" s="18">
        <v>1.0479000000000001</v>
      </c>
      <c r="P210" s="18">
        <v>1.3576999999999999</v>
      </c>
      <c r="Q210" s="18">
        <v>1.6659999999999999</v>
      </c>
      <c r="R210" s="18">
        <v>1.9745999999999999</v>
      </c>
      <c r="S210" s="18">
        <v>2.2643</v>
      </c>
      <c r="T210" s="18">
        <v>2.5367000000000002</v>
      </c>
      <c r="U210" s="18">
        <v>2.7686000000000002</v>
      </c>
      <c r="V210" s="18">
        <v>2.9664000000000001</v>
      </c>
      <c r="W210" s="18">
        <v>3.14</v>
      </c>
      <c r="X210" s="18">
        <v>3.2833000000000001</v>
      </c>
      <c r="Y210" s="18">
        <v>3.3849999999999998</v>
      </c>
      <c r="Z210" s="18">
        <v>3.4296000000000002</v>
      </c>
      <c r="AA210" s="18">
        <v>3.4424999999999999</v>
      </c>
      <c r="AB210" s="18">
        <v>3.4182999999999999</v>
      </c>
      <c r="AC210" s="18">
        <v>3.3372000000000002</v>
      </c>
      <c r="AD210" s="18">
        <v>3.2132999999999998</v>
      </c>
      <c r="AE210" s="18">
        <v>3.0655000000000001</v>
      </c>
      <c r="AF210" s="18">
        <v>2.8782000000000001</v>
      </c>
      <c r="AG210" s="18">
        <v>2.6791</v>
      </c>
      <c r="AH210" s="18">
        <v>2.4396</v>
      </c>
      <c r="AI210" s="18">
        <v>2.1698</v>
      </c>
      <c r="AJ210" s="18">
        <v>1.8441000000000001</v>
      </c>
      <c r="AK210" s="18">
        <v>1.5391999999999999</v>
      </c>
      <c r="AL210" s="18">
        <v>1.2259</v>
      </c>
      <c r="AM210" s="18">
        <v>0.92290000000000005</v>
      </c>
      <c r="AN210" s="18">
        <v>0.63080000000000003</v>
      </c>
      <c r="AO210" s="18">
        <v>0.36830000000000002</v>
      </c>
      <c r="AP210" s="18">
        <v>0.1072</v>
      </c>
      <c r="AQ210" s="18">
        <v>1.9800000000000002E-2</v>
      </c>
      <c r="AR210" s="18">
        <v>0</v>
      </c>
      <c r="AS210" s="18">
        <v>0</v>
      </c>
      <c r="AT210" s="18">
        <v>0</v>
      </c>
      <c r="AU210" s="18">
        <v>0</v>
      </c>
      <c r="AV210" s="18">
        <v>0</v>
      </c>
      <c r="AW210" s="18">
        <v>0</v>
      </c>
      <c r="AX210" s="18">
        <v>0</v>
      </c>
    </row>
    <row r="211" spans="1:50" x14ac:dyDescent="0.25">
      <c r="A211" s="8" t="s">
        <v>300</v>
      </c>
      <c r="B211" s="10" t="s">
        <v>57</v>
      </c>
      <c r="C211" s="16">
        <v>0</v>
      </c>
      <c r="D211" s="16">
        <v>0</v>
      </c>
      <c r="E211" s="16">
        <v>0</v>
      </c>
      <c r="F211" s="16">
        <v>0</v>
      </c>
      <c r="G211" s="16">
        <v>0</v>
      </c>
      <c r="H211" s="16">
        <v>0</v>
      </c>
      <c r="I211" s="16">
        <v>0</v>
      </c>
      <c r="J211" s="16">
        <v>0</v>
      </c>
      <c r="K211" s="16">
        <v>0</v>
      </c>
      <c r="L211" s="16">
        <v>0</v>
      </c>
      <c r="M211" s="16">
        <v>0</v>
      </c>
      <c r="N211" s="16">
        <v>0</v>
      </c>
      <c r="O211" s="16">
        <v>0</v>
      </c>
      <c r="P211" s="16">
        <v>0</v>
      </c>
      <c r="Q211" s="16">
        <v>0</v>
      </c>
      <c r="R211" s="16">
        <v>0</v>
      </c>
      <c r="S211" s="16">
        <v>0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  <c r="AC211" s="16">
        <v>0</v>
      </c>
      <c r="AD211" s="16">
        <v>0</v>
      </c>
      <c r="AE211" s="16">
        <v>0</v>
      </c>
      <c r="AF211" s="16">
        <v>0</v>
      </c>
      <c r="AG211" s="16">
        <v>0</v>
      </c>
      <c r="AH211" s="16">
        <v>0</v>
      </c>
      <c r="AI211" s="16">
        <v>0</v>
      </c>
      <c r="AJ211" s="16">
        <v>0</v>
      </c>
      <c r="AK211" s="16">
        <v>0</v>
      </c>
      <c r="AL211" s="16">
        <v>0</v>
      </c>
      <c r="AM211" s="16">
        <v>0</v>
      </c>
      <c r="AN211" s="16">
        <v>0</v>
      </c>
      <c r="AO211" s="16">
        <v>0</v>
      </c>
      <c r="AP211" s="16">
        <v>0</v>
      </c>
      <c r="AQ211" s="16">
        <v>0</v>
      </c>
      <c r="AR211" s="16">
        <v>0</v>
      </c>
      <c r="AS211" s="16">
        <v>0</v>
      </c>
      <c r="AT211" s="16">
        <v>0</v>
      </c>
      <c r="AU211" s="16">
        <v>0</v>
      </c>
      <c r="AV211" s="16">
        <v>0</v>
      </c>
      <c r="AW211" s="16">
        <v>0</v>
      </c>
      <c r="AX211" s="16">
        <v>0</v>
      </c>
    </row>
    <row r="212" spans="1:50" x14ac:dyDescent="0.25">
      <c r="A212" s="17" t="s">
        <v>577</v>
      </c>
      <c r="B212" s="13" t="s">
        <v>410</v>
      </c>
      <c r="C212" s="18">
        <v>0</v>
      </c>
      <c r="D212" s="18">
        <v>0</v>
      </c>
      <c r="E212" s="18">
        <v>0</v>
      </c>
      <c r="F212" s="18">
        <v>0</v>
      </c>
      <c r="G212" s="18">
        <v>0</v>
      </c>
      <c r="H212" s="18">
        <v>0</v>
      </c>
      <c r="I212" s="18">
        <v>0</v>
      </c>
      <c r="J212" s="18">
        <v>1.2999999999999999E-3</v>
      </c>
      <c r="K212" s="18">
        <v>1.8700000000000001E-2</v>
      </c>
      <c r="L212" s="18">
        <v>8.72E-2</v>
      </c>
      <c r="M212" s="18">
        <v>0.17299999999999999</v>
      </c>
      <c r="N212" s="18">
        <v>0.2782</v>
      </c>
      <c r="O212" s="18">
        <v>0.39300000000000002</v>
      </c>
      <c r="P212" s="18">
        <v>0.50919999999999999</v>
      </c>
      <c r="Q212" s="18">
        <v>0.62470000000000003</v>
      </c>
      <c r="R212" s="18">
        <v>0.74050000000000005</v>
      </c>
      <c r="S212" s="18">
        <v>0.84909999999999997</v>
      </c>
      <c r="T212" s="18">
        <v>0.95120000000000005</v>
      </c>
      <c r="U212" s="18">
        <v>1.0382</v>
      </c>
      <c r="V212" s="18">
        <v>1.1124000000000001</v>
      </c>
      <c r="W212" s="18">
        <v>1.1775</v>
      </c>
      <c r="X212" s="18">
        <v>1.2312000000000001</v>
      </c>
      <c r="Y212" s="18">
        <v>1.2694000000000001</v>
      </c>
      <c r="Z212" s="18">
        <v>1.2861</v>
      </c>
      <c r="AA212" s="18">
        <v>1.2908999999999999</v>
      </c>
      <c r="AB212" s="18">
        <v>1.2819</v>
      </c>
      <c r="AC212" s="18">
        <v>1.2514000000000001</v>
      </c>
      <c r="AD212" s="18">
        <v>1.2050000000000001</v>
      </c>
      <c r="AE212" s="18">
        <v>1.1496</v>
      </c>
      <c r="AF212" s="18">
        <v>1.0792999999999999</v>
      </c>
      <c r="AG212" s="18">
        <v>1.0046999999999999</v>
      </c>
      <c r="AH212" s="18">
        <v>0.91479999999999995</v>
      </c>
      <c r="AI212" s="18">
        <v>0.81369999999999998</v>
      </c>
      <c r="AJ212" s="18">
        <v>0.6915</v>
      </c>
      <c r="AK212" s="18">
        <v>0.57720000000000005</v>
      </c>
      <c r="AL212" s="18">
        <v>0.4597</v>
      </c>
      <c r="AM212" s="18">
        <v>0.34610000000000002</v>
      </c>
      <c r="AN212" s="18">
        <v>0.23649999999999999</v>
      </c>
      <c r="AO212" s="18">
        <v>0.1381</v>
      </c>
      <c r="AP212" s="18">
        <v>4.02E-2</v>
      </c>
      <c r="AQ212" s="18">
        <v>7.4000000000000003E-3</v>
      </c>
      <c r="AR212" s="18">
        <v>0</v>
      </c>
      <c r="AS212" s="18">
        <v>0</v>
      </c>
      <c r="AT212" s="18">
        <v>0</v>
      </c>
      <c r="AU212" s="18">
        <v>0</v>
      </c>
      <c r="AV212" s="18">
        <v>0</v>
      </c>
      <c r="AW212" s="18">
        <v>0</v>
      </c>
      <c r="AX212" s="18">
        <v>0</v>
      </c>
    </row>
    <row r="213" spans="1:50" x14ac:dyDescent="0.25">
      <c r="A213" s="8" t="s">
        <v>302</v>
      </c>
      <c r="B213" s="10" t="s">
        <v>57</v>
      </c>
      <c r="C213" s="16">
        <v>0</v>
      </c>
      <c r="D213" s="16">
        <v>0</v>
      </c>
      <c r="E213" s="16">
        <v>0</v>
      </c>
      <c r="F213" s="16">
        <v>0</v>
      </c>
      <c r="G213" s="16">
        <v>0</v>
      </c>
      <c r="H213" s="16">
        <v>0</v>
      </c>
      <c r="I213" s="16">
        <v>0</v>
      </c>
      <c r="J213" s="16">
        <v>0</v>
      </c>
      <c r="K213" s="16">
        <v>0</v>
      </c>
      <c r="L213" s="16">
        <v>0</v>
      </c>
      <c r="M213" s="16">
        <v>0</v>
      </c>
      <c r="N213" s="16">
        <v>0</v>
      </c>
      <c r="O213" s="16">
        <v>0</v>
      </c>
      <c r="P213" s="16">
        <v>0</v>
      </c>
      <c r="Q213" s="16">
        <v>0</v>
      </c>
      <c r="R213" s="16">
        <v>0</v>
      </c>
      <c r="S213" s="16">
        <v>0</v>
      </c>
      <c r="T213" s="16">
        <v>0</v>
      </c>
      <c r="U213" s="16">
        <v>0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  <c r="AC213" s="16">
        <v>0</v>
      </c>
      <c r="AD213" s="16">
        <v>0</v>
      </c>
      <c r="AE213" s="16">
        <v>0</v>
      </c>
      <c r="AF213" s="16">
        <v>0</v>
      </c>
      <c r="AG213" s="16">
        <v>0</v>
      </c>
      <c r="AH213" s="16">
        <v>0</v>
      </c>
      <c r="AI213" s="16">
        <v>0</v>
      </c>
      <c r="AJ213" s="16">
        <v>0</v>
      </c>
      <c r="AK213" s="16">
        <v>0</v>
      </c>
      <c r="AL213" s="16">
        <v>0</v>
      </c>
      <c r="AM213" s="16">
        <v>0</v>
      </c>
      <c r="AN213" s="16">
        <v>0</v>
      </c>
      <c r="AO213" s="16">
        <v>0</v>
      </c>
      <c r="AP213" s="16">
        <v>0</v>
      </c>
      <c r="AQ213" s="16">
        <v>0</v>
      </c>
      <c r="AR213" s="16">
        <v>0</v>
      </c>
      <c r="AS213" s="16">
        <v>0</v>
      </c>
      <c r="AT213" s="16">
        <v>0</v>
      </c>
      <c r="AU213" s="16">
        <v>0</v>
      </c>
      <c r="AV213" s="16">
        <v>0</v>
      </c>
      <c r="AW213" s="16">
        <v>0</v>
      </c>
      <c r="AX213" s="16">
        <v>0</v>
      </c>
    </row>
    <row r="214" spans="1:50" x14ac:dyDescent="0.25">
      <c r="A214" s="17" t="s">
        <v>579</v>
      </c>
      <c r="B214" s="13" t="s">
        <v>410</v>
      </c>
      <c r="C214" s="18">
        <v>0</v>
      </c>
      <c r="D214" s="18">
        <v>0</v>
      </c>
      <c r="E214" s="18">
        <v>0</v>
      </c>
      <c r="F214" s="18">
        <v>0</v>
      </c>
      <c r="G214" s="18">
        <v>0</v>
      </c>
      <c r="H214" s="18">
        <v>0</v>
      </c>
      <c r="I214" s="18">
        <v>0</v>
      </c>
      <c r="J214" s="18">
        <v>3.0000000000000001E-3</v>
      </c>
      <c r="K214" s="18">
        <v>4.3499999999999997E-2</v>
      </c>
      <c r="L214" s="18">
        <v>0.20349999999999999</v>
      </c>
      <c r="M214" s="18">
        <v>0.4037</v>
      </c>
      <c r="N214" s="18">
        <v>0.64910000000000001</v>
      </c>
      <c r="O214" s="18">
        <v>0.91690000000000005</v>
      </c>
      <c r="P214" s="18">
        <v>1.1879999999999999</v>
      </c>
      <c r="Q214" s="18">
        <v>1.4577</v>
      </c>
      <c r="R214" s="18">
        <v>1.7278</v>
      </c>
      <c r="S214" s="18">
        <v>1.9813000000000001</v>
      </c>
      <c r="T214" s="18">
        <v>2.2195999999999998</v>
      </c>
      <c r="U214" s="18">
        <v>2.4224999999999999</v>
      </c>
      <c r="V214" s="18">
        <v>2.5956000000000001</v>
      </c>
      <c r="W214" s="18">
        <v>2.7475000000000001</v>
      </c>
      <c r="X214" s="18">
        <v>2.8729</v>
      </c>
      <c r="Y214" s="18">
        <v>2.9619</v>
      </c>
      <c r="Z214" s="18">
        <v>3.0009000000000001</v>
      </c>
      <c r="AA214" s="18">
        <v>3.0122</v>
      </c>
      <c r="AB214" s="18">
        <v>2.9910000000000001</v>
      </c>
      <c r="AC214" s="18">
        <v>2.92</v>
      </c>
      <c r="AD214" s="18">
        <v>2.8117000000000001</v>
      </c>
      <c r="AE214" s="18">
        <v>2.6823000000000001</v>
      </c>
      <c r="AF214" s="18">
        <v>2.5184000000000002</v>
      </c>
      <c r="AG214" s="18">
        <v>2.3441999999999998</v>
      </c>
      <c r="AH214" s="18">
        <v>2.1345999999999998</v>
      </c>
      <c r="AI214" s="18">
        <v>1.8986000000000001</v>
      </c>
      <c r="AJ214" s="18">
        <v>1.6135999999999999</v>
      </c>
      <c r="AK214" s="18">
        <v>1.3468</v>
      </c>
      <c r="AL214" s="18">
        <v>1.0727</v>
      </c>
      <c r="AM214" s="18">
        <v>0.80759999999999998</v>
      </c>
      <c r="AN214" s="18">
        <v>0.55189999999999995</v>
      </c>
      <c r="AO214" s="18">
        <v>0.32229999999999998</v>
      </c>
      <c r="AP214" s="18">
        <v>9.3799999999999994E-2</v>
      </c>
      <c r="AQ214" s="18">
        <v>1.7299999999999999E-2</v>
      </c>
      <c r="AR214" s="18">
        <v>0</v>
      </c>
      <c r="AS214" s="18">
        <v>0</v>
      </c>
      <c r="AT214" s="18">
        <v>0</v>
      </c>
      <c r="AU214" s="18">
        <v>0</v>
      </c>
      <c r="AV214" s="18">
        <v>0</v>
      </c>
      <c r="AW214" s="18">
        <v>0</v>
      </c>
      <c r="AX214" s="18">
        <v>0</v>
      </c>
    </row>
    <row r="215" spans="1:50" x14ac:dyDescent="0.25">
      <c r="A215" s="8" t="s">
        <v>304</v>
      </c>
      <c r="B215" s="10" t="s">
        <v>57</v>
      </c>
      <c r="C215" s="16">
        <v>0</v>
      </c>
      <c r="D215" s="16">
        <v>0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6">
        <v>0</v>
      </c>
      <c r="U215" s="16">
        <v>0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v>0</v>
      </c>
      <c r="AC215" s="16">
        <v>0</v>
      </c>
      <c r="AD215" s="16">
        <v>0</v>
      </c>
      <c r="AE215" s="16">
        <v>0</v>
      </c>
      <c r="AF215" s="16">
        <v>0</v>
      </c>
      <c r="AG215" s="16">
        <v>0</v>
      </c>
      <c r="AH215" s="16">
        <v>0</v>
      </c>
      <c r="AI215" s="16">
        <v>0</v>
      </c>
      <c r="AJ215" s="16">
        <v>0</v>
      </c>
      <c r="AK215" s="16">
        <v>0</v>
      </c>
      <c r="AL215" s="16">
        <v>0</v>
      </c>
      <c r="AM215" s="16">
        <v>0</v>
      </c>
      <c r="AN215" s="16">
        <v>0</v>
      </c>
      <c r="AO215" s="16">
        <v>0</v>
      </c>
      <c r="AP215" s="16">
        <v>0</v>
      </c>
      <c r="AQ215" s="16">
        <v>0</v>
      </c>
      <c r="AR215" s="16">
        <v>0</v>
      </c>
      <c r="AS215" s="16">
        <v>0</v>
      </c>
      <c r="AT215" s="16">
        <v>0</v>
      </c>
      <c r="AU215" s="16">
        <v>0</v>
      </c>
      <c r="AV215" s="16">
        <v>0</v>
      </c>
      <c r="AW215" s="16">
        <v>0</v>
      </c>
      <c r="AX215" s="16">
        <v>0</v>
      </c>
    </row>
    <row r="216" spans="1:50" x14ac:dyDescent="0.25">
      <c r="A216" s="8" t="s">
        <v>306</v>
      </c>
      <c r="B216" s="10" t="s">
        <v>57</v>
      </c>
      <c r="C216" s="16">
        <v>0</v>
      </c>
      <c r="D216" s="16">
        <v>0</v>
      </c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  <c r="AC216" s="16">
        <v>0</v>
      </c>
      <c r="AD216" s="16">
        <v>0</v>
      </c>
      <c r="AE216" s="16">
        <v>0</v>
      </c>
      <c r="AF216" s="16">
        <v>0</v>
      </c>
      <c r="AG216" s="16">
        <v>0</v>
      </c>
      <c r="AH216" s="16">
        <v>0</v>
      </c>
      <c r="AI216" s="16">
        <v>0</v>
      </c>
      <c r="AJ216" s="16">
        <v>0</v>
      </c>
      <c r="AK216" s="16">
        <v>0</v>
      </c>
      <c r="AL216" s="16">
        <v>0</v>
      </c>
      <c r="AM216" s="16">
        <v>0</v>
      </c>
      <c r="AN216" s="16">
        <v>0</v>
      </c>
      <c r="AO216" s="16">
        <v>0</v>
      </c>
      <c r="AP216" s="16">
        <v>0</v>
      </c>
      <c r="AQ216" s="16">
        <v>0</v>
      </c>
      <c r="AR216" s="16">
        <v>0</v>
      </c>
      <c r="AS216" s="16">
        <v>0</v>
      </c>
      <c r="AT216" s="16">
        <v>0</v>
      </c>
      <c r="AU216" s="16">
        <v>0</v>
      </c>
      <c r="AV216" s="16">
        <v>0</v>
      </c>
      <c r="AW216" s="16">
        <v>0</v>
      </c>
      <c r="AX216" s="16">
        <v>0</v>
      </c>
    </row>
    <row r="217" spans="1:50" x14ac:dyDescent="0.25">
      <c r="A217" s="8" t="s">
        <v>308</v>
      </c>
      <c r="B217" s="10" t="s">
        <v>57</v>
      </c>
      <c r="C217" s="16">
        <v>0</v>
      </c>
      <c r="D217" s="16">
        <v>0</v>
      </c>
      <c r="E217" s="16">
        <v>0</v>
      </c>
      <c r="F217" s="16">
        <v>0</v>
      </c>
      <c r="G217" s="16">
        <v>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0</v>
      </c>
      <c r="N217" s="16">
        <v>0</v>
      </c>
      <c r="O217" s="16">
        <v>0</v>
      </c>
      <c r="P217" s="16">
        <v>0</v>
      </c>
      <c r="Q217" s="16">
        <v>0</v>
      </c>
      <c r="R217" s="16">
        <v>0</v>
      </c>
      <c r="S217" s="16">
        <v>0</v>
      </c>
      <c r="T217" s="16">
        <v>0</v>
      </c>
      <c r="U217" s="16">
        <v>0</v>
      </c>
      <c r="V217" s="16">
        <v>0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6">
        <v>0</v>
      </c>
      <c r="AD217" s="16">
        <v>0</v>
      </c>
      <c r="AE217" s="16">
        <v>0</v>
      </c>
      <c r="AF217" s="16">
        <v>0</v>
      </c>
      <c r="AG217" s="16">
        <v>0</v>
      </c>
      <c r="AH217" s="16">
        <v>0</v>
      </c>
      <c r="AI217" s="16">
        <v>0</v>
      </c>
      <c r="AJ217" s="16">
        <v>0</v>
      </c>
      <c r="AK217" s="16">
        <v>0</v>
      </c>
      <c r="AL217" s="16">
        <v>0</v>
      </c>
      <c r="AM217" s="16">
        <v>0</v>
      </c>
      <c r="AN217" s="16">
        <v>0</v>
      </c>
      <c r="AO217" s="16">
        <v>0</v>
      </c>
      <c r="AP217" s="16">
        <v>0</v>
      </c>
      <c r="AQ217" s="16">
        <v>0</v>
      </c>
      <c r="AR217" s="16">
        <v>0</v>
      </c>
      <c r="AS217" s="16">
        <v>0</v>
      </c>
      <c r="AT217" s="16">
        <v>0</v>
      </c>
      <c r="AU217" s="16">
        <v>0</v>
      </c>
      <c r="AV217" s="16">
        <v>0</v>
      </c>
      <c r="AW217" s="16">
        <v>0</v>
      </c>
      <c r="AX217" s="16">
        <v>0</v>
      </c>
    </row>
    <row r="218" spans="1:50" x14ac:dyDescent="0.25">
      <c r="A218" s="17" t="s">
        <v>581</v>
      </c>
      <c r="B218" s="13" t="s">
        <v>410</v>
      </c>
      <c r="C218" s="18">
        <v>0</v>
      </c>
      <c r="D218" s="18">
        <v>0</v>
      </c>
      <c r="E218" s="18">
        <v>0</v>
      </c>
      <c r="F218" s="18">
        <v>0</v>
      </c>
      <c r="G218" s="18">
        <v>0</v>
      </c>
      <c r="H218" s="18">
        <v>0</v>
      </c>
      <c r="I218" s="18">
        <v>0</v>
      </c>
      <c r="J218" s="18">
        <v>2.2000000000000001E-3</v>
      </c>
      <c r="K218" s="18">
        <v>3.1099999999999999E-2</v>
      </c>
      <c r="L218" s="18">
        <v>0.1454</v>
      </c>
      <c r="M218" s="18">
        <v>0.2883</v>
      </c>
      <c r="N218" s="18">
        <v>0.4637</v>
      </c>
      <c r="O218" s="18">
        <v>0.65490000000000004</v>
      </c>
      <c r="P218" s="18">
        <v>0.84860000000000002</v>
      </c>
      <c r="Q218" s="18">
        <v>1.0411999999999999</v>
      </c>
      <c r="R218" s="18">
        <v>1.2341</v>
      </c>
      <c r="S218" s="18">
        <v>1.4152</v>
      </c>
      <c r="T218" s="18">
        <v>1.5853999999999999</v>
      </c>
      <c r="U218" s="18">
        <v>1.7303999999999999</v>
      </c>
      <c r="V218" s="18">
        <v>1.8540000000000001</v>
      </c>
      <c r="W218" s="18">
        <v>1.9624999999999999</v>
      </c>
      <c r="X218" s="18">
        <v>2.0520999999999998</v>
      </c>
      <c r="Y218" s="18">
        <v>2.1156000000000001</v>
      </c>
      <c r="Z218" s="18">
        <v>2.1435</v>
      </c>
      <c r="AA218" s="18">
        <v>2.1516000000000002</v>
      </c>
      <c r="AB218" s="18">
        <v>2.1364999999999998</v>
      </c>
      <c r="AC218" s="18">
        <v>2.0857000000000001</v>
      </c>
      <c r="AD218" s="18">
        <v>2.0083000000000002</v>
      </c>
      <c r="AE218" s="18">
        <v>1.9158999999999999</v>
      </c>
      <c r="AF218" s="18">
        <v>1.7988999999999999</v>
      </c>
      <c r="AG218" s="18">
        <v>1.6745000000000001</v>
      </c>
      <c r="AH218" s="18">
        <v>1.5246999999999999</v>
      </c>
      <c r="AI218" s="18">
        <v>1.3561000000000001</v>
      </c>
      <c r="AJ218" s="18">
        <v>1.1525000000000001</v>
      </c>
      <c r="AK218" s="18">
        <v>0.96199999999999997</v>
      </c>
      <c r="AL218" s="18">
        <v>0.76619999999999999</v>
      </c>
      <c r="AM218" s="18">
        <v>0.57679999999999998</v>
      </c>
      <c r="AN218" s="18">
        <v>0.39419999999999999</v>
      </c>
      <c r="AO218" s="18">
        <v>0.23019999999999999</v>
      </c>
      <c r="AP218" s="18">
        <v>6.7000000000000004E-2</v>
      </c>
      <c r="AQ218" s="18">
        <v>1.24E-2</v>
      </c>
      <c r="AR218" s="18">
        <v>0</v>
      </c>
      <c r="AS218" s="18">
        <v>0</v>
      </c>
      <c r="AT218" s="18">
        <v>0</v>
      </c>
      <c r="AU218" s="18">
        <v>0</v>
      </c>
      <c r="AV218" s="18">
        <v>0</v>
      </c>
      <c r="AW218" s="18">
        <v>0</v>
      </c>
      <c r="AX218" s="18">
        <v>0</v>
      </c>
    </row>
    <row r="219" spans="1:50" x14ac:dyDescent="0.25">
      <c r="A219" s="17" t="s">
        <v>583</v>
      </c>
      <c r="B219" s="13" t="s">
        <v>410</v>
      </c>
      <c r="C219" s="18">
        <v>0</v>
      </c>
      <c r="D219" s="18">
        <v>0</v>
      </c>
      <c r="E219" s="18">
        <v>0</v>
      </c>
      <c r="F219" s="18">
        <v>0</v>
      </c>
      <c r="G219" s="18">
        <v>0</v>
      </c>
      <c r="H219" s="18">
        <v>0</v>
      </c>
      <c r="I219" s="18">
        <v>0</v>
      </c>
      <c r="J219" s="18">
        <v>2.5999999999999999E-3</v>
      </c>
      <c r="K219" s="18">
        <v>3.73E-2</v>
      </c>
      <c r="L219" s="18">
        <v>0.1744</v>
      </c>
      <c r="M219" s="18">
        <v>0.34599999999999997</v>
      </c>
      <c r="N219" s="18">
        <v>0.55640000000000001</v>
      </c>
      <c r="O219" s="18">
        <v>0.78590000000000004</v>
      </c>
      <c r="P219" s="18">
        <v>1.0183</v>
      </c>
      <c r="Q219" s="18">
        <v>1.2495000000000001</v>
      </c>
      <c r="R219" s="18">
        <v>1.4810000000000001</v>
      </c>
      <c r="S219" s="18">
        <v>1.6981999999999999</v>
      </c>
      <c r="T219" s="18">
        <v>1.9025000000000001</v>
      </c>
      <c r="U219" s="18">
        <v>2.0764</v>
      </c>
      <c r="V219" s="18">
        <v>2.2248000000000001</v>
      </c>
      <c r="W219" s="18">
        <v>2.355</v>
      </c>
      <c r="X219" s="18">
        <v>2.4624999999999999</v>
      </c>
      <c r="Y219" s="18">
        <v>2.5387</v>
      </c>
      <c r="Z219" s="18">
        <v>2.5722</v>
      </c>
      <c r="AA219" s="18">
        <v>2.5819000000000001</v>
      </c>
      <c r="AB219" s="18">
        <v>2.5636999999999999</v>
      </c>
      <c r="AC219" s="18">
        <v>2.5028999999999999</v>
      </c>
      <c r="AD219" s="18">
        <v>2.41</v>
      </c>
      <c r="AE219" s="18">
        <v>2.2991000000000001</v>
      </c>
      <c r="AF219" s="18">
        <v>2.1585999999999999</v>
      </c>
      <c r="AG219" s="18">
        <v>2.0093000000000001</v>
      </c>
      <c r="AH219" s="18">
        <v>1.8297000000000001</v>
      </c>
      <c r="AI219" s="18">
        <v>1.6274</v>
      </c>
      <c r="AJ219" s="18">
        <v>1.3831</v>
      </c>
      <c r="AK219" s="18">
        <v>1.1544000000000001</v>
      </c>
      <c r="AL219" s="18">
        <v>0.91949999999999998</v>
      </c>
      <c r="AM219" s="18">
        <v>0.69220000000000004</v>
      </c>
      <c r="AN219" s="18">
        <v>0.47310000000000002</v>
      </c>
      <c r="AO219" s="18">
        <v>0.2762</v>
      </c>
      <c r="AP219" s="18">
        <v>8.0399999999999999E-2</v>
      </c>
      <c r="AQ219" s="18">
        <v>1.4800000000000001E-2</v>
      </c>
      <c r="AR219" s="18">
        <v>0</v>
      </c>
      <c r="AS219" s="18">
        <v>0</v>
      </c>
      <c r="AT219" s="18">
        <v>0</v>
      </c>
      <c r="AU219" s="18">
        <v>0</v>
      </c>
      <c r="AV219" s="18">
        <v>0</v>
      </c>
      <c r="AW219" s="18">
        <v>0</v>
      </c>
      <c r="AX219" s="18">
        <v>0</v>
      </c>
    </row>
    <row r="220" spans="1:50" x14ac:dyDescent="0.25">
      <c r="A220" s="17" t="s">
        <v>585</v>
      </c>
      <c r="B220" s="13" t="s">
        <v>410</v>
      </c>
      <c r="C220" s="18">
        <v>0</v>
      </c>
      <c r="D220" s="18">
        <v>0</v>
      </c>
      <c r="E220" s="18">
        <v>0</v>
      </c>
      <c r="F220" s="18">
        <v>0</v>
      </c>
      <c r="G220" s="18">
        <v>0</v>
      </c>
      <c r="H220" s="18">
        <v>0</v>
      </c>
      <c r="I220" s="18">
        <v>0</v>
      </c>
      <c r="J220" s="18">
        <v>2.5999999999999999E-3</v>
      </c>
      <c r="K220" s="18">
        <v>3.73E-2</v>
      </c>
      <c r="L220" s="18">
        <v>0.1744</v>
      </c>
      <c r="M220" s="18">
        <v>0.34599999999999997</v>
      </c>
      <c r="N220" s="18">
        <v>0.55640000000000001</v>
      </c>
      <c r="O220" s="18">
        <v>0.78590000000000004</v>
      </c>
      <c r="P220" s="18">
        <v>1.0183</v>
      </c>
      <c r="Q220" s="18">
        <v>1.2495000000000001</v>
      </c>
      <c r="R220" s="18">
        <v>1.4810000000000001</v>
      </c>
      <c r="S220" s="18">
        <v>1.6981999999999999</v>
      </c>
      <c r="T220" s="18">
        <v>1.9025000000000001</v>
      </c>
      <c r="U220" s="18">
        <v>2.0764</v>
      </c>
      <c r="V220" s="18">
        <v>2.2248000000000001</v>
      </c>
      <c r="W220" s="18">
        <v>2.355</v>
      </c>
      <c r="X220" s="18">
        <v>2.4624999999999999</v>
      </c>
      <c r="Y220" s="18">
        <v>2.5387</v>
      </c>
      <c r="Z220" s="18">
        <v>2.5722</v>
      </c>
      <c r="AA220" s="18">
        <v>2.5819000000000001</v>
      </c>
      <c r="AB220" s="18">
        <v>2.5636999999999999</v>
      </c>
      <c r="AC220" s="18">
        <v>2.5028999999999999</v>
      </c>
      <c r="AD220" s="18">
        <v>2.41</v>
      </c>
      <c r="AE220" s="18">
        <v>2.2991000000000001</v>
      </c>
      <c r="AF220" s="18">
        <v>2.1585999999999999</v>
      </c>
      <c r="AG220" s="18">
        <v>2.0093000000000001</v>
      </c>
      <c r="AH220" s="18">
        <v>1.8297000000000001</v>
      </c>
      <c r="AI220" s="18">
        <v>1.6274</v>
      </c>
      <c r="AJ220" s="18">
        <v>1.3831</v>
      </c>
      <c r="AK220" s="18">
        <v>1.1544000000000001</v>
      </c>
      <c r="AL220" s="18">
        <v>0.91949999999999998</v>
      </c>
      <c r="AM220" s="18">
        <v>0.69220000000000004</v>
      </c>
      <c r="AN220" s="18">
        <v>0.47310000000000002</v>
      </c>
      <c r="AO220" s="18">
        <v>0.2762</v>
      </c>
      <c r="AP220" s="18">
        <v>8.0399999999999999E-2</v>
      </c>
      <c r="AQ220" s="18">
        <v>1.4800000000000001E-2</v>
      </c>
      <c r="AR220" s="18">
        <v>0</v>
      </c>
      <c r="AS220" s="18">
        <v>0</v>
      </c>
      <c r="AT220" s="18">
        <v>0</v>
      </c>
      <c r="AU220" s="18">
        <v>0</v>
      </c>
      <c r="AV220" s="18">
        <v>0</v>
      </c>
      <c r="AW220" s="18">
        <v>0</v>
      </c>
      <c r="AX220" s="18">
        <v>0</v>
      </c>
    </row>
    <row r="221" spans="1:50" x14ac:dyDescent="0.25">
      <c r="A221" s="8" t="s">
        <v>310</v>
      </c>
      <c r="B221" s="10" t="s">
        <v>57</v>
      </c>
      <c r="C221" s="16">
        <v>0</v>
      </c>
      <c r="D221" s="16">
        <v>0</v>
      </c>
      <c r="E221" s="16">
        <v>0</v>
      </c>
      <c r="F221" s="16">
        <v>0</v>
      </c>
      <c r="G221" s="16">
        <v>0</v>
      </c>
      <c r="H221" s="16">
        <v>0</v>
      </c>
      <c r="I221" s="16">
        <v>0</v>
      </c>
      <c r="J221" s="16">
        <v>0</v>
      </c>
      <c r="K221" s="16">
        <v>0</v>
      </c>
      <c r="L221" s="16">
        <v>0</v>
      </c>
      <c r="M221" s="16">
        <v>0</v>
      </c>
      <c r="N221" s="16">
        <v>0</v>
      </c>
      <c r="O221" s="16">
        <v>0</v>
      </c>
      <c r="P221" s="16">
        <v>0</v>
      </c>
      <c r="Q221" s="16">
        <v>0</v>
      </c>
      <c r="R221" s="16">
        <v>0</v>
      </c>
      <c r="S221" s="16">
        <v>0</v>
      </c>
      <c r="T221" s="16">
        <v>0</v>
      </c>
      <c r="U221" s="16">
        <v>0</v>
      </c>
      <c r="V221" s="16">
        <v>0</v>
      </c>
      <c r="W221" s="16">
        <v>0</v>
      </c>
      <c r="X221" s="16">
        <v>0</v>
      </c>
      <c r="Y221" s="16">
        <v>0</v>
      </c>
      <c r="Z221" s="16">
        <v>0</v>
      </c>
      <c r="AA221" s="16">
        <v>0</v>
      </c>
      <c r="AB221" s="16">
        <v>0</v>
      </c>
      <c r="AC221" s="16">
        <v>0</v>
      </c>
      <c r="AD221" s="16">
        <v>0</v>
      </c>
      <c r="AE221" s="16">
        <v>0</v>
      </c>
      <c r="AF221" s="16">
        <v>0</v>
      </c>
      <c r="AG221" s="16">
        <v>0</v>
      </c>
      <c r="AH221" s="16">
        <v>0</v>
      </c>
      <c r="AI221" s="16">
        <v>0</v>
      </c>
      <c r="AJ221" s="16">
        <v>0</v>
      </c>
      <c r="AK221" s="16">
        <v>0</v>
      </c>
      <c r="AL221" s="16">
        <v>0</v>
      </c>
      <c r="AM221" s="16">
        <v>0</v>
      </c>
      <c r="AN221" s="16">
        <v>0</v>
      </c>
      <c r="AO221" s="16">
        <v>0</v>
      </c>
      <c r="AP221" s="16">
        <v>0</v>
      </c>
      <c r="AQ221" s="16">
        <v>0</v>
      </c>
      <c r="AR221" s="16">
        <v>0</v>
      </c>
      <c r="AS221" s="16">
        <v>0</v>
      </c>
      <c r="AT221" s="16">
        <v>0</v>
      </c>
      <c r="AU221" s="16">
        <v>0</v>
      </c>
      <c r="AV221" s="16">
        <v>0</v>
      </c>
      <c r="AW221" s="16">
        <v>0</v>
      </c>
      <c r="AX221" s="16">
        <v>0</v>
      </c>
    </row>
    <row r="222" spans="1:50" x14ac:dyDescent="0.25">
      <c r="A222" s="17" t="s">
        <v>587</v>
      </c>
      <c r="B222" s="13" t="s">
        <v>410</v>
      </c>
      <c r="C222" s="18">
        <v>0</v>
      </c>
      <c r="D222" s="18">
        <v>0</v>
      </c>
      <c r="E222" s="18">
        <v>0</v>
      </c>
      <c r="F222" s="18">
        <v>0</v>
      </c>
      <c r="G222" s="18">
        <v>0</v>
      </c>
      <c r="H222" s="18">
        <v>0</v>
      </c>
      <c r="I222" s="18">
        <v>0</v>
      </c>
      <c r="J222" s="18">
        <v>1.6999999999999999E-3</v>
      </c>
      <c r="K222" s="18">
        <v>2.4899999999999999E-2</v>
      </c>
      <c r="L222" s="18">
        <v>0.1163</v>
      </c>
      <c r="M222" s="18">
        <v>0.23069999999999999</v>
      </c>
      <c r="N222" s="18">
        <v>0.37090000000000001</v>
      </c>
      <c r="O222" s="18">
        <v>0.52400000000000002</v>
      </c>
      <c r="P222" s="18">
        <v>0.67889999999999995</v>
      </c>
      <c r="Q222" s="18">
        <v>0.83299999999999996</v>
      </c>
      <c r="R222" s="18">
        <v>0.98729999999999996</v>
      </c>
      <c r="S222" s="18">
        <v>1.1322000000000001</v>
      </c>
      <c r="T222" s="18">
        <v>1.2683</v>
      </c>
      <c r="U222" s="18">
        <v>1.3843000000000001</v>
      </c>
      <c r="V222" s="18">
        <v>1.4832000000000001</v>
      </c>
      <c r="W222" s="18">
        <v>1.57</v>
      </c>
      <c r="X222" s="18">
        <v>1.6416999999999999</v>
      </c>
      <c r="Y222" s="18">
        <v>1.6924999999999999</v>
      </c>
      <c r="Z222" s="18">
        <v>1.7148000000000001</v>
      </c>
      <c r="AA222" s="18">
        <v>1.7212000000000001</v>
      </c>
      <c r="AB222" s="18">
        <v>1.7092000000000001</v>
      </c>
      <c r="AC222" s="18">
        <v>1.6686000000000001</v>
      </c>
      <c r="AD222" s="18">
        <v>1.6067</v>
      </c>
      <c r="AE222" s="18">
        <v>1.5327999999999999</v>
      </c>
      <c r="AF222" s="18">
        <v>1.4391</v>
      </c>
      <c r="AG222" s="18">
        <v>1.3395999999999999</v>
      </c>
      <c r="AH222" s="18">
        <v>1.2198</v>
      </c>
      <c r="AI222" s="18">
        <v>1.0849</v>
      </c>
      <c r="AJ222" s="18">
        <v>0.92200000000000004</v>
      </c>
      <c r="AK222" s="18">
        <v>0.76959999999999995</v>
      </c>
      <c r="AL222" s="18">
        <v>0.61299999999999999</v>
      </c>
      <c r="AM222" s="18">
        <v>0.46150000000000002</v>
      </c>
      <c r="AN222" s="18">
        <v>0.31540000000000001</v>
      </c>
      <c r="AO222" s="18">
        <v>0.1842</v>
      </c>
      <c r="AP222" s="18">
        <v>5.3600000000000002E-2</v>
      </c>
      <c r="AQ222" s="18">
        <v>9.9000000000000008E-3</v>
      </c>
      <c r="AR222" s="18">
        <v>0</v>
      </c>
      <c r="AS222" s="18">
        <v>0</v>
      </c>
      <c r="AT222" s="18">
        <v>0</v>
      </c>
      <c r="AU222" s="18">
        <v>0</v>
      </c>
      <c r="AV222" s="18">
        <v>0</v>
      </c>
      <c r="AW222" s="18">
        <v>0</v>
      </c>
      <c r="AX222" s="18">
        <v>0</v>
      </c>
    </row>
    <row r="223" spans="1:50" x14ac:dyDescent="0.25">
      <c r="A223" s="17" t="s">
        <v>589</v>
      </c>
      <c r="B223" s="13" t="s">
        <v>410</v>
      </c>
      <c r="C223" s="18">
        <v>0</v>
      </c>
      <c r="D223" s="18">
        <v>0</v>
      </c>
      <c r="E223" s="18">
        <v>0</v>
      </c>
      <c r="F223" s="18">
        <v>0</v>
      </c>
      <c r="G223" s="18">
        <v>0</v>
      </c>
      <c r="H223" s="18">
        <v>0</v>
      </c>
      <c r="I223" s="18">
        <v>0</v>
      </c>
      <c r="J223" s="18">
        <v>2.5999999999999999E-3</v>
      </c>
      <c r="K223" s="18">
        <v>3.73E-2</v>
      </c>
      <c r="L223" s="18">
        <v>0.1744</v>
      </c>
      <c r="M223" s="18">
        <v>0.34599999999999997</v>
      </c>
      <c r="N223" s="18">
        <v>0.55640000000000001</v>
      </c>
      <c r="O223" s="18">
        <v>0.78590000000000004</v>
      </c>
      <c r="P223" s="18">
        <v>1.0183</v>
      </c>
      <c r="Q223" s="18">
        <v>1.2495000000000001</v>
      </c>
      <c r="R223" s="18">
        <v>1.4810000000000001</v>
      </c>
      <c r="S223" s="18">
        <v>1.6981999999999999</v>
      </c>
      <c r="T223" s="18">
        <v>1.9025000000000001</v>
      </c>
      <c r="U223" s="18">
        <v>2.0764</v>
      </c>
      <c r="V223" s="18">
        <v>2.2248000000000001</v>
      </c>
      <c r="W223" s="18">
        <v>2.355</v>
      </c>
      <c r="X223" s="18">
        <v>2.4624999999999999</v>
      </c>
      <c r="Y223" s="18">
        <v>2.5387</v>
      </c>
      <c r="Z223" s="18">
        <v>2.5722</v>
      </c>
      <c r="AA223" s="18">
        <v>2.5819000000000001</v>
      </c>
      <c r="AB223" s="18">
        <v>2.5636999999999999</v>
      </c>
      <c r="AC223" s="18">
        <v>2.5028999999999999</v>
      </c>
      <c r="AD223" s="18">
        <v>2.41</v>
      </c>
      <c r="AE223" s="18">
        <v>2.2991000000000001</v>
      </c>
      <c r="AF223" s="18">
        <v>2.1585999999999999</v>
      </c>
      <c r="AG223" s="18">
        <v>2.0093000000000001</v>
      </c>
      <c r="AH223" s="18">
        <v>1.8297000000000001</v>
      </c>
      <c r="AI223" s="18">
        <v>1.6274</v>
      </c>
      <c r="AJ223" s="18">
        <v>1.3831</v>
      </c>
      <c r="AK223" s="18">
        <v>1.1544000000000001</v>
      </c>
      <c r="AL223" s="18">
        <v>0.91949999999999998</v>
      </c>
      <c r="AM223" s="18">
        <v>0.69220000000000004</v>
      </c>
      <c r="AN223" s="18">
        <v>0.47310000000000002</v>
      </c>
      <c r="AO223" s="18">
        <v>0.2762</v>
      </c>
      <c r="AP223" s="18">
        <v>8.0399999999999999E-2</v>
      </c>
      <c r="AQ223" s="18">
        <v>1.4800000000000001E-2</v>
      </c>
      <c r="AR223" s="18">
        <v>0</v>
      </c>
      <c r="AS223" s="18">
        <v>0</v>
      </c>
      <c r="AT223" s="18">
        <v>0</v>
      </c>
      <c r="AU223" s="18">
        <v>0</v>
      </c>
      <c r="AV223" s="18">
        <v>0</v>
      </c>
      <c r="AW223" s="18">
        <v>0</v>
      </c>
      <c r="AX223" s="18">
        <v>0</v>
      </c>
    </row>
    <row r="224" spans="1:50" x14ac:dyDescent="0.25">
      <c r="A224" s="17" t="s">
        <v>591</v>
      </c>
      <c r="B224" s="13" t="s">
        <v>410</v>
      </c>
      <c r="C224" s="18">
        <v>0</v>
      </c>
      <c r="D224" s="18">
        <v>0</v>
      </c>
      <c r="E224" s="18">
        <v>0</v>
      </c>
      <c r="F224" s="18">
        <v>0</v>
      </c>
      <c r="G224" s="18">
        <v>0</v>
      </c>
      <c r="H224" s="18">
        <v>0</v>
      </c>
      <c r="I224" s="18">
        <v>0</v>
      </c>
      <c r="J224" s="18">
        <v>3.3999999999999998E-3</v>
      </c>
      <c r="K224" s="18">
        <v>4.9700000000000001E-2</v>
      </c>
      <c r="L224" s="18">
        <v>0.2326</v>
      </c>
      <c r="M224" s="18">
        <v>0.46129999999999999</v>
      </c>
      <c r="N224" s="18">
        <v>0.7419</v>
      </c>
      <c r="O224" s="18">
        <v>1.0479000000000001</v>
      </c>
      <c r="P224" s="18">
        <v>1.3576999999999999</v>
      </c>
      <c r="Q224" s="18">
        <v>1.6659999999999999</v>
      </c>
      <c r="R224" s="18">
        <v>1.9745999999999999</v>
      </c>
      <c r="S224" s="18">
        <v>2.2643</v>
      </c>
      <c r="T224" s="18">
        <v>2.5367000000000002</v>
      </c>
      <c r="U224" s="18">
        <v>2.7686000000000002</v>
      </c>
      <c r="V224" s="18">
        <v>2.9664000000000001</v>
      </c>
      <c r="W224" s="18">
        <v>3.14</v>
      </c>
      <c r="X224" s="18">
        <v>3.2833000000000001</v>
      </c>
      <c r="Y224" s="18">
        <v>3.3849999999999998</v>
      </c>
      <c r="Z224" s="18">
        <v>3.4296000000000002</v>
      </c>
      <c r="AA224" s="18">
        <v>3.4424999999999999</v>
      </c>
      <c r="AB224" s="18">
        <v>3.4182999999999999</v>
      </c>
      <c r="AC224" s="18">
        <v>3.3372000000000002</v>
      </c>
      <c r="AD224" s="18">
        <v>3.2132999999999998</v>
      </c>
      <c r="AE224" s="18">
        <v>3.0655000000000001</v>
      </c>
      <c r="AF224" s="18">
        <v>2.8782000000000001</v>
      </c>
      <c r="AG224" s="18">
        <v>2.6791</v>
      </c>
      <c r="AH224" s="18">
        <v>2.4396</v>
      </c>
      <c r="AI224" s="18">
        <v>2.1698</v>
      </c>
      <c r="AJ224" s="18">
        <v>1.8441000000000001</v>
      </c>
      <c r="AK224" s="18">
        <v>1.5391999999999999</v>
      </c>
      <c r="AL224" s="18">
        <v>1.2259</v>
      </c>
      <c r="AM224" s="18">
        <v>0.92290000000000005</v>
      </c>
      <c r="AN224" s="18">
        <v>0.63080000000000003</v>
      </c>
      <c r="AO224" s="18">
        <v>0.36830000000000002</v>
      </c>
      <c r="AP224" s="18">
        <v>0.1072</v>
      </c>
      <c r="AQ224" s="18">
        <v>1.9800000000000002E-2</v>
      </c>
      <c r="AR224" s="18">
        <v>0</v>
      </c>
      <c r="AS224" s="18">
        <v>0</v>
      </c>
      <c r="AT224" s="18">
        <v>0</v>
      </c>
      <c r="AU224" s="18">
        <v>0</v>
      </c>
      <c r="AV224" s="18">
        <v>0</v>
      </c>
      <c r="AW224" s="18">
        <v>0</v>
      </c>
      <c r="AX224" s="18">
        <v>0</v>
      </c>
    </row>
    <row r="225" spans="1:50" x14ac:dyDescent="0.25">
      <c r="A225" s="8" t="s">
        <v>312</v>
      </c>
      <c r="B225" s="10" t="s">
        <v>57</v>
      </c>
      <c r="C225" s="16">
        <v>0</v>
      </c>
      <c r="D225" s="16">
        <v>0</v>
      </c>
      <c r="E225" s="16">
        <v>0</v>
      </c>
      <c r="F225" s="16">
        <v>0</v>
      </c>
      <c r="G225" s="16">
        <v>0</v>
      </c>
      <c r="H225" s="16">
        <v>0</v>
      </c>
      <c r="I225" s="16">
        <v>0</v>
      </c>
      <c r="J225" s="16">
        <v>0</v>
      </c>
      <c r="K225" s="16">
        <v>0</v>
      </c>
      <c r="L225" s="16">
        <v>0</v>
      </c>
      <c r="M225" s="16">
        <v>0</v>
      </c>
      <c r="N225" s="16">
        <v>0</v>
      </c>
      <c r="O225" s="16">
        <v>0</v>
      </c>
      <c r="P225" s="16">
        <v>0</v>
      </c>
      <c r="Q225" s="16">
        <v>0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  <c r="AC225" s="16">
        <v>0</v>
      </c>
      <c r="AD225" s="16">
        <v>0</v>
      </c>
      <c r="AE225" s="16">
        <v>0</v>
      </c>
      <c r="AF225" s="16">
        <v>0</v>
      </c>
      <c r="AG225" s="16">
        <v>0</v>
      </c>
      <c r="AH225" s="16">
        <v>0</v>
      </c>
      <c r="AI225" s="16">
        <v>0</v>
      </c>
      <c r="AJ225" s="16">
        <v>0</v>
      </c>
      <c r="AK225" s="16">
        <v>0</v>
      </c>
      <c r="AL225" s="16">
        <v>0</v>
      </c>
      <c r="AM225" s="16">
        <v>0</v>
      </c>
      <c r="AN225" s="16">
        <v>0</v>
      </c>
      <c r="AO225" s="16">
        <v>0</v>
      </c>
      <c r="AP225" s="16">
        <v>0</v>
      </c>
      <c r="AQ225" s="16">
        <v>0</v>
      </c>
      <c r="AR225" s="16">
        <v>0</v>
      </c>
      <c r="AS225" s="16">
        <v>0</v>
      </c>
      <c r="AT225" s="16">
        <v>0</v>
      </c>
      <c r="AU225" s="16">
        <v>0</v>
      </c>
      <c r="AV225" s="16">
        <v>0</v>
      </c>
      <c r="AW225" s="16">
        <v>0</v>
      </c>
      <c r="AX225" s="16">
        <v>0</v>
      </c>
    </row>
    <row r="226" spans="1:50" x14ac:dyDescent="0.25">
      <c r="A226" s="8" t="s">
        <v>314</v>
      </c>
      <c r="B226" s="10" t="s">
        <v>57</v>
      </c>
      <c r="C226" s="16">
        <v>0</v>
      </c>
      <c r="D226" s="16">
        <v>0</v>
      </c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6">
        <v>0</v>
      </c>
      <c r="S226" s="16">
        <v>0</v>
      </c>
      <c r="T226" s="16">
        <v>0</v>
      </c>
      <c r="U226" s="16">
        <v>0</v>
      </c>
      <c r="V226" s="16">
        <v>0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6">
        <v>0</v>
      </c>
      <c r="AC226" s="16">
        <v>0</v>
      </c>
      <c r="AD226" s="16">
        <v>0</v>
      </c>
      <c r="AE226" s="16">
        <v>0</v>
      </c>
      <c r="AF226" s="16">
        <v>0</v>
      </c>
      <c r="AG226" s="16">
        <v>0</v>
      </c>
      <c r="AH226" s="16">
        <v>0</v>
      </c>
      <c r="AI226" s="16">
        <v>0</v>
      </c>
      <c r="AJ226" s="16">
        <v>0</v>
      </c>
      <c r="AK226" s="16">
        <v>0</v>
      </c>
      <c r="AL226" s="16">
        <v>0</v>
      </c>
      <c r="AM226" s="16">
        <v>0</v>
      </c>
      <c r="AN226" s="16">
        <v>0</v>
      </c>
      <c r="AO226" s="16">
        <v>0</v>
      </c>
      <c r="AP226" s="16">
        <v>0</v>
      </c>
      <c r="AQ226" s="16">
        <v>0</v>
      </c>
      <c r="AR226" s="16">
        <v>0</v>
      </c>
      <c r="AS226" s="16">
        <v>0</v>
      </c>
      <c r="AT226" s="16">
        <v>0</v>
      </c>
      <c r="AU226" s="16">
        <v>0</v>
      </c>
      <c r="AV226" s="16">
        <v>0</v>
      </c>
      <c r="AW226" s="16">
        <v>0</v>
      </c>
      <c r="AX226" s="16">
        <v>0</v>
      </c>
    </row>
    <row r="227" spans="1:50" x14ac:dyDescent="0.25">
      <c r="A227" s="8" t="s">
        <v>316</v>
      </c>
      <c r="B227" s="10" t="s">
        <v>57</v>
      </c>
      <c r="C227" s="16">
        <v>0</v>
      </c>
      <c r="D227" s="16">
        <v>0</v>
      </c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  <c r="AC227" s="16">
        <v>0</v>
      </c>
      <c r="AD227" s="16">
        <v>0</v>
      </c>
      <c r="AE227" s="16">
        <v>0</v>
      </c>
      <c r="AF227" s="16">
        <v>0</v>
      </c>
      <c r="AG227" s="16">
        <v>0</v>
      </c>
      <c r="AH227" s="16">
        <v>0</v>
      </c>
      <c r="AI227" s="16">
        <v>0</v>
      </c>
      <c r="AJ227" s="16">
        <v>0</v>
      </c>
      <c r="AK227" s="16">
        <v>0</v>
      </c>
      <c r="AL227" s="16">
        <v>0</v>
      </c>
      <c r="AM227" s="16">
        <v>0</v>
      </c>
      <c r="AN227" s="16">
        <v>0</v>
      </c>
      <c r="AO227" s="16">
        <v>0</v>
      </c>
      <c r="AP227" s="16">
        <v>0</v>
      </c>
      <c r="AQ227" s="16">
        <v>0</v>
      </c>
      <c r="AR227" s="16">
        <v>0</v>
      </c>
      <c r="AS227" s="16">
        <v>0</v>
      </c>
      <c r="AT227" s="16">
        <v>0</v>
      </c>
      <c r="AU227" s="16">
        <v>0</v>
      </c>
      <c r="AV227" s="16">
        <v>0</v>
      </c>
      <c r="AW227" s="16">
        <v>0</v>
      </c>
      <c r="AX227" s="16">
        <v>0</v>
      </c>
    </row>
    <row r="228" spans="1:50" x14ac:dyDescent="0.25">
      <c r="A228" s="17" t="s">
        <v>593</v>
      </c>
      <c r="B228" s="13" t="s">
        <v>410</v>
      </c>
      <c r="C228" s="18">
        <v>0</v>
      </c>
      <c r="D228" s="18">
        <v>0</v>
      </c>
      <c r="E228" s="18">
        <v>0</v>
      </c>
      <c r="F228" s="18">
        <v>0</v>
      </c>
      <c r="G228" s="18">
        <v>0</v>
      </c>
      <c r="H228" s="18">
        <v>0</v>
      </c>
      <c r="I228" s="18">
        <v>0</v>
      </c>
      <c r="J228" s="18">
        <v>1.6999999999999999E-3</v>
      </c>
      <c r="K228" s="18">
        <v>2.4899999999999999E-2</v>
      </c>
      <c r="L228" s="18">
        <v>0.1163</v>
      </c>
      <c r="M228" s="18">
        <v>0.23069999999999999</v>
      </c>
      <c r="N228" s="18">
        <v>0.37090000000000001</v>
      </c>
      <c r="O228" s="18">
        <v>0.52400000000000002</v>
      </c>
      <c r="P228" s="18">
        <v>0.67889999999999995</v>
      </c>
      <c r="Q228" s="18">
        <v>0.83299999999999996</v>
      </c>
      <c r="R228" s="18">
        <v>0.98729999999999996</v>
      </c>
      <c r="S228" s="18">
        <v>1.1322000000000001</v>
      </c>
      <c r="T228" s="18">
        <v>1.2683</v>
      </c>
      <c r="U228" s="18">
        <v>1.3843000000000001</v>
      </c>
      <c r="V228" s="18">
        <v>1.4832000000000001</v>
      </c>
      <c r="W228" s="18">
        <v>1.57</v>
      </c>
      <c r="X228" s="18">
        <v>1.6416999999999999</v>
      </c>
      <c r="Y228" s="18">
        <v>1.6924999999999999</v>
      </c>
      <c r="Z228" s="18">
        <v>1.7148000000000001</v>
      </c>
      <c r="AA228" s="18">
        <v>1.7212000000000001</v>
      </c>
      <c r="AB228" s="18">
        <v>1.7092000000000001</v>
      </c>
      <c r="AC228" s="18">
        <v>1.6686000000000001</v>
      </c>
      <c r="AD228" s="18">
        <v>1.6067</v>
      </c>
      <c r="AE228" s="18">
        <v>1.5327999999999999</v>
      </c>
      <c r="AF228" s="18">
        <v>1.4391</v>
      </c>
      <c r="AG228" s="18">
        <v>1.3395999999999999</v>
      </c>
      <c r="AH228" s="18">
        <v>1.2198</v>
      </c>
      <c r="AI228" s="18">
        <v>1.0849</v>
      </c>
      <c r="AJ228" s="18">
        <v>0.92200000000000004</v>
      </c>
      <c r="AK228" s="18">
        <v>0.76959999999999995</v>
      </c>
      <c r="AL228" s="18">
        <v>0.61299999999999999</v>
      </c>
      <c r="AM228" s="18">
        <v>0.46150000000000002</v>
      </c>
      <c r="AN228" s="18">
        <v>0.31540000000000001</v>
      </c>
      <c r="AO228" s="18">
        <v>0.1842</v>
      </c>
      <c r="AP228" s="18">
        <v>5.3600000000000002E-2</v>
      </c>
      <c r="AQ228" s="18">
        <v>9.9000000000000008E-3</v>
      </c>
      <c r="AR228" s="18">
        <v>0</v>
      </c>
      <c r="AS228" s="18">
        <v>0</v>
      </c>
      <c r="AT228" s="18">
        <v>0</v>
      </c>
      <c r="AU228" s="18">
        <v>0</v>
      </c>
      <c r="AV228" s="18">
        <v>0</v>
      </c>
      <c r="AW228" s="18">
        <v>0</v>
      </c>
      <c r="AX228" s="18">
        <v>0</v>
      </c>
    </row>
    <row r="229" spans="1:50" x14ac:dyDescent="0.25">
      <c r="A229" s="17" t="s">
        <v>595</v>
      </c>
      <c r="B229" s="13" t="s">
        <v>410</v>
      </c>
      <c r="C229" s="18">
        <v>0</v>
      </c>
      <c r="D229" s="18">
        <v>0</v>
      </c>
      <c r="E229" s="18">
        <v>0</v>
      </c>
      <c r="F229" s="18">
        <v>0</v>
      </c>
      <c r="G229" s="18">
        <v>0</v>
      </c>
      <c r="H229" s="18">
        <v>0</v>
      </c>
      <c r="I229" s="18">
        <v>0</v>
      </c>
      <c r="J229" s="18">
        <v>1.2999999999999999E-3</v>
      </c>
      <c r="K229" s="18">
        <v>1.8700000000000001E-2</v>
      </c>
      <c r="L229" s="18">
        <v>8.72E-2</v>
      </c>
      <c r="M229" s="18">
        <v>0.17299999999999999</v>
      </c>
      <c r="N229" s="18">
        <v>0.2782</v>
      </c>
      <c r="O229" s="18">
        <v>0.39300000000000002</v>
      </c>
      <c r="P229" s="18">
        <v>0.50919999999999999</v>
      </c>
      <c r="Q229" s="18">
        <v>0.62470000000000003</v>
      </c>
      <c r="R229" s="18">
        <v>0.74050000000000005</v>
      </c>
      <c r="S229" s="18">
        <v>0.84909999999999997</v>
      </c>
      <c r="T229" s="18">
        <v>0.95120000000000005</v>
      </c>
      <c r="U229" s="18">
        <v>1.0382</v>
      </c>
      <c r="V229" s="18">
        <v>1.1124000000000001</v>
      </c>
      <c r="W229" s="18">
        <v>1.1775</v>
      </c>
      <c r="X229" s="18">
        <v>1.2312000000000001</v>
      </c>
      <c r="Y229" s="18">
        <v>1.2694000000000001</v>
      </c>
      <c r="Z229" s="18">
        <v>1.2861</v>
      </c>
      <c r="AA229" s="18">
        <v>1.2908999999999999</v>
      </c>
      <c r="AB229" s="18">
        <v>1.2819</v>
      </c>
      <c r="AC229" s="18">
        <v>1.2514000000000001</v>
      </c>
      <c r="AD229" s="18">
        <v>1.2050000000000001</v>
      </c>
      <c r="AE229" s="18">
        <v>1.1496</v>
      </c>
      <c r="AF229" s="18">
        <v>1.0792999999999999</v>
      </c>
      <c r="AG229" s="18">
        <v>1.0046999999999999</v>
      </c>
      <c r="AH229" s="18">
        <v>0.91479999999999995</v>
      </c>
      <c r="AI229" s="18">
        <v>0.81369999999999998</v>
      </c>
      <c r="AJ229" s="18">
        <v>0.6915</v>
      </c>
      <c r="AK229" s="18">
        <v>0.57720000000000005</v>
      </c>
      <c r="AL229" s="18">
        <v>0.4597</v>
      </c>
      <c r="AM229" s="18">
        <v>0.34610000000000002</v>
      </c>
      <c r="AN229" s="18">
        <v>0.23649999999999999</v>
      </c>
      <c r="AO229" s="18">
        <v>0.1381</v>
      </c>
      <c r="AP229" s="18">
        <v>4.02E-2</v>
      </c>
      <c r="AQ229" s="18">
        <v>7.4000000000000003E-3</v>
      </c>
      <c r="AR229" s="18">
        <v>0</v>
      </c>
      <c r="AS229" s="18">
        <v>0</v>
      </c>
      <c r="AT229" s="18">
        <v>0</v>
      </c>
      <c r="AU229" s="18">
        <v>0</v>
      </c>
      <c r="AV229" s="18">
        <v>0</v>
      </c>
      <c r="AW229" s="18">
        <v>0</v>
      </c>
      <c r="AX229" s="18">
        <v>0</v>
      </c>
    </row>
    <row r="230" spans="1:50" x14ac:dyDescent="0.25">
      <c r="A230" s="8" t="s">
        <v>318</v>
      </c>
      <c r="B230" s="10" t="s">
        <v>57</v>
      </c>
      <c r="C230" s="16">
        <v>0</v>
      </c>
      <c r="D230" s="16">
        <v>0</v>
      </c>
      <c r="E230" s="16">
        <v>0</v>
      </c>
      <c r="F230" s="16">
        <v>0</v>
      </c>
      <c r="G230" s="16">
        <v>0</v>
      </c>
      <c r="H230" s="16">
        <v>0</v>
      </c>
      <c r="I230" s="16">
        <v>0</v>
      </c>
      <c r="J230" s="16">
        <v>0</v>
      </c>
      <c r="K230" s="16">
        <v>0</v>
      </c>
      <c r="L230" s="16">
        <v>0</v>
      </c>
      <c r="M230" s="16">
        <v>0</v>
      </c>
      <c r="N230" s="16">
        <v>0</v>
      </c>
      <c r="O230" s="16">
        <v>0</v>
      </c>
      <c r="P230" s="16">
        <v>0</v>
      </c>
      <c r="Q230" s="16">
        <v>0</v>
      </c>
      <c r="R230" s="16">
        <v>0</v>
      </c>
      <c r="S230" s="16">
        <v>0</v>
      </c>
      <c r="T230" s="16">
        <v>0</v>
      </c>
      <c r="U230" s="16">
        <v>0</v>
      </c>
      <c r="V230" s="16">
        <v>0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6">
        <v>0</v>
      </c>
      <c r="AC230" s="16">
        <v>0</v>
      </c>
      <c r="AD230" s="16">
        <v>0</v>
      </c>
      <c r="AE230" s="16">
        <v>0</v>
      </c>
      <c r="AF230" s="16">
        <v>0</v>
      </c>
      <c r="AG230" s="16">
        <v>0</v>
      </c>
      <c r="AH230" s="16">
        <v>0</v>
      </c>
      <c r="AI230" s="16">
        <v>0</v>
      </c>
      <c r="AJ230" s="16">
        <v>0</v>
      </c>
      <c r="AK230" s="16">
        <v>0</v>
      </c>
      <c r="AL230" s="16">
        <v>0</v>
      </c>
      <c r="AM230" s="16">
        <v>0</v>
      </c>
      <c r="AN230" s="16">
        <v>0</v>
      </c>
      <c r="AO230" s="16">
        <v>0</v>
      </c>
      <c r="AP230" s="16">
        <v>0</v>
      </c>
      <c r="AQ230" s="16">
        <v>0</v>
      </c>
      <c r="AR230" s="16">
        <v>0</v>
      </c>
      <c r="AS230" s="16">
        <v>0</v>
      </c>
      <c r="AT230" s="16">
        <v>0</v>
      </c>
      <c r="AU230" s="16">
        <v>0</v>
      </c>
      <c r="AV230" s="16">
        <v>0</v>
      </c>
      <c r="AW230" s="16">
        <v>0</v>
      </c>
      <c r="AX230" s="16">
        <v>0</v>
      </c>
    </row>
    <row r="231" spans="1:50" x14ac:dyDescent="0.25">
      <c r="A231" s="8" t="s">
        <v>320</v>
      </c>
      <c r="B231" s="10" t="s">
        <v>57</v>
      </c>
      <c r="C231" s="16">
        <v>0</v>
      </c>
      <c r="D231" s="16">
        <v>0</v>
      </c>
      <c r="E231" s="16">
        <v>0</v>
      </c>
      <c r="F231" s="16">
        <v>0</v>
      </c>
      <c r="G231" s="16">
        <v>0</v>
      </c>
      <c r="H231" s="16">
        <v>0</v>
      </c>
      <c r="I231" s="16">
        <v>0</v>
      </c>
      <c r="J231" s="16">
        <v>0</v>
      </c>
      <c r="K231" s="16">
        <v>0</v>
      </c>
      <c r="L231" s="16">
        <v>0</v>
      </c>
      <c r="M231" s="16">
        <v>0</v>
      </c>
      <c r="N231" s="16">
        <v>0</v>
      </c>
      <c r="O231" s="16">
        <v>0</v>
      </c>
      <c r="P231" s="16">
        <v>0</v>
      </c>
      <c r="Q231" s="16">
        <v>0</v>
      </c>
      <c r="R231" s="16">
        <v>0</v>
      </c>
      <c r="S231" s="16">
        <v>0</v>
      </c>
      <c r="T231" s="16">
        <v>0</v>
      </c>
      <c r="U231" s="16">
        <v>0</v>
      </c>
      <c r="V231" s="16">
        <v>0</v>
      </c>
      <c r="W231" s="16">
        <v>0</v>
      </c>
      <c r="X231" s="16">
        <v>0</v>
      </c>
      <c r="Y231" s="16">
        <v>0</v>
      </c>
      <c r="Z231" s="16">
        <v>0</v>
      </c>
      <c r="AA231" s="16">
        <v>0</v>
      </c>
      <c r="AB231" s="16">
        <v>0</v>
      </c>
      <c r="AC231" s="16">
        <v>0</v>
      </c>
      <c r="AD231" s="16">
        <v>0</v>
      </c>
      <c r="AE231" s="16">
        <v>0</v>
      </c>
      <c r="AF231" s="16">
        <v>0</v>
      </c>
      <c r="AG231" s="16">
        <v>0</v>
      </c>
      <c r="AH231" s="16">
        <v>0</v>
      </c>
      <c r="AI231" s="16">
        <v>0</v>
      </c>
      <c r="AJ231" s="16">
        <v>0</v>
      </c>
      <c r="AK231" s="16">
        <v>0</v>
      </c>
      <c r="AL231" s="16">
        <v>0</v>
      </c>
      <c r="AM231" s="16">
        <v>0</v>
      </c>
      <c r="AN231" s="16">
        <v>0</v>
      </c>
      <c r="AO231" s="16">
        <v>0</v>
      </c>
      <c r="AP231" s="16">
        <v>0</v>
      </c>
      <c r="AQ231" s="16">
        <v>0</v>
      </c>
      <c r="AR231" s="16">
        <v>0</v>
      </c>
      <c r="AS231" s="16">
        <v>0</v>
      </c>
      <c r="AT231" s="16">
        <v>0</v>
      </c>
      <c r="AU231" s="16">
        <v>0</v>
      </c>
      <c r="AV231" s="16">
        <v>0</v>
      </c>
      <c r="AW231" s="16">
        <v>0</v>
      </c>
      <c r="AX231" s="16">
        <v>0</v>
      </c>
    </row>
    <row r="232" spans="1:50" x14ac:dyDescent="0.25">
      <c r="A232" s="17" t="s">
        <v>597</v>
      </c>
      <c r="B232" s="13" t="s">
        <v>410</v>
      </c>
      <c r="C232" s="18">
        <v>0</v>
      </c>
      <c r="D232" s="18">
        <v>0</v>
      </c>
      <c r="E232" s="18">
        <v>0</v>
      </c>
      <c r="F232" s="18">
        <v>0</v>
      </c>
      <c r="G232" s="18">
        <v>0</v>
      </c>
      <c r="H232" s="18">
        <v>0</v>
      </c>
      <c r="I232" s="18">
        <v>0</v>
      </c>
      <c r="J232" s="18">
        <v>3.3999999999999998E-3</v>
      </c>
      <c r="K232" s="18">
        <v>4.9700000000000001E-2</v>
      </c>
      <c r="L232" s="18">
        <v>0.2326</v>
      </c>
      <c r="M232" s="18">
        <v>0.46129999999999999</v>
      </c>
      <c r="N232" s="18">
        <v>0.7419</v>
      </c>
      <c r="O232" s="18">
        <v>1.0479000000000001</v>
      </c>
      <c r="P232" s="18">
        <v>1.3576999999999999</v>
      </c>
      <c r="Q232" s="18">
        <v>1.6659999999999999</v>
      </c>
      <c r="R232" s="18">
        <v>1.9745999999999999</v>
      </c>
      <c r="S232" s="18">
        <v>2.2643</v>
      </c>
      <c r="T232" s="18">
        <v>2.5367000000000002</v>
      </c>
      <c r="U232" s="18">
        <v>2.7686000000000002</v>
      </c>
      <c r="V232" s="18">
        <v>2.9664000000000001</v>
      </c>
      <c r="W232" s="18">
        <v>3.14</v>
      </c>
      <c r="X232" s="18">
        <v>3.2833000000000001</v>
      </c>
      <c r="Y232" s="18">
        <v>3.3849999999999998</v>
      </c>
      <c r="Z232" s="18">
        <v>3.4296000000000002</v>
      </c>
      <c r="AA232" s="18">
        <v>3.4424999999999999</v>
      </c>
      <c r="AB232" s="18">
        <v>3.4182999999999999</v>
      </c>
      <c r="AC232" s="18">
        <v>3.3372000000000002</v>
      </c>
      <c r="AD232" s="18">
        <v>3.2132999999999998</v>
      </c>
      <c r="AE232" s="18">
        <v>3.0655000000000001</v>
      </c>
      <c r="AF232" s="18">
        <v>2.8782000000000001</v>
      </c>
      <c r="AG232" s="18">
        <v>2.6791</v>
      </c>
      <c r="AH232" s="18">
        <v>2.4396</v>
      </c>
      <c r="AI232" s="18">
        <v>2.1698</v>
      </c>
      <c r="AJ232" s="18">
        <v>1.8441000000000001</v>
      </c>
      <c r="AK232" s="18">
        <v>1.5391999999999999</v>
      </c>
      <c r="AL232" s="18">
        <v>1.2259</v>
      </c>
      <c r="AM232" s="18">
        <v>0.92290000000000005</v>
      </c>
      <c r="AN232" s="18">
        <v>0.63080000000000003</v>
      </c>
      <c r="AO232" s="18">
        <v>0.36830000000000002</v>
      </c>
      <c r="AP232" s="18">
        <v>0.1072</v>
      </c>
      <c r="AQ232" s="18">
        <v>1.9800000000000002E-2</v>
      </c>
      <c r="AR232" s="18">
        <v>0</v>
      </c>
      <c r="AS232" s="18">
        <v>0</v>
      </c>
      <c r="AT232" s="18">
        <v>0</v>
      </c>
      <c r="AU232" s="18">
        <v>0</v>
      </c>
      <c r="AV232" s="18">
        <v>0</v>
      </c>
      <c r="AW232" s="18">
        <v>0</v>
      </c>
      <c r="AX232" s="18">
        <v>0</v>
      </c>
    </row>
    <row r="233" spans="1:50" x14ac:dyDescent="0.25">
      <c r="A233" s="8" t="s">
        <v>322</v>
      </c>
      <c r="B233" s="10" t="s">
        <v>57</v>
      </c>
      <c r="C233" s="16">
        <v>0</v>
      </c>
      <c r="D233" s="16">
        <v>0</v>
      </c>
      <c r="E233" s="16">
        <v>0</v>
      </c>
      <c r="F233" s="16">
        <v>0</v>
      </c>
      <c r="G233" s="16">
        <v>0</v>
      </c>
      <c r="H233" s="16">
        <v>0</v>
      </c>
      <c r="I233" s="16">
        <v>0</v>
      </c>
      <c r="J233" s="16">
        <v>0</v>
      </c>
      <c r="K233" s="16">
        <v>0</v>
      </c>
      <c r="L233" s="16">
        <v>0</v>
      </c>
      <c r="M233" s="16">
        <v>0</v>
      </c>
      <c r="N233" s="16">
        <v>0</v>
      </c>
      <c r="O233" s="16">
        <v>0</v>
      </c>
      <c r="P233" s="16">
        <v>0</v>
      </c>
      <c r="Q233" s="16">
        <v>0</v>
      </c>
      <c r="R233" s="16">
        <v>0</v>
      </c>
      <c r="S233" s="16">
        <v>0</v>
      </c>
      <c r="T233" s="16">
        <v>0</v>
      </c>
      <c r="U233" s="16">
        <v>0</v>
      </c>
      <c r="V233" s="16">
        <v>0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  <c r="AC233" s="16">
        <v>0</v>
      </c>
      <c r="AD233" s="16">
        <v>0</v>
      </c>
      <c r="AE233" s="16">
        <v>0</v>
      </c>
      <c r="AF233" s="16">
        <v>0</v>
      </c>
      <c r="AG233" s="16">
        <v>0</v>
      </c>
      <c r="AH233" s="16">
        <v>0</v>
      </c>
      <c r="AI233" s="16">
        <v>0</v>
      </c>
      <c r="AJ233" s="16">
        <v>0</v>
      </c>
      <c r="AK233" s="16">
        <v>0</v>
      </c>
      <c r="AL233" s="16">
        <v>0</v>
      </c>
      <c r="AM233" s="16">
        <v>0</v>
      </c>
      <c r="AN233" s="16">
        <v>0</v>
      </c>
      <c r="AO233" s="16">
        <v>0</v>
      </c>
      <c r="AP233" s="16">
        <v>0</v>
      </c>
      <c r="AQ233" s="16">
        <v>0</v>
      </c>
      <c r="AR233" s="16">
        <v>0</v>
      </c>
      <c r="AS233" s="16">
        <v>0</v>
      </c>
      <c r="AT233" s="16">
        <v>0</v>
      </c>
      <c r="AU233" s="16">
        <v>0</v>
      </c>
      <c r="AV233" s="16">
        <v>0</v>
      </c>
      <c r="AW233" s="16">
        <v>0</v>
      </c>
      <c r="AX233" s="16">
        <v>0</v>
      </c>
    </row>
    <row r="234" spans="1:50" x14ac:dyDescent="0.25">
      <c r="A234" s="17" t="s">
        <v>599</v>
      </c>
      <c r="B234" s="13" t="s">
        <v>410</v>
      </c>
      <c r="C234" s="18">
        <v>0</v>
      </c>
      <c r="D234" s="18">
        <v>0</v>
      </c>
      <c r="E234" s="18">
        <v>0</v>
      </c>
      <c r="F234" s="18">
        <v>0</v>
      </c>
      <c r="G234" s="18">
        <v>0</v>
      </c>
      <c r="H234" s="18">
        <v>0</v>
      </c>
      <c r="I234" s="18">
        <v>0</v>
      </c>
      <c r="J234" s="18">
        <v>3.0000000000000001E-3</v>
      </c>
      <c r="K234" s="18">
        <v>4.3499999999999997E-2</v>
      </c>
      <c r="L234" s="18">
        <v>0.20349999999999999</v>
      </c>
      <c r="M234" s="18">
        <v>0.4037</v>
      </c>
      <c r="N234" s="18">
        <v>0.64910000000000001</v>
      </c>
      <c r="O234" s="18">
        <v>0.91690000000000005</v>
      </c>
      <c r="P234" s="18">
        <v>1.1879999999999999</v>
      </c>
      <c r="Q234" s="18">
        <v>1.4577</v>
      </c>
      <c r="R234" s="18">
        <v>1.7278</v>
      </c>
      <c r="S234" s="18">
        <v>1.9813000000000001</v>
      </c>
      <c r="T234" s="18">
        <v>2.2195999999999998</v>
      </c>
      <c r="U234" s="18">
        <v>2.4224999999999999</v>
      </c>
      <c r="V234" s="18">
        <v>2.5956000000000001</v>
      </c>
      <c r="W234" s="18">
        <v>2.7475000000000001</v>
      </c>
      <c r="X234" s="18">
        <v>2.8729</v>
      </c>
      <c r="Y234" s="18">
        <v>2.9619</v>
      </c>
      <c r="Z234" s="18">
        <v>3.0009000000000001</v>
      </c>
      <c r="AA234" s="18">
        <v>3.0122</v>
      </c>
      <c r="AB234" s="18">
        <v>2.9910000000000001</v>
      </c>
      <c r="AC234" s="18">
        <v>2.92</v>
      </c>
      <c r="AD234" s="18">
        <v>2.8117000000000001</v>
      </c>
      <c r="AE234" s="18">
        <v>2.6823000000000001</v>
      </c>
      <c r="AF234" s="18">
        <v>2.5184000000000002</v>
      </c>
      <c r="AG234" s="18">
        <v>2.3441999999999998</v>
      </c>
      <c r="AH234" s="18">
        <v>2.1345999999999998</v>
      </c>
      <c r="AI234" s="18">
        <v>1.8986000000000001</v>
      </c>
      <c r="AJ234" s="18">
        <v>1.6135999999999999</v>
      </c>
      <c r="AK234" s="18">
        <v>1.3468</v>
      </c>
      <c r="AL234" s="18">
        <v>1.0727</v>
      </c>
      <c r="AM234" s="18">
        <v>0.80759999999999998</v>
      </c>
      <c r="AN234" s="18">
        <v>0.55189999999999995</v>
      </c>
      <c r="AO234" s="18">
        <v>0.32229999999999998</v>
      </c>
      <c r="AP234" s="18">
        <v>9.3799999999999994E-2</v>
      </c>
      <c r="AQ234" s="18">
        <v>1.7299999999999999E-2</v>
      </c>
      <c r="AR234" s="18">
        <v>0</v>
      </c>
      <c r="AS234" s="18">
        <v>0</v>
      </c>
      <c r="AT234" s="18">
        <v>0</v>
      </c>
      <c r="AU234" s="18">
        <v>0</v>
      </c>
      <c r="AV234" s="18">
        <v>0</v>
      </c>
      <c r="AW234" s="18">
        <v>0</v>
      </c>
      <c r="AX234" s="18">
        <v>0</v>
      </c>
    </row>
    <row r="235" spans="1:50" x14ac:dyDescent="0.25">
      <c r="A235" s="17" t="s">
        <v>601</v>
      </c>
      <c r="B235" s="13" t="s">
        <v>410</v>
      </c>
      <c r="C235" s="18">
        <v>0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3.0000000000000001E-3</v>
      </c>
      <c r="K235" s="18">
        <v>4.3499999999999997E-2</v>
      </c>
      <c r="L235" s="18">
        <v>0.20349999999999999</v>
      </c>
      <c r="M235" s="18">
        <v>0.4037</v>
      </c>
      <c r="N235" s="18">
        <v>0.64910000000000001</v>
      </c>
      <c r="O235" s="18">
        <v>0.91690000000000005</v>
      </c>
      <c r="P235" s="18">
        <v>1.1879999999999999</v>
      </c>
      <c r="Q235" s="18">
        <v>1.4577</v>
      </c>
      <c r="R235" s="18">
        <v>1.7278</v>
      </c>
      <c r="S235" s="18">
        <v>1.9813000000000001</v>
      </c>
      <c r="T235" s="18">
        <v>2.2195999999999998</v>
      </c>
      <c r="U235" s="18">
        <v>2.4224999999999999</v>
      </c>
      <c r="V235" s="18">
        <v>2.5956000000000001</v>
      </c>
      <c r="W235" s="18">
        <v>2.7475000000000001</v>
      </c>
      <c r="X235" s="18">
        <v>2.8729</v>
      </c>
      <c r="Y235" s="18">
        <v>2.9619</v>
      </c>
      <c r="Z235" s="18">
        <v>3.0009000000000001</v>
      </c>
      <c r="AA235" s="18">
        <v>3.0122</v>
      </c>
      <c r="AB235" s="18">
        <v>2.9910000000000001</v>
      </c>
      <c r="AC235" s="18">
        <v>2.92</v>
      </c>
      <c r="AD235" s="18">
        <v>2.8117000000000001</v>
      </c>
      <c r="AE235" s="18">
        <v>2.6823000000000001</v>
      </c>
      <c r="AF235" s="18">
        <v>2.5184000000000002</v>
      </c>
      <c r="AG235" s="18">
        <v>2.3441999999999998</v>
      </c>
      <c r="AH235" s="18">
        <v>2.1345999999999998</v>
      </c>
      <c r="AI235" s="18">
        <v>1.8986000000000001</v>
      </c>
      <c r="AJ235" s="18">
        <v>1.6135999999999999</v>
      </c>
      <c r="AK235" s="18">
        <v>1.3468</v>
      </c>
      <c r="AL235" s="18">
        <v>1.0727</v>
      </c>
      <c r="AM235" s="18">
        <v>0.80759999999999998</v>
      </c>
      <c r="AN235" s="18">
        <v>0.55189999999999995</v>
      </c>
      <c r="AO235" s="18">
        <v>0.32229999999999998</v>
      </c>
      <c r="AP235" s="18">
        <v>9.3799999999999994E-2</v>
      </c>
      <c r="AQ235" s="18">
        <v>1.7299999999999999E-2</v>
      </c>
      <c r="AR235" s="18">
        <v>0</v>
      </c>
      <c r="AS235" s="18">
        <v>0</v>
      </c>
      <c r="AT235" s="18">
        <v>0</v>
      </c>
      <c r="AU235" s="18">
        <v>0</v>
      </c>
      <c r="AV235" s="18">
        <v>0</v>
      </c>
      <c r="AW235" s="18">
        <v>0</v>
      </c>
      <c r="AX235" s="18">
        <v>0</v>
      </c>
    </row>
    <row r="236" spans="1:50" x14ac:dyDescent="0.25">
      <c r="A236" s="17" t="s">
        <v>603</v>
      </c>
      <c r="B236" s="13" t="s">
        <v>410</v>
      </c>
      <c r="C236" s="18">
        <v>0</v>
      </c>
      <c r="D236" s="18">
        <v>0</v>
      </c>
      <c r="E236" s="18">
        <v>0</v>
      </c>
      <c r="F236" s="18">
        <v>0</v>
      </c>
      <c r="G236" s="18">
        <v>0</v>
      </c>
      <c r="H236" s="18">
        <v>0</v>
      </c>
      <c r="I236" s="18">
        <v>0</v>
      </c>
      <c r="J236" s="18">
        <v>3.0000000000000001E-3</v>
      </c>
      <c r="K236" s="18">
        <v>4.3499999999999997E-2</v>
      </c>
      <c r="L236" s="18">
        <v>0.20349999999999999</v>
      </c>
      <c r="M236" s="18">
        <v>0.4037</v>
      </c>
      <c r="N236" s="18">
        <v>0.64910000000000001</v>
      </c>
      <c r="O236" s="18">
        <v>0.91690000000000005</v>
      </c>
      <c r="P236" s="18">
        <v>1.1879999999999999</v>
      </c>
      <c r="Q236" s="18">
        <v>1.4577</v>
      </c>
      <c r="R236" s="18">
        <v>1.7278</v>
      </c>
      <c r="S236" s="18">
        <v>1.9813000000000001</v>
      </c>
      <c r="T236" s="18">
        <v>2.2195999999999998</v>
      </c>
      <c r="U236" s="18">
        <v>2.4224999999999999</v>
      </c>
      <c r="V236" s="18">
        <v>2.5956000000000001</v>
      </c>
      <c r="W236" s="18">
        <v>2.7475000000000001</v>
      </c>
      <c r="X236" s="18">
        <v>2.8729</v>
      </c>
      <c r="Y236" s="18">
        <v>2.9619</v>
      </c>
      <c r="Z236" s="18">
        <v>3.0009000000000001</v>
      </c>
      <c r="AA236" s="18">
        <v>3.0122</v>
      </c>
      <c r="AB236" s="18">
        <v>2.9910000000000001</v>
      </c>
      <c r="AC236" s="18">
        <v>2.92</v>
      </c>
      <c r="AD236" s="18">
        <v>2.8117000000000001</v>
      </c>
      <c r="AE236" s="18">
        <v>2.6823000000000001</v>
      </c>
      <c r="AF236" s="18">
        <v>2.5184000000000002</v>
      </c>
      <c r="AG236" s="18">
        <v>2.3441999999999998</v>
      </c>
      <c r="AH236" s="18">
        <v>2.1345999999999998</v>
      </c>
      <c r="AI236" s="18">
        <v>1.8986000000000001</v>
      </c>
      <c r="AJ236" s="18">
        <v>1.6135999999999999</v>
      </c>
      <c r="AK236" s="18">
        <v>1.3468</v>
      </c>
      <c r="AL236" s="18">
        <v>1.0727</v>
      </c>
      <c r="AM236" s="18">
        <v>0.80759999999999998</v>
      </c>
      <c r="AN236" s="18">
        <v>0.55189999999999995</v>
      </c>
      <c r="AO236" s="18">
        <v>0.32229999999999998</v>
      </c>
      <c r="AP236" s="18">
        <v>9.3799999999999994E-2</v>
      </c>
      <c r="AQ236" s="18">
        <v>1.7299999999999999E-2</v>
      </c>
      <c r="AR236" s="18">
        <v>0</v>
      </c>
      <c r="AS236" s="18">
        <v>0</v>
      </c>
      <c r="AT236" s="18">
        <v>0</v>
      </c>
      <c r="AU236" s="18">
        <v>0</v>
      </c>
      <c r="AV236" s="18">
        <v>0</v>
      </c>
      <c r="AW236" s="18">
        <v>0</v>
      </c>
      <c r="AX236" s="18">
        <v>0</v>
      </c>
    </row>
    <row r="237" spans="1:50" x14ac:dyDescent="0.25">
      <c r="A237" s="17" t="s">
        <v>605</v>
      </c>
      <c r="B237" s="13" t="s">
        <v>410</v>
      </c>
      <c r="C237" s="18">
        <v>0</v>
      </c>
      <c r="D237" s="18">
        <v>0</v>
      </c>
      <c r="E237" s="18">
        <v>0</v>
      </c>
      <c r="F237" s="18">
        <v>0</v>
      </c>
      <c r="G237" s="18">
        <v>0</v>
      </c>
      <c r="H237" s="18">
        <v>0</v>
      </c>
      <c r="I237" s="18">
        <v>0</v>
      </c>
      <c r="J237" s="18">
        <v>1.2999999999999999E-3</v>
      </c>
      <c r="K237" s="18">
        <v>1.8700000000000001E-2</v>
      </c>
      <c r="L237" s="18">
        <v>8.72E-2</v>
      </c>
      <c r="M237" s="18">
        <v>0.17299999999999999</v>
      </c>
      <c r="N237" s="18">
        <v>0.2782</v>
      </c>
      <c r="O237" s="18">
        <v>0.39300000000000002</v>
      </c>
      <c r="P237" s="18">
        <v>0.50919999999999999</v>
      </c>
      <c r="Q237" s="18">
        <v>0.62470000000000003</v>
      </c>
      <c r="R237" s="18">
        <v>0.74050000000000005</v>
      </c>
      <c r="S237" s="18">
        <v>0.84909999999999997</v>
      </c>
      <c r="T237" s="18">
        <v>0.95120000000000005</v>
      </c>
      <c r="U237" s="18">
        <v>1.0382</v>
      </c>
      <c r="V237" s="18">
        <v>1.1124000000000001</v>
      </c>
      <c r="W237" s="18">
        <v>1.1775</v>
      </c>
      <c r="X237" s="18">
        <v>1.2312000000000001</v>
      </c>
      <c r="Y237" s="18">
        <v>1.2694000000000001</v>
      </c>
      <c r="Z237" s="18">
        <v>1.2861</v>
      </c>
      <c r="AA237" s="18">
        <v>1.2908999999999999</v>
      </c>
      <c r="AB237" s="18">
        <v>1.2819</v>
      </c>
      <c r="AC237" s="18">
        <v>1.2514000000000001</v>
      </c>
      <c r="AD237" s="18">
        <v>1.2050000000000001</v>
      </c>
      <c r="AE237" s="18">
        <v>1.1496</v>
      </c>
      <c r="AF237" s="18">
        <v>1.0792999999999999</v>
      </c>
      <c r="AG237" s="18">
        <v>1.0046999999999999</v>
      </c>
      <c r="AH237" s="18">
        <v>0.91479999999999995</v>
      </c>
      <c r="AI237" s="18">
        <v>0.81369999999999998</v>
      </c>
      <c r="AJ237" s="18">
        <v>0.6915</v>
      </c>
      <c r="AK237" s="18">
        <v>0.57720000000000005</v>
      </c>
      <c r="AL237" s="18">
        <v>0.4597</v>
      </c>
      <c r="AM237" s="18">
        <v>0.34610000000000002</v>
      </c>
      <c r="AN237" s="18">
        <v>0.23649999999999999</v>
      </c>
      <c r="AO237" s="18">
        <v>0.1381</v>
      </c>
      <c r="AP237" s="18">
        <v>4.02E-2</v>
      </c>
      <c r="AQ237" s="18">
        <v>7.4000000000000003E-3</v>
      </c>
      <c r="AR237" s="18">
        <v>0</v>
      </c>
      <c r="AS237" s="18">
        <v>0</v>
      </c>
      <c r="AT237" s="18">
        <v>0</v>
      </c>
      <c r="AU237" s="18">
        <v>0</v>
      </c>
      <c r="AV237" s="18">
        <v>0</v>
      </c>
      <c r="AW237" s="18">
        <v>0</v>
      </c>
      <c r="AX237" s="18">
        <v>0</v>
      </c>
    </row>
    <row r="238" spans="1:50" x14ac:dyDescent="0.25">
      <c r="A238" s="17" t="s">
        <v>607</v>
      </c>
      <c r="B238" s="13" t="s">
        <v>410</v>
      </c>
      <c r="C238" s="18">
        <v>0</v>
      </c>
      <c r="D238" s="18">
        <v>0</v>
      </c>
      <c r="E238" s="18">
        <v>0</v>
      </c>
      <c r="F238" s="18">
        <v>0</v>
      </c>
      <c r="G238" s="18">
        <v>0</v>
      </c>
      <c r="H238" s="18">
        <v>0</v>
      </c>
      <c r="I238" s="18">
        <v>0</v>
      </c>
      <c r="J238" s="18">
        <v>1.2999999999999999E-3</v>
      </c>
      <c r="K238" s="18">
        <v>1.8700000000000001E-2</v>
      </c>
      <c r="L238" s="18">
        <v>8.72E-2</v>
      </c>
      <c r="M238" s="18">
        <v>0.17299999999999999</v>
      </c>
      <c r="N238" s="18">
        <v>0.2782</v>
      </c>
      <c r="O238" s="18">
        <v>0.39300000000000002</v>
      </c>
      <c r="P238" s="18">
        <v>0.50919999999999999</v>
      </c>
      <c r="Q238" s="18">
        <v>0.62470000000000003</v>
      </c>
      <c r="R238" s="18">
        <v>0.74050000000000005</v>
      </c>
      <c r="S238" s="18">
        <v>0.84909999999999997</v>
      </c>
      <c r="T238" s="18">
        <v>0.95120000000000005</v>
      </c>
      <c r="U238" s="18">
        <v>1.0382</v>
      </c>
      <c r="V238" s="18">
        <v>1.1124000000000001</v>
      </c>
      <c r="W238" s="18">
        <v>1.1775</v>
      </c>
      <c r="X238" s="18">
        <v>1.2312000000000001</v>
      </c>
      <c r="Y238" s="18">
        <v>1.2694000000000001</v>
      </c>
      <c r="Z238" s="18">
        <v>1.2861</v>
      </c>
      <c r="AA238" s="18">
        <v>1.2908999999999999</v>
      </c>
      <c r="AB238" s="18">
        <v>1.2819</v>
      </c>
      <c r="AC238" s="18">
        <v>1.2514000000000001</v>
      </c>
      <c r="AD238" s="18">
        <v>1.2050000000000001</v>
      </c>
      <c r="AE238" s="18">
        <v>1.1496</v>
      </c>
      <c r="AF238" s="18">
        <v>1.0792999999999999</v>
      </c>
      <c r="AG238" s="18">
        <v>1.0046999999999999</v>
      </c>
      <c r="AH238" s="18">
        <v>0.91479999999999995</v>
      </c>
      <c r="AI238" s="18">
        <v>0.81369999999999998</v>
      </c>
      <c r="AJ238" s="18">
        <v>0.6915</v>
      </c>
      <c r="AK238" s="18">
        <v>0.57720000000000005</v>
      </c>
      <c r="AL238" s="18">
        <v>0.4597</v>
      </c>
      <c r="AM238" s="18">
        <v>0.34610000000000002</v>
      </c>
      <c r="AN238" s="18">
        <v>0.23649999999999999</v>
      </c>
      <c r="AO238" s="18">
        <v>0.1381</v>
      </c>
      <c r="AP238" s="18">
        <v>4.02E-2</v>
      </c>
      <c r="AQ238" s="18">
        <v>7.4000000000000003E-3</v>
      </c>
      <c r="AR238" s="18">
        <v>0</v>
      </c>
      <c r="AS238" s="18">
        <v>0</v>
      </c>
      <c r="AT238" s="18">
        <v>0</v>
      </c>
      <c r="AU238" s="18">
        <v>0</v>
      </c>
      <c r="AV238" s="18">
        <v>0</v>
      </c>
      <c r="AW238" s="18">
        <v>0</v>
      </c>
      <c r="AX238" s="18">
        <v>0</v>
      </c>
    </row>
    <row r="239" spans="1:50" x14ac:dyDescent="0.25">
      <c r="A239" s="8" t="s">
        <v>324</v>
      </c>
      <c r="B239" s="10" t="s">
        <v>57</v>
      </c>
      <c r="C239" s="16">
        <v>0</v>
      </c>
      <c r="D239" s="16">
        <v>0</v>
      </c>
      <c r="E239" s="16">
        <v>0</v>
      </c>
      <c r="F239" s="16">
        <v>0</v>
      </c>
      <c r="G239" s="16">
        <v>0</v>
      </c>
      <c r="H239" s="16">
        <v>0</v>
      </c>
      <c r="I239" s="16">
        <v>0</v>
      </c>
      <c r="J239" s="16">
        <v>0</v>
      </c>
      <c r="K239" s="16">
        <v>0</v>
      </c>
      <c r="L239" s="16">
        <v>0</v>
      </c>
      <c r="M239" s="16">
        <v>0</v>
      </c>
      <c r="N239" s="16">
        <v>0</v>
      </c>
      <c r="O239" s="16">
        <v>0</v>
      </c>
      <c r="P239" s="16">
        <v>0</v>
      </c>
      <c r="Q239" s="16">
        <v>0</v>
      </c>
      <c r="R239" s="16">
        <v>0</v>
      </c>
      <c r="S239" s="16">
        <v>0</v>
      </c>
      <c r="T239" s="16">
        <v>0</v>
      </c>
      <c r="U239" s="16">
        <v>0</v>
      </c>
      <c r="V239" s="16">
        <v>0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  <c r="AC239" s="16">
        <v>0</v>
      </c>
      <c r="AD239" s="16">
        <v>0</v>
      </c>
      <c r="AE239" s="16">
        <v>0</v>
      </c>
      <c r="AF239" s="16">
        <v>0</v>
      </c>
      <c r="AG239" s="16">
        <v>0</v>
      </c>
      <c r="AH239" s="16">
        <v>0</v>
      </c>
      <c r="AI239" s="16">
        <v>0</v>
      </c>
      <c r="AJ239" s="16">
        <v>0</v>
      </c>
      <c r="AK239" s="16">
        <v>0</v>
      </c>
      <c r="AL239" s="16">
        <v>0</v>
      </c>
      <c r="AM239" s="16">
        <v>0</v>
      </c>
      <c r="AN239" s="16">
        <v>0</v>
      </c>
      <c r="AO239" s="16">
        <v>0</v>
      </c>
      <c r="AP239" s="16">
        <v>0</v>
      </c>
      <c r="AQ239" s="16">
        <v>0</v>
      </c>
      <c r="AR239" s="16">
        <v>0</v>
      </c>
      <c r="AS239" s="16">
        <v>0</v>
      </c>
      <c r="AT239" s="16">
        <v>0</v>
      </c>
      <c r="AU239" s="16">
        <v>0</v>
      </c>
      <c r="AV239" s="16">
        <v>0</v>
      </c>
      <c r="AW239" s="16">
        <v>0</v>
      </c>
      <c r="AX239" s="16">
        <v>0</v>
      </c>
    </row>
    <row r="240" spans="1:50" x14ac:dyDescent="0.25">
      <c r="A240" s="17" t="s">
        <v>609</v>
      </c>
      <c r="B240" s="13" t="s">
        <v>410</v>
      </c>
      <c r="C240" s="18">
        <v>0</v>
      </c>
      <c r="D240" s="18">
        <v>0</v>
      </c>
      <c r="E240" s="18">
        <v>0</v>
      </c>
      <c r="F240" s="18">
        <v>0</v>
      </c>
      <c r="G240" s="18">
        <v>0</v>
      </c>
      <c r="H240" s="18">
        <v>0</v>
      </c>
      <c r="I240" s="18">
        <v>0</v>
      </c>
      <c r="J240" s="18">
        <v>3.3999999999999998E-3</v>
      </c>
      <c r="K240" s="18">
        <v>4.9700000000000001E-2</v>
      </c>
      <c r="L240" s="18">
        <v>0.2326</v>
      </c>
      <c r="M240" s="18">
        <v>0.46129999999999999</v>
      </c>
      <c r="N240" s="18">
        <v>0.7419</v>
      </c>
      <c r="O240" s="18">
        <v>1.0479000000000001</v>
      </c>
      <c r="P240" s="18">
        <v>1.3576999999999999</v>
      </c>
      <c r="Q240" s="18">
        <v>1.6659999999999999</v>
      </c>
      <c r="R240" s="18">
        <v>1.9745999999999999</v>
      </c>
      <c r="S240" s="18">
        <v>2.2643</v>
      </c>
      <c r="T240" s="18">
        <v>2.5367000000000002</v>
      </c>
      <c r="U240" s="18">
        <v>2.7686000000000002</v>
      </c>
      <c r="V240" s="18">
        <v>2.9664000000000001</v>
      </c>
      <c r="W240" s="18">
        <v>3.14</v>
      </c>
      <c r="X240" s="18">
        <v>3.2833000000000001</v>
      </c>
      <c r="Y240" s="18">
        <v>3.3849999999999998</v>
      </c>
      <c r="Z240" s="18">
        <v>3.4296000000000002</v>
      </c>
      <c r="AA240" s="18">
        <v>3.4424999999999999</v>
      </c>
      <c r="AB240" s="18">
        <v>3.4182999999999999</v>
      </c>
      <c r="AC240" s="18">
        <v>3.3372000000000002</v>
      </c>
      <c r="AD240" s="18">
        <v>3.2132999999999998</v>
      </c>
      <c r="AE240" s="18">
        <v>3.0655000000000001</v>
      </c>
      <c r="AF240" s="18">
        <v>2.8782000000000001</v>
      </c>
      <c r="AG240" s="18">
        <v>2.6791</v>
      </c>
      <c r="AH240" s="18">
        <v>2.4396</v>
      </c>
      <c r="AI240" s="18">
        <v>2.1698</v>
      </c>
      <c r="AJ240" s="18">
        <v>1.8441000000000001</v>
      </c>
      <c r="AK240" s="18">
        <v>1.5391999999999999</v>
      </c>
      <c r="AL240" s="18">
        <v>1.2259</v>
      </c>
      <c r="AM240" s="18">
        <v>0.92290000000000005</v>
      </c>
      <c r="AN240" s="18">
        <v>0.63080000000000003</v>
      </c>
      <c r="AO240" s="18">
        <v>0.36830000000000002</v>
      </c>
      <c r="AP240" s="18">
        <v>0.1072</v>
      </c>
      <c r="AQ240" s="18">
        <v>1.9800000000000002E-2</v>
      </c>
      <c r="AR240" s="18">
        <v>0</v>
      </c>
      <c r="AS240" s="18">
        <v>0</v>
      </c>
      <c r="AT240" s="18">
        <v>0</v>
      </c>
      <c r="AU240" s="18">
        <v>0</v>
      </c>
      <c r="AV240" s="18">
        <v>0</v>
      </c>
      <c r="AW240" s="18">
        <v>0</v>
      </c>
      <c r="AX240" s="18">
        <v>0</v>
      </c>
    </row>
    <row r="241" spans="1:50" x14ac:dyDescent="0.25">
      <c r="A241" s="8" t="s">
        <v>326</v>
      </c>
      <c r="B241" s="10" t="s">
        <v>57</v>
      </c>
      <c r="C241" s="16">
        <v>0</v>
      </c>
      <c r="D241" s="16">
        <v>0</v>
      </c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0</v>
      </c>
      <c r="Q241" s="16">
        <v>0</v>
      </c>
      <c r="R241" s="16">
        <v>0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16">
        <v>0</v>
      </c>
      <c r="AE241" s="16">
        <v>0</v>
      </c>
      <c r="AF241" s="16">
        <v>0</v>
      </c>
      <c r="AG241" s="16">
        <v>0</v>
      </c>
      <c r="AH241" s="16">
        <v>0</v>
      </c>
      <c r="AI241" s="16">
        <v>0</v>
      </c>
      <c r="AJ241" s="16">
        <v>0</v>
      </c>
      <c r="AK241" s="16">
        <v>0</v>
      </c>
      <c r="AL241" s="16">
        <v>0</v>
      </c>
      <c r="AM241" s="16">
        <v>0</v>
      </c>
      <c r="AN241" s="16">
        <v>0</v>
      </c>
      <c r="AO241" s="16">
        <v>0</v>
      </c>
      <c r="AP241" s="16">
        <v>0</v>
      </c>
      <c r="AQ241" s="16">
        <v>0</v>
      </c>
      <c r="AR241" s="16">
        <v>0</v>
      </c>
      <c r="AS241" s="16">
        <v>0</v>
      </c>
      <c r="AT241" s="16">
        <v>0</v>
      </c>
      <c r="AU241" s="16">
        <v>0</v>
      </c>
      <c r="AV241" s="16">
        <v>0</v>
      </c>
      <c r="AW241" s="16">
        <v>0</v>
      </c>
      <c r="AX241" s="16">
        <v>0</v>
      </c>
    </row>
    <row r="242" spans="1:50" x14ac:dyDescent="0.25">
      <c r="A242" s="17" t="s">
        <v>611</v>
      </c>
      <c r="B242" s="13" t="s">
        <v>410</v>
      </c>
      <c r="C242" s="18">
        <v>0</v>
      </c>
      <c r="D242" s="18">
        <v>0</v>
      </c>
      <c r="E242" s="18">
        <v>0</v>
      </c>
      <c r="F242" s="18">
        <v>0</v>
      </c>
      <c r="G242" s="18">
        <v>0</v>
      </c>
      <c r="H242" s="18">
        <v>0</v>
      </c>
      <c r="I242" s="18">
        <v>0</v>
      </c>
      <c r="J242" s="18">
        <v>1.6999999999999999E-3</v>
      </c>
      <c r="K242" s="18">
        <v>2.4899999999999999E-2</v>
      </c>
      <c r="L242" s="18">
        <v>0.1163</v>
      </c>
      <c r="M242" s="18">
        <v>0.23069999999999999</v>
      </c>
      <c r="N242" s="18">
        <v>0.37090000000000001</v>
      </c>
      <c r="O242" s="18">
        <v>0.52400000000000002</v>
      </c>
      <c r="P242" s="18">
        <v>0.67889999999999995</v>
      </c>
      <c r="Q242" s="18">
        <v>0.83299999999999996</v>
      </c>
      <c r="R242" s="18">
        <v>0.98729999999999996</v>
      </c>
      <c r="S242" s="18">
        <v>1.1322000000000001</v>
      </c>
      <c r="T242" s="18">
        <v>1.2683</v>
      </c>
      <c r="U242" s="18">
        <v>1.3843000000000001</v>
      </c>
      <c r="V242" s="18">
        <v>1.4832000000000001</v>
      </c>
      <c r="W242" s="18">
        <v>1.57</v>
      </c>
      <c r="X242" s="18">
        <v>1.6416999999999999</v>
      </c>
      <c r="Y242" s="18">
        <v>1.6924999999999999</v>
      </c>
      <c r="Z242" s="18">
        <v>1.7148000000000001</v>
      </c>
      <c r="AA242" s="18">
        <v>1.7212000000000001</v>
      </c>
      <c r="AB242" s="18">
        <v>1.7092000000000001</v>
      </c>
      <c r="AC242" s="18">
        <v>1.6686000000000001</v>
      </c>
      <c r="AD242" s="18">
        <v>1.6067</v>
      </c>
      <c r="AE242" s="18">
        <v>1.5327999999999999</v>
      </c>
      <c r="AF242" s="18">
        <v>1.4391</v>
      </c>
      <c r="AG242" s="18">
        <v>1.3395999999999999</v>
      </c>
      <c r="AH242" s="18">
        <v>1.2198</v>
      </c>
      <c r="AI242" s="18">
        <v>1.0849</v>
      </c>
      <c r="AJ242" s="18">
        <v>0.92200000000000004</v>
      </c>
      <c r="AK242" s="18">
        <v>0.76959999999999995</v>
      </c>
      <c r="AL242" s="18">
        <v>0.61299999999999999</v>
      </c>
      <c r="AM242" s="18">
        <v>0.46150000000000002</v>
      </c>
      <c r="AN242" s="18">
        <v>0.31540000000000001</v>
      </c>
      <c r="AO242" s="18">
        <v>0.1842</v>
      </c>
      <c r="AP242" s="18">
        <v>5.3600000000000002E-2</v>
      </c>
      <c r="AQ242" s="18">
        <v>9.9000000000000008E-3</v>
      </c>
      <c r="AR242" s="18">
        <v>0</v>
      </c>
      <c r="AS242" s="18">
        <v>0</v>
      </c>
      <c r="AT242" s="18">
        <v>0</v>
      </c>
      <c r="AU242" s="18">
        <v>0</v>
      </c>
      <c r="AV242" s="18">
        <v>0</v>
      </c>
      <c r="AW242" s="18">
        <v>0</v>
      </c>
      <c r="AX242" s="18">
        <v>0</v>
      </c>
    </row>
    <row r="243" spans="1:50" x14ac:dyDescent="0.25">
      <c r="A243" s="8" t="s">
        <v>328</v>
      </c>
      <c r="B243" s="10" t="s">
        <v>57</v>
      </c>
      <c r="C243" s="16">
        <v>0</v>
      </c>
      <c r="D243" s="16">
        <v>0</v>
      </c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6">
        <v>0</v>
      </c>
      <c r="O243" s="16">
        <v>0</v>
      </c>
      <c r="P243" s="16">
        <v>0</v>
      </c>
      <c r="Q243" s="16">
        <v>0</v>
      </c>
      <c r="R243" s="16">
        <v>0</v>
      </c>
      <c r="S243" s="16">
        <v>0</v>
      </c>
      <c r="T243" s="16">
        <v>0</v>
      </c>
      <c r="U243" s="16">
        <v>0</v>
      </c>
      <c r="V243" s="16">
        <v>0</v>
      </c>
      <c r="W243" s="16">
        <v>0</v>
      </c>
      <c r="X243" s="16">
        <v>0</v>
      </c>
      <c r="Y243" s="16">
        <v>0</v>
      </c>
      <c r="Z243" s="16">
        <v>0</v>
      </c>
      <c r="AA243" s="16">
        <v>0</v>
      </c>
      <c r="AB243" s="16">
        <v>0</v>
      </c>
      <c r="AC243" s="16">
        <v>0</v>
      </c>
      <c r="AD243" s="16">
        <v>0</v>
      </c>
      <c r="AE243" s="16">
        <v>0</v>
      </c>
      <c r="AF243" s="16">
        <v>0</v>
      </c>
      <c r="AG243" s="16">
        <v>0</v>
      </c>
      <c r="AH243" s="16">
        <v>0</v>
      </c>
      <c r="AI243" s="16">
        <v>0</v>
      </c>
      <c r="AJ243" s="16">
        <v>0</v>
      </c>
      <c r="AK243" s="16">
        <v>0</v>
      </c>
      <c r="AL243" s="16">
        <v>0</v>
      </c>
      <c r="AM243" s="16">
        <v>0</v>
      </c>
      <c r="AN243" s="16">
        <v>0</v>
      </c>
      <c r="AO243" s="16">
        <v>0</v>
      </c>
      <c r="AP243" s="16">
        <v>0</v>
      </c>
      <c r="AQ243" s="16">
        <v>0</v>
      </c>
      <c r="AR243" s="16">
        <v>0</v>
      </c>
      <c r="AS243" s="16">
        <v>0</v>
      </c>
      <c r="AT243" s="16">
        <v>0</v>
      </c>
      <c r="AU243" s="16">
        <v>0</v>
      </c>
      <c r="AV243" s="16">
        <v>0</v>
      </c>
      <c r="AW243" s="16">
        <v>0</v>
      </c>
      <c r="AX243" s="16">
        <v>0</v>
      </c>
    </row>
    <row r="244" spans="1:50" x14ac:dyDescent="0.25">
      <c r="A244" s="17" t="s">
        <v>613</v>
      </c>
      <c r="B244" s="13" t="s">
        <v>410</v>
      </c>
      <c r="C244" s="18">
        <v>0</v>
      </c>
      <c r="D244" s="18">
        <v>0</v>
      </c>
      <c r="E244" s="18">
        <v>0</v>
      </c>
      <c r="F244" s="18">
        <v>0</v>
      </c>
      <c r="G244" s="18">
        <v>0</v>
      </c>
      <c r="H244" s="18">
        <v>0</v>
      </c>
      <c r="I244" s="18">
        <v>0</v>
      </c>
      <c r="J244" s="18">
        <v>3.3999999999999998E-3</v>
      </c>
      <c r="K244" s="18">
        <v>4.9700000000000001E-2</v>
      </c>
      <c r="L244" s="18">
        <v>0.2326</v>
      </c>
      <c r="M244" s="18">
        <v>0.46129999999999999</v>
      </c>
      <c r="N244" s="18">
        <v>0.7419</v>
      </c>
      <c r="O244" s="18">
        <v>1.0479000000000001</v>
      </c>
      <c r="P244" s="18">
        <v>1.3576999999999999</v>
      </c>
      <c r="Q244" s="18">
        <v>1.6659999999999999</v>
      </c>
      <c r="R244" s="18">
        <v>1.9745999999999999</v>
      </c>
      <c r="S244" s="18">
        <v>2.2643</v>
      </c>
      <c r="T244" s="18">
        <v>2.5367000000000002</v>
      </c>
      <c r="U244" s="18">
        <v>2.7686000000000002</v>
      </c>
      <c r="V244" s="18">
        <v>2.9664000000000001</v>
      </c>
      <c r="W244" s="18">
        <v>3.14</v>
      </c>
      <c r="X244" s="18">
        <v>3.2833000000000001</v>
      </c>
      <c r="Y244" s="18">
        <v>3.3849999999999998</v>
      </c>
      <c r="Z244" s="18">
        <v>3.4296000000000002</v>
      </c>
      <c r="AA244" s="18">
        <v>3.4424999999999999</v>
      </c>
      <c r="AB244" s="18">
        <v>3.4182999999999999</v>
      </c>
      <c r="AC244" s="18">
        <v>3.3372000000000002</v>
      </c>
      <c r="AD244" s="18">
        <v>3.2132999999999998</v>
      </c>
      <c r="AE244" s="18">
        <v>3.0655000000000001</v>
      </c>
      <c r="AF244" s="18">
        <v>2.8782000000000001</v>
      </c>
      <c r="AG244" s="18">
        <v>2.6791</v>
      </c>
      <c r="AH244" s="18">
        <v>2.4396</v>
      </c>
      <c r="AI244" s="18">
        <v>2.1698</v>
      </c>
      <c r="AJ244" s="18">
        <v>1.8441000000000001</v>
      </c>
      <c r="AK244" s="18">
        <v>1.5391999999999999</v>
      </c>
      <c r="AL244" s="18">
        <v>1.2259</v>
      </c>
      <c r="AM244" s="18">
        <v>0.92290000000000005</v>
      </c>
      <c r="AN244" s="18">
        <v>0.63080000000000003</v>
      </c>
      <c r="AO244" s="18">
        <v>0.36830000000000002</v>
      </c>
      <c r="AP244" s="18">
        <v>0.1072</v>
      </c>
      <c r="AQ244" s="18">
        <v>1.9800000000000002E-2</v>
      </c>
      <c r="AR244" s="18">
        <v>0</v>
      </c>
      <c r="AS244" s="18">
        <v>0</v>
      </c>
      <c r="AT244" s="18">
        <v>0</v>
      </c>
      <c r="AU244" s="18">
        <v>0</v>
      </c>
      <c r="AV244" s="18">
        <v>0</v>
      </c>
      <c r="AW244" s="18">
        <v>0</v>
      </c>
      <c r="AX244" s="18">
        <v>0</v>
      </c>
    </row>
    <row r="245" spans="1:50" x14ac:dyDescent="0.25">
      <c r="A245" s="17" t="s">
        <v>615</v>
      </c>
      <c r="B245" s="13" t="s">
        <v>410</v>
      </c>
      <c r="C245" s="18">
        <v>0</v>
      </c>
      <c r="D245" s="18">
        <v>0</v>
      </c>
      <c r="E245" s="18">
        <v>0</v>
      </c>
      <c r="F245" s="18">
        <v>0</v>
      </c>
      <c r="G245" s="18">
        <v>0</v>
      </c>
      <c r="H245" s="18">
        <v>0</v>
      </c>
      <c r="I245" s="18">
        <v>0</v>
      </c>
      <c r="J245" s="18">
        <v>2.2000000000000001E-3</v>
      </c>
      <c r="K245" s="18">
        <v>3.1099999999999999E-2</v>
      </c>
      <c r="L245" s="18">
        <v>0.1454</v>
      </c>
      <c r="M245" s="18">
        <v>0.2883</v>
      </c>
      <c r="N245" s="18">
        <v>0.4637</v>
      </c>
      <c r="O245" s="18">
        <v>0.65490000000000004</v>
      </c>
      <c r="P245" s="18">
        <v>0.84860000000000002</v>
      </c>
      <c r="Q245" s="18">
        <v>1.0411999999999999</v>
      </c>
      <c r="R245" s="18">
        <v>1.2341</v>
      </c>
      <c r="S245" s="18">
        <v>1.4152</v>
      </c>
      <c r="T245" s="18">
        <v>1.5853999999999999</v>
      </c>
      <c r="U245" s="18">
        <v>1.7303999999999999</v>
      </c>
      <c r="V245" s="18">
        <v>1.8540000000000001</v>
      </c>
      <c r="W245" s="18">
        <v>1.9624999999999999</v>
      </c>
      <c r="X245" s="18">
        <v>2.0520999999999998</v>
      </c>
      <c r="Y245" s="18">
        <v>2.1156000000000001</v>
      </c>
      <c r="Z245" s="18">
        <v>2.1435</v>
      </c>
      <c r="AA245" s="18">
        <v>2.1516000000000002</v>
      </c>
      <c r="AB245" s="18">
        <v>2.1364999999999998</v>
      </c>
      <c r="AC245" s="18">
        <v>2.0857000000000001</v>
      </c>
      <c r="AD245" s="18">
        <v>2.0083000000000002</v>
      </c>
      <c r="AE245" s="18">
        <v>1.9158999999999999</v>
      </c>
      <c r="AF245" s="18">
        <v>1.7988999999999999</v>
      </c>
      <c r="AG245" s="18">
        <v>1.6745000000000001</v>
      </c>
      <c r="AH245" s="18">
        <v>1.5246999999999999</v>
      </c>
      <c r="AI245" s="18">
        <v>1.3561000000000001</v>
      </c>
      <c r="AJ245" s="18">
        <v>1.1525000000000001</v>
      </c>
      <c r="AK245" s="18">
        <v>0.96199999999999997</v>
      </c>
      <c r="AL245" s="18">
        <v>0.76619999999999999</v>
      </c>
      <c r="AM245" s="18">
        <v>0.57679999999999998</v>
      </c>
      <c r="AN245" s="18">
        <v>0.39419999999999999</v>
      </c>
      <c r="AO245" s="18">
        <v>0.23019999999999999</v>
      </c>
      <c r="AP245" s="18">
        <v>6.7000000000000004E-2</v>
      </c>
      <c r="AQ245" s="18">
        <v>1.24E-2</v>
      </c>
      <c r="AR245" s="18">
        <v>0</v>
      </c>
      <c r="AS245" s="18">
        <v>0</v>
      </c>
      <c r="AT245" s="18">
        <v>0</v>
      </c>
      <c r="AU245" s="18">
        <v>0</v>
      </c>
      <c r="AV245" s="18">
        <v>0</v>
      </c>
      <c r="AW245" s="18">
        <v>0</v>
      </c>
      <c r="AX245" s="18">
        <v>0</v>
      </c>
    </row>
    <row r="246" spans="1:50" x14ac:dyDescent="0.25">
      <c r="A246" s="8" t="s">
        <v>330</v>
      </c>
      <c r="B246" s="10" t="s">
        <v>57</v>
      </c>
      <c r="C246" s="16">
        <v>0</v>
      </c>
      <c r="D246" s="16">
        <v>0</v>
      </c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0</v>
      </c>
      <c r="Q246" s="16">
        <v>0</v>
      </c>
      <c r="R246" s="16">
        <v>0</v>
      </c>
      <c r="S246" s="16">
        <v>0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  <c r="AC246" s="16">
        <v>0</v>
      </c>
      <c r="AD246" s="16">
        <v>0</v>
      </c>
      <c r="AE246" s="16">
        <v>0</v>
      </c>
      <c r="AF246" s="16">
        <v>0</v>
      </c>
      <c r="AG246" s="16">
        <v>0</v>
      </c>
      <c r="AH246" s="16">
        <v>0</v>
      </c>
      <c r="AI246" s="16">
        <v>0</v>
      </c>
      <c r="AJ246" s="16">
        <v>0</v>
      </c>
      <c r="AK246" s="16">
        <v>0</v>
      </c>
      <c r="AL246" s="16">
        <v>0</v>
      </c>
      <c r="AM246" s="16">
        <v>0</v>
      </c>
      <c r="AN246" s="16">
        <v>0</v>
      </c>
      <c r="AO246" s="16">
        <v>0</v>
      </c>
      <c r="AP246" s="16">
        <v>0</v>
      </c>
      <c r="AQ246" s="16">
        <v>0</v>
      </c>
      <c r="AR246" s="16">
        <v>0</v>
      </c>
      <c r="AS246" s="16">
        <v>0</v>
      </c>
      <c r="AT246" s="16">
        <v>0</v>
      </c>
      <c r="AU246" s="16">
        <v>0</v>
      </c>
      <c r="AV246" s="16">
        <v>0</v>
      </c>
      <c r="AW246" s="16">
        <v>0</v>
      </c>
      <c r="AX246" s="16">
        <v>0</v>
      </c>
    </row>
    <row r="247" spans="1:50" x14ac:dyDescent="0.25">
      <c r="A247" s="8" t="s">
        <v>332</v>
      </c>
      <c r="B247" s="10" t="s">
        <v>57</v>
      </c>
      <c r="C247" s="16">
        <v>0</v>
      </c>
      <c r="D247" s="16">
        <v>0</v>
      </c>
      <c r="E247" s="16">
        <v>0</v>
      </c>
      <c r="F247" s="16">
        <v>0</v>
      </c>
      <c r="G247" s="16">
        <v>0</v>
      </c>
      <c r="H247" s="16">
        <v>0</v>
      </c>
      <c r="I247" s="16">
        <v>0</v>
      </c>
      <c r="J247" s="16">
        <v>0</v>
      </c>
      <c r="K247" s="16">
        <v>0</v>
      </c>
      <c r="L247" s="16">
        <v>0</v>
      </c>
      <c r="M247" s="16">
        <v>0</v>
      </c>
      <c r="N247" s="16">
        <v>0</v>
      </c>
      <c r="O247" s="16">
        <v>0</v>
      </c>
      <c r="P247" s="16">
        <v>0</v>
      </c>
      <c r="Q247" s="16">
        <v>0</v>
      </c>
      <c r="R247" s="16">
        <v>0</v>
      </c>
      <c r="S247" s="16">
        <v>0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  <c r="AC247" s="16">
        <v>0</v>
      </c>
      <c r="AD247" s="16">
        <v>0</v>
      </c>
      <c r="AE247" s="16">
        <v>0</v>
      </c>
      <c r="AF247" s="16">
        <v>0</v>
      </c>
      <c r="AG247" s="16">
        <v>0</v>
      </c>
      <c r="AH247" s="16">
        <v>0</v>
      </c>
      <c r="AI247" s="16">
        <v>0</v>
      </c>
      <c r="AJ247" s="16">
        <v>0</v>
      </c>
      <c r="AK247" s="16">
        <v>0</v>
      </c>
      <c r="AL247" s="16">
        <v>0</v>
      </c>
      <c r="AM247" s="16">
        <v>0</v>
      </c>
      <c r="AN247" s="16">
        <v>0</v>
      </c>
      <c r="AO247" s="16">
        <v>0</v>
      </c>
      <c r="AP247" s="16">
        <v>0</v>
      </c>
      <c r="AQ247" s="16">
        <v>0</v>
      </c>
      <c r="AR247" s="16">
        <v>0</v>
      </c>
      <c r="AS247" s="16">
        <v>0</v>
      </c>
      <c r="AT247" s="16">
        <v>0</v>
      </c>
      <c r="AU247" s="16">
        <v>0</v>
      </c>
      <c r="AV247" s="16">
        <v>0</v>
      </c>
      <c r="AW247" s="16">
        <v>0</v>
      </c>
      <c r="AX247" s="16">
        <v>0</v>
      </c>
    </row>
    <row r="248" spans="1:50" x14ac:dyDescent="0.25">
      <c r="A248" s="8" t="s">
        <v>334</v>
      </c>
      <c r="B248" s="10" t="s">
        <v>57</v>
      </c>
      <c r="C248" s="16">
        <v>0</v>
      </c>
      <c r="D248" s="16">
        <v>0</v>
      </c>
      <c r="E248" s="16">
        <v>0</v>
      </c>
      <c r="F248" s="16">
        <v>0</v>
      </c>
      <c r="G248" s="16">
        <v>0</v>
      </c>
      <c r="H248" s="16">
        <v>0</v>
      </c>
      <c r="I248" s="16">
        <v>0</v>
      </c>
      <c r="J248" s="16">
        <v>0</v>
      </c>
      <c r="K248" s="16">
        <v>0</v>
      </c>
      <c r="L248" s="16">
        <v>0</v>
      </c>
      <c r="M248" s="16">
        <v>0</v>
      </c>
      <c r="N248" s="16">
        <v>0</v>
      </c>
      <c r="O248" s="16">
        <v>0</v>
      </c>
      <c r="P248" s="16">
        <v>0</v>
      </c>
      <c r="Q248" s="16">
        <v>0</v>
      </c>
      <c r="R248" s="16">
        <v>0</v>
      </c>
      <c r="S248" s="16">
        <v>0</v>
      </c>
      <c r="T248" s="16">
        <v>0</v>
      </c>
      <c r="U248" s="16">
        <v>0</v>
      </c>
      <c r="V248" s="16">
        <v>0</v>
      </c>
      <c r="W248" s="16">
        <v>0</v>
      </c>
      <c r="X248" s="16">
        <v>0</v>
      </c>
      <c r="Y248" s="16">
        <v>0</v>
      </c>
      <c r="Z248" s="16">
        <v>0</v>
      </c>
      <c r="AA248" s="16">
        <v>0</v>
      </c>
      <c r="AB248" s="16">
        <v>0</v>
      </c>
      <c r="AC248" s="16">
        <v>0</v>
      </c>
      <c r="AD248" s="16">
        <v>0</v>
      </c>
      <c r="AE248" s="16">
        <v>0</v>
      </c>
      <c r="AF248" s="16">
        <v>0</v>
      </c>
      <c r="AG248" s="16">
        <v>0</v>
      </c>
      <c r="AH248" s="16">
        <v>0</v>
      </c>
      <c r="AI248" s="16">
        <v>0</v>
      </c>
      <c r="AJ248" s="16">
        <v>0</v>
      </c>
      <c r="AK248" s="16">
        <v>0</v>
      </c>
      <c r="AL248" s="16">
        <v>0</v>
      </c>
      <c r="AM248" s="16">
        <v>0</v>
      </c>
      <c r="AN248" s="16">
        <v>0</v>
      </c>
      <c r="AO248" s="16">
        <v>0</v>
      </c>
      <c r="AP248" s="16">
        <v>0</v>
      </c>
      <c r="AQ248" s="16">
        <v>0</v>
      </c>
      <c r="AR248" s="16">
        <v>0</v>
      </c>
      <c r="AS248" s="16">
        <v>0</v>
      </c>
      <c r="AT248" s="16">
        <v>0</v>
      </c>
      <c r="AU248" s="16">
        <v>0</v>
      </c>
      <c r="AV248" s="16">
        <v>0</v>
      </c>
      <c r="AW248" s="16">
        <v>0</v>
      </c>
      <c r="AX248" s="16">
        <v>0</v>
      </c>
    </row>
    <row r="249" spans="1:50" x14ac:dyDescent="0.25">
      <c r="A249" s="17" t="s">
        <v>617</v>
      </c>
      <c r="B249" s="13" t="s">
        <v>410</v>
      </c>
      <c r="C249" s="18">
        <v>0</v>
      </c>
      <c r="D249" s="18">
        <v>0</v>
      </c>
      <c r="E249" s="18">
        <v>0</v>
      </c>
      <c r="F249" s="18">
        <v>0</v>
      </c>
      <c r="G249" s="18">
        <v>0</v>
      </c>
      <c r="H249" s="18">
        <v>0</v>
      </c>
      <c r="I249" s="18">
        <v>0</v>
      </c>
      <c r="J249" s="18">
        <v>1.2999999999999999E-3</v>
      </c>
      <c r="K249" s="18">
        <v>1.8700000000000001E-2</v>
      </c>
      <c r="L249" s="18">
        <v>8.72E-2</v>
      </c>
      <c r="M249" s="18">
        <v>0.17299999999999999</v>
      </c>
      <c r="N249" s="18">
        <v>0.2782</v>
      </c>
      <c r="O249" s="18">
        <v>0.39300000000000002</v>
      </c>
      <c r="P249" s="18">
        <v>0.50919999999999999</v>
      </c>
      <c r="Q249" s="18">
        <v>0.62470000000000003</v>
      </c>
      <c r="R249" s="18">
        <v>0.74050000000000005</v>
      </c>
      <c r="S249" s="18">
        <v>0.84909999999999997</v>
      </c>
      <c r="T249" s="18">
        <v>0.95120000000000005</v>
      </c>
      <c r="U249" s="18">
        <v>1.0382</v>
      </c>
      <c r="V249" s="18">
        <v>1.1124000000000001</v>
      </c>
      <c r="W249" s="18">
        <v>1.1775</v>
      </c>
      <c r="X249" s="18">
        <v>1.2312000000000001</v>
      </c>
      <c r="Y249" s="18">
        <v>1.2694000000000001</v>
      </c>
      <c r="Z249" s="18">
        <v>1.2861</v>
      </c>
      <c r="AA249" s="18">
        <v>1.2908999999999999</v>
      </c>
      <c r="AB249" s="18">
        <v>1.2819</v>
      </c>
      <c r="AC249" s="18">
        <v>1.2514000000000001</v>
      </c>
      <c r="AD249" s="18">
        <v>1.2050000000000001</v>
      </c>
      <c r="AE249" s="18">
        <v>1.1496</v>
      </c>
      <c r="AF249" s="18">
        <v>1.0792999999999999</v>
      </c>
      <c r="AG249" s="18">
        <v>1.0046999999999999</v>
      </c>
      <c r="AH249" s="18">
        <v>0.91479999999999995</v>
      </c>
      <c r="AI249" s="18">
        <v>0.81369999999999998</v>
      </c>
      <c r="AJ249" s="18">
        <v>0.6915</v>
      </c>
      <c r="AK249" s="18">
        <v>0.57720000000000005</v>
      </c>
      <c r="AL249" s="18">
        <v>0.4597</v>
      </c>
      <c r="AM249" s="18">
        <v>0.34610000000000002</v>
      </c>
      <c r="AN249" s="18">
        <v>0.23649999999999999</v>
      </c>
      <c r="AO249" s="18">
        <v>0.1381</v>
      </c>
      <c r="AP249" s="18">
        <v>4.02E-2</v>
      </c>
      <c r="AQ249" s="18">
        <v>7.4000000000000003E-3</v>
      </c>
      <c r="AR249" s="18">
        <v>0</v>
      </c>
      <c r="AS249" s="18">
        <v>0</v>
      </c>
      <c r="AT249" s="18">
        <v>0</v>
      </c>
      <c r="AU249" s="18">
        <v>0</v>
      </c>
      <c r="AV249" s="18">
        <v>0</v>
      </c>
      <c r="AW249" s="18">
        <v>0</v>
      </c>
      <c r="AX249" s="18">
        <v>0</v>
      </c>
    </row>
    <row r="250" spans="1:50" x14ac:dyDescent="0.25">
      <c r="A250" s="8" t="s">
        <v>336</v>
      </c>
      <c r="B250" s="10" t="s">
        <v>57</v>
      </c>
      <c r="C250" s="16">
        <v>0</v>
      </c>
      <c r="D250" s="16">
        <v>0</v>
      </c>
      <c r="E250" s="16">
        <v>0</v>
      </c>
      <c r="F250" s="16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0</v>
      </c>
      <c r="L250" s="16">
        <v>0</v>
      </c>
      <c r="M250" s="16">
        <v>0</v>
      </c>
      <c r="N250" s="16">
        <v>0</v>
      </c>
      <c r="O250" s="16">
        <v>0</v>
      </c>
      <c r="P250" s="16">
        <v>0</v>
      </c>
      <c r="Q250" s="16">
        <v>0</v>
      </c>
      <c r="R250" s="16">
        <v>0</v>
      </c>
      <c r="S250" s="16">
        <v>0</v>
      </c>
      <c r="T250" s="16">
        <v>0</v>
      </c>
      <c r="U250" s="16">
        <v>0</v>
      </c>
      <c r="V250" s="16">
        <v>0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  <c r="AC250" s="16">
        <v>0</v>
      </c>
      <c r="AD250" s="16">
        <v>0</v>
      </c>
      <c r="AE250" s="16">
        <v>0</v>
      </c>
      <c r="AF250" s="16">
        <v>0</v>
      </c>
      <c r="AG250" s="16">
        <v>0</v>
      </c>
      <c r="AH250" s="16">
        <v>0</v>
      </c>
      <c r="AI250" s="16">
        <v>0</v>
      </c>
      <c r="AJ250" s="16">
        <v>0</v>
      </c>
      <c r="AK250" s="16">
        <v>0</v>
      </c>
      <c r="AL250" s="16">
        <v>0</v>
      </c>
      <c r="AM250" s="16">
        <v>0</v>
      </c>
      <c r="AN250" s="16">
        <v>0</v>
      </c>
      <c r="AO250" s="16">
        <v>0</v>
      </c>
      <c r="AP250" s="16">
        <v>0</v>
      </c>
      <c r="AQ250" s="16">
        <v>0</v>
      </c>
      <c r="AR250" s="16">
        <v>0</v>
      </c>
      <c r="AS250" s="16">
        <v>0</v>
      </c>
      <c r="AT250" s="16">
        <v>0</v>
      </c>
      <c r="AU250" s="16">
        <v>0</v>
      </c>
      <c r="AV250" s="16">
        <v>0</v>
      </c>
      <c r="AW250" s="16">
        <v>0</v>
      </c>
      <c r="AX250" s="16">
        <v>0</v>
      </c>
    </row>
    <row r="251" spans="1:50" x14ac:dyDescent="0.25">
      <c r="A251" s="8" t="s">
        <v>338</v>
      </c>
      <c r="B251" s="10" t="s">
        <v>57</v>
      </c>
      <c r="C251" s="16">
        <v>0</v>
      </c>
      <c r="D251" s="16">
        <v>0</v>
      </c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6">
        <v>0</v>
      </c>
      <c r="AG251" s="16">
        <v>0</v>
      </c>
      <c r="AH251" s="16">
        <v>0</v>
      </c>
      <c r="AI251" s="16">
        <v>0</v>
      </c>
      <c r="AJ251" s="16">
        <v>0</v>
      </c>
      <c r="AK251" s="16">
        <v>0</v>
      </c>
      <c r="AL251" s="16">
        <v>0</v>
      </c>
      <c r="AM251" s="16">
        <v>0</v>
      </c>
      <c r="AN251" s="16">
        <v>0</v>
      </c>
      <c r="AO251" s="16">
        <v>0</v>
      </c>
      <c r="AP251" s="16">
        <v>0</v>
      </c>
      <c r="AQ251" s="16">
        <v>0</v>
      </c>
      <c r="AR251" s="16">
        <v>0</v>
      </c>
      <c r="AS251" s="16">
        <v>0</v>
      </c>
      <c r="AT251" s="16">
        <v>0</v>
      </c>
      <c r="AU251" s="16">
        <v>0</v>
      </c>
      <c r="AV251" s="16">
        <v>0</v>
      </c>
      <c r="AW251" s="16">
        <v>0</v>
      </c>
      <c r="AX251" s="16">
        <v>0</v>
      </c>
    </row>
    <row r="252" spans="1:50" x14ac:dyDescent="0.25">
      <c r="A252" s="8" t="s">
        <v>340</v>
      </c>
      <c r="B252" s="10" t="s">
        <v>57</v>
      </c>
      <c r="C252" s="16">
        <v>0</v>
      </c>
      <c r="D252" s="16">
        <v>0</v>
      </c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0</v>
      </c>
      <c r="S252" s="16">
        <v>0</v>
      </c>
      <c r="T252" s="16">
        <v>0</v>
      </c>
      <c r="U252" s="16">
        <v>0</v>
      </c>
      <c r="V252" s="16">
        <v>0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  <c r="AC252" s="16">
        <v>0</v>
      </c>
      <c r="AD252" s="16">
        <v>0</v>
      </c>
      <c r="AE252" s="16">
        <v>0</v>
      </c>
      <c r="AF252" s="16">
        <v>0</v>
      </c>
      <c r="AG252" s="16">
        <v>0</v>
      </c>
      <c r="AH252" s="16">
        <v>0</v>
      </c>
      <c r="AI252" s="16">
        <v>0</v>
      </c>
      <c r="AJ252" s="16">
        <v>0</v>
      </c>
      <c r="AK252" s="16">
        <v>0</v>
      </c>
      <c r="AL252" s="16">
        <v>0</v>
      </c>
      <c r="AM252" s="16">
        <v>0</v>
      </c>
      <c r="AN252" s="16">
        <v>0</v>
      </c>
      <c r="AO252" s="16">
        <v>0</v>
      </c>
      <c r="AP252" s="16">
        <v>0</v>
      </c>
      <c r="AQ252" s="16">
        <v>0</v>
      </c>
      <c r="AR252" s="16">
        <v>0</v>
      </c>
      <c r="AS252" s="16">
        <v>0</v>
      </c>
      <c r="AT252" s="16">
        <v>0</v>
      </c>
      <c r="AU252" s="16">
        <v>0</v>
      </c>
      <c r="AV252" s="16">
        <v>0</v>
      </c>
      <c r="AW252" s="16">
        <v>0</v>
      </c>
      <c r="AX252" s="16">
        <v>0</v>
      </c>
    </row>
    <row r="253" spans="1:50" x14ac:dyDescent="0.25">
      <c r="A253" s="8" t="s">
        <v>342</v>
      </c>
      <c r="B253" s="10" t="s">
        <v>57</v>
      </c>
      <c r="C253" s="16">
        <v>0</v>
      </c>
      <c r="D253" s="16">
        <v>0</v>
      </c>
      <c r="E253" s="16">
        <v>0</v>
      </c>
      <c r="F253" s="16">
        <v>0</v>
      </c>
      <c r="G253" s="16">
        <v>0</v>
      </c>
      <c r="H253" s="16">
        <v>0</v>
      </c>
      <c r="I253" s="16">
        <v>0</v>
      </c>
      <c r="J253" s="16">
        <v>0</v>
      </c>
      <c r="K253" s="16">
        <v>0</v>
      </c>
      <c r="L253" s="16">
        <v>0</v>
      </c>
      <c r="M253" s="16">
        <v>0</v>
      </c>
      <c r="N253" s="16">
        <v>0</v>
      </c>
      <c r="O253" s="16">
        <v>0</v>
      </c>
      <c r="P253" s="16">
        <v>0</v>
      </c>
      <c r="Q253" s="16">
        <v>0</v>
      </c>
      <c r="R253" s="16">
        <v>0</v>
      </c>
      <c r="S253" s="16">
        <v>0</v>
      </c>
      <c r="T253" s="16">
        <v>0</v>
      </c>
      <c r="U253" s="16">
        <v>0</v>
      </c>
      <c r="V253" s="16">
        <v>0</v>
      </c>
      <c r="W253" s="16">
        <v>0</v>
      </c>
      <c r="X253" s="16">
        <v>0</v>
      </c>
      <c r="Y253" s="16">
        <v>0</v>
      </c>
      <c r="Z253" s="16">
        <v>0</v>
      </c>
      <c r="AA253" s="16">
        <v>0</v>
      </c>
      <c r="AB253" s="16">
        <v>0</v>
      </c>
      <c r="AC253" s="16">
        <v>0</v>
      </c>
      <c r="AD253" s="16">
        <v>0</v>
      </c>
      <c r="AE253" s="16">
        <v>0</v>
      </c>
      <c r="AF253" s="16">
        <v>0</v>
      </c>
      <c r="AG253" s="16">
        <v>0</v>
      </c>
      <c r="AH253" s="16">
        <v>0</v>
      </c>
      <c r="AI253" s="16">
        <v>0</v>
      </c>
      <c r="AJ253" s="16">
        <v>0</v>
      </c>
      <c r="AK253" s="16">
        <v>0</v>
      </c>
      <c r="AL253" s="16">
        <v>0</v>
      </c>
      <c r="AM253" s="16">
        <v>0</v>
      </c>
      <c r="AN253" s="16">
        <v>0</v>
      </c>
      <c r="AO253" s="16">
        <v>0</v>
      </c>
      <c r="AP253" s="16">
        <v>0</v>
      </c>
      <c r="AQ253" s="16">
        <v>0</v>
      </c>
      <c r="AR253" s="16">
        <v>0</v>
      </c>
      <c r="AS253" s="16">
        <v>0</v>
      </c>
      <c r="AT253" s="16">
        <v>0</v>
      </c>
      <c r="AU253" s="16">
        <v>0</v>
      </c>
      <c r="AV253" s="16">
        <v>0</v>
      </c>
      <c r="AW253" s="16">
        <v>0</v>
      </c>
      <c r="AX253" s="16">
        <v>0</v>
      </c>
    </row>
    <row r="254" spans="1:50" x14ac:dyDescent="0.25">
      <c r="A254" s="8" t="s">
        <v>344</v>
      </c>
      <c r="B254" s="10" t="s">
        <v>57</v>
      </c>
      <c r="C254" s="16">
        <v>0</v>
      </c>
      <c r="D254" s="16">
        <v>0</v>
      </c>
      <c r="E254" s="16">
        <v>0</v>
      </c>
      <c r="F254" s="16">
        <v>0</v>
      </c>
      <c r="G254" s="16">
        <v>0</v>
      </c>
      <c r="H254" s="16">
        <v>0</v>
      </c>
      <c r="I254" s="16">
        <v>0</v>
      </c>
      <c r="J254" s="16">
        <v>0</v>
      </c>
      <c r="K254" s="16">
        <v>0</v>
      </c>
      <c r="L254" s="16">
        <v>0</v>
      </c>
      <c r="M254" s="16">
        <v>0</v>
      </c>
      <c r="N254" s="16">
        <v>0</v>
      </c>
      <c r="O254" s="16">
        <v>0</v>
      </c>
      <c r="P254" s="16">
        <v>0</v>
      </c>
      <c r="Q254" s="16">
        <v>0</v>
      </c>
      <c r="R254" s="16">
        <v>0</v>
      </c>
      <c r="S254" s="16">
        <v>0</v>
      </c>
      <c r="T254" s="16">
        <v>0</v>
      </c>
      <c r="U254" s="16">
        <v>0</v>
      </c>
      <c r="V254" s="16">
        <v>0</v>
      </c>
      <c r="W254" s="16">
        <v>0</v>
      </c>
      <c r="X254" s="16">
        <v>0</v>
      </c>
      <c r="Y254" s="16">
        <v>0</v>
      </c>
      <c r="Z254" s="16">
        <v>0</v>
      </c>
      <c r="AA254" s="16">
        <v>0</v>
      </c>
      <c r="AB254" s="16">
        <v>0</v>
      </c>
      <c r="AC254" s="16">
        <v>0</v>
      </c>
      <c r="AD254" s="16">
        <v>0</v>
      </c>
      <c r="AE254" s="16">
        <v>0</v>
      </c>
      <c r="AF254" s="16">
        <v>0</v>
      </c>
      <c r="AG254" s="16">
        <v>0</v>
      </c>
      <c r="AH254" s="16">
        <v>0</v>
      </c>
      <c r="AI254" s="16">
        <v>0</v>
      </c>
      <c r="AJ254" s="16">
        <v>0</v>
      </c>
      <c r="AK254" s="16">
        <v>0</v>
      </c>
      <c r="AL254" s="16">
        <v>0</v>
      </c>
      <c r="AM254" s="16">
        <v>0</v>
      </c>
      <c r="AN254" s="16">
        <v>0</v>
      </c>
      <c r="AO254" s="16">
        <v>0</v>
      </c>
      <c r="AP254" s="16">
        <v>0</v>
      </c>
      <c r="AQ254" s="16">
        <v>0</v>
      </c>
      <c r="AR254" s="16">
        <v>0</v>
      </c>
      <c r="AS254" s="16">
        <v>0</v>
      </c>
      <c r="AT254" s="16">
        <v>0</v>
      </c>
      <c r="AU254" s="16">
        <v>0</v>
      </c>
      <c r="AV254" s="16">
        <v>0</v>
      </c>
      <c r="AW254" s="16">
        <v>0</v>
      </c>
      <c r="AX254" s="16">
        <v>0</v>
      </c>
    </row>
    <row r="255" spans="1:50" x14ac:dyDescent="0.25">
      <c r="A255" s="8" t="s">
        <v>346</v>
      </c>
      <c r="B255" s="10" t="s">
        <v>57</v>
      </c>
      <c r="C255" s="16">
        <v>0</v>
      </c>
      <c r="D255" s="16">
        <v>0</v>
      </c>
      <c r="E255" s="16">
        <v>0</v>
      </c>
      <c r="F255" s="16">
        <v>0</v>
      </c>
      <c r="G255" s="16">
        <v>0</v>
      </c>
      <c r="H255" s="16">
        <v>0</v>
      </c>
      <c r="I255" s="16">
        <v>0</v>
      </c>
      <c r="J255" s="16">
        <v>0</v>
      </c>
      <c r="K255" s="16">
        <v>0</v>
      </c>
      <c r="L255" s="16">
        <v>0</v>
      </c>
      <c r="M255" s="16">
        <v>0</v>
      </c>
      <c r="N255" s="16">
        <v>0</v>
      </c>
      <c r="O255" s="16">
        <v>0</v>
      </c>
      <c r="P255" s="16">
        <v>0</v>
      </c>
      <c r="Q255" s="16">
        <v>0</v>
      </c>
      <c r="R255" s="16">
        <v>0</v>
      </c>
      <c r="S255" s="16">
        <v>0</v>
      </c>
      <c r="T255" s="16">
        <v>0</v>
      </c>
      <c r="U255" s="16">
        <v>0</v>
      </c>
      <c r="V255" s="16">
        <v>0</v>
      </c>
      <c r="W255" s="16">
        <v>0</v>
      </c>
      <c r="X255" s="16">
        <v>0</v>
      </c>
      <c r="Y255" s="16">
        <v>0</v>
      </c>
      <c r="Z255" s="16">
        <v>0</v>
      </c>
      <c r="AA255" s="16">
        <v>0</v>
      </c>
      <c r="AB255" s="16">
        <v>0</v>
      </c>
      <c r="AC255" s="16">
        <v>0</v>
      </c>
      <c r="AD255" s="16">
        <v>0</v>
      </c>
      <c r="AE255" s="16">
        <v>0</v>
      </c>
      <c r="AF255" s="16">
        <v>0</v>
      </c>
      <c r="AG255" s="16">
        <v>0</v>
      </c>
      <c r="AH255" s="16">
        <v>0</v>
      </c>
      <c r="AI255" s="16">
        <v>0</v>
      </c>
      <c r="AJ255" s="16">
        <v>0</v>
      </c>
      <c r="AK255" s="16">
        <v>0</v>
      </c>
      <c r="AL255" s="16">
        <v>0</v>
      </c>
      <c r="AM255" s="16">
        <v>0</v>
      </c>
      <c r="AN255" s="16">
        <v>0</v>
      </c>
      <c r="AO255" s="16">
        <v>0</v>
      </c>
      <c r="AP255" s="16">
        <v>0</v>
      </c>
      <c r="AQ255" s="16">
        <v>0</v>
      </c>
      <c r="AR255" s="16">
        <v>0</v>
      </c>
      <c r="AS255" s="16">
        <v>0</v>
      </c>
      <c r="AT255" s="16">
        <v>0</v>
      </c>
      <c r="AU255" s="16">
        <v>0</v>
      </c>
      <c r="AV255" s="16">
        <v>0</v>
      </c>
      <c r="AW255" s="16">
        <v>0</v>
      </c>
      <c r="AX255" s="16">
        <v>0</v>
      </c>
    </row>
    <row r="256" spans="1:50" x14ac:dyDescent="0.25">
      <c r="A256" s="8" t="s">
        <v>348</v>
      </c>
      <c r="B256" s="10" t="s">
        <v>57</v>
      </c>
      <c r="C256" s="16">
        <v>0</v>
      </c>
      <c r="D256" s="16">
        <v>0</v>
      </c>
      <c r="E256" s="16">
        <v>0</v>
      </c>
      <c r="F256" s="16">
        <v>0</v>
      </c>
      <c r="G256" s="16">
        <v>0</v>
      </c>
      <c r="H256" s="16">
        <v>0</v>
      </c>
      <c r="I256" s="16">
        <v>0</v>
      </c>
      <c r="J256" s="16">
        <v>0</v>
      </c>
      <c r="K256" s="16">
        <v>0</v>
      </c>
      <c r="L256" s="16">
        <v>0</v>
      </c>
      <c r="M256" s="16">
        <v>0</v>
      </c>
      <c r="N256" s="16">
        <v>0</v>
      </c>
      <c r="O256" s="16">
        <v>0</v>
      </c>
      <c r="P256" s="16">
        <v>0</v>
      </c>
      <c r="Q256" s="16">
        <v>0</v>
      </c>
      <c r="R256" s="16">
        <v>0</v>
      </c>
      <c r="S256" s="16">
        <v>0</v>
      </c>
      <c r="T256" s="16">
        <v>0</v>
      </c>
      <c r="U256" s="16">
        <v>0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  <c r="AC256" s="16">
        <v>0</v>
      </c>
      <c r="AD256" s="16">
        <v>0</v>
      </c>
      <c r="AE256" s="16">
        <v>0</v>
      </c>
      <c r="AF256" s="16">
        <v>0</v>
      </c>
      <c r="AG256" s="16">
        <v>0</v>
      </c>
      <c r="AH256" s="16">
        <v>0</v>
      </c>
      <c r="AI256" s="16">
        <v>0</v>
      </c>
      <c r="AJ256" s="16">
        <v>0</v>
      </c>
      <c r="AK256" s="16">
        <v>0</v>
      </c>
      <c r="AL256" s="16">
        <v>0</v>
      </c>
      <c r="AM256" s="16">
        <v>0</v>
      </c>
      <c r="AN256" s="16">
        <v>0</v>
      </c>
      <c r="AO256" s="16">
        <v>0</v>
      </c>
      <c r="AP256" s="16">
        <v>0</v>
      </c>
      <c r="AQ256" s="16">
        <v>0</v>
      </c>
      <c r="AR256" s="16">
        <v>0</v>
      </c>
      <c r="AS256" s="16">
        <v>0</v>
      </c>
      <c r="AT256" s="16">
        <v>0</v>
      </c>
      <c r="AU256" s="16">
        <v>0</v>
      </c>
      <c r="AV256" s="16">
        <v>0</v>
      </c>
      <c r="AW256" s="16">
        <v>0</v>
      </c>
      <c r="AX256" s="16">
        <v>0</v>
      </c>
    </row>
    <row r="257" spans="1:50" x14ac:dyDescent="0.25">
      <c r="A257" s="8" t="s">
        <v>350</v>
      </c>
      <c r="B257" s="10" t="s">
        <v>57</v>
      </c>
      <c r="C257" s="16">
        <v>0</v>
      </c>
      <c r="D257" s="16">
        <v>0</v>
      </c>
      <c r="E257" s="16">
        <v>0</v>
      </c>
      <c r="F257" s="16">
        <v>0</v>
      </c>
      <c r="G257" s="16">
        <v>0</v>
      </c>
      <c r="H257" s="16">
        <v>0</v>
      </c>
      <c r="I257" s="16">
        <v>0</v>
      </c>
      <c r="J257" s="16">
        <v>0</v>
      </c>
      <c r="K257" s="16">
        <v>0</v>
      </c>
      <c r="L257" s="16">
        <v>0</v>
      </c>
      <c r="M257" s="16">
        <v>0</v>
      </c>
      <c r="N257" s="16">
        <v>0</v>
      </c>
      <c r="O257" s="16">
        <v>0</v>
      </c>
      <c r="P257" s="16">
        <v>0</v>
      </c>
      <c r="Q257" s="16">
        <v>0</v>
      </c>
      <c r="R257" s="16">
        <v>0</v>
      </c>
      <c r="S257" s="16">
        <v>0</v>
      </c>
      <c r="T257" s="16">
        <v>0</v>
      </c>
      <c r="U257" s="16">
        <v>0</v>
      </c>
      <c r="V257" s="16">
        <v>0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  <c r="AC257" s="16">
        <v>0</v>
      </c>
      <c r="AD257" s="16">
        <v>0</v>
      </c>
      <c r="AE257" s="16">
        <v>0</v>
      </c>
      <c r="AF257" s="16">
        <v>0</v>
      </c>
      <c r="AG257" s="16">
        <v>0</v>
      </c>
      <c r="AH257" s="16">
        <v>0</v>
      </c>
      <c r="AI257" s="16">
        <v>0</v>
      </c>
      <c r="AJ257" s="16">
        <v>0</v>
      </c>
      <c r="AK257" s="16">
        <v>0</v>
      </c>
      <c r="AL257" s="16">
        <v>0</v>
      </c>
      <c r="AM257" s="16">
        <v>0</v>
      </c>
      <c r="AN257" s="16">
        <v>0</v>
      </c>
      <c r="AO257" s="16">
        <v>0</v>
      </c>
      <c r="AP257" s="16">
        <v>0</v>
      </c>
      <c r="AQ257" s="16">
        <v>0</v>
      </c>
      <c r="AR257" s="16">
        <v>0</v>
      </c>
      <c r="AS257" s="16">
        <v>0</v>
      </c>
      <c r="AT257" s="16">
        <v>0</v>
      </c>
      <c r="AU257" s="16">
        <v>0</v>
      </c>
      <c r="AV257" s="16">
        <v>0</v>
      </c>
      <c r="AW257" s="16">
        <v>0</v>
      </c>
      <c r="AX257" s="16">
        <v>0</v>
      </c>
    </row>
    <row r="258" spans="1:50" x14ac:dyDescent="0.25">
      <c r="A258" s="17" t="s">
        <v>619</v>
      </c>
      <c r="B258" s="13" t="s">
        <v>410</v>
      </c>
      <c r="C258" s="18">
        <v>0</v>
      </c>
      <c r="D258" s="18">
        <v>0</v>
      </c>
      <c r="E258" s="18">
        <v>0</v>
      </c>
      <c r="F258" s="18">
        <v>0</v>
      </c>
      <c r="G258" s="18">
        <v>0</v>
      </c>
      <c r="H258" s="18">
        <v>0</v>
      </c>
      <c r="I258" s="18">
        <v>0</v>
      </c>
      <c r="J258" s="18">
        <v>1.6999999999999999E-3</v>
      </c>
      <c r="K258" s="18">
        <v>2.4899999999999999E-2</v>
      </c>
      <c r="L258" s="18">
        <v>0.1163</v>
      </c>
      <c r="M258" s="18">
        <v>0.23069999999999999</v>
      </c>
      <c r="N258" s="18">
        <v>0.37090000000000001</v>
      </c>
      <c r="O258" s="18">
        <v>0.52400000000000002</v>
      </c>
      <c r="P258" s="18">
        <v>0.67889999999999995</v>
      </c>
      <c r="Q258" s="18">
        <v>0.83299999999999996</v>
      </c>
      <c r="R258" s="18">
        <v>0.98729999999999996</v>
      </c>
      <c r="S258" s="18">
        <v>1.1322000000000001</v>
      </c>
      <c r="T258" s="18">
        <v>1.2683</v>
      </c>
      <c r="U258" s="18">
        <v>1.3843000000000001</v>
      </c>
      <c r="V258" s="18">
        <v>1.4832000000000001</v>
      </c>
      <c r="W258" s="18">
        <v>1.57</v>
      </c>
      <c r="X258" s="18">
        <v>1.6416999999999999</v>
      </c>
      <c r="Y258" s="18">
        <v>1.6924999999999999</v>
      </c>
      <c r="Z258" s="18">
        <v>1.7148000000000001</v>
      </c>
      <c r="AA258" s="18">
        <v>1.7212000000000001</v>
      </c>
      <c r="AB258" s="18">
        <v>1.7092000000000001</v>
      </c>
      <c r="AC258" s="18">
        <v>1.6686000000000001</v>
      </c>
      <c r="AD258" s="18">
        <v>1.6067</v>
      </c>
      <c r="AE258" s="18">
        <v>1.5327999999999999</v>
      </c>
      <c r="AF258" s="18">
        <v>1.4391</v>
      </c>
      <c r="AG258" s="18">
        <v>1.3395999999999999</v>
      </c>
      <c r="AH258" s="18">
        <v>1.2198</v>
      </c>
      <c r="AI258" s="18">
        <v>1.0849</v>
      </c>
      <c r="AJ258" s="18">
        <v>0.92200000000000004</v>
      </c>
      <c r="AK258" s="18">
        <v>0.76959999999999995</v>
      </c>
      <c r="AL258" s="18">
        <v>0.61299999999999999</v>
      </c>
      <c r="AM258" s="18">
        <v>0.46150000000000002</v>
      </c>
      <c r="AN258" s="18">
        <v>0.31540000000000001</v>
      </c>
      <c r="AO258" s="18">
        <v>0.1842</v>
      </c>
      <c r="AP258" s="18">
        <v>5.3600000000000002E-2</v>
      </c>
      <c r="AQ258" s="18">
        <v>9.9000000000000008E-3</v>
      </c>
      <c r="AR258" s="18">
        <v>0</v>
      </c>
      <c r="AS258" s="18">
        <v>0</v>
      </c>
      <c r="AT258" s="18">
        <v>0</v>
      </c>
      <c r="AU258" s="18">
        <v>0</v>
      </c>
      <c r="AV258" s="18">
        <v>0</v>
      </c>
      <c r="AW258" s="18">
        <v>0</v>
      </c>
      <c r="AX258" s="18">
        <v>0</v>
      </c>
    </row>
    <row r="259" spans="1:50" x14ac:dyDescent="0.25">
      <c r="A259" s="8" t="s">
        <v>352</v>
      </c>
      <c r="B259" s="10" t="s">
        <v>57</v>
      </c>
      <c r="C259" s="16">
        <v>0</v>
      </c>
      <c r="D259" s="16">
        <v>0</v>
      </c>
      <c r="E259" s="16">
        <v>0</v>
      </c>
      <c r="F259" s="16">
        <v>0</v>
      </c>
      <c r="G259" s="16">
        <v>0</v>
      </c>
      <c r="H259" s="16">
        <v>0</v>
      </c>
      <c r="I259" s="16">
        <v>0</v>
      </c>
      <c r="J259" s="16">
        <v>0</v>
      </c>
      <c r="K259" s="16">
        <v>0</v>
      </c>
      <c r="L259" s="16">
        <v>0</v>
      </c>
      <c r="M259" s="16">
        <v>0</v>
      </c>
      <c r="N259" s="16">
        <v>0</v>
      </c>
      <c r="O259" s="16">
        <v>0</v>
      </c>
      <c r="P259" s="16">
        <v>0</v>
      </c>
      <c r="Q259" s="16">
        <v>0</v>
      </c>
      <c r="R259" s="16">
        <v>0</v>
      </c>
      <c r="S259" s="16">
        <v>0</v>
      </c>
      <c r="T259" s="16">
        <v>0</v>
      </c>
      <c r="U259" s="16">
        <v>0</v>
      </c>
      <c r="V259" s="16">
        <v>0</v>
      </c>
      <c r="W259" s="16">
        <v>0</v>
      </c>
      <c r="X259" s="16">
        <v>0</v>
      </c>
      <c r="Y259" s="16">
        <v>0</v>
      </c>
      <c r="Z259" s="16">
        <v>0</v>
      </c>
      <c r="AA259" s="16">
        <v>0</v>
      </c>
      <c r="AB259" s="16">
        <v>0</v>
      </c>
      <c r="AC259" s="16">
        <v>0</v>
      </c>
      <c r="AD259" s="16">
        <v>0</v>
      </c>
      <c r="AE259" s="16">
        <v>0</v>
      </c>
      <c r="AF259" s="16">
        <v>0</v>
      </c>
      <c r="AG259" s="16">
        <v>0</v>
      </c>
      <c r="AH259" s="16">
        <v>0</v>
      </c>
      <c r="AI259" s="16">
        <v>0</v>
      </c>
      <c r="AJ259" s="16">
        <v>0</v>
      </c>
      <c r="AK259" s="16">
        <v>0</v>
      </c>
      <c r="AL259" s="16">
        <v>0</v>
      </c>
      <c r="AM259" s="16">
        <v>0</v>
      </c>
      <c r="AN259" s="16">
        <v>0</v>
      </c>
      <c r="AO259" s="16">
        <v>0</v>
      </c>
      <c r="AP259" s="16">
        <v>0</v>
      </c>
      <c r="AQ259" s="16">
        <v>0</v>
      </c>
      <c r="AR259" s="16">
        <v>0</v>
      </c>
      <c r="AS259" s="16">
        <v>0</v>
      </c>
      <c r="AT259" s="16">
        <v>0</v>
      </c>
      <c r="AU259" s="16">
        <v>0</v>
      </c>
      <c r="AV259" s="16">
        <v>0</v>
      </c>
      <c r="AW259" s="16">
        <v>0</v>
      </c>
      <c r="AX259" s="16">
        <v>0</v>
      </c>
    </row>
    <row r="260" spans="1:50" x14ac:dyDescent="0.25">
      <c r="A260" s="8" t="s">
        <v>354</v>
      </c>
      <c r="B260" s="10" t="s">
        <v>57</v>
      </c>
      <c r="C260" s="16">
        <v>0</v>
      </c>
      <c r="D260" s="16">
        <v>0</v>
      </c>
      <c r="E260" s="16">
        <v>0</v>
      </c>
      <c r="F260" s="16">
        <v>0</v>
      </c>
      <c r="G260" s="16">
        <v>0</v>
      </c>
      <c r="H260" s="16">
        <v>0</v>
      </c>
      <c r="I260" s="16">
        <v>0</v>
      </c>
      <c r="J260" s="16">
        <v>0</v>
      </c>
      <c r="K260" s="16">
        <v>0</v>
      </c>
      <c r="L260" s="16">
        <v>0</v>
      </c>
      <c r="M260" s="16">
        <v>0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  <c r="AC260" s="16">
        <v>0</v>
      </c>
      <c r="AD260" s="16">
        <v>0</v>
      </c>
      <c r="AE260" s="16">
        <v>0</v>
      </c>
      <c r="AF260" s="16">
        <v>0</v>
      </c>
      <c r="AG260" s="16">
        <v>0</v>
      </c>
      <c r="AH260" s="16">
        <v>0</v>
      </c>
      <c r="AI260" s="16">
        <v>0</v>
      </c>
      <c r="AJ260" s="16">
        <v>0</v>
      </c>
      <c r="AK260" s="16">
        <v>0</v>
      </c>
      <c r="AL260" s="16">
        <v>0</v>
      </c>
      <c r="AM260" s="16">
        <v>0</v>
      </c>
      <c r="AN260" s="16">
        <v>0</v>
      </c>
      <c r="AO260" s="16">
        <v>0</v>
      </c>
      <c r="AP260" s="16">
        <v>0</v>
      </c>
      <c r="AQ260" s="16">
        <v>0</v>
      </c>
      <c r="AR260" s="16">
        <v>0</v>
      </c>
      <c r="AS260" s="16">
        <v>0</v>
      </c>
      <c r="AT260" s="16">
        <v>0</v>
      </c>
      <c r="AU260" s="16">
        <v>0</v>
      </c>
      <c r="AV260" s="16">
        <v>0</v>
      </c>
      <c r="AW260" s="16">
        <v>0</v>
      </c>
      <c r="AX260" s="16">
        <v>0</v>
      </c>
    </row>
    <row r="261" spans="1:50" x14ac:dyDescent="0.25">
      <c r="A261" s="17" t="s">
        <v>621</v>
      </c>
      <c r="B261" s="13" t="s">
        <v>410</v>
      </c>
      <c r="C261" s="18">
        <v>0</v>
      </c>
      <c r="D261" s="18">
        <v>0</v>
      </c>
      <c r="E261" s="18">
        <v>0</v>
      </c>
      <c r="F261" s="18">
        <v>0</v>
      </c>
      <c r="G261" s="18">
        <v>0</v>
      </c>
      <c r="H261" s="18">
        <v>0</v>
      </c>
      <c r="I261" s="18">
        <v>0</v>
      </c>
      <c r="J261" s="18">
        <v>1.6999999999999999E-3</v>
      </c>
      <c r="K261" s="18">
        <v>2.4899999999999999E-2</v>
      </c>
      <c r="L261" s="18">
        <v>0.1163</v>
      </c>
      <c r="M261" s="18">
        <v>0.23069999999999999</v>
      </c>
      <c r="N261" s="18">
        <v>0.37090000000000001</v>
      </c>
      <c r="O261" s="18">
        <v>0.52400000000000002</v>
      </c>
      <c r="P261" s="18">
        <v>0.67889999999999995</v>
      </c>
      <c r="Q261" s="18">
        <v>0.83299999999999996</v>
      </c>
      <c r="R261" s="18">
        <v>0.98729999999999996</v>
      </c>
      <c r="S261" s="18">
        <v>1.1322000000000001</v>
      </c>
      <c r="T261" s="18">
        <v>1.2683</v>
      </c>
      <c r="U261" s="18">
        <v>1.3843000000000001</v>
      </c>
      <c r="V261" s="18">
        <v>1.4832000000000001</v>
      </c>
      <c r="W261" s="18">
        <v>1.57</v>
      </c>
      <c r="X261" s="18">
        <v>1.6416999999999999</v>
      </c>
      <c r="Y261" s="18">
        <v>1.6924999999999999</v>
      </c>
      <c r="Z261" s="18">
        <v>1.7148000000000001</v>
      </c>
      <c r="AA261" s="18">
        <v>1.7212000000000001</v>
      </c>
      <c r="AB261" s="18">
        <v>1.7092000000000001</v>
      </c>
      <c r="AC261" s="18">
        <v>1.6686000000000001</v>
      </c>
      <c r="AD261" s="18">
        <v>1.6067</v>
      </c>
      <c r="AE261" s="18">
        <v>1.5327999999999999</v>
      </c>
      <c r="AF261" s="18">
        <v>1.4391</v>
      </c>
      <c r="AG261" s="18">
        <v>1.3395999999999999</v>
      </c>
      <c r="AH261" s="18">
        <v>1.2198</v>
      </c>
      <c r="AI261" s="18">
        <v>1.0849</v>
      </c>
      <c r="AJ261" s="18">
        <v>0.92200000000000004</v>
      </c>
      <c r="AK261" s="18">
        <v>0.76959999999999995</v>
      </c>
      <c r="AL261" s="18">
        <v>0.61299999999999999</v>
      </c>
      <c r="AM261" s="18">
        <v>0.46150000000000002</v>
      </c>
      <c r="AN261" s="18">
        <v>0.31540000000000001</v>
      </c>
      <c r="AO261" s="18">
        <v>0.1842</v>
      </c>
      <c r="AP261" s="18">
        <v>5.3600000000000002E-2</v>
      </c>
      <c r="AQ261" s="18">
        <v>9.9000000000000008E-3</v>
      </c>
      <c r="AR261" s="18">
        <v>0</v>
      </c>
      <c r="AS261" s="18">
        <v>0</v>
      </c>
      <c r="AT261" s="18">
        <v>0</v>
      </c>
      <c r="AU261" s="18">
        <v>0</v>
      </c>
      <c r="AV261" s="18">
        <v>0</v>
      </c>
      <c r="AW261" s="18">
        <v>0</v>
      </c>
      <c r="AX261" s="18">
        <v>0</v>
      </c>
    </row>
    <row r="262" spans="1:50" x14ac:dyDescent="0.25">
      <c r="A262" s="8" t="s">
        <v>356</v>
      </c>
      <c r="B262" s="10" t="s">
        <v>57</v>
      </c>
      <c r="C262" s="16">
        <v>0</v>
      </c>
      <c r="D262" s="16">
        <v>0</v>
      </c>
      <c r="E262" s="16">
        <v>0</v>
      </c>
      <c r="F262" s="16">
        <v>0</v>
      </c>
      <c r="G262" s="16">
        <v>0</v>
      </c>
      <c r="H262" s="16">
        <v>0</v>
      </c>
      <c r="I262" s="16">
        <v>0</v>
      </c>
      <c r="J262" s="16">
        <v>0</v>
      </c>
      <c r="K262" s="16">
        <v>0</v>
      </c>
      <c r="L262" s="16">
        <v>0</v>
      </c>
      <c r="M262" s="16">
        <v>0</v>
      </c>
      <c r="N262" s="16">
        <v>0</v>
      </c>
      <c r="O262" s="16">
        <v>0</v>
      </c>
      <c r="P262" s="16">
        <v>0</v>
      </c>
      <c r="Q262" s="16">
        <v>0</v>
      </c>
      <c r="R262" s="16">
        <v>0</v>
      </c>
      <c r="S262" s="16">
        <v>0</v>
      </c>
      <c r="T262" s="16">
        <v>0</v>
      </c>
      <c r="U262" s="16">
        <v>0</v>
      </c>
      <c r="V262" s="16">
        <v>0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  <c r="AC262" s="16">
        <v>0</v>
      </c>
      <c r="AD262" s="16">
        <v>0</v>
      </c>
      <c r="AE262" s="16">
        <v>0</v>
      </c>
      <c r="AF262" s="16">
        <v>0</v>
      </c>
      <c r="AG262" s="16">
        <v>0</v>
      </c>
      <c r="AH262" s="16">
        <v>0</v>
      </c>
      <c r="AI262" s="16">
        <v>0</v>
      </c>
      <c r="AJ262" s="16">
        <v>0</v>
      </c>
      <c r="AK262" s="16">
        <v>0</v>
      </c>
      <c r="AL262" s="16">
        <v>0</v>
      </c>
      <c r="AM262" s="16">
        <v>0</v>
      </c>
      <c r="AN262" s="16">
        <v>0</v>
      </c>
      <c r="AO262" s="16">
        <v>0</v>
      </c>
      <c r="AP262" s="16">
        <v>0</v>
      </c>
      <c r="AQ262" s="16">
        <v>0</v>
      </c>
      <c r="AR262" s="16">
        <v>0</v>
      </c>
      <c r="AS262" s="16">
        <v>0</v>
      </c>
      <c r="AT262" s="16">
        <v>0</v>
      </c>
      <c r="AU262" s="16">
        <v>0</v>
      </c>
      <c r="AV262" s="16">
        <v>0</v>
      </c>
      <c r="AW262" s="16">
        <v>0</v>
      </c>
      <c r="AX262" s="16">
        <v>0</v>
      </c>
    </row>
    <row r="263" spans="1:50" x14ac:dyDescent="0.25">
      <c r="A263" s="17" t="s">
        <v>623</v>
      </c>
      <c r="B263" s="13" t="s">
        <v>410</v>
      </c>
      <c r="C263" s="18">
        <v>0</v>
      </c>
      <c r="D263" s="18">
        <v>0</v>
      </c>
      <c r="E263" s="18">
        <v>0</v>
      </c>
      <c r="F263" s="18">
        <v>0</v>
      </c>
      <c r="G263" s="18">
        <v>0</v>
      </c>
      <c r="H263" s="18">
        <v>0</v>
      </c>
      <c r="I263" s="18">
        <v>0</v>
      </c>
      <c r="J263" s="18">
        <v>3.0000000000000001E-3</v>
      </c>
      <c r="K263" s="18">
        <v>4.3499999999999997E-2</v>
      </c>
      <c r="L263" s="18">
        <v>0.20349999999999999</v>
      </c>
      <c r="M263" s="18">
        <v>0.4037</v>
      </c>
      <c r="N263" s="18">
        <v>0.64910000000000001</v>
      </c>
      <c r="O263" s="18">
        <v>0.91690000000000005</v>
      </c>
      <c r="P263" s="18">
        <v>1.1879999999999999</v>
      </c>
      <c r="Q263" s="18">
        <v>1.4577</v>
      </c>
      <c r="R263" s="18">
        <v>1.7278</v>
      </c>
      <c r="S263" s="18">
        <v>1.9813000000000001</v>
      </c>
      <c r="T263" s="18">
        <v>2.2195999999999998</v>
      </c>
      <c r="U263" s="18">
        <v>2.4224999999999999</v>
      </c>
      <c r="V263" s="18">
        <v>2.5956000000000001</v>
      </c>
      <c r="W263" s="18">
        <v>2.7475000000000001</v>
      </c>
      <c r="X263" s="18">
        <v>2.8729</v>
      </c>
      <c r="Y263" s="18">
        <v>2.9619</v>
      </c>
      <c r="Z263" s="18">
        <v>3.0009000000000001</v>
      </c>
      <c r="AA263" s="18">
        <v>3.0122</v>
      </c>
      <c r="AB263" s="18">
        <v>2.9910000000000001</v>
      </c>
      <c r="AC263" s="18">
        <v>2.92</v>
      </c>
      <c r="AD263" s="18">
        <v>2.8117000000000001</v>
      </c>
      <c r="AE263" s="18">
        <v>2.6823000000000001</v>
      </c>
      <c r="AF263" s="18">
        <v>2.5184000000000002</v>
      </c>
      <c r="AG263" s="18">
        <v>2.3441999999999998</v>
      </c>
      <c r="AH263" s="18">
        <v>2.1345999999999998</v>
      </c>
      <c r="AI263" s="18">
        <v>1.8986000000000001</v>
      </c>
      <c r="AJ263" s="18">
        <v>1.6135999999999999</v>
      </c>
      <c r="AK263" s="18">
        <v>1.3468</v>
      </c>
      <c r="AL263" s="18">
        <v>1.0727</v>
      </c>
      <c r="AM263" s="18">
        <v>0.80759999999999998</v>
      </c>
      <c r="AN263" s="18">
        <v>0.55189999999999995</v>
      </c>
      <c r="AO263" s="18">
        <v>0.32229999999999998</v>
      </c>
      <c r="AP263" s="18">
        <v>9.3799999999999994E-2</v>
      </c>
      <c r="AQ263" s="18">
        <v>1.7299999999999999E-2</v>
      </c>
      <c r="AR263" s="18">
        <v>0</v>
      </c>
      <c r="AS263" s="18">
        <v>0</v>
      </c>
      <c r="AT263" s="18">
        <v>0</v>
      </c>
      <c r="AU263" s="18">
        <v>0</v>
      </c>
      <c r="AV263" s="18">
        <v>0</v>
      </c>
      <c r="AW263" s="18">
        <v>0</v>
      </c>
      <c r="AX263" s="18">
        <v>0</v>
      </c>
    </row>
    <row r="264" spans="1:50" x14ac:dyDescent="0.25">
      <c r="A264" s="8" t="s">
        <v>358</v>
      </c>
      <c r="B264" s="10" t="s">
        <v>57</v>
      </c>
      <c r="C264" s="16">
        <v>0</v>
      </c>
      <c r="D264" s="16">
        <v>0</v>
      </c>
      <c r="E264" s="16">
        <v>0</v>
      </c>
      <c r="F264" s="16">
        <v>0</v>
      </c>
      <c r="G264" s="16">
        <v>0</v>
      </c>
      <c r="H264" s="16">
        <v>0</v>
      </c>
      <c r="I264" s="16">
        <v>0</v>
      </c>
      <c r="J264" s="16">
        <v>0</v>
      </c>
      <c r="K264" s="16">
        <v>0</v>
      </c>
      <c r="L264" s="16">
        <v>0</v>
      </c>
      <c r="M264" s="16">
        <v>0</v>
      </c>
      <c r="N264" s="16">
        <v>0</v>
      </c>
      <c r="O264" s="16">
        <v>0</v>
      </c>
      <c r="P264" s="16">
        <v>0</v>
      </c>
      <c r="Q264" s="16">
        <v>0</v>
      </c>
      <c r="R264" s="16">
        <v>0</v>
      </c>
      <c r="S264" s="16">
        <v>0</v>
      </c>
      <c r="T264" s="16">
        <v>0</v>
      </c>
      <c r="U264" s="16">
        <v>0</v>
      </c>
      <c r="V264" s="16">
        <v>0</v>
      </c>
      <c r="W264" s="16">
        <v>0</v>
      </c>
      <c r="X264" s="16">
        <v>0</v>
      </c>
      <c r="Y264" s="16">
        <v>0</v>
      </c>
      <c r="Z264" s="16">
        <v>0</v>
      </c>
      <c r="AA264" s="16">
        <v>0</v>
      </c>
      <c r="AB264" s="16">
        <v>0</v>
      </c>
      <c r="AC264" s="16">
        <v>0</v>
      </c>
      <c r="AD264" s="16">
        <v>0</v>
      </c>
      <c r="AE264" s="16">
        <v>0</v>
      </c>
      <c r="AF264" s="16">
        <v>0</v>
      </c>
      <c r="AG264" s="16">
        <v>0</v>
      </c>
      <c r="AH264" s="16">
        <v>0</v>
      </c>
      <c r="AI264" s="16">
        <v>0</v>
      </c>
      <c r="AJ264" s="16">
        <v>0</v>
      </c>
      <c r="AK264" s="16">
        <v>0</v>
      </c>
      <c r="AL264" s="16">
        <v>0</v>
      </c>
      <c r="AM264" s="16">
        <v>0</v>
      </c>
      <c r="AN264" s="16">
        <v>0</v>
      </c>
      <c r="AO264" s="16">
        <v>0</v>
      </c>
      <c r="AP264" s="16">
        <v>0</v>
      </c>
      <c r="AQ264" s="16">
        <v>0</v>
      </c>
      <c r="AR264" s="16">
        <v>0</v>
      </c>
      <c r="AS264" s="16">
        <v>0</v>
      </c>
      <c r="AT264" s="16">
        <v>0</v>
      </c>
      <c r="AU264" s="16">
        <v>0</v>
      </c>
      <c r="AV264" s="16">
        <v>0</v>
      </c>
      <c r="AW264" s="16">
        <v>0</v>
      </c>
      <c r="AX264" s="16">
        <v>0</v>
      </c>
    </row>
    <row r="265" spans="1:50" x14ac:dyDescent="0.25">
      <c r="A265" s="8" t="s">
        <v>360</v>
      </c>
      <c r="B265" s="10" t="s">
        <v>57</v>
      </c>
      <c r="C265" s="16">
        <v>0</v>
      </c>
      <c r="D265" s="16">
        <v>0</v>
      </c>
      <c r="E265" s="16">
        <v>0</v>
      </c>
      <c r="F265" s="16">
        <v>0</v>
      </c>
      <c r="G265" s="16">
        <v>0</v>
      </c>
      <c r="H265" s="16">
        <v>0</v>
      </c>
      <c r="I265" s="16">
        <v>0</v>
      </c>
      <c r="J265" s="16">
        <v>0</v>
      </c>
      <c r="K265" s="16">
        <v>0</v>
      </c>
      <c r="L265" s="16">
        <v>0</v>
      </c>
      <c r="M265" s="16">
        <v>0</v>
      </c>
      <c r="N265" s="16">
        <v>0</v>
      </c>
      <c r="O265" s="16">
        <v>0</v>
      </c>
      <c r="P265" s="16">
        <v>0</v>
      </c>
      <c r="Q265" s="16">
        <v>0</v>
      </c>
      <c r="R265" s="16">
        <v>0</v>
      </c>
      <c r="S265" s="16">
        <v>0</v>
      </c>
      <c r="T265" s="16">
        <v>0</v>
      </c>
      <c r="U265" s="16">
        <v>0</v>
      </c>
      <c r="V265" s="16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  <c r="AC265" s="16">
        <v>0</v>
      </c>
      <c r="AD265" s="16">
        <v>0</v>
      </c>
      <c r="AE265" s="16">
        <v>0</v>
      </c>
      <c r="AF265" s="16">
        <v>0</v>
      </c>
      <c r="AG265" s="16">
        <v>0</v>
      </c>
      <c r="AH265" s="16">
        <v>0</v>
      </c>
      <c r="AI265" s="16">
        <v>0</v>
      </c>
      <c r="AJ265" s="16">
        <v>0</v>
      </c>
      <c r="AK265" s="16">
        <v>0</v>
      </c>
      <c r="AL265" s="16">
        <v>0</v>
      </c>
      <c r="AM265" s="16">
        <v>0</v>
      </c>
      <c r="AN265" s="16">
        <v>0</v>
      </c>
      <c r="AO265" s="16">
        <v>0</v>
      </c>
      <c r="AP265" s="16">
        <v>0</v>
      </c>
      <c r="AQ265" s="16">
        <v>0</v>
      </c>
      <c r="AR265" s="16">
        <v>0</v>
      </c>
      <c r="AS265" s="16">
        <v>0</v>
      </c>
      <c r="AT265" s="16">
        <v>0</v>
      </c>
      <c r="AU265" s="16">
        <v>0</v>
      </c>
      <c r="AV265" s="16">
        <v>0</v>
      </c>
      <c r="AW265" s="16">
        <v>0</v>
      </c>
      <c r="AX265" s="16">
        <v>0</v>
      </c>
    </row>
    <row r="266" spans="1:50" x14ac:dyDescent="0.25">
      <c r="A266" s="8" t="s">
        <v>362</v>
      </c>
      <c r="B266" s="10" t="s">
        <v>57</v>
      </c>
      <c r="C266" s="16">
        <v>0</v>
      </c>
      <c r="D266" s="16">
        <v>0</v>
      </c>
      <c r="E266" s="16">
        <v>0</v>
      </c>
      <c r="F266" s="16">
        <v>0</v>
      </c>
      <c r="G266" s="16">
        <v>0</v>
      </c>
      <c r="H266" s="16">
        <v>0</v>
      </c>
      <c r="I266" s="16">
        <v>0</v>
      </c>
      <c r="J266" s="16">
        <v>0</v>
      </c>
      <c r="K266" s="16">
        <v>0</v>
      </c>
      <c r="L266" s="16">
        <v>0</v>
      </c>
      <c r="M266" s="16">
        <v>0</v>
      </c>
      <c r="N266" s="16">
        <v>0</v>
      </c>
      <c r="O266" s="16">
        <v>0</v>
      </c>
      <c r="P266" s="16">
        <v>0</v>
      </c>
      <c r="Q266" s="16">
        <v>0</v>
      </c>
      <c r="R266" s="16">
        <v>0</v>
      </c>
      <c r="S266" s="16">
        <v>0</v>
      </c>
      <c r="T266" s="16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  <c r="AC266" s="16">
        <v>0</v>
      </c>
      <c r="AD266" s="16">
        <v>0</v>
      </c>
      <c r="AE266" s="16">
        <v>0</v>
      </c>
      <c r="AF266" s="16">
        <v>0</v>
      </c>
      <c r="AG266" s="16">
        <v>0</v>
      </c>
      <c r="AH266" s="16">
        <v>0</v>
      </c>
      <c r="AI266" s="16">
        <v>0</v>
      </c>
      <c r="AJ266" s="16">
        <v>0</v>
      </c>
      <c r="AK266" s="16">
        <v>0</v>
      </c>
      <c r="AL266" s="16">
        <v>0</v>
      </c>
      <c r="AM266" s="16">
        <v>0</v>
      </c>
      <c r="AN266" s="16">
        <v>0</v>
      </c>
      <c r="AO266" s="16">
        <v>0</v>
      </c>
      <c r="AP266" s="16">
        <v>0</v>
      </c>
      <c r="AQ266" s="16">
        <v>0</v>
      </c>
      <c r="AR266" s="16">
        <v>0</v>
      </c>
      <c r="AS266" s="16">
        <v>0</v>
      </c>
      <c r="AT266" s="16">
        <v>0</v>
      </c>
      <c r="AU266" s="16">
        <v>0</v>
      </c>
      <c r="AV266" s="16">
        <v>0</v>
      </c>
      <c r="AW266" s="16">
        <v>0</v>
      </c>
      <c r="AX266" s="16">
        <v>0</v>
      </c>
    </row>
    <row r="267" spans="1:50" x14ac:dyDescent="0.25">
      <c r="A267" s="17" t="s">
        <v>625</v>
      </c>
      <c r="B267" s="13" t="s">
        <v>410</v>
      </c>
      <c r="C267" s="18">
        <v>0</v>
      </c>
      <c r="D267" s="18">
        <v>0</v>
      </c>
      <c r="E267" s="18">
        <v>0</v>
      </c>
      <c r="F267" s="18">
        <v>0</v>
      </c>
      <c r="G267" s="18">
        <v>0</v>
      </c>
      <c r="H267" s="18">
        <v>0</v>
      </c>
      <c r="I267" s="18">
        <v>0</v>
      </c>
      <c r="J267" s="18">
        <v>3.3999999999999998E-3</v>
      </c>
      <c r="K267" s="18">
        <v>4.9700000000000001E-2</v>
      </c>
      <c r="L267" s="18">
        <v>0.2326</v>
      </c>
      <c r="M267" s="18">
        <v>0.46129999999999999</v>
      </c>
      <c r="N267" s="18">
        <v>0.7419</v>
      </c>
      <c r="O267" s="18">
        <v>1.0479000000000001</v>
      </c>
      <c r="P267" s="18">
        <v>1.3576999999999999</v>
      </c>
      <c r="Q267" s="18">
        <v>1.6659999999999999</v>
      </c>
      <c r="R267" s="18">
        <v>1.9745999999999999</v>
      </c>
      <c r="S267" s="18">
        <v>2.2643</v>
      </c>
      <c r="T267" s="18">
        <v>2.5367000000000002</v>
      </c>
      <c r="U267" s="18">
        <v>2.7686000000000002</v>
      </c>
      <c r="V267" s="18">
        <v>2.9664000000000001</v>
      </c>
      <c r="W267" s="18">
        <v>3.14</v>
      </c>
      <c r="X267" s="18">
        <v>3.2833000000000001</v>
      </c>
      <c r="Y267" s="18">
        <v>3.3849999999999998</v>
      </c>
      <c r="Z267" s="18">
        <v>3.4296000000000002</v>
      </c>
      <c r="AA267" s="18">
        <v>3.4424999999999999</v>
      </c>
      <c r="AB267" s="18">
        <v>3.4182999999999999</v>
      </c>
      <c r="AC267" s="18">
        <v>3.3372000000000002</v>
      </c>
      <c r="AD267" s="18">
        <v>3.2132999999999998</v>
      </c>
      <c r="AE267" s="18">
        <v>3.0655000000000001</v>
      </c>
      <c r="AF267" s="18">
        <v>2.8782000000000001</v>
      </c>
      <c r="AG267" s="18">
        <v>2.6791</v>
      </c>
      <c r="AH267" s="18">
        <v>2.4396</v>
      </c>
      <c r="AI267" s="18">
        <v>2.1698</v>
      </c>
      <c r="AJ267" s="18">
        <v>1.8441000000000001</v>
      </c>
      <c r="AK267" s="18">
        <v>1.5391999999999999</v>
      </c>
      <c r="AL267" s="18">
        <v>1.2259</v>
      </c>
      <c r="AM267" s="18">
        <v>0.92290000000000005</v>
      </c>
      <c r="AN267" s="18">
        <v>0.63080000000000003</v>
      </c>
      <c r="AO267" s="18">
        <v>0.36830000000000002</v>
      </c>
      <c r="AP267" s="18">
        <v>0.1072</v>
      </c>
      <c r="AQ267" s="18">
        <v>1.9800000000000002E-2</v>
      </c>
      <c r="AR267" s="18">
        <v>0</v>
      </c>
      <c r="AS267" s="18">
        <v>0</v>
      </c>
      <c r="AT267" s="18">
        <v>0</v>
      </c>
      <c r="AU267" s="18">
        <v>0</v>
      </c>
      <c r="AV267" s="18">
        <v>0</v>
      </c>
      <c r="AW267" s="18">
        <v>0</v>
      </c>
      <c r="AX267" s="18">
        <v>0</v>
      </c>
    </row>
    <row r="268" spans="1:50" x14ac:dyDescent="0.25">
      <c r="A268" s="8" t="s">
        <v>364</v>
      </c>
      <c r="B268" s="10" t="s">
        <v>57</v>
      </c>
      <c r="C268" s="16">
        <v>0</v>
      </c>
      <c r="D268" s="16">
        <v>0</v>
      </c>
      <c r="E268" s="16">
        <v>0</v>
      </c>
      <c r="F268" s="16">
        <v>0</v>
      </c>
      <c r="G268" s="16">
        <v>0</v>
      </c>
      <c r="H268" s="16">
        <v>0</v>
      </c>
      <c r="I268" s="16">
        <v>0</v>
      </c>
      <c r="J268" s="16">
        <v>0</v>
      </c>
      <c r="K268" s="16">
        <v>0</v>
      </c>
      <c r="L268" s="16">
        <v>0</v>
      </c>
      <c r="M268" s="16">
        <v>0</v>
      </c>
      <c r="N268" s="16">
        <v>0</v>
      </c>
      <c r="O268" s="16">
        <v>0</v>
      </c>
      <c r="P268" s="16">
        <v>0</v>
      </c>
      <c r="Q268" s="16">
        <v>0</v>
      </c>
      <c r="R268" s="16">
        <v>0</v>
      </c>
      <c r="S268" s="16">
        <v>0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  <c r="AC268" s="16">
        <v>0</v>
      </c>
      <c r="AD268" s="16">
        <v>0</v>
      </c>
      <c r="AE268" s="16">
        <v>0</v>
      </c>
      <c r="AF268" s="16">
        <v>0</v>
      </c>
      <c r="AG268" s="16">
        <v>0</v>
      </c>
      <c r="AH268" s="16">
        <v>0</v>
      </c>
      <c r="AI268" s="16">
        <v>0</v>
      </c>
      <c r="AJ268" s="16">
        <v>0</v>
      </c>
      <c r="AK268" s="16">
        <v>0</v>
      </c>
      <c r="AL268" s="16">
        <v>0</v>
      </c>
      <c r="AM268" s="16">
        <v>0</v>
      </c>
      <c r="AN268" s="16">
        <v>0</v>
      </c>
      <c r="AO268" s="16">
        <v>0</v>
      </c>
      <c r="AP268" s="16">
        <v>0</v>
      </c>
      <c r="AQ268" s="16">
        <v>0</v>
      </c>
      <c r="AR268" s="16">
        <v>0</v>
      </c>
      <c r="AS268" s="16">
        <v>0</v>
      </c>
      <c r="AT268" s="16">
        <v>0</v>
      </c>
      <c r="AU268" s="16">
        <v>0</v>
      </c>
      <c r="AV268" s="16">
        <v>0</v>
      </c>
      <c r="AW268" s="16">
        <v>0</v>
      </c>
      <c r="AX268" s="16">
        <v>0</v>
      </c>
    </row>
    <row r="269" spans="1:50" x14ac:dyDescent="0.25">
      <c r="A269" s="17" t="s">
        <v>627</v>
      </c>
      <c r="B269" s="13" t="s">
        <v>410</v>
      </c>
      <c r="C269" s="18">
        <v>0</v>
      </c>
      <c r="D269" s="18">
        <v>0</v>
      </c>
      <c r="E269" s="18">
        <v>0</v>
      </c>
      <c r="F269" s="18">
        <v>0</v>
      </c>
      <c r="G269" s="18">
        <v>0</v>
      </c>
      <c r="H269" s="18">
        <v>0</v>
      </c>
      <c r="I269" s="18">
        <v>0</v>
      </c>
      <c r="J269" s="18">
        <v>3.3999999999999998E-3</v>
      </c>
      <c r="K269" s="18">
        <v>4.9700000000000001E-2</v>
      </c>
      <c r="L269" s="18">
        <v>0.2326</v>
      </c>
      <c r="M269" s="18">
        <v>0.46129999999999999</v>
      </c>
      <c r="N269" s="18">
        <v>0.7419</v>
      </c>
      <c r="O269" s="18">
        <v>1.0479000000000001</v>
      </c>
      <c r="P269" s="18">
        <v>1.3576999999999999</v>
      </c>
      <c r="Q269" s="18">
        <v>1.6659999999999999</v>
      </c>
      <c r="R269" s="18">
        <v>1.9745999999999999</v>
      </c>
      <c r="S269" s="18">
        <v>2.2643</v>
      </c>
      <c r="T269" s="18">
        <v>2.5367000000000002</v>
      </c>
      <c r="U269" s="18">
        <v>2.7686000000000002</v>
      </c>
      <c r="V269" s="18">
        <v>2.9664000000000001</v>
      </c>
      <c r="W269" s="18">
        <v>3.14</v>
      </c>
      <c r="X269" s="18">
        <v>3.2833000000000001</v>
      </c>
      <c r="Y269" s="18">
        <v>3.3849999999999998</v>
      </c>
      <c r="Z269" s="18">
        <v>3.4296000000000002</v>
      </c>
      <c r="AA269" s="18">
        <v>3.4424999999999999</v>
      </c>
      <c r="AB269" s="18">
        <v>3.4182999999999999</v>
      </c>
      <c r="AC269" s="18">
        <v>3.3372000000000002</v>
      </c>
      <c r="AD269" s="18">
        <v>3.2132999999999998</v>
      </c>
      <c r="AE269" s="18">
        <v>3.0655000000000001</v>
      </c>
      <c r="AF269" s="18">
        <v>2.8782000000000001</v>
      </c>
      <c r="AG269" s="18">
        <v>2.6791</v>
      </c>
      <c r="AH269" s="18">
        <v>2.4396</v>
      </c>
      <c r="AI269" s="18">
        <v>2.1698</v>
      </c>
      <c r="AJ269" s="18">
        <v>1.8441000000000001</v>
      </c>
      <c r="AK269" s="18">
        <v>1.5391999999999999</v>
      </c>
      <c r="AL269" s="18">
        <v>1.2259</v>
      </c>
      <c r="AM269" s="18">
        <v>0.92290000000000005</v>
      </c>
      <c r="AN269" s="18">
        <v>0.63080000000000003</v>
      </c>
      <c r="AO269" s="18">
        <v>0.36830000000000002</v>
      </c>
      <c r="AP269" s="18">
        <v>0.1072</v>
      </c>
      <c r="AQ269" s="18">
        <v>1.9800000000000002E-2</v>
      </c>
      <c r="AR269" s="18">
        <v>0</v>
      </c>
      <c r="AS269" s="18">
        <v>0</v>
      </c>
      <c r="AT269" s="18">
        <v>0</v>
      </c>
      <c r="AU269" s="18">
        <v>0</v>
      </c>
      <c r="AV269" s="18">
        <v>0</v>
      </c>
      <c r="AW269" s="18">
        <v>0</v>
      </c>
      <c r="AX269" s="18">
        <v>0</v>
      </c>
    </row>
    <row r="270" spans="1:50" x14ac:dyDescent="0.25">
      <c r="A270" s="17" t="s">
        <v>629</v>
      </c>
      <c r="B270" s="13" t="s">
        <v>410</v>
      </c>
      <c r="C270" s="18">
        <v>0</v>
      </c>
      <c r="D270" s="18">
        <v>0</v>
      </c>
      <c r="E270" s="18">
        <v>0</v>
      </c>
      <c r="F270" s="18">
        <v>0</v>
      </c>
      <c r="G270" s="18">
        <v>0</v>
      </c>
      <c r="H270" s="18">
        <v>0</v>
      </c>
      <c r="I270" s="18">
        <v>0</v>
      </c>
      <c r="J270" s="18">
        <v>3.0000000000000001E-3</v>
      </c>
      <c r="K270" s="18">
        <v>4.3499999999999997E-2</v>
      </c>
      <c r="L270" s="18">
        <v>0.20349999999999999</v>
      </c>
      <c r="M270" s="18">
        <v>0.4037</v>
      </c>
      <c r="N270" s="18">
        <v>0.64910000000000001</v>
      </c>
      <c r="O270" s="18">
        <v>0.91690000000000005</v>
      </c>
      <c r="P270" s="18">
        <v>1.1879999999999999</v>
      </c>
      <c r="Q270" s="18">
        <v>1.4577</v>
      </c>
      <c r="R270" s="18">
        <v>1.7278</v>
      </c>
      <c r="S270" s="18">
        <v>1.9813000000000001</v>
      </c>
      <c r="T270" s="18">
        <v>2.2195999999999998</v>
      </c>
      <c r="U270" s="18">
        <v>2.4224999999999999</v>
      </c>
      <c r="V270" s="18">
        <v>2.5956000000000001</v>
      </c>
      <c r="W270" s="18">
        <v>2.7475000000000001</v>
      </c>
      <c r="X270" s="18">
        <v>2.8729</v>
      </c>
      <c r="Y270" s="18">
        <v>2.9619</v>
      </c>
      <c r="Z270" s="18">
        <v>3.0009000000000001</v>
      </c>
      <c r="AA270" s="18">
        <v>3.0122</v>
      </c>
      <c r="AB270" s="18">
        <v>2.9910000000000001</v>
      </c>
      <c r="AC270" s="18">
        <v>2.92</v>
      </c>
      <c r="AD270" s="18">
        <v>2.8117000000000001</v>
      </c>
      <c r="AE270" s="18">
        <v>2.6823000000000001</v>
      </c>
      <c r="AF270" s="18">
        <v>2.5184000000000002</v>
      </c>
      <c r="AG270" s="18">
        <v>2.3441999999999998</v>
      </c>
      <c r="AH270" s="18">
        <v>2.1345999999999998</v>
      </c>
      <c r="AI270" s="18">
        <v>1.8986000000000001</v>
      </c>
      <c r="AJ270" s="18">
        <v>1.6135999999999999</v>
      </c>
      <c r="AK270" s="18">
        <v>1.3468</v>
      </c>
      <c r="AL270" s="18">
        <v>1.0727</v>
      </c>
      <c r="AM270" s="18">
        <v>0.80759999999999998</v>
      </c>
      <c r="AN270" s="18">
        <v>0.55189999999999995</v>
      </c>
      <c r="AO270" s="18">
        <v>0.32229999999999998</v>
      </c>
      <c r="AP270" s="18">
        <v>9.3799999999999994E-2</v>
      </c>
      <c r="AQ270" s="18">
        <v>1.7299999999999999E-2</v>
      </c>
      <c r="AR270" s="18">
        <v>0</v>
      </c>
      <c r="AS270" s="18">
        <v>0</v>
      </c>
      <c r="AT270" s="18">
        <v>0</v>
      </c>
      <c r="AU270" s="18">
        <v>0</v>
      </c>
      <c r="AV270" s="18">
        <v>0</v>
      </c>
      <c r="AW270" s="18">
        <v>0</v>
      </c>
      <c r="AX270" s="18">
        <v>0</v>
      </c>
    </row>
    <row r="271" spans="1:50" x14ac:dyDescent="0.25">
      <c r="A271" s="8" t="s">
        <v>366</v>
      </c>
      <c r="B271" s="10" t="s">
        <v>57</v>
      </c>
      <c r="C271" s="16">
        <v>0</v>
      </c>
      <c r="D271" s="16">
        <v>0</v>
      </c>
      <c r="E271" s="16">
        <v>0</v>
      </c>
      <c r="F271" s="16">
        <v>0</v>
      </c>
      <c r="G271" s="16">
        <v>0</v>
      </c>
      <c r="H271" s="16">
        <v>0</v>
      </c>
      <c r="I271" s="16">
        <v>0</v>
      </c>
      <c r="J271" s="16">
        <v>0</v>
      </c>
      <c r="K271" s="16">
        <v>0</v>
      </c>
      <c r="L271" s="16">
        <v>0</v>
      </c>
      <c r="M271" s="16">
        <v>0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  <c r="AC271" s="16">
        <v>0</v>
      </c>
      <c r="AD271" s="16">
        <v>0</v>
      </c>
      <c r="AE271" s="16">
        <v>0</v>
      </c>
      <c r="AF271" s="16">
        <v>0</v>
      </c>
      <c r="AG271" s="16">
        <v>0</v>
      </c>
      <c r="AH271" s="16">
        <v>0</v>
      </c>
      <c r="AI271" s="16">
        <v>0</v>
      </c>
      <c r="AJ271" s="16">
        <v>0</v>
      </c>
      <c r="AK271" s="16">
        <v>0</v>
      </c>
      <c r="AL271" s="16">
        <v>0</v>
      </c>
      <c r="AM271" s="16">
        <v>0</v>
      </c>
      <c r="AN271" s="16">
        <v>0</v>
      </c>
      <c r="AO271" s="16">
        <v>0</v>
      </c>
      <c r="AP271" s="16">
        <v>0</v>
      </c>
      <c r="AQ271" s="16">
        <v>0</v>
      </c>
      <c r="AR271" s="16">
        <v>0</v>
      </c>
      <c r="AS271" s="16">
        <v>0</v>
      </c>
      <c r="AT271" s="16">
        <v>0</v>
      </c>
      <c r="AU271" s="16">
        <v>0</v>
      </c>
      <c r="AV271" s="16">
        <v>0</v>
      </c>
      <c r="AW271" s="16">
        <v>0</v>
      </c>
      <c r="AX271" s="16">
        <v>0</v>
      </c>
    </row>
    <row r="272" spans="1:50" x14ac:dyDescent="0.25">
      <c r="A272" s="8" t="s">
        <v>368</v>
      </c>
      <c r="B272" s="10" t="s">
        <v>57</v>
      </c>
      <c r="C272" s="16">
        <v>0</v>
      </c>
      <c r="D272" s="16">
        <v>0</v>
      </c>
      <c r="E272" s="16">
        <v>0</v>
      </c>
      <c r="F272" s="16">
        <v>0</v>
      </c>
      <c r="G272" s="16">
        <v>0</v>
      </c>
      <c r="H272" s="16">
        <v>0</v>
      </c>
      <c r="I272" s="16">
        <v>0</v>
      </c>
      <c r="J272" s="16">
        <v>0</v>
      </c>
      <c r="K272" s="16">
        <v>0</v>
      </c>
      <c r="L272" s="16">
        <v>0</v>
      </c>
      <c r="M272" s="16">
        <v>0</v>
      </c>
      <c r="N272" s="16">
        <v>0</v>
      </c>
      <c r="O272" s="16">
        <v>0</v>
      </c>
      <c r="P272" s="16">
        <v>0</v>
      </c>
      <c r="Q272" s="16">
        <v>0</v>
      </c>
      <c r="R272" s="16">
        <v>0</v>
      </c>
      <c r="S272" s="16">
        <v>0</v>
      </c>
      <c r="T272" s="16">
        <v>0</v>
      </c>
      <c r="U272" s="16">
        <v>0</v>
      </c>
      <c r="V272" s="16">
        <v>0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  <c r="AC272" s="16">
        <v>0</v>
      </c>
      <c r="AD272" s="16">
        <v>0</v>
      </c>
      <c r="AE272" s="16">
        <v>0</v>
      </c>
      <c r="AF272" s="16">
        <v>0</v>
      </c>
      <c r="AG272" s="16">
        <v>0</v>
      </c>
      <c r="AH272" s="16">
        <v>0</v>
      </c>
      <c r="AI272" s="16">
        <v>0</v>
      </c>
      <c r="AJ272" s="16">
        <v>0</v>
      </c>
      <c r="AK272" s="16">
        <v>0</v>
      </c>
      <c r="AL272" s="16">
        <v>0</v>
      </c>
      <c r="AM272" s="16">
        <v>0</v>
      </c>
      <c r="AN272" s="16">
        <v>0</v>
      </c>
      <c r="AO272" s="16">
        <v>0</v>
      </c>
      <c r="AP272" s="16">
        <v>0</v>
      </c>
      <c r="AQ272" s="16">
        <v>0</v>
      </c>
      <c r="AR272" s="16">
        <v>0</v>
      </c>
      <c r="AS272" s="16">
        <v>0</v>
      </c>
      <c r="AT272" s="16">
        <v>0</v>
      </c>
      <c r="AU272" s="16">
        <v>0</v>
      </c>
      <c r="AV272" s="16">
        <v>0</v>
      </c>
      <c r="AW272" s="16">
        <v>0</v>
      </c>
      <c r="AX272" s="16">
        <v>0</v>
      </c>
    </row>
    <row r="273" spans="1:50" x14ac:dyDescent="0.25">
      <c r="A273" s="17" t="s">
        <v>631</v>
      </c>
      <c r="B273" s="13" t="s">
        <v>410</v>
      </c>
      <c r="C273" s="18">
        <v>0</v>
      </c>
      <c r="D273" s="18">
        <v>0</v>
      </c>
      <c r="E273" s="18">
        <v>0</v>
      </c>
      <c r="F273" s="18">
        <v>0</v>
      </c>
      <c r="G273" s="18">
        <v>0</v>
      </c>
      <c r="H273" s="18">
        <v>0</v>
      </c>
      <c r="I273" s="18">
        <v>0</v>
      </c>
      <c r="J273" s="18">
        <v>3.3999999999999998E-3</v>
      </c>
      <c r="K273" s="18">
        <v>4.9700000000000001E-2</v>
      </c>
      <c r="L273" s="18">
        <v>0.2326</v>
      </c>
      <c r="M273" s="18">
        <v>0.46129999999999999</v>
      </c>
      <c r="N273" s="18">
        <v>0.7419</v>
      </c>
      <c r="O273" s="18">
        <v>1.0479000000000001</v>
      </c>
      <c r="P273" s="18">
        <v>1.3576999999999999</v>
      </c>
      <c r="Q273" s="18">
        <v>1.6659999999999999</v>
      </c>
      <c r="R273" s="18">
        <v>1.9745999999999999</v>
      </c>
      <c r="S273" s="18">
        <v>2.2643</v>
      </c>
      <c r="T273" s="18">
        <v>2.5367000000000002</v>
      </c>
      <c r="U273" s="18">
        <v>2.7686000000000002</v>
      </c>
      <c r="V273" s="18">
        <v>2.9664000000000001</v>
      </c>
      <c r="W273" s="18">
        <v>3.14</v>
      </c>
      <c r="X273" s="18">
        <v>3.2833000000000001</v>
      </c>
      <c r="Y273" s="18">
        <v>3.3849999999999998</v>
      </c>
      <c r="Z273" s="18">
        <v>3.4296000000000002</v>
      </c>
      <c r="AA273" s="18">
        <v>3.4424999999999999</v>
      </c>
      <c r="AB273" s="18">
        <v>3.4182999999999999</v>
      </c>
      <c r="AC273" s="18">
        <v>3.3372000000000002</v>
      </c>
      <c r="AD273" s="18">
        <v>3.2132999999999998</v>
      </c>
      <c r="AE273" s="18">
        <v>3.0655000000000001</v>
      </c>
      <c r="AF273" s="18">
        <v>2.8782000000000001</v>
      </c>
      <c r="AG273" s="18">
        <v>2.6791</v>
      </c>
      <c r="AH273" s="18">
        <v>2.4396</v>
      </c>
      <c r="AI273" s="18">
        <v>2.1698</v>
      </c>
      <c r="AJ273" s="18">
        <v>1.8441000000000001</v>
      </c>
      <c r="AK273" s="18">
        <v>1.5391999999999999</v>
      </c>
      <c r="AL273" s="18">
        <v>1.2259</v>
      </c>
      <c r="AM273" s="18">
        <v>0.92290000000000005</v>
      </c>
      <c r="AN273" s="18">
        <v>0.63080000000000003</v>
      </c>
      <c r="AO273" s="18">
        <v>0.36830000000000002</v>
      </c>
      <c r="AP273" s="18">
        <v>0.1072</v>
      </c>
      <c r="AQ273" s="18">
        <v>1.9800000000000002E-2</v>
      </c>
      <c r="AR273" s="18">
        <v>0</v>
      </c>
      <c r="AS273" s="18">
        <v>0</v>
      </c>
      <c r="AT273" s="18">
        <v>0</v>
      </c>
      <c r="AU273" s="18">
        <v>0</v>
      </c>
      <c r="AV273" s="18">
        <v>0</v>
      </c>
      <c r="AW273" s="18">
        <v>0</v>
      </c>
      <c r="AX273" s="18">
        <v>0</v>
      </c>
    </row>
    <row r="274" spans="1:50" x14ac:dyDescent="0.25">
      <c r="A274" s="17" t="s">
        <v>633</v>
      </c>
      <c r="B274" s="13" t="s">
        <v>410</v>
      </c>
      <c r="C274" s="18">
        <v>0</v>
      </c>
      <c r="D274" s="18">
        <v>0</v>
      </c>
      <c r="E274" s="18">
        <v>0</v>
      </c>
      <c r="F274" s="18">
        <v>0</v>
      </c>
      <c r="G274" s="18">
        <v>0</v>
      </c>
      <c r="H274" s="18">
        <v>0</v>
      </c>
      <c r="I274" s="18">
        <v>0</v>
      </c>
      <c r="J274" s="18">
        <v>3.0000000000000001E-3</v>
      </c>
      <c r="K274" s="18">
        <v>4.3499999999999997E-2</v>
      </c>
      <c r="L274" s="18">
        <v>0.20349999999999999</v>
      </c>
      <c r="M274" s="18">
        <v>0.4037</v>
      </c>
      <c r="N274" s="18">
        <v>0.64910000000000001</v>
      </c>
      <c r="O274" s="18">
        <v>0.91690000000000005</v>
      </c>
      <c r="P274" s="18">
        <v>1.1879999999999999</v>
      </c>
      <c r="Q274" s="18">
        <v>1.4577</v>
      </c>
      <c r="R274" s="18">
        <v>1.7278</v>
      </c>
      <c r="S274" s="18">
        <v>1.9813000000000001</v>
      </c>
      <c r="T274" s="18">
        <v>2.2195999999999998</v>
      </c>
      <c r="U274" s="18">
        <v>2.4224999999999999</v>
      </c>
      <c r="V274" s="18">
        <v>2.5956000000000001</v>
      </c>
      <c r="W274" s="18">
        <v>2.7475000000000001</v>
      </c>
      <c r="X274" s="18">
        <v>2.8729</v>
      </c>
      <c r="Y274" s="18">
        <v>2.9619</v>
      </c>
      <c r="Z274" s="18">
        <v>3.0009000000000001</v>
      </c>
      <c r="AA274" s="18">
        <v>3.0122</v>
      </c>
      <c r="AB274" s="18">
        <v>2.9910000000000001</v>
      </c>
      <c r="AC274" s="18">
        <v>2.92</v>
      </c>
      <c r="AD274" s="18">
        <v>2.8117000000000001</v>
      </c>
      <c r="AE274" s="18">
        <v>2.6823000000000001</v>
      </c>
      <c r="AF274" s="18">
        <v>2.5184000000000002</v>
      </c>
      <c r="AG274" s="18">
        <v>2.3441999999999998</v>
      </c>
      <c r="AH274" s="18">
        <v>2.1345999999999998</v>
      </c>
      <c r="AI274" s="18">
        <v>1.8986000000000001</v>
      </c>
      <c r="AJ274" s="18">
        <v>1.6135999999999999</v>
      </c>
      <c r="AK274" s="18">
        <v>1.3468</v>
      </c>
      <c r="AL274" s="18">
        <v>1.0727</v>
      </c>
      <c r="AM274" s="18">
        <v>0.80759999999999998</v>
      </c>
      <c r="AN274" s="18">
        <v>0.55189999999999995</v>
      </c>
      <c r="AO274" s="18">
        <v>0.32229999999999998</v>
      </c>
      <c r="AP274" s="18">
        <v>9.3799999999999994E-2</v>
      </c>
      <c r="AQ274" s="18">
        <v>1.7299999999999999E-2</v>
      </c>
      <c r="AR274" s="18">
        <v>0</v>
      </c>
      <c r="AS274" s="18">
        <v>0</v>
      </c>
      <c r="AT274" s="18">
        <v>0</v>
      </c>
      <c r="AU274" s="18">
        <v>0</v>
      </c>
      <c r="AV274" s="18">
        <v>0</v>
      </c>
      <c r="AW274" s="18">
        <v>0</v>
      </c>
      <c r="AX274" s="18">
        <v>0</v>
      </c>
    </row>
    <row r="275" spans="1:50" x14ac:dyDescent="0.25">
      <c r="A275" s="8" t="s">
        <v>370</v>
      </c>
      <c r="B275" s="10" t="s">
        <v>57</v>
      </c>
      <c r="C275" s="16">
        <v>0</v>
      </c>
      <c r="D275" s="16">
        <v>0</v>
      </c>
      <c r="E275" s="16">
        <v>0</v>
      </c>
      <c r="F275" s="16">
        <v>0</v>
      </c>
      <c r="G275" s="16">
        <v>0</v>
      </c>
      <c r="H275" s="16">
        <v>0</v>
      </c>
      <c r="I275" s="16">
        <v>0</v>
      </c>
      <c r="J275" s="16">
        <v>0</v>
      </c>
      <c r="K275" s="16">
        <v>0</v>
      </c>
      <c r="L275" s="16">
        <v>0</v>
      </c>
      <c r="M275" s="16">
        <v>0</v>
      </c>
      <c r="N275" s="16">
        <v>0</v>
      </c>
      <c r="O275" s="16">
        <v>0</v>
      </c>
      <c r="P275" s="16">
        <v>0</v>
      </c>
      <c r="Q275" s="16">
        <v>0</v>
      </c>
      <c r="R275" s="16">
        <v>0</v>
      </c>
      <c r="S275" s="16">
        <v>0</v>
      </c>
      <c r="T275" s="16">
        <v>0</v>
      </c>
      <c r="U275" s="16">
        <v>0</v>
      </c>
      <c r="V275" s="16">
        <v>0</v>
      </c>
      <c r="W275" s="16">
        <v>0</v>
      </c>
      <c r="X275" s="16">
        <v>0</v>
      </c>
      <c r="Y275" s="16">
        <v>0</v>
      </c>
      <c r="Z275" s="16">
        <v>0</v>
      </c>
      <c r="AA275" s="16">
        <v>0</v>
      </c>
      <c r="AB275" s="16">
        <v>0</v>
      </c>
      <c r="AC275" s="16">
        <v>0</v>
      </c>
      <c r="AD275" s="16">
        <v>0</v>
      </c>
      <c r="AE275" s="16">
        <v>0</v>
      </c>
      <c r="AF275" s="16">
        <v>0</v>
      </c>
      <c r="AG275" s="16">
        <v>0</v>
      </c>
      <c r="AH275" s="16">
        <v>0</v>
      </c>
      <c r="AI275" s="16">
        <v>0</v>
      </c>
      <c r="AJ275" s="16">
        <v>0</v>
      </c>
      <c r="AK275" s="16">
        <v>0</v>
      </c>
      <c r="AL275" s="16">
        <v>0</v>
      </c>
      <c r="AM275" s="16">
        <v>0</v>
      </c>
      <c r="AN275" s="16">
        <v>0</v>
      </c>
      <c r="AO275" s="16">
        <v>0</v>
      </c>
      <c r="AP275" s="16">
        <v>0</v>
      </c>
      <c r="AQ275" s="16">
        <v>0</v>
      </c>
      <c r="AR275" s="16">
        <v>0</v>
      </c>
      <c r="AS275" s="16">
        <v>0</v>
      </c>
      <c r="AT275" s="16">
        <v>0</v>
      </c>
      <c r="AU275" s="16">
        <v>0</v>
      </c>
      <c r="AV275" s="16">
        <v>0</v>
      </c>
      <c r="AW275" s="16">
        <v>0</v>
      </c>
      <c r="AX275" s="16">
        <v>0</v>
      </c>
    </row>
    <row r="276" spans="1:50" x14ac:dyDescent="0.25">
      <c r="A276" s="8" t="s">
        <v>372</v>
      </c>
      <c r="B276" s="10" t="s">
        <v>57</v>
      </c>
      <c r="C276" s="16">
        <v>0</v>
      </c>
      <c r="D276" s="16">
        <v>0</v>
      </c>
      <c r="E276" s="16">
        <v>0</v>
      </c>
      <c r="F276" s="16">
        <v>0</v>
      </c>
      <c r="G276" s="16">
        <v>0</v>
      </c>
      <c r="H276" s="16">
        <v>0</v>
      </c>
      <c r="I276" s="16">
        <v>0</v>
      </c>
      <c r="J276" s="16">
        <v>0</v>
      </c>
      <c r="K276" s="16">
        <v>0</v>
      </c>
      <c r="L276" s="16">
        <v>0</v>
      </c>
      <c r="M276" s="16">
        <v>0</v>
      </c>
      <c r="N276" s="16">
        <v>0</v>
      </c>
      <c r="O276" s="16">
        <v>0</v>
      </c>
      <c r="P276" s="16">
        <v>0</v>
      </c>
      <c r="Q276" s="16">
        <v>0</v>
      </c>
      <c r="R276" s="16">
        <v>0</v>
      </c>
      <c r="S276" s="16">
        <v>0</v>
      </c>
      <c r="T276" s="16">
        <v>0</v>
      </c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  <c r="AC276" s="16">
        <v>0</v>
      </c>
      <c r="AD276" s="16">
        <v>0</v>
      </c>
      <c r="AE276" s="16">
        <v>0</v>
      </c>
      <c r="AF276" s="16">
        <v>0</v>
      </c>
      <c r="AG276" s="16">
        <v>0</v>
      </c>
      <c r="AH276" s="16">
        <v>0</v>
      </c>
      <c r="AI276" s="16">
        <v>0</v>
      </c>
      <c r="AJ276" s="16">
        <v>0</v>
      </c>
      <c r="AK276" s="16">
        <v>0</v>
      </c>
      <c r="AL276" s="16">
        <v>0</v>
      </c>
      <c r="AM276" s="16">
        <v>0</v>
      </c>
      <c r="AN276" s="16">
        <v>0</v>
      </c>
      <c r="AO276" s="16">
        <v>0</v>
      </c>
      <c r="AP276" s="16">
        <v>0</v>
      </c>
      <c r="AQ276" s="16">
        <v>0</v>
      </c>
      <c r="AR276" s="16">
        <v>0</v>
      </c>
      <c r="AS276" s="16">
        <v>0</v>
      </c>
      <c r="AT276" s="16">
        <v>0</v>
      </c>
      <c r="AU276" s="16">
        <v>0</v>
      </c>
      <c r="AV276" s="16">
        <v>0</v>
      </c>
      <c r="AW276" s="16">
        <v>0</v>
      </c>
      <c r="AX276" s="16">
        <v>0</v>
      </c>
    </row>
    <row r="277" spans="1:50" x14ac:dyDescent="0.25">
      <c r="A277" s="17" t="s">
        <v>635</v>
      </c>
      <c r="B277" s="13" t="s">
        <v>410</v>
      </c>
      <c r="C277" s="18">
        <v>0</v>
      </c>
      <c r="D277" s="18">
        <v>0</v>
      </c>
      <c r="E277" s="18">
        <v>0</v>
      </c>
      <c r="F277" s="18">
        <v>0</v>
      </c>
      <c r="G277" s="18">
        <v>0</v>
      </c>
      <c r="H277" s="18">
        <v>0</v>
      </c>
      <c r="I277" s="18">
        <v>0</v>
      </c>
      <c r="J277" s="18">
        <v>2.5999999999999999E-3</v>
      </c>
      <c r="K277" s="18">
        <v>3.73E-2</v>
      </c>
      <c r="L277" s="18">
        <v>0.1744</v>
      </c>
      <c r="M277" s="18">
        <v>0.34599999999999997</v>
      </c>
      <c r="N277" s="18">
        <v>0.55640000000000001</v>
      </c>
      <c r="O277" s="18">
        <v>0.78590000000000004</v>
      </c>
      <c r="P277" s="18">
        <v>1.0183</v>
      </c>
      <c r="Q277" s="18">
        <v>1.2495000000000001</v>
      </c>
      <c r="R277" s="18">
        <v>1.4810000000000001</v>
      </c>
      <c r="S277" s="18">
        <v>1.6981999999999999</v>
      </c>
      <c r="T277" s="18">
        <v>1.9025000000000001</v>
      </c>
      <c r="U277" s="18">
        <v>2.0764</v>
      </c>
      <c r="V277" s="18">
        <v>2.2248000000000001</v>
      </c>
      <c r="W277" s="18">
        <v>2.355</v>
      </c>
      <c r="X277" s="18">
        <v>2.4624999999999999</v>
      </c>
      <c r="Y277" s="18">
        <v>2.5387</v>
      </c>
      <c r="Z277" s="18">
        <v>2.5722</v>
      </c>
      <c r="AA277" s="18">
        <v>2.5819000000000001</v>
      </c>
      <c r="AB277" s="18">
        <v>2.5636999999999999</v>
      </c>
      <c r="AC277" s="18">
        <v>2.5028999999999999</v>
      </c>
      <c r="AD277" s="18">
        <v>2.41</v>
      </c>
      <c r="AE277" s="18">
        <v>2.2991000000000001</v>
      </c>
      <c r="AF277" s="18">
        <v>2.1585999999999999</v>
      </c>
      <c r="AG277" s="18">
        <v>2.0093000000000001</v>
      </c>
      <c r="AH277" s="18">
        <v>1.8297000000000001</v>
      </c>
      <c r="AI277" s="18">
        <v>1.6274</v>
      </c>
      <c r="AJ277" s="18">
        <v>1.3831</v>
      </c>
      <c r="AK277" s="18">
        <v>1.1544000000000001</v>
      </c>
      <c r="AL277" s="18">
        <v>0.91949999999999998</v>
      </c>
      <c r="AM277" s="18">
        <v>0.69220000000000004</v>
      </c>
      <c r="AN277" s="18">
        <v>0.47310000000000002</v>
      </c>
      <c r="AO277" s="18">
        <v>0.2762</v>
      </c>
      <c r="AP277" s="18">
        <v>8.0399999999999999E-2</v>
      </c>
      <c r="AQ277" s="18">
        <v>1.4800000000000001E-2</v>
      </c>
      <c r="AR277" s="18">
        <v>0</v>
      </c>
      <c r="AS277" s="18">
        <v>0</v>
      </c>
      <c r="AT277" s="18">
        <v>0</v>
      </c>
      <c r="AU277" s="18">
        <v>0</v>
      </c>
      <c r="AV277" s="18">
        <v>0</v>
      </c>
      <c r="AW277" s="18">
        <v>0</v>
      </c>
      <c r="AX277" s="18">
        <v>0</v>
      </c>
    </row>
    <row r="278" spans="1:50" x14ac:dyDescent="0.25">
      <c r="A278" s="8" t="s">
        <v>374</v>
      </c>
      <c r="B278" s="10" t="s">
        <v>57</v>
      </c>
      <c r="C278" s="16">
        <v>0</v>
      </c>
      <c r="D278" s="16">
        <v>0</v>
      </c>
      <c r="E278" s="16">
        <v>0</v>
      </c>
      <c r="F278" s="16">
        <v>0</v>
      </c>
      <c r="G278" s="16">
        <v>0</v>
      </c>
      <c r="H278" s="16">
        <v>0</v>
      </c>
      <c r="I278" s="16">
        <v>0</v>
      </c>
      <c r="J278" s="16">
        <v>0</v>
      </c>
      <c r="K278" s="16">
        <v>0</v>
      </c>
      <c r="L278" s="16">
        <v>0</v>
      </c>
      <c r="M278" s="16">
        <v>0</v>
      </c>
      <c r="N278" s="16">
        <v>0</v>
      </c>
      <c r="O278" s="16">
        <v>0</v>
      </c>
      <c r="P278" s="16">
        <v>0</v>
      </c>
      <c r="Q278" s="16">
        <v>0</v>
      </c>
      <c r="R278" s="16">
        <v>0</v>
      </c>
      <c r="S278" s="16">
        <v>0</v>
      </c>
      <c r="T278" s="16">
        <v>0</v>
      </c>
      <c r="U278" s="16">
        <v>0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  <c r="AC278" s="16">
        <v>0</v>
      </c>
      <c r="AD278" s="16">
        <v>0</v>
      </c>
      <c r="AE278" s="16">
        <v>0</v>
      </c>
      <c r="AF278" s="16">
        <v>0</v>
      </c>
      <c r="AG278" s="16">
        <v>0</v>
      </c>
      <c r="AH278" s="16">
        <v>0</v>
      </c>
      <c r="AI278" s="16">
        <v>0</v>
      </c>
      <c r="AJ278" s="16">
        <v>0</v>
      </c>
      <c r="AK278" s="16">
        <v>0</v>
      </c>
      <c r="AL278" s="16">
        <v>0</v>
      </c>
      <c r="AM278" s="16">
        <v>0</v>
      </c>
      <c r="AN278" s="16">
        <v>0</v>
      </c>
      <c r="AO278" s="16">
        <v>0</v>
      </c>
      <c r="AP278" s="16">
        <v>0</v>
      </c>
      <c r="AQ278" s="16">
        <v>0</v>
      </c>
      <c r="AR278" s="16">
        <v>0</v>
      </c>
      <c r="AS278" s="16">
        <v>0</v>
      </c>
      <c r="AT278" s="16">
        <v>0</v>
      </c>
      <c r="AU278" s="16">
        <v>0</v>
      </c>
      <c r="AV278" s="16">
        <v>0</v>
      </c>
      <c r="AW278" s="16">
        <v>0</v>
      </c>
      <c r="AX278" s="16">
        <v>0</v>
      </c>
    </row>
    <row r="279" spans="1:50" x14ac:dyDescent="0.25">
      <c r="A279" s="17" t="s">
        <v>637</v>
      </c>
      <c r="B279" s="13" t="s">
        <v>410</v>
      </c>
      <c r="C279" s="18">
        <v>0</v>
      </c>
      <c r="D279" s="18">
        <v>0</v>
      </c>
      <c r="E279" s="18">
        <v>0</v>
      </c>
      <c r="F279" s="18">
        <v>0</v>
      </c>
      <c r="G279" s="18">
        <v>0</v>
      </c>
      <c r="H279" s="18">
        <v>0</v>
      </c>
      <c r="I279" s="18">
        <v>0</v>
      </c>
      <c r="J279" s="18">
        <v>3.3999999999999998E-3</v>
      </c>
      <c r="K279" s="18">
        <v>4.9700000000000001E-2</v>
      </c>
      <c r="L279" s="18">
        <v>0.2326</v>
      </c>
      <c r="M279" s="18">
        <v>0.46129999999999999</v>
      </c>
      <c r="N279" s="18">
        <v>0.7419</v>
      </c>
      <c r="O279" s="18">
        <v>1.0479000000000001</v>
      </c>
      <c r="P279" s="18">
        <v>1.3576999999999999</v>
      </c>
      <c r="Q279" s="18">
        <v>1.6659999999999999</v>
      </c>
      <c r="R279" s="18">
        <v>1.9745999999999999</v>
      </c>
      <c r="S279" s="18">
        <v>2.2643</v>
      </c>
      <c r="T279" s="18">
        <v>2.5367000000000002</v>
      </c>
      <c r="U279" s="18">
        <v>2.7686000000000002</v>
      </c>
      <c r="V279" s="18">
        <v>2.9664000000000001</v>
      </c>
      <c r="W279" s="18">
        <v>3.14</v>
      </c>
      <c r="X279" s="18">
        <v>3.2833000000000001</v>
      </c>
      <c r="Y279" s="18">
        <v>3.3849999999999998</v>
      </c>
      <c r="Z279" s="18">
        <v>3.4296000000000002</v>
      </c>
      <c r="AA279" s="18">
        <v>3.4424999999999999</v>
      </c>
      <c r="AB279" s="18">
        <v>3.4182999999999999</v>
      </c>
      <c r="AC279" s="18">
        <v>3.3372000000000002</v>
      </c>
      <c r="AD279" s="18">
        <v>3.2132999999999998</v>
      </c>
      <c r="AE279" s="18">
        <v>3.0655000000000001</v>
      </c>
      <c r="AF279" s="18">
        <v>2.8782000000000001</v>
      </c>
      <c r="AG279" s="18">
        <v>2.6791</v>
      </c>
      <c r="AH279" s="18">
        <v>2.4396</v>
      </c>
      <c r="AI279" s="18">
        <v>2.1698</v>
      </c>
      <c r="AJ279" s="18">
        <v>1.8441000000000001</v>
      </c>
      <c r="AK279" s="18">
        <v>1.5391999999999999</v>
      </c>
      <c r="AL279" s="18">
        <v>1.2259</v>
      </c>
      <c r="AM279" s="18">
        <v>0.92290000000000005</v>
      </c>
      <c r="AN279" s="18">
        <v>0.63080000000000003</v>
      </c>
      <c r="AO279" s="18">
        <v>0.36830000000000002</v>
      </c>
      <c r="AP279" s="18">
        <v>0.1072</v>
      </c>
      <c r="AQ279" s="18">
        <v>1.9800000000000002E-2</v>
      </c>
      <c r="AR279" s="18">
        <v>0</v>
      </c>
      <c r="AS279" s="18">
        <v>0</v>
      </c>
      <c r="AT279" s="18">
        <v>0</v>
      </c>
      <c r="AU279" s="18">
        <v>0</v>
      </c>
      <c r="AV279" s="18">
        <v>0</v>
      </c>
      <c r="AW279" s="18">
        <v>0</v>
      </c>
      <c r="AX279" s="18">
        <v>0</v>
      </c>
    </row>
    <row r="280" spans="1:50" x14ac:dyDescent="0.25">
      <c r="A280" s="17" t="s">
        <v>639</v>
      </c>
      <c r="B280" s="13" t="s">
        <v>410</v>
      </c>
      <c r="C280" s="18">
        <v>0</v>
      </c>
      <c r="D280" s="18">
        <v>0</v>
      </c>
      <c r="E280" s="18">
        <v>0</v>
      </c>
      <c r="F280" s="18">
        <v>0</v>
      </c>
      <c r="G280" s="18">
        <v>0</v>
      </c>
      <c r="H280" s="18">
        <v>0</v>
      </c>
      <c r="I280" s="18">
        <v>0</v>
      </c>
      <c r="J280" s="18">
        <v>3.3999999999999998E-3</v>
      </c>
      <c r="K280" s="18">
        <v>4.9700000000000001E-2</v>
      </c>
      <c r="L280" s="18">
        <v>0.2326</v>
      </c>
      <c r="M280" s="18">
        <v>0.46129999999999999</v>
      </c>
      <c r="N280" s="18">
        <v>0.7419</v>
      </c>
      <c r="O280" s="18">
        <v>1.0479000000000001</v>
      </c>
      <c r="P280" s="18">
        <v>1.3576999999999999</v>
      </c>
      <c r="Q280" s="18">
        <v>1.6659999999999999</v>
      </c>
      <c r="R280" s="18">
        <v>1.9745999999999999</v>
      </c>
      <c r="S280" s="18">
        <v>2.2643</v>
      </c>
      <c r="T280" s="18">
        <v>2.5367000000000002</v>
      </c>
      <c r="U280" s="18">
        <v>2.7686000000000002</v>
      </c>
      <c r="V280" s="18">
        <v>2.9664000000000001</v>
      </c>
      <c r="W280" s="18">
        <v>3.14</v>
      </c>
      <c r="X280" s="18">
        <v>3.2833000000000001</v>
      </c>
      <c r="Y280" s="18">
        <v>3.3849999999999998</v>
      </c>
      <c r="Z280" s="18">
        <v>3.4296000000000002</v>
      </c>
      <c r="AA280" s="18">
        <v>3.4424999999999999</v>
      </c>
      <c r="AB280" s="18">
        <v>3.4182999999999999</v>
      </c>
      <c r="AC280" s="18">
        <v>3.3372000000000002</v>
      </c>
      <c r="AD280" s="18">
        <v>3.2132999999999998</v>
      </c>
      <c r="AE280" s="18">
        <v>3.0655000000000001</v>
      </c>
      <c r="AF280" s="18">
        <v>2.8782000000000001</v>
      </c>
      <c r="AG280" s="18">
        <v>2.6791</v>
      </c>
      <c r="AH280" s="18">
        <v>2.4396</v>
      </c>
      <c r="AI280" s="18">
        <v>2.1698</v>
      </c>
      <c r="AJ280" s="18">
        <v>1.8441000000000001</v>
      </c>
      <c r="AK280" s="18">
        <v>1.5391999999999999</v>
      </c>
      <c r="AL280" s="18">
        <v>1.2259</v>
      </c>
      <c r="AM280" s="18">
        <v>0.92290000000000005</v>
      </c>
      <c r="AN280" s="18">
        <v>0.63080000000000003</v>
      </c>
      <c r="AO280" s="18">
        <v>0.36830000000000002</v>
      </c>
      <c r="AP280" s="18">
        <v>0.1072</v>
      </c>
      <c r="AQ280" s="18">
        <v>1.9800000000000002E-2</v>
      </c>
      <c r="AR280" s="18">
        <v>0</v>
      </c>
      <c r="AS280" s="18">
        <v>0</v>
      </c>
      <c r="AT280" s="18">
        <v>0</v>
      </c>
      <c r="AU280" s="18">
        <v>0</v>
      </c>
      <c r="AV280" s="18">
        <v>0</v>
      </c>
      <c r="AW280" s="18">
        <v>0</v>
      </c>
      <c r="AX280" s="18">
        <v>0</v>
      </c>
    </row>
    <row r="281" spans="1:50" x14ac:dyDescent="0.25">
      <c r="A281" s="17" t="s">
        <v>641</v>
      </c>
      <c r="B281" s="13" t="s">
        <v>410</v>
      </c>
      <c r="C281" s="18">
        <v>0</v>
      </c>
      <c r="D281" s="18">
        <v>0</v>
      </c>
      <c r="E281" s="18">
        <v>0</v>
      </c>
      <c r="F281" s="18">
        <v>0</v>
      </c>
      <c r="G281" s="18">
        <v>0</v>
      </c>
      <c r="H281" s="18">
        <v>0</v>
      </c>
      <c r="I281" s="18">
        <v>0</v>
      </c>
      <c r="J281" s="18">
        <v>3.3999999999999998E-3</v>
      </c>
      <c r="K281" s="18">
        <v>4.9700000000000001E-2</v>
      </c>
      <c r="L281" s="18">
        <v>0.2326</v>
      </c>
      <c r="M281" s="18">
        <v>0.46129999999999999</v>
      </c>
      <c r="N281" s="18">
        <v>0.7419</v>
      </c>
      <c r="O281" s="18">
        <v>1.0479000000000001</v>
      </c>
      <c r="P281" s="18">
        <v>1.3576999999999999</v>
      </c>
      <c r="Q281" s="18">
        <v>1.6659999999999999</v>
      </c>
      <c r="R281" s="18">
        <v>1.9745999999999999</v>
      </c>
      <c r="S281" s="18">
        <v>2.2643</v>
      </c>
      <c r="T281" s="18">
        <v>2.5367000000000002</v>
      </c>
      <c r="U281" s="18">
        <v>2.7686000000000002</v>
      </c>
      <c r="V281" s="18">
        <v>2.9664000000000001</v>
      </c>
      <c r="W281" s="18">
        <v>3.14</v>
      </c>
      <c r="X281" s="18">
        <v>3.2833000000000001</v>
      </c>
      <c r="Y281" s="18">
        <v>3.3849999999999998</v>
      </c>
      <c r="Z281" s="18">
        <v>3.4296000000000002</v>
      </c>
      <c r="AA281" s="18">
        <v>3.4424999999999999</v>
      </c>
      <c r="AB281" s="18">
        <v>3.4182999999999999</v>
      </c>
      <c r="AC281" s="18">
        <v>3.3372000000000002</v>
      </c>
      <c r="AD281" s="18">
        <v>3.2132999999999998</v>
      </c>
      <c r="AE281" s="18">
        <v>3.0655000000000001</v>
      </c>
      <c r="AF281" s="18">
        <v>2.8782000000000001</v>
      </c>
      <c r="AG281" s="18">
        <v>2.6791</v>
      </c>
      <c r="AH281" s="18">
        <v>2.4396</v>
      </c>
      <c r="AI281" s="18">
        <v>2.1698</v>
      </c>
      <c r="AJ281" s="18">
        <v>1.8441000000000001</v>
      </c>
      <c r="AK281" s="18">
        <v>1.5391999999999999</v>
      </c>
      <c r="AL281" s="18">
        <v>1.2259</v>
      </c>
      <c r="AM281" s="18">
        <v>0.92290000000000005</v>
      </c>
      <c r="AN281" s="18">
        <v>0.63080000000000003</v>
      </c>
      <c r="AO281" s="18">
        <v>0.36830000000000002</v>
      </c>
      <c r="AP281" s="18">
        <v>0.1072</v>
      </c>
      <c r="AQ281" s="18">
        <v>1.9800000000000002E-2</v>
      </c>
      <c r="AR281" s="18">
        <v>0</v>
      </c>
      <c r="AS281" s="18">
        <v>0</v>
      </c>
      <c r="AT281" s="18">
        <v>0</v>
      </c>
      <c r="AU281" s="18">
        <v>0</v>
      </c>
      <c r="AV281" s="18">
        <v>0</v>
      </c>
      <c r="AW281" s="18">
        <v>0</v>
      </c>
      <c r="AX281" s="18">
        <v>0</v>
      </c>
    </row>
    <row r="282" spans="1:50" x14ac:dyDescent="0.25">
      <c r="A282" s="8" t="s">
        <v>376</v>
      </c>
      <c r="B282" s="10" t="s">
        <v>57</v>
      </c>
      <c r="C282" s="16">
        <v>0</v>
      </c>
      <c r="D282" s="16">
        <v>0</v>
      </c>
      <c r="E282" s="16">
        <v>0</v>
      </c>
      <c r="F282" s="16">
        <v>0</v>
      </c>
      <c r="G282" s="16">
        <v>0</v>
      </c>
      <c r="H282" s="16">
        <v>0</v>
      </c>
      <c r="I282" s="16">
        <v>0</v>
      </c>
      <c r="J282" s="16">
        <v>0</v>
      </c>
      <c r="K282" s="16">
        <v>0</v>
      </c>
      <c r="L282" s="16">
        <v>0</v>
      </c>
      <c r="M282" s="16">
        <v>0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  <c r="AC282" s="16">
        <v>0</v>
      </c>
      <c r="AD282" s="16">
        <v>0</v>
      </c>
      <c r="AE282" s="16">
        <v>0</v>
      </c>
      <c r="AF282" s="16">
        <v>0</v>
      </c>
      <c r="AG282" s="16">
        <v>0</v>
      </c>
      <c r="AH282" s="16">
        <v>0</v>
      </c>
      <c r="AI282" s="16">
        <v>0</v>
      </c>
      <c r="AJ282" s="16">
        <v>0</v>
      </c>
      <c r="AK282" s="16">
        <v>0</v>
      </c>
      <c r="AL282" s="16">
        <v>0</v>
      </c>
      <c r="AM282" s="16">
        <v>0</v>
      </c>
      <c r="AN282" s="16">
        <v>0</v>
      </c>
      <c r="AO282" s="16">
        <v>0</v>
      </c>
      <c r="AP282" s="16">
        <v>0</v>
      </c>
      <c r="AQ282" s="16">
        <v>0</v>
      </c>
      <c r="AR282" s="16">
        <v>0</v>
      </c>
      <c r="AS282" s="16">
        <v>0</v>
      </c>
      <c r="AT282" s="16">
        <v>0</v>
      </c>
      <c r="AU282" s="16">
        <v>0</v>
      </c>
      <c r="AV282" s="16">
        <v>0</v>
      </c>
      <c r="AW282" s="16">
        <v>0</v>
      </c>
      <c r="AX282" s="16">
        <v>0</v>
      </c>
    </row>
    <row r="283" spans="1:50" x14ac:dyDescent="0.25">
      <c r="A283" s="17" t="s">
        <v>643</v>
      </c>
      <c r="B283" s="13" t="s">
        <v>410</v>
      </c>
      <c r="C283" s="18">
        <v>0</v>
      </c>
      <c r="D283" s="18">
        <v>0</v>
      </c>
      <c r="E283" s="18">
        <v>0</v>
      </c>
      <c r="F283" s="18">
        <v>0</v>
      </c>
      <c r="G283" s="18">
        <v>0</v>
      </c>
      <c r="H283" s="18">
        <v>0</v>
      </c>
      <c r="I283" s="18">
        <v>0</v>
      </c>
      <c r="J283" s="18">
        <v>2.2000000000000001E-3</v>
      </c>
      <c r="K283" s="18">
        <v>3.1099999999999999E-2</v>
      </c>
      <c r="L283" s="18">
        <v>0.1454</v>
      </c>
      <c r="M283" s="18">
        <v>0.2883</v>
      </c>
      <c r="N283" s="18">
        <v>0.4637</v>
      </c>
      <c r="O283" s="18">
        <v>0.65490000000000004</v>
      </c>
      <c r="P283" s="18">
        <v>0.84860000000000002</v>
      </c>
      <c r="Q283" s="18">
        <v>1.0411999999999999</v>
      </c>
      <c r="R283" s="18">
        <v>1.2341</v>
      </c>
      <c r="S283" s="18">
        <v>1.4152</v>
      </c>
      <c r="T283" s="18">
        <v>1.5853999999999999</v>
      </c>
      <c r="U283" s="18">
        <v>1.7303999999999999</v>
      </c>
      <c r="V283" s="18">
        <v>1.8540000000000001</v>
      </c>
      <c r="W283" s="18">
        <v>1.9624999999999999</v>
      </c>
      <c r="X283" s="18">
        <v>2.0520999999999998</v>
      </c>
      <c r="Y283" s="18">
        <v>2.1156000000000001</v>
      </c>
      <c r="Z283" s="18">
        <v>2.1435</v>
      </c>
      <c r="AA283" s="18">
        <v>2.1516000000000002</v>
      </c>
      <c r="AB283" s="18">
        <v>2.1364999999999998</v>
      </c>
      <c r="AC283" s="18">
        <v>2.0857000000000001</v>
      </c>
      <c r="AD283" s="18">
        <v>2.0083000000000002</v>
      </c>
      <c r="AE283" s="18">
        <v>1.9158999999999999</v>
      </c>
      <c r="AF283" s="18">
        <v>1.7988999999999999</v>
      </c>
      <c r="AG283" s="18">
        <v>1.6745000000000001</v>
      </c>
      <c r="AH283" s="18">
        <v>1.5246999999999999</v>
      </c>
      <c r="AI283" s="18">
        <v>1.3561000000000001</v>
      </c>
      <c r="AJ283" s="18">
        <v>1.1525000000000001</v>
      </c>
      <c r="AK283" s="18">
        <v>0.96199999999999997</v>
      </c>
      <c r="AL283" s="18">
        <v>0.76619999999999999</v>
      </c>
      <c r="AM283" s="18">
        <v>0.57679999999999998</v>
      </c>
      <c r="AN283" s="18">
        <v>0.39419999999999999</v>
      </c>
      <c r="AO283" s="18">
        <v>0.23019999999999999</v>
      </c>
      <c r="AP283" s="18">
        <v>6.7000000000000004E-2</v>
      </c>
      <c r="AQ283" s="18">
        <v>1.24E-2</v>
      </c>
      <c r="AR283" s="18">
        <v>0</v>
      </c>
      <c r="AS283" s="18">
        <v>0</v>
      </c>
      <c r="AT283" s="18">
        <v>0</v>
      </c>
      <c r="AU283" s="18">
        <v>0</v>
      </c>
      <c r="AV283" s="18">
        <v>0</v>
      </c>
      <c r="AW283" s="18">
        <v>0</v>
      </c>
      <c r="AX283" s="18">
        <v>0</v>
      </c>
    </row>
    <row r="284" spans="1:50" x14ac:dyDescent="0.25">
      <c r="A284" s="8" t="s">
        <v>378</v>
      </c>
      <c r="B284" s="10" t="s">
        <v>57</v>
      </c>
      <c r="C284" s="16">
        <v>0</v>
      </c>
      <c r="D284" s="16">
        <v>0</v>
      </c>
      <c r="E284" s="16">
        <v>0</v>
      </c>
      <c r="F284" s="16">
        <v>0</v>
      </c>
      <c r="G284" s="16">
        <v>0</v>
      </c>
      <c r="H284" s="16">
        <v>0</v>
      </c>
      <c r="I284" s="16">
        <v>0</v>
      </c>
      <c r="J284" s="16">
        <v>0</v>
      </c>
      <c r="K284" s="16">
        <v>0</v>
      </c>
      <c r="L284" s="16">
        <v>0</v>
      </c>
      <c r="M284" s="16">
        <v>0</v>
      </c>
      <c r="N284" s="16">
        <v>0</v>
      </c>
      <c r="O284" s="16">
        <v>0</v>
      </c>
      <c r="P284" s="16">
        <v>0</v>
      </c>
      <c r="Q284" s="16">
        <v>0</v>
      </c>
      <c r="R284" s="16">
        <v>0</v>
      </c>
      <c r="S284" s="16">
        <v>0</v>
      </c>
      <c r="T284" s="16">
        <v>0</v>
      </c>
      <c r="U284" s="16">
        <v>0</v>
      </c>
      <c r="V284" s="16">
        <v>0</v>
      </c>
      <c r="W284" s="16">
        <v>0</v>
      </c>
      <c r="X284" s="16">
        <v>0</v>
      </c>
      <c r="Y284" s="16">
        <v>0</v>
      </c>
      <c r="Z284" s="16">
        <v>0</v>
      </c>
      <c r="AA284" s="16">
        <v>0</v>
      </c>
      <c r="AB284" s="16">
        <v>0</v>
      </c>
      <c r="AC284" s="16">
        <v>0</v>
      </c>
      <c r="AD284" s="16">
        <v>0</v>
      </c>
      <c r="AE284" s="16">
        <v>0</v>
      </c>
      <c r="AF284" s="16">
        <v>0</v>
      </c>
      <c r="AG284" s="16">
        <v>0</v>
      </c>
      <c r="AH284" s="16">
        <v>0</v>
      </c>
      <c r="AI284" s="16">
        <v>0</v>
      </c>
      <c r="AJ284" s="16">
        <v>0</v>
      </c>
      <c r="AK284" s="16">
        <v>0</v>
      </c>
      <c r="AL284" s="16">
        <v>0</v>
      </c>
      <c r="AM284" s="16">
        <v>0</v>
      </c>
      <c r="AN284" s="16">
        <v>0</v>
      </c>
      <c r="AO284" s="16">
        <v>0</v>
      </c>
      <c r="AP284" s="16">
        <v>0</v>
      </c>
      <c r="AQ284" s="16">
        <v>0</v>
      </c>
      <c r="AR284" s="16">
        <v>0</v>
      </c>
      <c r="AS284" s="16">
        <v>0</v>
      </c>
      <c r="AT284" s="16">
        <v>0</v>
      </c>
      <c r="AU284" s="16">
        <v>0</v>
      </c>
      <c r="AV284" s="16">
        <v>0</v>
      </c>
      <c r="AW284" s="16">
        <v>0</v>
      </c>
      <c r="AX284" s="16">
        <v>0</v>
      </c>
    </row>
    <row r="285" spans="1:50" x14ac:dyDescent="0.25">
      <c r="A285" s="8" t="s">
        <v>380</v>
      </c>
      <c r="B285" s="10" t="s">
        <v>57</v>
      </c>
      <c r="C285" s="16">
        <v>0</v>
      </c>
      <c r="D285" s="16">
        <v>0</v>
      </c>
      <c r="E285" s="16">
        <v>0</v>
      </c>
      <c r="F285" s="16">
        <v>0</v>
      </c>
      <c r="G285" s="16">
        <v>0</v>
      </c>
      <c r="H285" s="16">
        <v>0</v>
      </c>
      <c r="I285" s="16">
        <v>0</v>
      </c>
      <c r="J285" s="16">
        <v>0</v>
      </c>
      <c r="K285" s="16">
        <v>0</v>
      </c>
      <c r="L285" s="16">
        <v>0</v>
      </c>
      <c r="M285" s="16">
        <v>0</v>
      </c>
      <c r="N285" s="16">
        <v>0</v>
      </c>
      <c r="O285" s="16">
        <v>0</v>
      </c>
      <c r="P285" s="16">
        <v>0</v>
      </c>
      <c r="Q285" s="16">
        <v>0</v>
      </c>
      <c r="R285" s="16">
        <v>0</v>
      </c>
      <c r="S285" s="16">
        <v>0</v>
      </c>
      <c r="T285" s="16">
        <v>0</v>
      </c>
      <c r="U285" s="16">
        <v>0</v>
      </c>
      <c r="V285" s="16">
        <v>0</v>
      </c>
      <c r="W285" s="16">
        <v>0</v>
      </c>
      <c r="X285" s="16">
        <v>0</v>
      </c>
      <c r="Y285" s="16">
        <v>0</v>
      </c>
      <c r="Z285" s="16">
        <v>0</v>
      </c>
      <c r="AA285" s="16">
        <v>0</v>
      </c>
      <c r="AB285" s="16">
        <v>0</v>
      </c>
      <c r="AC285" s="16">
        <v>0</v>
      </c>
      <c r="AD285" s="16">
        <v>0</v>
      </c>
      <c r="AE285" s="16">
        <v>0</v>
      </c>
      <c r="AF285" s="16">
        <v>0</v>
      </c>
      <c r="AG285" s="16">
        <v>0</v>
      </c>
      <c r="AH285" s="16">
        <v>0</v>
      </c>
      <c r="AI285" s="16">
        <v>0</v>
      </c>
      <c r="AJ285" s="16">
        <v>0</v>
      </c>
      <c r="AK285" s="16">
        <v>0</v>
      </c>
      <c r="AL285" s="16">
        <v>0</v>
      </c>
      <c r="AM285" s="16">
        <v>0</v>
      </c>
      <c r="AN285" s="16">
        <v>0</v>
      </c>
      <c r="AO285" s="16">
        <v>0</v>
      </c>
      <c r="AP285" s="16">
        <v>0</v>
      </c>
      <c r="AQ285" s="16">
        <v>0</v>
      </c>
      <c r="AR285" s="16">
        <v>0</v>
      </c>
      <c r="AS285" s="16">
        <v>0</v>
      </c>
      <c r="AT285" s="16">
        <v>0</v>
      </c>
      <c r="AU285" s="16">
        <v>0</v>
      </c>
      <c r="AV285" s="16">
        <v>0</v>
      </c>
      <c r="AW285" s="16">
        <v>0</v>
      </c>
      <c r="AX285" s="16">
        <v>0</v>
      </c>
    </row>
    <row r="286" spans="1:50" x14ac:dyDescent="0.25">
      <c r="A286" s="8" t="s">
        <v>382</v>
      </c>
      <c r="B286" s="10" t="s">
        <v>57</v>
      </c>
      <c r="C286" s="16">
        <v>0</v>
      </c>
      <c r="D286" s="16">
        <v>0</v>
      </c>
      <c r="E286" s="16">
        <v>0</v>
      </c>
      <c r="F286" s="16">
        <v>0</v>
      </c>
      <c r="G286" s="16">
        <v>0</v>
      </c>
      <c r="H286" s="16">
        <v>0</v>
      </c>
      <c r="I286" s="16">
        <v>0</v>
      </c>
      <c r="J286" s="16">
        <v>0</v>
      </c>
      <c r="K286" s="16">
        <v>0</v>
      </c>
      <c r="L286" s="16">
        <v>0</v>
      </c>
      <c r="M286" s="16">
        <v>0</v>
      </c>
      <c r="N286" s="16">
        <v>0</v>
      </c>
      <c r="O286" s="16">
        <v>0</v>
      </c>
      <c r="P286" s="16">
        <v>0</v>
      </c>
      <c r="Q286" s="16">
        <v>0</v>
      </c>
      <c r="R286" s="16">
        <v>0</v>
      </c>
      <c r="S286" s="16">
        <v>0</v>
      </c>
      <c r="T286" s="16">
        <v>0</v>
      </c>
      <c r="U286" s="16">
        <v>0</v>
      </c>
      <c r="V286" s="16">
        <v>0</v>
      </c>
      <c r="W286" s="16">
        <v>0</v>
      </c>
      <c r="X286" s="16">
        <v>0</v>
      </c>
      <c r="Y286" s="16">
        <v>0</v>
      </c>
      <c r="Z286" s="16">
        <v>0</v>
      </c>
      <c r="AA286" s="16">
        <v>0</v>
      </c>
      <c r="AB286" s="16">
        <v>0</v>
      </c>
      <c r="AC286" s="16">
        <v>0</v>
      </c>
      <c r="AD286" s="16">
        <v>0</v>
      </c>
      <c r="AE286" s="16">
        <v>0</v>
      </c>
      <c r="AF286" s="16">
        <v>0</v>
      </c>
      <c r="AG286" s="16">
        <v>0</v>
      </c>
      <c r="AH286" s="16">
        <v>0</v>
      </c>
      <c r="AI286" s="16">
        <v>0</v>
      </c>
      <c r="AJ286" s="16">
        <v>0</v>
      </c>
      <c r="AK286" s="16">
        <v>0</v>
      </c>
      <c r="AL286" s="16">
        <v>0</v>
      </c>
      <c r="AM286" s="16">
        <v>0</v>
      </c>
      <c r="AN286" s="16">
        <v>0</v>
      </c>
      <c r="AO286" s="16">
        <v>0</v>
      </c>
      <c r="AP286" s="16">
        <v>0</v>
      </c>
      <c r="AQ286" s="16">
        <v>0</v>
      </c>
      <c r="AR286" s="16">
        <v>0</v>
      </c>
      <c r="AS286" s="16">
        <v>0</v>
      </c>
      <c r="AT286" s="16">
        <v>0</v>
      </c>
      <c r="AU286" s="16">
        <v>0</v>
      </c>
      <c r="AV286" s="16">
        <v>0</v>
      </c>
      <c r="AW286" s="16">
        <v>0</v>
      </c>
      <c r="AX286" s="16">
        <v>0</v>
      </c>
    </row>
    <row r="287" spans="1:50" x14ac:dyDescent="0.25">
      <c r="A287" s="17" t="s">
        <v>645</v>
      </c>
      <c r="B287" s="13" t="s">
        <v>410</v>
      </c>
      <c r="C287" s="18">
        <v>0</v>
      </c>
      <c r="D287" s="18">
        <v>0</v>
      </c>
      <c r="E287" s="18">
        <v>0</v>
      </c>
      <c r="F287" s="18">
        <v>0</v>
      </c>
      <c r="G287" s="18">
        <v>0</v>
      </c>
      <c r="H287" s="18">
        <v>0</v>
      </c>
      <c r="I287" s="18">
        <v>0</v>
      </c>
      <c r="J287" s="18">
        <v>2.2000000000000001E-3</v>
      </c>
      <c r="K287" s="18">
        <v>3.1099999999999999E-2</v>
      </c>
      <c r="L287" s="18">
        <v>0.1454</v>
      </c>
      <c r="M287" s="18">
        <v>0.2883</v>
      </c>
      <c r="N287" s="18">
        <v>0.4637</v>
      </c>
      <c r="O287" s="18">
        <v>0.65490000000000004</v>
      </c>
      <c r="P287" s="18">
        <v>0.84860000000000002</v>
      </c>
      <c r="Q287" s="18">
        <v>1.0411999999999999</v>
      </c>
      <c r="R287" s="18">
        <v>1.2341</v>
      </c>
      <c r="S287" s="18">
        <v>1.4152</v>
      </c>
      <c r="T287" s="18">
        <v>1.5853999999999999</v>
      </c>
      <c r="U287" s="18">
        <v>1.7303999999999999</v>
      </c>
      <c r="V287" s="18">
        <v>1.8540000000000001</v>
      </c>
      <c r="W287" s="18">
        <v>1.9624999999999999</v>
      </c>
      <c r="X287" s="18">
        <v>2.0520999999999998</v>
      </c>
      <c r="Y287" s="18">
        <v>2.1156000000000001</v>
      </c>
      <c r="Z287" s="18">
        <v>2.1435</v>
      </c>
      <c r="AA287" s="18">
        <v>2.1516000000000002</v>
      </c>
      <c r="AB287" s="18">
        <v>2.1364999999999998</v>
      </c>
      <c r="AC287" s="18">
        <v>2.0857000000000001</v>
      </c>
      <c r="AD287" s="18">
        <v>2.0083000000000002</v>
      </c>
      <c r="AE287" s="18">
        <v>1.9158999999999999</v>
      </c>
      <c r="AF287" s="18">
        <v>1.7988999999999999</v>
      </c>
      <c r="AG287" s="18">
        <v>1.6745000000000001</v>
      </c>
      <c r="AH287" s="18">
        <v>1.5246999999999999</v>
      </c>
      <c r="AI287" s="18">
        <v>1.3561000000000001</v>
      </c>
      <c r="AJ287" s="18">
        <v>1.1525000000000001</v>
      </c>
      <c r="AK287" s="18">
        <v>0.96199999999999997</v>
      </c>
      <c r="AL287" s="18">
        <v>0.76619999999999999</v>
      </c>
      <c r="AM287" s="18">
        <v>0.57679999999999998</v>
      </c>
      <c r="AN287" s="18">
        <v>0.39419999999999999</v>
      </c>
      <c r="AO287" s="18">
        <v>0.23019999999999999</v>
      </c>
      <c r="AP287" s="18">
        <v>6.7000000000000004E-2</v>
      </c>
      <c r="AQ287" s="18">
        <v>1.24E-2</v>
      </c>
      <c r="AR287" s="18">
        <v>0</v>
      </c>
      <c r="AS287" s="18">
        <v>0</v>
      </c>
      <c r="AT287" s="18">
        <v>0</v>
      </c>
      <c r="AU287" s="18">
        <v>0</v>
      </c>
      <c r="AV287" s="18">
        <v>0</v>
      </c>
      <c r="AW287" s="18">
        <v>0</v>
      </c>
      <c r="AX287" s="18">
        <v>0</v>
      </c>
    </row>
    <row r="288" spans="1:50" x14ac:dyDescent="0.25">
      <c r="A288" s="8" t="s">
        <v>384</v>
      </c>
      <c r="B288" s="10" t="s">
        <v>57</v>
      </c>
      <c r="C288" s="16">
        <v>0</v>
      </c>
      <c r="D288" s="16">
        <v>0</v>
      </c>
      <c r="E288" s="16">
        <v>0</v>
      </c>
      <c r="F288" s="16">
        <v>0</v>
      </c>
      <c r="G288" s="16">
        <v>0</v>
      </c>
      <c r="H288" s="16">
        <v>0</v>
      </c>
      <c r="I288" s="16">
        <v>0</v>
      </c>
      <c r="J288" s="16">
        <v>0</v>
      </c>
      <c r="K288" s="16">
        <v>0</v>
      </c>
      <c r="L288" s="16">
        <v>0</v>
      </c>
      <c r="M288" s="16">
        <v>0</v>
      </c>
      <c r="N288" s="16">
        <v>0</v>
      </c>
      <c r="O288" s="16">
        <v>0</v>
      </c>
      <c r="P288" s="16">
        <v>0</v>
      </c>
      <c r="Q288" s="16">
        <v>0</v>
      </c>
      <c r="R288" s="16">
        <v>0</v>
      </c>
      <c r="S288" s="16">
        <v>0</v>
      </c>
      <c r="T288" s="16">
        <v>0</v>
      </c>
      <c r="U288" s="16">
        <v>0</v>
      </c>
      <c r="V288" s="16">
        <v>0</v>
      </c>
      <c r="W288" s="16">
        <v>0</v>
      </c>
      <c r="X288" s="16">
        <v>0</v>
      </c>
      <c r="Y288" s="16">
        <v>0</v>
      </c>
      <c r="Z288" s="16">
        <v>0</v>
      </c>
      <c r="AA288" s="16">
        <v>0</v>
      </c>
      <c r="AB288" s="16">
        <v>0</v>
      </c>
      <c r="AC288" s="16">
        <v>0</v>
      </c>
      <c r="AD288" s="16">
        <v>0</v>
      </c>
      <c r="AE288" s="16">
        <v>0</v>
      </c>
      <c r="AF288" s="16">
        <v>0</v>
      </c>
      <c r="AG288" s="16">
        <v>0</v>
      </c>
      <c r="AH288" s="16">
        <v>0</v>
      </c>
      <c r="AI288" s="16">
        <v>0</v>
      </c>
      <c r="AJ288" s="16">
        <v>0</v>
      </c>
      <c r="AK288" s="16">
        <v>0</v>
      </c>
      <c r="AL288" s="16">
        <v>0</v>
      </c>
      <c r="AM288" s="16">
        <v>0</v>
      </c>
      <c r="AN288" s="16">
        <v>0</v>
      </c>
      <c r="AO288" s="16">
        <v>0</v>
      </c>
      <c r="AP288" s="16">
        <v>0</v>
      </c>
      <c r="AQ288" s="16">
        <v>0</v>
      </c>
      <c r="AR288" s="16">
        <v>0</v>
      </c>
      <c r="AS288" s="16">
        <v>0</v>
      </c>
      <c r="AT288" s="16">
        <v>0</v>
      </c>
      <c r="AU288" s="16">
        <v>0</v>
      </c>
      <c r="AV288" s="16">
        <v>0</v>
      </c>
      <c r="AW288" s="16">
        <v>0</v>
      </c>
      <c r="AX288" s="16">
        <v>0</v>
      </c>
    </row>
    <row r="289" spans="1:50" x14ac:dyDescent="0.25">
      <c r="A289" s="17" t="s">
        <v>647</v>
      </c>
      <c r="B289" s="13" t="s">
        <v>410</v>
      </c>
      <c r="C289" s="18">
        <v>0</v>
      </c>
      <c r="D289" s="18">
        <v>0</v>
      </c>
      <c r="E289" s="18">
        <v>0</v>
      </c>
      <c r="F289" s="18">
        <v>0</v>
      </c>
      <c r="G289" s="18">
        <v>0</v>
      </c>
      <c r="H289" s="18">
        <v>0</v>
      </c>
      <c r="I289" s="18">
        <v>0</v>
      </c>
      <c r="J289" s="18">
        <v>3.3999999999999998E-3</v>
      </c>
      <c r="K289" s="18">
        <v>4.9700000000000001E-2</v>
      </c>
      <c r="L289" s="18">
        <v>0.2326</v>
      </c>
      <c r="M289" s="18">
        <v>0.46129999999999999</v>
      </c>
      <c r="N289" s="18">
        <v>0.7419</v>
      </c>
      <c r="O289" s="18">
        <v>1.0479000000000001</v>
      </c>
      <c r="P289" s="18">
        <v>1.3576999999999999</v>
      </c>
      <c r="Q289" s="18">
        <v>1.6659999999999999</v>
      </c>
      <c r="R289" s="18">
        <v>1.9745999999999999</v>
      </c>
      <c r="S289" s="18">
        <v>2.2643</v>
      </c>
      <c r="T289" s="18">
        <v>2.5367000000000002</v>
      </c>
      <c r="U289" s="18">
        <v>2.7686000000000002</v>
      </c>
      <c r="V289" s="18">
        <v>2.9664000000000001</v>
      </c>
      <c r="W289" s="18">
        <v>3.14</v>
      </c>
      <c r="X289" s="18">
        <v>3.2833000000000001</v>
      </c>
      <c r="Y289" s="18">
        <v>3.3849999999999998</v>
      </c>
      <c r="Z289" s="18">
        <v>3.4296000000000002</v>
      </c>
      <c r="AA289" s="18">
        <v>3.4424999999999999</v>
      </c>
      <c r="AB289" s="18">
        <v>3.4182999999999999</v>
      </c>
      <c r="AC289" s="18">
        <v>3.3372000000000002</v>
      </c>
      <c r="AD289" s="18">
        <v>3.2132999999999998</v>
      </c>
      <c r="AE289" s="18">
        <v>3.0655000000000001</v>
      </c>
      <c r="AF289" s="18">
        <v>2.8782000000000001</v>
      </c>
      <c r="AG289" s="18">
        <v>2.6791</v>
      </c>
      <c r="AH289" s="18">
        <v>2.4396</v>
      </c>
      <c r="AI289" s="18">
        <v>2.1698</v>
      </c>
      <c r="AJ289" s="18">
        <v>1.8441000000000001</v>
      </c>
      <c r="AK289" s="18">
        <v>1.5391999999999999</v>
      </c>
      <c r="AL289" s="18">
        <v>1.2259</v>
      </c>
      <c r="AM289" s="18">
        <v>0.92290000000000005</v>
      </c>
      <c r="AN289" s="18">
        <v>0.63080000000000003</v>
      </c>
      <c r="AO289" s="18">
        <v>0.36830000000000002</v>
      </c>
      <c r="AP289" s="18">
        <v>0.1072</v>
      </c>
      <c r="AQ289" s="18">
        <v>1.9800000000000002E-2</v>
      </c>
      <c r="AR289" s="18">
        <v>0</v>
      </c>
      <c r="AS289" s="18">
        <v>0</v>
      </c>
      <c r="AT289" s="18">
        <v>0</v>
      </c>
      <c r="AU289" s="18">
        <v>0</v>
      </c>
      <c r="AV289" s="18">
        <v>0</v>
      </c>
      <c r="AW289" s="18">
        <v>0</v>
      </c>
      <c r="AX289" s="18">
        <v>0</v>
      </c>
    </row>
    <row r="290" spans="1:50" x14ac:dyDescent="0.25">
      <c r="A290" s="8" t="s">
        <v>386</v>
      </c>
      <c r="B290" s="10" t="s">
        <v>57</v>
      </c>
      <c r="C290" s="16">
        <v>0</v>
      </c>
      <c r="D290" s="16">
        <v>0</v>
      </c>
      <c r="E290" s="16">
        <v>0</v>
      </c>
      <c r="F290" s="16">
        <v>0</v>
      </c>
      <c r="G290" s="16">
        <v>0</v>
      </c>
      <c r="H290" s="16">
        <v>0</v>
      </c>
      <c r="I290" s="16">
        <v>0</v>
      </c>
      <c r="J290" s="16">
        <v>0</v>
      </c>
      <c r="K290" s="16">
        <v>0</v>
      </c>
      <c r="L290" s="16">
        <v>0</v>
      </c>
      <c r="M290" s="16">
        <v>0</v>
      </c>
      <c r="N290" s="16">
        <v>0</v>
      </c>
      <c r="O290" s="16">
        <v>0</v>
      </c>
      <c r="P290" s="16">
        <v>0</v>
      </c>
      <c r="Q290" s="16">
        <v>0</v>
      </c>
      <c r="R290" s="16">
        <v>0</v>
      </c>
      <c r="S290" s="16">
        <v>0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  <c r="AC290" s="16">
        <v>0</v>
      </c>
      <c r="AD290" s="16">
        <v>0</v>
      </c>
      <c r="AE290" s="16">
        <v>0</v>
      </c>
      <c r="AF290" s="16">
        <v>0</v>
      </c>
      <c r="AG290" s="16">
        <v>0</v>
      </c>
      <c r="AH290" s="16">
        <v>0</v>
      </c>
      <c r="AI290" s="16">
        <v>0</v>
      </c>
      <c r="AJ290" s="16">
        <v>0</v>
      </c>
      <c r="AK290" s="16">
        <v>0</v>
      </c>
      <c r="AL290" s="16">
        <v>0</v>
      </c>
      <c r="AM290" s="16">
        <v>0</v>
      </c>
      <c r="AN290" s="16">
        <v>0</v>
      </c>
      <c r="AO290" s="16">
        <v>0</v>
      </c>
      <c r="AP290" s="16">
        <v>0</v>
      </c>
      <c r="AQ290" s="16">
        <v>0</v>
      </c>
      <c r="AR290" s="16">
        <v>0</v>
      </c>
      <c r="AS290" s="16">
        <v>0</v>
      </c>
      <c r="AT290" s="16">
        <v>0</v>
      </c>
      <c r="AU290" s="16">
        <v>0</v>
      </c>
      <c r="AV290" s="16">
        <v>0</v>
      </c>
      <c r="AW290" s="16">
        <v>0</v>
      </c>
      <c r="AX290" s="16">
        <v>0</v>
      </c>
    </row>
    <row r="291" spans="1:50" x14ac:dyDescent="0.25">
      <c r="A291" s="8" t="s">
        <v>388</v>
      </c>
      <c r="B291" s="10" t="s">
        <v>57</v>
      </c>
      <c r="C291" s="16">
        <v>0</v>
      </c>
      <c r="D291" s="16">
        <v>0</v>
      </c>
      <c r="E291" s="16">
        <v>0</v>
      </c>
      <c r="F291" s="16">
        <v>0</v>
      </c>
      <c r="G291" s="16">
        <v>0</v>
      </c>
      <c r="H291" s="16">
        <v>0</v>
      </c>
      <c r="I291" s="16">
        <v>0</v>
      </c>
      <c r="J291" s="16">
        <v>0</v>
      </c>
      <c r="K291" s="16">
        <v>0</v>
      </c>
      <c r="L291" s="16">
        <v>0</v>
      </c>
      <c r="M291" s="16">
        <v>0</v>
      </c>
      <c r="N291" s="16">
        <v>0</v>
      </c>
      <c r="O291" s="16">
        <v>0</v>
      </c>
      <c r="P291" s="16">
        <v>0</v>
      </c>
      <c r="Q291" s="16">
        <v>0</v>
      </c>
      <c r="R291" s="16">
        <v>0</v>
      </c>
      <c r="S291" s="16">
        <v>0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  <c r="AC291" s="16">
        <v>0</v>
      </c>
      <c r="AD291" s="16">
        <v>0</v>
      </c>
      <c r="AE291" s="16">
        <v>0</v>
      </c>
      <c r="AF291" s="16">
        <v>0</v>
      </c>
      <c r="AG291" s="16">
        <v>0</v>
      </c>
      <c r="AH291" s="16">
        <v>0</v>
      </c>
      <c r="AI291" s="16">
        <v>0</v>
      </c>
      <c r="AJ291" s="16">
        <v>0</v>
      </c>
      <c r="AK291" s="16">
        <v>0</v>
      </c>
      <c r="AL291" s="16">
        <v>0</v>
      </c>
      <c r="AM291" s="16">
        <v>0</v>
      </c>
      <c r="AN291" s="16">
        <v>0</v>
      </c>
      <c r="AO291" s="16">
        <v>0</v>
      </c>
      <c r="AP291" s="16">
        <v>0</v>
      </c>
      <c r="AQ291" s="16">
        <v>0</v>
      </c>
      <c r="AR291" s="16">
        <v>0</v>
      </c>
      <c r="AS291" s="16">
        <v>0</v>
      </c>
      <c r="AT291" s="16">
        <v>0</v>
      </c>
      <c r="AU291" s="16">
        <v>0</v>
      </c>
      <c r="AV291" s="16">
        <v>0</v>
      </c>
      <c r="AW291" s="16">
        <v>0</v>
      </c>
      <c r="AX291" s="16">
        <v>0</v>
      </c>
    </row>
    <row r="292" spans="1:50" x14ac:dyDescent="0.25">
      <c r="A292" s="8" t="s">
        <v>390</v>
      </c>
      <c r="B292" s="10" t="s">
        <v>57</v>
      </c>
      <c r="C292" s="16">
        <v>0</v>
      </c>
      <c r="D292" s="16">
        <v>0</v>
      </c>
      <c r="E292" s="16">
        <v>0</v>
      </c>
      <c r="F292" s="16">
        <v>0</v>
      </c>
      <c r="G292" s="16">
        <v>0</v>
      </c>
      <c r="H292" s="16">
        <v>0</v>
      </c>
      <c r="I292" s="16">
        <v>0</v>
      </c>
      <c r="J292" s="16">
        <v>0</v>
      </c>
      <c r="K292" s="16">
        <v>0</v>
      </c>
      <c r="L292" s="16">
        <v>0</v>
      </c>
      <c r="M292" s="16">
        <v>0</v>
      </c>
      <c r="N292" s="16">
        <v>0</v>
      </c>
      <c r="O292" s="16">
        <v>0</v>
      </c>
      <c r="P292" s="16">
        <v>0</v>
      </c>
      <c r="Q292" s="16">
        <v>0</v>
      </c>
      <c r="R292" s="16">
        <v>0</v>
      </c>
      <c r="S292" s="16">
        <v>0</v>
      </c>
      <c r="T292" s="16">
        <v>0</v>
      </c>
      <c r="U292" s="16">
        <v>0</v>
      </c>
      <c r="V292" s="16">
        <v>0</v>
      </c>
      <c r="W292" s="16">
        <v>0</v>
      </c>
      <c r="X292" s="16">
        <v>0</v>
      </c>
      <c r="Y292" s="16">
        <v>0</v>
      </c>
      <c r="Z292" s="16">
        <v>0</v>
      </c>
      <c r="AA292" s="16">
        <v>0</v>
      </c>
      <c r="AB292" s="16">
        <v>0</v>
      </c>
      <c r="AC292" s="16">
        <v>0</v>
      </c>
      <c r="AD292" s="16">
        <v>0</v>
      </c>
      <c r="AE292" s="16">
        <v>0</v>
      </c>
      <c r="AF292" s="16">
        <v>0</v>
      </c>
      <c r="AG292" s="16">
        <v>0</v>
      </c>
      <c r="AH292" s="16">
        <v>0</v>
      </c>
      <c r="AI292" s="16">
        <v>0</v>
      </c>
      <c r="AJ292" s="16">
        <v>0</v>
      </c>
      <c r="AK292" s="16">
        <v>0</v>
      </c>
      <c r="AL292" s="16">
        <v>0</v>
      </c>
      <c r="AM292" s="16">
        <v>0</v>
      </c>
      <c r="AN292" s="16">
        <v>0</v>
      </c>
      <c r="AO292" s="16">
        <v>0</v>
      </c>
      <c r="AP292" s="16">
        <v>0</v>
      </c>
      <c r="AQ292" s="16">
        <v>0</v>
      </c>
      <c r="AR292" s="16">
        <v>0</v>
      </c>
      <c r="AS292" s="16">
        <v>0</v>
      </c>
      <c r="AT292" s="16">
        <v>0</v>
      </c>
      <c r="AU292" s="16">
        <v>0</v>
      </c>
      <c r="AV292" s="16">
        <v>0</v>
      </c>
      <c r="AW292" s="16">
        <v>0</v>
      </c>
      <c r="AX292" s="16">
        <v>0</v>
      </c>
    </row>
    <row r="293" spans="1:50" x14ac:dyDescent="0.25">
      <c r="A293" s="8" t="s">
        <v>392</v>
      </c>
      <c r="B293" s="10" t="s">
        <v>57</v>
      </c>
      <c r="C293" s="16">
        <v>0</v>
      </c>
      <c r="D293" s="16">
        <v>0</v>
      </c>
      <c r="E293" s="16">
        <v>0</v>
      </c>
      <c r="F293" s="16">
        <v>0</v>
      </c>
      <c r="G293" s="16">
        <v>0</v>
      </c>
      <c r="H293" s="16">
        <v>0</v>
      </c>
      <c r="I293" s="16">
        <v>0</v>
      </c>
      <c r="J293" s="16">
        <v>0</v>
      </c>
      <c r="K293" s="16">
        <v>0</v>
      </c>
      <c r="L293" s="16">
        <v>0</v>
      </c>
      <c r="M293" s="16">
        <v>0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  <c r="AC293" s="16">
        <v>0</v>
      </c>
      <c r="AD293" s="16">
        <v>0</v>
      </c>
      <c r="AE293" s="16">
        <v>0</v>
      </c>
      <c r="AF293" s="16">
        <v>0</v>
      </c>
      <c r="AG293" s="16">
        <v>0</v>
      </c>
      <c r="AH293" s="16">
        <v>0</v>
      </c>
      <c r="AI293" s="16">
        <v>0</v>
      </c>
      <c r="AJ293" s="16">
        <v>0</v>
      </c>
      <c r="AK293" s="16">
        <v>0</v>
      </c>
      <c r="AL293" s="16">
        <v>0</v>
      </c>
      <c r="AM293" s="16">
        <v>0</v>
      </c>
      <c r="AN293" s="16">
        <v>0</v>
      </c>
      <c r="AO293" s="16">
        <v>0</v>
      </c>
      <c r="AP293" s="16">
        <v>0</v>
      </c>
      <c r="AQ293" s="16">
        <v>0</v>
      </c>
      <c r="AR293" s="16">
        <v>0</v>
      </c>
      <c r="AS293" s="16">
        <v>0</v>
      </c>
      <c r="AT293" s="16">
        <v>0</v>
      </c>
      <c r="AU293" s="16">
        <v>0</v>
      </c>
      <c r="AV293" s="16">
        <v>0</v>
      </c>
      <c r="AW293" s="16">
        <v>0</v>
      </c>
      <c r="AX293" s="16">
        <v>0</v>
      </c>
    </row>
    <row r="294" spans="1:50" x14ac:dyDescent="0.25">
      <c r="A294" s="8" t="s">
        <v>394</v>
      </c>
      <c r="B294" s="10" t="s">
        <v>57</v>
      </c>
      <c r="C294" s="16">
        <v>0</v>
      </c>
      <c r="D294" s="16">
        <v>0</v>
      </c>
      <c r="E294" s="16">
        <v>0</v>
      </c>
      <c r="F294" s="16">
        <v>0</v>
      </c>
      <c r="G294" s="16">
        <v>0</v>
      </c>
      <c r="H294" s="16">
        <v>0</v>
      </c>
      <c r="I294" s="16">
        <v>0</v>
      </c>
      <c r="J294" s="16">
        <v>0</v>
      </c>
      <c r="K294" s="16">
        <v>0</v>
      </c>
      <c r="L294" s="16">
        <v>0</v>
      </c>
      <c r="M294" s="16">
        <v>0</v>
      </c>
      <c r="N294" s="16">
        <v>0</v>
      </c>
      <c r="O294" s="16">
        <v>0</v>
      </c>
      <c r="P294" s="16">
        <v>0</v>
      </c>
      <c r="Q294" s="16">
        <v>0</v>
      </c>
      <c r="R294" s="16">
        <v>0</v>
      </c>
      <c r="S294" s="16">
        <v>0</v>
      </c>
      <c r="T294" s="16">
        <v>0</v>
      </c>
      <c r="U294" s="16">
        <v>0</v>
      </c>
      <c r="V294" s="16">
        <v>0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  <c r="AC294" s="16">
        <v>0</v>
      </c>
      <c r="AD294" s="16">
        <v>0</v>
      </c>
      <c r="AE294" s="16">
        <v>0</v>
      </c>
      <c r="AF294" s="16">
        <v>0</v>
      </c>
      <c r="AG294" s="16">
        <v>0</v>
      </c>
      <c r="AH294" s="16">
        <v>0</v>
      </c>
      <c r="AI294" s="16">
        <v>0</v>
      </c>
      <c r="AJ294" s="16">
        <v>0</v>
      </c>
      <c r="AK294" s="16">
        <v>0</v>
      </c>
      <c r="AL294" s="16">
        <v>0</v>
      </c>
      <c r="AM294" s="16">
        <v>0</v>
      </c>
      <c r="AN294" s="16">
        <v>0</v>
      </c>
      <c r="AO294" s="16">
        <v>0</v>
      </c>
      <c r="AP294" s="16">
        <v>0</v>
      </c>
      <c r="AQ294" s="16">
        <v>0</v>
      </c>
      <c r="AR294" s="16">
        <v>0</v>
      </c>
      <c r="AS294" s="16">
        <v>0</v>
      </c>
      <c r="AT294" s="16">
        <v>0</v>
      </c>
      <c r="AU294" s="16">
        <v>0</v>
      </c>
      <c r="AV294" s="16">
        <v>0</v>
      </c>
      <c r="AW294" s="16">
        <v>0</v>
      </c>
      <c r="AX294" s="16">
        <v>0</v>
      </c>
    </row>
    <row r="295" spans="1:50" x14ac:dyDescent="0.25">
      <c r="A295" s="8" t="s">
        <v>396</v>
      </c>
      <c r="B295" s="10" t="s">
        <v>57</v>
      </c>
      <c r="C295" s="16">
        <v>0</v>
      </c>
      <c r="D295" s="16">
        <v>0</v>
      </c>
      <c r="E295" s="16">
        <v>0</v>
      </c>
      <c r="F295" s="16">
        <v>0</v>
      </c>
      <c r="G295" s="16">
        <v>0</v>
      </c>
      <c r="H295" s="16">
        <v>0</v>
      </c>
      <c r="I295" s="16">
        <v>0</v>
      </c>
      <c r="J295" s="16">
        <v>0</v>
      </c>
      <c r="K295" s="16">
        <v>0</v>
      </c>
      <c r="L295" s="16">
        <v>0</v>
      </c>
      <c r="M295" s="16">
        <v>0</v>
      </c>
      <c r="N295" s="16">
        <v>0</v>
      </c>
      <c r="O295" s="16">
        <v>0</v>
      </c>
      <c r="P295" s="16">
        <v>0</v>
      </c>
      <c r="Q295" s="16">
        <v>0</v>
      </c>
      <c r="R295" s="16">
        <v>0</v>
      </c>
      <c r="S295" s="16">
        <v>0</v>
      </c>
      <c r="T295" s="16">
        <v>0</v>
      </c>
      <c r="U295" s="16">
        <v>0</v>
      </c>
      <c r="V295" s="16">
        <v>0</v>
      </c>
      <c r="W295" s="16">
        <v>0</v>
      </c>
      <c r="X295" s="16">
        <v>0</v>
      </c>
      <c r="Y295" s="16">
        <v>0</v>
      </c>
      <c r="Z295" s="16">
        <v>0</v>
      </c>
      <c r="AA295" s="16">
        <v>0</v>
      </c>
      <c r="AB295" s="16">
        <v>0</v>
      </c>
      <c r="AC295" s="16">
        <v>0</v>
      </c>
      <c r="AD295" s="16">
        <v>0</v>
      </c>
      <c r="AE295" s="16">
        <v>0</v>
      </c>
      <c r="AF295" s="16">
        <v>0</v>
      </c>
      <c r="AG295" s="16">
        <v>0</v>
      </c>
      <c r="AH295" s="16">
        <v>0</v>
      </c>
      <c r="AI295" s="16">
        <v>0</v>
      </c>
      <c r="AJ295" s="16">
        <v>0</v>
      </c>
      <c r="AK295" s="16">
        <v>0</v>
      </c>
      <c r="AL295" s="16">
        <v>0</v>
      </c>
      <c r="AM295" s="16">
        <v>0</v>
      </c>
      <c r="AN295" s="16">
        <v>0</v>
      </c>
      <c r="AO295" s="16">
        <v>0</v>
      </c>
      <c r="AP295" s="16">
        <v>0</v>
      </c>
      <c r="AQ295" s="16">
        <v>0</v>
      </c>
      <c r="AR295" s="16">
        <v>0</v>
      </c>
      <c r="AS295" s="16">
        <v>0</v>
      </c>
      <c r="AT295" s="16">
        <v>0</v>
      </c>
      <c r="AU295" s="16">
        <v>0</v>
      </c>
      <c r="AV295" s="16">
        <v>0</v>
      </c>
      <c r="AW295" s="16">
        <v>0</v>
      </c>
      <c r="AX295" s="16">
        <v>0</v>
      </c>
    </row>
    <row r="296" spans="1:50" x14ac:dyDescent="0.25">
      <c r="A296" s="8" t="s">
        <v>398</v>
      </c>
      <c r="B296" s="10" t="s">
        <v>57</v>
      </c>
      <c r="C296" s="16">
        <v>0</v>
      </c>
      <c r="D296" s="16">
        <v>0</v>
      </c>
      <c r="E296" s="16">
        <v>0</v>
      </c>
      <c r="F296" s="16">
        <v>0</v>
      </c>
      <c r="G296" s="16">
        <v>0</v>
      </c>
      <c r="H296" s="16">
        <v>0</v>
      </c>
      <c r="I296" s="16">
        <v>0</v>
      </c>
      <c r="J296" s="16">
        <v>0</v>
      </c>
      <c r="K296" s="16">
        <v>0</v>
      </c>
      <c r="L296" s="16">
        <v>0</v>
      </c>
      <c r="M296" s="16">
        <v>0</v>
      </c>
      <c r="N296" s="16">
        <v>0</v>
      </c>
      <c r="O296" s="16">
        <v>0</v>
      </c>
      <c r="P296" s="16">
        <v>0</v>
      </c>
      <c r="Q296" s="16">
        <v>0</v>
      </c>
      <c r="R296" s="16">
        <v>0</v>
      </c>
      <c r="S296" s="16">
        <v>0</v>
      </c>
      <c r="T296" s="16">
        <v>0</v>
      </c>
      <c r="U296" s="16">
        <v>0</v>
      </c>
      <c r="V296" s="16">
        <v>0</v>
      </c>
      <c r="W296" s="16">
        <v>0</v>
      </c>
      <c r="X296" s="16">
        <v>0</v>
      </c>
      <c r="Y296" s="16">
        <v>0</v>
      </c>
      <c r="Z296" s="16">
        <v>0</v>
      </c>
      <c r="AA296" s="16">
        <v>0</v>
      </c>
      <c r="AB296" s="16">
        <v>0</v>
      </c>
      <c r="AC296" s="16">
        <v>0</v>
      </c>
      <c r="AD296" s="16">
        <v>0</v>
      </c>
      <c r="AE296" s="16">
        <v>0</v>
      </c>
      <c r="AF296" s="16">
        <v>0</v>
      </c>
      <c r="AG296" s="16">
        <v>0</v>
      </c>
      <c r="AH296" s="16">
        <v>0</v>
      </c>
      <c r="AI296" s="16">
        <v>0</v>
      </c>
      <c r="AJ296" s="16">
        <v>0</v>
      </c>
      <c r="AK296" s="16">
        <v>0</v>
      </c>
      <c r="AL296" s="16">
        <v>0</v>
      </c>
      <c r="AM296" s="16">
        <v>0</v>
      </c>
      <c r="AN296" s="16">
        <v>0</v>
      </c>
      <c r="AO296" s="16">
        <v>0</v>
      </c>
      <c r="AP296" s="16">
        <v>0</v>
      </c>
      <c r="AQ296" s="16">
        <v>0</v>
      </c>
      <c r="AR296" s="16">
        <v>0</v>
      </c>
      <c r="AS296" s="16">
        <v>0</v>
      </c>
      <c r="AT296" s="16">
        <v>0</v>
      </c>
      <c r="AU296" s="16">
        <v>0</v>
      </c>
      <c r="AV296" s="16">
        <v>0</v>
      </c>
      <c r="AW296" s="16">
        <v>0</v>
      </c>
      <c r="AX296" s="16">
        <v>0</v>
      </c>
    </row>
    <row r="297" spans="1:50" x14ac:dyDescent="0.25">
      <c r="A297" s="8" t="s">
        <v>400</v>
      </c>
      <c r="B297" s="10" t="s">
        <v>57</v>
      </c>
      <c r="C297" s="16">
        <v>0</v>
      </c>
      <c r="D297" s="16">
        <v>0</v>
      </c>
      <c r="E297" s="16">
        <v>0</v>
      </c>
      <c r="F297" s="16">
        <v>0</v>
      </c>
      <c r="G297" s="16">
        <v>0</v>
      </c>
      <c r="H297" s="16">
        <v>0</v>
      </c>
      <c r="I297" s="16">
        <v>0</v>
      </c>
      <c r="J297" s="16">
        <v>0</v>
      </c>
      <c r="K297" s="16">
        <v>0</v>
      </c>
      <c r="L297" s="16">
        <v>0</v>
      </c>
      <c r="M297" s="16">
        <v>0</v>
      </c>
      <c r="N297" s="16">
        <v>0</v>
      </c>
      <c r="O297" s="16">
        <v>0</v>
      </c>
      <c r="P297" s="16">
        <v>0</v>
      </c>
      <c r="Q297" s="16">
        <v>0</v>
      </c>
      <c r="R297" s="16">
        <v>0</v>
      </c>
      <c r="S297" s="16">
        <v>0</v>
      </c>
      <c r="T297" s="16">
        <v>0</v>
      </c>
      <c r="U297" s="16">
        <v>0</v>
      </c>
      <c r="V297" s="16">
        <v>0</v>
      </c>
      <c r="W297" s="16">
        <v>0</v>
      </c>
      <c r="X297" s="16">
        <v>0</v>
      </c>
      <c r="Y297" s="16">
        <v>0</v>
      </c>
      <c r="Z297" s="16">
        <v>0</v>
      </c>
      <c r="AA297" s="16">
        <v>0</v>
      </c>
      <c r="AB297" s="16">
        <v>0</v>
      </c>
      <c r="AC297" s="16">
        <v>0</v>
      </c>
      <c r="AD297" s="16">
        <v>0</v>
      </c>
      <c r="AE297" s="16">
        <v>0</v>
      </c>
      <c r="AF297" s="16">
        <v>0</v>
      </c>
      <c r="AG297" s="16">
        <v>0</v>
      </c>
      <c r="AH297" s="16">
        <v>0</v>
      </c>
      <c r="AI297" s="16">
        <v>0</v>
      </c>
      <c r="AJ297" s="16">
        <v>0</v>
      </c>
      <c r="AK297" s="16">
        <v>0</v>
      </c>
      <c r="AL297" s="16">
        <v>0</v>
      </c>
      <c r="AM297" s="16">
        <v>0</v>
      </c>
      <c r="AN297" s="16">
        <v>0</v>
      </c>
      <c r="AO297" s="16">
        <v>0</v>
      </c>
      <c r="AP297" s="16">
        <v>0</v>
      </c>
      <c r="AQ297" s="16">
        <v>0</v>
      </c>
      <c r="AR297" s="16">
        <v>0</v>
      </c>
      <c r="AS297" s="16">
        <v>0</v>
      </c>
      <c r="AT297" s="16">
        <v>0</v>
      </c>
      <c r="AU297" s="16">
        <v>0</v>
      </c>
      <c r="AV297" s="16">
        <v>0</v>
      </c>
      <c r="AW297" s="16">
        <v>0</v>
      </c>
      <c r="AX297" s="16">
        <v>0</v>
      </c>
    </row>
    <row r="298" spans="1:50" x14ac:dyDescent="0.25">
      <c r="A298" s="8" t="s">
        <v>402</v>
      </c>
      <c r="B298" s="10" t="s">
        <v>57</v>
      </c>
      <c r="C298" s="16">
        <v>0</v>
      </c>
      <c r="D298" s="16">
        <v>0</v>
      </c>
      <c r="E298" s="16">
        <v>0</v>
      </c>
      <c r="F298" s="16">
        <v>0</v>
      </c>
      <c r="G298" s="16">
        <v>0</v>
      </c>
      <c r="H298" s="16">
        <v>0</v>
      </c>
      <c r="I298" s="16">
        <v>0</v>
      </c>
      <c r="J298" s="16">
        <v>0</v>
      </c>
      <c r="K298" s="16">
        <v>0</v>
      </c>
      <c r="L298" s="16">
        <v>0</v>
      </c>
      <c r="M298" s="16">
        <v>0</v>
      </c>
      <c r="N298" s="16">
        <v>0</v>
      </c>
      <c r="O298" s="16">
        <v>0</v>
      </c>
      <c r="P298" s="16">
        <v>0</v>
      </c>
      <c r="Q298" s="16">
        <v>0</v>
      </c>
      <c r="R298" s="16">
        <v>0</v>
      </c>
      <c r="S298" s="16">
        <v>0</v>
      </c>
      <c r="T298" s="16">
        <v>0</v>
      </c>
      <c r="U298" s="16">
        <v>0</v>
      </c>
      <c r="V298" s="16">
        <v>0</v>
      </c>
      <c r="W298" s="16">
        <v>0</v>
      </c>
      <c r="X298" s="16">
        <v>0</v>
      </c>
      <c r="Y298" s="16">
        <v>0</v>
      </c>
      <c r="Z298" s="16">
        <v>0</v>
      </c>
      <c r="AA298" s="16">
        <v>0</v>
      </c>
      <c r="AB298" s="16">
        <v>0</v>
      </c>
      <c r="AC298" s="16">
        <v>0</v>
      </c>
      <c r="AD298" s="16">
        <v>0</v>
      </c>
      <c r="AE298" s="16">
        <v>0</v>
      </c>
      <c r="AF298" s="16">
        <v>0</v>
      </c>
      <c r="AG298" s="16">
        <v>0</v>
      </c>
      <c r="AH298" s="16">
        <v>0</v>
      </c>
      <c r="AI298" s="16">
        <v>0</v>
      </c>
      <c r="AJ298" s="16">
        <v>0</v>
      </c>
      <c r="AK298" s="16">
        <v>0</v>
      </c>
      <c r="AL298" s="16">
        <v>0</v>
      </c>
      <c r="AM298" s="16">
        <v>0</v>
      </c>
      <c r="AN298" s="16">
        <v>0</v>
      </c>
      <c r="AO298" s="16">
        <v>0</v>
      </c>
      <c r="AP298" s="16">
        <v>0</v>
      </c>
      <c r="AQ298" s="16">
        <v>0</v>
      </c>
      <c r="AR298" s="16">
        <v>0</v>
      </c>
      <c r="AS298" s="16">
        <v>0</v>
      </c>
      <c r="AT298" s="16">
        <v>0</v>
      </c>
      <c r="AU298" s="16">
        <v>0</v>
      </c>
      <c r="AV298" s="16">
        <v>0</v>
      </c>
      <c r="AW298" s="16">
        <v>0</v>
      </c>
      <c r="AX298" s="16">
        <v>0</v>
      </c>
    </row>
    <row r="299" spans="1:50" x14ac:dyDescent="0.25">
      <c r="A299" s="17" t="s">
        <v>649</v>
      </c>
      <c r="B299" s="13" t="s">
        <v>410</v>
      </c>
      <c r="C299" s="18">
        <v>0</v>
      </c>
      <c r="D299" s="18">
        <v>0</v>
      </c>
      <c r="E299" s="18">
        <v>0</v>
      </c>
      <c r="F299" s="18">
        <v>0</v>
      </c>
      <c r="G299" s="18">
        <v>0</v>
      </c>
      <c r="H299" s="18">
        <v>0</v>
      </c>
      <c r="I299" s="18">
        <v>0</v>
      </c>
      <c r="J299" s="18">
        <v>1.6999999999999999E-3</v>
      </c>
      <c r="K299" s="18">
        <v>2.4899999999999999E-2</v>
      </c>
      <c r="L299" s="18">
        <v>0.1163</v>
      </c>
      <c r="M299" s="18">
        <v>0.23069999999999999</v>
      </c>
      <c r="N299" s="18">
        <v>0.37090000000000001</v>
      </c>
      <c r="O299" s="18">
        <v>0.52400000000000002</v>
      </c>
      <c r="P299" s="18">
        <v>0.67889999999999995</v>
      </c>
      <c r="Q299" s="18">
        <v>0.83299999999999996</v>
      </c>
      <c r="R299" s="18">
        <v>0.98729999999999996</v>
      </c>
      <c r="S299" s="18">
        <v>1.1322000000000001</v>
      </c>
      <c r="T299" s="18">
        <v>1.2683</v>
      </c>
      <c r="U299" s="18">
        <v>1.3843000000000001</v>
      </c>
      <c r="V299" s="18">
        <v>1.4832000000000001</v>
      </c>
      <c r="W299" s="18">
        <v>1.57</v>
      </c>
      <c r="X299" s="18">
        <v>1.6416999999999999</v>
      </c>
      <c r="Y299" s="18">
        <v>1.6924999999999999</v>
      </c>
      <c r="Z299" s="18">
        <v>1.7148000000000001</v>
      </c>
      <c r="AA299" s="18">
        <v>1.7212000000000001</v>
      </c>
      <c r="AB299" s="18">
        <v>1.7092000000000001</v>
      </c>
      <c r="AC299" s="18">
        <v>1.6686000000000001</v>
      </c>
      <c r="AD299" s="18">
        <v>1.6067</v>
      </c>
      <c r="AE299" s="18">
        <v>1.5327999999999999</v>
      </c>
      <c r="AF299" s="18">
        <v>1.4391</v>
      </c>
      <c r="AG299" s="18">
        <v>1.3395999999999999</v>
      </c>
      <c r="AH299" s="18">
        <v>1.2198</v>
      </c>
      <c r="AI299" s="18">
        <v>1.0849</v>
      </c>
      <c r="AJ299" s="18">
        <v>0.92200000000000004</v>
      </c>
      <c r="AK299" s="18">
        <v>0.76959999999999995</v>
      </c>
      <c r="AL299" s="18">
        <v>0.61299999999999999</v>
      </c>
      <c r="AM299" s="18">
        <v>0.46150000000000002</v>
      </c>
      <c r="AN299" s="18">
        <v>0.31540000000000001</v>
      </c>
      <c r="AO299" s="18">
        <v>0.1842</v>
      </c>
      <c r="AP299" s="18">
        <v>5.3600000000000002E-2</v>
      </c>
      <c r="AQ299" s="18">
        <v>9.9000000000000008E-3</v>
      </c>
      <c r="AR299" s="18">
        <v>0</v>
      </c>
      <c r="AS299" s="18">
        <v>0</v>
      </c>
      <c r="AT299" s="18">
        <v>0</v>
      </c>
      <c r="AU299" s="18">
        <v>0</v>
      </c>
      <c r="AV299" s="18">
        <v>0</v>
      </c>
      <c r="AW299" s="18">
        <v>0</v>
      </c>
      <c r="AX299" s="18">
        <v>0</v>
      </c>
    </row>
    <row r="300" spans="1:50" x14ac:dyDescent="0.25">
      <c r="A300" s="17" t="s">
        <v>651</v>
      </c>
      <c r="B300" s="13" t="s">
        <v>410</v>
      </c>
      <c r="C300" s="18">
        <v>0</v>
      </c>
      <c r="D300" s="18">
        <v>0</v>
      </c>
      <c r="E300" s="18">
        <v>0</v>
      </c>
      <c r="F300" s="18">
        <v>0</v>
      </c>
      <c r="G300" s="18">
        <v>0</v>
      </c>
      <c r="H300" s="18">
        <v>0</v>
      </c>
      <c r="I300" s="18">
        <v>0</v>
      </c>
      <c r="J300" s="18">
        <v>1.6999999999999999E-3</v>
      </c>
      <c r="K300" s="18">
        <v>2.4899999999999999E-2</v>
      </c>
      <c r="L300" s="18">
        <v>0.1163</v>
      </c>
      <c r="M300" s="18">
        <v>0.23069999999999999</v>
      </c>
      <c r="N300" s="18">
        <v>0.37090000000000001</v>
      </c>
      <c r="O300" s="18">
        <v>0.52400000000000002</v>
      </c>
      <c r="P300" s="18">
        <v>0.67889999999999995</v>
      </c>
      <c r="Q300" s="18">
        <v>0.83299999999999996</v>
      </c>
      <c r="R300" s="18">
        <v>0.98729999999999996</v>
      </c>
      <c r="S300" s="18">
        <v>1.1322000000000001</v>
      </c>
      <c r="T300" s="18">
        <v>1.2683</v>
      </c>
      <c r="U300" s="18">
        <v>1.3843000000000001</v>
      </c>
      <c r="V300" s="18">
        <v>1.4832000000000001</v>
      </c>
      <c r="W300" s="18">
        <v>1.57</v>
      </c>
      <c r="X300" s="18">
        <v>1.6416999999999999</v>
      </c>
      <c r="Y300" s="18">
        <v>1.6924999999999999</v>
      </c>
      <c r="Z300" s="18">
        <v>1.7148000000000001</v>
      </c>
      <c r="AA300" s="18">
        <v>1.7212000000000001</v>
      </c>
      <c r="AB300" s="18">
        <v>1.7092000000000001</v>
      </c>
      <c r="AC300" s="18">
        <v>1.6686000000000001</v>
      </c>
      <c r="AD300" s="18">
        <v>1.6067</v>
      </c>
      <c r="AE300" s="18">
        <v>1.5327999999999999</v>
      </c>
      <c r="AF300" s="18">
        <v>1.4391</v>
      </c>
      <c r="AG300" s="18">
        <v>1.3395999999999999</v>
      </c>
      <c r="AH300" s="18">
        <v>1.2198</v>
      </c>
      <c r="AI300" s="18">
        <v>1.0849</v>
      </c>
      <c r="AJ300" s="18">
        <v>0.92200000000000004</v>
      </c>
      <c r="AK300" s="18">
        <v>0.76959999999999995</v>
      </c>
      <c r="AL300" s="18">
        <v>0.61299999999999999</v>
      </c>
      <c r="AM300" s="18">
        <v>0.46150000000000002</v>
      </c>
      <c r="AN300" s="18">
        <v>0.31540000000000001</v>
      </c>
      <c r="AO300" s="18">
        <v>0.1842</v>
      </c>
      <c r="AP300" s="18">
        <v>5.3600000000000002E-2</v>
      </c>
      <c r="AQ300" s="18">
        <v>9.9000000000000008E-3</v>
      </c>
      <c r="AR300" s="18">
        <v>0</v>
      </c>
      <c r="AS300" s="18">
        <v>0</v>
      </c>
      <c r="AT300" s="18">
        <v>0</v>
      </c>
      <c r="AU300" s="18">
        <v>0</v>
      </c>
      <c r="AV300" s="18">
        <v>0</v>
      </c>
      <c r="AW300" s="18">
        <v>0</v>
      </c>
      <c r="AX300" s="18">
        <v>0</v>
      </c>
    </row>
    <row r="301" spans="1:50" x14ac:dyDescent="0.25">
      <c r="A301" s="17" t="s">
        <v>653</v>
      </c>
      <c r="B301" s="13" t="s">
        <v>410</v>
      </c>
      <c r="C301" s="18">
        <v>0</v>
      </c>
      <c r="D301" s="18">
        <v>0</v>
      </c>
      <c r="E301" s="18">
        <v>0</v>
      </c>
      <c r="F301" s="18">
        <v>0</v>
      </c>
      <c r="G301" s="18">
        <v>0</v>
      </c>
      <c r="H301" s="18">
        <v>0</v>
      </c>
      <c r="I301" s="18">
        <v>0</v>
      </c>
      <c r="J301" s="18">
        <v>1.6999999999999999E-3</v>
      </c>
      <c r="K301" s="18">
        <v>2.4899999999999999E-2</v>
      </c>
      <c r="L301" s="18">
        <v>0.1163</v>
      </c>
      <c r="M301" s="18">
        <v>0.23069999999999999</v>
      </c>
      <c r="N301" s="18">
        <v>0.37090000000000001</v>
      </c>
      <c r="O301" s="18">
        <v>0.52400000000000002</v>
      </c>
      <c r="P301" s="18">
        <v>0.67889999999999995</v>
      </c>
      <c r="Q301" s="18">
        <v>0.83299999999999996</v>
      </c>
      <c r="R301" s="18">
        <v>0.98729999999999996</v>
      </c>
      <c r="S301" s="18">
        <v>1.1322000000000001</v>
      </c>
      <c r="T301" s="18">
        <v>1.2683</v>
      </c>
      <c r="U301" s="18">
        <v>1.3843000000000001</v>
      </c>
      <c r="V301" s="18">
        <v>1.4832000000000001</v>
      </c>
      <c r="W301" s="18">
        <v>1.57</v>
      </c>
      <c r="X301" s="18">
        <v>1.6416999999999999</v>
      </c>
      <c r="Y301" s="18">
        <v>1.6924999999999999</v>
      </c>
      <c r="Z301" s="18">
        <v>1.7148000000000001</v>
      </c>
      <c r="AA301" s="18">
        <v>1.7212000000000001</v>
      </c>
      <c r="AB301" s="18">
        <v>1.7092000000000001</v>
      </c>
      <c r="AC301" s="18">
        <v>1.6686000000000001</v>
      </c>
      <c r="AD301" s="18">
        <v>1.6067</v>
      </c>
      <c r="AE301" s="18">
        <v>1.5327999999999999</v>
      </c>
      <c r="AF301" s="18">
        <v>1.4391</v>
      </c>
      <c r="AG301" s="18">
        <v>1.3395999999999999</v>
      </c>
      <c r="AH301" s="18">
        <v>1.2198</v>
      </c>
      <c r="AI301" s="18">
        <v>1.0849</v>
      </c>
      <c r="AJ301" s="18">
        <v>0.92200000000000004</v>
      </c>
      <c r="AK301" s="18">
        <v>0.76959999999999995</v>
      </c>
      <c r="AL301" s="18">
        <v>0.61299999999999999</v>
      </c>
      <c r="AM301" s="18">
        <v>0.46150000000000002</v>
      </c>
      <c r="AN301" s="18">
        <v>0.31540000000000001</v>
      </c>
      <c r="AO301" s="18">
        <v>0.1842</v>
      </c>
      <c r="AP301" s="18">
        <v>5.3600000000000002E-2</v>
      </c>
      <c r="AQ301" s="18">
        <v>9.9000000000000008E-3</v>
      </c>
      <c r="AR301" s="18">
        <v>0</v>
      </c>
      <c r="AS301" s="18">
        <v>0</v>
      </c>
      <c r="AT301" s="18">
        <v>0</v>
      </c>
      <c r="AU301" s="18">
        <v>0</v>
      </c>
      <c r="AV301" s="18">
        <v>0</v>
      </c>
      <c r="AW301" s="18">
        <v>0</v>
      </c>
      <c r="AX301" s="18">
        <v>0</v>
      </c>
    </row>
    <row r="302" spans="1:50" x14ac:dyDescent="0.25">
      <c r="A302" s="8" t="s">
        <v>404</v>
      </c>
      <c r="B302" s="10" t="s">
        <v>57</v>
      </c>
      <c r="C302" s="16">
        <v>0</v>
      </c>
      <c r="D302" s="16">
        <v>0</v>
      </c>
      <c r="E302" s="16">
        <v>0</v>
      </c>
      <c r="F302" s="16">
        <v>0</v>
      </c>
      <c r="G302" s="16">
        <v>0</v>
      </c>
      <c r="H302" s="16">
        <v>0</v>
      </c>
      <c r="I302" s="16">
        <v>0</v>
      </c>
      <c r="J302" s="16">
        <v>0</v>
      </c>
      <c r="K302" s="16">
        <v>0</v>
      </c>
      <c r="L302" s="16">
        <v>0</v>
      </c>
      <c r="M302" s="16">
        <v>0</v>
      </c>
      <c r="N302" s="16">
        <v>0</v>
      </c>
      <c r="O302" s="16">
        <v>0</v>
      </c>
      <c r="P302" s="16">
        <v>0</v>
      </c>
      <c r="Q302" s="16">
        <v>0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  <c r="AC302" s="16">
        <v>0</v>
      </c>
      <c r="AD302" s="16">
        <v>0</v>
      </c>
      <c r="AE302" s="16">
        <v>0</v>
      </c>
      <c r="AF302" s="16">
        <v>0</v>
      </c>
      <c r="AG302" s="16">
        <v>0</v>
      </c>
      <c r="AH302" s="16">
        <v>0</v>
      </c>
      <c r="AI302" s="16">
        <v>0</v>
      </c>
      <c r="AJ302" s="16">
        <v>0</v>
      </c>
      <c r="AK302" s="16">
        <v>0</v>
      </c>
      <c r="AL302" s="16">
        <v>0</v>
      </c>
      <c r="AM302" s="16">
        <v>0</v>
      </c>
      <c r="AN302" s="16">
        <v>0</v>
      </c>
      <c r="AO302" s="16">
        <v>0</v>
      </c>
      <c r="AP302" s="16">
        <v>0</v>
      </c>
      <c r="AQ302" s="16">
        <v>0</v>
      </c>
      <c r="AR302" s="16">
        <v>0</v>
      </c>
      <c r="AS302" s="16">
        <v>0</v>
      </c>
      <c r="AT302" s="16">
        <v>0</v>
      </c>
      <c r="AU302" s="16">
        <v>0</v>
      </c>
      <c r="AV302" s="16">
        <v>0</v>
      </c>
      <c r="AW302" s="16">
        <v>0</v>
      </c>
      <c r="AX302" s="16">
        <v>0</v>
      </c>
    </row>
    <row r="303" spans="1:50" x14ac:dyDescent="0.25">
      <c r="A303" s="17" t="s">
        <v>655</v>
      </c>
      <c r="B303" s="13" t="s">
        <v>410</v>
      </c>
      <c r="C303" s="18">
        <v>0</v>
      </c>
      <c r="D303" s="18">
        <v>0</v>
      </c>
      <c r="E303" s="18">
        <v>0</v>
      </c>
      <c r="F303" s="18">
        <v>0</v>
      </c>
      <c r="G303" s="18">
        <v>0</v>
      </c>
      <c r="H303" s="18">
        <v>0</v>
      </c>
      <c r="I303" s="18">
        <v>0</v>
      </c>
      <c r="J303" s="18">
        <v>8.9999999999999998E-4</v>
      </c>
      <c r="K303" s="18">
        <v>1.24E-2</v>
      </c>
      <c r="L303" s="18">
        <v>5.8099999999999999E-2</v>
      </c>
      <c r="M303" s="18">
        <v>0.1153</v>
      </c>
      <c r="N303" s="18">
        <v>0.1855</v>
      </c>
      <c r="O303" s="18">
        <v>0.26200000000000001</v>
      </c>
      <c r="P303" s="18">
        <v>0.33939999999999998</v>
      </c>
      <c r="Q303" s="18">
        <v>0.41649999999999998</v>
      </c>
      <c r="R303" s="18">
        <v>0.49370000000000003</v>
      </c>
      <c r="S303" s="18">
        <v>0.56610000000000005</v>
      </c>
      <c r="T303" s="18">
        <v>0.63419999999999999</v>
      </c>
      <c r="U303" s="18">
        <v>0.69210000000000005</v>
      </c>
      <c r="V303" s="18">
        <v>0.74160000000000004</v>
      </c>
      <c r="W303" s="18">
        <v>0.78500000000000003</v>
      </c>
      <c r="X303" s="18">
        <v>0.82079999999999997</v>
      </c>
      <c r="Y303" s="18">
        <v>0.84619999999999995</v>
      </c>
      <c r="Z303" s="18">
        <v>0.85740000000000005</v>
      </c>
      <c r="AA303" s="18">
        <v>0.86060000000000003</v>
      </c>
      <c r="AB303" s="18">
        <v>0.85460000000000003</v>
      </c>
      <c r="AC303" s="18">
        <v>0.83430000000000004</v>
      </c>
      <c r="AD303" s="18">
        <v>0.80330000000000001</v>
      </c>
      <c r="AE303" s="18">
        <v>0.76639999999999997</v>
      </c>
      <c r="AF303" s="18">
        <v>0.71950000000000003</v>
      </c>
      <c r="AG303" s="18">
        <v>0.66979999999999995</v>
      </c>
      <c r="AH303" s="18">
        <v>0.6099</v>
      </c>
      <c r="AI303" s="18">
        <v>0.54249999999999998</v>
      </c>
      <c r="AJ303" s="18">
        <v>0.46100000000000002</v>
      </c>
      <c r="AK303" s="18">
        <v>0.38479999999999998</v>
      </c>
      <c r="AL303" s="18">
        <v>0.30649999999999999</v>
      </c>
      <c r="AM303" s="18">
        <v>0.23069999999999999</v>
      </c>
      <c r="AN303" s="18">
        <v>0.15770000000000001</v>
      </c>
      <c r="AO303" s="18">
        <v>9.2100000000000001E-2</v>
      </c>
      <c r="AP303" s="18">
        <v>2.6800000000000001E-2</v>
      </c>
      <c r="AQ303" s="18">
        <v>4.8999999999999998E-3</v>
      </c>
      <c r="AR303" s="18">
        <v>0</v>
      </c>
      <c r="AS303" s="18">
        <v>0</v>
      </c>
      <c r="AT303" s="18">
        <v>0</v>
      </c>
      <c r="AU303" s="18">
        <v>0</v>
      </c>
      <c r="AV303" s="18">
        <v>0</v>
      </c>
      <c r="AW303" s="18">
        <v>0</v>
      </c>
      <c r="AX303" s="18">
        <v>0</v>
      </c>
    </row>
    <row r="304" spans="1:50" x14ac:dyDescent="0.25">
      <c r="A304" s="8" t="s">
        <v>406</v>
      </c>
      <c r="B304" s="10" t="s">
        <v>57</v>
      </c>
      <c r="C304" s="16">
        <v>0</v>
      </c>
      <c r="D304" s="16">
        <v>0</v>
      </c>
      <c r="E304" s="16">
        <v>0</v>
      </c>
      <c r="F304" s="16">
        <v>0</v>
      </c>
      <c r="G304" s="16">
        <v>0</v>
      </c>
      <c r="H304" s="16">
        <v>0</v>
      </c>
      <c r="I304" s="16">
        <v>0</v>
      </c>
      <c r="J304" s="16">
        <v>0</v>
      </c>
      <c r="K304" s="16">
        <v>0</v>
      </c>
      <c r="L304" s="16">
        <v>0</v>
      </c>
      <c r="M304" s="16">
        <v>0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  <c r="AC304" s="16">
        <v>0</v>
      </c>
      <c r="AD304" s="16">
        <v>0</v>
      </c>
      <c r="AE304" s="16">
        <v>0</v>
      </c>
      <c r="AF304" s="16">
        <v>0</v>
      </c>
      <c r="AG304" s="16">
        <v>0</v>
      </c>
      <c r="AH304" s="16">
        <v>0</v>
      </c>
      <c r="AI304" s="16">
        <v>0</v>
      </c>
      <c r="AJ304" s="16">
        <v>0</v>
      </c>
      <c r="AK304" s="16">
        <v>0</v>
      </c>
      <c r="AL304" s="16">
        <v>0</v>
      </c>
      <c r="AM304" s="16">
        <v>0</v>
      </c>
      <c r="AN304" s="16">
        <v>0</v>
      </c>
      <c r="AO304" s="16">
        <v>0</v>
      </c>
      <c r="AP304" s="16">
        <v>0</v>
      </c>
      <c r="AQ304" s="16">
        <v>0</v>
      </c>
      <c r="AR304" s="16">
        <v>0</v>
      </c>
      <c r="AS304" s="16">
        <v>0</v>
      </c>
      <c r="AT304" s="16">
        <v>0</v>
      </c>
      <c r="AU304" s="16">
        <v>0</v>
      </c>
      <c r="AV304" s="16">
        <v>0</v>
      </c>
      <c r="AW304" s="16">
        <v>0</v>
      </c>
      <c r="AX304" s="16">
        <v>0</v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30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1" customWidth="1"/>
    <col min="3" max="50" width="7" customWidth="1"/>
  </cols>
  <sheetData>
    <row r="1" spans="1:50" ht="19.5" x14ac:dyDescent="0.3">
      <c r="A1" s="1" t="s">
        <v>707</v>
      </c>
    </row>
    <row r="2" spans="1:50" x14ac:dyDescent="0.25">
      <c r="A2" s="29" t="s">
        <v>708</v>
      </c>
      <c r="B2" s="27"/>
      <c r="C2" s="27"/>
      <c r="D2" s="27"/>
      <c r="E2" s="27"/>
      <c r="F2" s="27"/>
    </row>
    <row r="4" spans="1:50" x14ac:dyDescent="0.25">
      <c r="A4" s="5" t="s">
        <v>50</v>
      </c>
      <c r="B4" s="5" t="s">
        <v>54</v>
      </c>
      <c r="C4" s="5" t="s">
        <v>659</v>
      </c>
      <c r="D4" s="5" t="s">
        <v>660</v>
      </c>
      <c r="E4" s="5" t="s">
        <v>661</v>
      </c>
      <c r="F4" s="5" t="s">
        <v>662</v>
      </c>
      <c r="G4" s="5" t="s">
        <v>663</v>
      </c>
      <c r="H4" s="5" t="s">
        <v>664</v>
      </c>
      <c r="I4" s="5" t="s">
        <v>665</v>
      </c>
      <c r="J4" s="5" t="s">
        <v>666</v>
      </c>
      <c r="K4" s="5" t="s">
        <v>667</v>
      </c>
      <c r="L4" s="5" t="s">
        <v>668</v>
      </c>
      <c r="M4" s="5" t="s">
        <v>669</v>
      </c>
      <c r="N4" s="5" t="s">
        <v>670</v>
      </c>
      <c r="O4" s="5" t="s">
        <v>671</v>
      </c>
      <c r="P4" s="5" t="s">
        <v>672</v>
      </c>
      <c r="Q4" s="5" t="s">
        <v>673</v>
      </c>
      <c r="R4" s="5" t="s">
        <v>674</v>
      </c>
      <c r="S4" s="5" t="s">
        <v>675</v>
      </c>
      <c r="T4" s="5" t="s">
        <v>676</v>
      </c>
      <c r="U4" s="5" t="s">
        <v>677</v>
      </c>
      <c r="V4" s="5" t="s">
        <v>678</v>
      </c>
      <c r="W4" s="5" t="s">
        <v>679</v>
      </c>
      <c r="X4" s="5" t="s">
        <v>680</v>
      </c>
      <c r="Y4" s="5" t="s">
        <v>681</v>
      </c>
      <c r="Z4" s="5" t="s">
        <v>682</v>
      </c>
      <c r="AA4" s="5" t="s">
        <v>683</v>
      </c>
      <c r="AB4" s="5" t="s">
        <v>684</v>
      </c>
      <c r="AC4" s="5" t="s">
        <v>685</v>
      </c>
      <c r="AD4" s="5" t="s">
        <v>686</v>
      </c>
      <c r="AE4" s="5" t="s">
        <v>687</v>
      </c>
      <c r="AF4" s="5" t="s">
        <v>688</v>
      </c>
      <c r="AG4" s="5" t="s">
        <v>689</v>
      </c>
      <c r="AH4" s="5" t="s">
        <v>690</v>
      </c>
      <c r="AI4" s="5" t="s">
        <v>691</v>
      </c>
      <c r="AJ4" s="5" t="s">
        <v>692</v>
      </c>
      <c r="AK4" s="5" t="s">
        <v>693</v>
      </c>
      <c r="AL4" s="5" t="s">
        <v>694</v>
      </c>
      <c r="AM4" s="5" t="s">
        <v>695</v>
      </c>
      <c r="AN4" s="5" t="s">
        <v>696</v>
      </c>
      <c r="AO4" s="5" t="s">
        <v>697</v>
      </c>
      <c r="AP4" s="5" t="s">
        <v>698</v>
      </c>
      <c r="AQ4" s="5" t="s">
        <v>699</v>
      </c>
      <c r="AR4" s="5" t="s">
        <v>700</v>
      </c>
      <c r="AS4" s="5" t="s">
        <v>701</v>
      </c>
      <c r="AT4" s="5" t="s">
        <v>702</v>
      </c>
      <c r="AU4" s="5" t="s">
        <v>703</v>
      </c>
      <c r="AV4" s="5" t="s">
        <v>704</v>
      </c>
      <c r="AW4" s="5" t="s">
        <v>705</v>
      </c>
      <c r="AX4" s="5" t="s">
        <v>706</v>
      </c>
    </row>
    <row r="5" spans="1:50" x14ac:dyDescent="0.25">
      <c r="A5" s="8" t="s">
        <v>55</v>
      </c>
      <c r="B5" s="10" t="s">
        <v>57</v>
      </c>
      <c r="C5" s="16">
        <v>0.52210000000000001</v>
      </c>
      <c r="D5" s="16">
        <v>0.67879999999999996</v>
      </c>
      <c r="E5" s="16">
        <v>0.32550000000000001</v>
      </c>
      <c r="F5" s="16">
        <v>0.2989</v>
      </c>
      <c r="G5" s="16">
        <v>0.17860000000000001</v>
      </c>
      <c r="H5" s="16">
        <v>9.11E-2</v>
      </c>
      <c r="I5" s="16">
        <v>0.30049999999999999</v>
      </c>
      <c r="J5" s="16">
        <v>6.5500000000000003E-2</v>
      </c>
      <c r="K5" s="16">
        <v>0.05</v>
      </c>
      <c r="L5" s="16">
        <v>0.3493</v>
      </c>
      <c r="M5" s="16">
        <v>5.7700000000000001E-2</v>
      </c>
      <c r="N5" s="16">
        <v>0.05</v>
      </c>
      <c r="O5" s="16">
        <v>0.22</v>
      </c>
      <c r="P5" s="16">
        <v>5.8000000000000003E-2</v>
      </c>
      <c r="Q5" s="16">
        <v>1.5404</v>
      </c>
      <c r="R5" s="16">
        <v>1.3141</v>
      </c>
      <c r="S5" s="16">
        <v>0.73460000000000003</v>
      </c>
      <c r="T5" s="16">
        <v>0.25659999999999999</v>
      </c>
      <c r="U5" s="16">
        <v>0.3473</v>
      </c>
      <c r="V5" s="16">
        <v>1.4906999999999999</v>
      </c>
      <c r="W5" s="16">
        <v>1.36</v>
      </c>
      <c r="X5" s="16">
        <v>0.1973</v>
      </c>
      <c r="Y5" s="16">
        <v>0.2303</v>
      </c>
      <c r="Z5" s="16">
        <v>0.23200000000000001</v>
      </c>
      <c r="AA5" s="16">
        <v>0.1477</v>
      </c>
      <c r="AB5" s="16">
        <v>0.1048</v>
      </c>
      <c r="AC5" s="16">
        <v>9.64E-2</v>
      </c>
      <c r="AD5" s="16">
        <v>0.59440000000000004</v>
      </c>
      <c r="AE5" s="16">
        <v>1.2544</v>
      </c>
      <c r="AF5" s="16">
        <v>1.6393</v>
      </c>
      <c r="AG5" s="16">
        <v>0.35070000000000001</v>
      </c>
      <c r="AH5" s="16">
        <v>2.3126000000000002</v>
      </c>
      <c r="AI5" s="16">
        <v>0.38579999999999998</v>
      </c>
      <c r="AJ5" s="16">
        <v>0.34960000000000002</v>
      </c>
      <c r="AK5" s="16">
        <v>0.11899999999999999</v>
      </c>
      <c r="AL5" s="16">
        <v>0.37459999999999999</v>
      </c>
      <c r="AM5" s="16">
        <v>1.3128</v>
      </c>
      <c r="AN5" s="16">
        <v>0.91979999999999995</v>
      </c>
      <c r="AO5" s="16">
        <v>1.7773000000000001</v>
      </c>
      <c r="AP5" s="16">
        <v>0.60699999999999998</v>
      </c>
      <c r="AQ5" s="16">
        <v>0.47810000000000002</v>
      </c>
      <c r="AR5" s="16">
        <v>0.73270000000000002</v>
      </c>
      <c r="AS5" s="16">
        <v>0.73409999999999997</v>
      </c>
      <c r="AT5" s="16">
        <v>0.6956</v>
      </c>
      <c r="AU5" s="16">
        <v>0.86009999999999998</v>
      </c>
      <c r="AV5" s="16">
        <v>0.86829999999999996</v>
      </c>
      <c r="AW5" s="16">
        <v>0.76390000000000002</v>
      </c>
      <c r="AX5" s="16">
        <v>0.76539999999999997</v>
      </c>
    </row>
    <row r="6" spans="1:50" x14ac:dyDescent="0.25">
      <c r="A6" s="8" t="s">
        <v>58</v>
      </c>
      <c r="B6" s="10" t="s">
        <v>57</v>
      </c>
      <c r="C6" s="16">
        <v>0.63849999999999996</v>
      </c>
      <c r="D6" s="16">
        <v>0.32750000000000001</v>
      </c>
      <c r="E6" s="16">
        <v>0.2823</v>
      </c>
      <c r="F6" s="16">
        <v>0.1154</v>
      </c>
      <c r="G6" s="16">
        <v>0.29070000000000001</v>
      </c>
      <c r="H6" s="16">
        <v>0.1384</v>
      </c>
      <c r="I6" s="16">
        <v>0.19070000000000001</v>
      </c>
      <c r="J6" s="16">
        <v>0.18990000000000001</v>
      </c>
      <c r="K6" s="16">
        <v>0.22040000000000001</v>
      </c>
      <c r="L6" s="16">
        <v>0.19719999999999999</v>
      </c>
      <c r="M6" s="16">
        <v>9.7500000000000003E-2</v>
      </c>
      <c r="N6" s="16">
        <v>0.21759999999999999</v>
      </c>
      <c r="O6" s="16">
        <v>0.26169999999999999</v>
      </c>
      <c r="P6" s="16">
        <v>5.8999999999999997E-2</v>
      </c>
      <c r="Q6" s="16">
        <v>0.19689999999999999</v>
      </c>
      <c r="R6" s="16">
        <v>0.2823</v>
      </c>
      <c r="S6" s="16">
        <v>0.129</v>
      </c>
      <c r="T6" s="16">
        <v>0.17599999999999999</v>
      </c>
      <c r="U6" s="16">
        <v>0.18079999999999999</v>
      </c>
      <c r="V6" s="16">
        <v>0.31979999999999997</v>
      </c>
      <c r="W6" s="16">
        <v>1.4823999999999999</v>
      </c>
      <c r="X6" s="16">
        <v>1.2659</v>
      </c>
      <c r="Y6" s="16">
        <v>0.2828</v>
      </c>
      <c r="Z6" s="16">
        <v>0.3679</v>
      </c>
      <c r="AA6" s="16">
        <v>0.61839999999999995</v>
      </c>
      <c r="AB6" s="16">
        <v>1.0152000000000001</v>
      </c>
      <c r="AC6" s="16">
        <v>1.8355999999999999</v>
      </c>
      <c r="AD6" s="16">
        <v>0.45079999999999998</v>
      </c>
      <c r="AE6" s="16">
        <v>0.35389999999999999</v>
      </c>
      <c r="AF6" s="16">
        <v>0.36780000000000002</v>
      </c>
      <c r="AG6" s="16">
        <v>0.42749999999999999</v>
      </c>
      <c r="AH6" s="16">
        <v>0.64629999999999999</v>
      </c>
      <c r="AI6" s="16">
        <v>0.21729999999999999</v>
      </c>
      <c r="AJ6" s="16">
        <v>0.26</v>
      </c>
      <c r="AK6" s="16">
        <v>0.25690000000000002</v>
      </c>
      <c r="AL6" s="16">
        <v>0.32529999999999998</v>
      </c>
      <c r="AM6" s="16">
        <v>0.50539999999999996</v>
      </c>
      <c r="AN6" s="16">
        <v>0.2656</v>
      </c>
      <c r="AO6" s="16">
        <v>0.35809999999999997</v>
      </c>
      <c r="AP6" s="16">
        <v>0.88770000000000004</v>
      </c>
      <c r="AQ6" s="16">
        <v>0.38030000000000003</v>
      </c>
      <c r="AR6" s="16">
        <v>0.25340000000000001</v>
      </c>
      <c r="AS6" s="16">
        <v>0.70620000000000005</v>
      </c>
      <c r="AT6" s="16">
        <v>0.66990000000000005</v>
      </c>
      <c r="AU6" s="16">
        <v>0.88270000000000004</v>
      </c>
      <c r="AV6" s="16">
        <v>1.0927</v>
      </c>
      <c r="AW6" s="16">
        <v>0.36809999999999998</v>
      </c>
      <c r="AX6" s="16">
        <v>0.1822</v>
      </c>
    </row>
    <row r="7" spans="1:50" x14ac:dyDescent="0.25">
      <c r="A7" s="17" t="s">
        <v>408</v>
      </c>
      <c r="B7" s="13" t="s">
        <v>410</v>
      </c>
      <c r="C7" s="18">
        <v>9.7900000000000001E-2</v>
      </c>
      <c r="D7" s="18">
        <v>4.2999999999999997E-2</v>
      </c>
      <c r="E7" s="18">
        <v>0.18029999999999999</v>
      </c>
      <c r="F7" s="18">
        <v>4.2999999999999997E-2</v>
      </c>
      <c r="G7" s="18">
        <v>4.99E-2</v>
      </c>
      <c r="H7" s="18">
        <v>0.17349999999999999</v>
      </c>
      <c r="I7" s="18">
        <v>4.2999999999999997E-2</v>
      </c>
      <c r="J7" s="18">
        <v>0.11849999999999999</v>
      </c>
      <c r="K7" s="18">
        <v>0.1048</v>
      </c>
      <c r="L7" s="18">
        <v>4.2999999999999997E-2</v>
      </c>
      <c r="M7" s="18">
        <v>4.2999999999999997E-2</v>
      </c>
      <c r="N7" s="18">
        <v>0.18029999999999999</v>
      </c>
      <c r="O7" s="18">
        <v>4.2999999999999997E-2</v>
      </c>
      <c r="P7" s="18">
        <v>4.2999999999999997E-2</v>
      </c>
      <c r="Q7" s="18">
        <v>4.2999999999999997E-2</v>
      </c>
      <c r="R7" s="18">
        <v>4.2999999999999997E-2</v>
      </c>
      <c r="S7" s="18">
        <v>4.2999999999999997E-2</v>
      </c>
      <c r="T7" s="18">
        <v>0.15970000000000001</v>
      </c>
      <c r="U7" s="18">
        <v>7.4800000000000005E-2</v>
      </c>
      <c r="V7" s="18">
        <v>0.1709</v>
      </c>
      <c r="W7" s="18">
        <v>6.3600000000000004E-2</v>
      </c>
      <c r="X7" s="18">
        <v>4.2999999999999997E-2</v>
      </c>
      <c r="Y7" s="18">
        <v>0.11849999999999999</v>
      </c>
      <c r="Z7" s="18">
        <v>0.1048</v>
      </c>
      <c r="AA7" s="18">
        <v>9.7900000000000001E-2</v>
      </c>
      <c r="AB7" s="18">
        <v>0.12540000000000001</v>
      </c>
      <c r="AC7" s="18">
        <v>7.0499999999999993E-2</v>
      </c>
      <c r="AD7" s="18">
        <v>0.15290000000000001</v>
      </c>
      <c r="AE7" s="18">
        <v>4.2999999999999997E-2</v>
      </c>
      <c r="AF7" s="18">
        <v>4.2999999999999997E-2</v>
      </c>
      <c r="AG7" s="18">
        <v>4.2999999999999997E-2</v>
      </c>
      <c r="AH7" s="18">
        <v>4.2999999999999997E-2</v>
      </c>
      <c r="AI7" s="18">
        <v>0.1323</v>
      </c>
      <c r="AJ7" s="18">
        <v>9.11E-2</v>
      </c>
      <c r="AK7" s="18">
        <v>4.2999999999999997E-2</v>
      </c>
      <c r="AL7" s="18">
        <v>0.18029999999999999</v>
      </c>
      <c r="AM7" s="18">
        <v>4.2999999999999997E-2</v>
      </c>
      <c r="AN7" s="18">
        <v>7.7299999999999994E-2</v>
      </c>
      <c r="AO7" s="18">
        <v>0.14599999999999999</v>
      </c>
      <c r="AP7" s="18">
        <v>4.2999999999999997E-2</v>
      </c>
      <c r="AQ7" s="18">
        <v>0.18029999999999999</v>
      </c>
      <c r="AR7" s="18">
        <v>4.2999999999999997E-2</v>
      </c>
      <c r="AS7" s="18">
        <v>0.1666</v>
      </c>
      <c r="AT7" s="18">
        <v>5.67E-2</v>
      </c>
      <c r="AU7" s="18">
        <v>0.28339999999999999</v>
      </c>
      <c r="AV7" s="18">
        <v>1.8167</v>
      </c>
      <c r="AW7" s="18">
        <v>0.56430000000000002</v>
      </c>
      <c r="AX7" s="18">
        <v>0.69299999999999995</v>
      </c>
    </row>
    <row r="8" spans="1:50" x14ac:dyDescent="0.25">
      <c r="A8" s="8" t="s">
        <v>60</v>
      </c>
      <c r="B8" s="10" t="s">
        <v>57</v>
      </c>
      <c r="C8" s="16">
        <v>0.38479999999999998</v>
      </c>
      <c r="D8" s="16">
        <v>0.68600000000000005</v>
      </c>
      <c r="E8" s="16">
        <v>0.65590000000000004</v>
      </c>
      <c r="F8" s="16">
        <v>0.24260000000000001</v>
      </c>
      <c r="G8" s="16">
        <v>0.1181</v>
      </c>
      <c r="H8" s="16">
        <v>5.6000000000000001E-2</v>
      </c>
      <c r="I8" s="16">
        <v>5.6000000000000001E-2</v>
      </c>
      <c r="J8" s="16">
        <v>0.1181</v>
      </c>
      <c r="K8" s="16">
        <v>5.6000000000000001E-2</v>
      </c>
      <c r="L8" s="16">
        <v>0.1181</v>
      </c>
      <c r="M8" s="16">
        <v>5.6000000000000001E-2</v>
      </c>
      <c r="N8" s="16">
        <v>0.1181</v>
      </c>
      <c r="O8" s="16">
        <v>5.6000000000000001E-2</v>
      </c>
      <c r="P8" s="16">
        <v>8.0100000000000005E-2</v>
      </c>
      <c r="Q8" s="16">
        <v>9.3899999999999997E-2</v>
      </c>
      <c r="R8" s="16">
        <v>9.74E-2</v>
      </c>
      <c r="S8" s="16">
        <v>0.13919999999999999</v>
      </c>
      <c r="T8" s="16">
        <v>0.22389999999999999</v>
      </c>
      <c r="U8" s="16">
        <v>0.2366</v>
      </c>
      <c r="V8" s="16">
        <v>0.24379999999999999</v>
      </c>
      <c r="W8" s="16">
        <v>0.2135</v>
      </c>
      <c r="X8" s="16">
        <v>0.19919999999999999</v>
      </c>
      <c r="Y8" s="16">
        <v>0.38550000000000001</v>
      </c>
      <c r="Z8" s="16">
        <v>0.48459999999999998</v>
      </c>
      <c r="AA8" s="16">
        <v>0.21529999999999999</v>
      </c>
      <c r="AB8" s="16">
        <v>0.25309999999999999</v>
      </c>
      <c r="AC8" s="16">
        <v>0.3075</v>
      </c>
      <c r="AD8" s="16">
        <v>1.1973</v>
      </c>
      <c r="AE8" s="16">
        <v>6.8500000000000005E-2</v>
      </c>
      <c r="AF8" s="16">
        <v>0.12559999999999999</v>
      </c>
      <c r="AG8" s="16">
        <v>0.1411</v>
      </c>
      <c r="AH8" s="16">
        <v>0.24440000000000001</v>
      </c>
      <c r="AI8" s="16">
        <v>0.21199999999999999</v>
      </c>
      <c r="AJ8" s="16">
        <v>0.39489999999999997</v>
      </c>
      <c r="AK8" s="16">
        <v>0.3715</v>
      </c>
      <c r="AL8" s="16">
        <v>0.43959999999999999</v>
      </c>
      <c r="AM8" s="16">
        <v>0.63719999999999999</v>
      </c>
      <c r="AN8" s="16">
        <v>0.35880000000000001</v>
      </c>
      <c r="AO8" s="16">
        <v>0.50490000000000002</v>
      </c>
      <c r="AP8" s="16">
        <v>0.60150000000000003</v>
      </c>
      <c r="AQ8" s="16">
        <v>0.76719999999999999</v>
      </c>
      <c r="AR8" s="16">
        <v>0.84199999999999997</v>
      </c>
      <c r="AS8" s="16">
        <v>0.81969999999999998</v>
      </c>
      <c r="AT8" s="16">
        <v>0.61680000000000001</v>
      </c>
      <c r="AU8" s="16">
        <v>0.51870000000000005</v>
      </c>
      <c r="AV8" s="16">
        <v>1.0013000000000001</v>
      </c>
      <c r="AW8" s="16">
        <v>1.6087</v>
      </c>
      <c r="AX8" s="16">
        <v>5.6000000000000001E-2</v>
      </c>
    </row>
    <row r="9" spans="1:50" x14ac:dyDescent="0.25">
      <c r="A9" s="8" t="s">
        <v>62</v>
      </c>
      <c r="B9" s="10" t="s">
        <v>57</v>
      </c>
      <c r="C9" s="16">
        <v>0.6492</v>
      </c>
      <c r="D9" s="16">
        <v>0.25779999999999997</v>
      </c>
      <c r="E9" s="16">
        <v>4.8000000000000001E-2</v>
      </c>
      <c r="F9" s="16">
        <v>0.1323</v>
      </c>
      <c r="G9" s="16">
        <v>0.17649999999999999</v>
      </c>
      <c r="H9" s="16">
        <v>7.1400000000000005E-2</v>
      </c>
      <c r="I9" s="16">
        <v>0.1089</v>
      </c>
      <c r="J9" s="16">
        <v>0.19059999999999999</v>
      </c>
      <c r="K9" s="16">
        <v>0.1182</v>
      </c>
      <c r="L9" s="16">
        <v>0.18740000000000001</v>
      </c>
      <c r="M9" s="16">
        <v>0.16170000000000001</v>
      </c>
      <c r="N9" s="16">
        <v>0.246</v>
      </c>
      <c r="O9" s="16">
        <v>4.8000000000000001E-2</v>
      </c>
      <c r="P9" s="16">
        <v>0.14510000000000001</v>
      </c>
      <c r="Q9" s="16">
        <v>0.16370000000000001</v>
      </c>
      <c r="R9" s="16">
        <v>0.1323</v>
      </c>
      <c r="S9" s="16">
        <v>4.8000000000000001E-2</v>
      </c>
      <c r="T9" s="16">
        <v>0.1701</v>
      </c>
      <c r="U9" s="16">
        <v>9.1899999999999996E-2</v>
      </c>
      <c r="V9" s="16">
        <v>0.13739999999999999</v>
      </c>
      <c r="W9" s="16">
        <v>0.13800000000000001</v>
      </c>
      <c r="X9" s="16">
        <v>4.8000000000000001E-2</v>
      </c>
      <c r="Y9" s="16">
        <v>0.13869999999999999</v>
      </c>
      <c r="Z9" s="16">
        <v>0.2165</v>
      </c>
      <c r="AA9" s="16">
        <v>0.74739999999999995</v>
      </c>
      <c r="AB9" s="16">
        <v>0.92490000000000006</v>
      </c>
      <c r="AC9" s="16">
        <v>0.22589999999999999</v>
      </c>
      <c r="AD9" s="16">
        <v>0.26450000000000001</v>
      </c>
      <c r="AE9" s="16">
        <v>9.0700000000000003E-2</v>
      </c>
      <c r="AF9" s="16">
        <v>0.25609999999999999</v>
      </c>
      <c r="AG9" s="16">
        <v>5.2699999999999997E-2</v>
      </c>
      <c r="AH9" s="16">
        <v>0.29499999999999998</v>
      </c>
      <c r="AI9" s="16">
        <v>4.8000000000000001E-2</v>
      </c>
      <c r="AJ9" s="16">
        <v>5.79E-2</v>
      </c>
      <c r="AK9" s="16">
        <v>0.44</v>
      </c>
      <c r="AL9" s="16">
        <v>0.3594</v>
      </c>
      <c r="AM9" s="16">
        <v>1.5254000000000001</v>
      </c>
      <c r="AN9" s="16">
        <v>0.40579999999999999</v>
      </c>
      <c r="AO9" s="16">
        <v>0.38009999999999999</v>
      </c>
      <c r="AP9" s="16">
        <v>0.4612</v>
      </c>
      <c r="AQ9" s="16">
        <v>0.34039999999999998</v>
      </c>
      <c r="AR9" s="16">
        <v>0.60950000000000004</v>
      </c>
      <c r="AS9" s="16">
        <v>0.3957</v>
      </c>
      <c r="AT9" s="16">
        <v>0.64770000000000005</v>
      </c>
      <c r="AU9" s="16">
        <v>0.57989999999999997</v>
      </c>
      <c r="AV9" s="16">
        <v>0.4556</v>
      </c>
      <c r="AW9" s="16">
        <v>0.1323</v>
      </c>
      <c r="AX9" s="16">
        <v>4.8000000000000001E-2</v>
      </c>
    </row>
    <row r="10" spans="1:50" x14ac:dyDescent="0.25">
      <c r="A10" s="17" t="s">
        <v>411</v>
      </c>
      <c r="B10" s="13" t="s">
        <v>410</v>
      </c>
      <c r="C10" s="18">
        <v>4.9000000000000002E-2</v>
      </c>
      <c r="D10" s="18">
        <v>0.23860000000000001</v>
      </c>
      <c r="E10" s="18">
        <v>4.9000000000000002E-2</v>
      </c>
      <c r="F10" s="18">
        <v>0.2041</v>
      </c>
      <c r="G10" s="18">
        <v>8.3500000000000005E-2</v>
      </c>
      <c r="H10" s="18">
        <v>4.9000000000000002E-2</v>
      </c>
      <c r="I10" s="18">
        <v>0.13519999999999999</v>
      </c>
      <c r="J10" s="18">
        <v>0.15240000000000001</v>
      </c>
      <c r="K10" s="18">
        <v>4.9000000000000002E-2</v>
      </c>
      <c r="L10" s="18">
        <v>0.23860000000000001</v>
      </c>
      <c r="M10" s="18">
        <v>4.9000000000000002E-2</v>
      </c>
      <c r="N10" s="18">
        <v>0.12659999999999999</v>
      </c>
      <c r="O10" s="18">
        <v>0.161</v>
      </c>
      <c r="P10" s="18">
        <v>4.9000000000000002E-2</v>
      </c>
      <c r="Q10" s="18">
        <v>0.18690000000000001</v>
      </c>
      <c r="R10" s="18">
        <v>0.1007</v>
      </c>
      <c r="S10" s="18">
        <v>0.1179</v>
      </c>
      <c r="T10" s="18">
        <v>0.16969999999999999</v>
      </c>
      <c r="U10" s="18">
        <v>4.9000000000000002E-2</v>
      </c>
      <c r="V10" s="18">
        <v>8.3500000000000005E-2</v>
      </c>
      <c r="W10" s="18">
        <v>0.2041</v>
      </c>
      <c r="X10" s="18">
        <v>4.9000000000000002E-2</v>
      </c>
      <c r="Y10" s="18">
        <v>0.23860000000000001</v>
      </c>
      <c r="Z10" s="18">
        <v>4.9000000000000002E-2</v>
      </c>
      <c r="AA10" s="18">
        <v>9.2100000000000001E-2</v>
      </c>
      <c r="AB10" s="18">
        <v>0.19980000000000001</v>
      </c>
      <c r="AC10" s="18">
        <v>0.40710000000000002</v>
      </c>
      <c r="AD10" s="18">
        <v>0.73050000000000004</v>
      </c>
      <c r="AE10" s="18">
        <v>0.17929999999999999</v>
      </c>
      <c r="AF10" s="18">
        <v>0.1018</v>
      </c>
      <c r="AG10" s="18">
        <v>0.3206</v>
      </c>
      <c r="AH10" s="18">
        <v>0.14899999999999999</v>
      </c>
      <c r="AI10" s="18">
        <v>0.64800000000000002</v>
      </c>
      <c r="AJ10" s="18">
        <v>6.6199999999999995E-2</v>
      </c>
      <c r="AK10" s="18">
        <v>0.21249999999999999</v>
      </c>
      <c r="AL10" s="18">
        <v>0.3044</v>
      </c>
      <c r="AM10" s="18">
        <v>6.6199999999999995E-2</v>
      </c>
      <c r="AN10" s="18">
        <v>0.22140000000000001</v>
      </c>
      <c r="AO10" s="18">
        <v>4.9000000000000002E-2</v>
      </c>
      <c r="AP10" s="18">
        <v>5.7599999999999998E-2</v>
      </c>
      <c r="AQ10" s="18">
        <v>0.23</v>
      </c>
      <c r="AR10" s="18">
        <v>4.9000000000000002E-2</v>
      </c>
      <c r="AS10" s="18">
        <v>0.2041</v>
      </c>
      <c r="AT10" s="18">
        <v>8.3500000000000005E-2</v>
      </c>
      <c r="AU10" s="18">
        <v>4.9000000000000002E-2</v>
      </c>
      <c r="AV10" s="18">
        <v>4.9000000000000002E-2</v>
      </c>
      <c r="AW10" s="18">
        <v>0.23860000000000001</v>
      </c>
      <c r="AX10" s="18">
        <v>4.9000000000000002E-2</v>
      </c>
    </row>
    <row r="11" spans="1:50" x14ac:dyDescent="0.25">
      <c r="A11" s="8" t="s">
        <v>64</v>
      </c>
      <c r="B11" s="10" t="s">
        <v>57</v>
      </c>
      <c r="C11" s="16">
        <v>5.8999999999999997E-2</v>
      </c>
      <c r="D11" s="16">
        <v>9.0800000000000006E-2</v>
      </c>
      <c r="E11" s="16">
        <v>0.18640000000000001</v>
      </c>
      <c r="F11" s="16">
        <v>5.0999999999999997E-2</v>
      </c>
      <c r="G11" s="16">
        <v>0.22620000000000001</v>
      </c>
      <c r="H11" s="16">
        <v>5.0999999999999997E-2</v>
      </c>
      <c r="I11" s="16">
        <v>5.0999999999999997E-2</v>
      </c>
      <c r="J11" s="16">
        <v>0.22620000000000001</v>
      </c>
      <c r="K11" s="16">
        <v>5.0999999999999997E-2</v>
      </c>
      <c r="L11" s="16">
        <v>5.0999999999999997E-2</v>
      </c>
      <c r="M11" s="16">
        <v>0.1227</v>
      </c>
      <c r="N11" s="16">
        <v>0.1545</v>
      </c>
      <c r="O11" s="16">
        <v>5.0999999999999997E-2</v>
      </c>
      <c r="P11" s="16">
        <v>5.0999999999999997E-2</v>
      </c>
      <c r="Q11" s="16">
        <v>0.1784</v>
      </c>
      <c r="R11" s="16">
        <v>9.8799999999999999E-2</v>
      </c>
      <c r="S11" s="16">
        <v>9.0800000000000006E-2</v>
      </c>
      <c r="T11" s="16">
        <v>0.26029999999999998</v>
      </c>
      <c r="U11" s="16">
        <v>8.3599999999999994E-2</v>
      </c>
      <c r="V11" s="16">
        <v>0.18820000000000001</v>
      </c>
      <c r="W11" s="16">
        <v>1.2359</v>
      </c>
      <c r="X11" s="16">
        <v>4.9960000000000004</v>
      </c>
      <c r="Y11" s="16">
        <v>2.6535000000000002</v>
      </c>
      <c r="Z11" s="16">
        <v>0.78910000000000002</v>
      </c>
      <c r="AA11" s="16">
        <v>5.0999999999999997E-2</v>
      </c>
      <c r="AB11" s="16">
        <v>0.1147</v>
      </c>
      <c r="AC11" s="16">
        <v>0.16250000000000001</v>
      </c>
      <c r="AD11" s="16">
        <v>5.0999999999999997E-2</v>
      </c>
      <c r="AE11" s="16">
        <v>7.6499999999999999E-2</v>
      </c>
      <c r="AF11" s="16">
        <v>0.22220000000000001</v>
      </c>
      <c r="AG11" s="16">
        <v>0.31009999999999999</v>
      </c>
      <c r="AH11" s="16">
        <v>0.31659999999999999</v>
      </c>
      <c r="AI11" s="16">
        <v>0.33429999999999999</v>
      </c>
      <c r="AJ11" s="16">
        <v>0.13539999999999999</v>
      </c>
      <c r="AK11" s="16">
        <v>0.47720000000000001</v>
      </c>
      <c r="AL11" s="16">
        <v>0.13980000000000001</v>
      </c>
      <c r="AM11" s="16">
        <v>0.1057</v>
      </c>
      <c r="AN11" s="16">
        <v>0.19439999999999999</v>
      </c>
      <c r="AO11" s="16">
        <v>0.12130000000000001</v>
      </c>
      <c r="AP11" s="16">
        <v>0.70840000000000003</v>
      </c>
      <c r="AQ11" s="16">
        <v>0.77459999999999996</v>
      </c>
      <c r="AR11" s="16">
        <v>0.80900000000000005</v>
      </c>
      <c r="AS11" s="16">
        <v>0.84199999999999997</v>
      </c>
      <c r="AT11" s="16">
        <v>0.89019999999999999</v>
      </c>
      <c r="AU11" s="16">
        <v>1.321</v>
      </c>
      <c r="AV11" s="16">
        <v>1.3209</v>
      </c>
      <c r="AW11" s="16">
        <v>2.8959000000000001</v>
      </c>
      <c r="AX11" s="16">
        <v>3.5457999999999998</v>
      </c>
    </row>
    <row r="12" spans="1:50" x14ac:dyDescent="0.25">
      <c r="A12" s="17" t="s">
        <v>413</v>
      </c>
      <c r="B12" s="13" t="s">
        <v>410</v>
      </c>
      <c r="C12" s="18">
        <v>5.4600000000000003E-2</v>
      </c>
      <c r="D12" s="18">
        <v>0.1263</v>
      </c>
      <c r="E12" s="18">
        <v>6.3E-2</v>
      </c>
      <c r="F12" s="18">
        <v>5.0999999999999997E-2</v>
      </c>
      <c r="G12" s="18">
        <v>5.0999999999999997E-2</v>
      </c>
      <c r="H12" s="18">
        <v>5.0999999999999997E-2</v>
      </c>
      <c r="I12" s="18">
        <v>5.0999999999999997E-2</v>
      </c>
      <c r="J12" s="18">
        <v>5.0999999999999997E-2</v>
      </c>
      <c r="K12" s="18">
        <v>5.0999999999999997E-2</v>
      </c>
      <c r="L12" s="18">
        <v>5.0999999999999997E-2</v>
      </c>
      <c r="M12" s="18">
        <v>5.0999999999999997E-2</v>
      </c>
      <c r="N12" s="18">
        <v>5.0999999999999997E-2</v>
      </c>
      <c r="O12" s="18">
        <v>5.0999999999999997E-2</v>
      </c>
      <c r="P12" s="18">
        <v>5.0999999999999997E-2</v>
      </c>
      <c r="Q12" s="18">
        <v>5.0999999999999997E-2</v>
      </c>
      <c r="R12" s="18">
        <v>5.0999999999999997E-2</v>
      </c>
      <c r="S12" s="18">
        <v>5.0999999999999997E-2</v>
      </c>
      <c r="T12" s="18">
        <v>5.0999999999999997E-2</v>
      </c>
      <c r="U12" s="18">
        <v>6.4299999999999996E-2</v>
      </c>
      <c r="V12" s="18">
        <v>6.0600000000000001E-2</v>
      </c>
      <c r="W12" s="18">
        <v>5.5500000000000001E-2</v>
      </c>
      <c r="X12" s="18">
        <v>6.6000000000000003E-2</v>
      </c>
      <c r="Y12" s="18">
        <v>5.0999999999999997E-2</v>
      </c>
      <c r="Z12" s="18">
        <v>5.0999999999999997E-2</v>
      </c>
      <c r="AA12" s="18">
        <v>5.0999999999999997E-2</v>
      </c>
      <c r="AB12" s="18">
        <v>5.0999999999999997E-2</v>
      </c>
      <c r="AC12" s="18">
        <v>0.99239999999999995</v>
      </c>
      <c r="AD12" s="18">
        <v>0.11749999999999999</v>
      </c>
      <c r="AE12" s="18">
        <v>5.0999999999999997E-2</v>
      </c>
      <c r="AF12" s="18">
        <v>5.0999999999999997E-2</v>
      </c>
      <c r="AG12" s="18">
        <v>5.4600000000000003E-2</v>
      </c>
      <c r="AH12" s="18">
        <v>5.4600000000000003E-2</v>
      </c>
      <c r="AI12" s="18">
        <v>5.0999999999999997E-2</v>
      </c>
      <c r="AJ12" s="18">
        <v>5.0999999999999997E-2</v>
      </c>
      <c r="AK12" s="18">
        <v>5.0999999999999997E-2</v>
      </c>
      <c r="AL12" s="18">
        <v>5.0999999999999997E-2</v>
      </c>
      <c r="AM12" s="18">
        <v>5.0999999999999997E-2</v>
      </c>
      <c r="AN12" s="18">
        <v>5.0999999999999997E-2</v>
      </c>
      <c r="AO12" s="18">
        <v>5.0999999999999997E-2</v>
      </c>
      <c r="AP12" s="18">
        <v>5.0999999999999997E-2</v>
      </c>
      <c r="AQ12" s="18">
        <v>5.0999999999999997E-2</v>
      </c>
      <c r="AR12" s="18">
        <v>5.0999999999999997E-2</v>
      </c>
      <c r="AS12" s="18">
        <v>5.0999999999999997E-2</v>
      </c>
      <c r="AT12" s="18">
        <v>0.1022</v>
      </c>
      <c r="AU12" s="18">
        <v>5.0999999999999997E-2</v>
      </c>
      <c r="AV12" s="18">
        <v>5.0999999999999997E-2</v>
      </c>
      <c r="AW12" s="18">
        <v>5.0999999999999997E-2</v>
      </c>
      <c r="AX12" s="18">
        <v>5.0999999999999997E-2</v>
      </c>
    </row>
    <row r="13" spans="1:50" x14ac:dyDescent="0.25">
      <c r="A13" s="8" t="s">
        <v>66</v>
      </c>
      <c r="B13" s="10" t="s">
        <v>57</v>
      </c>
      <c r="C13" s="16">
        <v>4.2999999999999997E-2</v>
      </c>
      <c r="D13" s="16">
        <v>0.22520000000000001</v>
      </c>
      <c r="E13" s="16">
        <v>4.2999999999999997E-2</v>
      </c>
      <c r="F13" s="16">
        <v>8.4400000000000003E-2</v>
      </c>
      <c r="G13" s="16">
        <v>0.18379999999999999</v>
      </c>
      <c r="H13" s="16">
        <v>4.2999999999999997E-2</v>
      </c>
      <c r="I13" s="16">
        <v>0.15890000000000001</v>
      </c>
      <c r="J13" s="16">
        <v>0.10920000000000001</v>
      </c>
      <c r="K13" s="16">
        <v>7.6100000000000001E-2</v>
      </c>
      <c r="L13" s="16">
        <v>0.192</v>
      </c>
      <c r="M13" s="16">
        <v>4.2999999999999997E-2</v>
      </c>
      <c r="N13" s="16">
        <v>0.15060000000000001</v>
      </c>
      <c r="O13" s="16">
        <v>0.11749999999999999</v>
      </c>
      <c r="P13" s="16">
        <v>0.2137</v>
      </c>
      <c r="Q13" s="16">
        <v>9.8100000000000007E-2</v>
      </c>
      <c r="R13" s="16">
        <v>0.20860000000000001</v>
      </c>
      <c r="S13" s="16">
        <v>5.96E-2</v>
      </c>
      <c r="T13" s="16">
        <v>0.1341</v>
      </c>
      <c r="U13" s="16">
        <v>0.29849999999999999</v>
      </c>
      <c r="V13" s="16">
        <v>0.44600000000000001</v>
      </c>
      <c r="W13" s="16">
        <v>0.37380000000000002</v>
      </c>
      <c r="X13" s="16">
        <v>5.3800000000000001E-2</v>
      </c>
      <c r="Y13" s="16">
        <v>0.2334</v>
      </c>
      <c r="Z13" s="16">
        <v>0.27110000000000001</v>
      </c>
      <c r="AA13" s="16">
        <v>0.45279999999999998</v>
      </c>
      <c r="AB13" s="16">
        <v>0.23050000000000001</v>
      </c>
      <c r="AC13" s="16">
        <v>0.214</v>
      </c>
      <c r="AD13" s="16">
        <v>0.22520000000000001</v>
      </c>
      <c r="AE13" s="16">
        <v>4.2999999999999997E-2</v>
      </c>
      <c r="AF13" s="16">
        <v>0.17549999999999999</v>
      </c>
      <c r="AG13" s="16">
        <v>0.52080000000000004</v>
      </c>
      <c r="AH13" s="16">
        <v>0.3695</v>
      </c>
      <c r="AI13" s="16">
        <v>0.4531</v>
      </c>
      <c r="AJ13" s="16">
        <v>0.214</v>
      </c>
      <c r="AK13" s="16">
        <v>0.42020000000000002</v>
      </c>
      <c r="AL13" s="16">
        <v>0.33029999999999998</v>
      </c>
      <c r="AM13" s="16">
        <v>0.26419999999999999</v>
      </c>
      <c r="AN13" s="16">
        <v>0.2626</v>
      </c>
      <c r="AO13" s="16">
        <v>0.33860000000000001</v>
      </c>
      <c r="AP13" s="16">
        <v>0.64329999999999998</v>
      </c>
      <c r="AQ13" s="16">
        <v>0.44059999999999999</v>
      </c>
      <c r="AR13" s="16">
        <v>0.54169999999999996</v>
      </c>
      <c r="AS13" s="16">
        <v>0.76500000000000001</v>
      </c>
      <c r="AT13" s="16">
        <v>0.44940000000000002</v>
      </c>
      <c r="AU13" s="16">
        <v>0.53869999999999996</v>
      </c>
      <c r="AV13" s="16">
        <v>0.57440000000000002</v>
      </c>
      <c r="AW13" s="16">
        <v>4.2999999999999997E-2</v>
      </c>
      <c r="AX13" s="16">
        <v>0.1424</v>
      </c>
    </row>
    <row r="14" spans="1:50" x14ac:dyDescent="0.25">
      <c r="A14" s="8" t="s">
        <v>68</v>
      </c>
      <c r="B14" s="10" t="s">
        <v>57</v>
      </c>
      <c r="C14" s="16">
        <v>5.0999999999999997E-2</v>
      </c>
      <c r="D14" s="16">
        <v>5.0999999999999997E-2</v>
      </c>
      <c r="E14" s="16">
        <v>5.0999999999999997E-2</v>
      </c>
      <c r="F14" s="16">
        <v>5.0999999999999997E-2</v>
      </c>
      <c r="G14" s="16">
        <v>5.0999999999999997E-2</v>
      </c>
      <c r="H14" s="16">
        <v>5.0999999999999997E-2</v>
      </c>
      <c r="I14" s="16">
        <v>5.0999999999999997E-2</v>
      </c>
      <c r="J14" s="16">
        <v>5.0999999999999997E-2</v>
      </c>
      <c r="K14" s="16">
        <v>5.0999999999999997E-2</v>
      </c>
      <c r="L14" s="16">
        <v>5.0999999999999997E-2</v>
      </c>
      <c r="M14" s="16">
        <v>5.0999999999999997E-2</v>
      </c>
      <c r="N14" s="16">
        <v>5.0999999999999997E-2</v>
      </c>
      <c r="O14" s="16">
        <v>5.0999999999999997E-2</v>
      </c>
      <c r="P14" s="16">
        <v>5.0999999999999997E-2</v>
      </c>
      <c r="Q14" s="16">
        <v>5.0999999999999997E-2</v>
      </c>
      <c r="R14" s="16">
        <v>0.114</v>
      </c>
      <c r="S14" s="16">
        <v>0.25209999999999999</v>
      </c>
      <c r="T14" s="16">
        <v>0.84530000000000005</v>
      </c>
      <c r="U14" s="16">
        <v>0.48330000000000001</v>
      </c>
      <c r="V14" s="16">
        <v>5.0999999999999997E-2</v>
      </c>
      <c r="W14" s="16">
        <v>5.0999999999999997E-2</v>
      </c>
      <c r="X14" s="16">
        <v>5.0999999999999997E-2</v>
      </c>
      <c r="Y14" s="16">
        <v>5.0999999999999997E-2</v>
      </c>
      <c r="Z14" s="16">
        <v>5.0999999999999997E-2</v>
      </c>
      <c r="AA14" s="16">
        <v>5.0999999999999997E-2</v>
      </c>
      <c r="AB14" s="16">
        <v>5.0999999999999997E-2</v>
      </c>
      <c r="AC14" s="16">
        <v>5.0999999999999997E-2</v>
      </c>
      <c r="AD14" s="16">
        <v>5.0999999999999997E-2</v>
      </c>
      <c r="AE14" s="16">
        <v>5.0999999999999997E-2</v>
      </c>
      <c r="AF14" s="16">
        <v>0.1081</v>
      </c>
      <c r="AG14" s="16">
        <v>0.14280000000000001</v>
      </c>
      <c r="AH14" s="16">
        <v>6.8900000000000003E-2</v>
      </c>
      <c r="AI14" s="16">
        <v>8.5199999999999998E-2</v>
      </c>
      <c r="AJ14" s="16">
        <v>6.2199999999999998E-2</v>
      </c>
      <c r="AK14" s="16">
        <v>5.0999999999999997E-2</v>
      </c>
      <c r="AL14" s="16">
        <v>5.0999999999999997E-2</v>
      </c>
      <c r="AM14" s="16">
        <v>7.4800000000000005E-2</v>
      </c>
      <c r="AN14" s="16">
        <v>0.29260000000000003</v>
      </c>
      <c r="AO14" s="16">
        <v>0.42509999999999998</v>
      </c>
      <c r="AP14" s="16">
        <v>0.86240000000000006</v>
      </c>
      <c r="AQ14" s="16">
        <v>1.0129999999999999</v>
      </c>
      <c r="AR14" s="16">
        <v>0.84930000000000005</v>
      </c>
      <c r="AS14" s="16">
        <v>0.85060000000000002</v>
      </c>
      <c r="AT14" s="16">
        <v>0.83779999999999999</v>
      </c>
      <c r="AU14" s="16">
        <v>0.94299999999999995</v>
      </c>
      <c r="AV14" s="16">
        <v>0.72430000000000005</v>
      </c>
      <c r="AW14" s="16">
        <v>0.57420000000000004</v>
      </c>
      <c r="AX14" s="16">
        <v>0.58850000000000002</v>
      </c>
    </row>
    <row r="15" spans="1:50" x14ac:dyDescent="0.25">
      <c r="A15" s="17" t="s">
        <v>415</v>
      </c>
      <c r="B15" s="13" t="s">
        <v>410</v>
      </c>
      <c r="C15" s="18">
        <v>5.8999999999999997E-2</v>
      </c>
      <c r="D15" s="18">
        <v>5.8999999999999997E-2</v>
      </c>
      <c r="E15" s="18">
        <v>5.8999999999999997E-2</v>
      </c>
      <c r="F15" s="18">
        <v>5.8999999999999997E-2</v>
      </c>
      <c r="G15" s="18">
        <v>5.8999999999999997E-2</v>
      </c>
      <c r="H15" s="18">
        <v>5.8999999999999997E-2</v>
      </c>
      <c r="I15" s="18">
        <v>5.8999999999999997E-2</v>
      </c>
      <c r="J15" s="18">
        <v>5.8999999999999997E-2</v>
      </c>
      <c r="K15" s="18">
        <v>5.8999999999999997E-2</v>
      </c>
      <c r="L15" s="18">
        <v>5.8999999999999997E-2</v>
      </c>
      <c r="M15" s="18">
        <v>5.8999999999999997E-2</v>
      </c>
      <c r="N15" s="18">
        <v>5.8999999999999997E-2</v>
      </c>
      <c r="O15" s="18">
        <v>5.8999999999999997E-2</v>
      </c>
      <c r="P15" s="18">
        <v>5.8999999999999997E-2</v>
      </c>
      <c r="Q15" s="18">
        <v>5.8999999999999997E-2</v>
      </c>
      <c r="R15" s="18">
        <v>5.8999999999999997E-2</v>
      </c>
      <c r="S15" s="18">
        <v>0.55669999999999997</v>
      </c>
      <c r="T15" s="18">
        <v>0.56269999999999998</v>
      </c>
      <c r="U15" s="18">
        <v>1.7257</v>
      </c>
      <c r="V15" s="18">
        <v>0.45200000000000001</v>
      </c>
      <c r="W15" s="18">
        <v>1.1208</v>
      </c>
      <c r="X15" s="18">
        <v>6.88E-2</v>
      </c>
      <c r="Y15" s="18">
        <v>2.0651000000000002</v>
      </c>
      <c r="Z15" s="18">
        <v>4.6402999999999999</v>
      </c>
      <c r="AA15" s="18">
        <v>0.55659999999999998</v>
      </c>
      <c r="AB15" s="18">
        <v>5.8999999999999997E-2</v>
      </c>
      <c r="AC15" s="18">
        <v>5.8999999999999997E-2</v>
      </c>
      <c r="AD15" s="18">
        <v>5.8999999999999997E-2</v>
      </c>
      <c r="AE15" s="18">
        <v>5.8999999999999997E-2</v>
      </c>
      <c r="AF15" s="18">
        <v>5.8999999999999997E-2</v>
      </c>
      <c r="AG15" s="18">
        <v>5.8999999999999997E-2</v>
      </c>
      <c r="AH15" s="18">
        <v>5.8999999999999997E-2</v>
      </c>
      <c r="AI15" s="18">
        <v>5.8999999999999997E-2</v>
      </c>
      <c r="AJ15" s="18">
        <v>5.8999999999999997E-2</v>
      </c>
      <c r="AK15" s="18">
        <v>5.8999999999999997E-2</v>
      </c>
      <c r="AL15" s="18">
        <v>5.8999999999999997E-2</v>
      </c>
      <c r="AM15" s="18">
        <v>5.8999999999999997E-2</v>
      </c>
      <c r="AN15" s="18">
        <v>5.8999999999999997E-2</v>
      </c>
      <c r="AO15" s="18">
        <v>6.3E-2</v>
      </c>
      <c r="AP15" s="18">
        <v>0.22459999999999999</v>
      </c>
      <c r="AQ15" s="18">
        <v>0.66290000000000004</v>
      </c>
      <c r="AR15" s="18">
        <v>0.62119999999999997</v>
      </c>
      <c r="AS15" s="18">
        <v>0.58720000000000006</v>
      </c>
      <c r="AT15" s="18">
        <v>0.55100000000000005</v>
      </c>
      <c r="AU15" s="18">
        <v>5.8999999999999997E-2</v>
      </c>
      <c r="AV15" s="18">
        <v>5.8999999999999997E-2</v>
      </c>
      <c r="AW15" s="18">
        <v>5.8999999999999997E-2</v>
      </c>
      <c r="AX15" s="18">
        <v>5.8999999999999997E-2</v>
      </c>
    </row>
    <row r="16" spans="1:50" x14ac:dyDescent="0.25">
      <c r="A16" s="8" t="s">
        <v>70</v>
      </c>
      <c r="B16" s="10" t="s">
        <v>57</v>
      </c>
      <c r="C16" s="16">
        <v>8.2699999999999996E-2</v>
      </c>
      <c r="D16" s="16">
        <v>0.1832</v>
      </c>
      <c r="E16" s="16">
        <v>5.3999999999999999E-2</v>
      </c>
      <c r="F16" s="16">
        <v>5.3999999999999999E-2</v>
      </c>
      <c r="G16" s="16">
        <v>5.3999999999999999E-2</v>
      </c>
      <c r="H16" s="16">
        <v>0.14729999999999999</v>
      </c>
      <c r="I16" s="16">
        <v>0.1186</v>
      </c>
      <c r="J16" s="16">
        <v>6.8400000000000002E-2</v>
      </c>
      <c r="K16" s="16">
        <v>0.1976</v>
      </c>
      <c r="L16" s="16">
        <v>5.3999999999999999E-2</v>
      </c>
      <c r="M16" s="16">
        <v>7.5499999999999998E-2</v>
      </c>
      <c r="N16" s="16">
        <v>0.19040000000000001</v>
      </c>
      <c r="O16" s="16">
        <v>5.3999999999999999E-2</v>
      </c>
      <c r="P16" s="16">
        <v>0.21190000000000001</v>
      </c>
      <c r="Q16" s="16">
        <v>5.3999999999999999E-2</v>
      </c>
      <c r="R16" s="16">
        <v>9.7100000000000006E-2</v>
      </c>
      <c r="S16" s="16">
        <v>0.16880000000000001</v>
      </c>
      <c r="T16" s="16">
        <v>0.31059999999999999</v>
      </c>
      <c r="U16" s="16">
        <v>0.48620000000000002</v>
      </c>
      <c r="V16" s="16">
        <v>0.24340000000000001</v>
      </c>
      <c r="W16" s="16">
        <v>1.7952999999999999</v>
      </c>
      <c r="X16" s="16">
        <v>0.2356</v>
      </c>
      <c r="Y16" s="16">
        <v>0.26269999999999999</v>
      </c>
      <c r="Z16" s="16">
        <v>0.2833</v>
      </c>
      <c r="AA16" s="16">
        <v>1.1008</v>
      </c>
      <c r="AB16" s="16">
        <v>0.34360000000000002</v>
      </c>
      <c r="AC16" s="16">
        <v>0.25840000000000002</v>
      </c>
      <c r="AD16" s="16">
        <v>0.21429999999999999</v>
      </c>
      <c r="AE16" s="16">
        <v>0.19420000000000001</v>
      </c>
      <c r="AF16" s="16">
        <v>0.29289999999999999</v>
      </c>
      <c r="AG16" s="16">
        <v>0.49880000000000002</v>
      </c>
      <c r="AH16" s="16">
        <v>0.22289999999999999</v>
      </c>
      <c r="AI16" s="16">
        <v>0.18310000000000001</v>
      </c>
      <c r="AJ16" s="16">
        <v>0.2064</v>
      </c>
      <c r="AK16" s="16">
        <v>0.19969999999999999</v>
      </c>
      <c r="AL16" s="16">
        <v>8.6300000000000002E-2</v>
      </c>
      <c r="AM16" s="16">
        <v>0.18310000000000001</v>
      </c>
      <c r="AN16" s="16">
        <v>0.37240000000000001</v>
      </c>
      <c r="AO16" s="16">
        <v>0.183</v>
      </c>
      <c r="AP16" s="16">
        <v>0.2462</v>
      </c>
      <c r="AQ16" s="16">
        <v>0.30630000000000002</v>
      </c>
      <c r="AR16" s="16">
        <v>0.42209999999999998</v>
      </c>
      <c r="AS16" s="16">
        <v>0.50060000000000004</v>
      </c>
      <c r="AT16" s="16">
        <v>0.42199999999999999</v>
      </c>
      <c r="AU16" s="16">
        <v>0.53680000000000005</v>
      </c>
      <c r="AV16" s="16">
        <v>0.3342</v>
      </c>
      <c r="AW16" s="16">
        <v>0.93579999999999997</v>
      </c>
      <c r="AX16" s="16">
        <v>0.65680000000000005</v>
      </c>
    </row>
    <row r="17" spans="1:50" x14ac:dyDescent="0.25">
      <c r="A17" s="8" t="s">
        <v>72</v>
      </c>
      <c r="B17" s="10" t="s">
        <v>57</v>
      </c>
      <c r="C17" s="16">
        <v>0.3075</v>
      </c>
      <c r="D17" s="16">
        <v>0.14810000000000001</v>
      </c>
      <c r="E17" s="16">
        <v>8.6499999999999994E-2</v>
      </c>
      <c r="F17" s="16">
        <v>0.3125</v>
      </c>
      <c r="G17" s="16">
        <v>0.1195</v>
      </c>
      <c r="H17" s="16">
        <v>0.2422</v>
      </c>
      <c r="I17" s="16">
        <v>0.14380000000000001</v>
      </c>
      <c r="J17" s="16">
        <v>5.5E-2</v>
      </c>
      <c r="K17" s="16">
        <v>0.1172</v>
      </c>
      <c r="L17" s="16">
        <v>0.34620000000000001</v>
      </c>
      <c r="M17" s="16">
        <v>5.5E-2</v>
      </c>
      <c r="N17" s="16">
        <v>0.30730000000000002</v>
      </c>
      <c r="O17" s="16">
        <v>0.15609999999999999</v>
      </c>
      <c r="P17" s="16">
        <v>7.5999999999999998E-2</v>
      </c>
      <c r="Q17" s="16">
        <v>0.1389</v>
      </c>
      <c r="R17" s="16">
        <v>0.30349999999999999</v>
      </c>
      <c r="S17" s="16">
        <v>9.1700000000000004E-2</v>
      </c>
      <c r="T17" s="16">
        <v>0.16619999999999999</v>
      </c>
      <c r="U17" s="16">
        <v>0.30070000000000002</v>
      </c>
      <c r="V17" s="16">
        <v>6.4500000000000002E-2</v>
      </c>
      <c r="W17" s="16">
        <v>0.22570000000000001</v>
      </c>
      <c r="X17" s="16">
        <v>0.26340000000000002</v>
      </c>
      <c r="Y17" s="16">
        <v>0.33400000000000002</v>
      </c>
      <c r="Z17" s="16">
        <v>0.26450000000000001</v>
      </c>
      <c r="AA17" s="16">
        <v>0.39369999999999999</v>
      </c>
      <c r="AB17" s="16">
        <v>0.15060000000000001</v>
      </c>
      <c r="AC17" s="16">
        <v>0.14829999999999999</v>
      </c>
      <c r="AD17" s="16">
        <v>0.21010000000000001</v>
      </c>
      <c r="AE17" s="16">
        <v>0.17780000000000001</v>
      </c>
      <c r="AF17" s="16">
        <v>0.24829999999999999</v>
      </c>
      <c r="AG17" s="16">
        <v>0.10059999999999999</v>
      </c>
      <c r="AH17" s="16">
        <v>0.1913</v>
      </c>
      <c r="AI17" s="16">
        <v>0.22919999999999999</v>
      </c>
      <c r="AJ17" s="16">
        <v>0.2722</v>
      </c>
      <c r="AK17" s="16">
        <v>1.4376</v>
      </c>
      <c r="AL17" s="16">
        <v>0.2261</v>
      </c>
      <c r="AM17" s="16">
        <v>1.9316</v>
      </c>
      <c r="AN17" s="16">
        <v>0.37630000000000002</v>
      </c>
      <c r="AO17" s="16">
        <v>0.374</v>
      </c>
      <c r="AP17" s="16">
        <v>0.68810000000000004</v>
      </c>
      <c r="AQ17" s="16">
        <v>0.62980000000000003</v>
      </c>
      <c r="AR17" s="16">
        <v>1.232</v>
      </c>
      <c r="AS17" s="16">
        <v>0.76529999999999998</v>
      </c>
      <c r="AT17" s="16">
        <v>0.89200000000000002</v>
      </c>
      <c r="AU17" s="16">
        <v>0.71350000000000002</v>
      </c>
      <c r="AV17" s="16">
        <v>0.70140000000000002</v>
      </c>
      <c r="AW17" s="16">
        <v>0.96919999999999995</v>
      </c>
      <c r="AX17" s="16">
        <v>0.86699999999999999</v>
      </c>
    </row>
    <row r="18" spans="1:50" x14ac:dyDescent="0.25">
      <c r="A18" s="17" t="s">
        <v>417</v>
      </c>
      <c r="B18" s="13" t="s">
        <v>410</v>
      </c>
      <c r="C18" s="18">
        <v>4.7E-2</v>
      </c>
      <c r="D18" s="18">
        <v>4.7E-2</v>
      </c>
      <c r="E18" s="18">
        <v>4.7E-2</v>
      </c>
      <c r="F18" s="18">
        <v>4.7E-2</v>
      </c>
      <c r="G18" s="18">
        <v>4.7E-2</v>
      </c>
      <c r="H18" s="18">
        <v>4.7E-2</v>
      </c>
      <c r="I18" s="18">
        <v>4.7E-2</v>
      </c>
      <c r="J18" s="18">
        <v>1.3337000000000001</v>
      </c>
      <c r="K18" s="18">
        <v>4.7E-2</v>
      </c>
      <c r="L18" s="18">
        <v>4.7E-2</v>
      </c>
      <c r="M18" s="18">
        <v>4.7E-2</v>
      </c>
      <c r="N18" s="18">
        <v>9.2100000000000001E-2</v>
      </c>
      <c r="O18" s="18">
        <v>6.9800000000000001E-2</v>
      </c>
      <c r="P18" s="18">
        <v>4.7E-2</v>
      </c>
      <c r="Q18" s="18">
        <v>4.7E-2</v>
      </c>
      <c r="R18" s="18">
        <v>4.7E-2</v>
      </c>
      <c r="S18" s="18">
        <v>4.7E-2</v>
      </c>
      <c r="T18" s="18">
        <v>4.7E-2</v>
      </c>
      <c r="U18" s="18">
        <v>9.0399999999999994E-2</v>
      </c>
      <c r="V18" s="18">
        <v>0.30059999999999998</v>
      </c>
      <c r="W18" s="18">
        <v>4.7E-2</v>
      </c>
      <c r="X18" s="18">
        <v>4.7E-2</v>
      </c>
      <c r="Y18" s="18">
        <v>4.7E-2</v>
      </c>
      <c r="Z18" s="18">
        <v>5.2499999999999998E-2</v>
      </c>
      <c r="AA18" s="18">
        <v>4.7E-2</v>
      </c>
      <c r="AB18" s="18">
        <v>4.7E-2</v>
      </c>
      <c r="AC18" s="18">
        <v>4.7E-2</v>
      </c>
      <c r="AD18" s="18">
        <v>4.7E-2</v>
      </c>
      <c r="AE18" s="18">
        <v>4.7E-2</v>
      </c>
      <c r="AF18" s="18">
        <v>4.7E-2</v>
      </c>
      <c r="AG18" s="18">
        <v>4.7E-2</v>
      </c>
      <c r="AH18" s="18">
        <v>4.7E-2</v>
      </c>
      <c r="AI18" s="18">
        <v>4.7E-2</v>
      </c>
      <c r="AJ18" s="18">
        <v>4.7E-2</v>
      </c>
      <c r="AK18" s="18">
        <v>4.7E-2</v>
      </c>
      <c r="AL18" s="18">
        <v>4.7E-2</v>
      </c>
      <c r="AM18" s="18">
        <v>4.7E-2</v>
      </c>
      <c r="AN18" s="18">
        <v>4.7E-2</v>
      </c>
      <c r="AO18" s="18">
        <v>4.7E-2</v>
      </c>
      <c r="AP18" s="18">
        <v>4.7E-2</v>
      </c>
      <c r="AQ18" s="18">
        <v>0.35659999999999997</v>
      </c>
      <c r="AR18" s="18">
        <v>0.214</v>
      </c>
      <c r="AS18" s="18">
        <v>0.35089999999999999</v>
      </c>
      <c r="AT18" s="18">
        <v>0.53100000000000003</v>
      </c>
      <c r="AU18" s="18">
        <v>0.35799999999999998</v>
      </c>
      <c r="AV18" s="18">
        <v>4.7E-2</v>
      </c>
      <c r="AW18" s="18">
        <v>4.7E-2</v>
      </c>
      <c r="AX18" s="18">
        <v>4.7E-2</v>
      </c>
    </row>
    <row r="19" spans="1:50" x14ac:dyDescent="0.25">
      <c r="A19" s="8" t="s">
        <v>74</v>
      </c>
      <c r="B19" s="10" t="s">
        <v>57</v>
      </c>
      <c r="C19" s="16">
        <v>8.0799999999999997E-2</v>
      </c>
      <c r="D19" s="16">
        <v>0.26100000000000001</v>
      </c>
      <c r="E19" s="16">
        <v>5.6000000000000001E-2</v>
      </c>
      <c r="F19" s="16">
        <v>0.1305</v>
      </c>
      <c r="G19" s="16">
        <v>0.2114</v>
      </c>
      <c r="H19" s="16">
        <v>5.6000000000000001E-2</v>
      </c>
      <c r="I19" s="16">
        <v>5.6000000000000001E-2</v>
      </c>
      <c r="J19" s="16">
        <v>0.25280000000000002</v>
      </c>
      <c r="K19" s="16">
        <v>0.37630000000000002</v>
      </c>
      <c r="L19" s="16">
        <v>0.19989999999999999</v>
      </c>
      <c r="M19" s="16">
        <v>0.14199999999999999</v>
      </c>
      <c r="N19" s="16">
        <v>8.5000000000000006E-2</v>
      </c>
      <c r="O19" s="16">
        <v>0.10150000000000001</v>
      </c>
      <c r="P19" s="16">
        <v>0.2114</v>
      </c>
      <c r="Q19" s="16">
        <v>0.1222</v>
      </c>
      <c r="R19" s="16">
        <v>0.1278</v>
      </c>
      <c r="S19" s="16">
        <v>0.16850000000000001</v>
      </c>
      <c r="T19" s="16">
        <v>0.10979999999999999</v>
      </c>
      <c r="U19" s="16">
        <v>0.2777</v>
      </c>
      <c r="V19" s="16">
        <v>0.26500000000000001</v>
      </c>
      <c r="W19" s="16">
        <v>0.26050000000000001</v>
      </c>
      <c r="X19" s="16">
        <v>0.34970000000000001</v>
      </c>
      <c r="Y19" s="16">
        <v>0.26960000000000001</v>
      </c>
      <c r="Z19" s="16">
        <v>0.21729999999999999</v>
      </c>
      <c r="AA19" s="16">
        <v>0.38450000000000001</v>
      </c>
      <c r="AB19" s="16">
        <v>6.1400000000000003E-2</v>
      </c>
      <c r="AC19" s="16">
        <v>0.17019999999999999</v>
      </c>
      <c r="AD19" s="16">
        <v>0.19309999999999999</v>
      </c>
      <c r="AE19" s="16">
        <v>0.48820000000000002</v>
      </c>
      <c r="AF19" s="16">
        <v>0.311</v>
      </c>
      <c r="AG19" s="16">
        <v>0.31440000000000001</v>
      </c>
      <c r="AH19" s="16">
        <v>0.4335</v>
      </c>
      <c r="AI19" s="16">
        <v>0.2432</v>
      </c>
      <c r="AJ19" s="16">
        <v>0.4269</v>
      </c>
      <c r="AK19" s="16">
        <v>0.60009999999999997</v>
      </c>
      <c r="AL19" s="16">
        <v>0.23980000000000001</v>
      </c>
      <c r="AM19" s="16">
        <v>0.55069999999999997</v>
      </c>
      <c r="AN19" s="16">
        <v>0.20430000000000001</v>
      </c>
      <c r="AO19" s="16">
        <v>0.33329999999999999</v>
      </c>
      <c r="AP19" s="16">
        <v>0.2349</v>
      </c>
      <c r="AQ19" s="16">
        <v>0.2157</v>
      </c>
      <c r="AR19" s="16">
        <v>0.51180000000000003</v>
      </c>
      <c r="AS19" s="16">
        <v>0.45829999999999999</v>
      </c>
      <c r="AT19" s="16">
        <v>0.33329999999999999</v>
      </c>
      <c r="AU19" s="16">
        <v>0.1305</v>
      </c>
      <c r="AV19" s="16">
        <v>5.6000000000000001E-2</v>
      </c>
      <c r="AW19" s="16">
        <v>0.25109999999999999</v>
      </c>
      <c r="AX19" s="16">
        <v>9.0800000000000006E-2</v>
      </c>
    </row>
    <row r="20" spans="1:50" x14ac:dyDescent="0.25">
      <c r="A20" s="17" t="s">
        <v>419</v>
      </c>
      <c r="B20" s="13" t="s">
        <v>410</v>
      </c>
      <c r="C20" s="18">
        <v>0.15040000000000001</v>
      </c>
      <c r="D20" s="18">
        <v>0.10780000000000001</v>
      </c>
      <c r="E20" s="18">
        <v>9.7699999999999995E-2</v>
      </c>
      <c r="F20" s="18">
        <v>0.108</v>
      </c>
      <c r="G20" s="18">
        <v>0.15559999999999999</v>
      </c>
      <c r="H20" s="18">
        <v>0.20630000000000001</v>
      </c>
      <c r="I20" s="18">
        <v>5.0999999999999997E-2</v>
      </c>
      <c r="J20" s="18">
        <v>0.31090000000000001</v>
      </c>
      <c r="K20" s="18">
        <v>5.0999999999999997E-2</v>
      </c>
      <c r="L20" s="18">
        <v>0.1547</v>
      </c>
      <c r="M20" s="18">
        <v>5.8099999999999999E-2</v>
      </c>
      <c r="N20" s="18">
        <v>0.2001</v>
      </c>
      <c r="O20" s="18">
        <v>8.7300000000000003E-2</v>
      </c>
      <c r="P20" s="18">
        <v>0.25330000000000003</v>
      </c>
      <c r="Q20" s="18">
        <v>0.1086</v>
      </c>
      <c r="R20" s="18">
        <v>0.15390000000000001</v>
      </c>
      <c r="S20" s="18">
        <v>0.1769</v>
      </c>
      <c r="T20" s="18">
        <v>0.14949999999999999</v>
      </c>
      <c r="U20" s="18">
        <v>0.49969999999999998</v>
      </c>
      <c r="V20" s="18">
        <v>0.3538</v>
      </c>
      <c r="W20" s="18">
        <v>0.15040000000000001</v>
      </c>
      <c r="X20" s="18">
        <v>0.13370000000000001</v>
      </c>
      <c r="Y20" s="18">
        <v>0.1714</v>
      </c>
      <c r="Z20" s="18">
        <v>0.1646</v>
      </c>
      <c r="AA20" s="18">
        <v>0.1547</v>
      </c>
      <c r="AB20" s="18">
        <v>0.2072</v>
      </c>
      <c r="AC20" s="18">
        <v>6.6600000000000006E-2</v>
      </c>
      <c r="AD20" s="18">
        <v>0.1391</v>
      </c>
      <c r="AE20" s="18">
        <v>0.2072</v>
      </c>
      <c r="AF20" s="18">
        <v>0.1547</v>
      </c>
      <c r="AG20" s="18">
        <v>5.0999999999999997E-2</v>
      </c>
      <c r="AH20" s="18">
        <v>0.2001</v>
      </c>
      <c r="AI20" s="18">
        <v>0.1618</v>
      </c>
      <c r="AJ20" s="18">
        <v>0.10780000000000001</v>
      </c>
      <c r="AK20" s="18">
        <v>0.25409999999999999</v>
      </c>
      <c r="AL20" s="18">
        <v>5.0999999999999997E-2</v>
      </c>
      <c r="AM20" s="18">
        <v>0.28249999999999997</v>
      </c>
      <c r="AN20" s="18">
        <v>0.15939999999999999</v>
      </c>
      <c r="AO20" s="18">
        <v>0.26790000000000003</v>
      </c>
      <c r="AP20" s="18">
        <v>0.31940000000000002</v>
      </c>
      <c r="AQ20" s="18">
        <v>0.54749999999999999</v>
      </c>
      <c r="AR20" s="18">
        <v>2.0546000000000002</v>
      </c>
      <c r="AS20" s="18">
        <v>0.3039</v>
      </c>
      <c r="AT20" s="18">
        <v>0.34489999999999998</v>
      </c>
      <c r="AU20" s="18">
        <v>0.23549999999999999</v>
      </c>
      <c r="AV20" s="18">
        <v>0.1757</v>
      </c>
      <c r="AW20" s="18">
        <v>0.108</v>
      </c>
      <c r="AX20" s="18">
        <v>5.0999999999999997E-2</v>
      </c>
    </row>
    <row r="21" spans="1:50" x14ac:dyDescent="0.25">
      <c r="A21" s="8" t="s">
        <v>76</v>
      </c>
      <c r="B21" s="10" t="s">
        <v>57</v>
      </c>
      <c r="C21" s="16">
        <v>0.19139999999999999</v>
      </c>
      <c r="D21" s="16">
        <v>0.03</v>
      </c>
      <c r="E21" s="16">
        <v>0.1181</v>
      </c>
      <c r="F21" s="16">
        <v>5.9400000000000001E-2</v>
      </c>
      <c r="G21" s="16">
        <v>9.6000000000000002E-2</v>
      </c>
      <c r="H21" s="16">
        <v>0.14299999999999999</v>
      </c>
      <c r="I21" s="16">
        <v>0.12989999999999999</v>
      </c>
      <c r="J21" s="16">
        <v>0.03</v>
      </c>
      <c r="K21" s="16">
        <v>0.2414</v>
      </c>
      <c r="L21" s="16">
        <v>9.7500000000000003E-2</v>
      </c>
      <c r="M21" s="16">
        <v>9.6000000000000002E-2</v>
      </c>
      <c r="N21" s="16">
        <v>0.2429</v>
      </c>
      <c r="O21" s="16">
        <v>0.03</v>
      </c>
      <c r="P21" s="16">
        <v>0.30890000000000001</v>
      </c>
      <c r="Q21" s="16">
        <v>0.03</v>
      </c>
      <c r="R21" s="16">
        <v>1.0561</v>
      </c>
      <c r="S21" s="16">
        <v>0.49440000000000001</v>
      </c>
      <c r="T21" s="16">
        <v>0.10349999999999999</v>
      </c>
      <c r="U21" s="16">
        <v>1.5583</v>
      </c>
      <c r="V21" s="16">
        <v>0.47299999999999998</v>
      </c>
      <c r="W21" s="16">
        <v>1.8533999999999999</v>
      </c>
      <c r="X21" s="16">
        <v>0.28589999999999999</v>
      </c>
      <c r="Y21" s="16">
        <v>0.4622</v>
      </c>
      <c r="Z21" s="16">
        <v>0.17549999999999999</v>
      </c>
      <c r="AA21" s="16">
        <v>0.47189999999999999</v>
      </c>
      <c r="AB21" s="16">
        <v>0.1295</v>
      </c>
      <c r="AC21" s="16">
        <v>0.22819999999999999</v>
      </c>
      <c r="AD21" s="16">
        <v>0.25480000000000003</v>
      </c>
      <c r="AE21" s="16">
        <v>4.58E-2</v>
      </c>
      <c r="AF21" s="16">
        <v>0.22459999999999999</v>
      </c>
      <c r="AG21" s="16">
        <v>0.59540000000000004</v>
      </c>
      <c r="AH21" s="16">
        <v>5.7500000000000002E-2</v>
      </c>
      <c r="AI21" s="16">
        <v>0.42509999999999998</v>
      </c>
      <c r="AJ21" s="16">
        <v>0.2072</v>
      </c>
      <c r="AK21" s="16">
        <v>0.34239999999999998</v>
      </c>
      <c r="AL21" s="16">
        <v>1.2727999999999999</v>
      </c>
      <c r="AM21" s="16">
        <v>0.19589999999999999</v>
      </c>
      <c r="AN21" s="16">
        <v>0.25979999999999998</v>
      </c>
      <c r="AO21" s="16">
        <v>0.33160000000000001</v>
      </c>
      <c r="AP21" s="16">
        <v>0.50319999999999998</v>
      </c>
      <c r="AQ21" s="16">
        <v>0.42580000000000001</v>
      </c>
      <c r="AR21" s="16">
        <v>0.64190000000000003</v>
      </c>
      <c r="AS21" s="16">
        <v>0.48749999999999999</v>
      </c>
      <c r="AT21" s="16">
        <v>0.44929999999999998</v>
      </c>
      <c r="AU21" s="16">
        <v>0.39079999999999998</v>
      </c>
      <c r="AV21" s="16">
        <v>0.4022</v>
      </c>
      <c r="AW21" s="16">
        <v>0.33539999999999998</v>
      </c>
      <c r="AX21" s="16">
        <v>0.26900000000000002</v>
      </c>
    </row>
    <row r="22" spans="1:50" x14ac:dyDescent="0.25">
      <c r="A22" s="8" t="s">
        <v>78</v>
      </c>
      <c r="B22" s="10" t="s">
        <v>57</v>
      </c>
      <c r="C22" s="16">
        <v>0.15490000000000001</v>
      </c>
      <c r="D22" s="16">
        <v>0.05</v>
      </c>
      <c r="E22" s="16">
        <v>0.05</v>
      </c>
      <c r="F22" s="16">
        <v>0.05</v>
      </c>
      <c r="G22" s="16">
        <v>0.14960000000000001</v>
      </c>
      <c r="H22" s="16">
        <v>5.5199999999999999E-2</v>
      </c>
      <c r="I22" s="16">
        <v>0.05</v>
      </c>
      <c r="J22" s="16">
        <v>7.6200000000000004E-2</v>
      </c>
      <c r="K22" s="16">
        <v>0.12859999999999999</v>
      </c>
      <c r="L22" s="16">
        <v>0.05</v>
      </c>
      <c r="M22" s="16">
        <v>0.15490000000000001</v>
      </c>
      <c r="N22" s="16">
        <v>0.05</v>
      </c>
      <c r="O22" s="16">
        <v>0.1391</v>
      </c>
      <c r="P22" s="16">
        <v>6.5699999999999995E-2</v>
      </c>
      <c r="Q22" s="16">
        <v>0.1024</v>
      </c>
      <c r="R22" s="16">
        <v>0.1024</v>
      </c>
      <c r="S22" s="16">
        <v>0.05</v>
      </c>
      <c r="T22" s="16">
        <v>0.1077</v>
      </c>
      <c r="U22" s="16">
        <v>0.9919</v>
      </c>
      <c r="V22" s="16">
        <v>8.0100000000000005E-2</v>
      </c>
      <c r="W22" s="16">
        <v>0.186</v>
      </c>
      <c r="X22" s="16">
        <v>0.10150000000000001</v>
      </c>
      <c r="Y22" s="16">
        <v>0.1086</v>
      </c>
      <c r="Z22" s="16">
        <v>0.11609999999999999</v>
      </c>
      <c r="AA22" s="16">
        <v>0.05</v>
      </c>
      <c r="AB22" s="16">
        <v>0.15490000000000001</v>
      </c>
      <c r="AC22" s="16">
        <v>0.19489999999999999</v>
      </c>
      <c r="AD22" s="16">
        <v>0.25700000000000001</v>
      </c>
      <c r="AE22" s="16">
        <v>0.2424</v>
      </c>
      <c r="AF22" s="16">
        <v>0.2883</v>
      </c>
      <c r="AG22" s="16">
        <v>0.2361</v>
      </c>
      <c r="AH22" s="16">
        <v>0.32029999999999997</v>
      </c>
      <c r="AI22" s="16">
        <v>0.1956</v>
      </c>
      <c r="AJ22" s="16">
        <v>0.129</v>
      </c>
      <c r="AK22" s="16">
        <v>7.1300000000000002E-2</v>
      </c>
      <c r="AL22" s="16">
        <v>0.2223</v>
      </c>
      <c r="AM22" s="16">
        <v>0.2303</v>
      </c>
      <c r="AN22" s="16">
        <v>0.1623</v>
      </c>
      <c r="AO22" s="16">
        <v>1.2804</v>
      </c>
      <c r="AP22" s="16">
        <v>2.7603</v>
      </c>
      <c r="AQ22" s="16">
        <v>2.8946999999999998</v>
      </c>
      <c r="AR22" s="16">
        <v>0.51470000000000005</v>
      </c>
      <c r="AS22" s="16">
        <v>1.4846999999999999</v>
      </c>
      <c r="AT22" s="16">
        <v>0.19900000000000001</v>
      </c>
      <c r="AU22" s="16">
        <v>0.186</v>
      </c>
      <c r="AV22" s="16">
        <v>0.31969999999999998</v>
      </c>
      <c r="AW22" s="16">
        <v>0.41220000000000001</v>
      </c>
      <c r="AX22" s="16">
        <v>0.1077</v>
      </c>
    </row>
    <row r="23" spans="1:50" x14ac:dyDescent="0.25">
      <c r="A23" s="8" t="s">
        <v>80</v>
      </c>
      <c r="B23" s="10" t="s">
        <v>57</v>
      </c>
      <c r="C23" s="16">
        <v>0.09</v>
      </c>
      <c r="D23" s="16">
        <v>9.7900000000000001E-2</v>
      </c>
      <c r="E23" s="16">
        <v>5.8000000000000003E-2</v>
      </c>
      <c r="F23" s="16">
        <v>5.8000000000000003E-2</v>
      </c>
      <c r="G23" s="16">
        <v>0.12989999999999999</v>
      </c>
      <c r="H23" s="16">
        <v>5.8000000000000003E-2</v>
      </c>
      <c r="I23" s="16">
        <v>0.12989999999999999</v>
      </c>
      <c r="J23" s="16">
        <v>5.8000000000000003E-2</v>
      </c>
      <c r="K23" s="16">
        <v>0.12989999999999999</v>
      </c>
      <c r="L23" s="16">
        <v>5.8000000000000003E-2</v>
      </c>
      <c r="M23" s="16">
        <v>5.8000000000000003E-2</v>
      </c>
      <c r="N23" s="16">
        <v>5.8000000000000003E-2</v>
      </c>
      <c r="O23" s="16">
        <v>0.12989999999999999</v>
      </c>
      <c r="P23" s="16">
        <v>5.8000000000000003E-2</v>
      </c>
      <c r="Q23" s="16">
        <v>0.12989999999999999</v>
      </c>
      <c r="R23" s="16">
        <v>5.8000000000000003E-2</v>
      </c>
      <c r="S23" s="16">
        <v>0.1139</v>
      </c>
      <c r="T23" s="16">
        <v>7.3999999999999996E-2</v>
      </c>
      <c r="U23" s="16">
        <v>5.8000000000000003E-2</v>
      </c>
      <c r="V23" s="16">
        <v>0.12189999999999999</v>
      </c>
      <c r="W23" s="16">
        <v>6.6000000000000003E-2</v>
      </c>
      <c r="X23" s="16">
        <v>0.12590000000000001</v>
      </c>
      <c r="Y23" s="16">
        <v>6.2E-2</v>
      </c>
      <c r="Z23" s="16">
        <v>0.09</v>
      </c>
      <c r="AA23" s="16">
        <v>9.7900000000000001E-2</v>
      </c>
      <c r="AB23" s="16">
        <v>8.2000000000000003E-2</v>
      </c>
      <c r="AC23" s="16">
        <v>0.10589999999999999</v>
      </c>
      <c r="AD23" s="16">
        <v>5.8000000000000003E-2</v>
      </c>
      <c r="AE23" s="16">
        <v>5.8000000000000003E-2</v>
      </c>
      <c r="AF23" s="16">
        <v>0.14410000000000001</v>
      </c>
      <c r="AG23" s="16">
        <v>0.18479999999999999</v>
      </c>
      <c r="AH23" s="16">
        <v>0.24149999999999999</v>
      </c>
      <c r="AI23" s="16">
        <v>0.3034</v>
      </c>
      <c r="AJ23" s="16">
        <v>0.17510000000000001</v>
      </c>
      <c r="AK23" s="16">
        <v>0.16</v>
      </c>
      <c r="AL23" s="16">
        <v>0.29959999999999998</v>
      </c>
      <c r="AM23" s="16">
        <v>0.60850000000000004</v>
      </c>
      <c r="AN23" s="16">
        <v>1.6758</v>
      </c>
      <c r="AO23" s="16">
        <v>9.9000000000000005E-2</v>
      </c>
      <c r="AP23" s="16">
        <v>0.30680000000000002</v>
      </c>
      <c r="AQ23" s="16">
        <v>0.51259999999999994</v>
      </c>
      <c r="AR23" s="16">
        <v>0.63200000000000001</v>
      </c>
      <c r="AS23" s="16">
        <v>0.85719999999999996</v>
      </c>
      <c r="AT23" s="16">
        <v>0.70850000000000002</v>
      </c>
      <c r="AU23" s="16">
        <v>0.12590000000000001</v>
      </c>
      <c r="AV23" s="16">
        <v>5.8000000000000003E-2</v>
      </c>
      <c r="AW23" s="16">
        <v>0.12989999999999999</v>
      </c>
      <c r="AX23" s="16">
        <v>5.8000000000000003E-2</v>
      </c>
    </row>
    <row r="24" spans="1:50" x14ac:dyDescent="0.25">
      <c r="A24" s="8" t="s">
        <v>82</v>
      </c>
      <c r="B24" s="10" t="s">
        <v>57</v>
      </c>
      <c r="C24" s="16">
        <v>0.15010000000000001</v>
      </c>
      <c r="D24" s="16">
        <v>0.12139999999999999</v>
      </c>
      <c r="E24" s="16">
        <v>5.7000000000000002E-2</v>
      </c>
      <c r="F24" s="16">
        <v>0.20019999999999999</v>
      </c>
      <c r="G24" s="16">
        <v>7.1300000000000002E-2</v>
      </c>
      <c r="H24" s="16">
        <v>0.12859999999999999</v>
      </c>
      <c r="I24" s="16">
        <v>0.1429</v>
      </c>
      <c r="J24" s="16">
        <v>5.7000000000000002E-2</v>
      </c>
      <c r="K24" s="16">
        <v>0.18590000000000001</v>
      </c>
      <c r="L24" s="16">
        <v>8.5599999999999996E-2</v>
      </c>
      <c r="M24" s="16">
        <v>5.7000000000000002E-2</v>
      </c>
      <c r="N24" s="16">
        <v>5.7000000000000002E-2</v>
      </c>
      <c r="O24" s="16">
        <v>0.2145</v>
      </c>
      <c r="P24" s="16">
        <v>5.7000000000000002E-2</v>
      </c>
      <c r="Q24" s="16">
        <v>7.1300000000000002E-2</v>
      </c>
      <c r="R24" s="16">
        <v>0.20019999999999999</v>
      </c>
      <c r="S24" s="16">
        <v>7.6499999999999999E-2</v>
      </c>
      <c r="T24" s="16">
        <v>1.2815000000000001</v>
      </c>
      <c r="U24" s="16">
        <v>0.22950000000000001</v>
      </c>
      <c r="V24" s="16">
        <v>8.4199999999999997E-2</v>
      </c>
      <c r="W24" s="16">
        <v>8.0500000000000002E-2</v>
      </c>
      <c r="X24" s="16">
        <v>0.3453</v>
      </c>
      <c r="Y24" s="16">
        <v>0.30980000000000002</v>
      </c>
      <c r="Z24" s="16">
        <v>0.2306</v>
      </c>
      <c r="AA24" s="16">
        <v>0.29599999999999999</v>
      </c>
      <c r="AB24" s="16">
        <v>0.17560000000000001</v>
      </c>
      <c r="AC24" s="16">
        <v>0.19170000000000001</v>
      </c>
      <c r="AD24" s="16">
        <v>0.33779999999999999</v>
      </c>
      <c r="AE24" s="16">
        <v>0.31430000000000002</v>
      </c>
      <c r="AF24" s="16">
        <v>0.32240000000000002</v>
      </c>
      <c r="AG24" s="16">
        <v>0.59650000000000003</v>
      </c>
      <c r="AH24" s="16">
        <v>0.17680000000000001</v>
      </c>
      <c r="AI24" s="16">
        <v>0.21820000000000001</v>
      </c>
      <c r="AJ24" s="16">
        <v>5.7000000000000002E-2</v>
      </c>
      <c r="AK24" s="16">
        <v>5.7000000000000002E-2</v>
      </c>
      <c r="AL24" s="16">
        <v>0.2238</v>
      </c>
      <c r="AM24" s="16">
        <v>0.2571</v>
      </c>
      <c r="AN24" s="16">
        <v>0.86839999999999995</v>
      </c>
      <c r="AO24" s="16">
        <v>1.2055</v>
      </c>
      <c r="AP24" s="16">
        <v>0.5252</v>
      </c>
      <c r="AQ24" s="16">
        <v>1.4659</v>
      </c>
      <c r="AR24" s="16">
        <v>1.0177</v>
      </c>
      <c r="AS24" s="16">
        <v>0.90149999999999997</v>
      </c>
      <c r="AT24" s="16">
        <v>0.56979999999999997</v>
      </c>
      <c r="AU24" s="16">
        <v>0.78839999999999999</v>
      </c>
      <c r="AV24" s="16">
        <v>0.79879999999999995</v>
      </c>
      <c r="AW24" s="16">
        <v>0.79630000000000001</v>
      </c>
      <c r="AX24" s="16">
        <v>5.7000000000000002E-2</v>
      </c>
    </row>
    <row r="25" spans="1:50" x14ac:dyDescent="0.25">
      <c r="A25" s="17" t="s">
        <v>421</v>
      </c>
      <c r="B25" s="13" t="s">
        <v>410</v>
      </c>
      <c r="C25" s="18">
        <v>0.13189999999999999</v>
      </c>
      <c r="D25" s="18">
        <v>0.24349999999999999</v>
      </c>
      <c r="E25" s="18">
        <v>5.2999999999999999E-2</v>
      </c>
      <c r="F25" s="18">
        <v>0.18129999999999999</v>
      </c>
      <c r="G25" s="18">
        <v>0.19409999999999999</v>
      </c>
      <c r="H25" s="18">
        <v>5.6899999999999999E-2</v>
      </c>
      <c r="I25" s="18">
        <v>0.11890000000000001</v>
      </c>
      <c r="J25" s="18">
        <v>0.25259999999999999</v>
      </c>
      <c r="K25" s="18">
        <v>5.2999999999999999E-2</v>
      </c>
      <c r="L25" s="18">
        <v>0.2006</v>
      </c>
      <c r="M25" s="18">
        <v>0.17480000000000001</v>
      </c>
      <c r="N25" s="18">
        <v>5.2999999999999999E-2</v>
      </c>
      <c r="O25" s="18">
        <v>5.2999999999999999E-2</v>
      </c>
      <c r="P25" s="18">
        <v>0.21240000000000001</v>
      </c>
      <c r="Q25" s="18">
        <v>0.16300000000000001</v>
      </c>
      <c r="R25" s="18">
        <v>5.2999999999999999E-2</v>
      </c>
      <c r="S25" s="18">
        <v>6.2100000000000002E-2</v>
      </c>
      <c r="T25" s="18">
        <v>0.24349999999999999</v>
      </c>
      <c r="U25" s="18">
        <v>5.2999999999999999E-2</v>
      </c>
      <c r="V25" s="18">
        <v>0.17080000000000001</v>
      </c>
      <c r="W25" s="18">
        <v>0.2046</v>
      </c>
      <c r="X25" s="18">
        <v>0.10730000000000001</v>
      </c>
      <c r="Y25" s="18">
        <v>0.2681</v>
      </c>
      <c r="Z25" s="18">
        <v>9.0300000000000005E-2</v>
      </c>
      <c r="AA25" s="18">
        <v>0.27889999999999998</v>
      </c>
      <c r="AB25" s="18">
        <v>0.23480000000000001</v>
      </c>
      <c r="AC25" s="18">
        <v>2.6419999999999999</v>
      </c>
      <c r="AD25" s="18">
        <v>1.0236000000000001</v>
      </c>
      <c r="AE25" s="18">
        <v>1.4475</v>
      </c>
      <c r="AF25" s="18">
        <v>0.1502</v>
      </c>
      <c r="AG25" s="18">
        <v>0.1709</v>
      </c>
      <c r="AH25" s="18">
        <v>0.30980000000000002</v>
      </c>
      <c r="AI25" s="18">
        <v>0.1749</v>
      </c>
      <c r="AJ25" s="18">
        <v>0.25140000000000001</v>
      </c>
      <c r="AK25" s="18">
        <v>0.28720000000000001</v>
      </c>
      <c r="AL25" s="18">
        <v>9.7000000000000003E-2</v>
      </c>
      <c r="AM25" s="18">
        <v>0.31590000000000001</v>
      </c>
      <c r="AN25" s="18">
        <v>0.1822</v>
      </c>
      <c r="AO25" s="18">
        <v>0.30030000000000001</v>
      </c>
      <c r="AP25" s="18">
        <v>0.53510000000000002</v>
      </c>
      <c r="AQ25" s="18">
        <v>0.49180000000000001</v>
      </c>
      <c r="AR25" s="18">
        <v>2.5085999999999999</v>
      </c>
      <c r="AS25" s="18">
        <v>0.84630000000000005</v>
      </c>
      <c r="AT25" s="18">
        <v>0.46389999999999998</v>
      </c>
      <c r="AU25" s="18">
        <v>0.56189999999999996</v>
      </c>
      <c r="AV25" s="18">
        <v>0.34129999999999999</v>
      </c>
      <c r="AW25" s="18">
        <v>0.6119</v>
      </c>
      <c r="AX25" s="18">
        <v>0.1915</v>
      </c>
    </row>
    <row r="26" spans="1:50" x14ac:dyDescent="0.25">
      <c r="A26" s="17" t="s">
        <v>423</v>
      </c>
      <c r="B26" s="13" t="s">
        <v>410</v>
      </c>
      <c r="C26" s="18">
        <v>0.25519999999999998</v>
      </c>
      <c r="D26" s="18">
        <v>3.1E-2</v>
      </c>
      <c r="E26" s="18">
        <v>3.1E-2</v>
      </c>
      <c r="F26" s="18">
        <v>0.1676</v>
      </c>
      <c r="G26" s="18">
        <v>0.14249999999999999</v>
      </c>
      <c r="H26" s="18">
        <v>0.1055</v>
      </c>
      <c r="I26" s="18">
        <v>0.125</v>
      </c>
      <c r="J26" s="18">
        <v>0.1106</v>
      </c>
      <c r="K26" s="18">
        <v>0.1055</v>
      </c>
      <c r="L26" s="18">
        <v>0.2046</v>
      </c>
      <c r="M26" s="18">
        <v>3.1E-2</v>
      </c>
      <c r="N26" s="18">
        <v>0.1676</v>
      </c>
      <c r="O26" s="18">
        <v>5.4899999999999997E-2</v>
      </c>
      <c r="P26" s="18">
        <v>0.46860000000000002</v>
      </c>
      <c r="Q26" s="18">
        <v>8.6800000000000002E-2</v>
      </c>
      <c r="R26" s="18">
        <v>0.71589999999999998</v>
      </c>
      <c r="S26" s="18">
        <v>1.8122</v>
      </c>
      <c r="T26" s="18">
        <v>5.6000000000000001E-2</v>
      </c>
      <c r="U26" s="18">
        <v>0.1479</v>
      </c>
      <c r="V26" s="18">
        <v>0.25440000000000002</v>
      </c>
      <c r="W26" s="18">
        <v>0.47789999999999999</v>
      </c>
      <c r="X26" s="18">
        <v>1.9279999999999999</v>
      </c>
      <c r="Y26" s="18">
        <v>0.32619999999999999</v>
      </c>
      <c r="Z26" s="18">
        <v>9.7000000000000003E-2</v>
      </c>
      <c r="AA26" s="18">
        <v>0.30080000000000001</v>
      </c>
      <c r="AB26" s="18">
        <v>0.1739</v>
      </c>
      <c r="AC26" s="18">
        <v>0.12959999999999999</v>
      </c>
      <c r="AD26" s="18">
        <v>0.5776</v>
      </c>
      <c r="AE26" s="18">
        <v>7.51E-2</v>
      </c>
      <c r="AF26" s="18">
        <v>3.1E-2</v>
      </c>
      <c r="AG26" s="18">
        <v>3.1E-2</v>
      </c>
      <c r="AH26" s="18">
        <v>0.14249999999999999</v>
      </c>
      <c r="AI26" s="18">
        <v>0.13039999999999999</v>
      </c>
      <c r="AJ26" s="18">
        <v>0.1095</v>
      </c>
      <c r="AK26" s="18">
        <v>0.16739999999999999</v>
      </c>
      <c r="AL26" s="18">
        <v>0.1701</v>
      </c>
      <c r="AM26" s="18">
        <v>0.24879999999999999</v>
      </c>
      <c r="AN26" s="18">
        <v>0.28860000000000002</v>
      </c>
      <c r="AO26" s="18">
        <v>0.15040000000000001</v>
      </c>
      <c r="AP26" s="18">
        <v>0.32729999999999998</v>
      </c>
      <c r="AQ26" s="18">
        <v>0.33379999999999999</v>
      </c>
      <c r="AR26" s="18">
        <v>0.24390000000000001</v>
      </c>
      <c r="AS26" s="18">
        <v>0.65249999999999997</v>
      </c>
      <c r="AT26" s="18">
        <v>0.5887</v>
      </c>
      <c r="AU26" s="18">
        <v>0.41270000000000001</v>
      </c>
      <c r="AV26" s="18">
        <v>0.19689999999999999</v>
      </c>
      <c r="AW26" s="18">
        <v>0.1426</v>
      </c>
      <c r="AX26" s="18">
        <v>8.6699999999999999E-2</v>
      </c>
    </row>
    <row r="27" spans="1:50" x14ac:dyDescent="0.25">
      <c r="A27" s="8" t="s">
        <v>84</v>
      </c>
      <c r="B27" s="10" t="s">
        <v>57</v>
      </c>
      <c r="C27" s="16">
        <v>0.60909999999999997</v>
      </c>
      <c r="D27" s="16">
        <v>0.49270000000000003</v>
      </c>
      <c r="E27" s="16">
        <v>3.4000000000000002E-2</v>
      </c>
      <c r="F27" s="16">
        <v>0.2046</v>
      </c>
      <c r="G27" s="16">
        <v>0.10539999999999999</v>
      </c>
      <c r="H27" s="16">
        <v>0.10150000000000001</v>
      </c>
      <c r="I27" s="16">
        <v>0.20860000000000001</v>
      </c>
      <c r="J27" s="16">
        <v>0.10150000000000001</v>
      </c>
      <c r="K27" s="16">
        <v>0.13719999999999999</v>
      </c>
      <c r="L27" s="16">
        <v>0.15790000000000001</v>
      </c>
      <c r="M27" s="16">
        <v>8.0699999999999994E-2</v>
      </c>
      <c r="N27" s="16">
        <v>0.17680000000000001</v>
      </c>
      <c r="O27" s="16">
        <v>3.4000000000000002E-2</v>
      </c>
      <c r="P27" s="16">
        <v>0.10150000000000001</v>
      </c>
      <c r="Q27" s="16">
        <v>0.2006</v>
      </c>
      <c r="R27" s="16">
        <v>0.1019</v>
      </c>
      <c r="S27" s="16">
        <v>4.1500000000000002E-2</v>
      </c>
      <c r="T27" s="16">
        <v>0.46689999999999998</v>
      </c>
      <c r="U27" s="16">
        <v>0.126</v>
      </c>
      <c r="V27" s="16">
        <v>0.1182</v>
      </c>
      <c r="W27" s="16">
        <v>0.2351</v>
      </c>
      <c r="X27" s="16">
        <v>0.31709999999999999</v>
      </c>
      <c r="Y27" s="16">
        <v>0.45610000000000001</v>
      </c>
      <c r="Z27" s="16">
        <v>0.37880000000000003</v>
      </c>
      <c r="AA27" s="16">
        <v>0.49080000000000001</v>
      </c>
      <c r="AB27" s="16">
        <v>0.45950000000000002</v>
      </c>
      <c r="AC27" s="16">
        <v>2.1187</v>
      </c>
      <c r="AD27" s="16">
        <v>2.593</v>
      </c>
      <c r="AE27" s="16">
        <v>1.4258999999999999</v>
      </c>
      <c r="AF27" s="16">
        <v>0.12939999999999999</v>
      </c>
      <c r="AG27" s="16">
        <v>0.41920000000000002</v>
      </c>
      <c r="AH27" s="16">
        <v>0.28149999999999997</v>
      </c>
      <c r="AI27" s="16">
        <v>0.37</v>
      </c>
      <c r="AJ27" s="16">
        <v>8.5000000000000006E-2</v>
      </c>
      <c r="AK27" s="16">
        <v>0.29649999999999999</v>
      </c>
      <c r="AL27" s="16">
        <v>0.3407</v>
      </c>
      <c r="AM27" s="16">
        <v>0.13869999999999999</v>
      </c>
      <c r="AN27" s="16">
        <v>0.40910000000000002</v>
      </c>
      <c r="AO27" s="16">
        <v>0.25740000000000002</v>
      </c>
      <c r="AP27" s="16">
        <v>0.31080000000000002</v>
      </c>
      <c r="AQ27" s="16">
        <v>0.51100000000000001</v>
      </c>
      <c r="AR27" s="16">
        <v>0.3901</v>
      </c>
      <c r="AS27" s="16">
        <v>0.54390000000000005</v>
      </c>
      <c r="AT27" s="16">
        <v>0.22109999999999999</v>
      </c>
      <c r="AU27" s="16">
        <v>0.26069999999999999</v>
      </c>
      <c r="AV27" s="16">
        <v>0.30459999999999998</v>
      </c>
      <c r="AW27" s="16">
        <v>0.25829999999999997</v>
      </c>
      <c r="AX27" s="16">
        <v>0.17680000000000001</v>
      </c>
    </row>
    <row r="28" spans="1:50" x14ac:dyDescent="0.25">
      <c r="A28" s="17" t="s">
        <v>425</v>
      </c>
      <c r="B28" s="13" t="s">
        <v>410</v>
      </c>
      <c r="C28" s="18">
        <v>0.1784</v>
      </c>
      <c r="D28" s="18">
        <v>0.17680000000000001</v>
      </c>
      <c r="E28" s="18">
        <v>8.1299999999999997E-2</v>
      </c>
      <c r="F28" s="18">
        <v>0.1784</v>
      </c>
      <c r="G28" s="18">
        <v>5.3999999999999999E-2</v>
      </c>
      <c r="H28" s="18">
        <v>0.29060000000000002</v>
      </c>
      <c r="I28" s="18">
        <v>9.1899999999999996E-2</v>
      </c>
      <c r="J28" s="18">
        <v>0.1993</v>
      </c>
      <c r="K28" s="18">
        <v>0.1832</v>
      </c>
      <c r="L28" s="18">
        <v>5.3999999999999999E-2</v>
      </c>
      <c r="M28" s="18">
        <v>0.32850000000000001</v>
      </c>
      <c r="N28" s="18">
        <v>5.3999999999999999E-2</v>
      </c>
      <c r="O28" s="18">
        <v>9.7500000000000003E-2</v>
      </c>
      <c r="P28" s="18">
        <v>0.28499999999999998</v>
      </c>
      <c r="Q28" s="18">
        <v>6.6400000000000001E-2</v>
      </c>
      <c r="R28" s="18">
        <v>0.16589999999999999</v>
      </c>
      <c r="S28" s="18">
        <v>0.22559999999999999</v>
      </c>
      <c r="T28" s="18">
        <v>0.62690000000000001</v>
      </c>
      <c r="U28" s="18">
        <v>0.21779999999999999</v>
      </c>
      <c r="V28" s="18">
        <v>0.19769999999999999</v>
      </c>
      <c r="W28" s="18">
        <v>0.1784</v>
      </c>
      <c r="X28" s="18">
        <v>0.2041</v>
      </c>
      <c r="Y28" s="18">
        <v>0.16370000000000001</v>
      </c>
      <c r="Z28" s="18">
        <v>0.3634</v>
      </c>
      <c r="AA28" s="18">
        <v>0.47520000000000001</v>
      </c>
      <c r="AB28" s="18">
        <v>0.34260000000000002</v>
      </c>
      <c r="AC28" s="18">
        <v>0.31680000000000003</v>
      </c>
      <c r="AD28" s="18">
        <v>0.20480000000000001</v>
      </c>
      <c r="AE28" s="18">
        <v>0.64159999999999995</v>
      </c>
      <c r="AF28" s="18">
        <v>0.36409999999999998</v>
      </c>
      <c r="AG28" s="18">
        <v>5.3999999999999999E-2</v>
      </c>
      <c r="AH28" s="18">
        <v>0.32169999999999999</v>
      </c>
      <c r="AI28" s="18">
        <v>6.08E-2</v>
      </c>
      <c r="AJ28" s="18">
        <v>7.4499999999999997E-2</v>
      </c>
      <c r="AK28" s="18">
        <v>0.35549999999999998</v>
      </c>
      <c r="AL28" s="18">
        <v>0.15049999999999999</v>
      </c>
      <c r="AM28" s="18">
        <v>0.1308</v>
      </c>
      <c r="AN28" s="18">
        <v>0.28699999999999998</v>
      </c>
      <c r="AO28" s="18">
        <v>9.7100000000000006E-2</v>
      </c>
      <c r="AP28" s="18">
        <v>0.54039999999999999</v>
      </c>
      <c r="AQ28" s="18">
        <v>0.58950000000000002</v>
      </c>
      <c r="AR28" s="18">
        <v>0.80389999999999995</v>
      </c>
      <c r="AS28" s="18">
        <v>0.59840000000000004</v>
      </c>
      <c r="AT28" s="18">
        <v>0.70309999999999995</v>
      </c>
      <c r="AU28" s="18">
        <v>0.50019999999999998</v>
      </c>
      <c r="AV28" s="18">
        <v>0.27700000000000002</v>
      </c>
      <c r="AW28" s="18">
        <v>0.38790000000000002</v>
      </c>
      <c r="AX28" s="18">
        <v>0.50570000000000004</v>
      </c>
    </row>
    <row r="29" spans="1:50" x14ac:dyDescent="0.25">
      <c r="A29" s="17" t="s">
        <v>427</v>
      </c>
      <c r="B29" s="13" t="s">
        <v>410</v>
      </c>
      <c r="C29" s="18">
        <v>0.159</v>
      </c>
      <c r="D29" s="18">
        <v>5.0999999999999997E-2</v>
      </c>
      <c r="E29" s="18">
        <v>0.17799999999999999</v>
      </c>
      <c r="F29" s="18">
        <v>5.0999999999999997E-2</v>
      </c>
      <c r="G29" s="18">
        <v>7.6399999999999996E-2</v>
      </c>
      <c r="H29" s="18">
        <v>0.15260000000000001</v>
      </c>
      <c r="I29" s="18">
        <v>5.74E-2</v>
      </c>
      <c r="J29" s="18">
        <v>0.17169999999999999</v>
      </c>
      <c r="K29" s="18">
        <v>5.0999999999999997E-2</v>
      </c>
      <c r="L29" s="18">
        <v>0.17799999999999999</v>
      </c>
      <c r="M29" s="18">
        <v>5.0999999999999997E-2</v>
      </c>
      <c r="N29" s="18">
        <v>5.0999999999999997E-2</v>
      </c>
      <c r="O29" s="18">
        <v>0.17799999999999999</v>
      </c>
      <c r="P29" s="18">
        <v>5.0999999999999997E-2</v>
      </c>
      <c r="Q29" s="18">
        <v>0.17799999999999999</v>
      </c>
      <c r="R29" s="18">
        <v>5.0999999999999997E-2</v>
      </c>
      <c r="S29" s="18">
        <v>0.17169999999999999</v>
      </c>
      <c r="T29" s="18">
        <v>5.74E-2</v>
      </c>
      <c r="U29" s="18">
        <v>0.27810000000000001</v>
      </c>
      <c r="V29" s="18">
        <v>0.2656</v>
      </c>
      <c r="W29" s="18">
        <v>0.41770000000000002</v>
      </c>
      <c r="X29" s="18">
        <v>0.22470000000000001</v>
      </c>
      <c r="Y29" s="18">
        <v>0.30509999999999998</v>
      </c>
      <c r="Z29" s="18">
        <v>0.52039999999999997</v>
      </c>
      <c r="AA29" s="18">
        <v>0.51980000000000004</v>
      </c>
      <c r="AB29" s="18">
        <v>7.0099999999999996E-2</v>
      </c>
      <c r="AC29" s="18">
        <v>0.159</v>
      </c>
      <c r="AD29" s="18">
        <v>5.0999999999999997E-2</v>
      </c>
      <c r="AE29" s="18">
        <v>7.6399999999999996E-2</v>
      </c>
      <c r="AF29" s="18">
        <v>0.15260000000000001</v>
      </c>
      <c r="AG29" s="18">
        <v>0.35680000000000001</v>
      </c>
      <c r="AH29" s="18">
        <v>0.51639999999999997</v>
      </c>
      <c r="AI29" s="18">
        <v>0.30099999999999999</v>
      </c>
      <c r="AJ29" s="18">
        <v>0.57399999999999995</v>
      </c>
      <c r="AK29" s="18">
        <v>0.44529999999999997</v>
      </c>
      <c r="AL29" s="18">
        <v>0.34029999999999999</v>
      </c>
      <c r="AM29" s="18">
        <v>0.39729999999999999</v>
      </c>
      <c r="AN29" s="18">
        <v>0.50770000000000004</v>
      </c>
      <c r="AO29" s="18">
        <v>0.47099999999999997</v>
      </c>
      <c r="AP29" s="18">
        <v>0.72430000000000005</v>
      </c>
      <c r="AQ29" s="18">
        <v>1.1031</v>
      </c>
      <c r="AR29" s="18">
        <v>0.7238</v>
      </c>
      <c r="AS29" s="18">
        <v>0.64690000000000003</v>
      </c>
      <c r="AT29" s="18">
        <v>0.50060000000000004</v>
      </c>
      <c r="AU29" s="18">
        <v>0.50360000000000005</v>
      </c>
      <c r="AV29" s="18">
        <v>0.81950000000000001</v>
      </c>
      <c r="AW29" s="18">
        <v>0.29449999999999998</v>
      </c>
      <c r="AX29" s="18">
        <v>0.15260000000000001</v>
      </c>
    </row>
    <row r="30" spans="1:50" x14ac:dyDescent="0.25">
      <c r="A30" s="17" t="s">
        <v>429</v>
      </c>
      <c r="B30" s="13" t="s">
        <v>410</v>
      </c>
      <c r="C30" s="18">
        <v>0.1656</v>
      </c>
      <c r="D30" s="18">
        <v>4.8000000000000001E-2</v>
      </c>
      <c r="E30" s="18">
        <v>0.1656</v>
      </c>
      <c r="F30" s="18">
        <v>4.8000000000000001E-2</v>
      </c>
      <c r="G30" s="18">
        <v>4.8000000000000001E-2</v>
      </c>
      <c r="H30" s="18">
        <v>4.8000000000000001E-2</v>
      </c>
      <c r="I30" s="18">
        <v>0.1656</v>
      </c>
      <c r="J30" s="18">
        <v>4.8000000000000001E-2</v>
      </c>
      <c r="K30" s="18">
        <v>4.8000000000000001E-2</v>
      </c>
      <c r="L30" s="18">
        <v>4.8000000000000001E-2</v>
      </c>
      <c r="M30" s="18">
        <v>0.1303</v>
      </c>
      <c r="N30" s="18">
        <v>8.3299999999999999E-2</v>
      </c>
      <c r="O30" s="18">
        <v>4.8000000000000001E-2</v>
      </c>
      <c r="P30" s="18">
        <v>0.1656</v>
      </c>
      <c r="Q30" s="18">
        <v>6.1400000000000003E-2</v>
      </c>
      <c r="R30" s="18">
        <v>6.6199999999999995E-2</v>
      </c>
      <c r="S30" s="18">
        <v>0.30880000000000002</v>
      </c>
      <c r="T30" s="18">
        <v>0.1244</v>
      </c>
      <c r="U30" s="18">
        <v>9.0200000000000002E-2</v>
      </c>
      <c r="V30" s="18">
        <v>0.1244</v>
      </c>
      <c r="W30" s="18">
        <v>0.26229999999999998</v>
      </c>
      <c r="X30" s="18">
        <v>0.1656</v>
      </c>
      <c r="Y30" s="18">
        <v>4.8000000000000001E-2</v>
      </c>
      <c r="Z30" s="18">
        <v>8.9200000000000002E-2</v>
      </c>
      <c r="AA30" s="18">
        <v>0.1244</v>
      </c>
      <c r="AB30" s="18">
        <v>4.8000000000000001E-2</v>
      </c>
      <c r="AC30" s="18">
        <v>0.1244</v>
      </c>
      <c r="AD30" s="18">
        <v>8.9200000000000002E-2</v>
      </c>
      <c r="AE30" s="18">
        <v>0.11269999999999999</v>
      </c>
      <c r="AF30" s="18">
        <v>0.1009</v>
      </c>
      <c r="AG30" s="18">
        <v>4.8000000000000001E-2</v>
      </c>
      <c r="AH30" s="18">
        <v>0.1656</v>
      </c>
      <c r="AI30" s="18">
        <v>4.8000000000000001E-2</v>
      </c>
      <c r="AJ30" s="18">
        <v>4.8000000000000001E-2</v>
      </c>
      <c r="AK30" s="18">
        <v>0.1918</v>
      </c>
      <c r="AL30" s="18">
        <v>5.9799999999999999E-2</v>
      </c>
      <c r="AM30" s="18">
        <v>4.8000000000000001E-2</v>
      </c>
      <c r="AN30" s="18">
        <v>0.1656</v>
      </c>
      <c r="AO30" s="18">
        <v>0.22589999999999999</v>
      </c>
      <c r="AP30" s="18">
        <v>0.35730000000000001</v>
      </c>
      <c r="AQ30" s="18">
        <v>0.15379999999999999</v>
      </c>
      <c r="AR30" s="18">
        <v>0.12659999999999999</v>
      </c>
      <c r="AS30" s="18">
        <v>0.25879999999999997</v>
      </c>
      <c r="AT30" s="18">
        <v>0.15260000000000001</v>
      </c>
      <c r="AU30" s="18">
        <v>0.19259999999999999</v>
      </c>
      <c r="AV30" s="18">
        <v>0.22470000000000001</v>
      </c>
      <c r="AW30" s="18">
        <v>0.20810000000000001</v>
      </c>
      <c r="AX30" s="18">
        <v>0.2117</v>
      </c>
    </row>
    <row r="31" spans="1:50" x14ac:dyDescent="0.25">
      <c r="A31" s="17" t="s">
        <v>431</v>
      </c>
      <c r="B31" s="13" t="s">
        <v>410</v>
      </c>
      <c r="C31" s="18">
        <v>0.22259999999999999</v>
      </c>
      <c r="D31" s="18">
        <v>0.18479999999999999</v>
      </c>
      <c r="E31" s="18">
        <v>4.7E-2</v>
      </c>
      <c r="F31" s="18">
        <v>9.2899999999999996E-2</v>
      </c>
      <c r="G31" s="18">
        <v>0.16950000000000001</v>
      </c>
      <c r="H31" s="18">
        <v>4.7E-2</v>
      </c>
      <c r="I31" s="18">
        <v>4.7E-2</v>
      </c>
      <c r="J31" s="18">
        <v>9.6600000000000005E-2</v>
      </c>
      <c r="K31" s="18">
        <v>0.17710000000000001</v>
      </c>
      <c r="L31" s="18">
        <v>4.7E-2</v>
      </c>
      <c r="M31" s="18">
        <v>0.21540000000000001</v>
      </c>
      <c r="N31" s="18">
        <v>4.7E-2</v>
      </c>
      <c r="O31" s="18">
        <v>4.7E-2</v>
      </c>
      <c r="P31" s="18">
        <v>6.2600000000000003E-2</v>
      </c>
      <c r="Q31" s="18">
        <v>0.21970000000000001</v>
      </c>
      <c r="R31" s="18">
        <v>0.10059999999999999</v>
      </c>
      <c r="S31" s="18">
        <v>5.4699999999999999E-2</v>
      </c>
      <c r="T31" s="18">
        <v>0.2077</v>
      </c>
      <c r="U31" s="18">
        <v>4.7E-2</v>
      </c>
      <c r="V31" s="18">
        <v>0.71020000000000005</v>
      </c>
      <c r="W31" s="18">
        <v>1.1558999999999999</v>
      </c>
      <c r="X31" s="18">
        <v>1.585</v>
      </c>
      <c r="Y31" s="18">
        <v>1.3018000000000001</v>
      </c>
      <c r="Z31" s="18">
        <v>0.5585</v>
      </c>
      <c r="AA31" s="18">
        <v>0.15409999999999999</v>
      </c>
      <c r="AB31" s="18">
        <v>4.7E-2</v>
      </c>
      <c r="AC31" s="18">
        <v>4.7E-2</v>
      </c>
      <c r="AD31" s="18">
        <v>0.21540000000000001</v>
      </c>
      <c r="AE31" s="18">
        <v>4.7E-2</v>
      </c>
      <c r="AF31" s="18">
        <v>4.7E-2</v>
      </c>
      <c r="AG31" s="18">
        <v>0.2001</v>
      </c>
      <c r="AH31" s="18">
        <v>6.2300000000000001E-2</v>
      </c>
      <c r="AI31" s="18">
        <v>0.15409999999999999</v>
      </c>
      <c r="AJ31" s="18">
        <v>0.1082</v>
      </c>
      <c r="AK31" s="18">
        <v>0.111</v>
      </c>
      <c r="AL31" s="18">
        <v>1.7135</v>
      </c>
      <c r="AM31" s="18">
        <v>8.6499999999999994E-2</v>
      </c>
      <c r="AN31" s="18">
        <v>0.2452</v>
      </c>
      <c r="AO31" s="18">
        <v>0.16619999999999999</v>
      </c>
      <c r="AP31" s="18">
        <v>1.5487</v>
      </c>
      <c r="AQ31" s="18">
        <v>1.623</v>
      </c>
      <c r="AR31" s="18">
        <v>1.054</v>
      </c>
      <c r="AS31" s="18">
        <v>0.66579999999999995</v>
      </c>
      <c r="AT31" s="18">
        <v>0.43109999999999998</v>
      </c>
      <c r="AU31" s="18">
        <v>0.14649999999999999</v>
      </c>
      <c r="AV31" s="18">
        <v>4.7E-2</v>
      </c>
      <c r="AW31" s="18">
        <v>0.18479999999999999</v>
      </c>
      <c r="AX31" s="18">
        <v>7.7600000000000002E-2</v>
      </c>
    </row>
    <row r="32" spans="1:50" x14ac:dyDescent="0.25">
      <c r="A32" s="17" t="s">
        <v>433</v>
      </c>
      <c r="B32" s="13" t="s">
        <v>410</v>
      </c>
      <c r="C32" s="18">
        <v>0.53010000000000002</v>
      </c>
      <c r="D32" s="18">
        <v>0.72670000000000001</v>
      </c>
      <c r="E32" s="18">
        <v>0.12859999999999999</v>
      </c>
      <c r="F32" s="18">
        <v>0.152</v>
      </c>
      <c r="G32" s="18">
        <v>0.1976</v>
      </c>
      <c r="H32" s="18">
        <v>0.129</v>
      </c>
      <c r="I32" s="18">
        <v>0.37269999999999998</v>
      </c>
      <c r="J32" s="18">
        <v>0.50319999999999998</v>
      </c>
      <c r="K32" s="18">
        <v>0.1696</v>
      </c>
      <c r="L32" s="18">
        <v>0.10340000000000001</v>
      </c>
      <c r="M32" s="18">
        <v>0.22059999999999999</v>
      </c>
      <c r="N32" s="18">
        <v>5.1999999999999998E-2</v>
      </c>
      <c r="O32" s="18">
        <v>0.27200000000000002</v>
      </c>
      <c r="P32" s="18">
        <v>7.7700000000000005E-2</v>
      </c>
      <c r="Q32" s="18">
        <v>0.12859999999999999</v>
      </c>
      <c r="R32" s="18">
        <v>0.14399999999999999</v>
      </c>
      <c r="S32" s="18">
        <v>8.2699999999999996E-2</v>
      </c>
      <c r="T32" s="18">
        <v>0.26700000000000002</v>
      </c>
      <c r="U32" s="18">
        <v>0.1255</v>
      </c>
      <c r="V32" s="18">
        <v>0.20660000000000001</v>
      </c>
      <c r="W32" s="18">
        <v>0.2331</v>
      </c>
      <c r="X32" s="18">
        <v>0.62980000000000003</v>
      </c>
      <c r="Y32" s="18">
        <v>0.1996</v>
      </c>
      <c r="Z32" s="18">
        <v>1.5654999999999999</v>
      </c>
      <c r="AA32" s="18">
        <v>0.68049999999999999</v>
      </c>
      <c r="AB32" s="18">
        <v>0.55500000000000005</v>
      </c>
      <c r="AC32" s="18">
        <v>0.22059999999999999</v>
      </c>
      <c r="AD32" s="18">
        <v>0.76400000000000001</v>
      </c>
      <c r="AE32" s="18">
        <v>0.25469999999999998</v>
      </c>
      <c r="AF32" s="18">
        <v>0.39360000000000001</v>
      </c>
      <c r="AG32" s="18">
        <v>7.3400000000000007E-2</v>
      </c>
      <c r="AH32" s="18">
        <v>0.123</v>
      </c>
      <c r="AI32" s="18">
        <v>0.20530000000000001</v>
      </c>
      <c r="AJ32" s="18">
        <v>1.7737000000000001</v>
      </c>
      <c r="AK32" s="18">
        <v>0.70389999999999997</v>
      </c>
      <c r="AL32" s="18">
        <v>0.34210000000000002</v>
      </c>
      <c r="AM32" s="18">
        <v>0.24529999999999999</v>
      </c>
      <c r="AN32" s="18">
        <v>0.4088</v>
      </c>
      <c r="AO32" s="18">
        <v>0.5171</v>
      </c>
      <c r="AP32" s="18">
        <v>0.24729999999999999</v>
      </c>
      <c r="AQ32" s="18">
        <v>0.54769999999999996</v>
      </c>
      <c r="AR32" s="18">
        <v>0.65959999999999996</v>
      </c>
      <c r="AS32" s="18">
        <v>0.21160000000000001</v>
      </c>
      <c r="AT32" s="18">
        <v>0.31929999999999997</v>
      </c>
      <c r="AU32" s="18">
        <v>0.46939999999999998</v>
      </c>
      <c r="AV32" s="18">
        <v>0.15179999999999999</v>
      </c>
      <c r="AW32" s="18">
        <v>0.24310000000000001</v>
      </c>
      <c r="AX32" s="18">
        <v>0.1065</v>
      </c>
    </row>
    <row r="33" spans="1:50" x14ac:dyDescent="0.25">
      <c r="A33" s="8" t="s">
        <v>86</v>
      </c>
      <c r="B33" s="10" t="s">
        <v>57</v>
      </c>
      <c r="C33" s="16">
        <v>5.6000000000000001E-2</v>
      </c>
      <c r="D33" s="16">
        <v>5.6000000000000001E-2</v>
      </c>
      <c r="E33" s="16">
        <v>5.6000000000000001E-2</v>
      </c>
      <c r="F33" s="16">
        <v>5.6000000000000001E-2</v>
      </c>
      <c r="G33" s="16">
        <v>5.6000000000000001E-2</v>
      </c>
      <c r="H33" s="16">
        <v>5.6000000000000001E-2</v>
      </c>
      <c r="I33" s="16">
        <v>5.6000000000000001E-2</v>
      </c>
      <c r="J33" s="16">
        <v>5.6000000000000001E-2</v>
      </c>
      <c r="K33" s="16">
        <v>5.6000000000000001E-2</v>
      </c>
      <c r="L33" s="16">
        <v>5.6000000000000001E-2</v>
      </c>
      <c r="M33" s="16">
        <v>5.6000000000000001E-2</v>
      </c>
      <c r="N33" s="16">
        <v>5.6000000000000001E-2</v>
      </c>
      <c r="O33" s="16">
        <v>5.6000000000000001E-2</v>
      </c>
      <c r="P33" s="16">
        <v>5.6000000000000001E-2</v>
      </c>
      <c r="Q33" s="16">
        <v>5.6000000000000001E-2</v>
      </c>
      <c r="R33" s="16">
        <v>8.4699999999999998E-2</v>
      </c>
      <c r="S33" s="16">
        <v>7.9699999999999993E-2</v>
      </c>
      <c r="T33" s="16">
        <v>5.6000000000000001E-2</v>
      </c>
      <c r="U33" s="16">
        <v>5.6000000000000001E-2</v>
      </c>
      <c r="V33" s="16">
        <v>5.6000000000000001E-2</v>
      </c>
      <c r="W33" s="16">
        <v>5.6000000000000001E-2</v>
      </c>
      <c r="X33" s="16">
        <v>5.6000000000000001E-2</v>
      </c>
      <c r="Y33" s="16">
        <v>5.6000000000000001E-2</v>
      </c>
      <c r="Z33" s="16">
        <v>6.7900000000000002E-2</v>
      </c>
      <c r="AA33" s="16">
        <v>1.3655999999999999</v>
      </c>
      <c r="AB33" s="16">
        <v>0.20050000000000001</v>
      </c>
      <c r="AC33" s="16">
        <v>0.2959</v>
      </c>
      <c r="AD33" s="16">
        <v>0.30520000000000003</v>
      </c>
      <c r="AE33" s="16">
        <v>0.54779999999999995</v>
      </c>
      <c r="AF33" s="16">
        <v>0.26819999999999999</v>
      </c>
      <c r="AG33" s="16">
        <v>0.26200000000000001</v>
      </c>
      <c r="AH33" s="16">
        <v>0.17499999999999999</v>
      </c>
      <c r="AI33" s="16">
        <v>0.11600000000000001</v>
      </c>
      <c r="AJ33" s="16">
        <v>0.10199999999999999</v>
      </c>
      <c r="AK33" s="16">
        <v>6.5500000000000003E-2</v>
      </c>
      <c r="AL33" s="16">
        <v>0.1008</v>
      </c>
      <c r="AM33" s="16">
        <v>0.104</v>
      </c>
      <c r="AN33" s="16">
        <v>0.1108</v>
      </c>
      <c r="AO33" s="16">
        <v>9.1899999999999996E-2</v>
      </c>
      <c r="AP33" s="16">
        <v>0.1542</v>
      </c>
      <c r="AQ33" s="16">
        <v>0.31459999999999999</v>
      </c>
      <c r="AR33" s="16">
        <v>0.29370000000000002</v>
      </c>
      <c r="AS33" s="16">
        <v>0.52329999999999999</v>
      </c>
      <c r="AT33" s="16">
        <v>0.30049999999999999</v>
      </c>
      <c r="AU33" s="16">
        <v>0.31030000000000002</v>
      </c>
      <c r="AV33" s="16">
        <v>0.46339999999999998</v>
      </c>
      <c r="AW33" s="16">
        <v>0.2601</v>
      </c>
      <c r="AX33" s="16">
        <v>0.106</v>
      </c>
    </row>
    <row r="34" spans="1:50" x14ac:dyDescent="0.25">
      <c r="A34" s="17" t="s">
        <v>435</v>
      </c>
      <c r="B34" s="13" t="s">
        <v>410</v>
      </c>
      <c r="C34" s="18">
        <v>0.1799</v>
      </c>
      <c r="D34" s="18">
        <v>4.4999999999999998E-2</v>
      </c>
      <c r="E34" s="18">
        <v>0.21959999999999999</v>
      </c>
      <c r="F34" s="18">
        <v>0.1208</v>
      </c>
      <c r="G34" s="18">
        <v>4.4999999999999998E-2</v>
      </c>
      <c r="H34" s="18">
        <v>0.1482</v>
      </c>
      <c r="I34" s="18">
        <v>0.1164</v>
      </c>
      <c r="J34" s="18">
        <v>0.15160000000000001</v>
      </c>
      <c r="K34" s="18">
        <v>0.1888</v>
      </c>
      <c r="L34" s="18">
        <v>0.1082</v>
      </c>
      <c r="M34" s="18">
        <v>5.7599999999999998E-2</v>
      </c>
      <c r="N34" s="18">
        <v>4.4999999999999998E-2</v>
      </c>
      <c r="O34" s="18">
        <v>0.39589999999999997</v>
      </c>
      <c r="P34" s="18">
        <v>0.2039</v>
      </c>
      <c r="Q34" s="18">
        <v>0.2974</v>
      </c>
      <c r="R34" s="18">
        <v>8.9200000000000002E-2</v>
      </c>
      <c r="S34" s="18">
        <v>0.53059999999999996</v>
      </c>
      <c r="T34" s="18">
        <v>4.4999999999999998E-2</v>
      </c>
      <c r="U34" s="18">
        <v>0.1208</v>
      </c>
      <c r="V34" s="18">
        <v>8.4900000000000003E-2</v>
      </c>
      <c r="W34" s="18">
        <v>0.29160000000000003</v>
      </c>
      <c r="X34" s="18">
        <v>4.4999999999999998E-2</v>
      </c>
      <c r="Y34" s="18">
        <v>0.1444</v>
      </c>
      <c r="Z34" s="18">
        <v>0.19600000000000001</v>
      </c>
      <c r="AA34" s="18">
        <v>4.4999999999999998E-2</v>
      </c>
      <c r="AB34" s="18">
        <v>0.27110000000000001</v>
      </c>
      <c r="AC34" s="18">
        <v>6.93E-2</v>
      </c>
      <c r="AD34" s="18">
        <v>6.1899999999999997E-2</v>
      </c>
      <c r="AE34" s="18">
        <v>0.104</v>
      </c>
      <c r="AF34" s="18">
        <v>0.193</v>
      </c>
      <c r="AG34" s="18">
        <v>0.1474</v>
      </c>
      <c r="AH34" s="18">
        <v>0.25319999999999998</v>
      </c>
      <c r="AI34" s="18">
        <v>0.28120000000000001</v>
      </c>
      <c r="AJ34" s="18">
        <v>0.98350000000000004</v>
      </c>
      <c r="AK34" s="18">
        <v>5.3499999999999999E-2</v>
      </c>
      <c r="AL34" s="18">
        <v>0.28870000000000001</v>
      </c>
      <c r="AM34" s="18">
        <v>0.31230000000000002</v>
      </c>
      <c r="AN34" s="18">
        <v>0.59570000000000001</v>
      </c>
      <c r="AO34" s="18">
        <v>0.66039999999999999</v>
      </c>
      <c r="AP34" s="18">
        <v>0.62060000000000004</v>
      </c>
      <c r="AQ34" s="18">
        <v>0.50509999999999999</v>
      </c>
      <c r="AR34" s="18">
        <v>0.5635</v>
      </c>
      <c r="AS34" s="18">
        <v>0.40139999999999998</v>
      </c>
      <c r="AT34" s="18">
        <v>0.53949999999999998</v>
      </c>
      <c r="AU34" s="18">
        <v>0.876</v>
      </c>
      <c r="AV34" s="18">
        <v>0.58489999999999998</v>
      </c>
      <c r="AW34" s="18">
        <v>0.2954</v>
      </c>
      <c r="AX34" s="18">
        <v>4.4999999999999998E-2</v>
      </c>
    </row>
    <row r="35" spans="1:50" x14ac:dyDescent="0.25">
      <c r="A35" s="8" t="s">
        <v>88</v>
      </c>
      <c r="B35" s="10" t="s">
        <v>57</v>
      </c>
      <c r="C35" s="16">
        <v>0.42949999999999999</v>
      </c>
      <c r="D35" s="16">
        <v>0.7923</v>
      </c>
      <c r="E35" s="16">
        <v>4.4999999999999998E-2</v>
      </c>
      <c r="F35" s="16">
        <v>4.4999999999999998E-2</v>
      </c>
      <c r="G35" s="16">
        <v>0.1431</v>
      </c>
      <c r="H35" s="16">
        <v>0.14050000000000001</v>
      </c>
      <c r="I35" s="16">
        <v>8.9599999999999999E-2</v>
      </c>
      <c r="J35" s="16">
        <v>6.4100000000000004E-2</v>
      </c>
      <c r="K35" s="16">
        <v>0.16589999999999999</v>
      </c>
      <c r="L35" s="16">
        <v>4.4999999999999998E-2</v>
      </c>
      <c r="M35" s="16">
        <v>0.1532</v>
      </c>
      <c r="N35" s="16">
        <v>7.6799999999999993E-2</v>
      </c>
      <c r="O35" s="16">
        <v>8.9599999999999999E-2</v>
      </c>
      <c r="P35" s="16">
        <v>0.14050000000000001</v>
      </c>
      <c r="Q35" s="16">
        <v>4.4999999999999998E-2</v>
      </c>
      <c r="R35" s="16">
        <v>0.16589999999999999</v>
      </c>
      <c r="S35" s="16">
        <v>6.4100000000000004E-2</v>
      </c>
      <c r="T35" s="16">
        <v>4.4999999999999998E-2</v>
      </c>
      <c r="U35" s="16">
        <v>4.4999999999999998E-2</v>
      </c>
      <c r="V35" s="16">
        <v>8.9599999999999999E-2</v>
      </c>
      <c r="W35" s="16">
        <v>0.1938</v>
      </c>
      <c r="X35" s="16">
        <v>0.154</v>
      </c>
      <c r="Y35" s="16">
        <v>0.154</v>
      </c>
      <c r="Z35" s="16">
        <v>0.25169999999999998</v>
      </c>
      <c r="AA35" s="16">
        <v>4.4999999999999998E-2</v>
      </c>
      <c r="AB35" s="16">
        <v>0.185</v>
      </c>
      <c r="AC35" s="16">
        <v>4.4999999999999998E-2</v>
      </c>
      <c r="AD35" s="16">
        <v>7.0499999999999993E-2</v>
      </c>
      <c r="AE35" s="16">
        <v>0.15959999999999999</v>
      </c>
      <c r="AF35" s="16">
        <v>4.4999999999999998E-2</v>
      </c>
      <c r="AG35" s="16">
        <v>0.1961</v>
      </c>
      <c r="AH35" s="16">
        <v>0.32540000000000002</v>
      </c>
      <c r="AI35" s="16">
        <v>1.6161000000000001</v>
      </c>
      <c r="AJ35" s="16">
        <v>0.33539999999999998</v>
      </c>
      <c r="AK35" s="16">
        <v>0.1086</v>
      </c>
      <c r="AL35" s="16">
        <v>4.4999999999999998E-2</v>
      </c>
      <c r="AM35" s="16">
        <v>0.15959999999999999</v>
      </c>
      <c r="AN35" s="16">
        <v>0.13</v>
      </c>
      <c r="AO35" s="16">
        <v>4.4999999999999998E-2</v>
      </c>
      <c r="AP35" s="16">
        <v>0.185</v>
      </c>
      <c r="AQ35" s="16">
        <v>0.1515</v>
      </c>
      <c r="AR35" s="16">
        <v>0.54790000000000005</v>
      </c>
      <c r="AS35" s="16">
        <v>0.50129999999999997</v>
      </c>
      <c r="AT35" s="16">
        <v>0.44219999999999998</v>
      </c>
      <c r="AU35" s="16">
        <v>0.56179999999999997</v>
      </c>
      <c r="AV35" s="16">
        <v>0.75649999999999995</v>
      </c>
      <c r="AW35" s="16">
        <v>0.88109999999999999</v>
      </c>
      <c r="AX35" s="16">
        <v>0.94989999999999997</v>
      </c>
    </row>
    <row r="36" spans="1:50" x14ac:dyDescent="0.25">
      <c r="A36" s="8" t="s">
        <v>90</v>
      </c>
      <c r="B36" s="10" t="s">
        <v>57</v>
      </c>
      <c r="C36" s="16">
        <v>0.30199999999999999</v>
      </c>
      <c r="D36" s="16">
        <v>0.1409</v>
      </c>
      <c r="E36" s="16">
        <v>0.16900000000000001</v>
      </c>
      <c r="F36" s="16">
        <v>5.2999999999999999E-2</v>
      </c>
      <c r="G36" s="16">
        <v>0.1173</v>
      </c>
      <c r="H36" s="16">
        <v>7.1400000000000005E-2</v>
      </c>
      <c r="I36" s="16">
        <v>5.7599999999999998E-2</v>
      </c>
      <c r="J36" s="16">
        <v>0.13109999999999999</v>
      </c>
      <c r="K36" s="16">
        <v>5.2999999999999999E-2</v>
      </c>
      <c r="L36" s="16">
        <v>0.11269999999999999</v>
      </c>
      <c r="M36" s="16">
        <v>7.5999999999999998E-2</v>
      </c>
      <c r="N36" s="16">
        <v>6.2199999999999998E-2</v>
      </c>
      <c r="O36" s="16">
        <v>0.1265</v>
      </c>
      <c r="P36" s="16">
        <v>6.8599999999999994E-2</v>
      </c>
      <c r="Q36" s="16">
        <v>5.7599999999999998E-2</v>
      </c>
      <c r="R36" s="16">
        <v>0.54049999999999998</v>
      </c>
      <c r="S36" s="16">
        <v>0.51880000000000004</v>
      </c>
      <c r="T36" s="16">
        <v>0.35189999999999999</v>
      </c>
      <c r="U36" s="16">
        <v>0.2409</v>
      </c>
      <c r="V36" s="16">
        <v>1.1870000000000001</v>
      </c>
      <c r="W36" s="16">
        <v>0.189</v>
      </c>
      <c r="X36" s="16">
        <v>0.14749999999999999</v>
      </c>
      <c r="Y36" s="16">
        <v>9.4299999999999995E-2</v>
      </c>
      <c r="Z36" s="16">
        <v>9.4299999999999995E-2</v>
      </c>
      <c r="AA36" s="16">
        <v>5.2999999999999999E-2</v>
      </c>
      <c r="AB36" s="16">
        <v>0.11269999999999999</v>
      </c>
      <c r="AC36" s="16">
        <v>7.5999999999999998E-2</v>
      </c>
      <c r="AD36" s="16">
        <v>5.2999999999999999E-2</v>
      </c>
      <c r="AE36" s="16">
        <v>6.6799999999999998E-2</v>
      </c>
      <c r="AF36" s="16">
        <v>0.12189999999999999</v>
      </c>
      <c r="AG36" s="16">
        <v>5.7599999999999998E-2</v>
      </c>
      <c r="AH36" s="16">
        <v>0.2707</v>
      </c>
      <c r="AI36" s="16">
        <v>5.2999999999999999E-2</v>
      </c>
      <c r="AJ36" s="16">
        <v>0.1356</v>
      </c>
      <c r="AK36" s="16">
        <v>0.24579999999999999</v>
      </c>
      <c r="AL36" s="16">
        <v>0.31759999999999999</v>
      </c>
      <c r="AM36" s="16">
        <v>0.22359999999999999</v>
      </c>
      <c r="AN36" s="16">
        <v>0.3755</v>
      </c>
      <c r="AO36" s="16">
        <v>0.3049</v>
      </c>
      <c r="AP36" s="16">
        <v>0.21310000000000001</v>
      </c>
      <c r="AQ36" s="16">
        <v>5.2999999999999999E-2</v>
      </c>
      <c r="AR36" s="16">
        <v>5.2999999999999999E-2</v>
      </c>
      <c r="AS36" s="16">
        <v>5.2999999999999999E-2</v>
      </c>
      <c r="AT36" s="16">
        <v>5.2999999999999999E-2</v>
      </c>
      <c r="AU36" s="16">
        <v>5.2999999999999999E-2</v>
      </c>
      <c r="AV36" s="16">
        <v>0.1356</v>
      </c>
      <c r="AW36" s="16">
        <v>5.2999999999999999E-2</v>
      </c>
      <c r="AX36" s="16">
        <v>0.1356</v>
      </c>
    </row>
    <row r="37" spans="1:50" x14ac:dyDescent="0.25">
      <c r="A37" s="8" t="s">
        <v>92</v>
      </c>
      <c r="B37" s="10" t="s">
        <v>57</v>
      </c>
      <c r="C37" s="16">
        <v>1.0939000000000001</v>
      </c>
      <c r="D37" s="16">
        <v>0.73199999999999998</v>
      </c>
      <c r="E37" s="16">
        <v>1.6231</v>
      </c>
      <c r="F37" s="16">
        <v>0.18540000000000001</v>
      </c>
      <c r="G37" s="16">
        <v>0.10440000000000001</v>
      </c>
      <c r="H37" s="16">
        <v>0.27689999999999998</v>
      </c>
      <c r="I37" s="16">
        <v>0.2162</v>
      </c>
      <c r="J37" s="16">
        <v>4.7E-2</v>
      </c>
      <c r="K37" s="16">
        <v>0.13930000000000001</v>
      </c>
      <c r="L37" s="16">
        <v>0.1239</v>
      </c>
      <c r="M37" s="16">
        <v>4.7E-2</v>
      </c>
      <c r="N37" s="16">
        <v>0.2162</v>
      </c>
      <c r="O37" s="16">
        <v>4.7E-2</v>
      </c>
      <c r="P37" s="16">
        <v>0.1701</v>
      </c>
      <c r="Q37" s="16">
        <v>0.1542</v>
      </c>
      <c r="R37" s="16">
        <v>6.4199999999999993E-2</v>
      </c>
      <c r="S37" s="16">
        <v>8.77E-2</v>
      </c>
      <c r="T37" s="16">
        <v>0.24149999999999999</v>
      </c>
      <c r="U37" s="16">
        <v>0.24260000000000001</v>
      </c>
      <c r="V37" s="16">
        <v>0.05</v>
      </c>
      <c r="W37" s="16">
        <v>5.2900000000000003E-2</v>
      </c>
      <c r="X37" s="16">
        <v>0.11749999999999999</v>
      </c>
      <c r="Y37" s="16">
        <v>0.24590000000000001</v>
      </c>
      <c r="Z37" s="16">
        <v>0.10390000000000001</v>
      </c>
      <c r="AA37" s="16">
        <v>0.1032</v>
      </c>
      <c r="AB37" s="16">
        <v>0.23949999999999999</v>
      </c>
      <c r="AC37" s="16">
        <v>4.9799999999999997E-2</v>
      </c>
      <c r="AD37" s="16">
        <v>0.37230000000000002</v>
      </c>
      <c r="AE37" s="16">
        <v>0.42980000000000002</v>
      </c>
      <c r="AF37" s="16">
        <v>0.1648</v>
      </c>
      <c r="AG37" s="16">
        <v>0.3926</v>
      </c>
      <c r="AH37" s="16">
        <v>0.94389999999999996</v>
      </c>
      <c r="AI37" s="16">
        <v>0.36990000000000001</v>
      </c>
      <c r="AJ37" s="16">
        <v>0.36909999999999998</v>
      </c>
      <c r="AK37" s="16">
        <v>0.2102</v>
      </c>
      <c r="AL37" s="16">
        <v>0.38100000000000001</v>
      </c>
      <c r="AM37" s="16">
        <v>0.32950000000000002</v>
      </c>
      <c r="AN37" s="16">
        <v>0.34060000000000001</v>
      </c>
      <c r="AO37" s="16">
        <v>0.22839999999999999</v>
      </c>
      <c r="AP37" s="16">
        <v>0.2374</v>
      </c>
      <c r="AQ37" s="16">
        <v>0.3679</v>
      </c>
      <c r="AR37" s="16">
        <v>0.20669999999999999</v>
      </c>
      <c r="AS37" s="16">
        <v>0.32690000000000002</v>
      </c>
      <c r="AT37" s="16">
        <v>0.38629999999999998</v>
      </c>
      <c r="AU37" s="16">
        <v>0.27689999999999998</v>
      </c>
      <c r="AV37" s="16">
        <v>0.40579999999999999</v>
      </c>
      <c r="AW37" s="16">
        <v>0.32350000000000001</v>
      </c>
      <c r="AX37" s="16">
        <v>0.1278</v>
      </c>
    </row>
    <row r="38" spans="1:50" x14ac:dyDescent="0.25">
      <c r="A38" s="17" t="s">
        <v>437</v>
      </c>
      <c r="B38" s="13" t="s">
        <v>410</v>
      </c>
      <c r="C38" s="18">
        <v>7.5300000000000006E-2</v>
      </c>
      <c r="D38" s="18">
        <v>0.1308</v>
      </c>
      <c r="E38" s="18">
        <v>0.1744</v>
      </c>
      <c r="F38" s="18">
        <v>0.13</v>
      </c>
      <c r="G38" s="18">
        <v>0.16739999999999999</v>
      </c>
      <c r="H38" s="18">
        <v>0.1333</v>
      </c>
      <c r="I38" s="18">
        <v>7.9899999999999999E-2</v>
      </c>
      <c r="J38" s="18">
        <v>0.1885</v>
      </c>
      <c r="K38" s="18">
        <v>0.14410000000000001</v>
      </c>
      <c r="L38" s="18">
        <v>4.8000000000000001E-2</v>
      </c>
      <c r="M38" s="18">
        <v>0.27050000000000002</v>
      </c>
      <c r="N38" s="18">
        <v>6.2E-2</v>
      </c>
      <c r="O38" s="18">
        <v>6.6199999999999995E-2</v>
      </c>
      <c r="P38" s="18">
        <v>0.2172</v>
      </c>
      <c r="Q38" s="18">
        <v>0.14299999999999999</v>
      </c>
      <c r="R38" s="18">
        <v>7.0900000000000005E-2</v>
      </c>
      <c r="S38" s="18">
        <v>1.3620000000000001</v>
      </c>
      <c r="T38" s="18">
        <v>0.16750000000000001</v>
      </c>
      <c r="U38" s="18">
        <v>1.405</v>
      </c>
      <c r="V38" s="18">
        <v>0.38990000000000002</v>
      </c>
      <c r="W38" s="18">
        <v>9.5100000000000004E-2</v>
      </c>
      <c r="X38" s="18">
        <v>0.31359999999999999</v>
      </c>
      <c r="Y38" s="18">
        <v>1.6800999999999999</v>
      </c>
      <c r="Z38" s="18">
        <v>0.1852</v>
      </c>
      <c r="AA38" s="18">
        <v>0.35360000000000003</v>
      </c>
      <c r="AB38" s="18">
        <v>0.13919999999999999</v>
      </c>
      <c r="AC38" s="18">
        <v>0.1162</v>
      </c>
      <c r="AD38" s="18">
        <v>0.2576</v>
      </c>
      <c r="AE38" s="18">
        <v>0.30499999999999999</v>
      </c>
      <c r="AF38" s="18">
        <v>1.7963</v>
      </c>
      <c r="AG38" s="18">
        <v>0.1552</v>
      </c>
      <c r="AH38" s="18">
        <v>0.3372</v>
      </c>
      <c r="AI38" s="18">
        <v>0.79469999999999996</v>
      </c>
      <c r="AJ38" s="18">
        <v>0.84840000000000004</v>
      </c>
      <c r="AK38" s="18">
        <v>6.2E-2</v>
      </c>
      <c r="AL38" s="18">
        <v>0.22950000000000001</v>
      </c>
      <c r="AM38" s="18">
        <v>0.29930000000000001</v>
      </c>
      <c r="AN38" s="18">
        <v>0.25900000000000001</v>
      </c>
      <c r="AO38" s="18">
        <v>0.18379999999999999</v>
      </c>
      <c r="AP38" s="18">
        <v>0.3382</v>
      </c>
      <c r="AQ38" s="18">
        <v>0.40339999999999998</v>
      </c>
      <c r="AR38" s="18">
        <v>0.1613</v>
      </c>
      <c r="AS38" s="18">
        <v>0.4839</v>
      </c>
      <c r="AT38" s="18">
        <v>0.3876</v>
      </c>
      <c r="AU38" s="18">
        <v>6.9099999999999995E-2</v>
      </c>
      <c r="AV38" s="18">
        <v>0.26350000000000001</v>
      </c>
      <c r="AW38" s="18">
        <v>4.8000000000000001E-2</v>
      </c>
      <c r="AX38" s="18">
        <v>0.20250000000000001</v>
      </c>
    </row>
    <row r="39" spans="1:50" x14ac:dyDescent="0.25">
      <c r="A39" s="8" t="s">
        <v>94</v>
      </c>
      <c r="B39" s="10" t="s">
        <v>57</v>
      </c>
      <c r="C39" s="16">
        <v>0.1129</v>
      </c>
      <c r="D39" s="16">
        <v>0.1129</v>
      </c>
      <c r="E39" s="16">
        <v>8.1299999999999997E-2</v>
      </c>
      <c r="F39" s="16">
        <v>0.14449999999999999</v>
      </c>
      <c r="G39" s="16">
        <v>5.5E-2</v>
      </c>
      <c r="H39" s="16">
        <v>0.1709</v>
      </c>
      <c r="I39" s="16">
        <v>5.5E-2</v>
      </c>
      <c r="J39" s="16">
        <v>5.5E-2</v>
      </c>
      <c r="K39" s="16">
        <v>6.5500000000000003E-2</v>
      </c>
      <c r="L39" s="16">
        <v>0.1603</v>
      </c>
      <c r="M39" s="16">
        <v>5.5E-2</v>
      </c>
      <c r="N39" s="16">
        <v>5.5E-2</v>
      </c>
      <c r="O39" s="16">
        <v>0.20860000000000001</v>
      </c>
      <c r="P39" s="16">
        <v>0.1241</v>
      </c>
      <c r="Q39" s="16">
        <v>0.3019</v>
      </c>
      <c r="R39" s="16">
        <v>0.3977</v>
      </c>
      <c r="S39" s="16">
        <v>1.1259999999999999</v>
      </c>
      <c r="T39" s="16">
        <v>0.7782</v>
      </c>
      <c r="U39" s="16">
        <v>2.1133000000000002</v>
      </c>
      <c r="V39" s="16">
        <v>0.1024</v>
      </c>
      <c r="W39" s="16">
        <v>0.1235</v>
      </c>
      <c r="X39" s="16">
        <v>0.3246</v>
      </c>
      <c r="Y39" s="16">
        <v>0.2457</v>
      </c>
      <c r="Z39" s="16">
        <v>0.2949</v>
      </c>
      <c r="AA39" s="16">
        <v>0.19189999999999999</v>
      </c>
      <c r="AB39" s="16">
        <v>0.27529999999999999</v>
      </c>
      <c r="AC39" s="16">
        <v>0.25359999999999999</v>
      </c>
      <c r="AD39" s="16">
        <v>0.37009999999999998</v>
      </c>
      <c r="AE39" s="16">
        <v>0.4133</v>
      </c>
      <c r="AF39" s="16">
        <v>0.24160000000000001</v>
      </c>
      <c r="AG39" s="16">
        <v>0.40799999999999997</v>
      </c>
      <c r="AH39" s="16">
        <v>3.5594999999999999</v>
      </c>
      <c r="AI39" s="16">
        <v>0.48720000000000002</v>
      </c>
      <c r="AJ39" s="16">
        <v>0.34989999999999999</v>
      </c>
      <c r="AK39" s="16">
        <v>0.19289999999999999</v>
      </c>
      <c r="AL39" s="16">
        <v>7.6999999999999999E-2</v>
      </c>
      <c r="AM39" s="16">
        <v>0.19689999999999999</v>
      </c>
      <c r="AN39" s="16">
        <v>0.15540000000000001</v>
      </c>
      <c r="AO39" s="16">
        <v>0.18970000000000001</v>
      </c>
      <c r="AP39" s="16">
        <v>0.38059999999999999</v>
      </c>
      <c r="AQ39" s="16">
        <v>0.37709999999999999</v>
      </c>
      <c r="AR39" s="16">
        <v>0.47589999999999999</v>
      </c>
      <c r="AS39" s="16">
        <v>1.1061000000000001</v>
      </c>
      <c r="AT39" s="16">
        <v>0.42380000000000001</v>
      </c>
      <c r="AU39" s="16">
        <v>0.66700000000000004</v>
      </c>
      <c r="AV39" s="16">
        <v>1.2154</v>
      </c>
      <c r="AW39" s="16">
        <v>9.1899999999999996E-2</v>
      </c>
      <c r="AX39" s="16">
        <v>0.13400000000000001</v>
      </c>
    </row>
    <row r="40" spans="1:50" x14ac:dyDescent="0.25">
      <c r="A40" s="17" t="s">
        <v>439</v>
      </c>
      <c r="B40" s="13" t="s">
        <v>410</v>
      </c>
      <c r="C40" s="18">
        <v>0.59299999999999997</v>
      </c>
      <c r="D40" s="18">
        <v>0.38350000000000001</v>
      </c>
      <c r="E40" s="18">
        <v>0.55859999999999999</v>
      </c>
      <c r="F40" s="18">
        <v>0.2621</v>
      </c>
      <c r="G40" s="18">
        <v>9.4200000000000006E-2</v>
      </c>
      <c r="H40" s="18">
        <v>0.24360000000000001</v>
      </c>
      <c r="I40" s="18">
        <v>4.5999999999999999E-2</v>
      </c>
      <c r="J40" s="18">
        <v>0.23169999999999999</v>
      </c>
      <c r="K40" s="18">
        <v>0.1061</v>
      </c>
      <c r="L40" s="18">
        <v>0.1183</v>
      </c>
      <c r="M40" s="18">
        <v>0.15040000000000001</v>
      </c>
      <c r="N40" s="18">
        <v>0.1193</v>
      </c>
      <c r="O40" s="18">
        <v>1.4831000000000001</v>
      </c>
      <c r="P40" s="18">
        <v>0.42359999999999998</v>
      </c>
      <c r="Q40" s="18">
        <v>0.29039999999999999</v>
      </c>
      <c r="R40" s="18">
        <v>0.1817</v>
      </c>
      <c r="S40" s="18">
        <v>1.5841000000000001</v>
      </c>
      <c r="T40" s="18">
        <v>0.25119999999999998</v>
      </c>
      <c r="U40" s="18">
        <v>0.15279999999999999</v>
      </c>
      <c r="V40" s="18">
        <v>0.3624</v>
      </c>
      <c r="W40" s="18">
        <v>0.56510000000000005</v>
      </c>
      <c r="X40" s="18">
        <v>2.1663999999999999</v>
      </c>
      <c r="Y40" s="18">
        <v>0.26429999999999998</v>
      </c>
      <c r="Z40" s="18">
        <v>1.6785000000000001</v>
      </c>
      <c r="AA40" s="18">
        <v>0.3664</v>
      </c>
      <c r="AB40" s="18">
        <v>1.7572000000000001</v>
      </c>
      <c r="AC40" s="18">
        <v>0.47560000000000002</v>
      </c>
      <c r="AD40" s="18">
        <v>0.48859999999999998</v>
      </c>
      <c r="AE40" s="18">
        <v>0.54110000000000003</v>
      </c>
      <c r="AF40" s="18">
        <v>0.22500000000000001</v>
      </c>
      <c r="AG40" s="18">
        <v>0.39860000000000001</v>
      </c>
      <c r="AH40" s="18">
        <v>0.34470000000000001</v>
      </c>
      <c r="AI40" s="18">
        <v>0.3165</v>
      </c>
      <c r="AJ40" s="18">
        <v>0.40289999999999998</v>
      </c>
      <c r="AK40" s="18">
        <v>0.2034</v>
      </c>
      <c r="AL40" s="18">
        <v>0.255</v>
      </c>
      <c r="AM40" s="18">
        <v>0.29849999999999999</v>
      </c>
      <c r="AN40" s="18">
        <v>0.21820000000000001</v>
      </c>
      <c r="AO40" s="18">
        <v>0.25369999999999998</v>
      </c>
      <c r="AP40" s="18">
        <v>0.42370000000000002</v>
      </c>
      <c r="AQ40" s="18">
        <v>0.62939999999999996</v>
      </c>
      <c r="AR40" s="18">
        <v>0.49399999999999999</v>
      </c>
      <c r="AS40" s="18">
        <v>0.55649999999999999</v>
      </c>
      <c r="AT40" s="18">
        <v>0.68540000000000001</v>
      </c>
      <c r="AU40" s="18">
        <v>0.73399999999999999</v>
      </c>
      <c r="AV40" s="18">
        <v>0.89949999999999997</v>
      </c>
      <c r="AW40" s="18">
        <v>0.77010000000000001</v>
      </c>
      <c r="AX40" s="18">
        <v>0.1633</v>
      </c>
    </row>
    <row r="41" spans="1:50" x14ac:dyDescent="0.25">
      <c r="A41" s="8" t="s">
        <v>96</v>
      </c>
      <c r="B41" s="10" t="s">
        <v>57</v>
      </c>
      <c r="C41" s="16">
        <v>0.127</v>
      </c>
      <c r="D41" s="16">
        <v>3.5999999999999997E-2</v>
      </c>
      <c r="E41" s="16">
        <v>0.1056</v>
      </c>
      <c r="F41" s="16">
        <v>6.2799999999999995E-2</v>
      </c>
      <c r="G41" s="16">
        <v>3.5999999999999997E-2</v>
      </c>
      <c r="H41" s="16">
        <v>5.21E-2</v>
      </c>
      <c r="I41" s="16">
        <v>0.1163</v>
      </c>
      <c r="J41" s="16">
        <v>3.5999999999999997E-2</v>
      </c>
      <c r="K41" s="16">
        <v>3.5999999999999997E-2</v>
      </c>
      <c r="L41" s="16">
        <v>0.1002</v>
      </c>
      <c r="M41" s="16">
        <v>6.8099999999999994E-2</v>
      </c>
      <c r="N41" s="16">
        <v>3.5999999999999997E-2</v>
      </c>
      <c r="O41" s="16">
        <v>0.13239999999999999</v>
      </c>
      <c r="P41" s="16">
        <v>3.5999999999999997E-2</v>
      </c>
      <c r="Q41" s="16">
        <v>0.21959999999999999</v>
      </c>
      <c r="R41" s="16">
        <v>3.5999999999999997E-2</v>
      </c>
      <c r="S41" s="16">
        <v>0.13239999999999999</v>
      </c>
      <c r="T41" s="16">
        <v>3.5999999999999997E-2</v>
      </c>
      <c r="U41" s="16">
        <v>0.13239999999999999</v>
      </c>
      <c r="V41" s="16">
        <v>3.5999999999999997E-2</v>
      </c>
      <c r="W41" s="16">
        <v>3.5999999999999997E-2</v>
      </c>
      <c r="X41" s="16">
        <v>0.29699999999999999</v>
      </c>
      <c r="Y41" s="16">
        <v>1.1652</v>
      </c>
      <c r="Z41" s="16">
        <v>0.84260000000000002</v>
      </c>
      <c r="AA41" s="16">
        <v>1.3369</v>
      </c>
      <c r="AB41" s="16">
        <v>3.5999999999999997E-2</v>
      </c>
      <c r="AC41" s="16">
        <v>0.13239999999999999</v>
      </c>
      <c r="AD41" s="16">
        <v>3.5999999999999997E-2</v>
      </c>
      <c r="AE41" s="16">
        <v>0.1056</v>
      </c>
      <c r="AF41" s="16">
        <v>6.2799999999999995E-2</v>
      </c>
      <c r="AG41" s="16">
        <v>0.13239999999999999</v>
      </c>
      <c r="AH41" s="16">
        <v>3.5999999999999997E-2</v>
      </c>
      <c r="AI41" s="16">
        <v>5.21E-2</v>
      </c>
      <c r="AJ41" s="16">
        <v>0.1163</v>
      </c>
      <c r="AK41" s="16">
        <v>3.5999999999999997E-2</v>
      </c>
      <c r="AL41" s="16">
        <v>0.127</v>
      </c>
      <c r="AM41" s="16">
        <v>4.1399999999999999E-2</v>
      </c>
      <c r="AN41" s="16">
        <v>3.5999999999999997E-2</v>
      </c>
      <c r="AO41" s="16">
        <v>3.5999999999999997E-2</v>
      </c>
      <c r="AP41" s="16">
        <v>0.1404</v>
      </c>
      <c r="AQ41" s="16">
        <v>0.2555</v>
      </c>
      <c r="AR41" s="16">
        <v>1.0564</v>
      </c>
      <c r="AS41" s="16">
        <v>1.0471999999999999</v>
      </c>
      <c r="AT41" s="16">
        <v>0.53659999999999997</v>
      </c>
      <c r="AU41" s="16">
        <v>0.78410000000000002</v>
      </c>
      <c r="AV41" s="16">
        <v>0.4022</v>
      </c>
      <c r="AW41" s="16">
        <v>0.129</v>
      </c>
      <c r="AX41" s="16">
        <v>3.5999999999999997E-2</v>
      </c>
    </row>
    <row r="42" spans="1:50" x14ac:dyDescent="0.25">
      <c r="A42" s="17" t="s">
        <v>441</v>
      </c>
      <c r="B42" s="13" t="s">
        <v>410</v>
      </c>
      <c r="C42" s="18">
        <v>0.96120000000000005</v>
      </c>
      <c r="D42" s="18">
        <v>0.81889999999999996</v>
      </c>
      <c r="E42" s="18">
        <v>0.67010000000000003</v>
      </c>
      <c r="F42" s="18">
        <v>0.35930000000000001</v>
      </c>
      <c r="G42" s="18">
        <v>0.52780000000000005</v>
      </c>
      <c r="H42" s="18">
        <v>0.39</v>
      </c>
      <c r="I42" s="18">
        <v>0.30840000000000001</v>
      </c>
      <c r="J42" s="18">
        <v>1.1998</v>
      </c>
      <c r="K42" s="18">
        <v>0.1033</v>
      </c>
      <c r="L42" s="18">
        <v>5.3999999999999999E-2</v>
      </c>
      <c r="M42" s="18">
        <v>0.11559999999999999</v>
      </c>
      <c r="N42" s="18">
        <v>6.6299999999999998E-2</v>
      </c>
      <c r="O42" s="18">
        <v>7.0400000000000004E-2</v>
      </c>
      <c r="P42" s="18">
        <v>0.2039</v>
      </c>
      <c r="Q42" s="18">
        <v>7.4499999999999997E-2</v>
      </c>
      <c r="R42" s="18">
        <v>0.1074</v>
      </c>
      <c r="S42" s="18">
        <v>9.0999999999999998E-2</v>
      </c>
      <c r="T42" s="18">
        <v>9.0999999999999998E-2</v>
      </c>
      <c r="U42" s="18">
        <v>5.3999999999999999E-2</v>
      </c>
      <c r="V42" s="18">
        <v>5.3999999999999999E-2</v>
      </c>
      <c r="W42" s="18">
        <v>5.3999999999999999E-2</v>
      </c>
      <c r="X42" s="18">
        <v>0.128</v>
      </c>
      <c r="Y42" s="18">
        <v>0.31580000000000003</v>
      </c>
      <c r="Z42" s="18">
        <v>0.34379999999999999</v>
      </c>
      <c r="AA42" s="18">
        <v>0.73080000000000001</v>
      </c>
      <c r="AB42" s="18">
        <v>0.15540000000000001</v>
      </c>
      <c r="AC42" s="18">
        <v>0.1699</v>
      </c>
      <c r="AD42" s="18">
        <v>5.3999999999999999E-2</v>
      </c>
      <c r="AE42" s="18">
        <v>8.7099999999999997E-2</v>
      </c>
      <c r="AF42" s="18">
        <v>0.22620000000000001</v>
      </c>
      <c r="AG42" s="18">
        <v>0.25219999999999998</v>
      </c>
      <c r="AH42" s="18">
        <v>0.1782</v>
      </c>
      <c r="AI42" s="18">
        <v>1.0596000000000001</v>
      </c>
      <c r="AJ42" s="18">
        <v>0.8014</v>
      </c>
      <c r="AK42" s="18">
        <v>0.39479999999999998</v>
      </c>
      <c r="AL42" s="18">
        <v>0.2006</v>
      </c>
      <c r="AM42" s="18">
        <v>0.2999</v>
      </c>
      <c r="AN42" s="18">
        <v>0.21049999999999999</v>
      </c>
      <c r="AO42" s="18">
        <v>0.23760000000000001</v>
      </c>
      <c r="AP42" s="18">
        <v>0.45379999999999998</v>
      </c>
      <c r="AQ42" s="18">
        <v>1.3285</v>
      </c>
      <c r="AR42" s="18">
        <v>1.8637999999999999</v>
      </c>
      <c r="AS42" s="18">
        <v>0.42470000000000002</v>
      </c>
      <c r="AT42" s="18">
        <v>0.37530000000000002</v>
      </c>
      <c r="AU42" s="18">
        <v>0.56989999999999996</v>
      </c>
      <c r="AV42" s="18">
        <v>0.53710000000000002</v>
      </c>
      <c r="AW42" s="18">
        <v>0.36130000000000001</v>
      </c>
      <c r="AX42" s="18">
        <v>0.17460000000000001</v>
      </c>
    </row>
    <row r="43" spans="1:50" x14ac:dyDescent="0.25">
      <c r="A43" s="8" t="s">
        <v>98</v>
      </c>
      <c r="B43" s="10" t="s">
        <v>57</v>
      </c>
      <c r="C43" s="16">
        <v>0.05</v>
      </c>
      <c r="D43" s="16">
        <v>0.17100000000000001</v>
      </c>
      <c r="E43" s="16">
        <v>0.16350000000000001</v>
      </c>
      <c r="F43" s="16">
        <v>0.23089999999999999</v>
      </c>
      <c r="G43" s="16">
        <v>0.47339999999999999</v>
      </c>
      <c r="H43" s="16">
        <v>0.2205</v>
      </c>
      <c r="I43" s="16">
        <v>0.42870000000000003</v>
      </c>
      <c r="J43" s="16">
        <v>0.1489</v>
      </c>
      <c r="K43" s="16">
        <v>0.1774</v>
      </c>
      <c r="L43" s="16">
        <v>6.2700000000000006E-2</v>
      </c>
      <c r="M43" s="16">
        <v>0.23730000000000001</v>
      </c>
      <c r="N43" s="16">
        <v>0.12640000000000001</v>
      </c>
      <c r="O43" s="16">
        <v>0.1736</v>
      </c>
      <c r="P43" s="16">
        <v>0.19950000000000001</v>
      </c>
      <c r="Q43" s="16">
        <v>1.1793</v>
      </c>
      <c r="R43" s="16">
        <v>1.6956</v>
      </c>
      <c r="S43" s="16">
        <v>1.5696000000000001</v>
      </c>
      <c r="T43" s="16">
        <v>0.59719999999999995</v>
      </c>
      <c r="U43" s="16">
        <v>0.6179</v>
      </c>
      <c r="V43" s="16">
        <v>0.2868</v>
      </c>
      <c r="W43" s="16">
        <v>0.39960000000000001</v>
      </c>
      <c r="X43" s="16">
        <v>1.3549</v>
      </c>
      <c r="Y43" s="16">
        <v>0.18729999999999999</v>
      </c>
      <c r="Z43" s="16">
        <v>0.23760000000000001</v>
      </c>
      <c r="AA43" s="16">
        <v>0.17150000000000001</v>
      </c>
      <c r="AB43" s="16">
        <v>0.28239999999999998</v>
      </c>
      <c r="AC43" s="16">
        <v>0.25719999999999998</v>
      </c>
      <c r="AD43" s="16">
        <v>0.4234</v>
      </c>
      <c r="AE43" s="16">
        <v>0.50570000000000004</v>
      </c>
      <c r="AF43" s="16">
        <v>0.27629999999999999</v>
      </c>
      <c r="AG43" s="16">
        <v>0.46939999999999998</v>
      </c>
      <c r="AH43" s="16">
        <v>0.1527</v>
      </c>
      <c r="AI43" s="16">
        <v>1.6656</v>
      </c>
      <c r="AJ43" s="16">
        <v>1.2486999999999999</v>
      </c>
      <c r="AK43" s="16">
        <v>0.9829</v>
      </c>
      <c r="AL43" s="16">
        <v>1.1827000000000001</v>
      </c>
      <c r="AM43" s="16">
        <v>0.30549999999999999</v>
      </c>
      <c r="AN43" s="16">
        <v>0.2487</v>
      </c>
      <c r="AO43" s="16">
        <v>0.34060000000000001</v>
      </c>
      <c r="AP43" s="16">
        <v>0.2394</v>
      </c>
      <c r="AQ43" s="16">
        <v>0.33750000000000002</v>
      </c>
      <c r="AR43" s="16">
        <v>8.8200000000000001E-2</v>
      </c>
      <c r="AS43" s="16">
        <v>0.32050000000000001</v>
      </c>
      <c r="AT43" s="16">
        <v>0.2412</v>
      </c>
      <c r="AU43" s="16">
        <v>0.42299999999999999</v>
      </c>
      <c r="AV43" s="16">
        <v>0.43480000000000002</v>
      </c>
      <c r="AW43" s="16">
        <v>0.371</v>
      </c>
      <c r="AX43" s="16">
        <v>0.312</v>
      </c>
    </row>
    <row r="44" spans="1:50" x14ac:dyDescent="0.25">
      <c r="A44" s="8" t="s">
        <v>100</v>
      </c>
      <c r="B44" s="10" t="s">
        <v>57</v>
      </c>
      <c r="C44" s="16">
        <v>0.13170000000000001</v>
      </c>
      <c r="D44" s="16">
        <v>0.17649999999999999</v>
      </c>
      <c r="E44" s="16">
        <v>0.23849999999999999</v>
      </c>
      <c r="F44" s="16">
        <v>0.1055</v>
      </c>
      <c r="G44" s="16">
        <v>7.7700000000000005E-2</v>
      </c>
      <c r="H44" s="16">
        <v>0.29649999999999999</v>
      </c>
      <c r="I44" s="16">
        <v>6.7500000000000004E-2</v>
      </c>
      <c r="J44" s="16">
        <v>0.245</v>
      </c>
      <c r="K44" s="16">
        <v>0.2225</v>
      </c>
      <c r="L44" s="16">
        <v>5.2999999999999999E-2</v>
      </c>
      <c r="M44" s="16">
        <v>0.29949999999999999</v>
      </c>
      <c r="N44" s="16">
        <v>8.9200000000000002E-2</v>
      </c>
      <c r="O44" s="16">
        <v>6.5299999999999997E-2</v>
      </c>
      <c r="P44" s="16">
        <v>0.3846</v>
      </c>
      <c r="Q44" s="16">
        <v>7.0499999999999993E-2</v>
      </c>
      <c r="R44" s="16">
        <v>0.21199999999999999</v>
      </c>
      <c r="S44" s="16">
        <v>0.2248</v>
      </c>
      <c r="T44" s="16">
        <v>0.2029</v>
      </c>
      <c r="U44" s="16">
        <v>1.8478000000000001</v>
      </c>
      <c r="V44" s="16">
        <v>0.24779999999999999</v>
      </c>
      <c r="W44" s="16">
        <v>0.26829999999999998</v>
      </c>
      <c r="X44" s="16">
        <v>0.45119999999999999</v>
      </c>
      <c r="Y44" s="16">
        <v>0.1459</v>
      </c>
      <c r="Z44" s="16">
        <v>0.1181</v>
      </c>
      <c r="AA44" s="16">
        <v>0.27060000000000001</v>
      </c>
      <c r="AB44" s="16">
        <v>5.2999999999999999E-2</v>
      </c>
      <c r="AC44" s="16">
        <v>5.2999999999999999E-2</v>
      </c>
      <c r="AD44" s="16">
        <v>8.9800000000000005E-2</v>
      </c>
      <c r="AE44" s="16">
        <v>0.26179999999999998</v>
      </c>
      <c r="AF44" s="16">
        <v>0.16880000000000001</v>
      </c>
      <c r="AG44" s="16">
        <v>5.2999999999999999E-2</v>
      </c>
      <c r="AH44" s="16">
        <v>0.15029999999999999</v>
      </c>
      <c r="AI44" s="16">
        <v>0.15790000000000001</v>
      </c>
      <c r="AJ44" s="16">
        <v>0.1181</v>
      </c>
      <c r="AK44" s="16">
        <v>0.2258</v>
      </c>
      <c r="AL44" s="16">
        <v>5.2999999999999999E-2</v>
      </c>
      <c r="AM44" s="16">
        <v>9.2399999999999996E-2</v>
      </c>
      <c r="AN44" s="16">
        <v>0.37509999999999999</v>
      </c>
      <c r="AO44" s="16">
        <v>5.2999999999999999E-2</v>
      </c>
      <c r="AP44" s="16">
        <v>5.2999999999999999E-2</v>
      </c>
      <c r="AQ44" s="16">
        <v>0.3342</v>
      </c>
      <c r="AR44" s="16">
        <v>0.1333</v>
      </c>
      <c r="AS44" s="16">
        <v>0.13170000000000001</v>
      </c>
      <c r="AT44" s="16">
        <v>0.24890000000000001</v>
      </c>
      <c r="AU44" s="16">
        <v>0.188</v>
      </c>
      <c r="AV44" s="16">
        <v>8.3599999999999994E-2</v>
      </c>
      <c r="AW44" s="16">
        <v>0.2427</v>
      </c>
      <c r="AX44" s="16">
        <v>0.2248</v>
      </c>
    </row>
    <row r="45" spans="1:50" x14ac:dyDescent="0.25">
      <c r="A45" s="8" t="s">
        <v>102</v>
      </c>
      <c r="B45" s="10" t="s">
        <v>57</v>
      </c>
      <c r="C45" s="16">
        <v>0.12720000000000001</v>
      </c>
      <c r="D45" s="16">
        <v>0.20899999999999999</v>
      </c>
      <c r="E45" s="16">
        <v>0.14430000000000001</v>
      </c>
      <c r="F45" s="16">
        <v>0.1076</v>
      </c>
      <c r="G45" s="16">
        <v>0.16600000000000001</v>
      </c>
      <c r="H45" s="16">
        <v>0.1237</v>
      </c>
      <c r="I45" s="16">
        <v>0.12909999999999999</v>
      </c>
      <c r="J45" s="16">
        <v>4.5999999999999999E-2</v>
      </c>
      <c r="K45" s="16">
        <v>0.1153</v>
      </c>
      <c r="L45" s="16">
        <v>4.5999999999999999E-2</v>
      </c>
      <c r="M45" s="16">
        <v>0.28349999999999997</v>
      </c>
      <c r="N45" s="16">
        <v>0.151</v>
      </c>
      <c r="O45" s="16">
        <v>6.7100000000000007E-2</v>
      </c>
      <c r="P45" s="16">
        <v>0.29809999999999998</v>
      </c>
      <c r="Q45" s="16">
        <v>0.26869999999999999</v>
      </c>
      <c r="R45" s="16">
        <v>0.33529999999999999</v>
      </c>
      <c r="S45" s="16">
        <v>0.17530000000000001</v>
      </c>
      <c r="T45" s="16">
        <v>0.18379999999999999</v>
      </c>
      <c r="U45" s="16">
        <v>0.2268</v>
      </c>
      <c r="V45" s="16">
        <v>0.29380000000000001</v>
      </c>
      <c r="W45" s="16">
        <v>0.70079999999999998</v>
      </c>
      <c r="X45" s="16">
        <v>0.63629999999999998</v>
      </c>
      <c r="Y45" s="16">
        <v>0.42199999999999999</v>
      </c>
      <c r="Z45" s="16">
        <v>0.3624</v>
      </c>
      <c r="AA45" s="16">
        <v>7.0999999999999994E-2</v>
      </c>
      <c r="AB45" s="16">
        <v>0.30919999999999997</v>
      </c>
      <c r="AC45" s="16">
        <v>0.28449999999999998</v>
      </c>
      <c r="AD45" s="16">
        <v>0.25240000000000001</v>
      </c>
      <c r="AE45" s="16">
        <v>0.1807</v>
      </c>
      <c r="AF45" s="16">
        <v>6.9699999999999998E-2</v>
      </c>
      <c r="AG45" s="16">
        <v>0.27350000000000002</v>
      </c>
      <c r="AH45" s="16">
        <v>0.13730000000000001</v>
      </c>
      <c r="AI45" s="16">
        <v>0.19170000000000001</v>
      </c>
      <c r="AJ45" s="16">
        <v>0.35260000000000002</v>
      </c>
      <c r="AK45" s="16">
        <v>0.54859999999999998</v>
      </c>
      <c r="AL45" s="16">
        <v>2.7269000000000001</v>
      </c>
      <c r="AM45" s="16">
        <v>2.7342</v>
      </c>
      <c r="AN45" s="16">
        <v>0.69820000000000004</v>
      </c>
      <c r="AO45" s="16">
        <v>0.31140000000000001</v>
      </c>
      <c r="AP45" s="16">
        <v>0.2122</v>
      </c>
      <c r="AQ45" s="16">
        <v>0.40589999999999998</v>
      </c>
      <c r="AR45" s="16">
        <v>0.54490000000000005</v>
      </c>
      <c r="AS45" s="16">
        <v>0.25369999999999998</v>
      </c>
      <c r="AT45" s="16">
        <v>0.57799999999999996</v>
      </c>
      <c r="AU45" s="16">
        <v>0.40610000000000002</v>
      </c>
      <c r="AV45" s="16">
        <v>0.53029999999999999</v>
      </c>
      <c r="AW45" s="16">
        <v>0.19550000000000001</v>
      </c>
      <c r="AX45" s="16">
        <v>0.21790000000000001</v>
      </c>
    </row>
    <row r="46" spans="1:50" x14ac:dyDescent="0.25">
      <c r="A46" s="8" t="s">
        <v>104</v>
      </c>
      <c r="B46" s="10" t="s">
        <v>57</v>
      </c>
      <c r="C46" s="16">
        <v>0.21360000000000001</v>
      </c>
      <c r="D46" s="16">
        <v>4.2999999999999997E-2</v>
      </c>
      <c r="E46" s="16">
        <v>4.2999999999999997E-2</v>
      </c>
      <c r="F46" s="16">
        <v>9.7299999999999998E-2</v>
      </c>
      <c r="G46" s="16">
        <v>0.1593</v>
      </c>
      <c r="H46" s="16">
        <v>4.2999999999999997E-2</v>
      </c>
      <c r="I46" s="16">
        <v>8.9499999999999996E-2</v>
      </c>
      <c r="J46" s="16">
        <v>0.1671</v>
      </c>
      <c r="K46" s="16">
        <v>4.2999999999999997E-2</v>
      </c>
      <c r="L46" s="16">
        <v>4.2999999999999997E-2</v>
      </c>
      <c r="M46" s="16">
        <v>9.7299999999999998E-2</v>
      </c>
      <c r="N46" s="16">
        <v>0.1593</v>
      </c>
      <c r="O46" s="16">
        <v>4.2999999999999997E-2</v>
      </c>
      <c r="P46" s="16">
        <v>0.21360000000000001</v>
      </c>
      <c r="Q46" s="16">
        <v>4.2999999999999997E-2</v>
      </c>
      <c r="R46" s="16">
        <v>7.2599999999999998E-2</v>
      </c>
      <c r="S46" s="16">
        <v>0.28239999999999998</v>
      </c>
      <c r="T46" s="16">
        <v>0.22120000000000001</v>
      </c>
      <c r="U46" s="16">
        <v>8.7800000000000003E-2</v>
      </c>
      <c r="V46" s="16">
        <v>0.34770000000000001</v>
      </c>
      <c r="W46" s="16">
        <v>0.19409999999999999</v>
      </c>
      <c r="X46" s="16">
        <v>0.12759999999999999</v>
      </c>
      <c r="Y46" s="16">
        <v>0.29559999999999997</v>
      </c>
      <c r="Z46" s="16">
        <v>0.27050000000000002</v>
      </c>
      <c r="AA46" s="16">
        <v>0.1394</v>
      </c>
      <c r="AB46" s="16">
        <v>0.1671</v>
      </c>
      <c r="AC46" s="16">
        <v>4.2999999999999997E-2</v>
      </c>
      <c r="AD46" s="16">
        <v>0.21759999999999999</v>
      </c>
      <c r="AE46" s="16">
        <v>4.2999999999999997E-2</v>
      </c>
      <c r="AF46" s="16">
        <v>7.0800000000000002E-2</v>
      </c>
      <c r="AG46" s="16">
        <v>0.1206</v>
      </c>
      <c r="AH46" s="16">
        <v>0.1361</v>
      </c>
      <c r="AI46" s="16">
        <v>0.3357</v>
      </c>
      <c r="AJ46" s="16">
        <v>0.31950000000000001</v>
      </c>
      <c r="AK46" s="16">
        <v>0.49</v>
      </c>
      <c r="AL46" s="16">
        <v>0.1147</v>
      </c>
      <c r="AM46" s="16">
        <v>0.29260000000000003</v>
      </c>
      <c r="AN46" s="16">
        <v>0.62070000000000003</v>
      </c>
      <c r="AO46" s="16">
        <v>0.69279999999999997</v>
      </c>
      <c r="AP46" s="16">
        <v>0.5272</v>
      </c>
      <c r="AQ46" s="16">
        <v>0.73029999999999995</v>
      </c>
      <c r="AR46" s="16">
        <v>1.0217000000000001</v>
      </c>
      <c r="AS46" s="16">
        <v>0.90610000000000002</v>
      </c>
      <c r="AT46" s="16">
        <v>0.60089999999999999</v>
      </c>
      <c r="AU46" s="16">
        <v>0.67049999999999998</v>
      </c>
      <c r="AV46" s="16">
        <v>0.83099999999999996</v>
      </c>
      <c r="AW46" s="16">
        <v>0.99950000000000006</v>
      </c>
      <c r="AX46" s="16">
        <v>0.65069999999999995</v>
      </c>
    </row>
    <row r="47" spans="1:50" x14ac:dyDescent="0.25">
      <c r="A47" s="8" t="s">
        <v>106</v>
      </c>
      <c r="B47" s="10" t="s">
        <v>57</v>
      </c>
      <c r="C47" s="16">
        <v>0.17280000000000001</v>
      </c>
      <c r="D47" s="16">
        <v>0.14879999999999999</v>
      </c>
      <c r="E47" s="16">
        <v>0.1515</v>
      </c>
      <c r="F47" s="16">
        <v>0.26219999999999999</v>
      </c>
      <c r="G47" s="16">
        <v>0.15790000000000001</v>
      </c>
      <c r="H47" s="16">
        <v>0.1852</v>
      </c>
      <c r="I47" s="16">
        <v>0.16830000000000001</v>
      </c>
      <c r="J47" s="16">
        <v>5.2999999999999999E-2</v>
      </c>
      <c r="K47" s="16">
        <v>0.1215</v>
      </c>
      <c r="L47" s="16">
        <v>0.1709</v>
      </c>
      <c r="M47" s="16">
        <v>0.1807</v>
      </c>
      <c r="N47" s="16">
        <v>0.17280000000000001</v>
      </c>
      <c r="O47" s="16">
        <v>0.24729999999999999</v>
      </c>
      <c r="P47" s="16">
        <v>5.2999999999999999E-2</v>
      </c>
      <c r="Q47" s="16">
        <v>0.30059999999999998</v>
      </c>
      <c r="R47" s="16">
        <v>0.33539999999999998</v>
      </c>
      <c r="S47" s="16">
        <v>1.2371000000000001</v>
      </c>
      <c r="T47" s="16">
        <v>0.30159999999999998</v>
      </c>
      <c r="U47" s="16">
        <v>0.39319999999999999</v>
      </c>
      <c r="V47" s="16">
        <v>0.3972</v>
      </c>
      <c r="W47" s="16">
        <v>0.33679999999999999</v>
      </c>
      <c r="X47" s="16">
        <v>1.0621</v>
      </c>
      <c r="Y47" s="16">
        <v>0.66249999999999998</v>
      </c>
      <c r="Z47" s="16">
        <v>0.3886</v>
      </c>
      <c r="AA47" s="16">
        <v>9.2899999999999996E-2</v>
      </c>
      <c r="AB47" s="16">
        <v>0.23200000000000001</v>
      </c>
      <c r="AC47" s="16">
        <v>0.17430000000000001</v>
      </c>
      <c r="AD47" s="16">
        <v>0.37919999999999998</v>
      </c>
      <c r="AE47" s="16">
        <v>0.1691</v>
      </c>
      <c r="AF47" s="16">
        <v>0.35549999999999998</v>
      </c>
      <c r="AG47" s="16">
        <v>0.1618</v>
      </c>
      <c r="AH47" s="16">
        <v>0.27029999999999998</v>
      </c>
      <c r="AI47" s="16">
        <v>0.32290000000000002</v>
      </c>
      <c r="AJ47" s="16">
        <v>0.2858</v>
      </c>
      <c r="AK47" s="16">
        <v>0.32729999999999998</v>
      </c>
      <c r="AL47" s="16">
        <v>0.1983</v>
      </c>
      <c r="AM47" s="16">
        <v>1.6876</v>
      </c>
      <c r="AN47" s="16">
        <v>0.2883</v>
      </c>
      <c r="AO47" s="16">
        <v>0.2392</v>
      </c>
      <c r="AP47" s="16">
        <v>0.73529999999999995</v>
      </c>
      <c r="AQ47" s="16">
        <v>1.6555</v>
      </c>
      <c r="AR47" s="16">
        <v>2.2482000000000002</v>
      </c>
      <c r="AS47" s="16">
        <v>0.91500000000000004</v>
      </c>
      <c r="AT47" s="16">
        <v>0.65690000000000004</v>
      </c>
      <c r="AU47" s="16">
        <v>1.542</v>
      </c>
      <c r="AV47" s="16">
        <v>0.74529999999999996</v>
      </c>
      <c r="AW47" s="16">
        <v>0.62929999999999997</v>
      </c>
      <c r="AX47" s="16">
        <v>0.69210000000000005</v>
      </c>
    </row>
    <row r="48" spans="1:50" x14ac:dyDescent="0.25">
      <c r="A48" s="8" t="s">
        <v>108</v>
      </c>
      <c r="B48" s="10" t="s">
        <v>57</v>
      </c>
      <c r="C48" s="16">
        <v>0.26140000000000002</v>
      </c>
      <c r="D48" s="16">
        <v>0.15040000000000001</v>
      </c>
      <c r="E48" s="16">
        <v>9.1600000000000001E-2</v>
      </c>
      <c r="F48" s="16">
        <v>0.31909999999999999</v>
      </c>
      <c r="G48" s="16">
        <v>5.8799999999999998E-2</v>
      </c>
      <c r="H48" s="16">
        <v>0.34699999999999998</v>
      </c>
      <c r="I48" s="16">
        <v>6.8500000000000005E-2</v>
      </c>
      <c r="J48" s="16">
        <v>0.2293</v>
      </c>
      <c r="K48" s="16">
        <v>0.18609999999999999</v>
      </c>
      <c r="L48" s="16">
        <v>0.124</v>
      </c>
      <c r="M48" s="16">
        <v>0.25380000000000003</v>
      </c>
      <c r="N48" s="16">
        <v>0.12790000000000001</v>
      </c>
      <c r="O48" s="16">
        <v>0.19370000000000001</v>
      </c>
      <c r="P48" s="16">
        <v>0.18540000000000001</v>
      </c>
      <c r="Q48" s="16">
        <v>0.21560000000000001</v>
      </c>
      <c r="R48" s="16">
        <v>1.0153000000000001</v>
      </c>
      <c r="S48" s="16">
        <v>0.39029999999999998</v>
      </c>
      <c r="T48" s="16">
        <v>0.14599999999999999</v>
      </c>
      <c r="U48" s="16">
        <v>0.15040000000000001</v>
      </c>
      <c r="V48" s="16">
        <v>5.3999999999999999E-2</v>
      </c>
      <c r="W48" s="16">
        <v>0.16750000000000001</v>
      </c>
      <c r="X48" s="16">
        <v>0.29530000000000001</v>
      </c>
      <c r="Y48" s="16">
        <v>0.18559999999999999</v>
      </c>
      <c r="Z48" s="16">
        <v>0.4612</v>
      </c>
      <c r="AA48" s="16">
        <v>0.11899999999999999</v>
      </c>
      <c r="AB48" s="16">
        <v>0.1229</v>
      </c>
      <c r="AC48" s="16">
        <v>0.39510000000000001</v>
      </c>
      <c r="AD48" s="16">
        <v>5.3999999999999999E-2</v>
      </c>
      <c r="AE48" s="16">
        <v>0.25490000000000002</v>
      </c>
      <c r="AF48" s="16">
        <v>0.51659999999999995</v>
      </c>
      <c r="AG48" s="16">
        <v>0.6905</v>
      </c>
      <c r="AH48" s="16">
        <v>0.3861</v>
      </c>
      <c r="AI48" s="16">
        <v>0.7</v>
      </c>
      <c r="AJ48" s="16">
        <v>0.67830000000000001</v>
      </c>
      <c r="AK48" s="16">
        <v>1.6195999999999999</v>
      </c>
      <c r="AL48" s="16">
        <v>4.2910000000000004</v>
      </c>
      <c r="AM48" s="16">
        <v>2.5453000000000001</v>
      </c>
      <c r="AN48" s="16">
        <v>0.1406</v>
      </c>
      <c r="AO48" s="16">
        <v>0.4521</v>
      </c>
      <c r="AP48" s="16">
        <v>0.77229999999999999</v>
      </c>
      <c r="AQ48" s="16">
        <v>0.57879999999999998</v>
      </c>
      <c r="AR48" s="16">
        <v>1.4948999999999999</v>
      </c>
      <c r="AS48" s="16">
        <v>0.56979999999999997</v>
      </c>
      <c r="AT48" s="16">
        <v>0.28310000000000002</v>
      </c>
      <c r="AU48" s="16">
        <v>0.16769999999999999</v>
      </c>
      <c r="AV48" s="16">
        <v>9.4799999999999995E-2</v>
      </c>
      <c r="AW48" s="16">
        <v>0.32069999999999999</v>
      </c>
      <c r="AX48" s="16">
        <v>5.3999999999999999E-2</v>
      </c>
    </row>
    <row r="49" spans="1:50" x14ac:dyDescent="0.25">
      <c r="A49" s="17" t="s">
        <v>443</v>
      </c>
      <c r="B49" s="13" t="s">
        <v>410</v>
      </c>
      <c r="C49" s="18">
        <v>0.18329999999999999</v>
      </c>
      <c r="D49" s="18">
        <v>0.2404</v>
      </c>
      <c r="E49" s="18">
        <v>0.1517</v>
      </c>
      <c r="F49" s="18">
        <v>0.223</v>
      </c>
      <c r="G49" s="18">
        <v>0.1409</v>
      </c>
      <c r="H49" s="18">
        <v>0.1484</v>
      </c>
      <c r="I49" s="18">
        <v>0.27889999999999998</v>
      </c>
      <c r="J49" s="18">
        <v>4.5999999999999999E-2</v>
      </c>
      <c r="K49" s="18">
        <v>0.14449999999999999</v>
      </c>
      <c r="L49" s="18">
        <v>0.21290000000000001</v>
      </c>
      <c r="M49" s="18">
        <v>6.93E-2</v>
      </c>
      <c r="N49" s="18">
        <v>0.28210000000000002</v>
      </c>
      <c r="O49" s="18">
        <v>0.12180000000000001</v>
      </c>
      <c r="P49" s="18">
        <v>0.1522</v>
      </c>
      <c r="Q49" s="18">
        <v>0.26740000000000003</v>
      </c>
      <c r="R49" s="18">
        <v>0.34760000000000002</v>
      </c>
      <c r="S49" s="18">
        <v>0.44519999999999998</v>
      </c>
      <c r="T49" s="18">
        <v>1.1229</v>
      </c>
      <c r="U49" s="18">
        <v>0.37969999999999998</v>
      </c>
      <c r="V49" s="18">
        <v>0.31140000000000001</v>
      </c>
      <c r="W49" s="18">
        <v>0.43190000000000001</v>
      </c>
      <c r="X49" s="18">
        <v>1.1413</v>
      </c>
      <c r="Y49" s="18">
        <v>0.44840000000000002</v>
      </c>
      <c r="Z49" s="18">
        <v>7.7100000000000002E-2</v>
      </c>
      <c r="AA49" s="18">
        <v>0.29820000000000002</v>
      </c>
      <c r="AB49" s="18">
        <v>9.8000000000000004E-2</v>
      </c>
      <c r="AC49" s="18">
        <v>5.3600000000000002E-2</v>
      </c>
      <c r="AD49" s="18">
        <v>0.31540000000000001</v>
      </c>
      <c r="AE49" s="18">
        <v>0.1042</v>
      </c>
      <c r="AF49" s="18">
        <v>0.13109999999999999</v>
      </c>
      <c r="AG49" s="18">
        <v>0.29609999999999997</v>
      </c>
      <c r="AH49" s="18">
        <v>4.5999999999999999E-2</v>
      </c>
      <c r="AI49" s="18">
        <v>0.47039999999999998</v>
      </c>
      <c r="AJ49" s="18">
        <v>0.17860000000000001</v>
      </c>
      <c r="AK49" s="18">
        <v>0.1123</v>
      </c>
      <c r="AL49" s="18">
        <v>0.249</v>
      </c>
      <c r="AM49" s="18">
        <v>0.28289999999999998</v>
      </c>
      <c r="AN49" s="18">
        <v>0.19670000000000001</v>
      </c>
      <c r="AO49" s="18">
        <v>0.25769999999999998</v>
      </c>
      <c r="AP49" s="18">
        <v>0.45760000000000001</v>
      </c>
      <c r="AQ49" s="18">
        <v>1.0054000000000001</v>
      </c>
      <c r="AR49" s="18">
        <v>0.72729999999999995</v>
      </c>
      <c r="AS49" s="18">
        <v>0.96930000000000005</v>
      </c>
      <c r="AT49" s="18">
        <v>0.59570000000000001</v>
      </c>
      <c r="AU49" s="18">
        <v>1.7250000000000001</v>
      </c>
      <c r="AV49" s="18">
        <v>0.70799999999999996</v>
      </c>
      <c r="AW49" s="18">
        <v>0.52629999999999999</v>
      </c>
      <c r="AX49" s="18">
        <v>0.53210000000000002</v>
      </c>
    </row>
    <row r="50" spans="1:50" x14ac:dyDescent="0.25">
      <c r="A50" s="8" t="s">
        <v>110</v>
      </c>
      <c r="B50" s="10" t="s">
        <v>57</v>
      </c>
      <c r="C50" s="16">
        <v>0.18629999999999999</v>
      </c>
      <c r="D50" s="16">
        <v>0.1472</v>
      </c>
      <c r="E50" s="16">
        <v>0.17319999999999999</v>
      </c>
      <c r="F50" s="16">
        <v>0.2747</v>
      </c>
      <c r="G50" s="16">
        <v>5.1999999999999998E-2</v>
      </c>
      <c r="H50" s="16">
        <v>8.5699999999999998E-2</v>
      </c>
      <c r="I50" s="16">
        <v>0.24970000000000001</v>
      </c>
      <c r="J50" s="16">
        <v>8.77E-2</v>
      </c>
      <c r="K50" s="16">
        <v>0.26840000000000003</v>
      </c>
      <c r="L50" s="16">
        <v>0.17949999999999999</v>
      </c>
      <c r="M50" s="16">
        <v>0.15970000000000001</v>
      </c>
      <c r="N50" s="16">
        <v>0.16070000000000001</v>
      </c>
      <c r="O50" s="16">
        <v>0.17949999999999999</v>
      </c>
      <c r="P50" s="16">
        <v>0.22570000000000001</v>
      </c>
      <c r="Q50" s="16">
        <v>0.15679999999999999</v>
      </c>
      <c r="R50" s="16">
        <v>0.1444</v>
      </c>
      <c r="S50" s="16">
        <v>0.25</v>
      </c>
      <c r="T50" s="16">
        <v>5.1999999999999998E-2</v>
      </c>
      <c r="U50" s="16">
        <v>0.2001</v>
      </c>
      <c r="V50" s="16">
        <v>6.3899999999999998E-2</v>
      </c>
      <c r="W50" s="16">
        <v>0.31979999999999997</v>
      </c>
      <c r="X50" s="16">
        <v>0.1162</v>
      </c>
      <c r="Y50" s="16">
        <v>0.17100000000000001</v>
      </c>
      <c r="Z50" s="16">
        <v>0.18659999999999999</v>
      </c>
      <c r="AA50" s="16">
        <v>0.17849999999999999</v>
      </c>
      <c r="AB50" s="16">
        <v>5.8000000000000003E-2</v>
      </c>
      <c r="AC50" s="16">
        <v>0.26600000000000001</v>
      </c>
      <c r="AD50" s="16">
        <v>0.18190000000000001</v>
      </c>
      <c r="AE50" s="16">
        <v>5.1999999999999998E-2</v>
      </c>
      <c r="AF50" s="16">
        <v>0.39589999999999997</v>
      </c>
      <c r="AG50" s="16">
        <v>1.2573000000000001</v>
      </c>
      <c r="AH50" s="16">
        <v>0.61639999999999995</v>
      </c>
      <c r="AI50" s="16">
        <v>0.9556</v>
      </c>
      <c r="AJ50" s="16">
        <v>1.5565</v>
      </c>
      <c r="AK50" s="16">
        <v>1.9743999999999999</v>
      </c>
      <c r="AL50" s="16">
        <v>1.5019</v>
      </c>
      <c r="AM50" s="16">
        <v>0.437</v>
      </c>
      <c r="AN50" s="16">
        <v>0.20180000000000001</v>
      </c>
      <c r="AO50" s="16">
        <v>0.18479999999999999</v>
      </c>
      <c r="AP50" s="16">
        <v>0.20930000000000001</v>
      </c>
      <c r="AQ50" s="16">
        <v>0.18659999999999999</v>
      </c>
      <c r="AR50" s="16">
        <v>0.1966</v>
      </c>
      <c r="AS50" s="16">
        <v>0.25130000000000002</v>
      </c>
      <c r="AT50" s="16">
        <v>9.0399999999999994E-2</v>
      </c>
      <c r="AU50" s="16">
        <v>0.2094</v>
      </c>
      <c r="AV50" s="16">
        <v>0.22620000000000001</v>
      </c>
      <c r="AW50" s="16">
        <v>0.1027</v>
      </c>
      <c r="AX50" s="16">
        <v>5.6300000000000003E-2</v>
      </c>
    </row>
    <row r="51" spans="1:50" x14ac:dyDescent="0.25">
      <c r="A51" s="8" t="s">
        <v>112</v>
      </c>
      <c r="B51" s="10" t="s">
        <v>57</v>
      </c>
      <c r="C51" s="16">
        <v>0.61309999999999998</v>
      </c>
      <c r="D51" s="16">
        <v>0.2</v>
      </c>
      <c r="E51" s="16">
        <v>4.7E-2</v>
      </c>
      <c r="F51" s="16">
        <v>0.25659999999999999</v>
      </c>
      <c r="G51" s="16">
        <v>6.1199999999999997E-2</v>
      </c>
      <c r="H51" s="16">
        <v>0.115</v>
      </c>
      <c r="I51" s="16">
        <v>4.7E-2</v>
      </c>
      <c r="J51" s="16">
        <v>0.17169999999999999</v>
      </c>
      <c r="K51" s="16">
        <v>0.14610000000000001</v>
      </c>
      <c r="L51" s="16">
        <v>0.1075</v>
      </c>
      <c r="M51" s="16">
        <v>0.13950000000000001</v>
      </c>
      <c r="N51" s="16">
        <v>0.18579999999999999</v>
      </c>
      <c r="O51" s="16">
        <v>4.7E-2</v>
      </c>
      <c r="P51" s="16">
        <v>0.19289999999999999</v>
      </c>
      <c r="Q51" s="16">
        <v>0.1249</v>
      </c>
      <c r="R51" s="16">
        <v>4.7E-2</v>
      </c>
      <c r="S51" s="16">
        <v>0.23039999999999999</v>
      </c>
      <c r="T51" s="16">
        <v>0.38719999999999999</v>
      </c>
      <c r="U51" s="16">
        <v>0.24340000000000001</v>
      </c>
      <c r="V51" s="16">
        <v>0.2359</v>
      </c>
      <c r="W51" s="16">
        <v>0.31240000000000001</v>
      </c>
      <c r="X51" s="16">
        <v>0.25290000000000001</v>
      </c>
      <c r="Y51" s="16">
        <v>0.18729999999999999</v>
      </c>
      <c r="Z51" s="16">
        <v>0.1787</v>
      </c>
      <c r="AA51" s="16">
        <v>9.6600000000000005E-2</v>
      </c>
      <c r="AB51" s="16">
        <v>0.24460000000000001</v>
      </c>
      <c r="AC51" s="16">
        <v>1.2986</v>
      </c>
      <c r="AD51" s="16">
        <v>0.25469999999999998</v>
      </c>
      <c r="AE51" s="16">
        <v>0.1046</v>
      </c>
      <c r="AF51" s="16">
        <v>0.2979</v>
      </c>
      <c r="AG51" s="16">
        <v>0.26640000000000003</v>
      </c>
      <c r="AH51" s="16">
        <v>4.7E-2</v>
      </c>
      <c r="AI51" s="16">
        <v>0.12920000000000001</v>
      </c>
      <c r="AJ51" s="16">
        <v>0.18859999999999999</v>
      </c>
      <c r="AK51" s="16">
        <v>6.9900000000000004E-2</v>
      </c>
      <c r="AL51" s="16">
        <v>0.121</v>
      </c>
      <c r="AM51" s="16">
        <v>6.5100000000000005E-2</v>
      </c>
      <c r="AN51" s="16">
        <v>0.34899999999999998</v>
      </c>
      <c r="AO51" s="16">
        <v>0.11890000000000001</v>
      </c>
      <c r="AP51" s="16">
        <v>0.37869999999999998</v>
      </c>
      <c r="AQ51" s="16">
        <v>0.24060000000000001</v>
      </c>
      <c r="AR51" s="16">
        <v>0.65880000000000005</v>
      </c>
      <c r="AS51" s="16">
        <v>0.3029</v>
      </c>
      <c r="AT51" s="16">
        <v>0.32069999999999999</v>
      </c>
      <c r="AU51" s="16">
        <v>0.14610000000000001</v>
      </c>
      <c r="AV51" s="16">
        <v>4.7E-2</v>
      </c>
      <c r="AW51" s="16">
        <v>0.1075</v>
      </c>
      <c r="AX51" s="16">
        <v>5.4600000000000003E-2</v>
      </c>
    </row>
    <row r="52" spans="1:50" x14ac:dyDescent="0.25">
      <c r="A52" s="17" t="s">
        <v>445</v>
      </c>
      <c r="B52" s="13" t="s">
        <v>410</v>
      </c>
      <c r="C52" s="18">
        <v>7.2700000000000001E-2</v>
      </c>
      <c r="D52" s="18">
        <v>0.1196</v>
      </c>
      <c r="E52" s="18">
        <v>9.1499999999999998E-2</v>
      </c>
      <c r="F52" s="18">
        <v>0.16830000000000001</v>
      </c>
      <c r="G52" s="18">
        <v>0.1515</v>
      </c>
      <c r="H52" s="18">
        <v>0.13830000000000001</v>
      </c>
      <c r="I52" s="18">
        <v>0.20399999999999999</v>
      </c>
      <c r="J52" s="18">
        <v>0.1346</v>
      </c>
      <c r="K52" s="18">
        <v>0.17019999999999999</v>
      </c>
      <c r="L52" s="18">
        <v>0.1215</v>
      </c>
      <c r="M52" s="18">
        <v>0.1065</v>
      </c>
      <c r="N52" s="18">
        <v>0.16650000000000001</v>
      </c>
      <c r="O52" s="18">
        <v>5.3999999999999999E-2</v>
      </c>
      <c r="P52" s="18">
        <v>0.21149999999999999</v>
      </c>
      <c r="Q52" s="18">
        <v>6.1499999999999999E-2</v>
      </c>
      <c r="R52" s="18">
        <v>7.2700000000000001E-2</v>
      </c>
      <c r="S52" s="18">
        <v>0.29580000000000001</v>
      </c>
      <c r="T52" s="18">
        <v>0.48770000000000002</v>
      </c>
      <c r="U52" s="18">
        <v>0.25190000000000001</v>
      </c>
      <c r="V52" s="18">
        <v>0.27439999999999998</v>
      </c>
      <c r="W52" s="18">
        <v>0.37490000000000001</v>
      </c>
      <c r="X52" s="18">
        <v>1.6141000000000001</v>
      </c>
      <c r="Y52" s="18">
        <v>0.39340000000000003</v>
      </c>
      <c r="Z52" s="18">
        <v>0.58640000000000003</v>
      </c>
      <c r="AA52" s="18">
        <v>1.4141999999999999</v>
      </c>
      <c r="AB52" s="18">
        <v>0.87439999999999996</v>
      </c>
      <c r="AC52" s="18">
        <v>0.41909999999999997</v>
      </c>
      <c r="AD52" s="18">
        <v>0.31190000000000001</v>
      </c>
      <c r="AE52" s="18">
        <v>0.2326</v>
      </c>
      <c r="AF52" s="18">
        <v>0.34710000000000002</v>
      </c>
      <c r="AG52" s="18">
        <v>0.1149</v>
      </c>
      <c r="AH52" s="18">
        <v>0.23769999999999999</v>
      </c>
      <c r="AI52" s="18">
        <v>0.21249999999999999</v>
      </c>
      <c r="AJ52" s="18">
        <v>0.23749999999999999</v>
      </c>
      <c r="AK52" s="18">
        <v>0.19</v>
      </c>
      <c r="AL52" s="18">
        <v>0.13650000000000001</v>
      </c>
      <c r="AM52" s="18">
        <v>0.1149</v>
      </c>
      <c r="AN52" s="18">
        <v>0.21240000000000001</v>
      </c>
      <c r="AO52" s="18">
        <v>0.8871</v>
      </c>
      <c r="AP52" s="18">
        <v>0.4017</v>
      </c>
      <c r="AQ52" s="18">
        <v>0.4929</v>
      </c>
      <c r="AR52" s="18">
        <v>0.49790000000000001</v>
      </c>
      <c r="AS52" s="18">
        <v>0.5161</v>
      </c>
      <c r="AT52" s="18">
        <v>0.45579999999999998</v>
      </c>
      <c r="AU52" s="18">
        <v>0.77649999999999997</v>
      </c>
      <c r="AV52" s="18">
        <v>2.1796000000000002</v>
      </c>
      <c r="AW52" s="18">
        <v>0.45989999999999998</v>
      </c>
      <c r="AX52" s="18">
        <v>0.13239999999999999</v>
      </c>
    </row>
    <row r="53" spans="1:50" x14ac:dyDescent="0.25">
      <c r="A53" s="8" t="s">
        <v>114</v>
      </c>
      <c r="B53" s="10" t="s">
        <v>57</v>
      </c>
      <c r="C53" s="16">
        <v>0.1648</v>
      </c>
      <c r="D53" s="16">
        <v>5.6800000000000003E-2</v>
      </c>
      <c r="E53" s="16">
        <v>2.5999999999999999E-2</v>
      </c>
      <c r="F53" s="16">
        <v>0.23169999999999999</v>
      </c>
      <c r="G53" s="16">
        <v>6.7199999999999996E-2</v>
      </c>
      <c r="H53" s="16">
        <v>2.5999999999999999E-2</v>
      </c>
      <c r="I53" s="16">
        <v>2.5999999999999999E-2</v>
      </c>
      <c r="J53" s="16">
        <v>0.23430000000000001</v>
      </c>
      <c r="K53" s="16">
        <v>6.4600000000000005E-2</v>
      </c>
      <c r="L53" s="16">
        <v>2.5999999999999999E-2</v>
      </c>
      <c r="M53" s="16">
        <v>2.5999999999999999E-2</v>
      </c>
      <c r="N53" s="16">
        <v>0.18790000000000001</v>
      </c>
      <c r="O53" s="16">
        <v>0.111</v>
      </c>
      <c r="P53" s="16">
        <v>0.12620000000000001</v>
      </c>
      <c r="Q53" s="16">
        <v>0.4975</v>
      </c>
      <c r="R53" s="16">
        <v>0.14599999999999999</v>
      </c>
      <c r="S53" s="16">
        <v>0.64649999999999996</v>
      </c>
      <c r="T53" s="16">
        <v>0.52990000000000004</v>
      </c>
      <c r="U53" s="16">
        <v>0.55840000000000001</v>
      </c>
      <c r="V53" s="16">
        <v>0.74839999999999995</v>
      </c>
      <c r="W53" s="16">
        <v>0.54530000000000001</v>
      </c>
      <c r="X53" s="16">
        <v>0.41570000000000001</v>
      </c>
      <c r="Y53" s="16">
        <v>0.23400000000000001</v>
      </c>
      <c r="Z53" s="16">
        <v>0.32719999999999999</v>
      </c>
      <c r="AA53" s="16">
        <v>0.21279999999999999</v>
      </c>
      <c r="AB53" s="16">
        <v>0.35120000000000001</v>
      </c>
      <c r="AC53" s="16">
        <v>1.7433000000000001</v>
      </c>
      <c r="AD53" s="16">
        <v>1.2534000000000001</v>
      </c>
      <c r="AE53" s="16">
        <v>0.1956</v>
      </c>
      <c r="AF53" s="16">
        <v>2.5999999999999999E-2</v>
      </c>
      <c r="AG53" s="16">
        <v>0.18720000000000001</v>
      </c>
      <c r="AH53" s="16">
        <v>0.11169999999999999</v>
      </c>
      <c r="AI53" s="16">
        <v>9.9000000000000005E-2</v>
      </c>
      <c r="AJ53" s="16">
        <v>0.19989999999999999</v>
      </c>
      <c r="AK53" s="16">
        <v>2.5999999999999999E-2</v>
      </c>
      <c r="AL53" s="16">
        <v>0.122</v>
      </c>
      <c r="AM53" s="16">
        <v>0.1769</v>
      </c>
      <c r="AN53" s="16">
        <v>4.7500000000000001E-2</v>
      </c>
      <c r="AO53" s="16">
        <v>0.25140000000000001</v>
      </c>
      <c r="AP53" s="16">
        <v>7.3200000000000001E-2</v>
      </c>
      <c r="AQ53" s="16">
        <v>5.6000000000000001E-2</v>
      </c>
      <c r="AR53" s="16">
        <v>0.2437</v>
      </c>
      <c r="AS53" s="16">
        <v>0.16969999999999999</v>
      </c>
      <c r="AT53" s="16">
        <v>0.22220000000000001</v>
      </c>
      <c r="AU53" s="16">
        <v>1.3685</v>
      </c>
      <c r="AV53" s="16">
        <v>0.63119999999999998</v>
      </c>
      <c r="AW53" s="16">
        <v>0.45490000000000003</v>
      </c>
      <c r="AX53" s="16">
        <v>0.14199999999999999</v>
      </c>
    </row>
    <row r="54" spans="1:50" x14ac:dyDescent="0.25">
      <c r="A54" s="17" t="s">
        <v>447</v>
      </c>
      <c r="B54" s="13" t="s">
        <v>410</v>
      </c>
      <c r="C54" s="18">
        <v>0.2336</v>
      </c>
      <c r="D54" s="18">
        <v>0.1361</v>
      </c>
      <c r="E54" s="18">
        <v>5.8999999999999997E-2</v>
      </c>
      <c r="F54" s="18">
        <v>0.20039999999999999</v>
      </c>
      <c r="G54" s="18">
        <v>5.8999999999999997E-2</v>
      </c>
      <c r="H54" s="18">
        <v>0.1104</v>
      </c>
      <c r="I54" s="18">
        <v>0.14899999999999999</v>
      </c>
      <c r="J54" s="18">
        <v>5.8999999999999997E-2</v>
      </c>
      <c r="K54" s="18">
        <v>0.20039999999999999</v>
      </c>
      <c r="L54" s="18">
        <v>5.8999999999999997E-2</v>
      </c>
      <c r="M54" s="18">
        <v>0.1875</v>
      </c>
      <c r="N54" s="18">
        <v>7.1900000000000006E-2</v>
      </c>
      <c r="O54" s="18">
        <v>5.8999999999999997E-2</v>
      </c>
      <c r="P54" s="18">
        <v>5.8999999999999997E-2</v>
      </c>
      <c r="Q54" s="18">
        <v>0.24429999999999999</v>
      </c>
      <c r="R54" s="18">
        <v>0.29959999999999998</v>
      </c>
      <c r="S54" s="18">
        <v>0.24329999999999999</v>
      </c>
      <c r="T54" s="18">
        <v>0.3589</v>
      </c>
      <c r="U54" s="18">
        <v>0.23219999999999999</v>
      </c>
      <c r="V54" s="18">
        <v>0.2923</v>
      </c>
      <c r="W54" s="18">
        <v>0.90149999999999997</v>
      </c>
      <c r="X54" s="18">
        <v>0.54649999999999999</v>
      </c>
      <c r="Y54" s="18">
        <v>0.16830000000000001</v>
      </c>
      <c r="Z54" s="18">
        <v>9.11E-2</v>
      </c>
      <c r="AA54" s="18">
        <v>0.12970000000000001</v>
      </c>
      <c r="AB54" s="18">
        <v>0.12970000000000001</v>
      </c>
      <c r="AC54" s="18">
        <v>5.8999999999999997E-2</v>
      </c>
      <c r="AD54" s="18">
        <v>5.8999999999999997E-2</v>
      </c>
      <c r="AE54" s="18">
        <v>0.2329</v>
      </c>
      <c r="AF54" s="18">
        <v>0.2898</v>
      </c>
      <c r="AG54" s="18">
        <v>7.3800000000000004E-2</v>
      </c>
      <c r="AH54" s="18">
        <v>0.3493</v>
      </c>
      <c r="AI54" s="18">
        <v>0.33779999999999999</v>
      </c>
      <c r="AJ54" s="18">
        <v>0.18049999999999999</v>
      </c>
      <c r="AK54" s="18">
        <v>0.2218</v>
      </c>
      <c r="AL54" s="18">
        <v>0.46350000000000002</v>
      </c>
      <c r="AM54" s="18">
        <v>0.44379999999999997</v>
      </c>
      <c r="AN54" s="18">
        <v>1.4100999999999999</v>
      </c>
      <c r="AO54" s="18">
        <v>0.58240000000000003</v>
      </c>
      <c r="AP54" s="18">
        <v>0.6825</v>
      </c>
      <c r="AQ54" s="18">
        <v>0.4531</v>
      </c>
      <c r="AR54" s="18">
        <v>0.32829999999999998</v>
      </c>
      <c r="AS54" s="18">
        <v>0.67320000000000002</v>
      </c>
      <c r="AT54" s="18">
        <v>0.96850000000000003</v>
      </c>
      <c r="AU54" s="18">
        <v>0.1757</v>
      </c>
      <c r="AV54" s="18">
        <v>0.30370000000000003</v>
      </c>
      <c r="AW54" s="18">
        <v>8.4699999999999998E-2</v>
      </c>
      <c r="AX54" s="18">
        <v>0.17469999999999999</v>
      </c>
    </row>
    <row r="55" spans="1:50" x14ac:dyDescent="0.25">
      <c r="A55" s="8" t="s">
        <v>116</v>
      </c>
      <c r="B55" s="10" t="s">
        <v>57</v>
      </c>
      <c r="C55" s="16">
        <v>0.1091</v>
      </c>
      <c r="D55" s="16">
        <v>0.15190000000000001</v>
      </c>
      <c r="E55" s="16">
        <v>5.1999999999999998E-2</v>
      </c>
      <c r="F55" s="16">
        <v>0.20899999999999999</v>
      </c>
      <c r="G55" s="16">
        <v>5.1999999999999998E-2</v>
      </c>
      <c r="H55" s="16">
        <v>5.1999999999999998E-2</v>
      </c>
      <c r="I55" s="16">
        <v>5.1999999999999998E-2</v>
      </c>
      <c r="J55" s="16">
        <v>0.2019</v>
      </c>
      <c r="K55" s="16">
        <v>5.91E-2</v>
      </c>
      <c r="L55" s="16">
        <v>0.15190000000000001</v>
      </c>
      <c r="M55" s="16">
        <v>0.1091</v>
      </c>
      <c r="N55" s="16">
        <v>0.1091</v>
      </c>
      <c r="O55" s="16">
        <v>0.15190000000000001</v>
      </c>
      <c r="P55" s="16">
        <v>5.1999999999999998E-2</v>
      </c>
      <c r="Q55" s="16">
        <v>0.20680000000000001</v>
      </c>
      <c r="R55" s="16">
        <v>0.36380000000000001</v>
      </c>
      <c r="S55" s="16">
        <v>0.2762</v>
      </c>
      <c r="T55" s="16">
        <v>0.11310000000000001</v>
      </c>
      <c r="U55" s="16">
        <v>0.45500000000000002</v>
      </c>
      <c r="V55" s="16">
        <v>8.8200000000000001E-2</v>
      </c>
      <c r="W55" s="16">
        <v>0.27760000000000001</v>
      </c>
      <c r="X55" s="16">
        <v>1.0528</v>
      </c>
      <c r="Y55" s="16">
        <v>1.5005999999999999</v>
      </c>
      <c r="Z55" s="16">
        <v>0.21410000000000001</v>
      </c>
      <c r="AA55" s="16">
        <v>0.49819999999999998</v>
      </c>
      <c r="AB55" s="16">
        <v>5.9700000000000003E-2</v>
      </c>
      <c r="AC55" s="16">
        <v>0.50929999999999997</v>
      </c>
      <c r="AD55" s="16">
        <v>0.1108</v>
      </c>
      <c r="AE55" s="16">
        <v>0.2361</v>
      </c>
      <c r="AF55" s="16">
        <v>8.9200000000000002E-2</v>
      </c>
      <c r="AG55" s="16">
        <v>0.23599999999999999</v>
      </c>
      <c r="AH55" s="16">
        <v>9.6600000000000005E-2</v>
      </c>
      <c r="AI55" s="16">
        <v>0.1608</v>
      </c>
      <c r="AJ55" s="16">
        <v>0.3327</v>
      </c>
      <c r="AK55" s="16">
        <v>0.13469999999999999</v>
      </c>
      <c r="AL55" s="16">
        <v>0.30780000000000002</v>
      </c>
      <c r="AM55" s="16">
        <v>5.1999999999999998E-2</v>
      </c>
      <c r="AN55" s="16">
        <v>0.20899999999999999</v>
      </c>
      <c r="AO55" s="16">
        <v>5.1999999999999998E-2</v>
      </c>
      <c r="AP55" s="16">
        <v>5.1999999999999998E-2</v>
      </c>
      <c r="AQ55" s="16">
        <v>0.56940000000000002</v>
      </c>
      <c r="AR55" s="16">
        <v>0.4466</v>
      </c>
      <c r="AS55" s="16">
        <v>1.0521</v>
      </c>
      <c r="AT55" s="16">
        <v>1.1626000000000001</v>
      </c>
      <c r="AU55" s="16">
        <v>0.96250000000000002</v>
      </c>
      <c r="AV55" s="16">
        <v>0.69369999999999998</v>
      </c>
      <c r="AW55" s="16">
        <v>5.91E-2</v>
      </c>
      <c r="AX55" s="16">
        <v>0.2019</v>
      </c>
    </row>
    <row r="56" spans="1:50" x14ac:dyDescent="0.25">
      <c r="A56" s="8" t="s">
        <v>118</v>
      </c>
      <c r="B56" s="10" t="s">
        <v>57</v>
      </c>
      <c r="C56" s="16">
        <v>0.05</v>
      </c>
      <c r="D56" s="16">
        <v>0.23139999999999999</v>
      </c>
      <c r="E56" s="16">
        <v>0.05</v>
      </c>
      <c r="F56" s="16">
        <v>0.1489</v>
      </c>
      <c r="G56" s="16">
        <v>0.13239999999999999</v>
      </c>
      <c r="H56" s="16">
        <v>8.3000000000000004E-2</v>
      </c>
      <c r="I56" s="16">
        <v>0.19839999999999999</v>
      </c>
      <c r="J56" s="16">
        <v>0.05</v>
      </c>
      <c r="K56" s="16">
        <v>0.23139999999999999</v>
      </c>
      <c r="L56" s="16">
        <v>0.05</v>
      </c>
      <c r="M56" s="16">
        <v>0.05</v>
      </c>
      <c r="N56" s="16">
        <v>0.05</v>
      </c>
      <c r="O56" s="16">
        <v>0.19020000000000001</v>
      </c>
      <c r="P56" s="16">
        <v>9.1200000000000003E-2</v>
      </c>
      <c r="Q56" s="16">
        <v>0.05</v>
      </c>
      <c r="R56" s="16">
        <v>7.4700000000000003E-2</v>
      </c>
      <c r="S56" s="16">
        <v>0.41339999999999999</v>
      </c>
      <c r="T56" s="16">
        <v>0.20760000000000001</v>
      </c>
      <c r="U56" s="16">
        <v>0.21840000000000001</v>
      </c>
      <c r="V56" s="16">
        <v>0.1162</v>
      </c>
      <c r="W56" s="16">
        <v>0.1394</v>
      </c>
      <c r="X56" s="16">
        <v>0.18229999999999999</v>
      </c>
      <c r="Y56" s="16">
        <v>0.21490000000000001</v>
      </c>
      <c r="Z56" s="16">
        <v>0.05</v>
      </c>
      <c r="AA56" s="16">
        <v>0.19839999999999999</v>
      </c>
      <c r="AB56" s="16">
        <v>8.3000000000000004E-2</v>
      </c>
      <c r="AC56" s="16">
        <v>0.14910000000000001</v>
      </c>
      <c r="AD56" s="16">
        <v>0.25840000000000002</v>
      </c>
      <c r="AE56" s="16">
        <v>0.49309999999999998</v>
      </c>
      <c r="AF56" s="16">
        <v>0.3075</v>
      </c>
      <c r="AG56" s="16">
        <v>0.3458</v>
      </c>
      <c r="AH56" s="16">
        <v>0.34150000000000003</v>
      </c>
      <c r="AI56" s="16">
        <v>0.31890000000000002</v>
      </c>
      <c r="AJ56" s="16">
        <v>0.64180000000000004</v>
      </c>
      <c r="AK56" s="16">
        <v>0.2928</v>
      </c>
      <c r="AL56" s="16">
        <v>0.4345</v>
      </c>
      <c r="AM56" s="16">
        <v>0.2397</v>
      </c>
      <c r="AN56" s="16">
        <v>0.1353</v>
      </c>
      <c r="AO56" s="16">
        <v>0.47970000000000002</v>
      </c>
      <c r="AP56" s="16">
        <v>0.17180000000000001</v>
      </c>
      <c r="AQ56" s="16">
        <v>0.3206</v>
      </c>
      <c r="AR56" s="16">
        <v>0.57199999999999995</v>
      </c>
      <c r="AS56" s="16">
        <v>0.34589999999999999</v>
      </c>
      <c r="AT56" s="16">
        <v>0.63460000000000005</v>
      </c>
      <c r="AU56" s="16">
        <v>0.34210000000000002</v>
      </c>
      <c r="AV56" s="16">
        <v>0.4153</v>
      </c>
      <c r="AW56" s="16">
        <v>0.41460000000000002</v>
      </c>
      <c r="AX56" s="16">
        <v>0.53580000000000005</v>
      </c>
    </row>
    <row r="57" spans="1:50" x14ac:dyDescent="0.25">
      <c r="A57" s="8" t="s">
        <v>120</v>
      </c>
      <c r="B57" s="10" t="s">
        <v>57</v>
      </c>
      <c r="C57" s="16">
        <v>9.4399999999999998E-2</v>
      </c>
      <c r="D57" s="16">
        <v>0.04</v>
      </c>
      <c r="E57" s="16">
        <v>0.04</v>
      </c>
      <c r="F57" s="16">
        <v>9.4399999999999998E-2</v>
      </c>
      <c r="G57" s="16">
        <v>0.13519999999999999</v>
      </c>
      <c r="H57" s="16">
        <v>0.04</v>
      </c>
      <c r="I57" s="16">
        <v>0.18970000000000001</v>
      </c>
      <c r="J57" s="16">
        <v>0.04</v>
      </c>
      <c r="K57" s="16">
        <v>0.1216</v>
      </c>
      <c r="L57" s="16">
        <v>0.108</v>
      </c>
      <c r="M57" s="16">
        <v>4.6800000000000001E-2</v>
      </c>
      <c r="N57" s="16">
        <v>0.18290000000000001</v>
      </c>
      <c r="O57" s="16">
        <v>0.04</v>
      </c>
      <c r="P57" s="16">
        <v>0.04</v>
      </c>
      <c r="Q57" s="16">
        <v>0.27039999999999997</v>
      </c>
      <c r="R57" s="16">
        <v>0.29570000000000002</v>
      </c>
      <c r="S57" s="16">
        <v>0.04</v>
      </c>
      <c r="T57" s="16">
        <v>0.24310000000000001</v>
      </c>
      <c r="U57" s="16">
        <v>0.27</v>
      </c>
      <c r="V57" s="16">
        <v>0.25359999999999999</v>
      </c>
      <c r="W57" s="16">
        <v>0.42670000000000002</v>
      </c>
      <c r="X57" s="16">
        <v>0.24790000000000001</v>
      </c>
      <c r="Y57" s="16">
        <v>0.2079</v>
      </c>
      <c r="Z57" s="16">
        <v>0.43059999999999998</v>
      </c>
      <c r="AA57" s="16">
        <v>9.0200000000000002E-2</v>
      </c>
      <c r="AB57" s="16">
        <v>0.13519999999999999</v>
      </c>
      <c r="AC57" s="16">
        <v>9.4399999999999998E-2</v>
      </c>
      <c r="AD57" s="16">
        <v>7.3999999999999996E-2</v>
      </c>
      <c r="AE57" s="16">
        <v>0.15570000000000001</v>
      </c>
      <c r="AF57" s="16">
        <v>0.04</v>
      </c>
      <c r="AG57" s="16">
        <v>0.16250000000000001</v>
      </c>
      <c r="AH57" s="16">
        <v>6.7199999999999996E-2</v>
      </c>
      <c r="AI57" s="16">
        <v>7.3999999999999996E-2</v>
      </c>
      <c r="AJ57" s="16">
        <v>0.15570000000000001</v>
      </c>
      <c r="AK57" s="16">
        <v>0.04</v>
      </c>
      <c r="AL57" s="16">
        <v>0.04</v>
      </c>
      <c r="AM57" s="16">
        <v>0.04</v>
      </c>
      <c r="AN57" s="16">
        <v>0.18970000000000001</v>
      </c>
      <c r="AO57" s="16">
        <v>0.04</v>
      </c>
      <c r="AP57" s="16">
        <v>0.04</v>
      </c>
      <c r="AQ57" s="16">
        <v>0.18970000000000001</v>
      </c>
      <c r="AR57" s="16">
        <v>0.04</v>
      </c>
      <c r="AS57" s="16">
        <v>0.04</v>
      </c>
      <c r="AT57" s="16">
        <v>6.0400000000000002E-2</v>
      </c>
      <c r="AU57" s="16">
        <v>0.16930000000000001</v>
      </c>
      <c r="AV57" s="16">
        <v>0.04</v>
      </c>
      <c r="AW57" s="16">
        <v>0.1216</v>
      </c>
      <c r="AX57" s="16">
        <v>0.108</v>
      </c>
    </row>
    <row r="58" spans="1:50" x14ac:dyDescent="0.25">
      <c r="A58" s="17" t="s">
        <v>449</v>
      </c>
      <c r="B58" s="13" t="s">
        <v>410</v>
      </c>
      <c r="C58" s="18">
        <v>0.2276</v>
      </c>
      <c r="D58" s="18">
        <v>4.8000000000000001E-2</v>
      </c>
      <c r="E58" s="18">
        <v>0.22720000000000001</v>
      </c>
      <c r="F58" s="18">
        <v>0.1704</v>
      </c>
      <c r="G58" s="18">
        <v>0.1701</v>
      </c>
      <c r="H58" s="18">
        <v>0.2276</v>
      </c>
      <c r="I58" s="18">
        <v>4.8000000000000001E-2</v>
      </c>
      <c r="J58" s="18">
        <v>0.30890000000000001</v>
      </c>
      <c r="K58" s="18">
        <v>8.8800000000000004E-2</v>
      </c>
      <c r="L58" s="18">
        <v>0.1133</v>
      </c>
      <c r="M58" s="18">
        <v>0.28439999999999999</v>
      </c>
      <c r="N58" s="18">
        <v>4.8000000000000001E-2</v>
      </c>
      <c r="O58" s="18">
        <v>6.4299999999999996E-2</v>
      </c>
      <c r="P58" s="18">
        <v>0.315</v>
      </c>
      <c r="Q58" s="18">
        <v>6.6299999999999998E-2</v>
      </c>
      <c r="R58" s="18">
        <v>0.19059999999999999</v>
      </c>
      <c r="S58" s="18">
        <v>0.20710000000000001</v>
      </c>
      <c r="T58" s="18">
        <v>0.10290000000000001</v>
      </c>
      <c r="U58" s="18">
        <v>0.2621</v>
      </c>
      <c r="V58" s="18">
        <v>8.0699999999999994E-2</v>
      </c>
      <c r="W58" s="18">
        <v>2.9241000000000001</v>
      </c>
      <c r="X58" s="18">
        <v>2.9344000000000001</v>
      </c>
      <c r="Y58" s="18">
        <v>0.47289999999999999</v>
      </c>
      <c r="Z58" s="18">
        <v>0.31919999999999998</v>
      </c>
      <c r="AA58" s="18">
        <v>7.2499999999999995E-2</v>
      </c>
      <c r="AB58" s="18">
        <v>4.8000000000000001E-2</v>
      </c>
      <c r="AC58" s="18">
        <v>0.2276</v>
      </c>
      <c r="AD58" s="18">
        <v>0.1701</v>
      </c>
      <c r="AE58" s="18">
        <v>8.8800000000000004E-2</v>
      </c>
      <c r="AF58" s="18">
        <v>0.18679999999999999</v>
      </c>
      <c r="AG58" s="18">
        <v>0.1701</v>
      </c>
      <c r="AH58" s="18">
        <v>0.2276</v>
      </c>
      <c r="AI58" s="18">
        <v>6.0199999999999997E-2</v>
      </c>
      <c r="AJ58" s="18">
        <v>0.36980000000000002</v>
      </c>
      <c r="AK58" s="18">
        <v>0.1464</v>
      </c>
      <c r="AL58" s="18">
        <v>0.17810000000000001</v>
      </c>
      <c r="AM58" s="18">
        <v>0.22889999999999999</v>
      </c>
      <c r="AN58" s="18">
        <v>0.17960000000000001</v>
      </c>
      <c r="AO58" s="18">
        <v>8.6300000000000002E-2</v>
      </c>
      <c r="AP58" s="18">
        <v>0.44500000000000001</v>
      </c>
      <c r="AQ58" s="18">
        <v>0.58599999999999997</v>
      </c>
      <c r="AR58" s="18">
        <v>0.3306</v>
      </c>
      <c r="AS58" s="18">
        <v>0.41880000000000001</v>
      </c>
      <c r="AT58" s="18">
        <v>0.69599999999999995</v>
      </c>
      <c r="AU58" s="18">
        <v>0.29249999999999998</v>
      </c>
      <c r="AV58" s="18">
        <v>0.1051</v>
      </c>
      <c r="AW58" s="18">
        <v>4.8000000000000001E-2</v>
      </c>
      <c r="AX58" s="18">
        <v>0.11119999999999999</v>
      </c>
    </row>
    <row r="59" spans="1:50" x14ac:dyDescent="0.25">
      <c r="A59" s="8" t="s">
        <v>122</v>
      </c>
      <c r="B59" s="10" t="s">
        <v>57</v>
      </c>
      <c r="C59" s="16">
        <v>0.05</v>
      </c>
      <c r="D59" s="16">
        <v>0.13320000000000001</v>
      </c>
      <c r="E59" s="16">
        <v>0.05</v>
      </c>
      <c r="F59" s="16">
        <v>0.13320000000000001</v>
      </c>
      <c r="G59" s="16">
        <v>0.05</v>
      </c>
      <c r="H59" s="16">
        <v>6.3899999999999998E-2</v>
      </c>
      <c r="I59" s="16">
        <v>0.1193</v>
      </c>
      <c r="J59" s="16">
        <v>0.05</v>
      </c>
      <c r="K59" s="16">
        <v>0.05</v>
      </c>
      <c r="L59" s="16">
        <v>0.05</v>
      </c>
      <c r="M59" s="16">
        <v>0.05</v>
      </c>
      <c r="N59" s="16">
        <v>0.13320000000000001</v>
      </c>
      <c r="O59" s="16">
        <v>0.05</v>
      </c>
      <c r="P59" s="16">
        <v>0.05</v>
      </c>
      <c r="Q59" s="16">
        <v>6.3899999999999998E-2</v>
      </c>
      <c r="R59" s="16">
        <v>0.1193</v>
      </c>
      <c r="S59" s="16">
        <v>0.05</v>
      </c>
      <c r="T59" s="16">
        <v>0.05</v>
      </c>
      <c r="U59" s="16">
        <v>0.13320000000000001</v>
      </c>
      <c r="V59" s="16">
        <v>0.05</v>
      </c>
      <c r="W59" s="16">
        <v>0.13320000000000001</v>
      </c>
      <c r="X59" s="16">
        <v>0.12839999999999999</v>
      </c>
      <c r="Y59" s="16">
        <v>0.13320000000000001</v>
      </c>
      <c r="Z59" s="16">
        <v>0.05</v>
      </c>
      <c r="AA59" s="16">
        <v>0.25559999999999999</v>
      </c>
      <c r="AB59" s="16">
        <v>0.34389999999999998</v>
      </c>
      <c r="AC59" s="16">
        <v>0.51600000000000001</v>
      </c>
      <c r="AD59" s="16">
        <v>0.21659999999999999</v>
      </c>
      <c r="AE59" s="16">
        <v>0.25290000000000001</v>
      </c>
      <c r="AF59" s="16">
        <v>0.18010000000000001</v>
      </c>
      <c r="AG59" s="16">
        <v>0.27039999999999997</v>
      </c>
      <c r="AH59" s="16">
        <v>0.4909</v>
      </c>
      <c r="AI59" s="16">
        <v>0.28610000000000002</v>
      </c>
      <c r="AJ59" s="16">
        <v>0.12559999999999999</v>
      </c>
      <c r="AK59" s="16">
        <v>0.2225</v>
      </c>
      <c r="AL59" s="16">
        <v>8.9300000000000004E-2</v>
      </c>
      <c r="AM59" s="16">
        <v>0.27079999999999999</v>
      </c>
      <c r="AN59" s="16">
        <v>0.23250000000000001</v>
      </c>
      <c r="AO59" s="16">
        <v>0.37359999999999999</v>
      </c>
      <c r="AP59" s="16">
        <v>1.3265</v>
      </c>
      <c r="AQ59" s="16">
        <v>0.47139999999999999</v>
      </c>
      <c r="AR59" s="16">
        <v>0.50019999999999998</v>
      </c>
      <c r="AS59" s="16">
        <v>0.40689999999999998</v>
      </c>
      <c r="AT59" s="16">
        <v>0.45340000000000003</v>
      </c>
      <c r="AU59" s="16">
        <v>0.27300000000000002</v>
      </c>
      <c r="AV59" s="16">
        <v>0.503</v>
      </c>
      <c r="AW59" s="16">
        <v>0.45590000000000003</v>
      </c>
      <c r="AX59" s="16">
        <v>0.311</v>
      </c>
    </row>
    <row r="60" spans="1:50" x14ac:dyDescent="0.25">
      <c r="A60" s="17" t="s">
        <v>451</v>
      </c>
      <c r="B60" s="13" t="s">
        <v>410</v>
      </c>
      <c r="C60" s="18">
        <v>5.7000000000000002E-2</v>
      </c>
      <c r="D60" s="18">
        <v>5.7000000000000002E-2</v>
      </c>
      <c r="E60" s="18">
        <v>5.7000000000000002E-2</v>
      </c>
      <c r="F60" s="18">
        <v>0.17549999999999999</v>
      </c>
      <c r="G60" s="18">
        <v>5.7000000000000002E-2</v>
      </c>
      <c r="H60" s="18">
        <v>0.17549999999999999</v>
      </c>
      <c r="I60" s="18">
        <v>5.7000000000000002E-2</v>
      </c>
      <c r="J60" s="18">
        <v>0.1636</v>
      </c>
      <c r="K60" s="18">
        <v>6.88E-2</v>
      </c>
      <c r="L60" s="18">
        <v>0.1636</v>
      </c>
      <c r="M60" s="18">
        <v>6.88E-2</v>
      </c>
      <c r="N60" s="18">
        <v>5.7000000000000002E-2</v>
      </c>
      <c r="O60" s="18">
        <v>9.8500000000000004E-2</v>
      </c>
      <c r="P60" s="18">
        <v>0.13400000000000001</v>
      </c>
      <c r="Q60" s="18">
        <v>5.7000000000000002E-2</v>
      </c>
      <c r="R60" s="18">
        <v>8.6599999999999996E-2</v>
      </c>
      <c r="S60" s="18">
        <v>0.31219999999999998</v>
      </c>
      <c r="T60" s="18">
        <v>0.72629999999999995</v>
      </c>
      <c r="U60" s="18">
        <v>0.28189999999999998</v>
      </c>
      <c r="V60" s="18">
        <v>0.31869999999999998</v>
      </c>
      <c r="W60" s="18">
        <v>0.26650000000000001</v>
      </c>
      <c r="X60" s="18">
        <v>0.2031</v>
      </c>
      <c r="Y60" s="18">
        <v>0.1201</v>
      </c>
      <c r="Z60" s="18">
        <v>0.2157</v>
      </c>
      <c r="AA60" s="18">
        <v>5.7000000000000002E-2</v>
      </c>
      <c r="AB60" s="18">
        <v>0.17549999999999999</v>
      </c>
      <c r="AC60" s="18">
        <v>0.1077</v>
      </c>
      <c r="AD60" s="18">
        <v>0.3644</v>
      </c>
      <c r="AE60" s="18">
        <v>0.30349999999999999</v>
      </c>
      <c r="AF60" s="18">
        <v>0.36730000000000002</v>
      </c>
      <c r="AG60" s="18">
        <v>0.39079999999999998</v>
      </c>
      <c r="AH60" s="18">
        <v>0.14530000000000001</v>
      </c>
      <c r="AI60" s="18">
        <v>0.19869999999999999</v>
      </c>
      <c r="AJ60" s="18">
        <v>0.30209999999999998</v>
      </c>
      <c r="AK60" s="18">
        <v>5.7000000000000002E-2</v>
      </c>
      <c r="AL60" s="18">
        <v>0.2873</v>
      </c>
      <c r="AM60" s="18">
        <v>0.22489999999999999</v>
      </c>
      <c r="AN60" s="18">
        <v>7.4800000000000005E-2</v>
      </c>
      <c r="AO60" s="18">
        <v>5.7000000000000002E-2</v>
      </c>
      <c r="AP60" s="18">
        <v>0.1636</v>
      </c>
      <c r="AQ60" s="18">
        <v>6.88E-2</v>
      </c>
      <c r="AR60" s="18">
        <v>9.2499999999999999E-2</v>
      </c>
      <c r="AS60" s="18">
        <v>0.1399</v>
      </c>
      <c r="AT60" s="18">
        <v>9.2499999999999999E-2</v>
      </c>
      <c r="AU60" s="18">
        <v>0.1399</v>
      </c>
      <c r="AV60" s="18">
        <v>5.7000000000000002E-2</v>
      </c>
      <c r="AW60" s="18">
        <v>5.7000000000000002E-2</v>
      </c>
      <c r="AX60" s="18">
        <v>0.1399</v>
      </c>
    </row>
    <row r="61" spans="1:50" x14ac:dyDescent="0.25">
      <c r="A61" s="8" t="s">
        <v>124</v>
      </c>
      <c r="B61" s="10" t="s">
        <v>57</v>
      </c>
      <c r="C61" s="16">
        <v>3.2000000000000001E-2</v>
      </c>
      <c r="D61" s="16">
        <v>3.2000000000000001E-2</v>
      </c>
      <c r="E61" s="16">
        <v>3.2000000000000001E-2</v>
      </c>
      <c r="F61" s="16">
        <v>3.2000000000000001E-2</v>
      </c>
      <c r="G61" s="16">
        <v>3.2000000000000001E-2</v>
      </c>
      <c r="H61" s="16">
        <v>3.2000000000000001E-2</v>
      </c>
      <c r="I61" s="16">
        <v>3.2000000000000001E-2</v>
      </c>
      <c r="J61" s="16">
        <v>3.2000000000000001E-2</v>
      </c>
      <c r="K61" s="16">
        <v>3.2000000000000001E-2</v>
      </c>
      <c r="L61" s="16">
        <v>3.2000000000000001E-2</v>
      </c>
      <c r="M61" s="16">
        <v>3.2000000000000001E-2</v>
      </c>
      <c r="N61" s="16">
        <v>3.2000000000000001E-2</v>
      </c>
      <c r="O61" s="16">
        <v>3.2000000000000001E-2</v>
      </c>
      <c r="P61" s="16">
        <v>3.2000000000000001E-2</v>
      </c>
      <c r="Q61" s="16">
        <v>3.2000000000000001E-2</v>
      </c>
      <c r="R61" s="16">
        <v>3.2000000000000001E-2</v>
      </c>
      <c r="S61" s="16">
        <v>1.4943</v>
      </c>
      <c r="T61" s="16">
        <v>1.2897000000000001</v>
      </c>
      <c r="U61" s="16">
        <v>3.3300000000000003E-2</v>
      </c>
      <c r="V61" s="16">
        <v>0.15160000000000001</v>
      </c>
      <c r="W61" s="16">
        <v>0.32100000000000001</v>
      </c>
      <c r="X61" s="16">
        <v>0.3095</v>
      </c>
      <c r="Y61" s="16">
        <v>0.22750000000000001</v>
      </c>
      <c r="Z61" s="16">
        <v>0.27360000000000001</v>
      </c>
      <c r="AA61" s="16">
        <v>0.26829999999999998</v>
      </c>
      <c r="AB61" s="16">
        <v>0.1454</v>
      </c>
      <c r="AC61" s="16">
        <v>3.2000000000000001E-2</v>
      </c>
      <c r="AD61" s="16">
        <v>3.2000000000000001E-2</v>
      </c>
      <c r="AE61" s="16">
        <v>3.2000000000000001E-2</v>
      </c>
      <c r="AF61" s="16">
        <v>7.8899999999999998E-2</v>
      </c>
      <c r="AG61" s="16">
        <v>3.2000000000000001E-2</v>
      </c>
      <c r="AH61" s="16">
        <v>0.1908</v>
      </c>
      <c r="AI61" s="16">
        <v>0.2482</v>
      </c>
      <c r="AJ61" s="16">
        <v>7.9299999999999995E-2</v>
      </c>
      <c r="AK61" s="16">
        <v>0.47639999999999999</v>
      </c>
      <c r="AL61" s="16">
        <v>0.48049999999999998</v>
      </c>
      <c r="AM61" s="16">
        <v>0.2702</v>
      </c>
      <c r="AN61" s="16">
        <v>0.32969999999999999</v>
      </c>
      <c r="AO61" s="16">
        <v>0.38700000000000001</v>
      </c>
      <c r="AP61" s="16">
        <v>0.59360000000000002</v>
      </c>
      <c r="AQ61" s="16">
        <v>0.19869999999999999</v>
      </c>
      <c r="AR61" s="16">
        <v>0.38119999999999998</v>
      </c>
      <c r="AS61" s="16">
        <v>0.37659999999999999</v>
      </c>
      <c r="AT61" s="16">
        <v>1.1606000000000001</v>
      </c>
      <c r="AU61" s="16">
        <v>0.49509999999999998</v>
      </c>
      <c r="AV61" s="16">
        <v>0.53890000000000005</v>
      </c>
      <c r="AW61" s="16">
        <v>6.4299999999999996E-2</v>
      </c>
      <c r="AX61" s="16">
        <v>4.5199999999999997E-2</v>
      </c>
    </row>
    <row r="62" spans="1:50" x14ac:dyDescent="0.25">
      <c r="A62" s="17" t="s">
        <v>453</v>
      </c>
      <c r="B62" s="13" t="s">
        <v>410</v>
      </c>
      <c r="C62" s="18">
        <v>3.1E-2</v>
      </c>
      <c r="D62" s="18">
        <v>0.12670000000000001</v>
      </c>
      <c r="E62" s="18">
        <v>4.7899999999999998E-2</v>
      </c>
      <c r="F62" s="18">
        <v>8.1600000000000006E-2</v>
      </c>
      <c r="G62" s="18">
        <v>9.2899999999999996E-2</v>
      </c>
      <c r="H62" s="18">
        <v>3.1E-2</v>
      </c>
      <c r="I62" s="18">
        <v>3.1E-2</v>
      </c>
      <c r="J62" s="18">
        <v>8.1600000000000006E-2</v>
      </c>
      <c r="K62" s="18">
        <v>9.2899999999999996E-2</v>
      </c>
      <c r="L62" s="18">
        <v>3.1E-2</v>
      </c>
      <c r="M62" s="18">
        <v>0.14349999999999999</v>
      </c>
      <c r="N62" s="18">
        <v>3.1E-2</v>
      </c>
      <c r="O62" s="18">
        <v>0.14349999999999999</v>
      </c>
      <c r="P62" s="18">
        <v>3.1E-2</v>
      </c>
      <c r="Q62" s="18">
        <v>9.8500000000000004E-2</v>
      </c>
      <c r="R62" s="18">
        <v>7.5999999999999998E-2</v>
      </c>
      <c r="S62" s="18">
        <v>3.1E-2</v>
      </c>
      <c r="T62" s="18">
        <v>3.1E-2</v>
      </c>
      <c r="U62" s="18">
        <v>0.14349999999999999</v>
      </c>
      <c r="V62" s="18">
        <v>3.1E-2</v>
      </c>
      <c r="W62" s="18">
        <v>0.1041</v>
      </c>
      <c r="X62" s="18">
        <v>7.0400000000000004E-2</v>
      </c>
      <c r="Y62" s="18">
        <v>3.1E-2</v>
      </c>
      <c r="Z62" s="18">
        <v>0.12230000000000001</v>
      </c>
      <c r="AA62" s="18">
        <v>6.6500000000000004E-2</v>
      </c>
      <c r="AB62" s="18">
        <v>8.7300000000000003E-2</v>
      </c>
      <c r="AC62" s="18">
        <v>8.7300000000000003E-2</v>
      </c>
      <c r="AD62" s="18">
        <v>3.1E-2</v>
      </c>
      <c r="AE62" s="18">
        <v>9.2899999999999996E-2</v>
      </c>
      <c r="AF62" s="18">
        <v>8.1600000000000006E-2</v>
      </c>
      <c r="AG62" s="18">
        <v>0.28160000000000002</v>
      </c>
      <c r="AH62" s="18">
        <v>0.185</v>
      </c>
      <c r="AI62" s="18">
        <v>3.1E-2</v>
      </c>
      <c r="AJ62" s="18">
        <v>0.14349999999999999</v>
      </c>
      <c r="AK62" s="18">
        <v>3.95E-2</v>
      </c>
      <c r="AL62" s="18">
        <v>0.30149999999999999</v>
      </c>
      <c r="AM62" s="18">
        <v>0.1736</v>
      </c>
      <c r="AN62" s="18">
        <v>0.13919999999999999</v>
      </c>
      <c r="AO62" s="18">
        <v>0.3241</v>
      </c>
      <c r="AP62" s="18">
        <v>0.4879</v>
      </c>
      <c r="AQ62" s="18">
        <v>0.85599999999999998</v>
      </c>
      <c r="AR62" s="18">
        <v>0.72660000000000002</v>
      </c>
      <c r="AS62" s="18">
        <v>0.6855</v>
      </c>
      <c r="AT62" s="18">
        <v>0.41370000000000001</v>
      </c>
      <c r="AU62" s="18">
        <v>0.14349999999999999</v>
      </c>
      <c r="AV62" s="18">
        <v>3.1E-2</v>
      </c>
      <c r="AW62" s="18">
        <v>3.1E-2</v>
      </c>
      <c r="AX62" s="18">
        <v>0.14349999999999999</v>
      </c>
    </row>
    <row r="63" spans="1:50" x14ac:dyDescent="0.25">
      <c r="A63" s="17" t="s">
        <v>455</v>
      </c>
      <c r="B63" s="13" t="s">
        <v>410</v>
      </c>
      <c r="C63" s="18">
        <v>5.5E-2</v>
      </c>
      <c r="D63" s="18">
        <v>5.5E-2</v>
      </c>
      <c r="E63" s="18">
        <v>0.21429999999999999</v>
      </c>
      <c r="F63" s="18">
        <v>5.5E-2</v>
      </c>
      <c r="G63" s="18">
        <v>0.1636</v>
      </c>
      <c r="H63" s="18">
        <v>0.1057</v>
      </c>
      <c r="I63" s="18">
        <v>7.6700000000000004E-2</v>
      </c>
      <c r="J63" s="18">
        <v>0.1925</v>
      </c>
      <c r="K63" s="18">
        <v>5.5E-2</v>
      </c>
      <c r="L63" s="18">
        <v>5.5E-2</v>
      </c>
      <c r="M63" s="18">
        <v>5.5E-2</v>
      </c>
      <c r="N63" s="18">
        <v>0.1419</v>
      </c>
      <c r="O63" s="18">
        <v>0.12740000000000001</v>
      </c>
      <c r="P63" s="18">
        <v>6.9500000000000006E-2</v>
      </c>
      <c r="Q63" s="18">
        <v>0.19980000000000001</v>
      </c>
      <c r="R63" s="18">
        <v>5.5E-2</v>
      </c>
      <c r="S63" s="18">
        <v>0.17080000000000001</v>
      </c>
      <c r="T63" s="18">
        <v>9.8400000000000001E-2</v>
      </c>
      <c r="U63" s="18">
        <v>5.5E-2</v>
      </c>
      <c r="V63" s="18">
        <v>5.5E-2</v>
      </c>
      <c r="W63" s="18">
        <v>0.21060000000000001</v>
      </c>
      <c r="X63" s="18">
        <v>6.2199999999999998E-2</v>
      </c>
      <c r="Y63" s="18">
        <v>5.5E-2</v>
      </c>
      <c r="Z63" s="18">
        <v>9.1200000000000003E-2</v>
      </c>
      <c r="AA63" s="18">
        <v>0.17810000000000001</v>
      </c>
      <c r="AB63" s="18">
        <v>5.5E-2</v>
      </c>
      <c r="AC63" s="18">
        <v>5.5E-2</v>
      </c>
      <c r="AD63" s="18">
        <v>0.1925</v>
      </c>
      <c r="AE63" s="18">
        <v>7.6700000000000004E-2</v>
      </c>
      <c r="AF63" s="18">
        <v>5.5E-2</v>
      </c>
      <c r="AG63" s="18">
        <v>5.5E-2</v>
      </c>
      <c r="AH63" s="18">
        <v>0.21429999999999999</v>
      </c>
      <c r="AI63" s="18">
        <v>6.5500000000000003E-2</v>
      </c>
      <c r="AJ63" s="18">
        <v>0.20699999999999999</v>
      </c>
      <c r="AK63" s="18">
        <v>6.2199999999999998E-2</v>
      </c>
      <c r="AL63" s="18">
        <v>5.5E-2</v>
      </c>
      <c r="AM63" s="18">
        <v>0.1636</v>
      </c>
      <c r="AN63" s="18">
        <v>0.1057</v>
      </c>
      <c r="AO63" s="18">
        <v>0.1057</v>
      </c>
      <c r="AP63" s="18">
        <v>0.1636</v>
      </c>
      <c r="AQ63" s="18">
        <v>5.5E-2</v>
      </c>
      <c r="AR63" s="18">
        <v>6.2199999999999998E-2</v>
      </c>
      <c r="AS63" s="18">
        <v>0.20699999999999999</v>
      </c>
      <c r="AT63" s="18">
        <v>5.5E-2</v>
      </c>
      <c r="AU63" s="18">
        <v>0.21429999999999999</v>
      </c>
      <c r="AV63" s="18">
        <v>5.5E-2</v>
      </c>
      <c r="AW63" s="18">
        <v>8.4000000000000005E-2</v>
      </c>
      <c r="AX63" s="18">
        <v>0.18529999999999999</v>
      </c>
    </row>
    <row r="64" spans="1:50" x14ac:dyDescent="0.25">
      <c r="A64" s="17" t="s">
        <v>457</v>
      </c>
      <c r="B64" s="13" t="s">
        <v>410</v>
      </c>
      <c r="C64" s="18">
        <v>6.4299999999999996E-2</v>
      </c>
      <c r="D64" s="18">
        <v>0.15509999999999999</v>
      </c>
      <c r="E64" s="18">
        <v>5.2999999999999999E-2</v>
      </c>
      <c r="F64" s="18">
        <v>5.2999999999999999E-2</v>
      </c>
      <c r="G64" s="18">
        <v>0.16639999999999999</v>
      </c>
      <c r="H64" s="18">
        <v>5.2999999999999999E-2</v>
      </c>
      <c r="I64" s="18">
        <v>0.104</v>
      </c>
      <c r="J64" s="18">
        <v>0.1154</v>
      </c>
      <c r="K64" s="18">
        <v>5.2999999999999999E-2</v>
      </c>
      <c r="L64" s="18">
        <v>0.16639999999999999</v>
      </c>
      <c r="M64" s="18">
        <v>5.2999999999999999E-2</v>
      </c>
      <c r="N64" s="18">
        <v>0.14369999999999999</v>
      </c>
      <c r="O64" s="18">
        <v>7.5700000000000003E-2</v>
      </c>
      <c r="P64" s="18">
        <v>0.156</v>
      </c>
      <c r="Q64" s="18">
        <v>0.94650000000000001</v>
      </c>
      <c r="R64" s="18">
        <v>0.13739999999999999</v>
      </c>
      <c r="S64" s="18">
        <v>8.6999999999999994E-2</v>
      </c>
      <c r="T64" s="18">
        <v>5.3699999999999998E-2</v>
      </c>
      <c r="U64" s="18">
        <v>1.1197999999999999</v>
      </c>
      <c r="V64" s="18">
        <v>0.13270000000000001</v>
      </c>
      <c r="W64" s="18">
        <v>5.2999999999999999E-2</v>
      </c>
      <c r="X64" s="18">
        <v>5.2999999999999999E-2</v>
      </c>
      <c r="Y64" s="18">
        <v>5.2999999999999999E-2</v>
      </c>
      <c r="Z64" s="18">
        <v>0.1381</v>
      </c>
      <c r="AA64" s="18">
        <v>0.33160000000000001</v>
      </c>
      <c r="AB64" s="18">
        <v>8.2799999999999999E-2</v>
      </c>
      <c r="AC64" s="18">
        <v>0.16869999999999999</v>
      </c>
      <c r="AD64" s="18">
        <v>0.12959999999999999</v>
      </c>
      <c r="AE64" s="18">
        <v>7.5700000000000003E-2</v>
      </c>
      <c r="AF64" s="18">
        <v>0.14369999999999999</v>
      </c>
      <c r="AG64" s="18">
        <v>5.2999999999999999E-2</v>
      </c>
      <c r="AH64" s="18">
        <v>0.14940000000000001</v>
      </c>
      <c r="AI64" s="18">
        <v>0.10539999999999999</v>
      </c>
      <c r="AJ64" s="18">
        <v>7.6600000000000001E-2</v>
      </c>
      <c r="AK64" s="18">
        <v>5.2999999999999999E-2</v>
      </c>
      <c r="AL64" s="18">
        <v>5.2999999999999999E-2</v>
      </c>
      <c r="AM64" s="18">
        <v>0.15049999999999999</v>
      </c>
      <c r="AN64" s="18">
        <v>0.16639999999999999</v>
      </c>
      <c r="AO64" s="18">
        <v>5.2999999999999999E-2</v>
      </c>
      <c r="AP64" s="18">
        <v>5.2999999999999999E-2</v>
      </c>
      <c r="AQ64" s="18">
        <v>5.2999999999999999E-2</v>
      </c>
      <c r="AR64" s="18">
        <v>0.12670000000000001</v>
      </c>
      <c r="AS64" s="18">
        <v>9.2700000000000005E-2</v>
      </c>
      <c r="AT64" s="18">
        <v>5.2999999999999999E-2</v>
      </c>
      <c r="AU64" s="18">
        <v>5.2999999999999999E-2</v>
      </c>
      <c r="AV64" s="18">
        <v>9.2700000000000005E-2</v>
      </c>
      <c r="AW64" s="18">
        <v>0.12670000000000001</v>
      </c>
      <c r="AX64" s="18">
        <v>5.2999999999999999E-2</v>
      </c>
    </row>
    <row r="65" spans="1:50" x14ac:dyDescent="0.25">
      <c r="A65" s="17" t="s">
        <v>459</v>
      </c>
      <c r="B65" s="13" t="s">
        <v>410</v>
      </c>
      <c r="C65" s="18">
        <v>0.19159999999999999</v>
      </c>
      <c r="D65" s="18">
        <v>0.21790000000000001</v>
      </c>
      <c r="E65" s="18">
        <v>8.0100000000000005E-2</v>
      </c>
      <c r="F65" s="18">
        <v>0.30559999999999998</v>
      </c>
      <c r="G65" s="18">
        <v>0.15079999999999999</v>
      </c>
      <c r="H65" s="18">
        <v>0.1487</v>
      </c>
      <c r="I65" s="18">
        <v>0.3145</v>
      </c>
      <c r="J65" s="18">
        <v>9.4600000000000004E-2</v>
      </c>
      <c r="K65" s="18">
        <v>0.2074</v>
      </c>
      <c r="L65" s="18">
        <v>0.21529999999999999</v>
      </c>
      <c r="M65" s="18">
        <v>5.3999999999999999E-2</v>
      </c>
      <c r="N65" s="18">
        <v>0.26040000000000002</v>
      </c>
      <c r="O65" s="18">
        <v>0.20280000000000001</v>
      </c>
      <c r="P65" s="18">
        <v>0.17649999999999999</v>
      </c>
      <c r="Q65" s="18">
        <v>0.13789999999999999</v>
      </c>
      <c r="R65" s="18">
        <v>0.26719999999999999</v>
      </c>
      <c r="S65" s="18">
        <v>0.16370000000000001</v>
      </c>
      <c r="T65" s="18">
        <v>0.20669999999999999</v>
      </c>
      <c r="U65" s="18">
        <v>0.29509999999999997</v>
      </c>
      <c r="V65" s="18">
        <v>0.17019999999999999</v>
      </c>
      <c r="W65" s="18">
        <v>0.8387</v>
      </c>
      <c r="X65" s="18">
        <v>0.23050000000000001</v>
      </c>
      <c r="Y65" s="18">
        <v>0.57310000000000005</v>
      </c>
      <c r="Z65" s="18">
        <v>0.31069999999999998</v>
      </c>
      <c r="AA65" s="18">
        <v>0.32690000000000002</v>
      </c>
      <c r="AB65" s="18">
        <v>0.50260000000000005</v>
      </c>
      <c r="AC65" s="18">
        <v>0.2903</v>
      </c>
      <c r="AD65" s="18">
        <v>0.49469999999999997</v>
      </c>
      <c r="AE65" s="18">
        <v>0.15340000000000001</v>
      </c>
      <c r="AF65" s="18">
        <v>0.33529999999999999</v>
      </c>
      <c r="AG65" s="18">
        <v>0.45689999999999997</v>
      </c>
      <c r="AH65" s="18">
        <v>0.33550000000000002</v>
      </c>
      <c r="AI65" s="18">
        <v>0.58330000000000004</v>
      </c>
      <c r="AJ65" s="18">
        <v>0.4219</v>
      </c>
      <c r="AK65" s="18">
        <v>0.63590000000000002</v>
      </c>
      <c r="AL65" s="18">
        <v>0.72230000000000005</v>
      </c>
      <c r="AM65" s="18">
        <v>2.3691</v>
      </c>
      <c r="AN65" s="18">
        <v>0.49009999999999998</v>
      </c>
      <c r="AO65" s="18">
        <v>0.41870000000000002</v>
      </c>
      <c r="AP65" s="18">
        <v>0.72050000000000003</v>
      </c>
      <c r="AQ65" s="18">
        <v>0.77470000000000006</v>
      </c>
      <c r="AR65" s="18">
        <v>1.2072000000000001</v>
      </c>
      <c r="AS65" s="18">
        <v>1.0810999999999999</v>
      </c>
      <c r="AT65" s="18">
        <v>0.86080000000000001</v>
      </c>
      <c r="AU65" s="18">
        <v>1.8940999999999999</v>
      </c>
      <c r="AV65" s="18">
        <v>0.75829999999999997</v>
      </c>
      <c r="AW65" s="18">
        <v>2.2277999999999998</v>
      </c>
      <c r="AX65" s="18">
        <v>0.21690000000000001</v>
      </c>
    </row>
    <row r="66" spans="1:50" x14ac:dyDescent="0.25">
      <c r="A66" s="17" t="s">
        <v>461</v>
      </c>
      <c r="B66" s="13" t="s">
        <v>410</v>
      </c>
      <c r="C66" s="18">
        <v>0.18629999999999999</v>
      </c>
      <c r="D66" s="18">
        <v>0.12709999999999999</v>
      </c>
      <c r="E66" s="18">
        <v>0.05</v>
      </c>
      <c r="F66" s="18">
        <v>0.1489</v>
      </c>
      <c r="G66" s="18">
        <v>0.1043</v>
      </c>
      <c r="H66" s="18">
        <v>0.17199999999999999</v>
      </c>
      <c r="I66" s="18">
        <v>0.1414</v>
      </c>
      <c r="J66" s="18">
        <v>0.11020000000000001</v>
      </c>
      <c r="K66" s="18">
        <v>0.186</v>
      </c>
      <c r="L66" s="18">
        <v>0.12740000000000001</v>
      </c>
      <c r="M66" s="18">
        <v>0.05</v>
      </c>
      <c r="N66" s="18">
        <v>0.2387</v>
      </c>
      <c r="O66" s="18">
        <v>7.4700000000000003E-2</v>
      </c>
      <c r="P66" s="18">
        <v>0.1167</v>
      </c>
      <c r="Q66" s="18">
        <v>0.1968</v>
      </c>
      <c r="R66" s="18">
        <v>9.2999999999999999E-2</v>
      </c>
      <c r="S66" s="18">
        <v>0.1091</v>
      </c>
      <c r="T66" s="18">
        <v>0.1613</v>
      </c>
      <c r="U66" s="18">
        <v>7.3800000000000004E-2</v>
      </c>
      <c r="V66" s="18">
        <v>0.68140000000000001</v>
      </c>
      <c r="W66" s="18">
        <v>2.1110000000000002</v>
      </c>
      <c r="X66" s="18">
        <v>0.82799999999999996</v>
      </c>
      <c r="Y66" s="18">
        <v>5.8599999999999999E-2</v>
      </c>
      <c r="Z66" s="18">
        <v>0.186</v>
      </c>
      <c r="AA66" s="18">
        <v>0.12740000000000001</v>
      </c>
      <c r="AB66" s="18">
        <v>0.05</v>
      </c>
      <c r="AC66" s="18">
        <v>0.18310000000000001</v>
      </c>
      <c r="AD66" s="18">
        <v>0.64470000000000005</v>
      </c>
      <c r="AE66" s="18">
        <v>7.51E-2</v>
      </c>
      <c r="AF66" s="18">
        <v>0.13589999999999999</v>
      </c>
      <c r="AG66" s="18">
        <v>0.12280000000000001</v>
      </c>
      <c r="AH66" s="18">
        <v>0.14729999999999999</v>
      </c>
      <c r="AI66" s="18">
        <v>0.1489</v>
      </c>
      <c r="AJ66" s="18">
        <v>0.05</v>
      </c>
      <c r="AK66" s="18">
        <v>0.26340000000000002</v>
      </c>
      <c r="AL66" s="18">
        <v>0.05</v>
      </c>
      <c r="AM66" s="18">
        <v>0.12989999999999999</v>
      </c>
      <c r="AN66" s="18">
        <v>0.38800000000000001</v>
      </c>
      <c r="AO66" s="18">
        <v>0.39950000000000002</v>
      </c>
      <c r="AP66" s="18">
        <v>0.79430000000000001</v>
      </c>
      <c r="AQ66" s="18">
        <v>0.72160000000000002</v>
      </c>
      <c r="AR66" s="18">
        <v>0.91259999999999997</v>
      </c>
      <c r="AS66" s="18">
        <v>0.39069999999999999</v>
      </c>
      <c r="AT66" s="18">
        <v>0.42409999999999998</v>
      </c>
      <c r="AU66" s="18">
        <v>0.40689999999999998</v>
      </c>
      <c r="AV66" s="18">
        <v>0.47189999999999999</v>
      </c>
      <c r="AW66" s="18">
        <v>0.57840000000000003</v>
      </c>
      <c r="AX66" s="18">
        <v>5.8599999999999999E-2</v>
      </c>
    </row>
    <row r="67" spans="1:50" x14ac:dyDescent="0.25">
      <c r="A67" s="8" t="s">
        <v>126</v>
      </c>
      <c r="B67" s="10" t="s">
        <v>57</v>
      </c>
      <c r="C67" s="16">
        <v>0.22900000000000001</v>
      </c>
      <c r="D67" s="16">
        <v>0.10780000000000001</v>
      </c>
      <c r="E67" s="16">
        <v>0.111</v>
      </c>
      <c r="F67" s="16">
        <v>0.22220000000000001</v>
      </c>
      <c r="G67" s="16">
        <v>7.4899999999999994E-2</v>
      </c>
      <c r="H67" s="16">
        <v>0.14699999999999999</v>
      </c>
      <c r="I67" s="16">
        <v>0.1971</v>
      </c>
      <c r="J67" s="16">
        <v>5.2999999999999999E-2</v>
      </c>
      <c r="K67" s="16">
        <v>0.17829999999999999</v>
      </c>
      <c r="L67" s="16">
        <v>0.1658</v>
      </c>
      <c r="M67" s="16">
        <v>0.1</v>
      </c>
      <c r="N67" s="16">
        <v>0.24410000000000001</v>
      </c>
      <c r="O67" s="16">
        <v>5.2999999999999999E-2</v>
      </c>
      <c r="P67" s="16">
        <v>0.1893</v>
      </c>
      <c r="Q67" s="16">
        <v>0.20899999999999999</v>
      </c>
      <c r="R67" s="16">
        <v>0.2233</v>
      </c>
      <c r="S67" s="16">
        <v>0.41389999999999999</v>
      </c>
      <c r="T67" s="16">
        <v>1.7158</v>
      </c>
      <c r="U67" s="16">
        <v>0.2412</v>
      </c>
      <c r="V67" s="16">
        <v>2.1623999999999999</v>
      </c>
      <c r="W67" s="16">
        <v>5.2999999999999999E-2</v>
      </c>
      <c r="X67" s="16">
        <v>0.1188</v>
      </c>
      <c r="Y67" s="16">
        <v>0.77759999999999996</v>
      </c>
      <c r="Z67" s="16">
        <v>1.7235</v>
      </c>
      <c r="AA67" s="16">
        <v>1.5585</v>
      </c>
      <c r="AB67" s="16">
        <v>1.6838</v>
      </c>
      <c r="AC67" s="16">
        <v>1.5139</v>
      </c>
      <c r="AD67" s="16">
        <v>0.29959999999999998</v>
      </c>
      <c r="AE67" s="16">
        <v>0.1104</v>
      </c>
      <c r="AF67" s="16">
        <v>0.10050000000000001</v>
      </c>
      <c r="AG67" s="16">
        <v>0.20180000000000001</v>
      </c>
      <c r="AH67" s="16">
        <v>0.14230000000000001</v>
      </c>
      <c r="AI67" s="16">
        <v>5.2999999999999999E-2</v>
      </c>
      <c r="AJ67" s="16">
        <v>0.20599999999999999</v>
      </c>
      <c r="AK67" s="16">
        <v>0.1381</v>
      </c>
      <c r="AL67" s="16">
        <v>0.1958</v>
      </c>
      <c r="AM67" s="16">
        <v>0.27139999999999997</v>
      </c>
      <c r="AN67" s="16">
        <v>0.38740000000000002</v>
      </c>
      <c r="AO67" s="16">
        <v>0.39589999999999997</v>
      </c>
      <c r="AP67" s="16">
        <v>0.70179999999999998</v>
      </c>
      <c r="AQ67" s="16">
        <v>1.0668</v>
      </c>
      <c r="AR67" s="16">
        <v>0.56330000000000002</v>
      </c>
      <c r="AS67" s="16">
        <v>0.72019999999999995</v>
      </c>
      <c r="AT67" s="16">
        <v>0.50590000000000002</v>
      </c>
      <c r="AU67" s="16">
        <v>0.89870000000000005</v>
      </c>
      <c r="AV67" s="16">
        <v>0.67620000000000002</v>
      </c>
      <c r="AW67" s="16">
        <v>1.825</v>
      </c>
      <c r="AX67" s="16">
        <v>0.85629999999999995</v>
      </c>
    </row>
    <row r="68" spans="1:50" x14ac:dyDescent="0.25">
      <c r="A68" s="17" t="s">
        <v>463</v>
      </c>
      <c r="B68" s="13" t="s">
        <v>410</v>
      </c>
      <c r="C68" s="18">
        <v>0.25619999999999998</v>
      </c>
      <c r="D68" s="18">
        <v>9.4600000000000004E-2</v>
      </c>
      <c r="E68" s="18">
        <v>5.0999999999999997E-2</v>
      </c>
      <c r="F68" s="18">
        <v>0.29980000000000001</v>
      </c>
      <c r="G68" s="18">
        <v>5.0999999999999997E-2</v>
      </c>
      <c r="H68" s="18">
        <v>0.1019</v>
      </c>
      <c r="I68" s="18">
        <v>0.24890000000000001</v>
      </c>
      <c r="J68" s="18">
        <v>9.5699999999999993E-2</v>
      </c>
      <c r="K68" s="18">
        <v>0.23019999999999999</v>
      </c>
      <c r="L68" s="18">
        <v>0.1206</v>
      </c>
      <c r="M68" s="18">
        <v>0.1492</v>
      </c>
      <c r="N68" s="18">
        <v>0.157</v>
      </c>
      <c r="O68" s="18">
        <v>0.3337</v>
      </c>
      <c r="P68" s="18">
        <v>0.16270000000000001</v>
      </c>
      <c r="Q68" s="18">
        <v>5.0999999999999997E-2</v>
      </c>
      <c r="R68" s="18">
        <v>0.14030000000000001</v>
      </c>
      <c r="S68" s="18">
        <v>0.16059999999999999</v>
      </c>
      <c r="T68" s="18">
        <v>0.1009</v>
      </c>
      <c r="U68" s="18">
        <v>8.09E-2</v>
      </c>
      <c r="V68" s="18">
        <v>0.70830000000000004</v>
      </c>
      <c r="W68" s="18">
        <v>0.92300000000000004</v>
      </c>
      <c r="X68" s="18">
        <v>0.58279999999999998</v>
      </c>
      <c r="Y68" s="18">
        <v>1.4019999999999999</v>
      </c>
      <c r="Z68" s="18">
        <v>0.2109</v>
      </c>
      <c r="AA68" s="18">
        <v>0.21840000000000001</v>
      </c>
      <c r="AB68" s="18">
        <v>8.2199999999999995E-2</v>
      </c>
      <c r="AC68" s="18">
        <v>5.0999999999999997E-2</v>
      </c>
      <c r="AD68" s="18">
        <v>0.18820000000000001</v>
      </c>
      <c r="AE68" s="18">
        <v>0.15709999999999999</v>
      </c>
      <c r="AF68" s="18">
        <v>5.6599999999999998E-2</v>
      </c>
      <c r="AG68" s="18">
        <v>5.0999999999999997E-2</v>
      </c>
      <c r="AH68" s="18">
        <v>0.1741</v>
      </c>
      <c r="AI68" s="18">
        <v>0.1767</v>
      </c>
      <c r="AJ68" s="18">
        <v>8.4500000000000006E-2</v>
      </c>
      <c r="AK68" s="18">
        <v>0.26379999999999998</v>
      </c>
      <c r="AL68" s="18">
        <v>0.3175</v>
      </c>
      <c r="AM68" s="18">
        <v>0.41320000000000001</v>
      </c>
      <c r="AN68" s="18">
        <v>0.2051</v>
      </c>
      <c r="AO68" s="18">
        <v>0.28449999999999998</v>
      </c>
      <c r="AP68" s="18">
        <v>5.0999999999999997E-2</v>
      </c>
      <c r="AQ68" s="18">
        <v>0.28860000000000002</v>
      </c>
      <c r="AR68" s="18">
        <v>6.2199999999999998E-2</v>
      </c>
      <c r="AS68" s="18">
        <v>0.1754</v>
      </c>
      <c r="AT68" s="18">
        <v>0.27689999999999998</v>
      </c>
      <c r="AU68" s="18">
        <v>8.2199999999999995E-2</v>
      </c>
      <c r="AV68" s="18">
        <v>0.26860000000000001</v>
      </c>
      <c r="AW68" s="18">
        <v>5.0999999999999997E-2</v>
      </c>
      <c r="AX68" s="18">
        <v>0.23089999999999999</v>
      </c>
    </row>
    <row r="69" spans="1:50" x14ac:dyDescent="0.25">
      <c r="A69" s="17" t="s">
        <v>465</v>
      </c>
      <c r="B69" s="13" t="s">
        <v>410</v>
      </c>
      <c r="C69" s="18">
        <v>0.56000000000000005</v>
      </c>
      <c r="D69" s="18">
        <v>0.53349999999999997</v>
      </c>
      <c r="E69" s="18">
        <v>5.5E-2</v>
      </c>
      <c r="F69" s="18">
        <v>5.5E-2</v>
      </c>
      <c r="G69" s="18">
        <v>5.5E-2</v>
      </c>
      <c r="H69" s="18">
        <v>5.5E-2</v>
      </c>
      <c r="I69" s="18">
        <v>5.5E-2</v>
      </c>
      <c r="J69" s="18">
        <v>5.5E-2</v>
      </c>
      <c r="K69" s="18">
        <v>5.5E-2</v>
      </c>
      <c r="L69" s="18">
        <v>5.5E-2</v>
      </c>
      <c r="M69" s="18">
        <v>5.5E-2</v>
      </c>
      <c r="N69" s="18">
        <v>5.5E-2</v>
      </c>
      <c r="O69" s="18">
        <v>0.13519999999999999</v>
      </c>
      <c r="P69" s="18">
        <v>1.1912</v>
      </c>
      <c r="Q69" s="18">
        <v>5.5E-2</v>
      </c>
      <c r="R69" s="18">
        <v>0.1017</v>
      </c>
      <c r="S69" s="18">
        <v>0.2</v>
      </c>
      <c r="T69" s="18">
        <v>0.22650000000000001</v>
      </c>
      <c r="U69" s="18">
        <v>0.22650000000000001</v>
      </c>
      <c r="V69" s="18">
        <v>0.22650000000000001</v>
      </c>
      <c r="W69" s="18">
        <v>0.22650000000000001</v>
      </c>
      <c r="X69" s="18">
        <v>5.5E-2</v>
      </c>
      <c r="Y69" s="18">
        <v>5.5E-2</v>
      </c>
      <c r="Z69" s="18">
        <v>5.5E-2</v>
      </c>
      <c r="AA69" s="18">
        <v>5.5E-2</v>
      </c>
      <c r="AB69" s="18">
        <v>5.5E-2</v>
      </c>
      <c r="AC69" s="18">
        <v>5.5E-2</v>
      </c>
      <c r="AD69" s="18">
        <v>5.5E-2</v>
      </c>
      <c r="AE69" s="18">
        <v>5.5E-2</v>
      </c>
      <c r="AF69" s="18">
        <v>5.5E-2</v>
      </c>
      <c r="AG69" s="18">
        <v>5.5E-2</v>
      </c>
      <c r="AH69" s="18">
        <v>5.5E-2</v>
      </c>
      <c r="AI69" s="18">
        <v>5.5E-2</v>
      </c>
      <c r="AJ69" s="18">
        <v>0.22650000000000001</v>
      </c>
      <c r="AK69" s="18">
        <v>0.22650000000000001</v>
      </c>
      <c r="AL69" s="18">
        <v>0.31330000000000002</v>
      </c>
      <c r="AM69" s="18">
        <v>0.4017</v>
      </c>
      <c r="AN69" s="18">
        <v>0.46629999999999999</v>
      </c>
      <c r="AO69" s="18">
        <v>0.14610000000000001</v>
      </c>
      <c r="AP69" s="18">
        <v>0.22500000000000001</v>
      </c>
      <c r="AQ69" s="18">
        <v>0.41909999999999997</v>
      </c>
      <c r="AR69" s="18">
        <v>1.6851</v>
      </c>
      <c r="AS69" s="18">
        <v>0.60529999999999995</v>
      </c>
      <c r="AT69" s="18">
        <v>0.73860000000000003</v>
      </c>
      <c r="AU69" s="18">
        <v>0.77649999999999997</v>
      </c>
      <c r="AV69" s="18">
        <v>0.5454</v>
      </c>
      <c r="AW69" s="18">
        <v>0.21929999999999999</v>
      </c>
      <c r="AX69" s="18">
        <v>5.5E-2</v>
      </c>
    </row>
    <row r="70" spans="1:50" x14ac:dyDescent="0.25">
      <c r="A70" s="17" t="s">
        <v>467</v>
      </c>
      <c r="B70" s="13" t="s">
        <v>410</v>
      </c>
      <c r="C70" s="18">
        <v>0.221</v>
      </c>
      <c r="D70" s="18">
        <v>0.05</v>
      </c>
      <c r="E70" s="18">
        <v>0.2132</v>
      </c>
      <c r="F70" s="18">
        <v>5.7799999999999997E-2</v>
      </c>
      <c r="G70" s="18">
        <v>8.8900000000000007E-2</v>
      </c>
      <c r="H70" s="18">
        <v>0.18210000000000001</v>
      </c>
      <c r="I70" s="18">
        <v>0.05</v>
      </c>
      <c r="J70" s="18">
        <v>0.221</v>
      </c>
      <c r="K70" s="18">
        <v>0.33929999999999999</v>
      </c>
      <c r="L70" s="18">
        <v>0.18210000000000001</v>
      </c>
      <c r="M70" s="18">
        <v>8.8900000000000007E-2</v>
      </c>
      <c r="N70" s="18">
        <v>0.12770000000000001</v>
      </c>
      <c r="O70" s="18">
        <v>0.14330000000000001</v>
      </c>
      <c r="P70" s="18">
        <v>0.05</v>
      </c>
      <c r="Q70" s="18">
        <v>0.221</v>
      </c>
      <c r="R70" s="18">
        <v>0.05</v>
      </c>
      <c r="S70" s="18">
        <v>0.14330000000000001</v>
      </c>
      <c r="T70" s="18">
        <v>0.12770000000000001</v>
      </c>
      <c r="U70" s="18">
        <v>0.31090000000000001</v>
      </c>
      <c r="V70" s="18">
        <v>0.33900000000000002</v>
      </c>
      <c r="W70" s="18">
        <v>0.05</v>
      </c>
      <c r="X70" s="18">
        <v>0.27439999999999998</v>
      </c>
      <c r="Y70" s="18">
        <v>0.19120000000000001</v>
      </c>
      <c r="Z70" s="18">
        <v>0.13550000000000001</v>
      </c>
      <c r="AA70" s="18">
        <v>8.1100000000000005E-2</v>
      </c>
      <c r="AB70" s="18">
        <v>0.4143</v>
      </c>
      <c r="AC70" s="18">
        <v>0.05</v>
      </c>
      <c r="AD70" s="18">
        <v>0.2054</v>
      </c>
      <c r="AE70" s="18">
        <v>6.5500000000000003E-2</v>
      </c>
      <c r="AF70" s="18">
        <v>0.11219999999999999</v>
      </c>
      <c r="AG70" s="18">
        <v>0.1588</v>
      </c>
      <c r="AH70" s="18">
        <v>0.05</v>
      </c>
      <c r="AI70" s="18">
        <v>0.05</v>
      </c>
      <c r="AJ70" s="18">
        <v>0.221</v>
      </c>
      <c r="AK70" s="18">
        <v>0.05</v>
      </c>
      <c r="AL70" s="18">
        <v>0.18210000000000001</v>
      </c>
      <c r="AM70" s="18">
        <v>8.8900000000000007E-2</v>
      </c>
      <c r="AN70" s="18">
        <v>0.05</v>
      </c>
      <c r="AO70" s="18">
        <v>0.221</v>
      </c>
      <c r="AP70" s="18">
        <v>0.05</v>
      </c>
      <c r="AQ70" s="18">
        <v>0.05</v>
      </c>
      <c r="AR70" s="18">
        <v>0.11990000000000001</v>
      </c>
      <c r="AS70" s="18">
        <v>0.151</v>
      </c>
      <c r="AT70" s="18">
        <v>0.05</v>
      </c>
      <c r="AU70" s="18">
        <v>0.221</v>
      </c>
      <c r="AV70" s="18">
        <v>0.05</v>
      </c>
      <c r="AW70" s="18">
        <v>0.11990000000000001</v>
      </c>
      <c r="AX70" s="18">
        <v>0.151</v>
      </c>
    </row>
    <row r="71" spans="1:50" x14ac:dyDescent="0.25">
      <c r="A71" s="17" t="s">
        <v>469</v>
      </c>
      <c r="B71" s="13" t="s">
        <v>410</v>
      </c>
      <c r="C71" s="18">
        <v>0.37830000000000003</v>
      </c>
      <c r="D71" s="18">
        <v>0.3821</v>
      </c>
      <c r="E71" s="18">
        <v>6.0999999999999999E-2</v>
      </c>
      <c r="F71" s="18">
        <v>0.22489999999999999</v>
      </c>
      <c r="G71" s="18">
        <v>6.0999999999999999E-2</v>
      </c>
      <c r="H71" s="18">
        <v>6.0999999999999999E-2</v>
      </c>
      <c r="I71" s="18">
        <v>0.21</v>
      </c>
      <c r="J71" s="18">
        <v>7.5899999999999995E-2</v>
      </c>
      <c r="K71" s="18">
        <v>6.0999999999999999E-2</v>
      </c>
      <c r="L71" s="18">
        <v>0.22489999999999999</v>
      </c>
      <c r="M71" s="18">
        <v>6.0999999999999999E-2</v>
      </c>
      <c r="N71" s="18">
        <v>6.0999999999999999E-2</v>
      </c>
      <c r="O71" s="18">
        <v>0.22489999999999999</v>
      </c>
      <c r="P71" s="18">
        <v>6.0999999999999999E-2</v>
      </c>
      <c r="Q71" s="18">
        <v>0.17269999999999999</v>
      </c>
      <c r="R71" s="18">
        <v>0.14369999999999999</v>
      </c>
      <c r="S71" s="18">
        <v>6.0999999999999999E-2</v>
      </c>
      <c r="T71" s="18">
        <v>0.29749999999999999</v>
      </c>
      <c r="U71" s="18">
        <v>0.20019999999999999</v>
      </c>
      <c r="V71" s="18">
        <v>0.43080000000000002</v>
      </c>
      <c r="W71" s="18">
        <v>0.50549999999999995</v>
      </c>
      <c r="X71" s="18">
        <v>0.19850000000000001</v>
      </c>
      <c r="Y71" s="18">
        <v>0.32190000000000002</v>
      </c>
      <c r="Z71" s="18">
        <v>0.57369999999999999</v>
      </c>
      <c r="AA71" s="18">
        <v>0.29649999999999999</v>
      </c>
      <c r="AB71" s="18">
        <v>0.3256</v>
      </c>
      <c r="AC71" s="18">
        <v>0.3271</v>
      </c>
      <c r="AD71" s="18">
        <v>0.25819999999999999</v>
      </c>
      <c r="AE71" s="18">
        <v>0.79510000000000003</v>
      </c>
      <c r="AF71" s="18">
        <v>1.1036999999999999</v>
      </c>
      <c r="AG71" s="18">
        <v>6.0999999999999999E-2</v>
      </c>
      <c r="AH71" s="18">
        <v>0.22489999999999999</v>
      </c>
      <c r="AI71" s="18">
        <v>0.25009999999999999</v>
      </c>
      <c r="AJ71" s="18">
        <v>0.30449999999999999</v>
      </c>
      <c r="AK71" s="18">
        <v>0.21740000000000001</v>
      </c>
      <c r="AL71" s="18">
        <v>6.0999999999999999E-2</v>
      </c>
      <c r="AM71" s="18">
        <v>0.5171</v>
      </c>
      <c r="AN71" s="18">
        <v>0.37319999999999998</v>
      </c>
      <c r="AO71" s="18">
        <v>0.64900000000000002</v>
      </c>
      <c r="AP71" s="18">
        <v>0.82099999999999995</v>
      </c>
      <c r="AQ71" s="18">
        <v>1.4332</v>
      </c>
      <c r="AR71" s="18">
        <v>0.98</v>
      </c>
      <c r="AS71" s="18">
        <v>0.69610000000000005</v>
      </c>
      <c r="AT71" s="18">
        <v>1.7437</v>
      </c>
      <c r="AU71" s="18">
        <v>0.99</v>
      </c>
      <c r="AV71" s="18">
        <v>0.67259999999999998</v>
      </c>
      <c r="AW71" s="18">
        <v>6.0999999999999999E-2</v>
      </c>
      <c r="AX71" s="18">
        <v>0.1653</v>
      </c>
    </row>
    <row r="72" spans="1:50" x14ac:dyDescent="0.25">
      <c r="A72" s="8" t="s">
        <v>128</v>
      </c>
      <c r="B72" s="10" t="s">
        <v>57</v>
      </c>
      <c r="C72" s="16">
        <v>5.8000000000000003E-2</v>
      </c>
      <c r="D72" s="16">
        <v>0.13730000000000001</v>
      </c>
      <c r="E72" s="16">
        <v>6.2700000000000006E-2</v>
      </c>
      <c r="F72" s="16">
        <v>0.14199999999999999</v>
      </c>
      <c r="G72" s="16">
        <v>5.8000000000000003E-2</v>
      </c>
      <c r="H72" s="16">
        <v>0.14199999999999999</v>
      </c>
      <c r="I72" s="16">
        <v>5.8000000000000003E-2</v>
      </c>
      <c r="J72" s="16">
        <v>0.128</v>
      </c>
      <c r="K72" s="16">
        <v>7.1999999999999995E-2</v>
      </c>
      <c r="L72" s="16">
        <v>5.8000000000000003E-2</v>
      </c>
      <c r="M72" s="16">
        <v>0.14199999999999999</v>
      </c>
      <c r="N72" s="16">
        <v>5.8000000000000003E-2</v>
      </c>
      <c r="O72" s="16">
        <v>6.2700000000000006E-2</v>
      </c>
      <c r="P72" s="16">
        <v>0.13730000000000001</v>
      </c>
      <c r="Q72" s="16">
        <v>5.8000000000000003E-2</v>
      </c>
      <c r="R72" s="16">
        <v>9.0800000000000006E-2</v>
      </c>
      <c r="S72" s="16">
        <v>0.14199999999999999</v>
      </c>
      <c r="T72" s="16">
        <v>0.2954</v>
      </c>
      <c r="U72" s="16">
        <v>0.21560000000000001</v>
      </c>
      <c r="V72" s="16">
        <v>8.2799999999999999E-2</v>
      </c>
      <c r="W72" s="16">
        <v>0.19989999999999999</v>
      </c>
      <c r="X72" s="16">
        <v>0.53400000000000003</v>
      </c>
      <c r="Y72" s="16">
        <v>6.2700000000000006E-2</v>
      </c>
      <c r="Z72" s="16">
        <v>6.4100000000000004E-2</v>
      </c>
      <c r="AA72" s="16">
        <v>7.1999999999999995E-2</v>
      </c>
      <c r="AB72" s="16">
        <v>0.15890000000000001</v>
      </c>
      <c r="AC72" s="16">
        <v>0.1227</v>
      </c>
      <c r="AD72" s="16">
        <v>0.1002</v>
      </c>
      <c r="AE72" s="16">
        <v>0.1837</v>
      </c>
      <c r="AF72" s="16">
        <v>0.1168</v>
      </c>
      <c r="AG72" s="16">
        <v>0.24410000000000001</v>
      </c>
      <c r="AH72" s="16">
        <v>0.3115</v>
      </c>
      <c r="AI72" s="16">
        <v>0.3599</v>
      </c>
      <c r="AJ72" s="16">
        <v>0.39269999999999999</v>
      </c>
      <c r="AK72" s="16">
        <v>0.28070000000000001</v>
      </c>
      <c r="AL72" s="16">
        <v>0.42070000000000002</v>
      </c>
      <c r="AM72" s="16">
        <v>0.4138</v>
      </c>
      <c r="AN72" s="16">
        <v>0.25119999999999998</v>
      </c>
      <c r="AO72" s="16">
        <v>0.12330000000000001</v>
      </c>
      <c r="AP72" s="16">
        <v>7.6700000000000004E-2</v>
      </c>
      <c r="AQ72" s="16">
        <v>5.8000000000000003E-2</v>
      </c>
      <c r="AR72" s="16">
        <v>0.12330000000000001</v>
      </c>
      <c r="AS72" s="16">
        <v>7.6700000000000004E-2</v>
      </c>
      <c r="AT72" s="16">
        <v>0.1187</v>
      </c>
      <c r="AU72" s="16">
        <v>0.48020000000000002</v>
      </c>
      <c r="AV72" s="16">
        <v>0.4405</v>
      </c>
      <c r="AW72" s="16">
        <v>0.44700000000000001</v>
      </c>
      <c r="AX72" s="16">
        <v>0.53369999999999995</v>
      </c>
    </row>
    <row r="73" spans="1:50" x14ac:dyDescent="0.25">
      <c r="A73" s="17" t="s">
        <v>471</v>
      </c>
      <c r="B73" s="13" t="s">
        <v>410</v>
      </c>
      <c r="C73" s="18">
        <v>0.4844</v>
      </c>
      <c r="D73" s="18">
        <v>0.50629999999999997</v>
      </c>
      <c r="E73" s="18">
        <v>0.38429999999999997</v>
      </c>
      <c r="F73" s="18">
        <v>0.16689999999999999</v>
      </c>
      <c r="G73" s="18">
        <v>4.5999999999999999E-2</v>
      </c>
      <c r="H73" s="18">
        <v>4.5999999999999999E-2</v>
      </c>
      <c r="I73" s="18">
        <v>4.5999999999999999E-2</v>
      </c>
      <c r="J73" s="18">
        <v>4.5999999999999999E-2</v>
      </c>
      <c r="K73" s="18">
        <v>4.5999999999999999E-2</v>
      </c>
      <c r="L73" s="18">
        <v>4.5999999999999999E-2</v>
      </c>
      <c r="M73" s="18">
        <v>4.5999999999999999E-2</v>
      </c>
      <c r="N73" s="18">
        <v>4.5999999999999999E-2</v>
      </c>
      <c r="O73" s="18">
        <v>4.5999999999999999E-2</v>
      </c>
      <c r="P73" s="18">
        <v>4.5999999999999999E-2</v>
      </c>
      <c r="Q73" s="18">
        <v>4.5999999999999999E-2</v>
      </c>
      <c r="R73" s="18">
        <v>4.5999999999999999E-2</v>
      </c>
      <c r="S73" s="18">
        <v>4.5999999999999999E-2</v>
      </c>
      <c r="T73" s="18">
        <v>4.5999999999999999E-2</v>
      </c>
      <c r="U73" s="18">
        <v>4.5999999999999999E-2</v>
      </c>
      <c r="V73" s="18">
        <v>4.5999999999999999E-2</v>
      </c>
      <c r="W73" s="18">
        <v>0.05</v>
      </c>
      <c r="X73" s="18">
        <v>0.217</v>
      </c>
      <c r="Y73" s="18">
        <v>0.75819999999999999</v>
      </c>
      <c r="Z73" s="18">
        <v>0.5696</v>
      </c>
      <c r="AA73" s="18">
        <v>0.16070000000000001</v>
      </c>
      <c r="AB73" s="18">
        <v>6.8000000000000005E-2</v>
      </c>
      <c r="AC73" s="18">
        <v>4.6300000000000001E-2</v>
      </c>
      <c r="AD73" s="18">
        <v>4.5999999999999999E-2</v>
      </c>
      <c r="AE73" s="18">
        <v>0.18149999999999999</v>
      </c>
      <c r="AF73" s="18">
        <v>1.2744</v>
      </c>
      <c r="AG73" s="18">
        <v>9.0399999999999994E-2</v>
      </c>
      <c r="AH73" s="18">
        <v>7.5899999999999995E-2</v>
      </c>
      <c r="AI73" s="18">
        <v>4.5999999999999999E-2</v>
      </c>
      <c r="AJ73" s="18">
        <v>4.5999999999999999E-2</v>
      </c>
      <c r="AK73" s="18">
        <v>4.5999999999999999E-2</v>
      </c>
      <c r="AL73" s="18">
        <v>4.5999999999999999E-2</v>
      </c>
      <c r="AM73" s="18">
        <v>4.5999999999999999E-2</v>
      </c>
      <c r="AN73" s="18">
        <v>7.4300000000000005E-2</v>
      </c>
      <c r="AO73" s="18">
        <v>0.1226</v>
      </c>
      <c r="AP73" s="18">
        <v>0.31690000000000002</v>
      </c>
      <c r="AQ73" s="18">
        <v>0.30930000000000002</v>
      </c>
      <c r="AR73" s="18">
        <v>0.47610000000000002</v>
      </c>
      <c r="AS73" s="18">
        <v>0.438</v>
      </c>
      <c r="AT73" s="18">
        <v>0.48780000000000001</v>
      </c>
      <c r="AU73" s="18">
        <v>0.40529999999999999</v>
      </c>
      <c r="AV73" s="18">
        <v>0.32269999999999999</v>
      </c>
      <c r="AW73" s="18">
        <v>0.59360000000000002</v>
      </c>
      <c r="AX73" s="18">
        <v>0.504</v>
      </c>
    </row>
    <row r="74" spans="1:50" x14ac:dyDescent="0.25">
      <c r="A74" s="17" t="s">
        <v>473</v>
      </c>
      <c r="B74" s="13" t="s">
        <v>410</v>
      </c>
      <c r="C74" s="18">
        <v>5.9900000000000002E-2</v>
      </c>
      <c r="D74" s="18">
        <v>0.30259999999999998</v>
      </c>
      <c r="E74" s="18">
        <v>0.1009</v>
      </c>
      <c r="F74" s="18">
        <v>0.12570000000000001</v>
      </c>
      <c r="G74" s="18">
        <v>0.29970000000000002</v>
      </c>
      <c r="H74" s="18">
        <v>3.7999999999999999E-2</v>
      </c>
      <c r="I74" s="18">
        <v>0.30109999999999998</v>
      </c>
      <c r="J74" s="18">
        <v>8.9399999999999993E-2</v>
      </c>
      <c r="K74" s="18">
        <v>7.2900000000000006E-2</v>
      </c>
      <c r="L74" s="18">
        <v>0.2341</v>
      </c>
      <c r="M74" s="18">
        <v>0.1913</v>
      </c>
      <c r="N74" s="18">
        <v>0.14810000000000001</v>
      </c>
      <c r="O74" s="18">
        <v>0.27729999999999999</v>
      </c>
      <c r="P74" s="18">
        <v>4.5900000000000003E-2</v>
      </c>
      <c r="Q74" s="18">
        <v>0.2792</v>
      </c>
      <c r="R74" s="18">
        <v>0.1389</v>
      </c>
      <c r="S74" s="18">
        <v>0.1895</v>
      </c>
      <c r="T74" s="18">
        <v>0.27339999999999998</v>
      </c>
      <c r="U74" s="18">
        <v>0.19739999999999999</v>
      </c>
      <c r="V74" s="18">
        <v>0.1993</v>
      </c>
      <c r="W74" s="18">
        <v>0.25609999999999999</v>
      </c>
      <c r="X74" s="18">
        <v>1.2573000000000001</v>
      </c>
      <c r="Y74" s="18">
        <v>0.70089999999999997</v>
      </c>
      <c r="Z74" s="18">
        <v>0.2147</v>
      </c>
      <c r="AA74" s="18">
        <v>0.26190000000000002</v>
      </c>
      <c r="AB74" s="18">
        <v>0.25080000000000002</v>
      </c>
      <c r="AC74" s="18">
        <v>4.0399999999999998E-2</v>
      </c>
      <c r="AD74" s="18">
        <v>0.14810000000000001</v>
      </c>
      <c r="AE74" s="18">
        <v>0.41239999999999999</v>
      </c>
      <c r="AF74" s="18">
        <v>0.48299999999999998</v>
      </c>
      <c r="AG74" s="18">
        <v>0.27160000000000001</v>
      </c>
      <c r="AH74" s="18">
        <v>0.1062</v>
      </c>
      <c r="AI74" s="18">
        <v>0.42559999999999998</v>
      </c>
      <c r="AJ74" s="18">
        <v>0.35899999999999999</v>
      </c>
      <c r="AK74" s="18">
        <v>0.30330000000000001</v>
      </c>
      <c r="AL74" s="18">
        <v>0.30180000000000001</v>
      </c>
      <c r="AM74" s="18">
        <v>0.2261</v>
      </c>
      <c r="AN74" s="18">
        <v>0.46610000000000001</v>
      </c>
      <c r="AO74" s="18">
        <v>0.50639999999999996</v>
      </c>
      <c r="AP74" s="18">
        <v>0.52680000000000005</v>
      </c>
      <c r="AQ74" s="18">
        <v>9.0300000000000005E-2</v>
      </c>
      <c r="AR74" s="18">
        <v>0.17419999999999999</v>
      </c>
      <c r="AS74" s="18">
        <v>0.1623</v>
      </c>
      <c r="AT74" s="18">
        <v>7.46E-2</v>
      </c>
      <c r="AU74" s="18">
        <v>0.20069999999999999</v>
      </c>
      <c r="AV74" s="18">
        <v>0.59019999999999995</v>
      </c>
      <c r="AW74" s="18">
        <v>5.11E-2</v>
      </c>
      <c r="AX74" s="18">
        <v>0.31140000000000001</v>
      </c>
    </row>
    <row r="75" spans="1:50" x14ac:dyDescent="0.25">
      <c r="A75" s="8" t="s">
        <v>130</v>
      </c>
      <c r="B75" s="10" t="s">
        <v>57</v>
      </c>
      <c r="C75" s="16">
        <v>0.35310000000000002</v>
      </c>
      <c r="D75" s="16">
        <v>0.50319999999999998</v>
      </c>
      <c r="E75" s="16">
        <v>0.71050000000000002</v>
      </c>
      <c r="F75" s="16">
        <v>0.36880000000000002</v>
      </c>
      <c r="G75" s="16">
        <v>0.23480000000000001</v>
      </c>
      <c r="H75" s="16">
        <v>0.1389</v>
      </c>
      <c r="I75" s="16">
        <v>4.8000000000000001E-2</v>
      </c>
      <c r="J75" s="16">
        <v>0.17580000000000001</v>
      </c>
      <c r="K75" s="16">
        <v>0.23119999999999999</v>
      </c>
      <c r="L75" s="16">
        <v>5.7099999999999998E-2</v>
      </c>
      <c r="M75" s="16">
        <v>0.3332</v>
      </c>
      <c r="N75" s="16">
        <v>6.4600000000000005E-2</v>
      </c>
      <c r="O75" s="16">
        <v>0.13669999999999999</v>
      </c>
      <c r="P75" s="16">
        <v>0.27029999999999998</v>
      </c>
      <c r="Q75" s="16">
        <v>0.14630000000000001</v>
      </c>
      <c r="R75" s="16">
        <v>0.1804</v>
      </c>
      <c r="S75" s="16">
        <v>0.19270000000000001</v>
      </c>
      <c r="T75" s="16">
        <v>0.54059999999999997</v>
      </c>
      <c r="U75" s="16">
        <v>0.86899999999999999</v>
      </c>
      <c r="V75" s="16">
        <v>0.2208</v>
      </c>
      <c r="W75" s="16">
        <v>0.1331</v>
      </c>
      <c r="X75" s="16">
        <v>1.0973999999999999</v>
      </c>
      <c r="Y75" s="16">
        <v>1.0414000000000001</v>
      </c>
      <c r="Z75" s="16">
        <v>0.59719999999999995</v>
      </c>
      <c r="AA75" s="16">
        <v>0.57679999999999998</v>
      </c>
      <c r="AB75" s="16">
        <v>8.6300000000000002E-2</v>
      </c>
      <c r="AC75" s="16">
        <v>0.22989999999999999</v>
      </c>
      <c r="AD75" s="16">
        <v>0.17710000000000001</v>
      </c>
      <c r="AE75" s="16">
        <v>4.8000000000000001E-2</v>
      </c>
      <c r="AF75" s="16">
        <v>0.14230000000000001</v>
      </c>
      <c r="AG75" s="16">
        <v>0.13739999999999999</v>
      </c>
      <c r="AH75" s="16">
        <v>0.32219999999999999</v>
      </c>
      <c r="AI75" s="16">
        <v>0.30790000000000001</v>
      </c>
      <c r="AJ75" s="16">
        <v>0.35699999999999998</v>
      </c>
      <c r="AK75" s="16">
        <v>0.31280000000000002</v>
      </c>
      <c r="AL75" s="16">
        <v>1.6820999999999999</v>
      </c>
      <c r="AM75" s="16">
        <v>0.37519999999999998</v>
      </c>
      <c r="AN75" s="16">
        <v>2.7471999999999999</v>
      </c>
      <c r="AO75" s="16">
        <v>0.62870000000000004</v>
      </c>
      <c r="AP75" s="16">
        <v>0.42099999999999999</v>
      </c>
      <c r="AQ75" s="16">
        <v>0.4839</v>
      </c>
      <c r="AR75" s="16">
        <v>0.63070000000000004</v>
      </c>
      <c r="AS75" s="16">
        <v>0.6996</v>
      </c>
      <c r="AT75" s="16">
        <v>0.30159999999999998</v>
      </c>
      <c r="AU75" s="16">
        <v>0.2208</v>
      </c>
      <c r="AV75" s="16">
        <v>0.1862</v>
      </c>
      <c r="AW75" s="16">
        <v>0.39400000000000002</v>
      </c>
      <c r="AX75" s="16">
        <v>0.62629999999999997</v>
      </c>
    </row>
    <row r="76" spans="1:50" x14ac:dyDescent="0.25">
      <c r="A76" s="17" t="s">
        <v>475</v>
      </c>
      <c r="B76" s="13" t="s">
        <v>410</v>
      </c>
      <c r="C76" s="18">
        <v>0.18329999999999999</v>
      </c>
      <c r="D76" s="18">
        <v>5.0999999999999997E-2</v>
      </c>
      <c r="E76" s="18">
        <v>6.6600000000000006E-2</v>
      </c>
      <c r="F76" s="18">
        <v>0.20660000000000001</v>
      </c>
      <c r="G76" s="18">
        <v>5.0999999999999997E-2</v>
      </c>
      <c r="H76" s="18">
        <v>0.20660000000000001</v>
      </c>
      <c r="I76" s="18">
        <v>6.6600000000000006E-2</v>
      </c>
      <c r="J76" s="18">
        <v>5.0999999999999997E-2</v>
      </c>
      <c r="K76" s="18">
        <v>0.22220000000000001</v>
      </c>
      <c r="L76" s="18">
        <v>5.0999999999999997E-2</v>
      </c>
      <c r="M76" s="18">
        <v>0.17549999999999999</v>
      </c>
      <c r="N76" s="18">
        <v>9.7699999999999995E-2</v>
      </c>
      <c r="O76" s="18">
        <v>5.0999999999999997E-2</v>
      </c>
      <c r="P76" s="18">
        <v>0.1444</v>
      </c>
      <c r="Q76" s="18">
        <v>0.1288</v>
      </c>
      <c r="R76" s="18">
        <v>7.0300000000000001E-2</v>
      </c>
      <c r="S76" s="18">
        <v>0.26129999999999998</v>
      </c>
      <c r="T76" s="18">
        <v>1.3613999999999999</v>
      </c>
      <c r="U76" s="18">
        <v>0.80289999999999995</v>
      </c>
      <c r="V76" s="18">
        <v>1.2912999999999999</v>
      </c>
      <c r="W76" s="18">
        <v>0.191</v>
      </c>
      <c r="X76" s="18">
        <v>5.0999999999999997E-2</v>
      </c>
      <c r="Y76" s="18">
        <v>0.20660000000000001</v>
      </c>
      <c r="Z76" s="18">
        <v>6.6600000000000006E-2</v>
      </c>
      <c r="AA76" s="18">
        <v>5.8799999999999998E-2</v>
      </c>
      <c r="AB76" s="18">
        <v>0.21440000000000001</v>
      </c>
      <c r="AC76" s="18">
        <v>5.0999999999999997E-2</v>
      </c>
      <c r="AD76" s="18">
        <v>9.5200000000000007E-2</v>
      </c>
      <c r="AE76" s="18">
        <v>0.1134</v>
      </c>
      <c r="AF76" s="18">
        <v>5.8599999999999999E-2</v>
      </c>
      <c r="AG76" s="18">
        <v>0.2198</v>
      </c>
      <c r="AH76" s="18">
        <v>8.5900000000000004E-2</v>
      </c>
      <c r="AI76" s="18">
        <v>9.8699999999999996E-2</v>
      </c>
      <c r="AJ76" s="18">
        <v>0.27739999999999998</v>
      </c>
      <c r="AK76" s="18">
        <v>6.3E-2</v>
      </c>
      <c r="AL76" s="18">
        <v>0.29909999999999998</v>
      </c>
      <c r="AM76" s="18">
        <v>0.3931</v>
      </c>
      <c r="AN76" s="18">
        <v>0.2102</v>
      </c>
      <c r="AO76" s="18">
        <v>0.18479999999999999</v>
      </c>
      <c r="AP76" s="18">
        <v>0.29349999999999998</v>
      </c>
      <c r="AQ76" s="18">
        <v>0.44819999999999999</v>
      </c>
      <c r="AR76" s="18">
        <v>0.62929999999999997</v>
      </c>
      <c r="AS76" s="18">
        <v>0.56799999999999995</v>
      </c>
      <c r="AT76" s="18">
        <v>0.43659999999999999</v>
      </c>
      <c r="AU76" s="18">
        <v>0.46739999999999998</v>
      </c>
      <c r="AV76" s="18">
        <v>0.76170000000000004</v>
      </c>
      <c r="AW76" s="18">
        <v>0.31669999999999998</v>
      </c>
      <c r="AX76" s="18">
        <v>0.43430000000000002</v>
      </c>
    </row>
    <row r="77" spans="1:50" x14ac:dyDescent="0.25">
      <c r="A77" s="8" t="s">
        <v>132</v>
      </c>
      <c r="B77" s="10" t="s">
        <v>57</v>
      </c>
      <c r="C77" s="16">
        <v>0.2288</v>
      </c>
      <c r="D77" s="16">
        <v>8.4099999999999994E-2</v>
      </c>
      <c r="E77" s="16">
        <v>0.31919999999999998</v>
      </c>
      <c r="F77" s="16">
        <v>5.1999999999999998E-2</v>
      </c>
      <c r="G77" s="16">
        <v>6.4299999999999996E-2</v>
      </c>
      <c r="H77" s="16">
        <v>0.33090000000000003</v>
      </c>
      <c r="I77" s="16">
        <v>0.06</v>
      </c>
      <c r="J77" s="16">
        <v>0.1749</v>
      </c>
      <c r="K77" s="16">
        <v>5.1999999999999998E-2</v>
      </c>
      <c r="L77" s="16">
        <v>0.21629999999999999</v>
      </c>
      <c r="M77" s="16">
        <v>0.2152</v>
      </c>
      <c r="N77" s="16">
        <v>8.0600000000000005E-2</v>
      </c>
      <c r="O77" s="16">
        <v>0.23899999999999999</v>
      </c>
      <c r="P77" s="16">
        <v>0.16420000000000001</v>
      </c>
      <c r="Q77" s="16">
        <v>0.10730000000000001</v>
      </c>
      <c r="R77" s="16">
        <v>0.37340000000000001</v>
      </c>
      <c r="S77" s="16">
        <v>9.7000000000000003E-2</v>
      </c>
      <c r="T77" s="16">
        <v>0.2056</v>
      </c>
      <c r="U77" s="16">
        <v>0.20230000000000001</v>
      </c>
      <c r="V77" s="16">
        <v>0.22059999999999999</v>
      </c>
      <c r="W77" s="16">
        <v>0.15279999999999999</v>
      </c>
      <c r="X77" s="16">
        <v>0.62129999999999996</v>
      </c>
      <c r="Y77" s="16">
        <v>0.22159999999999999</v>
      </c>
      <c r="Z77" s="16">
        <v>0.28589999999999999</v>
      </c>
      <c r="AA77" s="16">
        <v>1.0427</v>
      </c>
      <c r="AB77" s="16">
        <v>0.67530000000000001</v>
      </c>
      <c r="AC77" s="16">
        <v>0.1857</v>
      </c>
      <c r="AD77" s="16">
        <v>0.1787</v>
      </c>
      <c r="AE77" s="16">
        <v>0.1183</v>
      </c>
      <c r="AF77" s="16">
        <v>0.2104</v>
      </c>
      <c r="AG77" s="16">
        <v>0.19550000000000001</v>
      </c>
      <c r="AH77" s="16">
        <v>0.21859999999999999</v>
      </c>
      <c r="AI77" s="16">
        <v>0.50260000000000005</v>
      </c>
      <c r="AJ77" s="16">
        <v>0.16270000000000001</v>
      </c>
      <c r="AK77" s="16">
        <v>0.2203</v>
      </c>
      <c r="AL77" s="16">
        <v>0.20200000000000001</v>
      </c>
      <c r="AM77" s="16">
        <v>0.2019</v>
      </c>
      <c r="AN77" s="16">
        <v>0.37419999999999998</v>
      </c>
      <c r="AO77" s="16">
        <v>0.40820000000000001</v>
      </c>
      <c r="AP77" s="16">
        <v>0.1081</v>
      </c>
      <c r="AQ77" s="16">
        <v>0.29509999999999997</v>
      </c>
      <c r="AR77" s="16">
        <v>5.1999999999999998E-2</v>
      </c>
      <c r="AS77" s="16">
        <v>0.2283</v>
      </c>
      <c r="AT77" s="16">
        <v>5.1999999999999998E-2</v>
      </c>
      <c r="AU77" s="16">
        <v>0.1749</v>
      </c>
      <c r="AV77" s="16">
        <v>0.1321</v>
      </c>
      <c r="AW77" s="16">
        <v>0.27110000000000001</v>
      </c>
      <c r="AX77" s="16">
        <v>6.8000000000000005E-2</v>
      </c>
    </row>
    <row r="78" spans="1:50" x14ac:dyDescent="0.25">
      <c r="A78" s="17" t="s">
        <v>477</v>
      </c>
      <c r="B78" s="13" t="s">
        <v>410</v>
      </c>
      <c r="C78" s="18">
        <v>0.1298</v>
      </c>
      <c r="D78" s="18">
        <v>0.1298</v>
      </c>
      <c r="E78" s="18">
        <v>0.11219999999999999</v>
      </c>
      <c r="F78" s="18">
        <v>0.1075</v>
      </c>
      <c r="G78" s="18">
        <v>0.15210000000000001</v>
      </c>
      <c r="H78" s="18">
        <v>4.8000000000000001E-2</v>
      </c>
      <c r="I78" s="18">
        <v>6.2899999999999998E-2</v>
      </c>
      <c r="J78" s="18">
        <v>0.19670000000000001</v>
      </c>
      <c r="K78" s="18">
        <v>4.8000000000000001E-2</v>
      </c>
      <c r="L78" s="18">
        <v>0.19670000000000001</v>
      </c>
      <c r="M78" s="18">
        <v>6.2899999999999998E-2</v>
      </c>
      <c r="N78" s="18">
        <v>4.8000000000000001E-2</v>
      </c>
      <c r="O78" s="18">
        <v>5.6300000000000003E-2</v>
      </c>
      <c r="P78" s="18">
        <v>0.21149999999999999</v>
      </c>
      <c r="Q78" s="18">
        <v>4.8000000000000001E-2</v>
      </c>
      <c r="R78" s="18">
        <v>4.8000000000000001E-2</v>
      </c>
      <c r="S78" s="18">
        <v>0.21149999999999999</v>
      </c>
      <c r="T78" s="18">
        <v>4.8000000000000001E-2</v>
      </c>
      <c r="U78" s="18">
        <v>0.37059999999999998</v>
      </c>
      <c r="V78" s="18">
        <v>0.46510000000000001</v>
      </c>
      <c r="W78" s="18">
        <v>0.66090000000000004</v>
      </c>
      <c r="X78" s="18">
        <v>1.5417000000000001</v>
      </c>
      <c r="Y78" s="18">
        <v>0.46660000000000001</v>
      </c>
      <c r="Z78" s="18">
        <v>0.10299999999999999</v>
      </c>
      <c r="AA78" s="18">
        <v>0.58109999999999995</v>
      </c>
      <c r="AB78" s="18">
        <v>1.3935999999999999</v>
      </c>
      <c r="AC78" s="18">
        <v>0.89680000000000004</v>
      </c>
      <c r="AD78" s="18">
        <v>0.1042</v>
      </c>
      <c r="AE78" s="18">
        <v>0.73680000000000001</v>
      </c>
      <c r="AF78" s="18">
        <v>0.79369999999999996</v>
      </c>
      <c r="AG78" s="18">
        <v>0.58589999999999998</v>
      </c>
      <c r="AH78" s="18">
        <v>0.1225</v>
      </c>
      <c r="AI78" s="18">
        <v>0.44319999999999998</v>
      </c>
      <c r="AJ78" s="18">
        <v>1.1144000000000001</v>
      </c>
      <c r="AK78" s="18">
        <v>0.76060000000000005</v>
      </c>
      <c r="AL78" s="18">
        <v>0.19750000000000001</v>
      </c>
      <c r="AM78" s="18">
        <v>0.60370000000000001</v>
      </c>
      <c r="AN78" s="18">
        <v>0.1973</v>
      </c>
      <c r="AO78" s="18">
        <v>0.86360000000000003</v>
      </c>
      <c r="AP78" s="18">
        <v>0.92820000000000003</v>
      </c>
      <c r="AQ78" s="18">
        <v>1.5454000000000001</v>
      </c>
      <c r="AR78" s="18">
        <v>0.86360000000000003</v>
      </c>
      <c r="AS78" s="18">
        <v>0.49270000000000003</v>
      </c>
      <c r="AT78" s="18">
        <v>1.5617000000000001</v>
      </c>
      <c r="AU78" s="18">
        <v>0.38540000000000002</v>
      </c>
      <c r="AV78" s="18">
        <v>0.40050000000000002</v>
      </c>
      <c r="AW78" s="18">
        <v>0.81430000000000002</v>
      </c>
      <c r="AX78" s="18">
        <v>4.8000000000000001E-2</v>
      </c>
    </row>
    <row r="79" spans="1:50" x14ac:dyDescent="0.25">
      <c r="A79" s="17" t="s">
        <v>479</v>
      </c>
      <c r="B79" s="13" t="s">
        <v>410</v>
      </c>
      <c r="C79" s="18">
        <v>4.4999999999999998E-2</v>
      </c>
      <c r="D79" s="18">
        <v>4.4999999999999998E-2</v>
      </c>
      <c r="E79" s="18">
        <v>6.0100000000000001E-2</v>
      </c>
      <c r="F79" s="18">
        <v>0.19639999999999999</v>
      </c>
      <c r="G79" s="18">
        <v>4.4999999999999998E-2</v>
      </c>
      <c r="H79" s="18">
        <v>7.5300000000000006E-2</v>
      </c>
      <c r="I79" s="18">
        <v>0.1812</v>
      </c>
      <c r="J79" s="18">
        <v>4.4999999999999998E-2</v>
      </c>
      <c r="K79" s="18">
        <v>0.21149999999999999</v>
      </c>
      <c r="L79" s="18">
        <v>4.4999999999999998E-2</v>
      </c>
      <c r="M79" s="18">
        <v>4.4999999999999998E-2</v>
      </c>
      <c r="N79" s="18">
        <v>0.21149999999999999</v>
      </c>
      <c r="O79" s="18">
        <v>4.4999999999999998E-2</v>
      </c>
      <c r="P79" s="18">
        <v>4.4999999999999998E-2</v>
      </c>
      <c r="Q79" s="18">
        <v>5.2600000000000001E-2</v>
      </c>
      <c r="R79" s="18">
        <v>0.439</v>
      </c>
      <c r="S79" s="18">
        <v>8.1199999999999994E-2</v>
      </c>
      <c r="T79" s="18">
        <v>1.5282</v>
      </c>
      <c r="U79" s="18">
        <v>0.32119999999999999</v>
      </c>
      <c r="V79" s="18">
        <v>0.3967</v>
      </c>
      <c r="W79" s="18">
        <v>0.18099999999999999</v>
      </c>
      <c r="X79" s="18">
        <v>4.4999999999999998E-2</v>
      </c>
      <c r="Y79" s="18">
        <v>0.21149999999999999</v>
      </c>
      <c r="Z79" s="18">
        <v>4.4999999999999998E-2</v>
      </c>
      <c r="AA79" s="18">
        <v>4.4999999999999998E-2</v>
      </c>
      <c r="AB79" s="18">
        <v>0.42699999999999999</v>
      </c>
      <c r="AC79" s="18">
        <v>0.1062</v>
      </c>
      <c r="AD79" s="18">
        <v>0.1033</v>
      </c>
      <c r="AE79" s="18">
        <v>0.26469999999999999</v>
      </c>
      <c r="AF79" s="18">
        <v>0.2087</v>
      </c>
      <c r="AG79" s="18">
        <v>0.34370000000000001</v>
      </c>
      <c r="AH79" s="18">
        <v>0.49609999999999999</v>
      </c>
      <c r="AI79" s="18">
        <v>0.2324</v>
      </c>
      <c r="AJ79" s="18">
        <v>0.78449999999999998</v>
      </c>
      <c r="AK79" s="18">
        <v>2.0419</v>
      </c>
      <c r="AL79" s="18">
        <v>0.8337</v>
      </c>
      <c r="AM79" s="18">
        <v>0.56230000000000002</v>
      </c>
      <c r="AN79" s="18">
        <v>0.72370000000000001</v>
      </c>
      <c r="AO79" s="18">
        <v>0.48099999999999998</v>
      </c>
      <c r="AP79" s="18">
        <v>0.35639999999999999</v>
      </c>
      <c r="AQ79" s="18">
        <v>0.48509999999999998</v>
      </c>
      <c r="AR79" s="18">
        <v>1.6572</v>
      </c>
      <c r="AS79" s="18">
        <v>1.1879</v>
      </c>
      <c r="AT79" s="18">
        <v>0.86699999999999999</v>
      </c>
      <c r="AU79" s="18">
        <v>0.90039999999999998</v>
      </c>
      <c r="AV79" s="18">
        <v>0.81089999999999995</v>
      </c>
      <c r="AW79" s="18">
        <v>0.1888</v>
      </c>
      <c r="AX79" s="18">
        <v>4.4999999999999998E-2</v>
      </c>
    </row>
    <row r="80" spans="1:50" x14ac:dyDescent="0.25">
      <c r="A80" s="17" t="s">
        <v>481</v>
      </c>
      <c r="B80" s="13" t="s">
        <v>410</v>
      </c>
      <c r="C80" s="18">
        <v>7.8799999999999995E-2</v>
      </c>
      <c r="D80" s="18">
        <v>0.28770000000000001</v>
      </c>
      <c r="E80" s="18">
        <v>0.05</v>
      </c>
      <c r="F80" s="18">
        <v>0.05</v>
      </c>
      <c r="G80" s="18">
        <v>0.2949</v>
      </c>
      <c r="H80" s="18">
        <v>7.1599999999999997E-2</v>
      </c>
      <c r="I80" s="18">
        <v>0.12709999999999999</v>
      </c>
      <c r="J80" s="18">
        <v>0.22500000000000001</v>
      </c>
      <c r="K80" s="18">
        <v>6.4399999999999999E-2</v>
      </c>
      <c r="L80" s="18">
        <v>0.158</v>
      </c>
      <c r="M80" s="18">
        <v>0.20860000000000001</v>
      </c>
      <c r="N80" s="18">
        <v>9.6299999999999997E-2</v>
      </c>
      <c r="O80" s="18">
        <v>0.23419999999999999</v>
      </c>
      <c r="P80" s="18">
        <v>8.5999999999999993E-2</v>
      </c>
      <c r="Q80" s="18">
        <v>0.20119999999999999</v>
      </c>
      <c r="R80" s="18">
        <v>0.1653</v>
      </c>
      <c r="S80" s="18">
        <v>0.1487</v>
      </c>
      <c r="T80" s="18">
        <v>1.3683000000000001</v>
      </c>
      <c r="U80" s="18">
        <v>0.55459999999999998</v>
      </c>
      <c r="V80" s="18">
        <v>0.18679999999999999</v>
      </c>
      <c r="W80" s="18">
        <v>0.1797</v>
      </c>
      <c r="X80" s="18">
        <v>0.14949999999999999</v>
      </c>
      <c r="Y80" s="18">
        <v>0.39510000000000001</v>
      </c>
      <c r="Z80" s="18">
        <v>1.2828999999999999</v>
      </c>
      <c r="AA80" s="18">
        <v>0.19919999999999999</v>
      </c>
      <c r="AB80" s="18">
        <v>0.36309999999999998</v>
      </c>
      <c r="AC80" s="18">
        <v>0.35849999999999999</v>
      </c>
      <c r="AD80" s="18">
        <v>0.28410000000000002</v>
      </c>
      <c r="AE80" s="18">
        <v>0.64849999999999997</v>
      </c>
      <c r="AF80" s="18">
        <v>0.1822</v>
      </c>
      <c r="AG80" s="18">
        <v>0.1661</v>
      </c>
      <c r="AH80" s="18">
        <v>0.26229999999999998</v>
      </c>
      <c r="AI80" s="18">
        <v>0.1699</v>
      </c>
      <c r="AJ80" s="18">
        <v>0.26490000000000002</v>
      </c>
      <c r="AK80" s="18">
        <v>0.15890000000000001</v>
      </c>
      <c r="AL80" s="18">
        <v>0.158</v>
      </c>
      <c r="AM80" s="18">
        <v>0.28660000000000002</v>
      </c>
      <c r="AN80" s="18">
        <v>0.34710000000000002</v>
      </c>
      <c r="AO80" s="18">
        <v>0.1678</v>
      </c>
      <c r="AP80" s="18">
        <v>0.41620000000000001</v>
      </c>
      <c r="AQ80" s="18">
        <v>1.8851</v>
      </c>
      <c r="AR80" s="18">
        <v>0.60919999999999996</v>
      </c>
      <c r="AS80" s="18">
        <v>0.76270000000000004</v>
      </c>
      <c r="AT80" s="18">
        <v>0.92859999999999998</v>
      </c>
      <c r="AU80" s="18">
        <v>0.73140000000000005</v>
      </c>
      <c r="AV80" s="18">
        <v>0.54979999999999996</v>
      </c>
      <c r="AW80" s="18">
        <v>0.44240000000000002</v>
      </c>
      <c r="AX80" s="18">
        <v>0.61599999999999999</v>
      </c>
    </row>
    <row r="81" spans="1:50" x14ac:dyDescent="0.25">
      <c r="A81" s="8" t="s">
        <v>134</v>
      </c>
      <c r="B81" s="10" t="s">
        <v>57</v>
      </c>
      <c r="C81" s="16">
        <v>0.37840000000000001</v>
      </c>
      <c r="D81" s="16">
        <v>0.21609999999999999</v>
      </c>
      <c r="E81" s="16">
        <v>5.3999999999999999E-2</v>
      </c>
      <c r="F81" s="16">
        <v>5.3999999999999999E-2</v>
      </c>
      <c r="G81" s="16">
        <v>5.3999999999999999E-2</v>
      </c>
      <c r="H81" s="16">
        <v>0.1203</v>
      </c>
      <c r="I81" s="16">
        <v>0.26850000000000002</v>
      </c>
      <c r="J81" s="16">
        <v>5.3999999999999999E-2</v>
      </c>
      <c r="K81" s="16">
        <v>0.2611</v>
      </c>
      <c r="L81" s="16">
        <v>0.12770000000000001</v>
      </c>
      <c r="M81" s="16">
        <v>9.0800000000000006E-2</v>
      </c>
      <c r="N81" s="16">
        <v>0.2979</v>
      </c>
      <c r="O81" s="16">
        <v>5.3999999999999999E-2</v>
      </c>
      <c r="P81" s="16">
        <v>0.20880000000000001</v>
      </c>
      <c r="Q81" s="16">
        <v>6.1400000000000003E-2</v>
      </c>
      <c r="R81" s="16">
        <v>0.1203</v>
      </c>
      <c r="S81" s="16">
        <v>0.65700000000000003</v>
      </c>
      <c r="T81" s="16">
        <v>0.14990000000000001</v>
      </c>
      <c r="U81" s="16">
        <v>0.24249999999999999</v>
      </c>
      <c r="V81" s="16">
        <v>0.1246</v>
      </c>
      <c r="W81" s="16">
        <v>0.83560000000000001</v>
      </c>
      <c r="X81" s="16">
        <v>1.4714</v>
      </c>
      <c r="Y81" s="16">
        <v>1.6979</v>
      </c>
      <c r="Z81" s="16">
        <v>0.32990000000000003</v>
      </c>
      <c r="AA81" s="16">
        <v>0.31019999999999998</v>
      </c>
      <c r="AB81" s="16">
        <v>0.75180000000000002</v>
      </c>
      <c r="AC81" s="16">
        <v>0.29339999999999999</v>
      </c>
      <c r="AD81" s="16">
        <v>0.41439999999999999</v>
      </c>
      <c r="AE81" s="16">
        <v>0.50739999999999996</v>
      </c>
      <c r="AF81" s="16">
        <v>0.35160000000000002</v>
      </c>
      <c r="AG81" s="16">
        <v>0.28949999999999998</v>
      </c>
      <c r="AH81" s="16">
        <v>0.7752</v>
      </c>
      <c r="AI81" s="16">
        <v>0.63429999999999997</v>
      </c>
      <c r="AJ81" s="16">
        <v>0.66310000000000002</v>
      </c>
      <c r="AK81" s="16">
        <v>0.27950000000000003</v>
      </c>
      <c r="AL81" s="16">
        <v>0.29339999999999999</v>
      </c>
      <c r="AM81" s="16">
        <v>0.32390000000000002</v>
      </c>
      <c r="AN81" s="16">
        <v>0.4042</v>
      </c>
      <c r="AO81" s="16">
        <v>0.19189999999999999</v>
      </c>
      <c r="AP81" s="16">
        <v>0.64529999999999998</v>
      </c>
      <c r="AQ81" s="16">
        <v>0.32850000000000001</v>
      </c>
      <c r="AR81" s="16">
        <v>0.4375</v>
      </c>
      <c r="AS81" s="16">
        <v>0.73760000000000003</v>
      </c>
      <c r="AT81" s="16">
        <v>0.72419999999999995</v>
      </c>
      <c r="AU81" s="16">
        <v>0.65380000000000005</v>
      </c>
      <c r="AV81" s="16">
        <v>0.82499999999999996</v>
      </c>
      <c r="AW81" s="16">
        <v>0.82640000000000002</v>
      </c>
      <c r="AX81" s="16">
        <v>0.64710000000000001</v>
      </c>
    </row>
    <row r="82" spans="1:50" x14ac:dyDescent="0.25">
      <c r="A82" s="17" t="s">
        <v>483</v>
      </c>
      <c r="B82" s="13" t="s">
        <v>410</v>
      </c>
      <c r="C82" s="18">
        <v>0.1071</v>
      </c>
      <c r="D82" s="18">
        <v>4.7E-2</v>
      </c>
      <c r="E82" s="18">
        <v>0.15959999999999999</v>
      </c>
      <c r="F82" s="18">
        <v>9.9599999999999994E-2</v>
      </c>
      <c r="G82" s="18">
        <v>5.1499999999999997E-2</v>
      </c>
      <c r="H82" s="18">
        <v>0.1938</v>
      </c>
      <c r="I82" s="18">
        <v>0.15959999999999999</v>
      </c>
      <c r="J82" s="18">
        <v>4.7E-2</v>
      </c>
      <c r="K82" s="18">
        <v>0.2122</v>
      </c>
      <c r="L82" s="18">
        <v>4.7E-2</v>
      </c>
      <c r="M82" s="18">
        <v>9.2100000000000001E-2</v>
      </c>
      <c r="N82" s="18">
        <v>0.1671</v>
      </c>
      <c r="O82" s="18">
        <v>4.7E-2</v>
      </c>
      <c r="P82" s="18">
        <v>0.2122</v>
      </c>
      <c r="Q82" s="18">
        <v>4.7E-2</v>
      </c>
      <c r="R82" s="18">
        <v>0.15959999999999999</v>
      </c>
      <c r="S82" s="18">
        <v>9.9599999999999994E-2</v>
      </c>
      <c r="T82" s="18">
        <v>7.6999999999999999E-2</v>
      </c>
      <c r="U82" s="18">
        <v>0.1822</v>
      </c>
      <c r="V82" s="18">
        <v>4.7E-2</v>
      </c>
      <c r="W82" s="18">
        <v>0.15959999999999999</v>
      </c>
      <c r="X82" s="18">
        <v>9.9599999999999994E-2</v>
      </c>
      <c r="Y82" s="18">
        <v>0.1071</v>
      </c>
      <c r="Z82" s="18">
        <v>0.15210000000000001</v>
      </c>
      <c r="AA82" s="18">
        <v>4.7E-2</v>
      </c>
      <c r="AB82" s="18">
        <v>0.12959999999999999</v>
      </c>
      <c r="AC82" s="18">
        <v>0.12959999999999999</v>
      </c>
      <c r="AD82" s="18">
        <v>4.7E-2</v>
      </c>
      <c r="AE82" s="18">
        <v>7.6999999999999999E-2</v>
      </c>
      <c r="AF82" s="18">
        <v>0.1822</v>
      </c>
      <c r="AG82" s="18">
        <v>4.7E-2</v>
      </c>
      <c r="AH82" s="18">
        <v>0.19719999999999999</v>
      </c>
      <c r="AI82" s="18">
        <v>6.2E-2</v>
      </c>
      <c r="AJ82" s="18">
        <v>4.7E-2</v>
      </c>
      <c r="AK82" s="18">
        <v>8.4500000000000006E-2</v>
      </c>
      <c r="AL82" s="18">
        <v>0.17469999999999999</v>
      </c>
      <c r="AM82" s="18">
        <v>4.7E-2</v>
      </c>
      <c r="AN82" s="18">
        <v>4.7E-2</v>
      </c>
      <c r="AO82" s="18">
        <v>4.7E-2</v>
      </c>
      <c r="AP82" s="18">
        <v>0.2122</v>
      </c>
      <c r="AQ82" s="18">
        <v>4.7E-2</v>
      </c>
      <c r="AR82" s="18">
        <v>7.1300000000000002E-2</v>
      </c>
      <c r="AS82" s="18">
        <v>0.21260000000000001</v>
      </c>
      <c r="AT82" s="18">
        <v>0.47770000000000001</v>
      </c>
      <c r="AU82" s="18">
        <v>0.32640000000000002</v>
      </c>
      <c r="AV82" s="18">
        <v>0.26619999999999999</v>
      </c>
      <c r="AW82" s="18">
        <v>0.36230000000000001</v>
      </c>
      <c r="AX82" s="18">
        <v>0.55700000000000005</v>
      </c>
    </row>
    <row r="83" spans="1:50" x14ac:dyDescent="0.25">
      <c r="A83" s="8" t="s">
        <v>136</v>
      </c>
      <c r="B83" s="10" t="s">
        <v>57</v>
      </c>
      <c r="C83" s="16">
        <v>0.21990000000000001</v>
      </c>
      <c r="D83" s="16">
        <v>0.104</v>
      </c>
      <c r="E83" s="16">
        <v>0.28939999999999999</v>
      </c>
      <c r="F83" s="16">
        <v>7.3999999999999996E-2</v>
      </c>
      <c r="G83" s="16">
        <v>0.13170000000000001</v>
      </c>
      <c r="H83" s="16">
        <v>0.22270000000000001</v>
      </c>
      <c r="I83" s="16">
        <v>0.108</v>
      </c>
      <c r="J83" s="16">
        <v>0.28120000000000001</v>
      </c>
      <c r="K83" s="16">
        <v>0.16600000000000001</v>
      </c>
      <c r="L83" s="16">
        <v>0.1031</v>
      </c>
      <c r="M83" s="16">
        <v>0.3352</v>
      </c>
      <c r="N83" s="16">
        <v>4.9000000000000002E-2</v>
      </c>
      <c r="O83" s="16">
        <v>0.23699999999999999</v>
      </c>
      <c r="P83" s="16">
        <v>0.20130000000000001</v>
      </c>
      <c r="Q83" s="16">
        <v>4.9000000000000002E-2</v>
      </c>
      <c r="R83" s="16">
        <v>0.21829999999999999</v>
      </c>
      <c r="S83" s="16">
        <v>0.223</v>
      </c>
      <c r="T83" s="16">
        <v>0.84540000000000004</v>
      </c>
      <c r="U83" s="16">
        <v>1.3557999999999999</v>
      </c>
      <c r="V83" s="16">
        <v>1.4401999999999999</v>
      </c>
      <c r="W83" s="16">
        <v>1.4810000000000001</v>
      </c>
      <c r="X83" s="16">
        <v>0.247</v>
      </c>
      <c r="Y83" s="16">
        <v>7.6700000000000004E-2</v>
      </c>
      <c r="Z83" s="16">
        <v>0.1799</v>
      </c>
      <c r="AA83" s="16">
        <v>0.18779999999999999</v>
      </c>
      <c r="AB83" s="16">
        <v>0.1883</v>
      </c>
      <c r="AC83" s="16">
        <v>0.20380000000000001</v>
      </c>
      <c r="AD83" s="16">
        <v>0.20949999999999999</v>
      </c>
      <c r="AE83" s="16">
        <v>0.72750000000000004</v>
      </c>
      <c r="AF83" s="16">
        <v>0.60029999999999994</v>
      </c>
      <c r="AG83" s="16">
        <v>0.3049</v>
      </c>
      <c r="AH83" s="16">
        <v>0.52780000000000005</v>
      </c>
      <c r="AI83" s="16">
        <v>0.75449999999999995</v>
      </c>
      <c r="AJ83" s="16">
        <v>1.3441000000000001</v>
      </c>
      <c r="AK83" s="16">
        <v>0.77790000000000004</v>
      </c>
      <c r="AL83" s="16">
        <v>0.42299999999999999</v>
      </c>
      <c r="AM83" s="16">
        <v>0.51859999999999995</v>
      </c>
      <c r="AN83" s="16">
        <v>0.79020000000000001</v>
      </c>
      <c r="AO83" s="16">
        <v>7.3999999999999996E-2</v>
      </c>
      <c r="AP83" s="16">
        <v>0.35160000000000002</v>
      </c>
      <c r="AQ83" s="16">
        <v>0.34539999999999998</v>
      </c>
      <c r="AR83" s="16">
        <v>0.99350000000000005</v>
      </c>
      <c r="AS83" s="16">
        <v>0.28120000000000001</v>
      </c>
      <c r="AT83" s="16">
        <v>5.6899999999999999E-2</v>
      </c>
      <c r="AU83" s="16">
        <v>0.93369999999999997</v>
      </c>
      <c r="AV83" s="16">
        <v>0.13669999999999999</v>
      </c>
      <c r="AW83" s="16">
        <v>0.15110000000000001</v>
      </c>
      <c r="AX83" s="16">
        <v>0.18690000000000001</v>
      </c>
    </row>
    <row r="84" spans="1:50" x14ac:dyDescent="0.25">
      <c r="A84" s="17" t="s">
        <v>485</v>
      </c>
      <c r="B84" s="13" t="s">
        <v>410</v>
      </c>
      <c r="C84" s="18">
        <v>0.1002</v>
      </c>
      <c r="D84" s="18">
        <v>0.33100000000000002</v>
      </c>
      <c r="E84" s="18">
        <v>5.7700000000000001E-2</v>
      </c>
      <c r="F84" s="18">
        <v>0.2261</v>
      </c>
      <c r="G84" s="18">
        <v>0.155</v>
      </c>
      <c r="H84" s="18">
        <v>0.17369999999999999</v>
      </c>
      <c r="I84" s="18">
        <v>0.20930000000000001</v>
      </c>
      <c r="J84" s="18">
        <v>0.24790000000000001</v>
      </c>
      <c r="K84" s="18">
        <v>0.18329999999999999</v>
      </c>
      <c r="L84" s="18">
        <v>0.1983</v>
      </c>
      <c r="M84" s="18">
        <v>0.1608</v>
      </c>
      <c r="N84" s="18">
        <v>0.1241</v>
      </c>
      <c r="O84" s="18">
        <v>0.2233</v>
      </c>
      <c r="P84" s="18">
        <v>0.12690000000000001</v>
      </c>
      <c r="Q84" s="18">
        <v>0.14729999999999999</v>
      </c>
      <c r="R84" s="18">
        <v>0.31859999999999999</v>
      </c>
      <c r="S84" s="18">
        <v>4.9000000000000002E-2</v>
      </c>
      <c r="T84" s="18">
        <v>0.40749999999999997</v>
      </c>
      <c r="U84" s="18">
        <v>0.37490000000000001</v>
      </c>
      <c r="V84" s="18">
        <v>0.95130000000000003</v>
      </c>
      <c r="W84" s="18">
        <v>0.248</v>
      </c>
      <c r="X84" s="18">
        <v>0.6482</v>
      </c>
      <c r="Y84" s="18">
        <v>1.4119999999999999</v>
      </c>
      <c r="Z84" s="18">
        <v>2.5110000000000001</v>
      </c>
      <c r="AA84" s="18">
        <v>0.45829999999999999</v>
      </c>
      <c r="AB84" s="18">
        <v>0.15310000000000001</v>
      </c>
      <c r="AC84" s="18">
        <v>0.12690000000000001</v>
      </c>
      <c r="AD84" s="18">
        <v>0.21010000000000001</v>
      </c>
      <c r="AE84" s="18">
        <v>0.307</v>
      </c>
      <c r="AF84" s="18">
        <v>1.4659</v>
      </c>
      <c r="AG84" s="18">
        <v>0.26290000000000002</v>
      </c>
      <c r="AH84" s="18">
        <v>0.23069999999999999</v>
      </c>
      <c r="AI84" s="18">
        <v>0.92400000000000004</v>
      </c>
      <c r="AJ84" s="18">
        <v>0.47989999999999999</v>
      </c>
      <c r="AK84" s="18">
        <v>0.34989999999999999</v>
      </c>
      <c r="AL84" s="18">
        <v>0.2429</v>
      </c>
      <c r="AM84" s="18">
        <v>0.192</v>
      </c>
      <c r="AN84" s="18">
        <v>0.2422</v>
      </c>
      <c r="AO84" s="18">
        <v>0.12540000000000001</v>
      </c>
      <c r="AP84" s="18">
        <v>0.44490000000000002</v>
      </c>
      <c r="AQ84" s="18">
        <v>0.61229999999999996</v>
      </c>
      <c r="AR84" s="18">
        <v>0.50519999999999998</v>
      </c>
      <c r="AS84" s="18">
        <v>0.2167</v>
      </c>
      <c r="AT84" s="18">
        <v>0.36059999999999998</v>
      </c>
      <c r="AU84" s="18">
        <v>5.7700000000000001E-2</v>
      </c>
      <c r="AV84" s="18">
        <v>0.30649999999999999</v>
      </c>
      <c r="AW84" s="18">
        <v>0.1507</v>
      </c>
      <c r="AX84" s="18">
        <v>6.2E-2</v>
      </c>
    </row>
    <row r="85" spans="1:50" x14ac:dyDescent="0.25">
      <c r="A85" s="17" t="s">
        <v>487</v>
      </c>
      <c r="B85" s="13" t="s">
        <v>410</v>
      </c>
      <c r="C85" s="18">
        <v>4.5999999999999999E-2</v>
      </c>
      <c r="D85" s="18">
        <v>4.5999999999999999E-2</v>
      </c>
      <c r="E85" s="18">
        <v>4.5999999999999999E-2</v>
      </c>
      <c r="F85" s="18">
        <v>4.5999999999999999E-2</v>
      </c>
      <c r="G85" s="18">
        <v>4.5999999999999999E-2</v>
      </c>
      <c r="H85" s="18">
        <v>4.5999999999999999E-2</v>
      </c>
      <c r="I85" s="18">
        <v>4.5999999999999999E-2</v>
      </c>
      <c r="J85" s="18">
        <v>4.5999999999999999E-2</v>
      </c>
      <c r="K85" s="18">
        <v>4.5999999999999999E-2</v>
      </c>
      <c r="L85" s="18">
        <v>4.5999999999999999E-2</v>
      </c>
      <c r="M85" s="18">
        <v>0.29409999999999997</v>
      </c>
      <c r="N85" s="18">
        <v>4.5999999999999999E-2</v>
      </c>
      <c r="O85" s="18">
        <v>4.5999999999999999E-2</v>
      </c>
      <c r="P85" s="18">
        <v>4.5999999999999999E-2</v>
      </c>
      <c r="Q85" s="18">
        <v>4.5999999999999999E-2</v>
      </c>
      <c r="R85" s="18">
        <v>4.5999999999999999E-2</v>
      </c>
      <c r="S85" s="18">
        <v>4.5999999999999999E-2</v>
      </c>
      <c r="T85" s="18">
        <v>8.5999999999999993E-2</v>
      </c>
      <c r="U85" s="18">
        <v>0.2021</v>
      </c>
      <c r="V85" s="18">
        <v>4.5999999999999999E-2</v>
      </c>
      <c r="W85" s="18">
        <v>4.5999999999999999E-2</v>
      </c>
      <c r="X85" s="18">
        <v>4.5999999999999999E-2</v>
      </c>
      <c r="Y85" s="18">
        <v>4.5999999999999999E-2</v>
      </c>
      <c r="Z85" s="18">
        <v>4.5999999999999999E-2</v>
      </c>
      <c r="AA85" s="18">
        <v>4.5999999999999999E-2</v>
      </c>
      <c r="AB85" s="18">
        <v>4.5999999999999999E-2</v>
      </c>
      <c r="AC85" s="18">
        <v>4.5999999999999999E-2</v>
      </c>
      <c r="AD85" s="18">
        <v>4.5999999999999999E-2</v>
      </c>
      <c r="AE85" s="18">
        <v>4.5999999999999999E-2</v>
      </c>
      <c r="AF85" s="18">
        <v>4.5999999999999999E-2</v>
      </c>
      <c r="AG85" s="18">
        <v>4.5999999999999999E-2</v>
      </c>
      <c r="AH85" s="18">
        <v>1.0159</v>
      </c>
      <c r="AI85" s="18">
        <v>0.746</v>
      </c>
      <c r="AJ85" s="18">
        <v>0.17879999999999999</v>
      </c>
      <c r="AK85" s="18">
        <v>0.14360000000000001</v>
      </c>
      <c r="AL85" s="18">
        <v>9.4200000000000006E-2</v>
      </c>
      <c r="AM85" s="18">
        <v>0.1671</v>
      </c>
      <c r="AN85" s="18">
        <v>0.24529999999999999</v>
      </c>
      <c r="AO85" s="18">
        <v>0.28000000000000003</v>
      </c>
      <c r="AP85" s="18">
        <v>0.43559999999999999</v>
      </c>
      <c r="AQ85" s="18">
        <v>4.5999999999999999E-2</v>
      </c>
      <c r="AR85" s="18">
        <v>4.5999999999999999E-2</v>
      </c>
      <c r="AS85" s="18">
        <v>0.8458</v>
      </c>
      <c r="AT85" s="18">
        <v>4.5999999999999999E-2</v>
      </c>
      <c r="AU85" s="18">
        <v>4.5999999999999999E-2</v>
      </c>
      <c r="AV85" s="18">
        <v>4.5999999999999999E-2</v>
      </c>
      <c r="AW85" s="18">
        <v>4.5999999999999999E-2</v>
      </c>
      <c r="AX85" s="18">
        <v>4.5999999999999999E-2</v>
      </c>
    </row>
    <row r="86" spans="1:50" x14ac:dyDescent="0.25">
      <c r="A86" s="17" t="s">
        <v>489</v>
      </c>
      <c r="B86" s="13" t="s">
        <v>410</v>
      </c>
      <c r="C86" s="18">
        <v>0.1288</v>
      </c>
      <c r="D86" s="18">
        <v>5.2999999999999999E-2</v>
      </c>
      <c r="E86" s="18">
        <v>0.12039999999999999</v>
      </c>
      <c r="F86" s="18">
        <v>6.1400000000000003E-2</v>
      </c>
      <c r="G86" s="18">
        <v>9.5100000000000004E-2</v>
      </c>
      <c r="H86" s="18">
        <v>8.6699999999999999E-2</v>
      </c>
      <c r="I86" s="18">
        <v>5.2999999999999999E-2</v>
      </c>
      <c r="J86" s="18">
        <v>0.1288</v>
      </c>
      <c r="K86" s="18">
        <v>5.2999999999999999E-2</v>
      </c>
      <c r="L86" s="18">
        <v>5.2999999999999999E-2</v>
      </c>
      <c r="M86" s="18">
        <v>0.1288</v>
      </c>
      <c r="N86" s="18">
        <v>5.2999999999999999E-2</v>
      </c>
      <c r="O86" s="18">
        <v>0.1288</v>
      </c>
      <c r="P86" s="18">
        <v>5.2999999999999999E-2</v>
      </c>
      <c r="Q86" s="18">
        <v>5.2999999999999999E-2</v>
      </c>
      <c r="R86" s="18">
        <v>0.1288</v>
      </c>
      <c r="S86" s="18">
        <v>5.2999999999999999E-2</v>
      </c>
      <c r="T86" s="18">
        <v>0.19070000000000001</v>
      </c>
      <c r="U86" s="18">
        <v>0.1832</v>
      </c>
      <c r="V86" s="18">
        <v>0.13139999999999999</v>
      </c>
      <c r="W86" s="18">
        <v>6.0999999999999999E-2</v>
      </c>
      <c r="X86" s="18">
        <v>0.31719999999999998</v>
      </c>
      <c r="Y86" s="18">
        <v>6.5799999999999997E-2</v>
      </c>
      <c r="Z86" s="18">
        <v>0.15479999999999999</v>
      </c>
      <c r="AA86" s="18">
        <v>0.86750000000000005</v>
      </c>
      <c r="AB86" s="18">
        <v>0.12089999999999999</v>
      </c>
      <c r="AC86" s="18">
        <v>0.30199999999999999</v>
      </c>
      <c r="AD86" s="18">
        <v>0.45229999999999998</v>
      </c>
      <c r="AE86" s="18">
        <v>3.4289999999999998</v>
      </c>
      <c r="AF86" s="18">
        <v>0.9708</v>
      </c>
      <c r="AG86" s="18">
        <v>2.2582</v>
      </c>
      <c r="AH86" s="18">
        <v>0.30049999999999999</v>
      </c>
      <c r="AI86" s="18">
        <v>0.20949999999999999</v>
      </c>
      <c r="AJ86" s="18">
        <v>0.18790000000000001</v>
      </c>
      <c r="AK86" s="18">
        <v>0.22370000000000001</v>
      </c>
      <c r="AL86" s="18">
        <v>0.24160000000000001</v>
      </c>
      <c r="AM86" s="18">
        <v>0.1331</v>
      </c>
      <c r="AN86" s="18">
        <v>0.39050000000000001</v>
      </c>
      <c r="AO86" s="18">
        <v>0.16</v>
      </c>
      <c r="AP86" s="18">
        <v>0.44269999999999998</v>
      </c>
      <c r="AQ86" s="18">
        <v>0.59689999999999999</v>
      </c>
      <c r="AR86" s="18">
        <v>1.8317000000000001</v>
      </c>
      <c r="AS86" s="18">
        <v>0.52449999999999997</v>
      </c>
      <c r="AT86" s="18">
        <v>0.3211</v>
      </c>
      <c r="AU86" s="18">
        <v>0.46200000000000002</v>
      </c>
      <c r="AV86" s="18">
        <v>0.68579999999999997</v>
      </c>
      <c r="AW86" s="18">
        <v>0.68279999999999996</v>
      </c>
      <c r="AX86" s="18">
        <v>0.33789999999999998</v>
      </c>
    </row>
    <row r="87" spans="1:50" x14ac:dyDescent="0.25">
      <c r="A87" s="8" t="s">
        <v>138</v>
      </c>
      <c r="B87" s="10" t="s">
        <v>57</v>
      </c>
      <c r="C87" s="16">
        <v>4.9000000000000002E-2</v>
      </c>
      <c r="D87" s="16">
        <v>7.0199999999999999E-2</v>
      </c>
      <c r="E87" s="16">
        <v>0.18360000000000001</v>
      </c>
      <c r="F87" s="16">
        <v>4.9000000000000002E-2</v>
      </c>
      <c r="G87" s="16">
        <v>0.17649999999999999</v>
      </c>
      <c r="H87" s="16">
        <v>7.7299999999999994E-2</v>
      </c>
      <c r="I87" s="16">
        <v>9.1499999999999998E-2</v>
      </c>
      <c r="J87" s="16">
        <v>0.1623</v>
      </c>
      <c r="K87" s="16">
        <v>4.9000000000000002E-2</v>
      </c>
      <c r="L87" s="16">
        <v>0.19059999999999999</v>
      </c>
      <c r="M87" s="16">
        <v>6.3200000000000006E-2</v>
      </c>
      <c r="N87" s="16">
        <v>0.12690000000000001</v>
      </c>
      <c r="O87" s="16">
        <v>0.12690000000000001</v>
      </c>
      <c r="P87" s="16">
        <v>4.9000000000000002E-2</v>
      </c>
      <c r="Q87" s="16">
        <v>0.20480000000000001</v>
      </c>
      <c r="R87" s="16">
        <v>4.9000000000000002E-2</v>
      </c>
      <c r="S87" s="16">
        <v>4.9000000000000002E-2</v>
      </c>
      <c r="T87" s="16">
        <v>7.0199999999999999E-2</v>
      </c>
      <c r="U87" s="16">
        <v>0.38950000000000001</v>
      </c>
      <c r="V87" s="16">
        <v>0.95020000000000004</v>
      </c>
      <c r="W87" s="16">
        <v>9.0499999999999997E-2</v>
      </c>
      <c r="X87" s="16">
        <v>0.36380000000000001</v>
      </c>
      <c r="Y87" s="16">
        <v>0.52590000000000003</v>
      </c>
      <c r="Z87" s="16">
        <v>0.37459999999999999</v>
      </c>
      <c r="AA87" s="16">
        <v>1.4734</v>
      </c>
      <c r="AB87" s="16">
        <v>0.30409999999999998</v>
      </c>
      <c r="AC87" s="16">
        <v>0.13070000000000001</v>
      </c>
      <c r="AD87" s="16">
        <v>0.2198</v>
      </c>
      <c r="AE87" s="16">
        <v>7.3400000000000007E-2</v>
      </c>
      <c r="AF87" s="16">
        <v>0.222</v>
      </c>
      <c r="AG87" s="16">
        <v>0.53410000000000002</v>
      </c>
      <c r="AH87" s="16">
        <v>0.2198</v>
      </c>
      <c r="AI87" s="16">
        <v>1.0425</v>
      </c>
      <c r="AJ87" s="16">
        <v>0.14019999999999999</v>
      </c>
      <c r="AK87" s="16">
        <v>0.12330000000000001</v>
      </c>
      <c r="AL87" s="16">
        <v>0.1774</v>
      </c>
      <c r="AM87" s="16">
        <v>1.6912</v>
      </c>
      <c r="AN87" s="16">
        <v>0.16020000000000001</v>
      </c>
      <c r="AO87" s="16">
        <v>0.30590000000000001</v>
      </c>
      <c r="AP87" s="16">
        <v>0.54530000000000001</v>
      </c>
      <c r="AQ87" s="16">
        <v>0.39269999999999999</v>
      </c>
      <c r="AR87" s="16">
        <v>0.61260000000000003</v>
      </c>
      <c r="AS87" s="16">
        <v>0.42399999999999999</v>
      </c>
      <c r="AT87" s="16">
        <v>0.6492</v>
      </c>
      <c r="AU87" s="16">
        <v>0.55369999999999997</v>
      </c>
      <c r="AV87" s="16">
        <v>0.56269999999999998</v>
      </c>
      <c r="AW87" s="16">
        <v>0.65439999999999998</v>
      </c>
      <c r="AX87" s="16">
        <v>0.53949999999999998</v>
      </c>
    </row>
    <row r="88" spans="1:50" x14ac:dyDescent="0.25">
      <c r="A88" s="8" t="s">
        <v>140</v>
      </c>
      <c r="B88" s="10" t="s">
        <v>57</v>
      </c>
      <c r="C88" s="16">
        <v>5.0999999999999997E-2</v>
      </c>
      <c r="D88" s="16">
        <v>0.1678</v>
      </c>
      <c r="E88" s="16">
        <v>0.10829999999999999</v>
      </c>
      <c r="F88" s="16">
        <v>5.0999999999999997E-2</v>
      </c>
      <c r="G88" s="16">
        <v>0.1837</v>
      </c>
      <c r="H88" s="16">
        <v>9.2399999999999996E-2</v>
      </c>
      <c r="I88" s="16">
        <v>5.0999999999999997E-2</v>
      </c>
      <c r="J88" s="16">
        <v>7.9600000000000004E-2</v>
      </c>
      <c r="K88" s="16">
        <v>0.19059999999999999</v>
      </c>
      <c r="L88" s="16">
        <v>0.1014</v>
      </c>
      <c r="M88" s="16">
        <v>6.3700000000000007E-2</v>
      </c>
      <c r="N88" s="16">
        <v>0.1019</v>
      </c>
      <c r="O88" s="16">
        <v>5.74E-2</v>
      </c>
      <c r="P88" s="16">
        <v>7.6499999999999999E-2</v>
      </c>
      <c r="Q88" s="16">
        <v>0.1996</v>
      </c>
      <c r="R88" s="16">
        <v>8.5800000000000001E-2</v>
      </c>
      <c r="S88" s="16">
        <v>1.0118</v>
      </c>
      <c r="T88" s="16">
        <v>0.10050000000000001</v>
      </c>
      <c r="U88" s="16">
        <v>0.41020000000000001</v>
      </c>
      <c r="V88" s="16">
        <v>0.25950000000000001</v>
      </c>
      <c r="W88" s="16">
        <v>0.18479999999999999</v>
      </c>
      <c r="X88" s="16">
        <v>0.36930000000000002</v>
      </c>
      <c r="Y88" s="16">
        <v>0.24979999999999999</v>
      </c>
      <c r="Z88" s="16">
        <v>0.25540000000000002</v>
      </c>
      <c r="AA88" s="16">
        <v>0.15440000000000001</v>
      </c>
      <c r="AB88" s="16">
        <v>6.9599999999999995E-2</v>
      </c>
      <c r="AC88" s="16">
        <v>0.25109999999999999</v>
      </c>
      <c r="AD88" s="16">
        <v>0.21240000000000001</v>
      </c>
      <c r="AE88" s="16">
        <v>0.49009999999999998</v>
      </c>
      <c r="AF88" s="16">
        <v>0.36849999999999999</v>
      </c>
      <c r="AG88" s="16">
        <v>0.23730000000000001</v>
      </c>
      <c r="AH88" s="16">
        <v>0.1678</v>
      </c>
      <c r="AI88" s="16">
        <v>9.2399999999999996E-2</v>
      </c>
      <c r="AJ88" s="16">
        <v>0.22639999999999999</v>
      </c>
      <c r="AK88" s="16">
        <v>1.4147000000000001</v>
      </c>
      <c r="AL88" s="16">
        <v>0.82540000000000002</v>
      </c>
      <c r="AM88" s="16">
        <v>1.5978000000000001</v>
      </c>
      <c r="AN88" s="16">
        <v>0.35249999999999998</v>
      </c>
      <c r="AO88" s="16">
        <v>0.124</v>
      </c>
      <c r="AP88" s="16">
        <v>0.316</v>
      </c>
      <c r="AQ88" s="16">
        <v>0.31619999999999998</v>
      </c>
      <c r="AR88" s="16">
        <v>0.10829999999999999</v>
      </c>
      <c r="AS88" s="16">
        <v>0.1099</v>
      </c>
      <c r="AT88" s="16">
        <v>0.1661</v>
      </c>
      <c r="AU88" s="16">
        <v>5.0999999999999997E-2</v>
      </c>
      <c r="AV88" s="16">
        <v>0.10829999999999999</v>
      </c>
      <c r="AW88" s="16">
        <v>0.1094</v>
      </c>
      <c r="AX88" s="16">
        <v>0.1666</v>
      </c>
    </row>
    <row r="89" spans="1:50" x14ac:dyDescent="0.25">
      <c r="A89" s="8" t="s">
        <v>142</v>
      </c>
      <c r="B89" s="10" t="s">
        <v>57</v>
      </c>
      <c r="C89" s="16">
        <v>4.8000000000000001E-2</v>
      </c>
      <c r="D89" s="16">
        <v>4.8000000000000001E-2</v>
      </c>
      <c r="E89" s="16">
        <v>4.8000000000000001E-2</v>
      </c>
      <c r="F89" s="16">
        <v>0.13039999999999999</v>
      </c>
      <c r="G89" s="16">
        <v>4.8000000000000001E-2</v>
      </c>
      <c r="H89" s="16">
        <v>4.8000000000000001E-2</v>
      </c>
      <c r="I89" s="16">
        <v>6.1699999999999998E-2</v>
      </c>
      <c r="J89" s="16">
        <v>0.1167</v>
      </c>
      <c r="K89" s="16">
        <v>6.6299999999999998E-2</v>
      </c>
      <c r="L89" s="16">
        <v>0.11210000000000001</v>
      </c>
      <c r="M89" s="16">
        <v>4.8000000000000001E-2</v>
      </c>
      <c r="N89" s="16">
        <v>4.8000000000000001E-2</v>
      </c>
      <c r="O89" s="16">
        <v>4.8000000000000001E-2</v>
      </c>
      <c r="P89" s="16">
        <v>6.1699999999999998E-2</v>
      </c>
      <c r="Q89" s="16">
        <v>0.1167</v>
      </c>
      <c r="R89" s="16">
        <v>4.8000000000000001E-2</v>
      </c>
      <c r="S89" s="16">
        <v>4.8000000000000001E-2</v>
      </c>
      <c r="T89" s="16">
        <v>8.9200000000000002E-2</v>
      </c>
      <c r="U89" s="16">
        <v>8.9200000000000002E-2</v>
      </c>
      <c r="V89" s="16">
        <v>4.8000000000000001E-2</v>
      </c>
      <c r="W89" s="16">
        <v>4.8000000000000001E-2</v>
      </c>
      <c r="X89" s="16">
        <v>0.08</v>
      </c>
      <c r="Y89" s="16">
        <v>9.8400000000000001E-2</v>
      </c>
      <c r="Z89" s="16">
        <v>2.7837000000000001</v>
      </c>
      <c r="AA89" s="16">
        <v>1.6286</v>
      </c>
      <c r="AB89" s="16">
        <v>2.2629000000000001</v>
      </c>
      <c r="AC89" s="16">
        <v>0.83089999999999997</v>
      </c>
      <c r="AD89" s="16">
        <v>0.22770000000000001</v>
      </c>
      <c r="AE89" s="16">
        <v>0.20100000000000001</v>
      </c>
      <c r="AF89" s="16">
        <v>4.8000000000000001E-2</v>
      </c>
      <c r="AG89" s="16">
        <v>4.8000000000000001E-2</v>
      </c>
      <c r="AH89" s="16">
        <v>0.11940000000000001</v>
      </c>
      <c r="AI89" s="16">
        <v>0.08</v>
      </c>
      <c r="AJ89" s="16">
        <v>0.06</v>
      </c>
      <c r="AK89" s="16">
        <v>1.2096</v>
      </c>
      <c r="AL89" s="16">
        <v>0.63300000000000001</v>
      </c>
      <c r="AM89" s="16">
        <v>1.6685000000000001</v>
      </c>
      <c r="AN89" s="16">
        <v>1.5145</v>
      </c>
      <c r="AO89" s="16">
        <v>1.3225</v>
      </c>
      <c r="AP89" s="16">
        <v>0.95760000000000001</v>
      </c>
      <c r="AQ89" s="16">
        <v>0.1361</v>
      </c>
      <c r="AR89" s="16">
        <v>0.1075</v>
      </c>
      <c r="AS89" s="16">
        <v>7.0900000000000005E-2</v>
      </c>
      <c r="AT89" s="16">
        <v>4.8000000000000001E-2</v>
      </c>
      <c r="AU89" s="16">
        <v>8.7300000000000003E-2</v>
      </c>
      <c r="AV89" s="16">
        <v>5.2600000000000001E-2</v>
      </c>
      <c r="AW89" s="16">
        <v>0.1258</v>
      </c>
      <c r="AX89" s="16">
        <v>4.8000000000000001E-2</v>
      </c>
    </row>
    <row r="90" spans="1:50" x14ac:dyDescent="0.25">
      <c r="A90" s="8" t="s">
        <v>144</v>
      </c>
      <c r="B90" s="10" t="s">
        <v>57</v>
      </c>
      <c r="C90" s="16">
        <v>0.05</v>
      </c>
      <c r="D90" s="16">
        <v>0.05</v>
      </c>
      <c r="E90" s="16">
        <v>0.05</v>
      </c>
      <c r="F90" s="16">
        <v>0.05</v>
      </c>
      <c r="G90" s="16">
        <v>0.05</v>
      </c>
      <c r="H90" s="16">
        <v>0.05</v>
      </c>
      <c r="I90" s="16">
        <v>0.05</v>
      </c>
      <c r="J90" s="16">
        <v>0.05</v>
      </c>
      <c r="K90" s="16">
        <v>0.05</v>
      </c>
      <c r="L90" s="16">
        <v>0.05</v>
      </c>
      <c r="M90" s="16">
        <v>0.05</v>
      </c>
      <c r="N90" s="16">
        <v>0.05</v>
      </c>
      <c r="O90" s="16">
        <v>0.05</v>
      </c>
      <c r="P90" s="16">
        <v>0.05</v>
      </c>
      <c r="Q90" s="16">
        <v>0.05</v>
      </c>
      <c r="R90" s="16">
        <v>0.05</v>
      </c>
      <c r="S90" s="16">
        <v>0.05</v>
      </c>
      <c r="T90" s="16">
        <v>0.17449999999999999</v>
      </c>
      <c r="U90" s="16">
        <v>8.43E-2</v>
      </c>
      <c r="V90" s="16">
        <v>9.1700000000000004E-2</v>
      </c>
      <c r="W90" s="16">
        <v>7.9100000000000004E-2</v>
      </c>
      <c r="X90" s="16">
        <v>0.10059999999999999</v>
      </c>
      <c r="Y90" s="16">
        <v>8.6400000000000005E-2</v>
      </c>
      <c r="Z90" s="16">
        <v>0.14729999999999999</v>
      </c>
      <c r="AA90" s="16">
        <v>0.17860000000000001</v>
      </c>
      <c r="AB90" s="16">
        <v>7.8200000000000006E-2</v>
      </c>
      <c r="AC90" s="16">
        <v>1.1198999999999999</v>
      </c>
      <c r="AD90" s="16">
        <v>0.28839999999999999</v>
      </c>
      <c r="AE90" s="16">
        <v>0.05</v>
      </c>
      <c r="AF90" s="16">
        <v>0.05</v>
      </c>
      <c r="AG90" s="16">
        <v>0.05</v>
      </c>
      <c r="AH90" s="16">
        <v>0.05</v>
      </c>
      <c r="AI90" s="16">
        <v>0.05</v>
      </c>
      <c r="AJ90" s="16">
        <v>0.05</v>
      </c>
      <c r="AK90" s="16">
        <v>0.05</v>
      </c>
      <c r="AL90" s="16">
        <v>0.05</v>
      </c>
      <c r="AM90" s="16">
        <v>0.05</v>
      </c>
      <c r="AN90" s="16">
        <v>0.05</v>
      </c>
      <c r="AO90" s="16">
        <v>0.05</v>
      </c>
      <c r="AP90" s="16">
        <v>0.05</v>
      </c>
      <c r="AQ90" s="16">
        <v>0.14549999999999999</v>
      </c>
      <c r="AR90" s="16">
        <v>0.48320000000000002</v>
      </c>
      <c r="AS90" s="16">
        <v>0.50629999999999997</v>
      </c>
      <c r="AT90" s="16">
        <v>0.61409999999999998</v>
      </c>
      <c r="AU90" s="16">
        <v>0.1239</v>
      </c>
      <c r="AV90" s="16">
        <v>0.70209999999999995</v>
      </c>
      <c r="AW90" s="16">
        <v>0.41410000000000002</v>
      </c>
      <c r="AX90" s="16">
        <v>0.34079999999999999</v>
      </c>
    </row>
    <row r="91" spans="1:50" x14ac:dyDescent="0.25">
      <c r="A91" s="17" t="s">
        <v>491</v>
      </c>
      <c r="B91" s="13" t="s">
        <v>410</v>
      </c>
      <c r="C91" s="18">
        <v>2.4384999999999999</v>
      </c>
      <c r="D91" s="18">
        <v>5.5E-2</v>
      </c>
      <c r="E91" s="18">
        <v>5.5E-2</v>
      </c>
      <c r="F91" s="18">
        <v>5.5E-2</v>
      </c>
      <c r="G91" s="18">
        <v>5.5E-2</v>
      </c>
      <c r="H91" s="18">
        <v>5.5E-2</v>
      </c>
      <c r="I91" s="18">
        <v>5.5E-2</v>
      </c>
      <c r="J91" s="18">
        <v>5.5E-2</v>
      </c>
      <c r="K91" s="18">
        <v>5.5E-2</v>
      </c>
      <c r="L91" s="18">
        <v>5.5E-2</v>
      </c>
      <c r="M91" s="18">
        <v>5.5E-2</v>
      </c>
      <c r="N91" s="18">
        <v>9.7100000000000006E-2</v>
      </c>
      <c r="O91" s="18">
        <v>0.19539999999999999</v>
      </c>
      <c r="P91" s="18">
        <v>0.1038</v>
      </c>
      <c r="Q91" s="18">
        <v>5.5E-2</v>
      </c>
      <c r="R91" s="18">
        <v>5.5E-2</v>
      </c>
      <c r="S91" s="18">
        <v>0.39150000000000001</v>
      </c>
      <c r="T91" s="18">
        <v>0.214</v>
      </c>
      <c r="U91" s="18">
        <v>0.3906</v>
      </c>
      <c r="V91" s="18">
        <v>0.75170000000000003</v>
      </c>
      <c r="W91" s="18">
        <v>0.4945</v>
      </c>
      <c r="X91" s="18">
        <v>2.1865000000000001</v>
      </c>
      <c r="Y91" s="18">
        <v>2.649</v>
      </c>
      <c r="Z91" s="18">
        <v>0.72299999999999998</v>
      </c>
      <c r="AA91" s="18">
        <v>5.5E-2</v>
      </c>
      <c r="AB91" s="18">
        <v>5.5E-2</v>
      </c>
      <c r="AC91" s="18">
        <v>5.5E-2</v>
      </c>
      <c r="AD91" s="18">
        <v>5.5E-2</v>
      </c>
      <c r="AE91" s="18">
        <v>5.5E-2</v>
      </c>
      <c r="AF91" s="18">
        <v>5.5E-2</v>
      </c>
      <c r="AG91" s="18">
        <v>5.5E-2</v>
      </c>
      <c r="AH91" s="18">
        <v>5.5E-2</v>
      </c>
      <c r="AI91" s="18">
        <v>5.5E-2</v>
      </c>
      <c r="AJ91" s="18">
        <v>5.5E-2</v>
      </c>
      <c r="AK91" s="18">
        <v>5.5E-2</v>
      </c>
      <c r="AL91" s="18">
        <v>5.5E-2</v>
      </c>
      <c r="AM91" s="18">
        <v>5.5E-2</v>
      </c>
      <c r="AN91" s="18">
        <v>5.5E-2</v>
      </c>
      <c r="AO91" s="18">
        <v>5.5E-2</v>
      </c>
      <c r="AP91" s="18">
        <v>5.5E-2</v>
      </c>
      <c r="AQ91" s="18">
        <v>5.5E-2</v>
      </c>
      <c r="AR91" s="18">
        <v>5.5E-2</v>
      </c>
      <c r="AS91" s="18">
        <v>5.5E-2</v>
      </c>
      <c r="AT91" s="18">
        <v>0.30559999999999998</v>
      </c>
      <c r="AU91" s="18">
        <v>0.36399999999999999</v>
      </c>
      <c r="AV91" s="18">
        <v>0.25950000000000001</v>
      </c>
      <c r="AW91" s="18">
        <v>5.5E-2</v>
      </c>
      <c r="AX91" s="18">
        <v>5.5E-2</v>
      </c>
    </row>
    <row r="92" spans="1:50" x14ac:dyDescent="0.25">
      <c r="A92" s="17" t="s">
        <v>493</v>
      </c>
      <c r="B92" s="13" t="s">
        <v>410</v>
      </c>
      <c r="C92" s="18">
        <v>9.5100000000000004E-2</v>
      </c>
      <c r="D92" s="18">
        <v>0.10440000000000001</v>
      </c>
      <c r="E92" s="18">
        <v>5.8000000000000003E-2</v>
      </c>
      <c r="F92" s="18">
        <v>0.1323</v>
      </c>
      <c r="G92" s="18">
        <v>6.7299999999999999E-2</v>
      </c>
      <c r="H92" s="18">
        <v>9.98E-2</v>
      </c>
      <c r="I92" s="18">
        <v>9.98E-2</v>
      </c>
      <c r="J92" s="18">
        <v>5.8000000000000003E-2</v>
      </c>
      <c r="K92" s="18">
        <v>0.1416</v>
      </c>
      <c r="L92" s="18">
        <v>5.8000000000000003E-2</v>
      </c>
      <c r="M92" s="18">
        <v>5.8000000000000003E-2</v>
      </c>
      <c r="N92" s="18">
        <v>5.8000000000000003E-2</v>
      </c>
      <c r="O92" s="18">
        <v>0.1416</v>
      </c>
      <c r="P92" s="18">
        <v>5.8000000000000003E-2</v>
      </c>
      <c r="Q92" s="18">
        <v>5.8000000000000003E-2</v>
      </c>
      <c r="R92" s="18">
        <v>0.19739999999999999</v>
      </c>
      <c r="S92" s="18">
        <v>0.26</v>
      </c>
      <c r="T92" s="18">
        <v>0.1416</v>
      </c>
      <c r="U92" s="18">
        <v>5.8000000000000003E-2</v>
      </c>
      <c r="V92" s="18">
        <v>5.8000000000000003E-2</v>
      </c>
      <c r="W92" s="18">
        <v>0.2079</v>
      </c>
      <c r="X92" s="18">
        <v>0.19159999999999999</v>
      </c>
      <c r="Y92" s="18">
        <v>5.8000000000000003E-2</v>
      </c>
      <c r="Z92" s="18">
        <v>5.8000000000000003E-2</v>
      </c>
      <c r="AA92" s="18">
        <v>5.8000000000000003E-2</v>
      </c>
      <c r="AB92" s="18">
        <v>0.2989</v>
      </c>
      <c r="AC92" s="18">
        <v>0.21540000000000001</v>
      </c>
      <c r="AD92" s="18">
        <v>0.31090000000000001</v>
      </c>
      <c r="AE92" s="18">
        <v>0.25459999999999999</v>
      </c>
      <c r="AF92" s="18">
        <v>0.13389999999999999</v>
      </c>
      <c r="AG92" s="18">
        <v>0.1229</v>
      </c>
      <c r="AH92" s="18">
        <v>0.2014</v>
      </c>
      <c r="AI92" s="18">
        <v>8.7900000000000006E-2</v>
      </c>
      <c r="AJ92" s="18">
        <v>1.8224</v>
      </c>
      <c r="AK92" s="18">
        <v>0.43180000000000002</v>
      </c>
      <c r="AL92" s="18">
        <v>5.8000000000000003E-2</v>
      </c>
      <c r="AM92" s="18">
        <v>0.1416</v>
      </c>
      <c r="AN92" s="18">
        <v>5.8000000000000003E-2</v>
      </c>
      <c r="AO92" s="18">
        <v>8.5900000000000004E-2</v>
      </c>
      <c r="AP92" s="18">
        <v>0.1145</v>
      </c>
      <c r="AQ92" s="18">
        <v>0.1893</v>
      </c>
      <c r="AR92" s="18">
        <v>1.7806</v>
      </c>
      <c r="AS92" s="18">
        <v>1.4758</v>
      </c>
      <c r="AT92" s="18">
        <v>1.0189999999999999</v>
      </c>
      <c r="AU92" s="18">
        <v>0.50960000000000005</v>
      </c>
      <c r="AV92" s="18">
        <v>0.31940000000000002</v>
      </c>
      <c r="AW92" s="18">
        <v>0.1416</v>
      </c>
      <c r="AX92" s="18">
        <v>5.8000000000000003E-2</v>
      </c>
    </row>
    <row r="93" spans="1:50" x14ac:dyDescent="0.25">
      <c r="A93" s="8" t="s">
        <v>146</v>
      </c>
      <c r="B93" s="10" t="s">
        <v>57</v>
      </c>
      <c r="C93" s="16">
        <v>5.5E-2</v>
      </c>
      <c r="D93" s="16">
        <v>5.5E-2</v>
      </c>
      <c r="E93" s="16">
        <v>5.5E-2</v>
      </c>
      <c r="F93" s="16">
        <v>0.13070000000000001</v>
      </c>
      <c r="G93" s="16">
        <v>5.5E-2</v>
      </c>
      <c r="H93" s="16">
        <v>5.5E-2</v>
      </c>
      <c r="I93" s="16">
        <v>0.1222</v>
      </c>
      <c r="J93" s="16">
        <v>6.3399999999999998E-2</v>
      </c>
      <c r="K93" s="16">
        <v>5.5E-2</v>
      </c>
      <c r="L93" s="16">
        <v>0.1138</v>
      </c>
      <c r="M93" s="16">
        <v>7.1800000000000003E-2</v>
      </c>
      <c r="N93" s="16">
        <v>5.5E-2</v>
      </c>
      <c r="O93" s="16">
        <v>0.1012</v>
      </c>
      <c r="P93" s="16">
        <v>8.4400000000000003E-2</v>
      </c>
      <c r="Q93" s="16">
        <v>0.1222</v>
      </c>
      <c r="R93" s="16">
        <v>6.3399999999999998E-2</v>
      </c>
      <c r="S93" s="16">
        <v>5.5E-2</v>
      </c>
      <c r="T93" s="16">
        <v>0.48230000000000001</v>
      </c>
      <c r="U93" s="16">
        <v>5.5E-2</v>
      </c>
      <c r="V93" s="16">
        <v>5.5E-2</v>
      </c>
      <c r="W93" s="16">
        <v>7.1800000000000003E-2</v>
      </c>
      <c r="X93" s="16">
        <v>0.1138</v>
      </c>
      <c r="Y93" s="16">
        <v>5.5E-2</v>
      </c>
      <c r="Z93" s="16">
        <v>8.4400000000000003E-2</v>
      </c>
      <c r="AA93" s="16">
        <v>0.1012</v>
      </c>
      <c r="AB93" s="16">
        <v>5.5E-2</v>
      </c>
      <c r="AC93" s="16">
        <v>0.13070000000000001</v>
      </c>
      <c r="AD93" s="16">
        <v>0.10879999999999999</v>
      </c>
      <c r="AE93" s="16">
        <v>8.8099999999999998E-2</v>
      </c>
      <c r="AF93" s="16">
        <v>0.30590000000000001</v>
      </c>
      <c r="AG93" s="16">
        <v>0.1676</v>
      </c>
      <c r="AH93" s="16">
        <v>0.60450000000000004</v>
      </c>
      <c r="AI93" s="16">
        <v>0.47820000000000001</v>
      </c>
      <c r="AJ93" s="16">
        <v>0.30449999999999999</v>
      </c>
      <c r="AK93" s="16">
        <v>0.1918</v>
      </c>
      <c r="AL93" s="16">
        <v>0.22500000000000001</v>
      </c>
      <c r="AM93" s="16">
        <v>0.217</v>
      </c>
      <c r="AN93" s="16">
        <v>0.18490000000000001</v>
      </c>
      <c r="AO93" s="16">
        <v>0.14280000000000001</v>
      </c>
      <c r="AP93" s="16">
        <v>0.26369999999999999</v>
      </c>
      <c r="AQ93" s="16">
        <v>0.48680000000000001</v>
      </c>
      <c r="AR93" s="16">
        <v>0.3705</v>
      </c>
      <c r="AS93" s="16">
        <v>0.251</v>
      </c>
      <c r="AT93" s="16">
        <v>0.23369999999999999</v>
      </c>
      <c r="AU93" s="16">
        <v>0.73340000000000005</v>
      </c>
      <c r="AV93" s="16">
        <v>0.46650000000000003</v>
      </c>
      <c r="AW93" s="16">
        <v>0.21990000000000001</v>
      </c>
      <c r="AX93" s="16">
        <v>0.13320000000000001</v>
      </c>
    </row>
    <row r="94" spans="1:50" x14ac:dyDescent="0.25">
      <c r="A94" s="8" t="s">
        <v>148</v>
      </c>
      <c r="B94" s="10" t="s">
        <v>57</v>
      </c>
      <c r="C94" s="16">
        <v>4.5999999999999999E-2</v>
      </c>
      <c r="D94" s="16">
        <v>0.16700000000000001</v>
      </c>
      <c r="E94" s="16">
        <v>0.2109</v>
      </c>
      <c r="F94" s="16">
        <v>4.5999999999999999E-2</v>
      </c>
      <c r="G94" s="16">
        <v>4.5999999999999999E-2</v>
      </c>
      <c r="H94" s="16">
        <v>0.22500000000000001</v>
      </c>
      <c r="I94" s="16">
        <v>0.153</v>
      </c>
      <c r="J94" s="16">
        <v>4.5999999999999999E-2</v>
      </c>
      <c r="K94" s="16">
        <v>0.22770000000000001</v>
      </c>
      <c r="L94" s="16">
        <v>0.15029999999999999</v>
      </c>
      <c r="M94" s="16">
        <v>4.5999999999999999E-2</v>
      </c>
      <c r="N94" s="16">
        <v>0.2354</v>
      </c>
      <c r="O94" s="16">
        <v>0.153</v>
      </c>
      <c r="P94" s="16">
        <v>9.4799999999999995E-2</v>
      </c>
      <c r="Q94" s="16">
        <v>0.1991</v>
      </c>
      <c r="R94" s="16">
        <v>0.13</v>
      </c>
      <c r="S94" s="16">
        <v>0.15409999999999999</v>
      </c>
      <c r="T94" s="16">
        <v>0.23019999999999999</v>
      </c>
      <c r="U94" s="16">
        <v>0.17069999999999999</v>
      </c>
      <c r="V94" s="16">
        <v>4.5999999999999999E-2</v>
      </c>
      <c r="W94" s="16">
        <v>0.60240000000000005</v>
      </c>
      <c r="X94" s="16">
        <v>9.0700000000000003E-2</v>
      </c>
      <c r="Y94" s="16">
        <v>0.1036</v>
      </c>
      <c r="Z94" s="16">
        <v>0.30070000000000002</v>
      </c>
      <c r="AA94" s="16">
        <v>4.5999999999999999E-2</v>
      </c>
      <c r="AB94" s="16">
        <v>8.6699999999999999E-2</v>
      </c>
      <c r="AC94" s="16">
        <v>0.2913</v>
      </c>
      <c r="AD94" s="16">
        <v>0.1295</v>
      </c>
      <c r="AE94" s="16">
        <v>0.46289999999999998</v>
      </c>
      <c r="AF94" s="16">
        <v>0.22409999999999999</v>
      </c>
      <c r="AG94" s="16">
        <v>0.1226</v>
      </c>
      <c r="AH94" s="16">
        <v>0.36870000000000003</v>
      </c>
      <c r="AI94" s="16">
        <v>8.1799999999999998E-2</v>
      </c>
      <c r="AJ94" s="16">
        <v>0.19570000000000001</v>
      </c>
      <c r="AK94" s="16">
        <v>0.26069999999999999</v>
      </c>
      <c r="AL94" s="16">
        <v>0.1802</v>
      </c>
      <c r="AM94" s="16">
        <v>0.48849999999999999</v>
      </c>
      <c r="AN94" s="16">
        <v>0.1421</v>
      </c>
      <c r="AO94" s="16">
        <v>4.5999999999999999E-2</v>
      </c>
      <c r="AP94" s="16">
        <v>0.33189999999999997</v>
      </c>
      <c r="AQ94" s="16">
        <v>4.5999999999999999E-2</v>
      </c>
      <c r="AR94" s="16">
        <v>4.5999999999999999E-2</v>
      </c>
      <c r="AS94" s="16">
        <v>0.153</v>
      </c>
      <c r="AT94" s="16">
        <v>7.85E-2</v>
      </c>
      <c r="AU94" s="16">
        <v>0.19239999999999999</v>
      </c>
      <c r="AV94" s="16">
        <v>0.153</v>
      </c>
      <c r="AW94" s="16">
        <v>4.5999999999999999E-2</v>
      </c>
      <c r="AX94" s="16">
        <v>0.13150000000000001</v>
      </c>
    </row>
    <row r="95" spans="1:50" x14ac:dyDescent="0.25">
      <c r="A95" s="17" t="s">
        <v>495</v>
      </c>
      <c r="B95" s="13" t="s">
        <v>410</v>
      </c>
      <c r="C95" s="18">
        <v>0.04</v>
      </c>
      <c r="D95" s="18">
        <v>0.1087</v>
      </c>
      <c r="E95" s="18">
        <v>0.1648</v>
      </c>
      <c r="F95" s="18">
        <v>6.2899999999999998E-2</v>
      </c>
      <c r="G95" s="18">
        <v>0.11700000000000001</v>
      </c>
      <c r="H95" s="18">
        <v>0.14119999999999999</v>
      </c>
      <c r="I95" s="18">
        <v>0.1198</v>
      </c>
      <c r="J95" s="18">
        <v>0.14610000000000001</v>
      </c>
      <c r="K95" s="18">
        <v>0.1084</v>
      </c>
      <c r="L95" s="18">
        <v>0.1651</v>
      </c>
      <c r="M95" s="18">
        <v>0.04</v>
      </c>
      <c r="N95" s="18">
        <v>0.23350000000000001</v>
      </c>
      <c r="O95" s="18">
        <v>0.04</v>
      </c>
      <c r="P95" s="18">
        <v>0.28039999999999998</v>
      </c>
      <c r="Q95" s="18">
        <v>0.25380000000000003</v>
      </c>
      <c r="R95" s="18">
        <v>0.1444</v>
      </c>
      <c r="S95" s="18">
        <v>0.1925</v>
      </c>
      <c r="T95" s="18">
        <v>0.24379999999999999</v>
      </c>
      <c r="U95" s="18">
        <v>0.90310000000000001</v>
      </c>
      <c r="V95" s="18">
        <v>0.43680000000000002</v>
      </c>
      <c r="W95" s="18">
        <v>1.7010000000000001</v>
      </c>
      <c r="X95" s="18">
        <v>2.0459999999999998</v>
      </c>
      <c r="Y95" s="18">
        <v>0.85970000000000002</v>
      </c>
      <c r="Z95" s="18">
        <v>0.22</v>
      </c>
      <c r="AA95" s="18">
        <v>1.6620999999999999</v>
      </c>
      <c r="AB95" s="18">
        <v>0.22889999999999999</v>
      </c>
      <c r="AC95" s="18">
        <v>0.27010000000000001</v>
      </c>
      <c r="AD95" s="18">
        <v>0.36480000000000001</v>
      </c>
      <c r="AE95" s="18">
        <v>0.2923</v>
      </c>
      <c r="AF95" s="18">
        <v>0.31340000000000001</v>
      </c>
      <c r="AG95" s="18">
        <v>0.30049999999999999</v>
      </c>
      <c r="AH95" s="18">
        <v>0.33019999999999999</v>
      </c>
      <c r="AI95" s="18">
        <v>1.4295</v>
      </c>
      <c r="AJ95" s="18">
        <v>0.23580000000000001</v>
      </c>
      <c r="AK95" s="18">
        <v>0.61109999999999998</v>
      </c>
      <c r="AL95" s="18">
        <v>0.3569</v>
      </c>
      <c r="AM95" s="18">
        <v>0.35410000000000003</v>
      </c>
      <c r="AN95" s="18">
        <v>1.4979</v>
      </c>
      <c r="AO95" s="18">
        <v>0.1011</v>
      </c>
      <c r="AP95" s="18">
        <v>0.1648</v>
      </c>
      <c r="AQ95" s="18">
        <v>0.1087</v>
      </c>
      <c r="AR95" s="18">
        <v>0.04</v>
      </c>
      <c r="AS95" s="18">
        <v>0.1024</v>
      </c>
      <c r="AT95" s="18">
        <v>0.1024</v>
      </c>
      <c r="AU95" s="18">
        <v>0.04</v>
      </c>
      <c r="AV95" s="18">
        <v>7.4399999999999994E-2</v>
      </c>
      <c r="AW95" s="18">
        <v>9.3100000000000002E-2</v>
      </c>
      <c r="AX95" s="18">
        <v>0.17280000000000001</v>
      </c>
    </row>
    <row r="96" spans="1:50" x14ac:dyDescent="0.25">
      <c r="A96" s="8" t="s">
        <v>150</v>
      </c>
      <c r="B96" s="10" t="s">
        <v>57</v>
      </c>
      <c r="C96" s="16">
        <v>0.52229999999999999</v>
      </c>
      <c r="D96" s="16">
        <v>9.6600000000000005E-2</v>
      </c>
      <c r="E96" s="16">
        <v>0.1305</v>
      </c>
      <c r="F96" s="16">
        <v>5.7000000000000002E-2</v>
      </c>
      <c r="G96" s="16">
        <v>5.7000000000000002E-2</v>
      </c>
      <c r="H96" s="16">
        <v>6.83E-2</v>
      </c>
      <c r="I96" s="16">
        <v>0.1588</v>
      </c>
      <c r="J96" s="16">
        <v>5.7000000000000002E-2</v>
      </c>
      <c r="K96" s="16">
        <v>0.1701</v>
      </c>
      <c r="L96" s="16">
        <v>5.7000000000000002E-2</v>
      </c>
      <c r="M96" s="16">
        <v>0.1305</v>
      </c>
      <c r="N96" s="16">
        <v>9.6600000000000005E-2</v>
      </c>
      <c r="O96" s="16">
        <v>5.7000000000000002E-2</v>
      </c>
      <c r="P96" s="16">
        <v>5.7000000000000002E-2</v>
      </c>
      <c r="Q96" s="16">
        <v>7.9600000000000004E-2</v>
      </c>
      <c r="R96" s="16">
        <v>0.14749999999999999</v>
      </c>
      <c r="S96" s="16">
        <v>0.30549999999999999</v>
      </c>
      <c r="T96" s="16">
        <v>1.1963999999999999</v>
      </c>
      <c r="U96" s="16">
        <v>0.61770000000000003</v>
      </c>
      <c r="V96" s="16">
        <v>0.36220000000000002</v>
      </c>
      <c r="W96" s="16">
        <v>0.31459999999999999</v>
      </c>
      <c r="X96" s="16">
        <v>0.98109999999999997</v>
      </c>
      <c r="Y96" s="16">
        <v>0.9254</v>
      </c>
      <c r="Z96" s="16">
        <v>0.5585</v>
      </c>
      <c r="AA96" s="16">
        <v>0.93420000000000003</v>
      </c>
      <c r="AB96" s="16">
        <v>1.5168999999999999</v>
      </c>
      <c r="AC96" s="16">
        <v>0.21460000000000001</v>
      </c>
      <c r="AD96" s="16">
        <v>0.49509999999999998</v>
      </c>
      <c r="AE96" s="16">
        <v>0.2596</v>
      </c>
      <c r="AF96" s="16">
        <v>0.13619999999999999</v>
      </c>
      <c r="AG96" s="16">
        <v>9.0899999999999995E-2</v>
      </c>
      <c r="AH96" s="16">
        <v>5.7000000000000002E-2</v>
      </c>
      <c r="AI96" s="16">
        <v>0.1701</v>
      </c>
      <c r="AJ96" s="16">
        <v>5.7000000000000002E-2</v>
      </c>
      <c r="AK96" s="16">
        <v>5.7000000000000002E-2</v>
      </c>
      <c r="AL96" s="16">
        <v>5.7000000000000002E-2</v>
      </c>
      <c r="AM96" s="16">
        <v>0.38929999999999998</v>
      </c>
      <c r="AN96" s="16">
        <v>6.2700000000000006E-2</v>
      </c>
      <c r="AO96" s="16">
        <v>0.1007</v>
      </c>
      <c r="AP96" s="16">
        <v>0.52769999999999995</v>
      </c>
      <c r="AQ96" s="16">
        <v>0.82840000000000003</v>
      </c>
      <c r="AR96" s="16">
        <v>0.73519999999999996</v>
      </c>
      <c r="AS96" s="16">
        <v>0.54549999999999998</v>
      </c>
      <c r="AT96" s="16">
        <v>0.55349999999999999</v>
      </c>
      <c r="AU96" s="16">
        <v>0.96899999999999997</v>
      </c>
      <c r="AV96" s="16">
        <v>0.69030000000000002</v>
      </c>
      <c r="AW96" s="16">
        <v>1.1789000000000001</v>
      </c>
      <c r="AX96" s="16">
        <v>0.70399999999999996</v>
      </c>
    </row>
    <row r="97" spans="1:50" x14ac:dyDescent="0.25">
      <c r="A97" s="17" t="s">
        <v>497</v>
      </c>
      <c r="B97" s="13" t="s">
        <v>410</v>
      </c>
      <c r="C97" s="18">
        <v>0.1331</v>
      </c>
      <c r="D97" s="18">
        <v>0.05</v>
      </c>
      <c r="E97" s="18">
        <v>8.6300000000000002E-2</v>
      </c>
      <c r="F97" s="18">
        <v>0.11749999999999999</v>
      </c>
      <c r="G97" s="18">
        <v>0.05</v>
      </c>
      <c r="H97" s="18">
        <v>0.15379999999999999</v>
      </c>
      <c r="I97" s="18">
        <v>0.05</v>
      </c>
      <c r="J97" s="18">
        <v>0.05</v>
      </c>
      <c r="K97" s="18">
        <v>0.05</v>
      </c>
      <c r="L97" s="18">
        <v>0.05</v>
      </c>
      <c r="M97" s="18">
        <v>6.5600000000000006E-2</v>
      </c>
      <c r="N97" s="18">
        <v>0.13830000000000001</v>
      </c>
      <c r="O97" s="18">
        <v>0.05</v>
      </c>
      <c r="P97" s="18">
        <v>0.05</v>
      </c>
      <c r="Q97" s="18">
        <v>9.5899999999999999E-2</v>
      </c>
      <c r="R97" s="18">
        <v>0.1678</v>
      </c>
      <c r="S97" s="18">
        <v>5.3999999999999999E-2</v>
      </c>
      <c r="T97" s="18">
        <v>0.35099999999999998</v>
      </c>
      <c r="U97" s="18">
        <v>1.2517</v>
      </c>
      <c r="V97" s="18">
        <v>0.29310000000000003</v>
      </c>
      <c r="W97" s="18">
        <v>0.25159999999999999</v>
      </c>
      <c r="X97" s="18">
        <v>0.30530000000000002</v>
      </c>
      <c r="Y97" s="18">
        <v>0.25950000000000001</v>
      </c>
      <c r="Z97" s="18">
        <v>1.0785</v>
      </c>
      <c r="AA97" s="18">
        <v>0.31390000000000001</v>
      </c>
      <c r="AB97" s="18">
        <v>0.23080000000000001</v>
      </c>
      <c r="AC97" s="18">
        <v>0.4022</v>
      </c>
      <c r="AD97" s="18">
        <v>0.31269999999999998</v>
      </c>
      <c r="AE97" s="18">
        <v>7.1599999999999997E-2</v>
      </c>
      <c r="AF97" s="18">
        <v>0.17419999999999999</v>
      </c>
      <c r="AG97" s="18">
        <v>0.1147</v>
      </c>
      <c r="AH97" s="18">
        <v>0.18459999999999999</v>
      </c>
      <c r="AI97" s="18">
        <v>0.13320000000000001</v>
      </c>
      <c r="AJ97" s="18">
        <v>0.28100000000000003</v>
      </c>
      <c r="AK97" s="18">
        <v>0.15859999999999999</v>
      </c>
      <c r="AL97" s="18">
        <v>8.2000000000000003E-2</v>
      </c>
      <c r="AM97" s="18">
        <v>0.12790000000000001</v>
      </c>
      <c r="AN97" s="18">
        <v>6.4899999999999999E-2</v>
      </c>
      <c r="AO97" s="18">
        <v>0.20230000000000001</v>
      </c>
      <c r="AP97" s="18">
        <v>0.1953</v>
      </c>
      <c r="AQ97" s="18">
        <v>0.1666</v>
      </c>
      <c r="AR97" s="18">
        <v>0.05</v>
      </c>
      <c r="AS97" s="18">
        <v>0.05</v>
      </c>
      <c r="AT97" s="18">
        <v>0.05</v>
      </c>
      <c r="AU97" s="18">
        <v>0.14860000000000001</v>
      </c>
      <c r="AV97" s="18">
        <v>5.5199999999999999E-2</v>
      </c>
      <c r="AW97" s="18">
        <v>6.5600000000000006E-2</v>
      </c>
      <c r="AX97" s="18">
        <v>0.13830000000000001</v>
      </c>
    </row>
    <row r="98" spans="1:50" x14ac:dyDescent="0.25">
      <c r="A98" s="17" t="s">
        <v>499</v>
      </c>
      <c r="B98" s="13" t="s">
        <v>410</v>
      </c>
      <c r="C98" s="18">
        <v>0.1966</v>
      </c>
      <c r="D98" s="18">
        <v>5.5E-2</v>
      </c>
      <c r="E98" s="18">
        <v>0.38829999999999998</v>
      </c>
      <c r="F98" s="18">
        <v>6.9900000000000004E-2</v>
      </c>
      <c r="G98" s="18">
        <v>0.10730000000000001</v>
      </c>
      <c r="H98" s="18">
        <v>0.23369999999999999</v>
      </c>
      <c r="I98" s="18">
        <v>9.98E-2</v>
      </c>
      <c r="J98" s="18">
        <v>0.16669999999999999</v>
      </c>
      <c r="K98" s="18">
        <v>0.1855</v>
      </c>
      <c r="L98" s="18">
        <v>6.6199999999999995E-2</v>
      </c>
      <c r="M98" s="18">
        <v>0.1222</v>
      </c>
      <c r="N98" s="18">
        <v>0.21879999999999999</v>
      </c>
      <c r="O98" s="18">
        <v>0.1222</v>
      </c>
      <c r="P98" s="18">
        <v>0.15920000000000001</v>
      </c>
      <c r="Q98" s="18">
        <v>0.1706</v>
      </c>
      <c r="R98" s="18">
        <v>6.6199999999999995E-2</v>
      </c>
      <c r="S98" s="18">
        <v>0.24490000000000001</v>
      </c>
      <c r="T98" s="18">
        <v>9.6100000000000005E-2</v>
      </c>
      <c r="U98" s="18">
        <v>8.48E-2</v>
      </c>
      <c r="V98" s="18">
        <v>0.25619999999999998</v>
      </c>
      <c r="W98" s="18">
        <v>5.5E-2</v>
      </c>
      <c r="X98" s="18">
        <v>0.13689999999999999</v>
      </c>
      <c r="Y98" s="18">
        <v>0.17050000000000001</v>
      </c>
      <c r="Z98" s="18">
        <v>0.11840000000000001</v>
      </c>
      <c r="AA98" s="18">
        <v>0.23749999999999999</v>
      </c>
      <c r="AB98" s="18">
        <v>7.3700000000000002E-2</v>
      </c>
      <c r="AC98" s="18">
        <v>6.2399999999999997E-2</v>
      </c>
      <c r="AD98" s="18">
        <v>0.23</v>
      </c>
      <c r="AE98" s="18">
        <v>0.1036</v>
      </c>
      <c r="AF98" s="18">
        <v>5.5E-2</v>
      </c>
      <c r="AG98" s="18">
        <v>0.26729999999999998</v>
      </c>
      <c r="AH98" s="18">
        <v>5.5E-2</v>
      </c>
      <c r="AI98" s="18">
        <v>0.1183</v>
      </c>
      <c r="AJ98" s="18">
        <v>0.22270000000000001</v>
      </c>
      <c r="AK98" s="18">
        <v>5.5E-2</v>
      </c>
      <c r="AL98" s="18">
        <v>0.29720000000000002</v>
      </c>
      <c r="AM98" s="18">
        <v>0.26829999999999998</v>
      </c>
      <c r="AN98" s="18">
        <v>0.5726</v>
      </c>
      <c r="AO98" s="18">
        <v>0.44009999999999999</v>
      </c>
      <c r="AP98" s="18">
        <v>0.36990000000000001</v>
      </c>
      <c r="AQ98" s="18">
        <v>0.66990000000000005</v>
      </c>
      <c r="AR98" s="18">
        <v>1.3252999999999999</v>
      </c>
      <c r="AS98" s="18">
        <v>3.0703</v>
      </c>
      <c r="AT98" s="18">
        <v>2.9746000000000001</v>
      </c>
      <c r="AU98" s="18">
        <v>0.3962</v>
      </c>
      <c r="AV98" s="18">
        <v>0.61280000000000001</v>
      </c>
      <c r="AW98" s="18">
        <v>0.40639999999999998</v>
      </c>
      <c r="AX98" s="18">
        <v>0.4471</v>
      </c>
    </row>
    <row r="99" spans="1:50" x14ac:dyDescent="0.25">
      <c r="A99" s="8" t="s">
        <v>152</v>
      </c>
      <c r="B99" s="10" t="s">
        <v>57</v>
      </c>
      <c r="C99" s="16">
        <v>0.65490000000000004</v>
      </c>
      <c r="D99" s="16">
        <v>0.69320000000000004</v>
      </c>
      <c r="E99" s="16">
        <v>0.47939999999999999</v>
      </c>
      <c r="F99" s="16">
        <v>9.1300000000000006E-2</v>
      </c>
      <c r="G99" s="16">
        <v>0.16020000000000001</v>
      </c>
      <c r="H99" s="16">
        <v>0.05</v>
      </c>
      <c r="I99" s="16">
        <v>0.20799999999999999</v>
      </c>
      <c r="J99" s="16">
        <v>0.1731</v>
      </c>
      <c r="K99" s="16">
        <v>0.1946</v>
      </c>
      <c r="L99" s="16">
        <v>0.1087</v>
      </c>
      <c r="M99" s="16">
        <v>0.12770000000000001</v>
      </c>
      <c r="N99" s="16">
        <v>0.05</v>
      </c>
      <c r="O99" s="16">
        <v>0.33110000000000001</v>
      </c>
      <c r="P99" s="16">
        <v>0.05</v>
      </c>
      <c r="Q99" s="16">
        <v>0.27600000000000002</v>
      </c>
      <c r="R99" s="16">
        <v>0.20230000000000001</v>
      </c>
      <c r="S99" s="16">
        <v>0.31369999999999998</v>
      </c>
      <c r="T99" s="16">
        <v>0.36</v>
      </c>
      <c r="U99" s="16">
        <v>0.31929999999999997</v>
      </c>
      <c r="V99" s="16">
        <v>8.8900000000000007E-2</v>
      </c>
      <c r="W99" s="16">
        <v>0.49049999999999999</v>
      </c>
      <c r="X99" s="16">
        <v>0.35389999999999999</v>
      </c>
      <c r="Y99" s="16">
        <v>0.29930000000000001</v>
      </c>
      <c r="Z99" s="16">
        <v>0.40610000000000002</v>
      </c>
      <c r="AA99" s="16">
        <v>0.2898</v>
      </c>
      <c r="AB99" s="16">
        <v>0.29780000000000001</v>
      </c>
      <c r="AC99" s="16">
        <v>0.15840000000000001</v>
      </c>
      <c r="AD99" s="16">
        <v>0.27610000000000001</v>
      </c>
      <c r="AE99" s="16">
        <v>0.152</v>
      </c>
      <c r="AF99" s="16">
        <v>1.2395</v>
      </c>
      <c r="AG99" s="16">
        <v>2.8772000000000002</v>
      </c>
      <c r="AH99" s="16">
        <v>2.6168</v>
      </c>
      <c r="AI99" s="16">
        <v>0.50860000000000005</v>
      </c>
      <c r="AJ99" s="16">
        <v>8.3900000000000002E-2</v>
      </c>
      <c r="AK99" s="16">
        <v>0.33910000000000001</v>
      </c>
      <c r="AL99" s="16">
        <v>0.39429999999999998</v>
      </c>
      <c r="AM99" s="16">
        <v>1.5649999999999999</v>
      </c>
      <c r="AN99" s="16">
        <v>3.5466000000000002</v>
      </c>
      <c r="AO99" s="16">
        <v>4.5369000000000002</v>
      </c>
      <c r="AP99" s="16">
        <v>1.5187999999999999</v>
      </c>
      <c r="AQ99" s="16">
        <v>0.61240000000000006</v>
      </c>
      <c r="AR99" s="16">
        <v>0.61240000000000006</v>
      </c>
      <c r="AS99" s="16">
        <v>0.56210000000000004</v>
      </c>
      <c r="AT99" s="16">
        <v>0.79890000000000005</v>
      </c>
      <c r="AU99" s="16">
        <v>0.46810000000000002</v>
      </c>
      <c r="AV99" s="16">
        <v>0.76459999999999995</v>
      </c>
      <c r="AW99" s="16">
        <v>0.49909999999999999</v>
      </c>
      <c r="AX99" s="16">
        <v>5.79E-2</v>
      </c>
    </row>
    <row r="100" spans="1:50" x14ac:dyDescent="0.25">
      <c r="A100" s="8" t="s">
        <v>154</v>
      </c>
      <c r="B100" s="10" t="s">
        <v>57</v>
      </c>
      <c r="C100" s="16">
        <v>0.24510000000000001</v>
      </c>
      <c r="D100" s="16">
        <v>0.38829999999999998</v>
      </c>
      <c r="E100" s="16">
        <v>0.26910000000000001</v>
      </c>
      <c r="F100" s="16">
        <v>5.3999999999999999E-2</v>
      </c>
      <c r="G100" s="16">
        <v>5.3999999999999999E-2</v>
      </c>
      <c r="H100" s="16">
        <v>5.3999999999999999E-2</v>
      </c>
      <c r="I100" s="16">
        <v>5.3999999999999999E-2</v>
      </c>
      <c r="J100" s="16">
        <v>5.3999999999999999E-2</v>
      </c>
      <c r="K100" s="16">
        <v>5.3999999999999999E-2</v>
      </c>
      <c r="L100" s="16">
        <v>5.3999999999999999E-2</v>
      </c>
      <c r="M100" s="16">
        <v>5.3999999999999999E-2</v>
      </c>
      <c r="N100" s="16">
        <v>7.0000000000000007E-2</v>
      </c>
      <c r="O100" s="16">
        <v>0.9204</v>
      </c>
      <c r="P100" s="16">
        <v>1.5652999999999999</v>
      </c>
      <c r="Q100" s="16">
        <v>6.3200000000000006E-2</v>
      </c>
      <c r="R100" s="16">
        <v>0.248</v>
      </c>
      <c r="S100" s="16">
        <v>0.47120000000000001</v>
      </c>
      <c r="T100" s="16">
        <v>5.3999999999999999E-2</v>
      </c>
      <c r="U100" s="16">
        <v>5.3999999999999999E-2</v>
      </c>
      <c r="V100" s="16">
        <v>5.3999999999999999E-2</v>
      </c>
      <c r="W100" s="16">
        <v>5.3999999999999999E-2</v>
      </c>
      <c r="X100" s="16">
        <v>5.3999999999999999E-2</v>
      </c>
      <c r="Y100" s="16">
        <v>5.3999999999999999E-2</v>
      </c>
      <c r="Z100" s="16">
        <v>5.3999999999999999E-2</v>
      </c>
      <c r="AA100" s="16">
        <v>5.3999999999999999E-2</v>
      </c>
      <c r="AB100" s="16">
        <v>2.2341000000000002</v>
      </c>
      <c r="AC100" s="16">
        <v>5.3999999999999999E-2</v>
      </c>
      <c r="AD100" s="16">
        <v>5.3999999999999999E-2</v>
      </c>
      <c r="AE100" s="16">
        <v>5.3999999999999999E-2</v>
      </c>
      <c r="AF100" s="16">
        <v>5.3999999999999999E-2</v>
      </c>
      <c r="AG100" s="16">
        <v>5.3999999999999999E-2</v>
      </c>
      <c r="AH100" s="16">
        <v>5.3999999999999999E-2</v>
      </c>
      <c r="AI100" s="16">
        <v>5.3999999999999999E-2</v>
      </c>
      <c r="AJ100" s="16">
        <v>5.3999999999999999E-2</v>
      </c>
      <c r="AK100" s="16">
        <v>5.3999999999999999E-2</v>
      </c>
      <c r="AL100" s="16">
        <v>6.5699999999999995E-2</v>
      </c>
      <c r="AM100" s="16">
        <v>0.14660000000000001</v>
      </c>
      <c r="AN100" s="16">
        <v>0.10299999999999999</v>
      </c>
      <c r="AO100" s="16">
        <v>0.10829999999999999</v>
      </c>
      <c r="AP100" s="16">
        <v>0.24440000000000001</v>
      </c>
      <c r="AQ100" s="16">
        <v>0.2409</v>
      </c>
      <c r="AR100" s="16">
        <v>0.2989</v>
      </c>
      <c r="AS100" s="16">
        <v>0.29859999999999998</v>
      </c>
      <c r="AT100" s="16">
        <v>0.59950000000000003</v>
      </c>
      <c r="AU100" s="16">
        <v>0.3201</v>
      </c>
      <c r="AV100" s="16">
        <v>0.66539999999999999</v>
      </c>
      <c r="AW100" s="16">
        <v>5.3999999999999999E-2</v>
      </c>
      <c r="AX100" s="16">
        <v>5.3999999999999999E-2</v>
      </c>
    </row>
    <row r="101" spans="1:50" x14ac:dyDescent="0.25">
      <c r="A101" s="8" t="s">
        <v>156</v>
      </c>
      <c r="B101" s="10" t="s">
        <v>57</v>
      </c>
      <c r="C101" s="16">
        <v>0.11600000000000001</v>
      </c>
      <c r="D101" s="16">
        <v>4.1000000000000002E-2</v>
      </c>
      <c r="E101" s="16">
        <v>0.11600000000000001</v>
      </c>
      <c r="F101" s="16">
        <v>4.1000000000000002E-2</v>
      </c>
      <c r="G101" s="16">
        <v>0.11600000000000001</v>
      </c>
      <c r="H101" s="16">
        <v>4.1000000000000002E-2</v>
      </c>
      <c r="I101" s="16">
        <v>4.1000000000000002E-2</v>
      </c>
      <c r="J101" s="16">
        <v>9.0999999999999998E-2</v>
      </c>
      <c r="K101" s="16">
        <v>6.6000000000000003E-2</v>
      </c>
      <c r="L101" s="16">
        <v>4.1000000000000002E-2</v>
      </c>
      <c r="M101" s="16">
        <v>0.11600000000000001</v>
      </c>
      <c r="N101" s="16">
        <v>4.1000000000000002E-2</v>
      </c>
      <c r="O101" s="16">
        <v>0.11600000000000001</v>
      </c>
      <c r="P101" s="16">
        <v>4.1000000000000002E-2</v>
      </c>
      <c r="Q101" s="16">
        <v>7.85E-2</v>
      </c>
      <c r="R101" s="16">
        <v>7.85E-2</v>
      </c>
      <c r="S101" s="16">
        <v>4.1000000000000002E-2</v>
      </c>
      <c r="T101" s="16">
        <v>9.5200000000000007E-2</v>
      </c>
      <c r="U101" s="16">
        <v>6.1800000000000001E-2</v>
      </c>
      <c r="V101" s="16">
        <v>7.85E-2</v>
      </c>
      <c r="W101" s="16">
        <v>7.85E-2</v>
      </c>
      <c r="X101" s="16">
        <v>4.9299999999999997E-2</v>
      </c>
      <c r="Y101" s="16">
        <v>0.1077</v>
      </c>
      <c r="Z101" s="16">
        <v>4.1000000000000002E-2</v>
      </c>
      <c r="AA101" s="16">
        <v>0.11600000000000001</v>
      </c>
      <c r="AB101" s="16">
        <v>4.1000000000000002E-2</v>
      </c>
      <c r="AC101" s="16">
        <v>4.1000000000000002E-2</v>
      </c>
      <c r="AD101" s="16">
        <v>0.11600000000000001</v>
      </c>
      <c r="AE101" s="16">
        <v>4.1000000000000002E-2</v>
      </c>
      <c r="AF101" s="16">
        <v>0.11600000000000001</v>
      </c>
      <c r="AG101" s="16">
        <v>4.1000000000000002E-2</v>
      </c>
      <c r="AH101" s="16">
        <v>4.1000000000000002E-2</v>
      </c>
      <c r="AI101" s="16">
        <v>4.1000000000000002E-2</v>
      </c>
      <c r="AJ101" s="16">
        <v>0.11600000000000001</v>
      </c>
      <c r="AK101" s="16">
        <v>4.1000000000000002E-2</v>
      </c>
      <c r="AL101" s="16">
        <v>4.1000000000000002E-2</v>
      </c>
      <c r="AM101" s="16">
        <v>0.2949</v>
      </c>
      <c r="AN101" s="16">
        <v>0.26989999999999997</v>
      </c>
      <c r="AO101" s="16">
        <v>8.4000000000000005E-2</v>
      </c>
      <c r="AP101" s="16">
        <v>0.58740000000000003</v>
      </c>
      <c r="AQ101" s="16">
        <v>0.35959999999999998</v>
      </c>
      <c r="AR101" s="16">
        <v>0.48799999999999999</v>
      </c>
      <c r="AS101" s="16">
        <v>0.54020000000000001</v>
      </c>
      <c r="AT101" s="16">
        <v>0.59379999999999999</v>
      </c>
      <c r="AU101" s="16">
        <v>0.55920000000000003</v>
      </c>
      <c r="AV101" s="16">
        <v>0.35210000000000002</v>
      </c>
      <c r="AW101" s="16">
        <v>4.1000000000000002E-2</v>
      </c>
      <c r="AX101" s="16">
        <v>4.1000000000000002E-2</v>
      </c>
    </row>
    <row r="102" spans="1:50" x14ac:dyDescent="0.25">
      <c r="A102" s="17" t="s">
        <v>501</v>
      </c>
      <c r="B102" s="13" t="s">
        <v>410</v>
      </c>
      <c r="C102" s="18">
        <v>0.06</v>
      </c>
      <c r="D102" s="18">
        <v>0.06</v>
      </c>
      <c r="E102" s="18">
        <v>0.06</v>
      </c>
      <c r="F102" s="18">
        <v>0.06</v>
      </c>
      <c r="G102" s="18">
        <v>0.06</v>
      </c>
      <c r="H102" s="18">
        <v>0.06</v>
      </c>
      <c r="I102" s="18">
        <v>0.06</v>
      </c>
      <c r="J102" s="18">
        <v>0.06</v>
      </c>
      <c r="K102" s="18">
        <v>0.06</v>
      </c>
      <c r="L102" s="18">
        <v>0.06</v>
      </c>
      <c r="M102" s="18">
        <v>0.06</v>
      </c>
      <c r="N102" s="18">
        <v>0.06</v>
      </c>
      <c r="O102" s="18">
        <v>0.06</v>
      </c>
      <c r="P102" s="18">
        <v>0.06</v>
      </c>
      <c r="Q102" s="18">
        <v>0.06</v>
      </c>
      <c r="R102" s="18">
        <v>0.06</v>
      </c>
      <c r="S102" s="18">
        <v>0.06</v>
      </c>
      <c r="T102" s="18">
        <v>0.06</v>
      </c>
      <c r="U102" s="18">
        <v>0.06</v>
      </c>
      <c r="V102" s="18">
        <v>0.06</v>
      </c>
      <c r="W102" s="18">
        <v>0.06</v>
      </c>
      <c r="X102" s="18">
        <v>0.06</v>
      </c>
      <c r="Y102" s="18">
        <v>0.1754</v>
      </c>
      <c r="Z102" s="18">
        <v>0.90910000000000002</v>
      </c>
      <c r="AA102" s="18">
        <v>0.128</v>
      </c>
      <c r="AB102" s="18">
        <v>0.15160000000000001</v>
      </c>
      <c r="AC102" s="18">
        <v>0.06</v>
      </c>
      <c r="AD102" s="18">
        <v>0.06</v>
      </c>
      <c r="AE102" s="18">
        <v>0.06</v>
      </c>
      <c r="AF102" s="18">
        <v>0.06</v>
      </c>
      <c r="AG102" s="18">
        <v>0.06</v>
      </c>
      <c r="AH102" s="18">
        <v>0.06</v>
      </c>
      <c r="AI102" s="18">
        <v>0.1249</v>
      </c>
      <c r="AJ102" s="18">
        <v>0.18770000000000001</v>
      </c>
      <c r="AK102" s="18">
        <v>0.18770000000000001</v>
      </c>
      <c r="AL102" s="18">
        <v>0.18959999999999999</v>
      </c>
      <c r="AM102" s="18">
        <v>0.21690000000000001</v>
      </c>
      <c r="AN102" s="18">
        <v>0.21690000000000001</v>
      </c>
      <c r="AO102" s="18">
        <v>0.19839999999999999</v>
      </c>
      <c r="AP102" s="18">
        <v>0.30499999999999999</v>
      </c>
      <c r="AQ102" s="18">
        <v>0.29680000000000001</v>
      </c>
      <c r="AR102" s="18">
        <v>0.37040000000000001</v>
      </c>
      <c r="AS102" s="18">
        <v>0.52549999999999997</v>
      </c>
      <c r="AT102" s="18">
        <v>0.44019999999999998</v>
      </c>
      <c r="AU102" s="18">
        <v>0.4572</v>
      </c>
      <c r="AV102" s="18">
        <v>1.7426999999999999</v>
      </c>
      <c r="AW102" s="18">
        <v>1.5247999999999999</v>
      </c>
      <c r="AX102" s="18">
        <v>1.1027</v>
      </c>
    </row>
    <row r="103" spans="1:50" x14ac:dyDescent="0.25">
      <c r="A103" s="8" t="s">
        <v>158</v>
      </c>
      <c r="B103" s="10" t="s">
        <v>57</v>
      </c>
      <c r="C103" s="16">
        <v>0.16489999999999999</v>
      </c>
      <c r="D103" s="16">
        <v>5.7000000000000002E-2</v>
      </c>
      <c r="E103" s="16">
        <v>5.7000000000000002E-2</v>
      </c>
      <c r="F103" s="16">
        <v>5.7000000000000002E-2</v>
      </c>
      <c r="G103" s="16">
        <v>0.1739</v>
      </c>
      <c r="H103" s="16">
        <v>0.12870000000000001</v>
      </c>
      <c r="I103" s="16">
        <v>0.18290000000000001</v>
      </c>
      <c r="J103" s="16">
        <v>0.1197</v>
      </c>
      <c r="K103" s="16">
        <v>0.16489999999999999</v>
      </c>
      <c r="L103" s="16">
        <v>0.13769999999999999</v>
      </c>
      <c r="M103" s="16">
        <v>5.7000000000000002E-2</v>
      </c>
      <c r="N103" s="16">
        <v>0.19700000000000001</v>
      </c>
      <c r="O103" s="16">
        <v>0.1056</v>
      </c>
      <c r="P103" s="16">
        <v>0.1056</v>
      </c>
      <c r="Q103" s="16">
        <v>0.1164</v>
      </c>
      <c r="R103" s="16">
        <v>7.9399999999999998E-2</v>
      </c>
      <c r="S103" s="16">
        <v>0.1153</v>
      </c>
      <c r="T103" s="16">
        <v>0.1326</v>
      </c>
      <c r="U103" s="16">
        <v>0.1656</v>
      </c>
      <c r="V103" s="16">
        <v>6.1499999999999999E-2</v>
      </c>
      <c r="W103" s="16">
        <v>0.14580000000000001</v>
      </c>
      <c r="X103" s="16">
        <v>0.15679999999999999</v>
      </c>
      <c r="Y103" s="16">
        <v>5.7000000000000002E-2</v>
      </c>
      <c r="Z103" s="16">
        <v>0.20530000000000001</v>
      </c>
      <c r="AA103" s="16">
        <v>9.7299999999999998E-2</v>
      </c>
      <c r="AB103" s="16">
        <v>0.1434</v>
      </c>
      <c r="AC103" s="16">
        <v>0.15920000000000001</v>
      </c>
      <c r="AD103" s="16">
        <v>5.7000000000000002E-2</v>
      </c>
      <c r="AE103" s="16">
        <v>0.29599999999999999</v>
      </c>
      <c r="AF103" s="16">
        <v>0.2903</v>
      </c>
      <c r="AG103" s="16">
        <v>0.2261</v>
      </c>
      <c r="AH103" s="16">
        <v>0.24940000000000001</v>
      </c>
      <c r="AI103" s="16">
        <v>0.37140000000000001</v>
      </c>
      <c r="AJ103" s="16">
        <v>0.23749999999999999</v>
      </c>
      <c r="AK103" s="16">
        <v>0.39279999999999998</v>
      </c>
      <c r="AL103" s="16">
        <v>0.2414</v>
      </c>
      <c r="AM103" s="16">
        <v>0.15709999999999999</v>
      </c>
      <c r="AN103" s="16">
        <v>0.1643</v>
      </c>
      <c r="AO103" s="16">
        <v>0.10489999999999999</v>
      </c>
      <c r="AP103" s="16">
        <v>0.2445</v>
      </c>
      <c r="AQ103" s="16">
        <v>0.33979999999999999</v>
      </c>
      <c r="AR103" s="16">
        <v>0.37480000000000002</v>
      </c>
      <c r="AS103" s="16">
        <v>0.27639999999999998</v>
      </c>
      <c r="AT103" s="16">
        <v>0.4521</v>
      </c>
      <c r="AU103" s="16">
        <v>0.48010000000000003</v>
      </c>
      <c r="AV103" s="16">
        <v>0.4501</v>
      </c>
      <c r="AW103" s="16">
        <v>0.25569999999999998</v>
      </c>
      <c r="AX103" s="16">
        <v>9.2899999999999996E-2</v>
      </c>
    </row>
    <row r="104" spans="1:50" x14ac:dyDescent="0.25">
      <c r="A104" s="17" t="s">
        <v>503</v>
      </c>
      <c r="B104" s="13" t="s">
        <v>410</v>
      </c>
      <c r="C104" s="18">
        <v>5.8999999999999997E-2</v>
      </c>
      <c r="D104" s="18">
        <v>0.17280000000000001</v>
      </c>
      <c r="E104" s="18">
        <v>0.16589999999999999</v>
      </c>
      <c r="F104" s="18">
        <v>0.17280000000000001</v>
      </c>
      <c r="G104" s="18">
        <v>5.8999999999999997E-2</v>
      </c>
      <c r="H104" s="18">
        <v>0.26840000000000003</v>
      </c>
      <c r="I104" s="18">
        <v>7.0400000000000004E-2</v>
      </c>
      <c r="J104" s="18">
        <v>8.1799999999999998E-2</v>
      </c>
      <c r="K104" s="18">
        <v>0.15010000000000001</v>
      </c>
      <c r="L104" s="18">
        <v>5.8999999999999997E-2</v>
      </c>
      <c r="M104" s="18">
        <v>0.16589999999999999</v>
      </c>
      <c r="N104" s="18">
        <v>5.8999999999999997E-2</v>
      </c>
      <c r="O104" s="18">
        <v>0.16589999999999999</v>
      </c>
      <c r="P104" s="18">
        <v>0.17280000000000001</v>
      </c>
      <c r="Q104" s="18">
        <v>5.8999999999999997E-2</v>
      </c>
      <c r="R104" s="18">
        <v>0.35510000000000003</v>
      </c>
      <c r="S104" s="18">
        <v>0.27539999999999998</v>
      </c>
      <c r="T104" s="18">
        <v>0.2009</v>
      </c>
      <c r="U104" s="18">
        <v>0.54820000000000002</v>
      </c>
      <c r="V104" s="18">
        <v>0.4078</v>
      </c>
      <c r="W104" s="18">
        <v>1.3053999999999999</v>
      </c>
      <c r="X104" s="18">
        <v>0.32879999999999998</v>
      </c>
      <c r="Y104" s="18">
        <v>0.51770000000000005</v>
      </c>
      <c r="Z104" s="18">
        <v>0.31190000000000001</v>
      </c>
      <c r="AA104" s="18">
        <v>0.27979999999999999</v>
      </c>
      <c r="AB104" s="18">
        <v>0.1125</v>
      </c>
      <c r="AC104" s="18">
        <v>0.1125</v>
      </c>
      <c r="AD104" s="18">
        <v>0.17280000000000001</v>
      </c>
      <c r="AE104" s="18">
        <v>0.1971</v>
      </c>
      <c r="AF104" s="18">
        <v>5.8999999999999997E-2</v>
      </c>
      <c r="AG104" s="18">
        <v>0.13489999999999999</v>
      </c>
      <c r="AH104" s="18">
        <v>0.20380000000000001</v>
      </c>
      <c r="AI104" s="18">
        <v>9.3200000000000005E-2</v>
      </c>
      <c r="AJ104" s="18">
        <v>0.24560000000000001</v>
      </c>
      <c r="AK104" s="18">
        <v>5.8999999999999997E-2</v>
      </c>
      <c r="AL104" s="18">
        <v>0.17929999999999999</v>
      </c>
      <c r="AM104" s="18">
        <v>0.16589999999999999</v>
      </c>
      <c r="AN104" s="18">
        <v>7.6100000000000001E-2</v>
      </c>
      <c r="AO104" s="18">
        <v>0.17069999999999999</v>
      </c>
      <c r="AP104" s="18">
        <v>0.248</v>
      </c>
      <c r="AQ104" s="18">
        <v>0.57250000000000001</v>
      </c>
      <c r="AR104" s="18">
        <v>0.6361</v>
      </c>
      <c r="AS104" s="18">
        <v>0.4945</v>
      </c>
      <c r="AT104" s="18">
        <v>0.60529999999999995</v>
      </c>
      <c r="AU104" s="18">
        <v>0.85499999999999998</v>
      </c>
      <c r="AV104" s="18">
        <v>0.60499999999999998</v>
      </c>
      <c r="AW104" s="18">
        <v>0.15060000000000001</v>
      </c>
      <c r="AX104" s="18">
        <v>0.1653</v>
      </c>
    </row>
    <row r="105" spans="1:50" x14ac:dyDescent="0.25">
      <c r="A105" s="8" t="s">
        <v>160</v>
      </c>
      <c r="B105" s="10" t="s">
        <v>57</v>
      </c>
      <c r="C105" s="16">
        <v>0.14699999999999999</v>
      </c>
      <c r="D105" s="16">
        <v>0.1978</v>
      </c>
      <c r="E105" s="16">
        <v>9.5500000000000002E-2</v>
      </c>
      <c r="F105" s="16">
        <v>9.5500000000000002E-2</v>
      </c>
      <c r="G105" s="16">
        <v>4.3999999999999997E-2</v>
      </c>
      <c r="H105" s="16">
        <v>0.17499999999999999</v>
      </c>
      <c r="I105" s="16">
        <v>0.16980000000000001</v>
      </c>
      <c r="J105" s="16">
        <v>5.1400000000000001E-2</v>
      </c>
      <c r="K105" s="16">
        <v>0.26550000000000001</v>
      </c>
      <c r="L105" s="16">
        <v>7.1999999999999995E-2</v>
      </c>
      <c r="M105" s="16">
        <v>7.3400000000000007E-2</v>
      </c>
      <c r="N105" s="16">
        <v>0.27139999999999997</v>
      </c>
      <c r="O105" s="16">
        <v>4.3999999999999997E-2</v>
      </c>
      <c r="P105" s="16">
        <v>0.30109999999999998</v>
      </c>
      <c r="Q105" s="16">
        <v>0.2293</v>
      </c>
      <c r="R105" s="16">
        <v>1.1455</v>
      </c>
      <c r="S105" s="16">
        <v>0.25750000000000001</v>
      </c>
      <c r="T105" s="16">
        <v>0.1386</v>
      </c>
      <c r="U105" s="16">
        <v>0.30819999999999997</v>
      </c>
      <c r="V105" s="16">
        <v>6.6100000000000006E-2</v>
      </c>
      <c r="W105" s="16">
        <v>0.17680000000000001</v>
      </c>
      <c r="X105" s="16">
        <v>0.16800000000000001</v>
      </c>
      <c r="Y105" s="16">
        <v>7.1999999999999995E-2</v>
      </c>
      <c r="Z105" s="16">
        <v>0.16980000000000001</v>
      </c>
      <c r="AA105" s="16">
        <v>0.19769999999999999</v>
      </c>
      <c r="AB105" s="16">
        <v>0.2767</v>
      </c>
      <c r="AC105" s="16">
        <v>0.23449999999999999</v>
      </c>
      <c r="AD105" s="16">
        <v>0.3105</v>
      </c>
      <c r="AE105" s="16">
        <v>9.8000000000000004E-2</v>
      </c>
      <c r="AF105" s="16">
        <v>0.14699999999999999</v>
      </c>
      <c r="AG105" s="16">
        <v>0.1978</v>
      </c>
      <c r="AH105" s="16">
        <v>0.125</v>
      </c>
      <c r="AI105" s="16">
        <v>0.21290000000000001</v>
      </c>
      <c r="AJ105" s="16">
        <v>5.0999999999999997E-2</v>
      </c>
      <c r="AK105" s="16">
        <v>4.3999999999999997E-2</v>
      </c>
      <c r="AL105" s="16">
        <v>0.26400000000000001</v>
      </c>
      <c r="AM105" s="16">
        <v>0.14580000000000001</v>
      </c>
      <c r="AN105" s="16">
        <v>0.13489999999999999</v>
      </c>
      <c r="AO105" s="16">
        <v>0.2228</v>
      </c>
      <c r="AP105" s="16">
        <v>0.42520000000000002</v>
      </c>
      <c r="AQ105" s="16">
        <v>0.5776</v>
      </c>
      <c r="AR105" s="16">
        <v>0.61670000000000003</v>
      </c>
      <c r="AS105" s="16">
        <v>0.24310000000000001</v>
      </c>
      <c r="AT105" s="16">
        <v>0.65290000000000004</v>
      </c>
      <c r="AU105" s="16">
        <v>0.4526</v>
      </c>
      <c r="AV105" s="16">
        <v>0.4093</v>
      </c>
      <c r="AW105" s="16">
        <v>0.31209999999999999</v>
      </c>
      <c r="AX105" s="16">
        <v>0.1176</v>
      </c>
    </row>
    <row r="106" spans="1:50" x14ac:dyDescent="0.25">
      <c r="A106" s="8" t="s">
        <v>162</v>
      </c>
      <c r="B106" s="10" t="s">
        <v>57</v>
      </c>
      <c r="C106" s="16">
        <v>0.16750000000000001</v>
      </c>
      <c r="D106" s="16">
        <v>0.1166</v>
      </c>
      <c r="E106" s="16">
        <v>0.16120000000000001</v>
      </c>
      <c r="F106" s="16">
        <v>0.16059999999999999</v>
      </c>
      <c r="G106" s="16">
        <v>0.13539999999999999</v>
      </c>
      <c r="H106" s="16">
        <v>0.16750000000000001</v>
      </c>
      <c r="I106" s="16">
        <v>0.16059999999999999</v>
      </c>
      <c r="J106" s="16">
        <v>0.1241</v>
      </c>
      <c r="K106" s="16">
        <v>0.20399999999999999</v>
      </c>
      <c r="L106" s="16">
        <v>0.06</v>
      </c>
      <c r="M106" s="16">
        <v>0.06</v>
      </c>
      <c r="N106" s="16">
        <v>0.2681</v>
      </c>
      <c r="O106" s="16">
        <v>0.06</v>
      </c>
      <c r="P106" s="16">
        <v>0.1424</v>
      </c>
      <c r="Q106" s="16">
        <v>0.1857</v>
      </c>
      <c r="R106" s="16">
        <v>0.13320000000000001</v>
      </c>
      <c r="S106" s="16">
        <v>0.19489999999999999</v>
      </c>
      <c r="T106" s="16">
        <v>0.13320000000000001</v>
      </c>
      <c r="U106" s="16">
        <v>0.18229999999999999</v>
      </c>
      <c r="V106" s="16">
        <v>7.6499999999999999E-2</v>
      </c>
      <c r="W106" s="16">
        <v>6.7500000000000004E-2</v>
      </c>
      <c r="X106" s="16">
        <v>0.46929999999999999</v>
      </c>
      <c r="Y106" s="16">
        <v>8.1699999999999995E-2</v>
      </c>
      <c r="Z106" s="16">
        <v>0.23280000000000001</v>
      </c>
      <c r="AA106" s="16">
        <v>0.11559999999999999</v>
      </c>
      <c r="AB106" s="16">
        <v>0.16980000000000001</v>
      </c>
      <c r="AC106" s="16">
        <v>0.186</v>
      </c>
      <c r="AD106" s="16">
        <v>0.1449</v>
      </c>
      <c r="AE106" s="16">
        <v>0.18440000000000001</v>
      </c>
      <c r="AF106" s="16">
        <v>0.3886</v>
      </c>
      <c r="AG106" s="16">
        <v>0.33960000000000001</v>
      </c>
      <c r="AH106" s="16">
        <v>0.22939999999999999</v>
      </c>
      <c r="AI106" s="16">
        <v>0.1925</v>
      </c>
      <c r="AJ106" s="16">
        <v>0.18640000000000001</v>
      </c>
      <c r="AK106" s="16">
        <v>0.35399999999999998</v>
      </c>
      <c r="AL106" s="16">
        <v>0.44280000000000003</v>
      </c>
      <c r="AM106" s="16">
        <v>0.49419999999999997</v>
      </c>
      <c r="AN106" s="16">
        <v>0.2</v>
      </c>
      <c r="AO106" s="16">
        <v>0.47599999999999998</v>
      </c>
      <c r="AP106" s="16">
        <v>0.43190000000000001</v>
      </c>
      <c r="AQ106" s="16">
        <v>0.43359999999999999</v>
      </c>
      <c r="AR106" s="16">
        <v>0.2989</v>
      </c>
      <c r="AS106" s="16">
        <v>0.30730000000000002</v>
      </c>
      <c r="AT106" s="16">
        <v>0.31719999999999998</v>
      </c>
      <c r="AU106" s="16">
        <v>0.29730000000000001</v>
      </c>
      <c r="AV106" s="16">
        <v>0.40810000000000002</v>
      </c>
      <c r="AW106" s="16">
        <v>0.1409</v>
      </c>
      <c r="AX106" s="16">
        <v>0.1424</v>
      </c>
    </row>
    <row r="107" spans="1:50" x14ac:dyDescent="0.25">
      <c r="A107" s="8" t="s">
        <v>164</v>
      </c>
      <c r="B107" s="10" t="s">
        <v>57</v>
      </c>
      <c r="C107" s="16">
        <v>6.9800000000000001E-2</v>
      </c>
      <c r="D107" s="16">
        <v>0.37209999999999999</v>
      </c>
      <c r="E107" s="16">
        <v>0.161</v>
      </c>
      <c r="F107" s="16">
        <v>0.05</v>
      </c>
      <c r="G107" s="16">
        <v>0.2084</v>
      </c>
      <c r="H107" s="16">
        <v>0.05</v>
      </c>
      <c r="I107" s="16">
        <v>0.2084</v>
      </c>
      <c r="J107" s="16">
        <v>0.05</v>
      </c>
      <c r="K107" s="16">
        <v>0.16520000000000001</v>
      </c>
      <c r="L107" s="16">
        <v>9.3200000000000005E-2</v>
      </c>
      <c r="M107" s="16">
        <v>0.122</v>
      </c>
      <c r="N107" s="16">
        <v>0.13639999999999999</v>
      </c>
      <c r="O107" s="16">
        <v>0.05</v>
      </c>
      <c r="P107" s="16">
        <v>7.1599999999999997E-2</v>
      </c>
      <c r="Q107" s="16">
        <v>0.19009999999999999</v>
      </c>
      <c r="R107" s="16">
        <v>0.11940000000000001</v>
      </c>
      <c r="S107" s="16">
        <v>0.37980000000000003</v>
      </c>
      <c r="T107" s="16">
        <v>1.5499000000000001</v>
      </c>
      <c r="U107" s="16">
        <v>2.0568</v>
      </c>
      <c r="V107" s="16">
        <v>1.1560999999999999</v>
      </c>
      <c r="W107" s="16">
        <v>0.1976</v>
      </c>
      <c r="X107" s="16">
        <v>0.20649999999999999</v>
      </c>
      <c r="Y107" s="16">
        <v>0.40079999999999999</v>
      </c>
      <c r="Z107" s="16">
        <v>0.44450000000000001</v>
      </c>
      <c r="AA107" s="16">
        <v>1.0176000000000001</v>
      </c>
      <c r="AB107" s="16">
        <v>0.38769999999999999</v>
      </c>
      <c r="AC107" s="16">
        <v>6.13E-2</v>
      </c>
      <c r="AD107" s="16">
        <v>0.43059999999999998</v>
      </c>
      <c r="AE107" s="16">
        <v>1.2279</v>
      </c>
      <c r="AF107" s="16">
        <v>0.49630000000000002</v>
      </c>
      <c r="AG107" s="16">
        <v>0.83099999999999996</v>
      </c>
      <c r="AH107" s="16">
        <v>0.12770000000000001</v>
      </c>
      <c r="AI107" s="16">
        <v>0.1724</v>
      </c>
      <c r="AJ107" s="16">
        <v>8.5999999999999993E-2</v>
      </c>
      <c r="AK107" s="16">
        <v>0.26790000000000003</v>
      </c>
      <c r="AL107" s="16">
        <v>0.29420000000000002</v>
      </c>
      <c r="AM107" s="16">
        <v>0.504</v>
      </c>
      <c r="AN107" s="16">
        <v>0.26500000000000001</v>
      </c>
      <c r="AO107" s="16">
        <v>1.6119000000000001</v>
      </c>
      <c r="AP107" s="16">
        <v>0.97760000000000002</v>
      </c>
      <c r="AQ107" s="16">
        <v>1.1909000000000001</v>
      </c>
      <c r="AR107" s="16">
        <v>0.21260000000000001</v>
      </c>
      <c r="AS107" s="16">
        <v>0.31540000000000001</v>
      </c>
      <c r="AT107" s="16">
        <v>0.42299999999999999</v>
      </c>
      <c r="AU107" s="16">
        <v>0.27010000000000001</v>
      </c>
      <c r="AV107" s="16">
        <v>0.2495</v>
      </c>
      <c r="AW107" s="16">
        <v>0.17910000000000001</v>
      </c>
      <c r="AX107" s="16">
        <v>0.10199999999999999</v>
      </c>
    </row>
    <row r="108" spans="1:50" x14ac:dyDescent="0.25">
      <c r="A108" s="8" t="s">
        <v>166</v>
      </c>
      <c r="B108" s="10" t="s">
        <v>57</v>
      </c>
      <c r="C108" s="16">
        <v>7.3400000000000007E-2</v>
      </c>
      <c r="D108" s="16">
        <v>0.29830000000000001</v>
      </c>
      <c r="E108" s="16">
        <v>0.1502</v>
      </c>
      <c r="F108" s="16">
        <v>0.1656</v>
      </c>
      <c r="G108" s="16">
        <v>0.25569999999999998</v>
      </c>
      <c r="H108" s="16">
        <v>0.1004</v>
      </c>
      <c r="I108" s="16">
        <v>0.31859999999999999</v>
      </c>
      <c r="J108" s="16">
        <v>0.1452</v>
      </c>
      <c r="K108" s="16">
        <v>0.1656</v>
      </c>
      <c r="L108" s="16">
        <v>5.8000000000000003E-2</v>
      </c>
      <c r="M108" s="16">
        <v>0.2195</v>
      </c>
      <c r="N108" s="16">
        <v>0.19070000000000001</v>
      </c>
      <c r="O108" s="16">
        <v>0.1115</v>
      </c>
      <c r="P108" s="16">
        <v>0.15840000000000001</v>
      </c>
      <c r="Q108" s="16">
        <v>0.19639999999999999</v>
      </c>
      <c r="R108" s="16">
        <v>0.98309999999999997</v>
      </c>
      <c r="S108" s="16">
        <v>0.50160000000000005</v>
      </c>
      <c r="T108" s="16">
        <v>0.33400000000000002</v>
      </c>
      <c r="U108" s="16">
        <v>1.2746999999999999</v>
      </c>
      <c r="V108" s="16">
        <v>1.2457</v>
      </c>
      <c r="W108" s="16">
        <v>0.47860000000000003</v>
      </c>
      <c r="X108" s="16">
        <v>0.46210000000000001</v>
      </c>
      <c r="Y108" s="16">
        <v>6.25E-2</v>
      </c>
      <c r="Z108" s="16">
        <v>0.2107</v>
      </c>
      <c r="AA108" s="16">
        <v>0.19769999999999999</v>
      </c>
      <c r="AB108" s="16">
        <v>0.1089</v>
      </c>
      <c r="AC108" s="16">
        <v>0.44069999999999998</v>
      </c>
      <c r="AD108" s="16">
        <v>0.22040000000000001</v>
      </c>
      <c r="AE108" s="16">
        <v>0.21029999999999999</v>
      </c>
      <c r="AF108" s="16">
        <v>0.58489999999999998</v>
      </c>
      <c r="AG108" s="16">
        <v>9.4100000000000003E-2</v>
      </c>
      <c r="AH108" s="16">
        <v>0.93269999999999997</v>
      </c>
      <c r="AI108" s="16">
        <v>0.40579999999999999</v>
      </c>
      <c r="AJ108" s="16">
        <v>5.8000000000000003E-2</v>
      </c>
      <c r="AK108" s="16">
        <v>0.26769999999999999</v>
      </c>
      <c r="AL108" s="16">
        <v>0.1961</v>
      </c>
      <c r="AM108" s="16">
        <v>0.37309999999999999</v>
      </c>
      <c r="AN108" s="16">
        <v>0.26</v>
      </c>
      <c r="AO108" s="16">
        <v>0.30509999999999998</v>
      </c>
      <c r="AP108" s="16">
        <v>0.62429999999999997</v>
      </c>
      <c r="AQ108" s="16">
        <v>0.92069999999999996</v>
      </c>
      <c r="AR108" s="16">
        <v>1.5458000000000001</v>
      </c>
      <c r="AS108" s="16">
        <v>1.0172000000000001</v>
      </c>
      <c r="AT108" s="16">
        <v>0.9556</v>
      </c>
      <c r="AU108" s="16">
        <v>1.3587</v>
      </c>
      <c r="AV108" s="16">
        <v>0.57279999999999998</v>
      </c>
      <c r="AW108" s="16">
        <v>0.82040000000000002</v>
      </c>
      <c r="AX108" s="16">
        <v>0.28570000000000001</v>
      </c>
    </row>
    <row r="109" spans="1:50" x14ac:dyDescent="0.25">
      <c r="A109" s="8" t="s">
        <v>168</v>
      </c>
      <c r="B109" s="10" t="s">
        <v>57</v>
      </c>
      <c r="C109" s="16">
        <v>0.26919999999999999</v>
      </c>
      <c r="D109" s="16">
        <v>0.22539999999999999</v>
      </c>
      <c r="E109" s="16">
        <v>0.18060000000000001</v>
      </c>
      <c r="F109" s="16">
        <v>0.13150000000000001</v>
      </c>
      <c r="G109" s="16">
        <v>0.1835</v>
      </c>
      <c r="H109" s="16">
        <v>0.2571</v>
      </c>
      <c r="I109" s="16">
        <v>0.22339999999999999</v>
      </c>
      <c r="J109" s="16">
        <v>0.15390000000000001</v>
      </c>
      <c r="K109" s="16">
        <v>0.12509999999999999</v>
      </c>
      <c r="L109" s="16">
        <v>0.22339999999999999</v>
      </c>
      <c r="M109" s="16">
        <v>0.2102</v>
      </c>
      <c r="N109" s="16">
        <v>0.10290000000000001</v>
      </c>
      <c r="O109" s="16">
        <v>0.21540000000000001</v>
      </c>
      <c r="P109" s="16">
        <v>0.1726</v>
      </c>
      <c r="Q109" s="16">
        <v>0.30790000000000001</v>
      </c>
      <c r="R109" s="16">
        <v>0.1867</v>
      </c>
      <c r="S109" s="16">
        <v>0.52890000000000004</v>
      </c>
      <c r="T109" s="16">
        <v>1.4367000000000001</v>
      </c>
      <c r="U109" s="16">
        <v>0.1027</v>
      </c>
      <c r="V109" s="16">
        <v>0.27500000000000002</v>
      </c>
      <c r="W109" s="16">
        <v>0.37419999999999998</v>
      </c>
      <c r="X109" s="16">
        <v>0.38129999999999997</v>
      </c>
      <c r="Y109" s="16">
        <v>0.98519999999999996</v>
      </c>
      <c r="Z109" s="16">
        <v>0.90359999999999996</v>
      </c>
      <c r="AA109" s="16">
        <v>0.34310000000000002</v>
      </c>
      <c r="AB109" s="16">
        <v>0.17949999999999999</v>
      </c>
      <c r="AC109" s="16">
        <v>0.60860000000000003</v>
      </c>
      <c r="AD109" s="16">
        <v>0.23280000000000001</v>
      </c>
      <c r="AE109" s="16">
        <v>0.88949999999999996</v>
      </c>
      <c r="AF109" s="16">
        <v>0.378</v>
      </c>
      <c r="AG109" s="16">
        <v>0.25609999999999999</v>
      </c>
      <c r="AH109" s="16">
        <v>0.47420000000000001</v>
      </c>
      <c r="AI109" s="16">
        <v>0.26900000000000002</v>
      </c>
      <c r="AJ109" s="16">
        <v>0.49059999999999998</v>
      </c>
      <c r="AK109" s="16">
        <v>1.6395</v>
      </c>
      <c r="AL109" s="16">
        <v>1.5404</v>
      </c>
      <c r="AM109" s="16">
        <v>0.42149999999999999</v>
      </c>
      <c r="AN109" s="16">
        <v>0.1103</v>
      </c>
      <c r="AO109" s="16">
        <v>0.35610000000000003</v>
      </c>
      <c r="AP109" s="16">
        <v>6.2100000000000002E-2</v>
      </c>
      <c r="AQ109" s="16">
        <v>0.21679999999999999</v>
      </c>
      <c r="AR109" s="16">
        <v>0.41610000000000003</v>
      </c>
      <c r="AS109" s="16">
        <v>0.21870000000000001</v>
      </c>
      <c r="AT109" s="16">
        <v>0.40639999999999998</v>
      </c>
      <c r="AU109" s="16">
        <v>5.2699999999999997E-2</v>
      </c>
      <c r="AV109" s="16">
        <v>0.30790000000000001</v>
      </c>
      <c r="AW109" s="16">
        <v>0.1726</v>
      </c>
      <c r="AX109" s="16">
        <v>4.8000000000000001E-2</v>
      </c>
    </row>
    <row r="110" spans="1:50" x14ac:dyDescent="0.25">
      <c r="A110" s="17" t="s">
        <v>505</v>
      </c>
      <c r="B110" s="13" t="s">
        <v>410</v>
      </c>
      <c r="C110" s="18">
        <v>0.1116</v>
      </c>
      <c r="D110" s="18">
        <v>8.2199999999999995E-2</v>
      </c>
      <c r="E110" s="18">
        <v>4.8000000000000001E-2</v>
      </c>
      <c r="F110" s="18">
        <v>0.1191</v>
      </c>
      <c r="G110" s="18">
        <v>4.8000000000000001E-2</v>
      </c>
      <c r="H110" s="18">
        <v>0.1191</v>
      </c>
      <c r="I110" s="18">
        <v>0.14580000000000001</v>
      </c>
      <c r="J110" s="18">
        <v>5.1999999999999998E-2</v>
      </c>
      <c r="K110" s="18">
        <v>0.21299999999999999</v>
      </c>
      <c r="L110" s="18">
        <v>4.8000000000000001E-2</v>
      </c>
      <c r="M110" s="18">
        <v>0.14580000000000001</v>
      </c>
      <c r="N110" s="18">
        <v>4.8000000000000001E-2</v>
      </c>
      <c r="O110" s="18">
        <v>4.8000000000000001E-2</v>
      </c>
      <c r="P110" s="18">
        <v>0.21690000000000001</v>
      </c>
      <c r="Q110" s="18">
        <v>4.8000000000000001E-2</v>
      </c>
      <c r="R110" s="18">
        <v>5.1999999999999998E-2</v>
      </c>
      <c r="S110" s="18">
        <v>0.28249999999999997</v>
      </c>
      <c r="T110" s="18">
        <v>0.25280000000000002</v>
      </c>
      <c r="U110" s="18">
        <v>0.37119999999999997</v>
      </c>
      <c r="V110" s="18">
        <v>1.4081999999999999</v>
      </c>
      <c r="W110" s="18">
        <v>0.4229</v>
      </c>
      <c r="X110" s="18">
        <v>0.73419999999999996</v>
      </c>
      <c r="Y110" s="18">
        <v>0.65339999999999998</v>
      </c>
      <c r="Z110" s="18">
        <v>0.41220000000000001</v>
      </c>
      <c r="AA110" s="18">
        <v>0.37059999999999998</v>
      </c>
      <c r="AB110" s="18">
        <v>0.55349999999999999</v>
      </c>
      <c r="AC110" s="18">
        <v>0.69359999999999999</v>
      </c>
      <c r="AD110" s="18">
        <v>0.30380000000000001</v>
      </c>
      <c r="AE110" s="18">
        <v>0.65139999999999998</v>
      </c>
      <c r="AF110" s="18">
        <v>0.34520000000000001</v>
      </c>
      <c r="AG110" s="18">
        <v>0.33300000000000002</v>
      </c>
      <c r="AH110" s="18">
        <v>0.62860000000000005</v>
      </c>
      <c r="AI110" s="18">
        <v>0.70920000000000005</v>
      </c>
      <c r="AJ110" s="18">
        <v>0.17860000000000001</v>
      </c>
      <c r="AK110" s="18">
        <v>0.56110000000000004</v>
      </c>
      <c r="AL110" s="18">
        <v>0.38529999999999998</v>
      </c>
      <c r="AM110" s="18">
        <v>0.19400000000000001</v>
      </c>
      <c r="AN110" s="18">
        <v>0.34589999999999999</v>
      </c>
      <c r="AO110" s="18">
        <v>0.1925</v>
      </c>
      <c r="AP110" s="18">
        <v>0.53480000000000005</v>
      </c>
      <c r="AQ110" s="18">
        <v>0.67800000000000005</v>
      </c>
      <c r="AR110" s="18">
        <v>1.0412999999999999</v>
      </c>
      <c r="AS110" s="18">
        <v>1.1526000000000001</v>
      </c>
      <c r="AT110" s="18">
        <v>1.1736</v>
      </c>
      <c r="AU110" s="18">
        <v>1.0432999999999999</v>
      </c>
      <c r="AV110" s="18">
        <v>1.2753000000000001</v>
      </c>
      <c r="AW110" s="18">
        <v>1.2401</v>
      </c>
      <c r="AX110" s="18">
        <v>0.54700000000000004</v>
      </c>
    </row>
    <row r="111" spans="1:50" x14ac:dyDescent="0.25">
      <c r="A111" s="8" t="s">
        <v>170</v>
      </c>
      <c r="B111" s="10" t="s">
        <v>57</v>
      </c>
      <c r="C111" s="16">
        <v>5.8999999999999997E-2</v>
      </c>
      <c r="D111" s="16">
        <v>0.29310000000000003</v>
      </c>
      <c r="E111" s="16">
        <v>5.8999999999999997E-2</v>
      </c>
      <c r="F111" s="16">
        <v>0.20760000000000001</v>
      </c>
      <c r="G111" s="16">
        <v>0.14449999999999999</v>
      </c>
      <c r="H111" s="16">
        <v>5.8999999999999997E-2</v>
      </c>
      <c r="I111" s="16">
        <v>0.18529999999999999</v>
      </c>
      <c r="J111" s="16">
        <v>5.8999999999999997E-2</v>
      </c>
      <c r="K111" s="16">
        <v>0.1726</v>
      </c>
      <c r="L111" s="16">
        <v>0.1794</v>
      </c>
      <c r="M111" s="16">
        <v>7.7899999999999997E-2</v>
      </c>
      <c r="N111" s="16">
        <v>0.1663</v>
      </c>
      <c r="O111" s="16">
        <v>0.14369999999999999</v>
      </c>
      <c r="P111" s="16">
        <v>0.4158</v>
      </c>
      <c r="Q111" s="16">
        <v>1.3566</v>
      </c>
      <c r="R111" s="16">
        <v>0.39679999999999999</v>
      </c>
      <c r="S111" s="16">
        <v>0.31640000000000001</v>
      </c>
      <c r="T111" s="16">
        <v>0.25080000000000002</v>
      </c>
      <c r="U111" s="16">
        <v>0.20469999999999999</v>
      </c>
      <c r="V111" s="16">
        <v>5.8999999999999997E-2</v>
      </c>
      <c r="W111" s="16">
        <v>0.23150000000000001</v>
      </c>
      <c r="X111" s="16">
        <v>0.1206</v>
      </c>
      <c r="Y111" s="16">
        <v>0.18529999999999999</v>
      </c>
      <c r="Z111" s="16">
        <v>5.8999999999999997E-2</v>
      </c>
      <c r="AA111" s="16">
        <v>0.2757</v>
      </c>
      <c r="AB111" s="16">
        <v>0.4446</v>
      </c>
      <c r="AC111" s="16">
        <v>0.40239999999999998</v>
      </c>
      <c r="AD111" s="16">
        <v>0.26190000000000002</v>
      </c>
      <c r="AE111" s="16">
        <v>0.41320000000000001</v>
      </c>
      <c r="AF111" s="16">
        <v>0.50619999999999998</v>
      </c>
      <c r="AG111" s="16">
        <v>5.8999999999999997E-2</v>
      </c>
      <c r="AH111" s="16">
        <v>1.4440999999999999</v>
      </c>
      <c r="AI111" s="16">
        <v>0.1845</v>
      </c>
      <c r="AJ111" s="16">
        <v>0.19550000000000001</v>
      </c>
      <c r="AK111" s="16">
        <v>0.27310000000000001</v>
      </c>
      <c r="AL111" s="16">
        <v>0.29120000000000001</v>
      </c>
      <c r="AM111" s="16">
        <v>0.22720000000000001</v>
      </c>
      <c r="AN111" s="16">
        <v>9.9699999999999997E-2</v>
      </c>
      <c r="AO111" s="16">
        <v>0.16</v>
      </c>
      <c r="AP111" s="16">
        <v>0.1129</v>
      </c>
      <c r="AQ111" s="16">
        <v>0.1129</v>
      </c>
      <c r="AR111" s="16">
        <v>0.1789</v>
      </c>
      <c r="AS111" s="16">
        <v>0.1731</v>
      </c>
      <c r="AT111" s="16">
        <v>0.1537</v>
      </c>
      <c r="AU111" s="16">
        <v>0.17530000000000001</v>
      </c>
      <c r="AV111" s="16">
        <v>8.2100000000000006E-2</v>
      </c>
      <c r="AW111" s="16">
        <v>5.8999999999999997E-2</v>
      </c>
      <c r="AX111" s="16">
        <v>5.8999999999999997E-2</v>
      </c>
    </row>
    <row r="112" spans="1:50" x14ac:dyDescent="0.25">
      <c r="A112" s="8" t="s">
        <v>172</v>
      </c>
      <c r="B112" s="10" t="s">
        <v>57</v>
      </c>
      <c r="C112" s="16">
        <v>0.39150000000000001</v>
      </c>
      <c r="D112" s="16">
        <v>4.7E-2</v>
      </c>
      <c r="E112" s="16">
        <v>4.7E-2</v>
      </c>
      <c r="F112" s="16">
        <v>4.7E-2</v>
      </c>
      <c r="G112" s="16">
        <v>0.1275</v>
      </c>
      <c r="H112" s="16">
        <v>4.7E-2</v>
      </c>
      <c r="I112" s="16">
        <v>4.7E-2</v>
      </c>
      <c r="J112" s="16">
        <v>4.7E-2</v>
      </c>
      <c r="K112" s="16">
        <v>4.7E-2</v>
      </c>
      <c r="L112" s="16">
        <v>4.7E-2</v>
      </c>
      <c r="M112" s="16">
        <v>7.8299999999999995E-2</v>
      </c>
      <c r="N112" s="16">
        <v>9.6199999999999994E-2</v>
      </c>
      <c r="O112" s="16">
        <v>8.7300000000000003E-2</v>
      </c>
      <c r="P112" s="16">
        <v>8.7300000000000003E-2</v>
      </c>
      <c r="Q112" s="16">
        <v>4.7E-2</v>
      </c>
      <c r="R112" s="16">
        <v>4.7E-2</v>
      </c>
      <c r="S112" s="16">
        <v>0.1007</v>
      </c>
      <c r="T112" s="16">
        <v>7.3800000000000004E-2</v>
      </c>
      <c r="U112" s="16">
        <v>4.7E-2</v>
      </c>
      <c r="V112" s="16">
        <v>4.7E-2</v>
      </c>
      <c r="W112" s="16">
        <v>4.7E-2</v>
      </c>
      <c r="X112" s="16">
        <v>0.1275</v>
      </c>
      <c r="Y112" s="16">
        <v>4.7E-2</v>
      </c>
      <c r="Z112" s="16">
        <v>0.11409999999999999</v>
      </c>
      <c r="AA112" s="16">
        <v>6.0400000000000002E-2</v>
      </c>
      <c r="AB112" s="16">
        <v>0.50790000000000002</v>
      </c>
      <c r="AC112" s="16">
        <v>0.10589999999999999</v>
      </c>
      <c r="AD112" s="16">
        <v>0.1472</v>
      </c>
      <c r="AE112" s="16">
        <v>6.2700000000000006E-2</v>
      </c>
      <c r="AF112" s="16">
        <v>0.1275</v>
      </c>
      <c r="AG112" s="16">
        <v>5.2499999999999998E-2</v>
      </c>
      <c r="AH112" s="16">
        <v>0.1179</v>
      </c>
      <c r="AI112" s="16">
        <v>0.22620000000000001</v>
      </c>
      <c r="AJ112" s="16">
        <v>0.1507</v>
      </c>
      <c r="AK112" s="16">
        <v>0.20660000000000001</v>
      </c>
      <c r="AL112" s="16">
        <v>0.15010000000000001</v>
      </c>
      <c r="AM112" s="16">
        <v>0.21759999999999999</v>
      </c>
      <c r="AN112" s="16">
        <v>0.13830000000000001</v>
      </c>
      <c r="AO112" s="16">
        <v>0.123</v>
      </c>
      <c r="AP112" s="16">
        <v>5.1499999999999997E-2</v>
      </c>
      <c r="AQ112" s="16">
        <v>0.1096</v>
      </c>
      <c r="AR112" s="16">
        <v>0.22600000000000001</v>
      </c>
      <c r="AS112" s="16">
        <v>0.29220000000000002</v>
      </c>
      <c r="AT112" s="16">
        <v>0.52910000000000001</v>
      </c>
      <c r="AU112" s="16">
        <v>0.34770000000000001</v>
      </c>
      <c r="AV112" s="16">
        <v>0.32169999999999999</v>
      </c>
      <c r="AW112" s="16">
        <v>0.61370000000000002</v>
      </c>
      <c r="AX112" s="16">
        <v>0.442</v>
      </c>
    </row>
    <row r="113" spans="1:50" x14ac:dyDescent="0.25">
      <c r="A113" s="17" t="s">
        <v>507</v>
      </c>
      <c r="B113" s="13" t="s">
        <v>410</v>
      </c>
      <c r="C113" s="18">
        <v>0.52600000000000002</v>
      </c>
      <c r="D113" s="18">
        <v>0.44669999999999999</v>
      </c>
      <c r="E113" s="18">
        <v>5.1999999999999998E-2</v>
      </c>
      <c r="F113" s="18">
        <v>5.1999999999999998E-2</v>
      </c>
      <c r="G113" s="18">
        <v>5.1999999999999998E-2</v>
      </c>
      <c r="H113" s="18">
        <v>5.1999999999999998E-2</v>
      </c>
      <c r="I113" s="18">
        <v>5.1999999999999998E-2</v>
      </c>
      <c r="J113" s="18">
        <v>5.1999999999999998E-2</v>
      </c>
      <c r="K113" s="18">
        <v>5.1999999999999998E-2</v>
      </c>
      <c r="L113" s="18">
        <v>5.1999999999999998E-2</v>
      </c>
      <c r="M113" s="18">
        <v>5.1999999999999998E-2</v>
      </c>
      <c r="N113" s="18">
        <v>5.1999999999999998E-2</v>
      </c>
      <c r="O113" s="18">
        <v>5.1999999999999998E-2</v>
      </c>
      <c r="P113" s="18">
        <v>0.1007</v>
      </c>
      <c r="Q113" s="18">
        <v>5.1999999999999998E-2</v>
      </c>
      <c r="R113" s="18">
        <v>5.1999999999999998E-2</v>
      </c>
      <c r="S113" s="18">
        <v>5.1999999999999998E-2</v>
      </c>
      <c r="T113" s="18">
        <v>5.1999999999999998E-2</v>
      </c>
      <c r="U113" s="18">
        <v>0.1517</v>
      </c>
      <c r="V113" s="18">
        <v>0.188</v>
      </c>
      <c r="W113" s="18">
        <v>0.188</v>
      </c>
      <c r="X113" s="18">
        <v>0.188</v>
      </c>
      <c r="Y113" s="18">
        <v>0.224</v>
      </c>
      <c r="Z113" s="18">
        <v>0.1638</v>
      </c>
      <c r="AA113" s="18">
        <v>5.3100000000000001E-2</v>
      </c>
      <c r="AB113" s="18">
        <v>0.32550000000000001</v>
      </c>
      <c r="AC113" s="18">
        <v>0.95660000000000001</v>
      </c>
      <c r="AD113" s="18">
        <v>2.7955000000000001</v>
      </c>
      <c r="AE113" s="18">
        <v>3.0301</v>
      </c>
      <c r="AF113" s="18">
        <v>0.57620000000000005</v>
      </c>
      <c r="AG113" s="18">
        <v>0.22639999999999999</v>
      </c>
      <c r="AH113" s="18">
        <v>0.21809999999999999</v>
      </c>
      <c r="AI113" s="18">
        <v>0.49909999999999999</v>
      </c>
      <c r="AJ113" s="18">
        <v>0.41149999999999998</v>
      </c>
      <c r="AK113" s="18">
        <v>0.2102</v>
      </c>
      <c r="AL113" s="18">
        <v>0.40050000000000002</v>
      </c>
      <c r="AM113" s="18">
        <v>0.1449</v>
      </c>
      <c r="AN113" s="18">
        <v>5.1999999999999998E-2</v>
      </c>
      <c r="AO113" s="18">
        <v>5.1999999999999998E-2</v>
      </c>
      <c r="AP113" s="18">
        <v>0.1615</v>
      </c>
      <c r="AQ113" s="18">
        <v>0.45440000000000003</v>
      </c>
      <c r="AR113" s="18">
        <v>0.43659999999999999</v>
      </c>
      <c r="AS113" s="18">
        <v>0.99929999999999997</v>
      </c>
      <c r="AT113" s="18">
        <v>2.8233000000000001</v>
      </c>
      <c r="AU113" s="18">
        <v>4.3316999999999997</v>
      </c>
      <c r="AV113" s="18">
        <v>0.49299999999999999</v>
      </c>
      <c r="AW113" s="18">
        <v>0.37430000000000002</v>
      </c>
      <c r="AX113" s="18">
        <v>0.27929999999999999</v>
      </c>
    </row>
    <row r="114" spans="1:50" x14ac:dyDescent="0.25">
      <c r="A114" s="8" t="s">
        <v>174</v>
      </c>
      <c r="B114" s="10" t="s">
        <v>57</v>
      </c>
      <c r="C114" s="16">
        <v>5.2999999999999999E-2</v>
      </c>
      <c r="D114" s="16">
        <v>0.1313</v>
      </c>
      <c r="E114" s="16">
        <v>5.2999999999999999E-2</v>
      </c>
      <c r="F114" s="16">
        <v>5.2999999999999999E-2</v>
      </c>
      <c r="G114" s="16">
        <v>0.1313</v>
      </c>
      <c r="H114" s="16">
        <v>5.2999999999999999E-2</v>
      </c>
      <c r="I114" s="16">
        <v>0.1052</v>
      </c>
      <c r="J114" s="16">
        <v>7.9100000000000004E-2</v>
      </c>
      <c r="K114" s="16">
        <v>5.2999999999999999E-2</v>
      </c>
      <c r="L114" s="16">
        <v>7.4700000000000003E-2</v>
      </c>
      <c r="M114" s="16">
        <v>0.1095</v>
      </c>
      <c r="N114" s="16">
        <v>5.2999999999999999E-2</v>
      </c>
      <c r="O114" s="16">
        <v>0.1095</v>
      </c>
      <c r="P114" s="16">
        <v>7.4700000000000003E-2</v>
      </c>
      <c r="Q114" s="16">
        <v>5.2999999999999999E-2</v>
      </c>
      <c r="R114" s="16">
        <v>0.1368</v>
      </c>
      <c r="S114" s="16">
        <v>5.2999999999999999E-2</v>
      </c>
      <c r="T114" s="16">
        <v>0.14460000000000001</v>
      </c>
      <c r="U114" s="16">
        <v>8.6999999999999994E-2</v>
      </c>
      <c r="V114" s="16">
        <v>0.13400000000000001</v>
      </c>
      <c r="W114" s="16">
        <v>0.38729999999999998</v>
      </c>
      <c r="X114" s="16">
        <v>5.2999999999999999E-2</v>
      </c>
      <c r="Y114" s="16">
        <v>0.1008</v>
      </c>
      <c r="Z114" s="16">
        <v>8.3400000000000002E-2</v>
      </c>
      <c r="AA114" s="16">
        <v>9.6500000000000002E-2</v>
      </c>
      <c r="AB114" s="16">
        <v>8.7800000000000003E-2</v>
      </c>
      <c r="AC114" s="16">
        <v>9.6500000000000002E-2</v>
      </c>
      <c r="AD114" s="16">
        <v>8.7800000000000003E-2</v>
      </c>
      <c r="AE114" s="16">
        <v>5.2999999999999999E-2</v>
      </c>
      <c r="AF114" s="16">
        <v>0.1313</v>
      </c>
      <c r="AG114" s="16">
        <v>5.2999999999999999E-2</v>
      </c>
      <c r="AH114" s="16">
        <v>0.1313</v>
      </c>
      <c r="AI114" s="16">
        <v>0.1116</v>
      </c>
      <c r="AJ114" s="16">
        <v>0.21299999999999999</v>
      </c>
      <c r="AK114" s="16">
        <v>0.25950000000000001</v>
      </c>
      <c r="AL114" s="16">
        <v>0.24909999999999999</v>
      </c>
      <c r="AM114" s="16">
        <v>0.28670000000000001</v>
      </c>
      <c r="AN114" s="16">
        <v>0.49659999999999999</v>
      </c>
      <c r="AO114" s="16">
        <v>0.2979</v>
      </c>
      <c r="AP114" s="16">
        <v>0.66469999999999996</v>
      </c>
      <c r="AQ114" s="16">
        <v>0.56210000000000004</v>
      </c>
      <c r="AR114" s="16">
        <v>0.39100000000000001</v>
      </c>
      <c r="AS114" s="16">
        <v>0.5151</v>
      </c>
      <c r="AT114" s="16">
        <v>0.50180000000000002</v>
      </c>
      <c r="AU114" s="16">
        <v>0.4486</v>
      </c>
      <c r="AV114" s="16">
        <v>0.2303</v>
      </c>
      <c r="AW114" s="16">
        <v>5.2999999999999999E-2</v>
      </c>
      <c r="AX114" s="16">
        <v>0.1313</v>
      </c>
    </row>
    <row r="115" spans="1:50" x14ac:dyDescent="0.25">
      <c r="A115" s="17" t="s">
        <v>509</v>
      </c>
      <c r="B115" s="13" t="s">
        <v>410</v>
      </c>
      <c r="C115" s="18">
        <v>0.36509999999999998</v>
      </c>
      <c r="D115" s="18">
        <v>3.9E-2</v>
      </c>
      <c r="E115" s="18">
        <v>3.9E-2</v>
      </c>
      <c r="F115" s="18">
        <v>3.9E-2</v>
      </c>
      <c r="G115" s="18">
        <v>3.9E-2</v>
      </c>
      <c r="H115" s="18">
        <v>3.9E-2</v>
      </c>
      <c r="I115" s="18">
        <v>3.9E-2</v>
      </c>
      <c r="J115" s="18">
        <v>3.9E-2</v>
      </c>
      <c r="K115" s="18">
        <v>3.9E-2</v>
      </c>
      <c r="L115" s="18">
        <v>3.9E-2</v>
      </c>
      <c r="M115" s="18">
        <v>3.9E-2</v>
      </c>
      <c r="N115" s="18">
        <v>3.9E-2</v>
      </c>
      <c r="O115" s="18">
        <v>3.9E-2</v>
      </c>
      <c r="P115" s="18">
        <v>3.9E-2</v>
      </c>
      <c r="Q115" s="18">
        <v>0.27179999999999999</v>
      </c>
      <c r="R115" s="18">
        <v>0.91700000000000004</v>
      </c>
      <c r="S115" s="18">
        <v>6.3200000000000006E-2</v>
      </c>
      <c r="T115" s="18">
        <v>6.3200000000000006E-2</v>
      </c>
      <c r="U115" s="18">
        <v>4.3799999999999999E-2</v>
      </c>
      <c r="V115" s="18">
        <v>8.0600000000000005E-2</v>
      </c>
      <c r="W115" s="18">
        <v>0.1668</v>
      </c>
      <c r="X115" s="18">
        <v>0.1651</v>
      </c>
      <c r="Y115" s="18">
        <v>0.37209999999999999</v>
      </c>
      <c r="Z115" s="18">
        <v>0.1802</v>
      </c>
      <c r="AA115" s="18">
        <v>0.16250000000000001</v>
      </c>
      <c r="AB115" s="18">
        <v>0.156</v>
      </c>
      <c r="AC115" s="18">
        <v>0.22070000000000001</v>
      </c>
      <c r="AD115" s="18">
        <v>0.26679999999999998</v>
      </c>
      <c r="AE115" s="18">
        <v>0.4471</v>
      </c>
      <c r="AF115" s="18">
        <v>0.2006</v>
      </c>
      <c r="AG115" s="18">
        <v>0.31680000000000003</v>
      </c>
      <c r="AH115" s="18">
        <v>0.25509999999999999</v>
      </c>
      <c r="AI115" s="18">
        <v>5.0299999999999997E-2</v>
      </c>
      <c r="AJ115" s="18">
        <v>3.9E-2</v>
      </c>
      <c r="AK115" s="18">
        <v>4.5699999999999998E-2</v>
      </c>
      <c r="AL115" s="18">
        <v>0.1263</v>
      </c>
      <c r="AM115" s="18">
        <v>0.1071</v>
      </c>
      <c r="AN115" s="18">
        <v>0.13420000000000001</v>
      </c>
      <c r="AO115" s="18">
        <v>0.41980000000000001</v>
      </c>
      <c r="AP115" s="18">
        <v>0.61799999999999999</v>
      </c>
      <c r="AQ115" s="18">
        <v>0.58799999999999997</v>
      </c>
      <c r="AR115" s="18">
        <v>0.74019999999999997</v>
      </c>
      <c r="AS115" s="18">
        <v>0.70130000000000003</v>
      </c>
      <c r="AT115" s="18">
        <v>0.498</v>
      </c>
      <c r="AU115" s="18">
        <v>0.43469999999999998</v>
      </c>
      <c r="AV115" s="18">
        <v>0.55769999999999997</v>
      </c>
      <c r="AW115" s="18">
        <v>0.28349999999999997</v>
      </c>
      <c r="AX115" s="18">
        <v>0.2792</v>
      </c>
    </row>
    <row r="116" spans="1:50" x14ac:dyDescent="0.25">
      <c r="A116" s="8" t="s">
        <v>176</v>
      </c>
      <c r="B116" s="10" t="s">
        <v>57</v>
      </c>
      <c r="C116" s="16">
        <v>4.2999999999999997E-2</v>
      </c>
      <c r="D116" s="16">
        <v>4.2999999999999997E-2</v>
      </c>
      <c r="E116" s="16">
        <v>4.2999999999999997E-2</v>
      </c>
      <c r="F116" s="16">
        <v>4.2999999999999997E-2</v>
      </c>
      <c r="G116" s="16">
        <v>4.2999999999999997E-2</v>
      </c>
      <c r="H116" s="16">
        <v>4.2999999999999997E-2</v>
      </c>
      <c r="I116" s="16">
        <v>4.2999999999999997E-2</v>
      </c>
      <c r="J116" s="16">
        <v>4.2999999999999997E-2</v>
      </c>
      <c r="K116" s="16">
        <v>4.2999999999999997E-2</v>
      </c>
      <c r="L116" s="16">
        <v>4.2999999999999997E-2</v>
      </c>
      <c r="M116" s="16">
        <v>4.2999999999999997E-2</v>
      </c>
      <c r="N116" s="16">
        <v>4.2999999999999997E-2</v>
      </c>
      <c r="O116" s="16">
        <v>4.2999999999999997E-2</v>
      </c>
      <c r="P116" s="16">
        <v>1.4289000000000001</v>
      </c>
      <c r="Q116" s="16">
        <v>0.87690000000000001</v>
      </c>
      <c r="R116" s="16">
        <v>0.22420000000000001</v>
      </c>
      <c r="S116" s="16">
        <v>0.96479999999999999</v>
      </c>
      <c r="T116" s="16">
        <v>4.2999999999999997E-2</v>
      </c>
      <c r="U116" s="16">
        <v>4.2999999999999997E-2</v>
      </c>
      <c r="V116" s="16">
        <v>1.0505</v>
      </c>
      <c r="W116" s="16">
        <v>1.1066</v>
      </c>
      <c r="X116" s="16">
        <v>0.88870000000000005</v>
      </c>
      <c r="Y116" s="16">
        <v>0.1043</v>
      </c>
      <c r="Z116" s="16">
        <v>0.14449999999999999</v>
      </c>
      <c r="AA116" s="16">
        <v>4.7600000000000003E-2</v>
      </c>
      <c r="AB116" s="16">
        <v>0.1007</v>
      </c>
      <c r="AC116" s="16">
        <v>0.88490000000000002</v>
      </c>
      <c r="AD116" s="16">
        <v>7.9000000000000001E-2</v>
      </c>
      <c r="AE116" s="16">
        <v>0.50849999999999995</v>
      </c>
      <c r="AF116" s="16">
        <v>2.3571</v>
      </c>
      <c r="AG116" s="16">
        <v>0.1099</v>
      </c>
      <c r="AH116" s="16">
        <v>0.14580000000000001</v>
      </c>
      <c r="AI116" s="16">
        <v>0.12790000000000001</v>
      </c>
      <c r="AJ116" s="16">
        <v>9.1800000000000007E-2</v>
      </c>
      <c r="AK116" s="16">
        <v>5.5E-2</v>
      </c>
      <c r="AL116" s="16">
        <v>6.8099999999999994E-2</v>
      </c>
      <c r="AM116" s="16">
        <v>6.7299999999999999E-2</v>
      </c>
      <c r="AN116" s="16">
        <v>0.4541</v>
      </c>
      <c r="AO116" s="16">
        <v>9.4600000000000004E-2</v>
      </c>
      <c r="AP116" s="16">
        <v>0.34499999999999997</v>
      </c>
      <c r="AQ116" s="16">
        <v>0.72760000000000002</v>
      </c>
      <c r="AR116" s="16">
        <v>0.54110000000000003</v>
      </c>
      <c r="AS116" s="16">
        <v>0.74560000000000004</v>
      </c>
      <c r="AT116" s="16">
        <v>0.32140000000000002</v>
      </c>
      <c r="AU116" s="16">
        <v>0.31830000000000003</v>
      </c>
      <c r="AV116" s="16">
        <v>0.43859999999999999</v>
      </c>
      <c r="AW116" s="16">
        <v>0.53249999999999997</v>
      </c>
      <c r="AX116" s="16">
        <v>0.37390000000000001</v>
      </c>
    </row>
    <row r="117" spans="1:50" x14ac:dyDescent="0.25">
      <c r="A117" s="8" t="s">
        <v>178</v>
      </c>
      <c r="B117" s="10" t="s">
        <v>57</v>
      </c>
      <c r="C117" s="16">
        <v>0.1419</v>
      </c>
      <c r="D117" s="16">
        <v>4.5999999999999999E-2</v>
      </c>
      <c r="E117" s="16">
        <v>4.5999999999999999E-2</v>
      </c>
      <c r="F117" s="16">
        <v>4.5999999999999999E-2</v>
      </c>
      <c r="G117" s="16">
        <v>4.5999999999999999E-2</v>
      </c>
      <c r="H117" s="16">
        <v>4.5999999999999999E-2</v>
      </c>
      <c r="I117" s="16">
        <v>4.5999999999999999E-2</v>
      </c>
      <c r="J117" s="16">
        <v>4.5999999999999999E-2</v>
      </c>
      <c r="K117" s="16">
        <v>4.5999999999999999E-2</v>
      </c>
      <c r="L117" s="16">
        <v>4.5999999999999999E-2</v>
      </c>
      <c r="M117" s="16">
        <v>4.5999999999999999E-2</v>
      </c>
      <c r="N117" s="16">
        <v>4.5999999999999999E-2</v>
      </c>
      <c r="O117" s="16">
        <v>4.5999999999999999E-2</v>
      </c>
      <c r="P117" s="16">
        <v>4.5999999999999999E-2</v>
      </c>
      <c r="Q117" s="16">
        <v>4.5999999999999999E-2</v>
      </c>
      <c r="R117" s="16">
        <v>4.5999999999999999E-2</v>
      </c>
      <c r="S117" s="16">
        <v>0.69569999999999999</v>
      </c>
      <c r="T117" s="16">
        <v>3.0720999999999998</v>
      </c>
      <c r="U117" s="16">
        <v>2.5158</v>
      </c>
      <c r="V117" s="16">
        <v>4.5999999999999999E-2</v>
      </c>
      <c r="W117" s="16">
        <v>0.22720000000000001</v>
      </c>
      <c r="X117" s="16">
        <v>0.28170000000000001</v>
      </c>
      <c r="Y117" s="16">
        <v>0.80449999999999999</v>
      </c>
      <c r="Z117" s="16">
        <v>0.70669999999999999</v>
      </c>
      <c r="AA117" s="16">
        <v>1.7430000000000001</v>
      </c>
      <c r="AB117" s="16">
        <v>0.15049999999999999</v>
      </c>
      <c r="AC117" s="16">
        <v>0.1255</v>
      </c>
      <c r="AD117" s="16">
        <v>0.36959999999999998</v>
      </c>
      <c r="AE117" s="16">
        <v>0.25769999999999998</v>
      </c>
      <c r="AF117" s="16">
        <v>0.61399999999999999</v>
      </c>
      <c r="AG117" s="16">
        <v>4.5999999999999999E-2</v>
      </c>
      <c r="AH117" s="16">
        <v>4.5999999999999999E-2</v>
      </c>
      <c r="AI117" s="16">
        <v>1.1148</v>
      </c>
      <c r="AJ117" s="16">
        <v>1.2253000000000001</v>
      </c>
      <c r="AK117" s="16">
        <v>0.3624</v>
      </c>
      <c r="AL117" s="16">
        <v>0.38229999999999997</v>
      </c>
      <c r="AM117" s="16">
        <v>0.26860000000000001</v>
      </c>
      <c r="AN117" s="16">
        <v>0.26319999999999999</v>
      </c>
      <c r="AO117" s="16">
        <v>0.39800000000000002</v>
      </c>
      <c r="AP117" s="16">
        <v>0.58120000000000005</v>
      </c>
      <c r="AQ117" s="16">
        <v>0.48280000000000001</v>
      </c>
      <c r="AR117" s="16">
        <v>0.57950000000000002</v>
      </c>
      <c r="AS117" s="16">
        <v>0.72850000000000004</v>
      </c>
      <c r="AT117" s="16">
        <v>0.90780000000000005</v>
      </c>
      <c r="AU117" s="16">
        <v>0.55620000000000003</v>
      </c>
      <c r="AV117" s="16">
        <v>0.40849999999999997</v>
      </c>
      <c r="AW117" s="16">
        <v>0.20100000000000001</v>
      </c>
      <c r="AX117" s="16">
        <v>4.5999999999999999E-2</v>
      </c>
    </row>
    <row r="118" spans="1:50" x14ac:dyDescent="0.25">
      <c r="A118" s="8" t="s">
        <v>180</v>
      </c>
      <c r="B118" s="10" t="s">
        <v>57</v>
      </c>
      <c r="C118" s="16">
        <v>4.2000000000000003E-2</v>
      </c>
      <c r="D118" s="16">
        <v>0.1268</v>
      </c>
      <c r="E118" s="16">
        <v>0.1394</v>
      </c>
      <c r="F118" s="16">
        <v>0.35070000000000001</v>
      </c>
      <c r="G118" s="16">
        <v>0.4632</v>
      </c>
      <c r="H118" s="16">
        <v>0.54210000000000003</v>
      </c>
      <c r="I118" s="16">
        <v>0.21029999999999999</v>
      </c>
      <c r="J118" s="16">
        <v>0.13980000000000001</v>
      </c>
      <c r="K118" s="16">
        <v>7.46E-2</v>
      </c>
      <c r="L118" s="16">
        <v>0.1138</v>
      </c>
      <c r="M118" s="16">
        <v>0.1007</v>
      </c>
      <c r="N118" s="16">
        <v>4.2000000000000003E-2</v>
      </c>
      <c r="O118" s="16">
        <v>0.1333</v>
      </c>
      <c r="P118" s="16">
        <v>8.1100000000000005E-2</v>
      </c>
      <c r="Q118" s="16">
        <v>4.2000000000000003E-2</v>
      </c>
      <c r="R118" s="16">
        <v>0.1268</v>
      </c>
      <c r="S118" s="16">
        <v>8.77E-2</v>
      </c>
      <c r="T118" s="16">
        <v>4.2000000000000003E-2</v>
      </c>
      <c r="U118" s="16">
        <v>0.17249999999999999</v>
      </c>
      <c r="V118" s="16">
        <v>4.2000000000000003E-2</v>
      </c>
      <c r="W118" s="16">
        <v>4.2000000000000003E-2</v>
      </c>
      <c r="X118" s="16">
        <v>7.46E-2</v>
      </c>
      <c r="Y118" s="16">
        <v>0.15429999999999999</v>
      </c>
      <c r="Z118" s="16">
        <v>8.5400000000000004E-2</v>
      </c>
      <c r="AA118" s="16">
        <v>0.3145</v>
      </c>
      <c r="AB118" s="16">
        <v>0.26440000000000002</v>
      </c>
      <c r="AC118" s="16">
        <v>0.1893</v>
      </c>
      <c r="AD118" s="16">
        <v>0.35310000000000002</v>
      </c>
      <c r="AE118" s="16">
        <v>0.1492</v>
      </c>
      <c r="AF118" s="16">
        <v>0.30509999999999998</v>
      </c>
      <c r="AG118" s="16">
        <v>0.1744</v>
      </c>
      <c r="AH118" s="16">
        <v>7.1999999999999995E-2</v>
      </c>
      <c r="AI118" s="16">
        <v>0.20619999999999999</v>
      </c>
      <c r="AJ118" s="16">
        <v>0.25659999999999999</v>
      </c>
      <c r="AK118" s="16">
        <v>0.24809999999999999</v>
      </c>
      <c r="AL118" s="16">
        <v>0.29430000000000001</v>
      </c>
      <c r="AM118" s="16">
        <v>4.2000000000000003E-2</v>
      </c>
      <c r="AN118" s="16">
        <v>6.4199999999999993E-2</v>
      </c>
      <c r="AO118" s="16">
        <v>0.22969999999999999</v>
      </c>
      <c r="AP118" s="16">
        <v>0.66659999999999997</v>
      </c>
      <c r="AQ118" s="16">
        <v>0.76</v>
      </c>
      <c r="AR118" s="16">
        <v>0.60929999999999995</v>
      </c>
      <c r="AS118" s="16">
        <v>0.67079999999999995</v>
      </c>
      <c r="AT118" s="16">
        <v>0.1545</v>
      </c>
      <c r="AU118" s="16">
        <v>0.44330000000000003</v>
      </c>
      <c r="AV118" s="16">
        <v>0.45400000000000001</v>
      </c>
      <c r="AW118" s="16">
        <v>0.3599</v>
      </c>
      <c r="AX118" s="16">
        <v>0.33679999999999999</v>
      </c>
    </row>
    <row r="119" spans="1:50" x14ac:dyDescent="0.25">
      <c r="A119" s="8" t="s">
        <v>182</v>
      </c>
      <c r="B119" s="10" t="s">
        <v>57</v>
      </c>
      <c r="C119" s="16">
        <v>0.19650000000000001</v>
      </c>
      <c r="D119" s="16">
        <v>3.6999999999999998E-2</v>
      </c>
      <c r="E119" s="16">
        <v>3.6999999999999998E-2</v>
      </c>
      <c r="F119" s="16">
        <v>0.2049</v>
      </c>
      <c r="G119" s="16">
        <v>5.3800000000000001E-2</v>
      </c>
      <c r="H119" s="16">
        <v>4.5400000000000003E-2</v>
      </c>
      <c r="I119" s="16">
        <v>0.21329999999999999</v>
      </c>
      <c r="J119" s="16">
        <v>3.6999999999999998E-2</v>
      </c>
      <c r="K119" s="16">
        <v>0.22170000000000001</v>
      </c>
      <c r="L119" s="16">
        <v>3.6999999999999998E-2</v>
      </c>
      <c r="M119" s="16">
        <v>0.17469999999999999</v>
      </c>
      <c r="N119" s="16">
        <v>0.11260000000000001</v>
      </c>
      <c r="O119" s="16">
        <v>3.6999999999999998E-2</v>
      </c>
      <c r="P119" s="16">
        <v>0.22170000000000001</v>
      </c>
      <c r="Q119" s="16">
        <v>3.6999999999999998E-2</v>
      </c>
      <c r="R119" s="16">
        <v>0.11260000000000001</v>
      </c>
      <c r="S119" s="16">
        <v>0.14610000000000001</v>
      </c>
      <c r="T119" s="16">
        <v>6.2199999999999998E-2</v>
      </c>
      <c r="U119" s="16">
        <v>0.19650000000000001</v>
      </c>
      <c r="V119" s="16">
        <v>3.6999999999999998E-2</v>
      </c>
      <c r="W119" s="16">
        <v>0.22170000000000001</v>
      </c>
      <c r="X119" s="16">
        <v>3.6999999999999998E-2</v>
      </c>
      <c r="Y119" s="16">
        <v>3.6999999999999998E-2</v>
      </c>
      <c r="Z119" s="16">
        <v>0.11260000000000001</v>
      </c>
      <c r="AA119" s="16">
        <v>0.14610000000000001</v>
      </c>
      <c r="AB119" s="16">
        <v>0.11360000000000001</v>
      </c>
      <c r="AC119" s="16">
        <v>0.1055</v>
      </c>
      <c r="AD119" s="16">
        <v>0.1045</v>
      </c>
      <c r="AE119" s="16">
        <v>0.16289999999999999</v>
      </c>
      <c r="AF119" s="16">
        <v>3.6999999999999998E-2</v>
      </c>
      <c r="AG119" s="16">
        <v>0.19650000000000001</v>
      </c>
      <c r="AH119" s="16">
        <v>6.2199999999999998E-2</v>
      </c>
      <c r="AI119" s="16">
        <v>4.1399999999999999E-2</v>
      </c>
      <c r="AJ119" s="16">
        <v>4.7100000000000003E-2</v>
      </c>
      <c r="AK119" s="16">
        <v>0.23899999999999999</v>
      </c>
      <c r="AL119" s="16">
        <v>5.3199999999999997E-2</v>
      </c>
      <c r="AM119" s="16">
        <v>3.6999999999999998E-2</v>
      </c>
      <c r="AN119" s="16">
        <v>0.2298</v>
      </c>
      <c r="AO119" s="16">
        <v>5.28E-2</v>
      </c>
      <c r="AP119" s="16">
        <v>0.24979999999999999</v>
      </c>
      <c r="AQ119" s="16">
        <v>0.1719</v>
      </c>
      <c r="AR119" s="16">
        <v>1.212</v>
      </c>
      <c r="AS119" s="16">
        <v>0.63959999999999995</v>
      </c>
      <c r="AT119" s="16">
        <v>0.41170000000000001</v>
      </c>
      <c r="AU119" s="16">
        <v>0.46929999999999999</v>
      </c>
      <c r="AV119" s="16">
        <v>0.16980000000000001</v>
      </c>
      <c r="AW119" s="16">
        <v>0.19650000000000001</v>
      </c>
      <c r="AX119" s="16">
        <v>3.6999999999999998E-2</v>
      </c>
    </row>
    <row r="120" spans="1:50" x14ac:dyDescent="0.25">
      <c r="A120" s="8" t="s">
        <v>184</v>
      </c>
      <c r="B120" s="10" t="s">
        <v>57</v>
      </c>
      <c r="C120" s="16">
        <v>0.1157</v>
      </c>
      <c r="D120" s="16">
        <v>0.248</v>
      </c>
      <c r="E120" s="16">
        <v>0.04</v>
      </c>
      <c r="F120" s="16">
        <v>0.18279999999999999</v>
      </c>
      <c r="G120" s="16">
        <v>0.18079999999999999</v>
      </c>
      <c r="H120" s="16">
        <v>0.04</v>
      </c>
      <c r="I120" s="16">
        <v>0.1913</v>
      </c>
      <c r="J120" s="16">
        <v>5.5100000000000003E-2</v>
      </c>
      <c r="K120" s="16">
        <v>0.1459</v>
      </c>
      <c r="L120" s="16">
        <v>0.20599999999999999</v>
      </c>
      <c r="M120" s="16">
        <v>8.2000000000000003E-2</v>
      </c>
      <c r="N120" s="16">
        <v>0.1762</v>
      </c>
      <c r="O120" s="16">
        <v>0.15720000000000001</v>
      </c>
      <c r="P120" s="16">
        <v>0.04</v>
      </c>
      <c r="Q120" s="16">
        <v>0.21809999999999999</v>
      </c>
      <c r="R120" s="16">
        <v>0.14549999999999999</v>
      </c>
      <c r="S120" s="16">
        <v>0.1157</v>
      </c>
      <c r="T120" s="16">
        <v>0.23619999999999999</v>
      </c>
      <c r="U120" s="16">
        <v>8.2000000000000003E-2</v>
      </c>
      <c r="V120" s="16">
        <v>0.1762</v>
      </c>
      <c r="W120" s="16">
        <v>0.19589999999999999</v>
      </c>
      <c r="X120" s="16">
        <v>0.42030000000000001</v>
      </c>
      <c r="Y120" s="16">
        <v>0.63329999999999997</v>
      </c>
      <c r="Z120" s="16">
        <v>2.1076999999999999</v>
      </c>
      <c r="AA120" s="16">
        <v>0.28339999999999999</v>
      </c>
      <c r="AB120" s="16">
        <v>0.49909999999999999</v>
      </c>
      <c r="AC120" s="16">
        <v>1.8998999999999999</v>
      </c>
      <c r="AD120" s="16">
        <v>0.98460000000000003</v>
      </c>
      <c r="AE120" s="16">
        <v>4.1399999999999999E-2</v>
      </c>
      <c r="AF120" s="16">
        <v>0.13639999999999999</v>
      </c>
      <c r="AG120" s="16">
        <v>0.29039999999999999</v>
      </c>
      <c r="AH120" s="16">
        <v>0.59360000000000002</v>
      </c>
      <c r="AI120" s="16">
        <v>0.17460000000000001</v>
      </c>
      <c r="AJ120" s="16">
        <v>6.93E-2</v>
      </c>
      <c r="AK120" s="16">
        <v>0.23569999999999999</v>
      </c>
      <c r="AL120" s="16">
        <v>0.12790000000000001</v>
      </c>
      <c r="AM120" s="16">
        <v>5.7599999999999998E-2</v>
      </c>
      <c r="AN120" s="16">
        <v>0.30599999999999999</v>
      </c>
      <c r="AO120" s="16">
        <v>5.8999999999999997E-2</v>
      </c>
      <c r="AP120" s="16">
        <v>0.33279999999999998</v>
      </c>
      <c r="AQ120" s="16">
        <v>0.55800000000000005</v>
      </c>
      <c r="AR120" s="16">
        <v>2.3090999999999999</v>
      </c>
      <c r="AS120" s="16">
        <v>0.42680000000000001</v>
      </c>
      <c r="AT120" s="16">
        <v>0.24529999999999999</v>
      </c>
      <c r="AU120" s="16">
        <v>0.24010000000000001</v>
      </c>
      <c r="AV120" s="16">
        <v>0.24229999999999999</v>
      </c>
      <c r="AW120" s="16">
        <v>0.25879999999999997</v>
      </c>
      <c r="AX120" s="16">
        <v>0.28539999999999999</v>
      </c>
    </row>
    <row r="121" spans="1:50" x14ac:dyDescent="0.25">
      <c r="A121" s="8" t="s">
        <v>186</v>
      </c>
      <c r="B121" s="10" t="s">
        <v>57</v>
      </c>
      <c r="C121" s="16">
        <v>0.1336</v>
      </c>
      <c r="D121" s="16">
        <v>0.17199999999999999</v>
      </c>
      <c r="E121" s="16">
        <v>0.11210000000000001</v>
      </c>
      <c r="F121" s="16">
        <v>8.1199999999999994E-2</v>
      </c>
      <c r="G121" s="16">
        <v>0.21629999999999999</v>
      </c>
      <c r="H121" s="16">
        <v>7.6100000000000001E-2</v>
      </c>
      <c r="I121" s="16">
        <v>7.2099999999999997E-2</v>
      </c>
      <c r="J121" s="16">
        <v>0.26150000000000001</v>
      </c>
      <c r="K121" s="16">
        <v>9.6100000000000005E-2</v>
      </c>
      <c r="L121" s="16">
        <v>5.6000000000000001E-2</v>
      </c>
      <c r="M121" s="16">
        <v>0.16370000000000001</v>
      </c>
      <c r="N121" s="16">
        <v>0.14580000000000001</v>
      </c>
      <c r="O121" s="16">
        <v>7.2300000000000003E-2</v>
      </c>
      <c r="P121" s="16">
        <v>0.25729999999999997</v>
      </c>
      <c r="Q121" s="16">
        <v>6.8099999999999994E-2</v>
      </c>
      <c r="R121" s="16">
        <v>0.10009999999999999</v>
      </c>
      <c r="S121" s="16">
        <v>0.184</v>
      </c>
      <c r="T121" s="16">
        <v>8.9499999999999996E-2</v>
      </c>
      <c r="U121" s="16">
        <v>0.11210000000000001</v>
      </c>
      <c r="V121" s="16">
        <v>0.22140000000000001</v>
      </c>
      <c r="W121" s="16">
        <v>0.04</v>
      </c>
      <c r="X121" s="16">
        <v>0.18260000000000001</v>
      </c>
      <c r="Y121" s="16">
        <v>0.151</v>
      </c>
      <c r="Z121" s="16">
        <v>0.04</v>
      </c>
      <c r="AA121" s="16">
        <v>0.27350000000000002</v>
      </c>
      <c r="AB121" s="16">
        <v>0.06</v>
      </c>
      <c r="AC121" s="16">
        <v>4.8000000000000001E-2</v>
      </c>
      <c r="AD121" s="16">
        <v>0.23400000000000001</v>
      </c>
      <c r="AE121" s="16">
        <v>0.1361</v>
      </c>
      <c r="AF121" s="16">
        <v>0.1077</v>
      </c>
      <c r="AG121" s="16">
        <v>0.33479999999999999</v>
      </c>
      <c r="AH121" s="16">
        <v>0.17480000000000001</v>
      </c>
      <c r="AI121" s="16">
        <v>0.2873</v>
      </c>
      <c r="AJ121" s="16">
        <v>0.13900000000000001</v>
      </c>
      <c r="AK121" s="16">
        <v>9.2100000000000001E-2</v>
      </c>
      <c r="AL121" s="16">
        <v>0.192</v>
      </c>
      <c r="AM121" s="16">
        <v>8.9499999999999996E-2</v>
      </c>
      <c r="AN121" s="16">
        <v>8.1199999999999994E-2</v>
      </c>
      <c r="AO121" s="16">
        <v>0.2283</v>
      </c>
      <c r="AP121" s="16">
        <v>6.4000000000000001E-2</v>
      </c>
      <c r="AQ121" s="16">
        <v>0.22140000000000001</v>
      </c>
      <c r="AR121" s="16">
        <v>9.2100000000000001E-2</v>
      </c>
      <c r="AS121" s="16">
        <v>0.20019999999999999</v>
      </c>
      <c r="AT121" s="16">
        <v>8.1199999999999994E-2</v>
      </c>
      <c r="AU121" s="16">
        <v>0.1041</v>
      </c>
      <c r="AV121" s="16">
        <v>8.1000000000000003E-2</v>
      </c>
      <c r="AW121" s="16">
        <v>0.2606</v>
      </c>
      <c r="AX121" s="16">
        <v>0.04</v>
      </c>
    </row>
    <row r="122" spans="1:50" x14ac:dyDescent="0.25">
      <c r="A122" s="17" t="s">
        <v>511</v>
      </c>
      <c r="B122" s="13" t="s">
        <v>410</v>
      </c>
      <c r="C122" s="18">
        <v>0.21790000000000001</v>
      </c>
      <c r="D122" s="18">
        <v>8.1199999999999994E-2</v>
      </c>
      <c r="E122" s="18">
        <v>0.12770000000000001</v>
      </c>
      <c r="F122" s="18">
        <v>0.1744</v>
      </c>
      <c r="G122" s="18">
        <v>6.7900000000000002E-2</v>
      </c>
      <c r="H122" s="18">
        <v>0.1178</v>
      </c>
      <c r="I122" s="18">
        <v>0.15640000000000001</v>
      </c>
      <c r="J122" s="18">
        <v>9.7799999999999998E-2</v>
      </c>
      <c r="K122" s="18">
        <v>9.5600000000000004E-2</v>
      </c>
      <c r="L122" s="18">
        <v>0.14860000000000001</v>
      </c>
      <c r="M122" s="18">
        <v>0.13769999999999999</v>
      </c>
      <c r="N122" s="18">
        <v>6.3500000000000001E-2</v>
      </c>
      <c r="O122" s="18">
        <v>0.21560000000000001</v>
      </c>
      <c r="P122" s="18">
        <v>6.3E-2</v>
      </c>
      <c r="Q122" s="18">
        <v>4.9000000000000002E-2</v>
      </c>
      <c r="R122" s="18">
        <v>0.159</v>
      </c>
      <c r="S122" s="18">
        <v>0.13769999999999999</v>
      </c>
      <c r="T122" s="18">
        <v>6.0400000000000002E-2</v>
      </c>
      <c r="U122" s="18">
        <v>0.35320000000000001</v>
      </c>
      <c r="V122" s="18">
        <v>0.31780000000000003</v>
      </c>
      <c r="W122" s="18">
        <v>1.0402</v>
      </c>
      <c r="X122" s="18">
        <v>0.41270000000000001</v>
      </c>
      <c r="Y122" s="18">
        <v>0.38650000000000001</v>
      </c>
      <c r="Z122" s="18">
        <v>0.12540000000000001</v>
      </c>
      <c r="AA122" s="18">
        <v>0.13769999999999999</v>
      </c>
      <c r="AB122" s="18">
        <v>6.3500000000000001E-2</v>
      </c>
      <c r="AC122" s="18">
        <v>0.2306</v>
      </c>
      <c r="AD122" s="18">
        <v>4.8000000000000001E-2</v>
      </c>
      <c r="AE122" s="18">
        <v>0.1852</v>
      </c>
      <c r="AF122" s="18">
        <v>0.1089</v>
      </c>
      <c r="AG122" s="18">
        <v>8.2900000000000001E-2</v>
      </c>
      <c r="AH122" s="18">
        <v>0.1028</v>
      </c>
      <c r="AI122" s="18">
        <v>0.12540000000000001</v>
      </c>
      <c r="AJ122" s="18">
        <v>0.2311</v>
      </c>
      <c r="AK122" s="18">
        <v>0.2432</v>
      </c>
      <c r="AL122" s="18">
        <v>0.34210000000000002</v>
      </c>
      <c r="AM122" s="18">
        <v>0.27589999999999998</v>
      </c>
      <c r="AN122" s="18">
        <v>0.32079999999999997</v>
      </c>
      <c r="AO122" s="18">
        <v>0.22009999999999999</v>
      </c>
      <c r="AP122" s="18">
        <v>0.41760000000000003</v>
      </c>
      <c r="AQ122" s="18">
        <v>8.7900000000000006E-2</v>
      </c>
      <c r="AR122" s="18">
        <v>0.22409999999999999</v>
      </c>
      <c r="AS122" s="18">
        <v>0.35039999999999999</v>
      </c>
      <c r="AT122" s="18">
        <v>0.46650000000000003</v>
      </c>
      <c r="AU122" s="18">
        <v>0.52270000000000005</v>
      </c>
      <c r="AV122" s="18">
        <v>0.50670000000000004</v>
      </c>
      <c r="AW122" s="18">
        <v>0.15529999999999999</v>
      </c>
      <c r="AX122" s="18">
        <v>0.16159999999999999</v>
      </c>
    </row>
    <row r="123" spans="1:50" x14ac:dyDescent="0.25">
      <c r="A123" s="8" t="s">
        <v>188</v>
      </c>
      <c r="B123" s="10" t="s">
        <v>57</v>
      </c>
      <c r="C123" s="16">
        <v>0.31330000000000002</v>
      </c>
      <c r="D123" s="16">
        <v>8.1299999999999997E-2</v>
      </c>
      <c r="E123" s="16">
        <v>0.2601</v>
      </c>
      <c r="F123" s="16">
        <v>5.5100000000000003E-2</v>
      </c>
      <c r="G123" s="16">
        <v>0.1804</v>
      </c>
      <c r="H123" s="16">
        <v>0.15690000000000001</v>
      </c>
      <c r="I123" s="16">
        <v>0.13150000000000001</v>
      </c>
      <c r="J123" s="16">
        <v>0.20979999999999999</v>
      </c>
      <c r="K123" s="16">
        <v>0.1239</v>
      </c>
      <c r="L123" s="16">
        <v>0.20230000000000001</v>
      </c>
      <c r="M123" s="16">
        <v>0.1066</v>
      </c>
      <c r="N123" s="16">
        <v>8.3400000000000002E-2</v>
      </c>
      <c r="O123" s="16">
        <v>0.17269999999999999</v>
      </c>
      <c r="P123" s="16">
        <v>0.17960000000000001</v>
      </c>
      <c r="Q123" s="16">
        <v>0.1239</v>
      </c>
      <c r="R123" s="16">
        <v>0.21740000000000001</v>
      </c>
      <c r="S123" s="16">
        <v>0.1239</v>
      </c>
      <c r="T123" s="16">
        <v>0.15690000000000001</v>
      </c>
      <c r="U123" s="16">
        <v>0.2324</v>
      </c>
      <c r="V123" s="16">
        <v>0.2273</v>
      </c>
      <c r="W123" s="16">
        <v>1.6133999999999999</v>
      </c>
      <c r="X123" s="16">
        <v>0.17230000000000001</v>
      </c>
      <c r="Y123" s="16">
        <v>0.30420000000000003</v>
      </c>
      <c r="Z123" s="16">
        <v>0.39100000000000001</v>
      </c>
      <c r="AA123" s="16">
        <v>0.19819999999999999</v>
      </c>
      <c r="AB123" s="16">
        <v>0.24740000000000001</v>
      </c>
      <c r="AC123" s="16">
        <v>0.1017</v>
      </c>
      <c r="AD123" s="16">
        <v>0.20100000000000001</v>
      </c>
      <c r="AE123" s="16">
        <v>0.33090000000000003</v>
      </c>
      <c r="AF123" s="16">
        <v>0.26329999999999998</v>
      </c>
      <c r="AG123" s="16">
        <v>0.3821</v>
      </c>
      <c r="AH123" s="16">
        <v>0.30109999999999998</v>
      </c>
      <c r="AI123" s="16">
        <v>0.14810000000000001</v>
      </c>
      <c r="AJ123" s="16">
        <v>0.1134</v>
      </c>
      <c r="AK123" s="16">
        <v>0.44259999999999999</v>
      </c>
      <c r="AL123" s="16">
        <v>0.22889999999999999</v>
      </c>
      <c r="AM123" s="16">
        <v>0.29370000000000002</v>
      </c>
      <c r="AN123" s="16">
        <v>0.17799999999999999</v>
      </c>
      <c r="AO123" s="16">
        <v>0.17299999999999999</v>
      </c>
      <c r="AP123" s="16">
        <v>0.56440000000000001</v>
      </c>
      <c r="AQ123" s="16">
        <v>0.36780000000000002</v>
      </c>
      <c r="AR123" s="16">
        <v>0.59430000000000005</v>
      </c>
      <c r="AS123" s="16">
        <v>0.68679999999999997</v>
      </c>
      <c r="AT123" s="16">
        <v>0.66290000000000004</v>
      </c>
      <c r="AU123" s="16">
        <v>0.13420000000000001</v>
      </c>
      <c r="AV123" s="16">
        <v>0.25750000000000001</v>
      </c>
      <c r="AW123" s="16">
        <v>0.27400000000000002</v>
      </c>
      <c r="AX123" s="16">
        <v>9.1499999999999998E-2</v>
      </c>
    </row>
    <row r="124" spans="1:50" x14ac:dyDescent="0.25">
      <c r="A124" s="17" t="s">
        <v>513</v>
      </c>
      <c r="B124" s="13" t="s">
        <v>410</v>
      </c>
      <c r="C124" s="18">
        <v>0.03</v>
      </c>
      <c r="D124" s="18">
        <v>0.16139999999999999</v>
      </c>
      <c r="E124" s="18">
        <v>0.03</v>
      </c>
      <c r="F124" s="18">
        <v>0.16139999999999999</v>
      </c>
      <c r="G124" s="18">
        <v>0.03</v>
      </c>
      <c r="H124" s="18">
        <v>0.1154</v>
      </c>
      <c r="I124" s="18">
        <v>7.5999999999999998E-2</v>
      </c>
      <c r="J124" s="18">
        <v>8.2600000000000007E-2</v>
      </c>
      <c r="K124" s="18">
        <v>0.1089</v>
      </c>
      <c r="L124" s="18">
        <v>0.98760000000000003</v>
      </c>
      <c r="M124" s="18">
        <v>0.24379999999999999</v>
      </c>
      <c r="N124" s="18">
        <v>0.03</v>
      </c>
      <c r="O124" s="18">
        <v>0.03</v>
      </c>
      <c r="P124" s="18">
        <v>0.12859999999999999</v>
      </c>
      <c r="Q124" s="18">
        <v>6.2899999999999998E-2</v>
      </c>
      <c r="R124" s="18">
        <v>6.9400000000000003E-2</v>
      </c>
      <c r="S124" s="18">
        <v>0.122</v>
      </c>
      <c r="T124" s="18">
        <v>0.03</v>
      </c>
      <c r="U124" s="18">
        <v>0.16889999999999999</v>
      </c>
      <c r="V124" s="18">
        <v>3.5000000000000003E-2</v>
      </c>
      <c r="W124" s="18">
        <v>0.1027</v>
      </c>
      <c r="X124" s="18">
        <v>0.1154</v>
      </c>
      <c r="Y124" s="18">
        <v>6.2899999999999998E-2</v>
      </c>
      <c r="Z124" s="18">
        <v>0.12939999999999999</v>
      </c>
      <c r="AA124" s="18">
        <v>3.0800000000000001E-2</v>
      </c>
      <c r="AB124" s="18">
        <v>0.35060000000000002</v>
      </c>
      <c r="AC124" s="18">
        <v>0.18149999999999999</v>
      </c>
      <c r="AD124" s="18">
        <v>0.03</v>
      </c>
      <c r="AE124" s="18">
        <v>0.16139999999999999</v>
      </c>
      <c r="AF124" s="18">
        <v>0.03</v>
      </c>
      <c r="AG124" s="18">
        <v>0.03</v>
      </c>
      <c r="AH124" s="18">
        <v>0.16139999999999999</v>
      </c>
      <c r="AI124" s="18">
        <v>0.03</v>
      </c>
      <c r="AJ124" s="18">
        <v>0.13519999999999999</v>
      </c>
      <c r="AK124" s="18">
        <v>5.6300000000000003E-2</v>
      </c>
      <c r="AL124" s="18">
        <v>8.2600000000000007E-2</v>
      </c>
      <c r="AM124" s="18">
        <v>0.1089</v>
      </c>
      <c r="AN124" s="18">
        <v>0.03</v>
      </c>
      <c r="AO124" s="18">
        <v>6.2899999999999998E-2</v>
      </c>
      <c r="AP124" s="18">
        <v>0.12859999999999999</v>
      </c>
      <c r="AQ124" s="18">
        <v>4.3099999999999999E-2</v>
      </c>
      <c r="AR124" s="18">
        <v>0.32319999999999999</v>
      </c>
      <c r="AS124" s="18">
        <v>0.30480000000000002</v>
      </c>
      <c r="AT124" s="18">
        <v>0.43030000000000002</v>
      </c>
      <c r="AU124" s="18">
        <v>0.41620000000000001</v>
      </c>
      <c r="AV124" s="18">
        <v>0.03</v>
      </c>
      <c r="AW124" s="18">
        <v>0.03</v>
      </c>
      <c r="AX124" s="18">
        <v>0.03</v>
      </c>
    </row>
    <row r="125" spans="1:50" x14ac:dyDescent="0.25">
      <c r="A125" s="8" t="s">
        <v>190</v>
      </c>
      <c r="B125" s="10" t="s">
        <v>57</v>
      </c>
      <c r="C125" s="16">
        <v>0.16039999999999999</v>
      </c>
      <c r="D125" s="16">
        <v>0.24229999999999999</v>
      </c>
      <c r="E125" s="16">
        <v>0.14710000000000001</v>
      </c>
      <c r="F125" s="16">
        <v>0.187</v>
      </c>
      <c r="G125" s="16">
        <v>0.159</v>
      </c>
      <c r="H125" s="16">
        <v>0.14000000000000001</v>
      </c>
      <c r="I125" s="16">
        <v>0.21310000000000001</v>
      </c>
      <c r="J125" s="16">
        <v>0.22500000000000001</v>
      </c>
      <c r="K125" s="16">
        <v>8.2100000000000006E-2</v>
      </c>
      <c r="L125" s="16">
        <v>0.25690000000000002</v>
      </c>
      <c r="M125" s="16">
        <v>0.14710000000000001</v>
      </c>
      <c r="N125" s="16">
        <v>0.22819999999999999</v>
      </c>
      <c r="O125" s="16">
        <v>0.1462</v>
      </c>
      <c r="P125" s="16">
        <v>0.1263</v>
      </c>
      <c r="Q125" s="16">
        <v>0.27639999999999998</v>
      </c>
      <c r="R125" s="16">
        <v>4.8000000000000001E-2</v>
      </c>
      <c r="S125" s="16">
        <v>1.3634999999999999</v>
      </c>
      <c r="T125" s="16">
        <v>3.5398999999999998</v>
      </c>
      <c r="U125" s="16">
        <v>1.9137</v>
      </c>
      <c r="V125" s="16">
        <v>1.6307</v>
      </c>
      <c r="W125" s="16">
        <v>2.9215</v>
      </c>
      <c r="X125" s="16">
        <v>2.3098000000000001</v>
      </c>
      <c r="Y125" s="16">
        <v>0.48499999999999999</v>
      </c>
      <c r="Z125" s="16">
        <v>1.2514000000000001</v>
      </c>
      <c r="AA125" s="16">
        <v>0.29730000000000001</v>
      </c>
      <c r="AB125" s="16">
        <v>0.30790000000000001</v>
      </c>
      <c r="AC125" s="16">
        <v>5.2900000000000003E-2</v>
      </c>
      <c r="AD125" s="16">
        <v>0.38519999999999999</v>
      </c>
      <c r="AE125" s="16">
        <v>4.8000000000000001E-2</v>
      </c>
      <c r="AF125" s="16">
        <v>0.26900000000000002</v>
      </c>
      <c r="AG125" s="16">
        <v>0.16900000000000001</v>
      </c>
      <c r="AH125" s="16">
        <v>6.2199999999999998E-2</v>
      </c>
      <c r="AI125" s="16">
        <v>0.27410000000000001</v>
      </c>
      <c r="AJ125" s="16">
        <v>0.14979999999999999</v>
      </c>
      <c r="AK125" s="16">
        <v>0.24590000000000001</v>
      </c>
      <c r="AL125" s="16">
        <v>0.45069999999999999</v>
      </c>
      <c r="AM125" s="16">
        <v>0.2666</v>
      </c>
      <c r="AN125" s="16">
        <v>0.49220000000000003</v>
      </c>
      <c r="AO125" s="16">
        <v>4.8000000000000001E-2</v>
      </c>
      <c r="AP125" s="16">
        <v>0.2994</v>
      </c>
      <c r="AQ125" s="16">
        <v>0.27250000000000002</v>
      </c>
      <c r="AR125" s="16">
        <v>0.47620000000000001</v>
      </c>
      <c r="AS125" s="16">
        <v>0.84750000000000003</v>
      </c>
      <c r="AT125" s="16">
        <v>1.0005999999999999</v>
      </c>
      <c r="AU125" s="16">
        <v>1.0266999999999999</v>
      </c>
      <c r="AV125" s="16">
        <v>1.9568000000000001</v>
      </c>
      <c r="AW125" s="16">
        <v>0.57379999999999998</v>
      </c>
      <c r="AX125" s="16">
        <v>0.9264</v>
      </c>
    </row>
    <row r="126" spans="1:50" x14ac:dyDescent="0.25">
      <c r="A126" s="17" t="s">
        <v>515</v>
      </c>
      <c r="B126" s="13" t="s">
        <v>410</v>
      </c>
      <c r="C126" s="18">
        <v>0.29320000000000002</v>
      </c>
      <c r="D126" s="18">
        <v>8.8400000000000006E-2</v>
      </c>
      <c r="E126" s="18">
        <v>0.1978</v>
      </c>
      <c r="F126" s="18">
        <v>5.8200000000000002E-2</v>
      </c>
      <c r="G126" s="18">
        <v>9.1300000000000006E-2</v>
      </c>
      <c r="H126" s="18">
        <v>0.3387</v>
      </c>
      <c r="I126" s="18">
        <v>4.1000000000000002E-2</v>
      </c>
      <c r="J126" s="18">
        <v>0.22120000000000001</v>
      </c>
      <c r="K126" s="18">
        <v>0.18809999999999999</v>
      </c>
      <c r="L126" s="18">
        <v>6.1699999999999998E-2</v>
      </c>
      <c r="M126" s="18">
        <v>0.128</v>
      </c>
      <c r="N126" s="18">
        <v>0.30199999999999999</v>
      </c>
      <c r="O126" s="18">
        <v>4.1000000000000002E-2</v>
      </c>
      <c r="P126" s="18">
        <v>0.33129999999999998</v>
      </c>
      <c r="Q126" s="18">
        <v>0.1792</v>
      </c>
      <c r="R126" s="18">
        <v>0.14380000000000001</v>
      </c>
      <c r="S126" s="18">
        <v>0.20880000000000001</v>
      </c>
      <c r="T126" s="18">
        <v>0.11840000000000001</v>
      </c>
      <c r="U126" s="18">
        <v>0.23569999999999999</v>
      </c>
      <c r="V126" s="18">
        <v>0.11700000000000001</v>
      </c>
      <c r="W126" s="18">
        <v>0.32340000000000002</v>
      </c>
      <c r="X126" s="18">
        <v>0.21809999999999999</v>
      </c>
      <c r="Y126" s="18">
        <v>0.1137</v>
      </c>
      <c r="Z126" s="18">
        <v>1.2677</v>
      </c>
      <c r="AA126" s="18">
        <v>1.3285</v>
      </c>
      <c r="AB126" s="18">
        <v>0.24679999999999999</v>
      </c>
      <c r="AC126" s="18">
        <v>1.5779000000000001</v>
      </c>
      <c r="AD126" s="18">
        <v>0.35580000000000001</v>
      </c>
      <c r="AE126" s="18">
        <v>0.41349999999999998</v>
      </c>
      <c r="AF126" s="18">
        <v>0.60209999999999997</v>
      </c>
      <c r="AG126" s="18">
        <v>0.9073</v>
      </c>
      <c r="AH126" s="18">
        <v>0.28000000000000003</v>
      </c>
      <c r="AI126" s="18">
        <v>1.8160000000000001</v>
      </c>
      <c r="AJ126" s="18">
        <v>0.23380000000000001</v>
      </c>
      <c r="AK126" s="18">
        <v>1.1629</v>
      </c>
      <c r="AL126" s="18">
        <v>2.0586000000000002</v>
      </c>
      <c r="AM126" s="18">
        <v>0.56200000000000006</v>
      </c>
      <c r="AN126" s="18">
        <v>0.44169999999999998</v>
      </c>
      <c r="AO126" s="18">
        <v>0.20519999999999999</v>
      </c>
      <c r="AP126" s="18">
        <v>0.43869999999999998</v>
      </c>
      <c r="AQ126" s="18">
        <v>0.55159999999999998</v>
      </c>
      <c r="AR126" s="18">
        <v>0.4037</v>
      </c>
      <c r="AS126" s="18">
        <v>0.75509999999999999</v>
      </c>
      <c r="AT126" s="18">
        <v>0.66239999999999999</v>
      </c>
      <c r="AU126" s="18">
        <v>0.54200000000000004</v>
      </c>
      <c r="AV126" s="18">
        <v>0.4118</v>
      </c>
      <c r="AW126" s="18">
        <v>5.8200000000000002E-2</v>
      </c>
      <c r="AX126" s="18">
        <v>0.1913</v>
      </c>
    </row>
    <row r="127" spans="1:50" x14ac:dyDescent="0.25">
      <c r="A127" s="17" t="s">
        <v>517</v>
      </c>
      <c r="B127" s="13" t="s">
        <v>410</v>
      </c>
      <c r="C127" s="18">
        <v>0.1241</v>
      </c>
      <c r="D127" s="18">
        <v>0.14000000000000001</v>
      </c>
      <c r="E127" s="18">
        <v>0.17979999999999999</v>
      </c>
      <c r="F127" s="18">
        <v>0.14000000000000001</v>
      </c>
      <c r="G127" s="18">
        <v>0.17979999999999999</v>
      </c>
      <c r="H127" s="18">
        <v>0.112</v>
      </c>
      <c r="I127" s="18">
        <v>8.4000000000000005E-2</v>
      </c>
      <c r="J127" s="18">
        <v>0.13650000000000001</v>
      </c>
      <c r="K127" s="18">
        <v>9.9299999999999999E-2</v>
      </c>
      <c r="L127" s="18">
        <v>0.2019</v>
      </c>
      <c r="M127" s="18">
        <v>0.1179</v>
      </c>
      <c r="N127" s="18">
        <v>0.14000000000000001</v>
      </c>
      <c r="O127" s="18">
        <v>5.6000000000000001E-2</v>
      </c>
      <c r="P127" s="18">
        <v>0.26390000000000002</v>
      </c>
      <c r="Q127" s="18">
        <v>5.6000000000000001E-2</v>
      </c>
      <c r="R127" s="18">
        <v>0.2142</v>
      </c>
      <c r="S127" s="18">
        <v>0.1056</v>
      </c>
      <c r="T127" s="18">
        <v>0.16600000000000001</v>
      </c>
      <c r="U127" s="18">
        <v>0.15379999999999999</v>
      </c>
      <c r="V127" s="18">
        <v>0.1241</v>
      </c>
      <c r="W127" s="18">
        <v>0.4294</v>
      </c>
      <c r="X127" s="18">
        <v>1.8841000000000001</v>
      </c>
      <c r="Y127" s="18">
        <v>0.25679999999999997</v>
      </c>
      <c r="Z127" s="18">
        <v>1.1737</v>
      </c>
      <c r="AA127" s="18">
        <v>1.2377</v>
      </c>
      <c r="AB127" s="18">
        <v>0.21970000000000001</v>
      </c>
      <c r="AC127" s="18">
        <v>0.42749999999999999</v>
      </c>
      <c r="AD127" s="18">
        <v>0.1106</v>
      </c>
      <c r="AE127" s="18">
        <v>0.26390000000000002</v>
      </c>
      <c r="AF127" s="18">
        <v>5.6000000000000001E-2</v>
      </c>
      <c r="AG127" s="18">
        <v>0.20319999999999999</v>
      </c>
      <c r="AH127" s="18">
        <v>0.1167</v>
      </c>
      <c r="AI127" s="18">
        <v>0.11169999999999999</v>
      </c>
      <c r="AJ127" s="18">
        <v>0.51200000000000001</v>
      </c>
      <c r="AK127" s="18">
        <v>0.38869999999999999</v>
      </c>
      <c r="AL127" s="18">
        <v>0.35759999999999997</v>
      </c>
      <c r="AM127" s="18">
        <v>0.28339999999999999</v>
      </c>
      <c r="AN127" s="18">
        <v>0.21970000000000001</v>
      </c>
      <c r="AO127" s="18">
        <v>0.33260000000000001</v>
      </c>
      <c r="AP127" s="18">
        <v>0.60150000000000003</v>
      </c>
      <c r="AQ127" s="18">
        <v>0.56559999999999999</v>
      </c>
      <c r="AR127" s="18">
        <v>0.55869999999999997</v>
      </c>
      <c r="AS127" s="18">
        <v>0.6804</v>
      </c>
      <c r="AT127" s="18">
        <v>0.41210000000000002</v>
      </c>
      <c r="AU127" s="18">
        <v>0.51290000000000002</v>
      </c>
      <c r="AV127" s="18">
        <v>0.43780000000000002</v>
      </c>
      <c r="AW127" s="18">
        <v>0.17560000000000001</v>
      </c>
      <c r="AX127" s="18">
        <v>7.0000000000000007E-2</v>
      </c>
    </row>
    <row r="128" spans="1:50" x14ac:dyDescent="0.25">
      <c r="A128" s="8" t="s">
        <v>192</v>
      </c>
      <c r="B128" s="10" t="s">
        <v>57</v>
      </c>
      <c r="C128" s="16">
        <v>9.5399999999999999E-2</v>
      </c>
      <c r="D128" s="16">
        <v>9.5399999999999999E-2</v>
      </c>
      <c r="E128" s="16">
        <v>5.8000000000000003E-2</v>
      </c>
      <c r="F128" s="16">
        <v>0.1328</v>
      </c>
      <c r="G128" s="16">
        <v>5.8000000000000003E-2</v>
      </c>
      <c r="H128" s="16">
        <v>0.1328</v>
      </c>
      <c r="I128" s="16">
        <v>5.8000000000000003E-2</v>
      </c>
      <c r="J128" s="16">
        <v>5.8000000000000003E-2</v>
      </c>
      <c r="K128" s="16">
        <v>0.1203</v>
      </c>
      <c r="L128" s="16">
        <v>7.0499999999999993E-2</v>
      </c>
      <c r="M128" s="16">
        <v>5.8000000000000003E-2</v>
      </c>
      <c r="N128" s="16">
        <v>5.8000000000000003E-2</v>
      </c>
      <c r="O128" s="16">
        <v>5.8000000000000003E-2</v>
      </c>
      <c r="P128" s="16">
        <v>0.1328</v>
      </c>
      <c r="Q128" s="16">
        <v>5.8000000000000003E-2</v>
      </c>
      <c r="R128" s="16">
        <v>0.1042</v>
      </c>
      <c r="S128" s="16">
        <v>0.65849999999999997</v>
      </c>
      <c r="T128" s="16">
        <v>1.1697</v>
      </c>
      <c r="U128" s="16">
        <v>0.33529999999999999</v>
      </c>
      <c r="V128" s="16">
        <v>0.2964</v>
      </c>
      <c r="W128" s="16">
        <v>0.50690000000000002</v>
      </c>
      <c r="X128" s="16">
        <v>0.36859999999999998</v>
      </c>
      <c r="Y128" s="16">
        <v>0.3392</v>
      </c>
      <c r="Z128" s="16">
        <v>0.69030000000000002</v>
      </c>
      <c r="AA128" s="16">
        <v>0.50009999999999999</v>
      </c>
      <c r="AB128" s="16">
        <v>0.61839999999999995</v>
      </c>
      <c r="AC128" s="16">
        <v>0.30520000000000003</v>
      </c>
      <c r="AD128" s="16">
        <v>1.5742</v>
      </c>
      <c r="AE128" s="16">
        <v>1.5163</v>
      </c>
      <c r="AF128" s="16">
        <v>1.8786</v>
      </c>
      <c r="AG128" s="16">
        <v>0.26590000000000003</v>
      </c>
      <c r="AH128" s="16">
        <v>0.2177</v>
      </c>
      <c r="AI128" s="16">
        <v>0.1077</v>
      </c>
      <c r="AJ128" s="16">
        <v>0.27639999999999998</v>
      </c>
      <c r="AK128" s="16">
        <v>2.8896999999999999</v>
      </c>
      <c r="AL128" s="16">
        <v>0.1229</v>
      </c>
      <c r="AM128" s="16">
        <v>1.2695000000000001</v>
      </c>
      <c r="AN128" s="16">
        <v>0.2959</v>
      </c>
      <c r="AO128" s="16">
        <v>0.17829999999999999</v>
      </c>
      <c r="AP128" s="16">
        <v>0.48130000000000001</v>
      </c>
      <c r="AQ128" s="16">
        <v>0.61890000000000001</v>
      </c>
      <c r="AR128" s="16">
        <v>0.55530000000000002</v>
      </c>
      <c r="AS128" s="16">
        <v>0.53049999999999997</v>
      </c>
      <c r="AT128" s="16">
        <v>0.55320000000000003</v>
      </c>
      <c r="AU128" s="16">
        <v>0.50080000000000002</v>
      </c>
      <c r="AV128" s="16">
        <v>0.81759999999999999</v>
      </c>
      <c r="AW128" s="16">
        <v>0.89339999999999997</v>
      </c>
      <c r="AX128" s="16">
        <v>1.4333</v>
      </c>
    </row>
    <row r="129" spans="1:50" x14ac:dyDescent="0.25">
      <c r="A129" s="8" t="s">
        <v>194</v>
      </c>
      <c r="B129" s="10" t="s">
        <v>57</v>
      </c>
      <c r="C129" s="16">
        <v>5.6000000000000001E-2</v>
      </c>
      <c r="D129" s="16">
        <v>0.2009</v>
      </c>
      <c r="E129" s="16">
        <v>0.15210000000000001</v>
      </c>
      <c r="F129" s="16">
        <v>0.10100000000000001</v>
      </c>
      <c r="G129" s="16">
        <v>0.111</v>
      </c>
      <c r="H129" s="16">
        <v>5.6000000000000001E-2</v>
      </c>
      <c r="I129" s="16">
        <v>0.156</v>
      </c>
      <c r="J129" s="16">
        <v>0.19700000000000001</v>
      </c>
      <c r="K129" s="16">
        <v>9.0999999999999998E-2</v>
      </c>
      <c r="L129" s="16">
        <v>0.17230000000000001</v>
      </c>
      <c r="M129" s="16">
        <v>0.1457</v>
      </c>
      <c r="N129" s="16">
        <v>0.156</v>
      </c>
      <c r="O129" s="16">
        <v>0.1265</v>
      </c>
      <c r="P129" s="16">
        <v>0.1265</v>
      </c>
      <c r="Q129" s="16">
        <v>7.0999999999999994E-2</v>
      </c>
      <c r="R129" s="16">
        <v>0.28199999999999997</v>
      </c>
      <c r="S129" s="16">
        <v>5.6000000000000001E-2</v>
      </c>
      <c r="T129" s="16">
        <v>0.24360000000000001</v>
      </c>
      <c r="U129" s="16">
        <v>0.1095</v>
      </c>
      <c r="V129" s="16">
        <v>0.13450000000000001</v>
      </c>
      <c r="W129" s="16">
        <v>0.50460000000000005</v>
      </c>
      <c r="X129" s="16">
        <v>5.6000000000000001E-2</v>
      </c>
      <c r="Y129" s="16">
        <v>5.6000000000000001E-2</v>
      </c>
      <c r="Z129" s="16">
        <v>5.6000000000000001E-2</v>
      </c>
      <c r="AA129" s="16">
        <v>0.21740000000000001</v>
      </c>
      <c r="AB129" s="16">
        <v>0.33150000000000002</v>
      </c>
      <c r="AC129" s="16">
        <v>0.3165</v>
      </c>
      <c r="AD129" s="16">
        <v>0.4919</v>
      </c>
      <c r="AE129" s="16">
        <v>0.26290000000000002</v>
      </c>
      <c r="AF129" s="16">
        <v>0.3095</v>
      </c>
      <c r="AG129" s="16">
        <v>0.442</v>
      </c>
      <c r="AH129" s="16">
        <v>0.42930000000000001</v>
      </c>
      <c r="AI129" s="16">
        <v>8.1600000000000006E-2</v>
      </c>
      <c r="AJ129" s="16">
        <v>0.156</v>
      </c>
      <c r="AK129" s="16">
        <v>5.6000000000000001E-2</v>
      </c>
      <c r="AL129" s="16">
        <v>0.20780000000000001</v>
      </c>
      <c r="AM129" s="16">
        <v>0.1452</v>
      </c>
      <c r="AN129" s="16">
        <v>8.5999999999999993E-2</v>
      </c>
      <c r="AO129" s="16">
        <v>0.16450000000000001</v>
      </c>
      <c r="AP129" s="16">
        <v>0.1585</v>
      </c>
      <c r="AQ129" s="16">
        <v>0.156</v>
      </c>
      <c r="AR129" s="16">
        <v>7.5200000000000003E-2</v>
      </c>
      <c r="AS129" s="16">
        <v>0.17780000000000001</v>
      </c>
      <c r="AT129" s="16">
        <v>5.6000000000000001E-2</v>
      </c>
      <c r="AU129" s="16">
        <v>0.52480000000000004</v>
      </c>
      <c r="AV129" s="16">
        <v>0.40699999999999997</v>
      </c>
      <c r="AW129" s="16">
        <v>0.84770000000000001</v>
      </c>
      <c r="AX129" s="16">
        <v>0.32340000000000002</v>
      </c>
    </row>
    <row r="130" spans="1:50" x14ac:dyDescent="0.25">
      <c r="A130" s="8" t="s">
        <v>196</v>
      </c>
      <c r="B130" s="10" t="s">
        <v>57</v>
      </c>
      <c r="C130" s="16">
        <v>6.4500000000000002E-2</v>
      </c>
      <c r="D130" s="16">
        <v>5.7000000000000002E-2</v>
      </c>
      <c r="E130" s="16">
        <v>0.1318</v>
      </c>
      <c r="F130" s="16">
        <v>8.6900000000000005E-2</v>
      </c>
      <c r="G130" s="16">
        <v>5.7000000000000002E-2</v>
      </c>
      <c r="H130" s="16">
        <v>0.16170000000000001</v>
      </c>
      <c r="I130" s="16">
        <v>5.7000000000000002E-2</v>
      </c>
      <c r="J130" s="16">
        <v>5.7000000000000002E-2</v>
      </c>
      <c r="K130" s="16">
        <v>5.7000000000000002E-2</v>
      </c>
      <c r="L130" s="16">
        <v>0.16170000000000001</v>
      </c>
      <c r="M130" s="16">
        <v>5.7000000000000002E-2</v>
      </c>
      <c r="N130" s="16">
        <v>6.4500000000000002E-2</v>
      </c>
      <c r="O130" s="16">
        <v>0.1542</v>
      </c>
      <c r="P130" s="16">
        <v>5.7000000000000002E-2</v>
      </c>
      <c r="Q130" s="16">
        <v>0.32390000000000002</v>
      </c>
      <c r="R130" s="16">
        <v>0.308</v>
      </c>
      <c r="S130" s="16">
        <v>5.7000000000000002E-2</v>
      </c>
      <c r="T130" s="16">
        <v>0.24890000000000001</v>
      </c>
      <c r="U130" s="16">
        <v>0.2802</v>
      </c>
      <c r="V130" s="16">
        <v>0.45229999999999998</v>
      </c>
      <c r="W130" s="16">
        <v>0.32079999999999997</v>
      </c>
      <c r="X130" s="16">
        <v>0.40129999999999999</v>
      </c>
      <c r="Y130" s="16">
        <v>0.56720000000000004</v>
      </c>
      <c r="Z130" s="16">
        <v>0.30640000000000001</v>
      </c>
      <c r="AA130" s="16">
        <v>0.57299999999999995</v>
      </c>
      <c r="AB130" s="16">
        <v>0.42109999999999997</v>
      </c>
      <c r="AC130" s="16">
        <v>0.22800000000000001</v>
      </c>
      <c r="AD130" s="16">
        <v>0.1103</v>
      </c>
      <c r="AE130" s="16">
        <v>0.1019</v>
      </c>
      <c r="AF130" s="16">
        <v>0.1168</v>
      </c>
      <c r="AG130" s="16">
        <v>5.7000000000000002E-2</v>
      </c>
      <c r="AH130" s="16">
        <v>0.16170000000000001</v>
      </c>
      <c r="AI130" s="16">
        <v>5.7000000000000002E-2</v>
      </c>
      <c r="AJ130" s="16">
        <v>0.12429999999999999</v>
      </c>
      <c r="AK130" s="16">
        <v>9.4399999999999998E-2</v>
      </c>
      <c r="AL130" s="16">
        <v>5.7000000000000002E-2</v>
      </c>
      <c r="AM130" s="16">
        <v>5.7000000000000002E-2</v>
      </c>
      <c r="AN130" s="16">
        <v>0.26829999999999998</v>
      </c>
      <c r="AO130" s="16">
        <v>0.2205</v>
      </c>
      <c r="AP130" s="16">
        <v>0.26029999999999998</v>
      </c>
      <c r="AQ130" s="16">
        <v>0.24110000000000001</v>
      </c>
      <c r="AR130" s="16">
        <v>0.11650000000000001</v>
      </c>
      <c r="AS130" s="16">
        <v>0.48359999999999997</v>
      </c>
      <c r="AT130" s="16">
        <v>0.4022</v>
      </c>
      <c r="AU130" s="16">
        <v>0.4627</v>
      </c>
      <c r="AV130" s="16">
        <v>0.71650000000000003</v>
      </c>
      <c r="AW130" s="16">
        <v>0.6169</v>
      </c>
      <c r="AX130" s="16">
        <v>0.59970000000000001</v>
      </c>
    </row>
    <row r="131" spans="1:50" x14ac:dyDescent="0.25">
      <c r="A131" s="17" t="s">
        <v>519</v>
      </c>
      <c r="B131" s="13" t="s">
        <v>410</v>
      </c>
      <c r="C131" s="18">
        <v>0.55289999999999995</v>
      </c>
      <c r="D131" s="18">
        <v>0.13500000000000001</v>
      </c>
      <c r="E131" s="18">
        <v>0.18</v>
      </c>
      <c r="F131" s="18">
        <v>0.1812</v>
      </c>
      <c r="G131" s="18">
        <v>5.7000000000000002E-2</v>
      </c>
      <c r="H131" s="18">
        <v>0.26569999999999999</v>
      </c>
      <c r="I131" s="18">
        <v>0.1084</v>
      </c>
      <c r="J131" s="18">
        <v>0.122</v>
      </c>
      <c r="K131" s="18">
        <v>0.1492</v>
      </c>
      <c r="L131" s="18">
        <v>0.13389999999999999</v>
      </c>
      <c r="M131" s="18">
        <v>5.7000000000000002E-2</v>
      </c>
      <c r="N131" s="18">
        <v>0.17230000000000001</v>
      </c>
      <c r="O131" s="18">
        <v>0.14979999999999999</v>
      </c>
      <c r="P131" s="18">
        <v>9.6000000000000002E-2</v>
      </c>
      <c r="Q131" s="18">
        <v>0.2261</v>
      </c>
      <c r="R131" s="18">
        <v>0.13500000000000001</v>
      </c>
      <c r="S131" s="18">
        <v>0.1108</v>
      </c>
      <c r="T131" s="18">
        <v>0.1847</v>
      </c>
      <c r="U131" s="18">
        <v>6.4699999999999994E-2</v>
      </c>
      <c r="V131" s="18">
        <v>0.71409999999999996</v>
      </c>
      <c r="W131" s="18">
        <v>0.50249999999999995</v>
      </c>
      <c r="X131" s="18">
        <v>0.47220000000000001</v>
      </c>
      <c r="Y131" s="18">
        <v>0.1188</v>
      </c>
      <c r="Z131" s="18">
        <v>7.2400000000000006E-2</v>
      </c>
      <c r="AA131" s="18">
        <v>1.7641</v>
      </c>
      <c r="AB131" s="18">
        <v>0.91539999999999999</v>
      </c>
      <c r="AC131" s="18">
        <v>0.20599999999999999</v>
      </c>
      <c r="AD131" s="18">
        <v>0.1552</v>
      </c>
      <c r="AE131" s="18">
        <v>0.1108</v>
      </c>
      <c r="AF131" s="18">
        <v>0.17230000000000001</v>
      </c>
      <c r="AG131" s="18">
        <v>0.17660000000000001</v>
      </c>
      <c r="AH131" s="18">
        <v>1.3491</v>
      </c>
      <c r="AI131" s="18">
        <v>0.38179999999999997</v>
      </c>
      <c r="AJ131" s="18">
        <v>0.2374</v>
      </c>
      <c r="AK131" s="18">
        <v>0.152</v>
      </c>
      <c r="AL131" s="18">
        <v>0.74839999999999995</v>
      </c>
      <c r="AM131" s="18">
        <v>1.0239</v>
      </c>
      <c r="AN131" s="18">
        <v>0.96199999999999997</v>
      </c>
      <c r="AO131" s="18">
        <v>0.38300000000000001</v>
      </c>
      <c r="AP131" s="18">
        <v>0.55669999999999997</v>
      </c>
      <c r="AQ131" s="18">
        <v>0.50090000000000001</v>
      </c>
      <c r="AR131" s="18">
        <v>0.57669999999999999</v>
      </c>
      <c r="AS131" s="18">
        <v>1.2947</v>
      </c>
      <c r="AT131" s="18">
        <v>1.2528999999999999</v>
      </c>
      <c r="AU131" s="18">
        <v>0.79820000000000002</v>
      </c>
      <c r="AV131" s="18">
        <v>0.26650000000000001</v>
      </c>
      <c r="AW131" s="18">
        <v>0.2031</v>
      </c>
      <c r="AX131" s="18">
        <v>0.15809999999999999</v>
      </c>
    </row>
    <row r="132" spans="1:50" x14ac:dyDescent="0.25">
      <c r="A132" s="17" t="s">
        <v>521</v>
      </c>
      <c r="B132" s="13" t="s">
        <v>410</v>
      </c>
      <c r="C132" s="18">
        <v>0.26279999999999998</v>
      </c>
      <c r="D132" s="18">
        <v>5.45E-2</v>
      </c>
      <c r="E132" s="18">
        <v>0.24490000000000001</v>
      </c>
      <c r="F132" s="18">
        <v>6.5299999999999997E-2</v>
      </c>
      <c r="G132" s="18">
        <v>0.16869999999999999</v>
      </c>
      <c r="H132" s="18">
        <v>0.157</v>
      </c>
      <c r="I132" s="18">
        <v>0.18179999999999999</v>
      </c>
      <c r="J132" s="18">
        <v>7.8399999999999997E-2</v>
      </c>
      <c r="K132" s="18">
        <v>0.1177</v>
      </c>
      <c r="L132" s="18">
        <v>0.16869999999999999</v>
      </c>
      <c r="M132" s="18">
        <v>0.1439</v>
      </c>
      <c r="N132" s="18">
        <v>5.2200000000000003E-2</v>
      </c>
      <c r="O132" s="18">
        <v>0.2014</v>
      </c>
      <c r="P132" s="18">
        <v>0.13730000000000001</v>
      </c>
      <c r="Q132" s="18">
        <v>1.0753999999999999</v>
      </c>
      <c r="R132" s="18">
        <v>0.39879999999999999</v>
      </c>
      <c r="S132" s="18">
        <v>7.9100000000000004E-2</v>
      </c>
      <c r="T132" s="18">
        <v>8.7499999999999994E-2</v>
      </c>
      <c r="U132" s="18">
        <v>0.1308</v>
      </c>
      <c r="V132" s="18">
        <v>2.8500000000000001E-2</v>
      </c>
      <c r="W132" s="18">
        <v>0.22589999999999999</v>
      </c>
      <c r="X132" s="18">
        <v>2.0442999999999998</v>
      </c>
      <c r="Y132" s="18">
        <v>0.51290000000000002</v>
      </c>
      <c r="Z132" s="18">
        <v>0.65169999999999995</v>
      </c>
      <c r="AA132" s="18">
        <v>0.21640000000000001</v>
      </c>
      <c r="AB132" s="18">
        <v>0.44379999999999997</v>
      </c>
      <c r="AC132" s="18">
        <v>0.21229999999999999</v>
      </c>
      <c r="AD132" s="18">
        <v>0.26219999999999999</v>
      </c>
      <c r="AE132" s="18">
        <v>0.14799999999999999</v>
      </c>
      <c r="AF132" s="18">
        <v>0.25380000000000003</v>
      </c>
      <c r="AG132" s="18">
        <v>1.2904</v>
      </c>
      <c r="AH132" s="18">
        <v>0.81210000000000004</v>
      </c>
      <c r="AI132" s="18">
        <v>9.7299999999999998E-2</v>
      </c>
      <c r="AJ132" s="18">
        <v>0.18129999999999999</v>
      </c>
      <c r="AK132" s="18">
        <v>0.15740000000000001</v>
      </c>
      <c r="AL132" s="18">
        <v>7.1800000000000003E-2</v>
      </c>
      <c r="AM132" s="18">
        <v>0.26690000000000003</v>
      </c>
      <c r="AN132" s="18">
        <v>2.5999999999999999E-2</v>
      </c>
      <c r="AO132" s="18">
        <v>0.16470000000000001</v>
      </c>
      <c r="AP132" s="18">
        <v>0.1741</v>
      </c>
      <c r="AQ132" s="18">
        <v>8.4900000000000003E-2</v>
      </c>
      <c r="AR132" s="18">
        <v>0.40539999999999998</v>
      </c>
      <c r="AS132" s="18">
        <v>0.48180000000000001</v>
      </c>
      <c r="AT132" s="18">
        <v>0.4924</v>
      </c>
      <c r="AU132" s="18">
        <v>1.2250000000000001</v>
      </c>
      <c r="AV132" s="18">
        <v>0.28839999999999999</v>
      </c>
      <c r="AW132" s="18">
        <v>0.46750000000000003</v>
      </c>
      <c r="AX132" s="18">
        <v>0.30959999999999999</v>
      </c>
    </row>
    <row r="133" spans="1:50" x14ac:dyDescent="0.25">
      <c r="A133" s="17" t="s">
        <v>523</v>
      </c>
      <c r="B133" s="13" t="s">
        <v>410</v>
      </c>
      <c r="C133" s="18">
        <v>0.1792</v>
      </c>
      <c r="D133" s="18">
        <v>7.8700000000000006E-2</v>
      </c>
      <c r="E133" s="18">
        <v>5.7200000000000001E-2</v>
      </c>
      <c r="F133" s="18">
        <v>0.20080000000000001</v>
      </c>
      <c r="G133" s="18">
        <v>0.05</v>
      </c>
      <c r="H133" s="18">
        <v>0.13619999999999999</v>
      </c>
      <c r="I133" s="18">
        <v>0.12180000000000001</v>
      </c>
      <c r="J133" s="18">
        <v>7.8700000000000006E-2</v>
      </c>
      <c r="K133" s="18">
        <v>0.1792</v>
      </c>
      <c r="L133" s="18">
        <v>0.05</v>
      </c>
      <c r="M133" s="18">
        <v>0.05</v>
      </c>
      <c r="N133" s="18">
        <v>0.20799999999999999</v>
      </c>
      <c r="O133" s="18">
        <v>0.05</v>
      </c>
      <c r="P133" s="18">
        <v>0.16489999999999999</v>
      </c>
      <c r="Q133" s="18">
        <v>0.25530000000000003</v>
      </c>
      <c r="R133" s="18">
        <v>0.2019</v>
      </c>
      <c r="S133" s="18">
        <v>0.52470000000000006</v>
      </c>
      <c r="T133" s="18">
        <v>0.05</v>
      </c>
      <c r="U133" s="18">
        <v>0.2661</v>
      </c>
      <c r="V133" s="18">
        <v>0.245</v>
      </c>
      <c r="W133" s="18">
        <v>0.2019</v>
      </c>
      <c r="X133" s="18">
        <v>0.31680000000000003</v>
      </c>
      <c r="Y133" s="18">
        <v>0.2298</v>
      </c>
      <c r="Z133" s="18">
        <v>0.1235</v>
      </c>
      <c r="AA133" s="18">
        <v>0.31680000000000003</v>
      </c>
      <c r="AB133" s="18">
        <v>0.41739999999999999</v>
      </c>
      <c r="AC133" s="18">
        <v>0.20799999999999999</v>
      </c>
      <c r="AD133" s="18">
        <v>0.05</v>
      </c>
      <c r="AE133" s="18">
        <v>0.16489999999999999</v>
      </c>
      <c r="AF133" s="18">
        <v>9.3100000000000002E-2</v>
      </c>
      <c r="AG133" s="18">
        <v>0.05</v>
      </c>
      <c r="AH133" s="18">
        <v>0.05</v>
      </c>
      <c r="AI133" s="18">
        <v>0.31219999999999998</v>
      </c>
      <c r="AJ133" s="18">
        <v>0.2019</v>
      </c>
      <c r="AK133" s="18">
        <v>0.25209999999999999</v>
      </c>
      <c r="AL133" s="18">
        <v>0.30959999999999999</v>
      </c>
      <c r="AM133" s="18">
        <v>0.25369999999999998</v>
      </c>
      <c r="AN133" s="18">
        <v>0.40010000000000001</v>
      </c>
      <c r="AO133" s="18">
        <v>0.26529999999999998</v>
      </c>
      <c r="AP133" s="18">
        <v>0.50319999999999998</v>
      </c>
      <c r="AQ133" s="18">
        <v>0.25950000000000001</v>
      </c>
      <c r="AR133" s="18">
        <v>0.33760000000000001</v>
      </c>
      <c r="AS133" s="18">
        <v>0.76990000000000003</v>
      </c>
      <c r="AT133" s="18">
        <v>0.41689999999999999</v>
      </c>
      <c r="AU133" s="18">
        <v>0.39939999999999998</v>
      </c>
      <c r="AV133" s="18">
        <v>0.66969999999999996</v>
      </c>
      <c r="AW133" s="18">
        <v>0.05</v>
      </c>
      <c r="AX133" s="18">
        <v>0.05</v>
      </c>
    </row>
    <row r="134" spans="1:50" x14ac:dyDescent="0.25">
      <c r="A134" s="17" t="s">
        <v>525</v>
      </c>
      <c r="B134" s="13" t="s">
        <v>410</v>
      </c>
      <c r="C134" s="18">
        <v>0.22689999999999999</v>
      </c>
      <c r="D134" s="18">
        <v>6.9900000000000004E-2</v>
      </c>
      <c r="E134" s="18">
        <v>0.1484</v>
      </c>
      <c r="F134" s="18">
        <v>0.1484</v>
      </c>
      <c r="G134" s="18">
        <v>6.2E-2</v>
      </c>
      <c r="H134" s="18">
        <v>0.11700000000000001</v>
      </c>
      <c r="I134" s="18">
        <v>0.17979999999999999</v>
      </c>
      <c r="J134" s="18">
        <v>6.2E-2</v>
      </c>
      <c r="K134" s="18">
        <v>0.219</v>
      </c>
      <c r="L134" s="18">
        <v>7.7700000000000005E-2</v>
      </c>
      <c r="M134" s="18">
        <v>0.1719</v>
      </c>
      <c r="N134" s="18">
        <v>0.12479999999999999</v>
      </c>
      <c r="O134" s="18">
        <v>6.2E-2</v>
      </c>
      <c r="P134" s="18">
        <v>0.23469999999999999</v>
      </c>
      <c r="Q134" s="18">
        <v>6.3899999999999998E-2</v>
      </c>
      <c r="R134" s="18">
        <v>0.2155</v>
      </c>
      <c r="S134" s="18">
        <v>0.34399999999999997</v>
      </c>
      <c r="T134" s="18">
        <v>0.33600000000000002</v>
      </c>
      <c r="U134" s="18">
        <v>1.1251</v>
      </c>
      <c r="V134" s="18">
        <v>0.31580000000000003</v>
      </c>
      <c r="W134" s="18">
        <v>0.28999999999999998</v>
      </c>
      <c r="X134" s="18">
        <v>0.11700000000000001</v>
      </c>
      <c r="Y134" s="18">
        <v>0.2185</v>
      </c>
      <c r="Z134" s="18">
        <v>0.52229999999999999</v>
      </c>
      <c r="AA134" s="18">
        <v>2.0402999999999998</v>
      </c>
      <c r="AB134" s="18">
        <v>0.55249999999999999</v>
      </c>
      <c r="AC134" s="18">
        <v>0.39340000000000003</v>
      </c>
      <c r="AD134" s="18">
        <v>0.71040000000000003</v>
      </c>
      <c r="AE134" s="18">
        <v>0.1013</v>
      </c>
      <c r="AF134" s="18">
        <v>0.37490000000000001</v>
      </c>
      <c r="AG134" s="18">
        <v>0.2419</v>
      </c>
      <c r="AH134" s="18">
        <v>0.26450000000000001</v>
      </c>
      <c r="AI134" s="18">
        <v>0.39219999999999999</v>
      </c>
      <c r="AJ134" s="18">
        <v>0.22450000000000001</v>
      </c>
      <c r="AK134" s="18">
        <v>0.24909999999999999</v>
      </c>
      <c r="AL134" s="18">
        <v>0.29409999999999997</v>
      </c>
      <c r="AM134" s="18">
        <v>0.14960000000000001</v>
      </c>
      <c r="AN134" s="18">
        <v>8.5599999999999996E-2</v>
      </c>
      <c r="AO134" s="18">
        <v>0.2112</v>
      </c>
      <c r="AP134" s="18">
        <v>6.2E-2</v>
      </c>
      <c r="AQ134" s="18">
        <v>0.15620000000000001</v>
      </c>
      <c r="AR134" s="18">
        <v>0.14050000000000001</v>
      </c>
      <c r="AS134" s="18">
        <v>6.2E-2</v>
      </c>
      <c r="AT134" s="18">
        <v>0.23469999999999999</v>
      </c>
      <c r="AU134" s="18">
        <v>6.2E-2</v>
      </c>
      <c r="AV134" s="18">
        <v>0.1641</v>
      </c>
      <c r="AW134" s="18">
        <v>0.13270000000000001</v>
      </c>
      <c r="AX134" s="18">
        <v>6.2E-2</v>
      </c>
    </row>
    <row r="135" spans="1:50" x14ac:dyDescent="0.25">
      <c r="A135" s="17" t="s">
        <v>527</v>
      </c>
      <c r="B135" s="13" t="s">
        <v>410</v>
      </c>
      <c r="C135" s="18">
        <v>8.8599999999999998E-2</v>
      </c>
      <c r="D135" s="18">
        <v>8.0299999999999996E-2</v>
      </c>
      <c r="E135" s="18">
        <v>8.0299999999999996E-2</v>
      </c>
      <c r="F135" s="18">
        <v>0.10100000000000001</v>
      </c>
      <c r="G135" s="18">
        <v>5.96E-2</v>
      </c>
      <c r="H135" s="18">
        <v>4.2999999999999997E-2</v>
      </c>
      <c r="I135" s="18">
        <v>4.2999999999999997E-2</v>
      </c>
      <c r="J135" s="18">
        <v>0.1176</v>
      </c>
      <c r="K135" s="18">
        <v>4.2999999999999997E-2</v>
      </c>
      <c r="L135" s="18">
        <v>4.2999999999999997E-2</v>
      </c>
      <c r="M135" s="18">
        <v>0.1176</v>
      </c>
      <c r="N135" s="18">
        <v>4.2999999999999997E-2</v>
      </c>
      <c r="O135" s="18">
        <v>9.2700000000000005E-2</v>
      </c>
      <c r="P135" s="18">
        <v>6.7900000000000002E-2</v>
      </c>
      <c r="Q135" s="18">
        <v>4.2999999999999997E-2</v>
      </c>
      <c r="R135" s="18">
        <v>4.2999999999999997E-2</v>
      </c>
      <c r="S135" s="18">
        <v>0.24160000000000001</v>
      </c>
      <c r="T135" s="18">
        <v>0.20419999999999999</v>
      </c>
      <c r="U135" s="18">
        <v>0.22689999999999999</v>
      </c>
      <c r="V135" s="18">
        <v>0.32140000000000002</v>
      </c>
      <c r="W135" s="18">
        <v>6.3700000000000007E-2</v>
      </c>
      <c r="X135" s="18">
        <v>9.69E-2</v>
      </c>
      <c r="Y135" s="18">
        <v>4.2999999999999997E-2</v>
      </c>
      <c r="Z135" s="18">
        <v>4.2999999999999997E-2</v>
      </c>
      <c r="AA135" s="18">
        <v>4.2999999999999997E-2</v>
      </c>
      <c r="AB135" s="18">
        <v>0.1176</v>
      </c>
      <c r="AC135" s="18">
        <v>6.5699999999999995E-2</v>
      </c>
      <c r="AD135" s="18">
        <v>4.2999999999999997E-2</v>
      </c>
      <c r="AE135" s="18">
        <v>0.1176</v>
      </c>
      <c r="AF135" s="18">
        <v>4.2999999999999997E-2</v>
      </c>
      <c r="AG135" s="18">
        <v>8.4400000000000003E-2</v>
      </c>
      <c r="AH135" s="18">
        <v>7.6100000000000001E-2</v>
      </c>
      <c r="AI135" s="18">
        <v>4.2999999999999997E-2</v>
      </c>
      <c r="AJ135" s="18">
        <v>4.2999999999999997E-2</v>
      </c>
      <c r="AK135" s="18">
        <v>4.7100000000000003E-2</v>
      </c>
      <c r="AL135" s="18">
        <v>0.29730000000000001</v>
      </c>
      <c r="AM135" s="18">
        <v>0.2545</v>
      </c>
      <c r="AN135" s="18">
        <v>0.16059999999999999</v>
      </c>
      <c r="AO135" s="18">
        <v>0.24929999999999999</v>
      </c>
      <c r="AP135" s="18">
        <v>0.24690000000000001</v>
      </c>
      <c r="AQ135" s="18">
        <v>0.41189999999999999</v>
      </c>
      <c r="AR135" s="18">
        <v>0.40429999999999999</v>
      </c>
      <c r="AS135" s="18">
        <v>0.42130000000000001</v>
      </c>
      <c r="AT135" s="18">
        <v>0.503</v>
      </c>
      <c r="AU135" s="18">
        <v>0.65769999999999995</v>
      </c>
      <c r="AV135" s="18">
        <v>0.51219999999999999</v>
      </c>
      <c r="AW135" s="18">
        <v>0.34499999999999997</v>
      </c>
      <c r="AX135" s="18">
        <v>0.28870000000000001</v>
      </c>
    </row>
    <row r="136" spans="1:50" x14ac:dyDescent="0.25">
      <c r="A136" s="8" t="s">
        <v>198</v>
      </c>
      <c r="B136" s="10" t="s">
        <v>57</v>
      </c>
      <c r="C136" s="16">
        <v>0.11899999999999999</v>
      </c>
      <c r="D136" s="16">
        <v>0.1351</v>
      </c>
      <c r="E136" s="16">
        <v>3.9E-2</v>
      </c>
      <c r="F136" s="16">
        <v>0.19109999999999999</v>
      </c>
      <c r="G136" s="16">
        <v>6.3E-2</v>
      </c>
      <c r="H136" s="16">
        <v>3.9E-2</v>
      </c>
      <c r="I136" s="16">
        <v>0.12709999999999999</v>
      </c>
      <c r="J136" s="16">
        <v>0.12709999999999999</v>
      </c>
      <c r="K136" s="16">
        <v>3.9E-2</v>
      </c>
      <c r="L136" s="16">
        <v>0.21510000000000001</v>
      </c>
      <c r="M136" s="16">
        <v>3.9E-2</v>
      </c>
      <c r="N136" s="16">
        <v>6.3E-2</v>
      </c>
      <c r="O136" s="16">
        <v>0.19109999999999999</v>
      </c>
      <c r="P136" s="16">
        <v>3.9E-2</v>
      </c>
      <c r="Q136" s="16">
        <v>0.1671</v>
      </c>
      <c r="R136" s="16">
        <v>8.6999999999999994E-2</v>
      </c>
      <c r="S136" s="16">
        <v>3.9E-2</v>
      </c>
      <c r="T136" s="16">
        <v>3.9E-2</v>
      </c>
      <c r="U136" s="16">
        <v>0.14480000000000001</v>
      </c>
      <c r="V136" s="16">
        <v>1.0932999999999999</v>
      </c>
      <c r="W136" s="16">
        <v>0.1137</v>
      </c>
      <c r="X136" s="16">
        <v>0.38790000000000002</v>
      </c>
      <c r="Y136" s="16">
        <v>0.45479999999999998</v>
      </c>
      <c r="Z136" s="16">
        <v>0.2218</v>
      </c>
      <c r="AA136" s="16">
        <v>0.52449999999999997</v>
      </c>
      <c r="AB136" s="16">
        <v>0.35399999999999998</v>
      </c>
      <c r="AC136" s="16">
        <v>4.5499999999999999E-2</v>
      </c>
      <c r="AD136" s="16">
        <v>4.0300000000000002E-2</v>
      </c>
      <c r="AE136" s="16">
        <v>0.33839999999999998</v>
      </c>
      <c r="AF136" s="16">
        <v>0.1439</v>
      </c>
      <c r="AG136" s="16">
        <v>0.12709999999999999</v>
      </c>
      <c r="AH136" s="16">
        <v>0.12709999999999999</v>
      </c>
      <c r="AI136" s="16">
        <v>4.3499999999999997E-2</v>
      </c>
      <c r="AJ136" s="16">
        <v>5.4100000000000002E-2</v>
      </c>
      <c r="AK136" s="16">
        <v>2.238</v>
      </c>
      <c r="AL136" s="16">
        <v>3.9897999999999998</v>
      </c>
      <c r="AM136" s="16">
        <v>0.79479999999999995</v>
      </c>
      <c r="AN136" s="16">
        <v>0.1431</v>
      </c>
      <c r="AO136" s="16">
        <v>3.9E-2</v>
      </c>
      <c r="AP136" s="16">
        <v>0.21510000000000001</v>
      </c>
      <c r="AQ136" s="16">
        <v>3.9E-2</v>
      </c>
      <c r="AR136" s="16">
        <v>3.9E-2</v>
      </c>
      <c r="AS136" s="16">
        <v>8.6999999999999994E-2</v>
      </c>
      <c r="AT136" s="16">
        <v>0.1671</v>
      </c>
      <c r="AU136" s="16">
        <v>3.9E-2</v>
      </c>
      <c r="AV136" s="16">
        <v>3.9E-2</v>
      </c>
      <c r="AW136" s="16">
        <v>7.9000000000000001E-2</v>
      </c>
      <c r="AX136" s="16">
        <v>0.17510000000000001</v>
      </c>
    </row>
    <row r="137" spans="1:50" x14ac:dyDescent="0.25">
      <c r="A137" s="8" t="s">
        <v>200</v>
      </c>
      <c r="B137" s="10" t="s">
        <v>57</v>
      </c>
      <c r="C137" s="16">
        <v>4.7E-2</v>
      </c>
      <c r="D137" s="16">
        <v>0.23419999999999999</v>
      </c>
      <c r="E137" s="16">
        <v>5.5899999999999998E-2</v>
      </c>
      <c r="F137" s="16">
        <v>0.12720000000000001</v>
      </c>
      <c r="G137" s="16">
        <v>0.16289999999999999</v>
      </c>
      <c r="H137" s="16">
        <v>4.7E-2</v>
      </c>
      <c r="I137" s="16">
        <v>0.24310000000000001</v>
      </c>
      <c r="J137" s="16">
        <v>4.7E-2</v>
      </c>
      <c r="K137" s="16">
        <v>4.7E-2</v>
      </c>
      <c r="L137" s="16">
        <v>0.24310000000000001</v>
      </c>
      <c r="M137" s="16">
        <v>0.1201</v>
      </c>
      <c r="N137" s="16">
        <v>0.1094</v>
      </c>
      <c r="O137" s="16">
        <v>0.1807</v>
      </c>
      <c r="P137" s="16">
        <v>4.7E-2</v>
      </c>
      <c r="Q137" s="16">
        <v>4.7E-2</v>
      </c>
      <c r="R137" s="16">
        <v>0.19850000000000001</v>
      </c>
      <c r="S137" s="16">
        <v>9.1600000000000001E-2</v>
      </c>
      <c r="T137" s="16">
        <v>4.7E-2</v>
      </c>
      <c r="U137" s="16">
        <v>0.18959999999999999</v>
      </c>
      <c r="V137" s="16">
        <v>0.10050000000000001</v>
      </c>
      <c r="W137" s="16">
        <v>8.4599999999999995E-2</v>
      </c>
      <c r="X137" s="16">
        <v>4.7E-2</v>
      </c>
      <c r="Y137" s="16">
        <v>0.14610000000000001</v>
      </c>
      <c r="Z137" s="16">
        <v>0.153</v>
      </c>
      <c r="AA137" s="16">
        <v>0.107</v>
      </c>
      <c r="AB137" s="16">
        <v>0.2346</v>
      </c>
      <c r="AC137" s="16">
        <v>0.2792</v>
      </c>
      <c r="AD137" s="16">
        <v>0.12720000000000001</v>
      </c>
      <c r="AE137" s="16">
        <v>0.3574</v>
      </c>
      <c r="AF137" s="16">
        <v>6.9699999999999998E-2</v>
      </c>
      <c r="AG137" s="16">
        <v>1.5125</v>
      </c>
      <c r="AH137" s="16">
        <v>0.53359999999999996</v>
      </c>
      <c r="AI137" s="16">
        <v>0.31419999999999998</v>
      </c>
      <c r="AJ137" s="16">
        <v>0.29409999999999997</v>
      </c>
      <c r="AK137" s="16">
        <v>0.37890000000000001</v>
      </c>
      <c r="AL137" s="16">
        <v>0.13089999999999999</v>
      </c>
      <c r="AM137" s="16">
        <v>0.50819999999999999</v>
      </c>
      <c r="AN137" s="16">
        <v>0.14330000000000001</v>
      </c>
      <c r="AO137" s="16">
        <v>0.31390000000000001</v>
      </c>
      <c r="AP137" s="16">
        <v>0.26290000000000002</v>
      </c>
      <c r="AQ137" s="16">
        <v>0.999</v>
      </c>
      <c r="AR137" s="16">
        <v>0.7833</v>
      </c>
      <c r="AS137" s="16">
        <v>0.6331</v>
      </c>
      <c r="AT137" s="16">
        <v>0.79959999999999998</v>
      </c>
      <c r="AU137" s="16">
        <v>0.52059999999999995</v>
      </c>
      <c r="AV137" s="16">
        <v>0.85299999999999998</v>
      </c>
      <c r="AW137" s="16">
        <v>0.56340000000000001</v>
      </c>
      <c r="AX137" s="16">
        <v>4.7E-2</v>
      </c>
    </row>
    <row r="138" spans="1:50" x14ac:dyDescent="0.25">
      <c r="A138" s="8" t="s">
        <v>202</v>
      </c>
      <c r="B138" s="10" t="s">
        <v>57</v>
      </c>
      <c r="C138" s="16">
        <v>0.40060000000000001</v>
      </c>
      <c r="D138" s="16">
        <v>9.11E-2</v>
      </c>
      <c r="E138" s="16">
        <v>0.25390000000000001</v>
      </c>
      <c r="F138" s="16">
        <v>3.5999999999999997E-2</v>
      </c>
      <c r="G138" s="16">
        <v>0.24660000000000001</v>
      </c>
      <c r="H138" s="16">
        <v>6.4299999999999996E-2</v>
      </c>
      <c r="I138" s="16">
        <v>0.1479</v>
      </c>
      <c r="J138" s="16">
        <v>0.16300000000000001</v>
      </c>
      <c r="K138" s="16">
        <v>6.4000000000000001E-2</v>
      </c>
      <c r="L138" s="16">
        <v>0.2092</v>
      </c>
      <c r="M138" s="16">
        <v>7.3800000000000004E-2</v>
      </c>
      <c r="N138" s="16">
        <v>3.5999999999999997E-2</v>
      </c>
      <c r="O138" s="16">
        <v>0.18990000000000001</v>
      </c>
      <c r="P138" s="16">
        <v>0.121</v>
      </c>
      <c r="Q138" s="16">
        <v>6.1899999999999997E-2</v>
      </c>
      <c r="R138" s="16">
        <v>0.30669999999999997</v>
      </c>
      <c r="S138" s="16">
        <v>7.6700000000000004E-2</v>
      </c>
      <c r="T138" s="16">
        <v>0.12820000000000001</v>
      </c>
      <c r="U138" s="16">
        <v>0.20430000000000001</v>
      </c>
      <c r="V138" s="16">
        <v>0.21909999999999999</v>
      </c>
      <c r="W138" s="16">
        <v>6.4000000000000001E-2</v>
      </c>
      <c r="X138" s="16">
        <v>0.24990000000000001</v>
      </c>
      <c r="Y138" s="16">
        <v>3.5999999999999997E-2</v>
      </c>
      <c r="Z138" s="16">
        <v>3.9899999999999998E-2</v>
      </c>
      <c r="AA138" s="16">
        <v>0.16259999999999999</v>
      </c>
      <c r="AB138" s="16">
        <v>0.13850000000000001</v>
      </c>
      <c r="AC138" s="16">
        <v>0.4859</v>
      </c>
      <c r="AD138" s="16">
        <v>0.3705</v>
      </c>
      <c r="AE138" s="16">
        <v>0.25679999999999997</v>
      </c>
      <c r="AF138" s="16">
        <v>0.33450000000000002</v>
      </c>
      <c r="AG138" s="16">
        <v>0.19120000000000001</v>
      </c>
      <c r="AH138" s="16">
        <v>0.2059</v>
      </c>
      <c r="AI138" s="16">
        <v>0.44450000000000001</v>
      </c>
      <c r="AJ138" s="16">
        <v>0.2387</v>
      </c>
      <c r="AK138" s="16">
        <v>0.49640000000000001</v>
      </c>
      <c r="AL138" s="16">
        <v>0.37080000000000002</v>
      </c>
      <c r="AM138" s="16">
        <v>0.15609999999999999</v>
      </c>
      <c r="AN138" s="16">
        <v>0.33860000000000001</v>
      </c>
      <c r="AO138" s="16">
        <v>0.1303</v>
      </c>
      <c r="AP138" s="16">
        <v>0.36270000000000002</v>
      </c>
      <c r="AQ138" s="16">
        <v>0.43430000000000002</v>
      </c>
      <c r="AR138" s="16">
        <v>0.77270000000000005</v>
      </c>
      <c r="AS138" s="16">
        <v>0.57240000000000002</v>
      </c>
      <c r="AT138" s="16">
        <v>0.49840000000000001</v>
      </c>
      <c r="AU138" s="16">
        <v>0.50949999999999995</v>
      </c>
      <c r="AV138" s="16">
        <v>0.20830000000000001</v>
      </c>
      <c r="AW138" s="16">
        <v>0.1444</v>
      </c>
      <c r="AX138" s="16">
        <v>0.27489999999999998</v>
      </c>
    </row>
    <row r="139" spans="1:50" x14ac:dyDescent="0.25">
      <c r="A139" s="8" t="s">
        <v>204</v>
      </c>
      <c r="B139" s="10" t="s">
        <v>57</v>
      </c>
      <c r="C139" s="16">
        <v>0.12640000000000001</v>
      </c>
      <c r="D139" s="16">
        <v>0.12640000000000001</v>
      </c>
      <c r="E139" s="16">
        <v>4.3999999999999997E-2</v>
      </c>
      <c r="F139" s="16">
        <v>5.1499999999999997E-2</v>
      </c>
      <c r="G139" s="16">
        <v>0.20130000000000001</v>
      </c>
      <c r="H139" s="16">
        <v>4.3999999999999997E-2</v>
      </c>
      <c r="I139" s="16">
        <v>8.8999999999999996E-2</v>
      </c>
      <c r="J139" s="16">
        <v>0.16389999999999999</v>
      </c>
      <c r="K139" s="16">
        <v>4.3999999999999997E-2</v>
      </c>
      <c r="L139" s="16">
        <v>0.20880000000000001</v>
      </c>
      <c r="M139" s="16">
        <v>4.3999999999999997E-2</v>
      </c>
      <c r="N139" s="16">
        <v>8.1500000000000003E-2</v>
      </c>
      <c r="O139" s="16">
        <v>0.1714</v>
      </c>
      <c r="P139" s="16">
        <v>4.3999999999999997E-2</v>
      </c>
      <c r="Q139" s="16">
        <v>0.20880000000000001</v>
      </c>
      <c r="R139" s="16">
        <v>9.2100000000000001E-2</v>
      </c>
      <c r="S139" s="16">
        <v>0.9597</v>
      </c>
      <c r="T139" s="16">
        <v>0.20619999999999999</v>
      </c>
      <c r="U139" s="16">
        <v>0.2162</v>
      </c>
      <c r="V139" s="16">
        <v>0.78559999999999997</v>
      </c>
      <c r="W139" s="16">
        <v>0.21110000000000001</v>
      </c>
      <c r="X139" s="16">
        <v>0.28399999999999997</v>
      </c>
      <c r="Y139" s="16">
        <v>0.28870000000000001</v>
      </c>
      <c r="Z139" s="16">
        <v>0.2167</v>
      </c>
      <c r="AA139" s="16">
        <v>0.47520000000000001</v>
      </c>
      <c r="AB139" s="16">
        <v>0.34060000000000001</v>
      </c>
      <c r="AC139" s="16">
        <v>0.26440000000000002</v>
      </c>
      <c r="AD139" s="16">
        <v>0.20080000000000001</v>
      </c>
      <c r="AE139" s="16">
        <v>2.0375000000000001</v>
      </c>
      <c r="AF139" s="16">
        <v>2.4803999999999999</v>
      </c>
      <c r="AG139" s="16">
        <v>2.2993000000000001</v>
      </c>
      <c r="AH139" s="16">
        <v>0.45660000000000001</v>
      </c>
      <c r="AI139" s="16">
        <v>8.8999999999999996E-2</v>
      </c>
      <c r="AJ139" s="16">
        <v>4.3999999999999997E-2</v>
      </c>
      <c r="AK139" s="16">
        <v>0.4718</v>
      </c>
      <c r="AL139" s="16">
        <v>0.23280000000000001</v>
      </c>
      <c r="AM139" s="16">
        <v>0.26040000000000002</v>
      </c>
      <c r="AN139" s="16">
        <v>0.3468</v>
      </c>
      <c r="AO139" s="16">
        <v>9.6199999999999994E-2</v>
      </c>
      <c r="AP139" s="16">
        <v>0.46810000000000002</v>
      </c>
      <c r="AQ139" s="16">
        <v>0.53400000000000003</v>
      </c>
      <c r="AR139" s="16">
        <v>0.94510000000000005</v>
      </c>
      <c r="AS139" s="16">
        <v>0.65339999999999998</v>
      </c>
      <c r="AT139" s="16">
        <v>0.54490000000000005</v>
      </c>
      <c r="AU139" s="16">
        <v>0.7026</v>
      </c>
      <c r="AV139" s="16">
        <v>0.61370000000000002</v>
      </c>
      <c r="AW139" s="16">
        <v>0.2394</v>
      </c>
      <c r="AX139" s="16">
        <v>0.20880000000000001</v>
      </c>
    </row>
    <row r="140" spans="1:50" x14ac:dyDescent="0.25">
      <c r="A140" s="8" t="s">
        <v>206</v>
      </c>
      <c r="B140" s="10" t="s">
        <v>57</v>
      </c>
      <c r="C140" s="16">
        <v>0.1694</v>
      </c>
      <c r="D140" s="16">
        <v>7.2999999999999995E-2</v>
      </c>
      <c r="E140" s="16">
        <v>0.24329999999999999</v>
      </c>
      <c r="F140" s="16">
        <v>0.14610000000000001</v>
      </c>
      <c r="G140" s="16">
        <v>6.1600000000000002E-2</v>
      </c>
      <c r="H140" s="16">
        <v>0.32769999999999999</v>
      </c>
      <c r="I140" s="16">
        <v>5.2999999999999999E-2</v>
      </c>
      <c r="J140" s="16">
        <v>0.2346</v>
      </c>
      <c r="K140" s="16">
        <v>6.1600000000000002E-2</v>
      </c>
      <c r="L140" s="16">
        <v>9.2899999999999996E-2</v>
      </c>
      <c r="M140" s="16">
        <v>0.27050000000000002</v>
      </c>
      <c r="N140" s="16">
        <v>7.8899999999999998E-2</v>
      </c>
      <c r="O140" s="16">
        <v>0.14610000000000001</v>
      </c>
      <c r="P140" s="16">
        <v>0.24329999999999999</v>
      </c>
      <c r="Q140" s="16">
        <v>9.2899999999999996E-2</v>
      </c>
      <c r="R140" s="16">
        <v>0.26190000000000002</v>
      </c>
      <c r="S140" s="16">
        <v>8.7599999999999997E-2</v>
      </c>
      <c r="T140" s="16">
        <v>8.6199999999999999E-2</v>
      </c>
      <c r="U140" s="16">
        <v>0.1129</v>
      </c>
      <c r="V140" s="16">
        <v>5.2999999999999999E-2</v>
      </c>
      <c r="W140" s="16">
        <v>0.34789999999999999</v>
      </c>
      <c r="X140" s="16">
        <v>0.45250000000000001</v>
      </c>
      <c r="Y140" s="16">
        <v>8.5000000000000006E-2</v>
      </c>
      <c r="Z140" s="16">
        <v>0.1777</v>
      </c>
      <c r="AA140" s="16">
        <v>0.25640000000000002</v>
      </c>
      <c r="AB140" s="16">
        <v>0.1172</v>
      </c>
      <c r="AC140" s="16">
        <v>0.25159999999999999</v>
      </c>
      <c r="AD140" s="16">
        <v>0.25940000000000002</v>
      </c>
      <c r="AE140" s="16">
        <v>6.3500000000000001E-2</v>
      </c>
      <c r="AF140" s="16">
        <v>0.31640000000000001</v>
      </c>
      <c r="AG140" s="16">
        <v>7.2999999999999995E-2</v>
      </c>
      <c r="AH140" s="16">
        <v>0.1135</v>
      </c>
      <c r="AI140" s="16">
        <v>0.27579999999999999</v>
      </c>
      <c r="AJ140" s="16">
        <v>5.2999999999999999E-2</v>
      </c>
      <c r="AK140" s="16">
        <v>0.2346</v>
      </c>
      <c r="AL140" s="16">
        <v>0.1547</v>
      </c>
      <c r="AM140" s="16">
        <v>0.1308</v>
      </c>
      <c r="AN140" s="16">
        <v>0.16539999999999999</v>
      </c>
      <c r="AO140" s="16">
        <v>0.253</v>
      </c>
      <c r="AP140" s="16">
        <v>0.36730000000000002</v>
      </c>
      <c r="AQ140" s="16">
        <v>0.21079999999999999</v>
      </c>
      <c r="AR140" s="16">
        <v>0.29020000000000001</v>
      </c>
      <c r="AS140" s="16">
        <v>0.28520000000000001</v>
      </c>
      <c r="AT140" s="16">
        <v>0.2442</v>
      </c>
      <c r="AU140" s="16">
        <v>0.38490000000000002</v>
      </c>
      <c r="AV140" s="16">
        <v>0.23369999999999999</v>
      </c>
      <c r="AW140" s="16">
        <v>0.50339999999999996</v>
      </c>
      <c r="AX140" s="16">
        <v>0.56489999999999996</v>
      </c>
    </row>
    <row r="141" spans="1:50" x14ac:dyDescent="0.25">
      <c r="A141" s="17" t="s">
        <v>529</v>
      </c>
      <c r="B141" s="13" t="s">
        <v>410</v>
      </c>
      <c r="C141" s="18">
        <v>0.12330000000000001</v>
      </c>
      <c r="D141" s="18">
        <v>0.2319</v>
      </c>
      <c r="E141" s="18">
        <v>5.6099999999999997E-2</v>
      </c>
      <c r="F141" s="18">
        <v>0.11260000000000001</v>
      </c>
      <c r="G141" s="18">
        <v>4.8000000000000001E-2</v>
      </c>
      <c r="H141" s="18">
        <v>0.25879999999999997</v>
      </c>
      <c r="I141" s="18">
        <v>0.1045</v>
      </c>
      <c r="J141" s="18">
        <v>6.9400000000000003E-2</v>
      </c>
      <c r="K141" s="18">
        <v>0.2092</v>
      </c>
      <c r="L141" s="18">
        <v>0.06</v>
      </c>
      <c r="M141" s="18">
        <v>9.3899999999999997E-2</v>
      </c>
      <c r="N141" s="18">
        <v>0.26939999999999997</v>
      </c>
      <c r="O141" s="18">
        <v>4.8000000000000001E-2</v>
      </c>
      <c r="P141" s="18">
        <v>0.1741</v>
      </c>
      <c r="Q141" s="18">
        <v>0.15490000000000001</v>
      </c>
      <c r="R141" s="18">
        <v>0.1236</v>
      </c>
      <c r="S141" s="18">
        <v>0.3967</v>
      </c>
      <c r="T141" s="18">
        <v>1.4682999999999999</v>
      </c>
      <c r="U141" s="18">
        <v>1.0002</v>
      </c>
      <c r="V141" s="18">
        <v>1.1176999999999999</v>
      </c>
      <c r="W141" s="18">
        <v>0.17419999999999999</v>
      </c>
      <c r="X141" s="18">
        <v>5.3400000000000003E-2</v>
      </c>
      <c r="Y141" s="18">
        <v>0.06</v>
      </c>
      <c r="Z141" s="18">
        <v>0.498</v>
      </c>
      <c r="AA141" s="18">
        <v>4.8000000000000001E-2</v>
      </c>
      <c r="AB141" s="18">
        <v>0.17469999999999999</v>
      </c>
      <c r="AC141" s="18">
        <v>0.21929999999999999</v>
      </c>
      <c r="AD141" s="18">
        <v>7.3599999999999999E-2</v>
      </c>
      <c r="AE141" s="18">
        <v>0.24030000000000001</v>
      </c>
      <c r="AF141" s="18">
        <v>0.123</v>
      </c>
      <c r="AG141" s="18">
        <v>0.15659999999999999</v>
      </c>
      <c r="AH141" s="18">
        <v>0.40039999999999998</v>
      </c>
      <c r="AI141" s="18">
        <v>0.1103</v>
      </c>
      <c r="AJ141" s="18">
        <v>0.1678</v>
      </c>
      <c r="AK141" s="18">
        <v>7.2999999999999995E-2</v>
      </c>
      <c r="AL141" s="18">
        <v>0.30919999999999997</v>
      </c>
      <c r="AM141" s="18">
        <v>0.36780000000000002</v>
      </c>
      <c r="AN141" s="18">
        <v>0.34250000000000003</v>
      </c>
      <c r="AO141" s="18">
        <v>0.14030000000000001</v>
      </c>
      <c r="AP141" s="18">
        <v>0.36180000000000001</v>
      </c>
      <c r="AQ141" s="18">
        <v>1.7030000000000001</v>
      </c>
      <c r="AR141" s="18">
        <v>1.8987000000000001</v>
      </c>
      <c r="AS141" s="18">
        <v>0.88800000000000001</v>
      </c>
      <c r="AT141" s="18">
        <v>0.24030000000000001</v>
      </c>
      <c r="AU141" s="18">
        <v>6.4199999999999993E-2</v>
      </c>
      <c r="AV141" s="18">
        <v>0.5544</v>
      </c>
      <c r="AW141" s="18">
        <v>0.22989999999999999</v>
      </c>
      <c r="AX141" s="18">
        <v>0.29530000000000001</v>
      </c>
    </row>
    <row r="142" spans="1:50" x14ac:dyDescent="0.25">
      <c r="A142" s="8" t="s">
        <v>208</v>
      </c>
      <c r="B142" s="10" t="s">
        <v>57</v>
      </c>
      <c r="C142" s="16">
        <v>8.9800000000000005E-2</v>
      </c>
      <c r="D142" s="16">
        <v>0.19839999999999999</v>
      </c>
      <c r="E142" s="16">
        <v>0.04</v>
      </c>
      <c r="F142" s="16">
        <v>0.113</v>
      </c>
      <c r="G142" s="16">
        <v>0.16189999999999999</v>
      </c>
      <c r="H142" s="16">
        <v>0.04</v>
      </c>
      <c r="I142" s="16">
        <v>8.8700000000000001E-2</v>
      </c>
      <c r="J142" s="16">
        <v>0.1862</v>
      </c>
      <c r="K142" s="16">
        <v>7.6499999999999999E-2</v>
      </c>
      <c r="L142" s="16">
        <v>7.6499999999999999E-2</v>
      </c>
      <c r="M142" s="16">
        <v>0.16189999999999999</v>
      </c>
      <c r="N142" s="16">
        <v>0.113</v>
      </c>
      <c r="O142" s="16">
        <v>0.1231</v>
      </c>
      <c r="P142" s="16">
        <v>0.15179999999999999</v>
      </c>
      <c r="Q142" s="16">
        <v>0.27210000000000001</v>
      </c>
      <c r="R142" s="16">
        <v>0.1784</v>
      </c>
      <c r="S142" s="16">
        <v>6.0199999999999997E-2</v>
      </c>
      <c r="T142" s="16">
        <v>9.5399999999999999E-2</v>
      </c>
      <c r="U142" s="16">
        <v>0.18429999999999999</v>
      </c>
      <c r="V142" s="16">
        <v>0.04</v>
      </c>
      <c r="W142" s="16">
        <v>0.16189999999999999</v>
      </c>
      <c r="X142" s="16">
        <v>0.49009999999999998</v>
      </c>
      <c r="Y142" s="16">
        <v>1.5345</v>
      </c>
      <c r="Z142" s="16">
        <v>0.1023</v>
      </c>
      <c r="AA142" s="16">
        <v>7.6499999999999999E-2</v>
      </c>
      <c r="AB142" s="16">
        <v>0.26650000000000001</v>
      </c>
      <c r="AC142" s="16">
        <v>9.2700000000000005E-2</v>
      </c>
      <c r="AD142" s="16">
        <v>0.14949999999999999</v>
      </c>
      <c r="AE142" s="16">
        <v>1.385</v>
      </c>
      <c r="AF142" s="16">
        <v>1.1642999999999999</v>
      </c>
      <c r="AG142" s="16">
        <v>1.206</v>
      </c>
      <c r="AH142" s="16">
        <v>0.22800000000000001</v>
      </c>
      <c r="AI142" s="16">
        <v>5.1900000000000002E-2</v>
      </c>
      <c r="AJ142" s="16">
        <v>0.17469999999999999</v>
      </c>
      <c r="AK142" s="16">
        <v>1.028</v>
      </c>
      <c r="AL142" s="16">
        <v>0.86180000000000001</v>
      </c>
      <c r="AM142" s="16">
        <v>0.1532</v>
      </c>
      <c r="AN142" s="16">
        <v>0.51690000000000003</v>
      </c>
      <c r="AO142" s="16">
        <v>0.04</v>
      </c>
      <c r="AP142" s="16">
        <v>0.113</v>
      </c>
      <c r="AQ142" s="16">
        <v>0.13969999999999999</v>
      </c>
      <c r="AR142" s="16">
        <v>6.2199999999999998E-2</v>
      </c>
      <c r="AS142" s="16">
        <v>0.04</v>
      </c>
      <c r="AT142" s="16">
        <v>0.2349</v>
      </c>
      <c r="AU142" s="16">
        <v>0.04</v>
      </c>
      <c r="AV142" s="16">
        <v>0.1231</v>
      </c>
      <c r="AW142" s="16">
        <v>0.1396</v>
      </c>
      <c r="AX142" s="16">
        <v>5.2200000000000003E-2</v>
      </c>
    </row>
    <row r="143" spans="1:50" x14ac:dyDescent="0.25">
      <c r="A143" s="17" t="s">
        <v>531</v>
      </c>
      <c r="B143" s="13" t="s">
        <v>410</v>
      </c>
      <c r="C143" s="18">
        <v>7.7799999999999994E-2</v>
      </c>
      <c r="D143" s="18">
        <v>0.12280000000000001</v>
      </c>
      <c r="E143" s="18">
        <v>5.0999999999999997E-2</v>
      </c>
      <c r="F143" s="18">
        <v>0.23119999999999999</v>
      </c>
      <c r="G143" s="18">
        <v>8.8700000000000001E-2</v>
      </c>
      <c r="H143" s="18">
        <v>5.0999999999999997E-2</v>
      </c>
      <c r="I143" s="18">
        <v>0.18959999999999999</v>
      </c>
      <c r="J143" s="18">
        <v>0.13020000000000001</v>
      </c>
      <c r="K143" s="18">
        <v>8.5199999999999998E-2</v>
      </c>
      <c r="L143" s="18">
        <v>0.23469999999999999</v>
      </c>
      <c r="M143" s="18">
        <v>5.0999999999999997E-2</v>
      </c>
      <c r="N143" s="18">
        <v>0.11260000000000001</v>
      </c>
      <c r="O143" s="18">
        <v>0.20730000000000001</v>
      </c>
      <c r="P143" s="18">
        <v>0.1177</v>
      </c>
      <c r="Q143" s="18">
        <v>7.6700000000000004E-2</v>
      </c>
      <c r="R143" s="18">
        <v>0.17649999999999999</v>
      </c>
      <c r="S143" s="18">
        <v>0.14330000000000001</v>
      </c>
      <c r="T143" s="18">
        <v>0.17030000000000001</v>
      </c>
      <c r="U143" s="18">
        <v>5.7299999999999997E-2</v>
      </c>
      <c r="V143" s="18">
        <v>0.25629999999999997</v>
      </c>
      <c r="W143" s="18">
        <v>6.3600000000000004E-2</v>
      </c>
      <c r="X143" s="18">
        <v>9.7199999999999995E-2</v>
      </c>
      <c r="Y143" s="18">
        <v>0.1537</v>
      </c>
      <c r="Z143" s="18">
        <v>0.1201</v>
      </c>
      <c r="AA143" s="18">
        <v>5.0999999999999997E-2</v>
      </c>
      <c r="AB143" s="18">
        <v>0.27460000000000001</v>
      </c>
      <c r="AC143" s="18">
        <v>0.12330000000000001</v>
      </c>
      <c r="AD143" s="18">
        <v>0.25119999999999998</v>
      </c>
      <c r="AE143" s="18">
        <v>0.18340000000000001</v>
      </c>
      <c r="AF143" s="18">
        <v>0.153</v>
      </c>
      <c r="AG143" s="18">
        <v>0.11169999999999999</v>
      </c>
      <c r="AH143" s="18">
        <v>0.17499999999999999</v>
      </c>
      <c r="AI143" s="18">
        <v>5.0999999999999997E-2</v>
      </c>
      <c r="AJ143" s="18">
        <v>0.2586</v>
      </c>
      <c r="AK143" s="18">
        <v>6.13E-2</v>
      </c>
      <c r="AL143" s="18">
        <v>0.1138</v>
      </c>
      <c r="AM143" s="18">
        <v>0.1696</v>
      </c>
      <c r="AN143" s="18">
        <v>0.193</v>
      </c>
      <c r="AO143" s="18">
        <v>0.40749999999999997</v>
      </c>
      <c r="AP143" s="18">
        <v>0.30680000000000002</v>
      </c>
      <c r="AQ143" s="18">
        <v>0.28100000000000003</v>
      </c>
      <c r="AR143" s="18">
        <v>7.1499999999999994E-2</v>
      </c>
      <c r="AS143" s="18">
        <v>0.17030000000000001</v>
      </c>
      <c r="AT143" s="18">
        <v>0.3054</v>
      </c>
      <c r="AU143" s="18">
        <v>0.2044</v>
      </c>
      <c r="AV143" s="18">
        <v>0.14330000000000001</v>
      </c>
      <c r="AW143" s="18">
        <v>0.17649999999999999</v>
      </c>
      <c r="AX143" s="18">
        <v>5.0999999999999997E-2</v>
      </c>
    </row>
    <row r="144" spans="1:50" x14ac:dyDescent="0.25">
      <c r="A144" s="8" t="s">
        <v>210</v>
      </c>
      <c r="B144" s="10" t="s">
        <v>57</v>
      </c>
      <c r="C144" s="16">
        <v>5.8000000000000003E-2</v>
      </c>
      <c r="D144" s="16">
        <v>5.8000000000000003E-2</v>
      </c>
      <c r="E144" s="16">
        <v>5.8000000000000003E-2</v>
      </c>
      <c r="F144" s="16">
        <v>0.124</v>
      </c>
      <c r="G144" s="16">
        <v>5.8000000000000003E-2</v>
      </c>
      <c r="H144" s="16">
        <v>5.8000000000000003E-2</v>
      </c>
      <c r="I144" s="16">
        <v>0.124</v>
      </c>
      <c r="J144" s="16">
        <v>5.8000000000000003E-2</v>
      </c>
      <c r="K144" s="16">
        <v>5.8000000000000003E-2</v>
      </c>
      <c r="L144" s="16">
        <v>0.124</v>
      </c>
      <c r="M144" s="16">
        <v>5.8000000000000003E-2</v>
      </c>
      <c r="N144" s="16">
        <v>0.10929999999999999</v>
      </c>
      <c r="O144" s="16">
        <v>7.2700000000000001E-2</v>
      </c>
      <c r="P144" s="16">
        <v>5.8000000000000003E-2</v>
      </c>
      <c r="Q144" s="16">
        <v>5.8000000000000003E-2</v>
      </c>
      <c r="R144" s="16">
        <v>0.1057</v>
      </c>
      <c r="S144" s="16">
        <v>7.6300000000000007E-2</v>
      </c>
      <c r="T144" s="16">
        <v>0.28889999999999999</v>
      </c>
      <c r="U144" s="16">
        <v>0.20680000000000001</v>
      </c>
      <c r="V144" s="16">
        <v>0.1429</v>
      </c>
      <c r="W144" s="16">
        <v>0.25440000000000002</v>
      </c>
      <c r="X144" s="16">
        <v>0.24640000000000001</v>
      </c>
      <c r="Y144" s="16">
        <v>0.24640000000000001</v>
      </c>
      <c r="Z144" s="16">
        <v>0.24640000000000001</v>
      </c>
      <c r="AA144" s="16">
        <v>0.25040000000000001</v>
      </c>
      <c r="AB144" s="16">
        <v>0.29220000000000002</v>
      </c>
      <c r="AC144" s="16">
        <v>0.4587</v>
      </c>
      <c r="AD144" s="16">
        <v>0.47399999999999998</v>
      </c>
      <c r="AE144" s="16">
        <v>1.2443</v>
      </c>
      <c r="AF144" s="16">
        <v>6.5299999999999997E-2</v>
      </c>
      <c r="AG144" s="16">
        <v>0.1988</v>
      </c>
      <c r="AH144" s="16">
        <v>5.8000000000000003E-2</v>
      </c>
      <c r="AI144" s="16">
        <v>0.124</v>
      </c>
      <c r="AJ144" s="16">
        <v>5.8000000000000003E-2</v>
      </c>
      <c r="AK144" s="16">
        <v>5.8000000000000003E-2</v>
      </c>
      <c r="AL144" s="16">
        <v>0.124</v>
      </c>
      <c r="AM144" s="16">
        <v>5.8000000000000003E-2</v>
      </c>
      <c r="AN144" s="16">
        <v>5.8000000000000003E-2</v>
      </c>
      <c r="AO144" s="16">
        <v>5.8000000000000003E-2</v>
      </c>
      <c r="AP144" s="16">
        <v>5.8000000000000003E-2</v>
      </c>
      <c r="AQ144" s="16">
        <v>0.124</v>
      </c>
      <c r="AR144" s="16">
        <v>5.8000000000000003E-2</v>
      </c>
      <c r="AS144" s="16">
        <v>5.8000000000000003E-2</v>
      </c>
      <c r="AT144" s="16">
        <v>9.8299999999999998E-2</v>
      </c>
      <c r="AU144" s="16">
        <v>8.3699999999999997E-2</v>
      </c>
      <c r="AV144" s="16">
        <v>5.8000000000000003E-2</v>
      </c>
      <c r="AW144" s="16">
        <v>5.8000000000000003E-2</v>
      </c>
      <c r="AX144" s="16">
        <v>0.124</v>
      </c>
    </row>
    <row r="145" spans="1:50" x14ac:dyDescent="0.25">
      <c r="A145" s="17" t="s">
        <v>533</v>
      </c>
      <c r="B145" s="13" t="s">
        <v>410</v>
      </c>
      <c r="C145" s="18">
        <v>0.15310000000000001</v>
      </c>
      <c r="D145" s="18">
        <v>0.16839999999999999</v>
      </c>
      <c r="E145" s="18">
        <v>8.48E-2</v>
      </c>
      <c r="F145" s="18">
        <v>0.29530000000000001</v>
      </c>
      <c r="G145" s="18">
        <v>6.4600000000000005E-2</v>
      </c>
      <c r="H145" s="18">
        <v>0.17710000000000001</v>
      </c>
      <c r="I145" s="18">
        <v>0.2117</v>
      </c>
      <c r="J145" s="18">
        <v>0.08</v>
      </c>
      <c r="K145" s="18">
        <v>0.11849999999999999</v>
      </c>
      <c r="L145" s="18">
        <v>5.6000000000000001E-2</v>
      </c>
      <c r="M145" s="18">
        <v>0.33279999999999998</v>
      </c>
      <c r="N145" s="18">
        <v>5.6000000000000001E-2</v>
      </c>
      <c r="O145" s="18">
        <v>0.2944</v>
      </c>
      <c r="P145" s="18">
        <v>9.4500000000000001E-2</v>
      </c>
      <c r="Q145" s="18">
        <v>5.6000000000000001E-2</v>
      </c>
      <c r="R145" s="18">
        <v>0.14249999999999999</v>
      </c>
      <c r="S145" s="18">
        <v>5.6000000000000001E-2</v>
      </c>
      <c r="T145" s="18">
        <v>0.33279999999999998</v>
      </c>
      <c r="U145" s="18">
        <v>8.43E-2</v>
      </c>
      <c r="V145" s="18">
        <v>0.39319999999999999</v>
      </c>
      <c r="W145" s="18">
        <v>0.59630000000000005</v>
      </c>
      <c r="X145" s="18">
        <v>0.40029999999999999</v>
      </c>
      <c r="Y145" s="18">
        <v>0.85929999999999995</v>
      </c>
      <c r="Z145" s="18">
        <v>2.7715000000000001</v>
      </c>
      <c r="AA145" s="18">
        <v>2.6415000000000002</v>
      </c>
      <c r="AB145" s="18">
        <v>0.65410000000000001</v>
      </c>
      <c r="AC145" s="18">
        <v>6.4600000000000005E-2</v>
      </c>
      <c r="AD145" s="18">
        <v>5.6000000000000001E-2</v>
      </c>
      <c r="AE145" s="18">
        <v>0.2203</v>
      </c>
      <c r="AF145" s="18">
        <v>0.24179999999999999</v>
      </c>
      <c r="AG145" s="18">
        <v>0.1396</v>
      </c>
      <c r="AH145" s="18">
        <v>0.2492</v>
      </c>
      <c r="AI145" s="18">
        <v>0.1726</v>
      </c>
      <c r="AJ145" s="18">
        <v>0.82379999999999998</v>
      </c>
      <c r="AK145" s="18">
        <v>0.9153</v>
      </c>
      <c r="AL145" s="18">
        <v>1.1315999999999999</v>
      </c>
      <c r="AM145" s="18">
        <v>0.84550000000000003</v>
      </c>
      <c r="AN145" s="18">
        <v>0.29859999999999998</v>
      </c>
      <c r="AO145" s="18">
        <v>0.24329999999999999</v>
      </c>
      <c r="AP145" s="18">
        <v>0.45619999999999999</v>
      </c>
      <c r="AQ145" s="18">
        <v>0.40939999999999999</v>
      </c>
      <c r="AR145" s="18">
        <v>0.74139999999999995</v>
      </c>
      <c r="AS145" s="18">
        <v>0.6522</v>
      </c>
      <c r="AT145" s="18">
        <v>0.68120000000000003</v>
      </c>
      <c r="AU145" s="18">
        <v>7.5200000000000003E-2</v>
      </c>
      <c r="AV145" s="18">
        <v>0.52669999999999995</v>
      </c>
      <c r="AW145" s="18">
        <v>0.35580000000000001</v>
      </c>
      <c r="AX145" s="18">
        <v>9.9299999999999999E-2</v>
      </c>
    </row>
    <row r="146" spans="1:50" x14ac:dyDescent="0.25">
      <c r="A146" s="8" t="s">
        <v>212</v>
      </c>
      <c r="B146" s="10" t="s">
        <v>57</v>
      </c>
      <c r="C146" s="16">
        <v>0.187</v>
      </c>
      <c r="D146" s="16">
        <v>0.16619999999999999</v>
      </c>
      <c r="E146" s="16">
        <v>8.8099999999999998E-2</v>
      </c>
      <c r="F146" s="16">
        <v>0.2727</v>
      </c>
      <c r="G146" s="16">
        <v>0.05</v>
      </c>
      <c r="H146" s="16">
        <v>0.05</v>
      </c>
      <c r="I146" s="16">
        <v>0.1527</v>
      </c>
      <c r="J146" s="16">
        <v>0.1356</v>
      </c>
      <c r="K146" s="16">
        <v>9.7600000000000006E-2</v>
      </c>
      <c r="L146" s="16">
        <v>0.25929999999999997</v>
      </c>
      <c r="M146" s="16">
        <v>0.05</v>
      </c>
      <c r="N146" s="16">
        <v>0.2984</v>
      </c>
      <c r="O146" s="16">
        <v>5.8599999999999999E-2</v>
      </c>
      <c r="P146" s="16">
        <v>1.0681</v>
      </c>
      <c r="Q146" s="16">
        <v>1.4265000000000001</v>
      </c>
      <c r="R146" s="16">
        <v>0.214</v>
      </c>
      <c r="S146" s="16">
        <v>0.54059999999999997</v>
      </c>
      <c r="T146" s="16">
        <v>0.83160000000000001</v>
      </c>
      <c r="U146" s="16">
        <v>0.99660000000000004</v>
      </c>
      <c r="V146" s="16">
        <v>0.60870000000000002</v>
      </c>
      <c r="W146" s="16">
        <v>0.38429999999999997</v>
      </c>
      <c r="X146" s="16">
        <v>0.14419999999999999</v>
      </c>
      <c r="Y146" s="16">
        <v>0.54700000000000004</v>
      </c>
      <c r="Z146" s="16">
        <v>0.1613</v>
      </c>
      <c r="AA146" s="16">
        <v>0.1074</v>
      </c>
      <c r="AB146" s="16">
        <v>0.77580000000000005</v>
      </c>
      <c r="AC146" s="16">
        <v>1.0900000000000001</v>
      </c>
      <c r="AD146" s="16">
        <v>0.67310000000000003</v>
      </c>
      <c r="AE146" s="16">
        <v>1.2569999999999999</v>
      </c>
      <c r="AF146" s="16">
        <v>0.84860000000000002</v>
      </c>
      <c r="AG146" s="16">
        <v>1.0351999999999999</v>
      </c>
      <c r="AH146" s="16">
        <v>0.67510000000000003</v>
      </c>
      <c r="AI146" s="16">
        <v>0.25819999999999999</v>
      </c>
      <c r="AJ146" s="16">
        <v>0.34010000000000001</v>
      </c>
      <c r="AK146" s="16">
        <v>1.3483000000000001</v>
      </c>
      <c r="AL146" s="16">
        <v>0.58260000000000001</v>
      </c>
      <c r="AM146" s="16">
        <v>0.98699999999999999</v>
      </c>
      <c r="AN146" s="16">
        <v>0.56000000000000005</v>
      </c>
      <c r="AO146" s="16">
        <v>1.0995999999999999</v>
      </c>
      <c r="AP146" s="16">
        <v>7.9500000000000001E-2</v>
      </c>
      <c r="AQ146" s="16">
        <v>0.25080000000000002</v>
      </c>
      <c r="AR146" s="16">
        <v>8.0500000000000002E-2</v>
      </c>
      <c r="AS146" s="16">
        <v>0.2203</v>
      </c>
      <c r="AT146" s="16">
        <v>1.0015000000000001</v>
      </c>
      <c r="AU146" s="16">
        <v>0.05</v>
      </c>
      <c r="AV146" s="16">
        <v>0.23830000000000001</v>
      </c>
      <c r="AW146" s="16">
        <v>0.1186</v>
      </c>
      <c r="AX146" s="16">
        <v>7.5700000000000003E-2</v>
      </c>
    </row>
    <row r="147" spans="1:50" x14ac:dyDescent="0.25">
      <c r="A147" s="17" t="s">
        <v>535</v>
      </c>
      <c r="B147" s="13" t="s">
        <v>410</v>
      </c>
      <c r="C147" s="18">
        <v>0.18429999999999999</v>
      </c>
      <c r="D147" s="18">
        <v>6.8199999999999997E-2</v>
      </c>
      <c r="E147" s="18">
        <v>0.24379999999999999</v>
      </c>
      <c r="F147" s="18">
        <v>5.5E-2</v>
      </c>
      <c r="G147" s="18">
        <v>0.1711</v>
      </c>
      <c r="H147" s="18">
        <v>0.14099999999999999</v>
      </c>
      <c r="I147" s="18">
        <v>0.1116</v>
      </c>
      <c r="J147" s="18">
        <v>0.1542</v>
      </c>
      <c r="K147" s="18">
        <v>0.1013</v>
      </c>
      <c r="L147" s="18">
        <v>0.1145</v>
      </c>
      <c r="M147" s="18">
        <v>0.19750000000000001</v>
      </c>
      <c r="N147" s="18">
        <v>5.5E-2</v>
      </c>
      <c r="O147" s="18">
        <v>0.24379999999999999</v>
      </c>
      <c r="P147" s="18">
        <v>6.8199999999999997E-2</v>
      </c>
      <c r="Q147" s="18">
        <v>8.14E-2</v>
      </c>
      <c r="R147" s="18">
        <v>0.17399999999999999</v>
      </c>
      <c r="S147" s="18">
        <v>9.5899999999999999E-2</v>
      </c>
      <c r="T147" s="18">
        <v>7.0699999999999999E-2</v>
      </c>
      <c r="U147" s="18">
        <v>0.18720000000000001</v>
      </c>
      <c r="V147" s="18">
        <v>0.12479999999999999</v>
      </c>
      <c r="W147" s="18">
        <v>0.13089999999999999</v>
      </c>
      <c r="X147" s="18">
        <v>0.1812</v>
      </c>
      <c r="Y147" s="18">
        <v>0.25059999999999999</v>
      </c>
      <c r="Z147" s="18">
        <v>0.22459999999999999</v>
      </c>
      <c r="AA147" s="18">
        <v>6.7599999999999993E-2</v>
      </c>
      <c r="AB147" s="18">
        <v>0.20050000000000001</v>
      </c>
      <c r="AC147" s="18">
        <v>0.1116</v>
      </c>
      <c r="AD147" s="18">
        <v>5.5E-2</v>
      </c>
      <c r="AE147" s="18">
        <v>0.2339</v>
      </c>
      <c r="AF147" s="18">
        <v>0.14630000000000001</v>
      </c>
      <c r="AG147" s="18">
        <v>5.5E-2</v>
      </c>
      <c r="AH147" s="18">
        <v>0.19089999999999999</v>
      </c>
      <c r="AI147" s="18">
        <v>0.1211</v>
      </c>
      <c r="AJ147" s="18">
        <v>7.2999999999999995E-2</v>
      </c>
      <c r="AK147" s="18">
        <v>0.3785</v>
      </c>
      <c r="AL147" s="18">
        <v>0.1552</v>
      </c>
      <c r="AM147" s="18">
        <v>0.1956</v>
      </c>
      <c r="AN147" s="18">
        <v>0.36780000000000002</v>
      </c>
      <c r="AO147" s="18">
        <v>0.37040000000000001</v>
      </c>
      <c r="AP147" s="18">
        <v>0.71630000000000005</v>
      </c>
      <c r="AQ147" s="18">
        <v>0.61299999999999999</v>
      </c>
      <c r="AR147" s="18">
        <v>0.3896</v>
      </c>
      <c r="AS147" s="18">
        <v>0.4531</v>
      </c>
      <c r="AT147" s="18">
        <v>8.3299999999999999E-2</v>
      </c>
      <c r="AU147" s="18">
        <v>0.1459</v>
      </c>
      <c r="AV147" s="18">
        <v>0.24759999999999999</v>
      </c>
      <c r="AW147" s="18">
        <v>5.5E-2</v>
      </c>
      <c r="AX147" s="18">
        <v>0.1182</v>
      </c>
    </row>
    <row r="148" spans="1:50" x14ac:dyDescent="0.25">
      <c r="A148" s="8" t="s">
        <v>214</v>
      </c>
      <c r="B148" s="10" t="s">
        <v>57</v>
      </c>
      <c r="C148" s="16">
        <v>4.9000000000000002E-2</v>
      </c>
      <c r="D148" s="16">
        <v>4.9000000000000002E-2</v>
      </c>
      <c r="E148" s="16">
        <v>4.9000000000000002E-2</v>
      </c>
      <c r="F148" s="16">
        <v>4.9000000000000002E-2</v>
      </c>
      <c r="G148" s="16">
        <v>4.9000000000000002E-2</v>
      </c>
      <c r="H148" s="16">
        <v>4.9000000000000002E-2</v>
      </c>
      <c r="I148" s="16">
        <v>4.9000000000000002E-2</v>
      </c>
      <c r="J148" s="16">
        <v>4.9000000000000002E-2</v>
      </c>
      <c r="K148" s="16">
        <v>4.9000000000000002E-2</v>
      </c>
      <c r="L148" s="16">
        <v>4.9000000000000002E-2</v>
      </c>
      <c r="M148" s="16">
        <v>4.9000000000000002E-2</v>
      </c>
      <c r="N148" s="16">
        <v>4.9000000000000002E-2</v>
      </c>
      <c r="O148" s="16">
        <v>4.9000000000000002E-2</v>
      </c>
      <c r="P148" s="16">
        <v>4.9000000000000002E-2</v>
      </c>
      <c r="Q148" s="16">
        <v>4.9000000000000002E-2</v>
      </c>
      <c r="R148" s="16">
        <v>8.6800000000000002E-2</v>
      </c>
      <c r="S148" s="16">
        <v>0.193</v>
      </c>
      <c r="T148" s="16">
        <v>0.42970000000000003</v>
      </c>
      <c r="U148" s="16">
        <v>0.36870000000000003</v>
      </c>
      <c r="V148" s="16">
        <v>0.16250000000000001</v>
      </c>
      <c r="W148" s="16">
        <v>0.1246</v>
      </c>
      <c r="X148" s="16">
        <v>4.9000000000000002E-2</v>
      </c>
      <c r="Y148" s="16">
        <v>4.9000000000000002E-2</v>
      </c>
      <c r="Z148" s="16">
        <v>4.9000000000000002E-2</v>
      </c>
      <c r="AA148" s="16">
        <v>4.9000000000000002E-2</v>
      </c>
      <c r="AB148" s="16">
        <v>4.9000000000000002E-2</v>
      </c>
      <c r="AC148" s="16">
        <v>4.9000000000000002E-2</v>
      </c>
      <c r="AD148" s="16">
        <v>4.9000000000000002E-2</v>
      </c>
      <c r="AE148" s="16">
        <v>4.9000000000000002E-2</v>
      </c>
      <c r="AF148" s="16">
        <v>4.9000000000000002E-2</v>
      </c>
      <c r="AG148" s="16">
        <v>4.9000000000000002E-2</v>
      </c>
      <c r="AH148" s="16">
        <v>4.9000000000000002E-2</v>
      </c>
      <c r="AI148" s="16">
        <v>4.9000000000000002E-2</v>
      </c>
      <c r="AJ148" s="16">
        <v>0.16250000000000001</v>
      </c>
      <c r="AK148" s="16">
        <v>0.10199999999999999</v>
      </c>
      <c r="AL148" s="16">
        <v>9.8299999999999998E-2</v>
      </c>
      <c r="AM148" s="16">
        <v>0.2442</v>
      </c>
      <c r="AN148" s="16">
        <v>0.20319999999999999</v>
      </c>
      <c r="AO148" s="16">
        <v>0.31929999999999997</v>
      </c>
      <c r="AP148" s="16">
        <v>0.36709999999999998</v>
      </c>
      <c r="AQ148" s="16">
        <v>0.44069999999999998</v>
      </c>
      <c r="AR148" s="16">
        <v>0.46920000000000001</v>
      </c>
      <c r="AS148" s="16">
        <v>0.49980000000000002</v>
      </c>
      <c r="AT148" s="16">
        <v>0.47049999999999997</v>
      </c>
      <c r="AU148" s="16">
        <v>0.39090000000000003</v>
      </c>
      <c r="AV148" s="16">
        <v>0.60309999999999997</v>
      </c>
      <c r="AW148" s="16">
        <v>4.9000000000000002E-2</v>
      </c>
      <c r="AX148" s="16">
        <v>4.9000000000000002E-2</v>
      </c>
    </row>
    <row r="149" spans="1:50" x14ac:dyDescent="0.25">
      <c r="A149" s="8" t="s">
        <v>216</v>
      </c>
      <c r="B149" s="10" t="s">
        <v>57</v>
      </c>
      <c r="C149" s="16">
        <v>5.2999999999999999E-2</v>
      </c>
      <c r="D149" s="16">
        <v>5.2999999999999999E-2</v>
      </c>
      <c r="E149" s="16">
        <v>5.2999999999999999E-2</v>
      </c>
      <c r="F149" s="16">
        <v>5.2999999999999999E-2</v>
      </c>
      <c r="G149" s="16">
        <v>5.2999999999999999E-2</v>
      </c>
      <c r="H149" s="16">
        <v>5.2999999999999999E-2</v>
      </c>
      <c r="I149" s="16">
        <v>5.2999999999999999E-2</v>
      </c>
      <c r="J149" s="16">
        <v>5.2999999999999999E-2</v>
      </c>
      <c r="K149" s="16">
        <v>5.2999999999999999E-2</v>
      </c>
      <c r="L149" s="16">
        <v>5.2999999999999999E-2</v>
      </c>
      <c r="M149" s="16">
        <v>5.2999999999999999E-2</v>
      </c>
      <c r="N149" s="16">
        <v>5.2999999999999999E-2</v>
      </c>
      <c r="O149" s="16">
        <v>5.2999999999999999E-2</v>
      </c>
      <c r="P149" s="16">
        <v>5.2999999999999999E-2</v>
      </c>
      <c r="Q149" s="16">
        <v>5.2999999999999999E-2</v>
      </c>
      <c r="R149" s="16">
        <v>5.2999999999999999E-2</v>
      </c>
      <c r="S149" s="16">
        <v>0.2316</v>
      </c>
      <c r="T149" s="16">
        <v>6.3299999999999995E-2</v>
      </c>
      <c r="U149" s="16">
        <v>7.0199999999999999E-2</v>
      </c>
      <c r="V149" s="16">
        <v>0.16139999999999999</v>
      </c>
      <c r="W149" s="16">
        <v>5.2999999999999999E-2</v>
      </c>
      <c r="X149" s="16">
        <v>5.2999999999999999E-2</v>
      </c>
      <c r="Y149" s="16">
        <v>6.5199999999999994E-2</v>
      </c>
      <c r="Z149" s="16">
        <v>0.13650000000000001</v>
      </c>
      <c r="AA149" s="16">
        <v>0.2334</v>
      </c>
      <c r="AB149" s="16">
        <v>5.2999999999999999E-2</v>
      </c>
      <c r="AC149" s="16">
        <v>5.2999999999999999E-2</v>
      </c>
      <c r="AD149" s="16">
        <v>5.2999999999999999E-2</v>
      </c>
      <c r="AE149" s="16">
        <v>5.2999999999999999E-2</v>
      </c>
      <c r="AF149" s="16">
        <v>5.2999999999999999E-2</v>
      </c>
      <c r="AG149" s="16">
        <v>5.2999999999999999E-2</v>
      </c>
      <c r="AH149" s="16">
        <v>5.2999999999999999E-2</v>
      </c>
      <c r="AI149" s="16">
        <v>5.2999999999999999E-2</v>
      </c>
      <c r="AJ149" s="16">
        <v>5.2999999999999999E-2</v>
      </c>
      <c r="AK149" s="16">
        <v>0.76070000000000004</v>
      </c>
      <c r="AL149" s="16">
        <v>0.75970000000000004</v>
      </c>
      <c r="AM149" s="16">
        <v>9.9199999999999997E-2</v>
      </c>
      <c r="AN149" s="16">
        <v>0.46410000000000001</v>
      </c>
      <c r="AO149" s="16">
        <v>0.48549999999999999</v>
      </c>
      <c r="AP149" s="16">
        <v>0.27489999999999998</v>
      </c>
      <c r="AQ149" s="16">
        <v>0.4052</v>
      </c>
      <c r="AR149" s="16">
        <v>0.36320000000000002</v>
      </c>
      <c r="AS149" s="16">
        <v>2.1215999999999999</v>
      </c>
      <c r="AT149" s="16">
        <v>0.80120000000000002</v>
      </c>
      <c r="AU149" s="16">
        <v>0.49180000000000001</v>
      </c>
      <c r="AV149" s="16">
        <v>0.1782</v>
      </c>
      <c r="AW149" s="16">
        <v>5.2999999999999999E-2</v>
      </c>
      <c r="AX149" s="16">
        <v>5.2999999999999999E-2</v>
      </c>
    </row>
    <row r="150" spans="1:50" x14ac:dyDescent="0.25">
      <c r="A150" s="8" t="s">
        <v>218</v>
      </c>
      <c r="B150" s="10" t="s">
        <v>57</v>
      </c>
      <c r="C150" s="16">
        <v>0.35909999999999997</v>
      </c>
      <c r="D150" s="16">
        <v>0.94820000000000004</v>
      </c>
      <c r="E150" s="16">
        <v>4.3999999999999997E-2</v>
      </c>
      <c r="F150" s="16">
        <v>0.1133</v>
      </c>
      <c r="G150" s="16">
        <v>5.2699999999999997E-2</v>
      </c>
      <c r="H150" s="16">
        <v>4.3999999999999997E-2</v>
      </c>
      <c r="I150" s="16">
        <v>6.5600000000000006E-2</v>
      </c>
      <c r="J150" s="16">
        <v>0.1003</v>
      </c>
      <c r="K150" s="16">
        <v>4.3999999999999997E-2</v>
      </c>
      <c r="L150" s="16">
        <v>6.5600000000000006E-2</v>
      </c>
      <c r="M150" s="16">
        <v>0.1003</v>
      </c>
      <c r="N150" s="16">
        <v>7.8600000000000003E-2</v>
      </c>
      <c r="O150" s="16">
        <v>8.7300000000000003E-2</v>
      </c>
      <c r="P150" s="16">
        <v>8.3000000000000004E-2</v>
      </c>
      <c r="Q150" s="16">
        <v>8.3000000000000004E-2</v>
      </c>
      <c r="R150" s="16">
        <v>4.3999999999999997E-2</v>
      </c>
      <c r="S150" s="16">
        <v>0.12189999999999999</v>
      </c>
      <c r="T150" s="16">
        <v>9.9699999999999997E-2</v>
      </c>
      <c r="U150" s="16">
        <v>0.30709999999999998</v>
      </c>
      <c r="V150" s="16">
        <v>0.92459999999999998</v>
      </c>
      <c r="W150" s="16">
        <v>6.3200000000000006E-2</v>
      </c>
      <c r="X150" s="16">
        <v>0.15079999999999999</v>
      </c>
      <c r="Y150" s="16">
        <v>0.1386</v>
      </c>
      <c r="Z150" s="16">
        <v>0.39639999999999997</v>
      </c>
      <c r="AA150" s="16">
        <v>1.0214000000000001</v>
      </c>
      <c r="AB150" s="16">
        <v>4.8599999999999997E-2</v>
      </c>
      <c r="AC150" s="16">
        <v>4.9599999999999998E-2</v>
      </c>
      <c r="AD150" s="16">
        <v>0.1915</v>
      </c>
      <c r="AE150" s="16">
        <v>0.1774</v>
      </c>
      <c r="AF150" s="16">
        <v>0.2525</v>
      </c>
      <c r="AG150" s="16">
        <v>0.28710000000000002</v>
      </c>
      <c r="AH150" s="16">
        <v>0.45739999999999997</v>
      </c>
      <c r="AI150" s="16">
        <v>1.9350000000000001</v>
      </c>
      <c r="AJ150" s="16">
        <v>0.2351</v>
      </c>
      <c r="AK150" s="16">
        <v>0.22989999999999999</v>
      </c>
      <c r="AL150" s="16">
        <v>1.3185</v>
      </c>
      <c r="AM150" s="16">
        <v>1.1608000000000001</v>
      </c>
      <c r="AN150" s="16">
        <v>0.47960000000000003</v>
      </c>
      <c r="AO150" s="16">
        <v>0.2843</v>
      </c>
      <c r="AP150" s="16">
        <v>0.57269999999999999</v>
      </c>
      <c r="AQ150" s="16">
        <v>0.5323</v>
      </c>
      <c r="AR150" s="16">
        <v>0.58069999999999999</v>
      </c>
      <c r="AS150" s="16">
        <v>0.62329999999999997</v>
      </c>
      <c r="AT150" s="16">
        <v>0.3609</v>
      </c>
      <c r="AU150" s="16">
        <v>4.3999999999999997E-2</v>
      </c>
      <c r="AV150" s="16">
        <v>0.12189999999999999</v>
      </c>
      <c r="AW150" s="16">
        <v>4.3999999999999997E-2</v>
      </c>
      <c r="AX150" s="16">
        <v>4.3999999999999997E-2</v>
      </c>
    </row>
    <row r="151" spans="1:50" x14ac:dyDescent="0.25">
      <c r="A151" s="8" t="s">
        <v>220</v>
      </c>
      <c r="B151" s="10" t="s">
        <v>57</v>
      </c>
      <c r="C151" s="16">
        <v>0.71899999999999997</v>
      </c>
      <c r="D151" s="16">
        <v>9.3600000000000003E-2</v>
      </c>
      <c r="E151" s="16">
        <v>6.0299999999999999E-2</v>
      </c>
      <c r="F151" s="16">
        <v>0.27860000000000001</v>
      </c>
      <c r="G151" s="16">
        <v>5.2999999999999999E-2</v>
      </c>
      <c r="H151" s="16">
        <v>0.18379999999999999</v>
      </c>
      <c r="I151" s="16">
        <v>8.2100000000000006E-2</v>
      </c>
      <c r="J151" s="16">
        <v>0.126</v>
      </c>
      <c r="K151" s="16">
        <v>0.1547</v>
      </c>
      <c r="L151" s="16">
        <v>0.1111</v>
      </c>
      <c r="M151" s="16">
        <v>0.126</v>
      </c>
      <c r="N151" s="16">
        <v>0.21279999999999999</v>
      </c>
      <c r="O151" s="16">
        <v>5.2999999999999999E-2</v>
      </c>
      <c r="P151" s="16">
        <v>0.1613</v>
      </c>
      <c r="Q151" s="16">
        <v>0.17749999999999999</v>
      </c>
      <c r="R151" s="16">
        <v>5.2999999999999999E-2</v>
      </c>
      <c r="S151" s="16">
        <v>0.2858</v>
      </c>
      <c r="T151" s="16">
        <v>5.2999999999999999E-2</v>
      </c>
      <c r="U151" s="16">
        <v>0.2722</v>
      </c>
      <c r="V151" s="16">
        <v>1.2856000000000001</v>
      </c>
      <c r="W151" s="16">
        <v>3.5097</v>
      </c>
      <c r="X151" s="16">
        <v>2.2408999999999999</v>
      </c>
      <c r="Y151" s="16">
        <v>0.51719999999999999</v>
      </c>
      <c r="Z151" s="16">
        <v>2.7507999999999999</v>
      </c>
      <c r="AA151" s="16">
        <v>2.9893999999999998</v>
      </c>
      <c r="AB151" s="16">
        <v>2.0162</v>
      </c>
      <c r="AC151" s="16">
        <v>0.25559999999999999</v>
      </c>
      <c r="AD151" s="16">
        <v>0.40329999999999999</v>
      </c>
      <c r="AE151" s="16">
        <v>0.10979999999999999</v>
      </c>
      <c r="AF151" s="16">
        <v>0.19350000000000001</v>
      </c>
      <c r="AG151" s="16">
        <v>0.28710000000000002</v>
      </c>
      <c r="AH151" s="16">
        <v>5.2999999999999999E-2</v>
      </c>
      <c r="AI151" s="16">
        <v>0.1057</v>
      </c>
      <c r="AJ151" s="16">
        <v>0.2331</v>
      </c>
      <c r="AK151" s="16">
        <v>0.126</v>
      </c>
      <c r="AL151" s="16">
        <v>0.12559999999999999</v>
      </c>
      <c r="AM151" s="16">
        <v>0.14019999999999999</v>
      </c>
      <c r="AN151" s="16">
        <v>0.126</v>
      </c>
      <c r="AO151" s="16">
        <v>5.2999999999999999E-2</v>
      </c>
      <c r="AP151" s="16">
        <v>0.2858</v>
      </c>
      <c r="AQ151" s="16">
        <v>5.2999999999999999E-2</v>
      </c>
      <c r="AR151" s="16">
        <v>0.1474</v>
      </c>
      <c r="AS151" s="16">
        <v>0.11840000000000001</v>
      </c>
      <c r="AT151" s="16">
        <v>0.126</v>
      </c>
      <c r="AU151" s="16">
        <v>0.21279999999999999</v>
      </c>
      <c r="AV151" s="16">
        <v>5.2999999999999999E-2</v>
      </c>
      <c r="AW151" s="16">
        <v>8.9499999999999996E-2</v>
      </c>
      <c r="AX151" s="16">
        <v>0.24929999999999999</v>
      </c>
    </row>
    <row r="152" spans="1:50" x14ac:dyDescent="0.25">
      <c r="A152" s="8" t="s">
        <v>222</v>
      </c>
      <c r="B152" s="10" t="s">
        <v>57</v>
      </c>
      <c r="C152" s="16">
        <v>0.13780000000000001</v>
      </c>
      <c r="D152" s="16">
        <v>0.20480000000000001</v>
      </c>
      <c r="E152" s="16">
        <v>9.4700000000000006E-2</v>
      </c>
      <c r="F152" s="16">
        <v>0.1595</v>
      </c>
      <c r="G152" s="16">
        <v>0.18759999999999999</v>
      </c>
      <c r="H152" s="16">
        <v>8.1299999999999997E-2</v>
      </c>
      <c r="I152" s="16">
        <v>0.21210000000000001</v>
      </c>
      <c r="J152" s="16">
        <v>9.0200000000000002E-2</v>
      </c>
      <c r="K152" s="16">
        <v>9.0200000000000002E-2</v>
      </c>
      <c r="L152" s="16">
        <v>0.24790000000000001</v>
      </c>
      <c r="M152" s="16">
        <v>9.4700000000000006E-2</v>
      </c>
      <c r="N152" s="16">
        <v>0.1961</v>
      </c>
      <c r="O152" s="16">
        <v>0.14649999999999999</v>
      </c>
      <c r="P152" s="16">
        <v>9.4200000000000006E-2</v>
      </c>
      <c r="Q152" s="16">
        <v>0.24840000000000001</v>
      </c>
      <c r="R152" s="16">
        <v>0.2445</v>
      </c>
      <c r="S152" s="16">
        <v>0.2772</v>
      </c>
      <c r="T152" s="16">
        <v>0.14630000000000001</v>
      </c>
      <c r="U152" s="16">
        <v>0.27550000000000002</v>
      </c>
      <c r="V152" s="16">
        <v>0.3422</v>
      </c>
      <c r="W152" s="16">
        <v>0.41760000000000003</v>
      </c>
      <c r="X152" s="16">
        <v>0.51500000000000001</v>
      </c>
      <c r="Y152" s="16">
        <v>1.1808000000000001</v>
      </c>
      <c r="Z152" s="16">
        <v>0.59489999999999998</v>
      </c>
      <c r="AA152" s="16">
        <v>0.69710000000000005</v>
      </c>
      <c r="AB152" s="16">
        <v>0.28289999999999998</v>
      </c>
      <c r="AC152" s="16">
        <v>0.1452</v>
      </c>
      <c r="AD152" s="16">
        <v>0.21529999999999999</v>
      </c>
      <c r="AE152" s="16">
        <v>0.11260000000000001</v>
      </c>
      <c r="AF152" s="16">
        <v>0.21210000000000001</v>
      </c>
      <c r="AG152" s="16">
        <v>0.05</v>
      </c>
      <c r="AH152" s="16">
        <v>0.18210000000000001</v>
      </c>
      <c r="AI152" s="16">
        <v>0.17399999999999999</v>
      </c>
      <c r="AJ152" s="16">
        <v>0.16700000000000001</v>
      </c>
      <c r="AK152" s="16">
        <v>0.3619</v>
      </c>
      <c r="AL152" s="16">
        <v>0.17249999999999999</v>
      </c>
      <c r="AM152" s="16">
        <v>0.13420000000000001</v>
      </c>
      <c r="AN152" s="16">
        <v>0.14580000000000001</v>
      </c>
      <c r="AO152" s="16">
        <v>0.1283</v>
      </c>
      <c r="AP152" s="16">
        <v>0.26860000000000001</v>
      </c>
      <c r="AQ152" s="16">
        <v>0.3135</v>
      </c>
      <c r="AR152" s="16">
        <v>0.48060000000000003</v>
      </c>
      <c r="AS152" s="16">
        <v>0.69130000000000003</v>
      </c>
      <c r="AT152" s="16">
        <v>0.37740000000000001</v>
      </c>
      <c r="AU152" s="16">
        <v>0.51380000000000003</v>
      </c>
      <c r="AV152" s="16">
        <v>0.48180000000000001</v>
      </c>
      <c r="AW152" s="16">
        <v>0.5363</v>
      </c>
      <c r="AX152" s="16">
        <v>0.2223</v>
      </c>
    </row>
    <row r="153" spans="1:50" x14ac:dyDescent="0.25">
      <c r="A153" s="8" t="s">
        <v>224</v>
      </c>
      <c r="B153" s="10" t="s">
        <v>57</v>
      </c>
      <c r="C153" s="16">
        <v>0.21879999999999999</v>
      </c>
      <c r="D153" s="16">
        <v>0.1888</v>
      </c>
      <c r="E153" s="16">
        <v>0.1012</v>
      </c>
      <c r="F153" s="16">
        <v>0.17399999999999999</v>
      </c>
      <c r="G153" s="16">
        <v>0.16</v>
      </c>
      <c r="H153" s="16">
        <v>0.1578</v>
      </c>
      <c r="I153" s="16">
        <v>0.112</v>
      </c>
      <c r="J153" s="16">
        <v>0.1338</v>
      </c>
      <c r="K153" s="16">
        <v>0.1467</v>
      </c>
      <c r="L153" s="16">
        <v>0.1547</v>
      </c>
      <c r="M153" s="16">
        <v>0.17929999999999999</v>
      </c>
      <c r="N153" s="16">
        <v>5.2999999999999999E-2</v>
      </c>
      <c r="O153" s="16">
        <v>0.23139999999999999</v>
      </c>
      <c r="P153" s="16">
        <v>0.1026</v>
      </c>
      <c r="Q153" s="16">
        <v>0.1012</v>
      </c>
      <c r="R153" s="16">
        <v>0.1226</v>
      </c>
      <c r="S153" s="16">
        <v>5.2999999999999999E-2</v>
      </c>
      <c r="T153" s="16">
        <v>5.2999999999999999E-2</v>
      </c>
      <c r="U153" s="16">
        <v>0.21479999999999999</v>
      </c>
      <c r="V153" s="16">
        <v>0.37280000000000002</v>
      </c>
      <c r="W153" s="16">
        <v>8.6099999999999996E-2</v>
      </c>
      <c r="X153" s="16">
        <v>0.1409</v>
      </c>
      <c r="Y153" s="16">
        <v>0.1671</v>
      </c>
      <c r="Z153" s="16">
        <v>0.78549999999999998</v>
      </c>
      <c r="AA153" s="16">
        <v>2.1227</v>
      </c>
      <c r="AB153" s="16">
        <v>0.85599999999999998</v>
      </c>
      <c r="AC153" s="16">
        <v>0.16420000000000001</v>
      </c>
      <c r="AD153" s="16">
        <v>0.68840000000000001</v>
      </c>
      <c r="AE153" s="16">
        <v>0.49980000000000002</v>
      </c>
      <c r="AF153" s="16">
        <v>0.31259999999999999</v>
      </c>
      <c r="AG153" s="16">
        <v>2.2570999999999999</v>
      </c>
      <c r="AH153" s="16">
        <v>0.187</v>
      </c>
      <c r="AI153" s="16">
        <v>0.1361</v>
      </c>
      <c r="AJ153" s="16">
        <v>0.1956</v>
      </c>
      <c r="AK153" s="16">
        <v>0.23519999999999999</v>
      </c>
      <c r="AL153" s="16">
        <v>0.1714</v>
      </c>
      <c r="AM153" s="16">
        <v>0.54049999999999998</v>
      </c>
      <c r="AN153" s="16">
        <v>0.29899999999999999</v>
      </c>
      <c r="AO153" s="16">
        <v>0.1047</v>
      </c>
      <c r="AP153" s="16">
        <v>0.34939999999999999</v>
      </c>
      <c r="AQ153" s="16">
        <v>0.84370000000000001</v>
      </c>
      <c r="AR153" s="16">
        <v>1.4294</v>
      </c>
      <c r="AS153" s="16">
        <v>0.45269999999999999</v>
      </c>
      <c r="AT153" s="16">
        <v>0.71799999999999997</v>
      </c>
      <c r="AU153" s="16">
        <v>0.48580000000000001</v>
      </c>
      <c r="AV153" s="16">
        <v>0.69279999999999997</v>
      </c>
      <c r="AW153" s="16">
        <v>0.98909999999999998</v>
      </c>
      <c r="AX153" s="16">
        <v>0.26229999999999998</v>
      </c>
    </row>
    <row r="154" spans="1:50" x14ac:dyDescent="0.25">
      <c r="A154" s="8" t="s">
        <v>226</v>
      </c>
      <c r="B154" s="10" t="s">
        <v>57</v>
      </c>
      <c r="C154" s="16">
        <v>0.219</v>
      </c>
      <c r="D154" s="16">
        <v>5.5E-2</v>
      </c>
      <c r="E154" s="16">
        <v>5.5E-2</v>
      </c>
      <c r="F154" s="16">
        <v>0.219</v>
      </c>
      <c r="G154" s="16">
        <v>5.5E-2</v>
      </c>
      <c r="H154" s="16">
        <v>0.21149999999999999</v>
      </c>
      <c r="I154" s="16">
        <v>6.25E-2</v>
      </c>
      <c r="J154" s="16">
        <v>0.1857</v>
      </c>
      <c r="K154" s="16">
        <v>0.15190000000000001</v>
      </c>
      <c r="L154" s="16">
        <v>5.5E-2</v>
      </c>
      <c r="M154" s="16">
        <v>5.5E-2</v>
      </c>
      <c r="N154" s="16">
        <v>0.1966</v>
      </c>
      <c r="O154" s="16">
        <v>7.7399999999999997E-2</v>
      </c>
      <c r="P154" s="16">
        <v>0.15190000000000001</v>
      </c>
      <c r="Q154" s="16">
        <v>0.1221</v>
      </c>
      <c r="R154" s="16">
        <v>0.1789</v>
      </c>
      <c r="S154" s="16">
        <v>0.13700000000000001</v>
      </c>
      <c r="T154" s="16">
        <v>0.21959999999999999</v>
      </c>
      <c r="U154" s="16">
        <v>0.18629999999999999</v>
      </c>
      <c r="V154" s="16">
        <v>0.34599999999999997</v>
      </c>
      <c r="W154" s="16">
        <v>0.19209999999999999</v>
      </c>
      <c r="X154" s="16">
        <v>0.14019999999999999</v>
      </c>
      <c r="Y154" s="16">
        <v>0.27579999999999999</v>
      </c>
      <c r="Z154" s="16">
        <v>0.1221</v>
      </c>
      <c r="AA154" s="16">
        <v>0.1789</v>
      </c>
      <c r="AB154" s="16">
        <v>0.93369999999999997</v>
      </c>
      <c r="AC154" s="16">
        <v>0.76219999999999999</v>
      </c>
      <c r="AD154" s="16">
        <v>9.2299999999999993E-2</v>
      </c>
      <c r="AE154" s="16">
        <v>0.1817</v>
      </c>
      <c r="AF154" s="16">
        <v>5.5E-2</v>
      </c>
      <c r="AG154" s="16">
        <v>9.9199999999999997E-2</v>
      </c>
      <c r="AH154" s="16">
        <v>0.53180000000000005</v>
      </c>
      <c r="AI154" s="16">
        <v>0.41489999999999999</v>
      </c>
      <c r="AJ154" s="16">
        <v>2.0476000000000001</v>
      </c>
      <c r="AK154" s="16">
        <v>2.9622999999999999</v>
      </c>
      <c r="AL154" s="16">
        <v>0.44719999999999999</v>
      </c>
      <c r="AM154" s="16">
        <v>1.6713</v>
      </c>
      <c r="AN154" s="16">
        <v>0.20610000000000001</v>
      </c>
      <c r="AO154" s="16">
        <v>1.5610999999999999</v>
      </c>
      <c r="AP154" s="16">
        <v>1.3089999999999999</v>
      </c>
      <c r="AQ154" s="16">
        <v>0.48949999999999999</v>
      </c>
      <c r="AR154" s="16">
        <v>0.83950000000000002</v>
      </c>
      <c r="AS154" s="16">
        <v>0.84389999999999998</v>
      </c>
      <c r="AT154" s="16">
        <v>0.8357</v>
      </c>
      <c r="AU154" s="16">
        <v>0.55230000000000001</v>
      </c>
      <c r="AV154" s="16">
        <v>0.4551</v>
      </c>
      <c r="AW154" s="16">
        <v>0.45369999999999999</v>
      </c>
      <c r="AX154" s="16">
        <v>0.68769999999999998</v>
      </c>
    </row>
    <row r="155" spans="1:50" x14ac:dyDescent="0.25">
      <c r="A155" s="8" t="s">
        <v>228</v>
      </c>
      <c r="B155" s="10" t="s">
        <v>57</v>
      </c>
      <c r="C155" s="16">
        <v>0.11</v>
      </c>
      <c r="D155" s="16">
        <v>0.1457</v>
      </c>
      <c r="E155" s="16">
        <v>0.11</v>
      </c>
      <c r="F155" s="16">
        <v>3.3000000000000002E-2</v>
      </c>
      <c r="G155" s="16">
        <v>0.18149999999999999</v>
      </c>
      <c r="H155" s="16">
        <v>7.4300000000000005E-2</v>
      </c>
      <c r="I155" s="16">
        <v>3.3000000000000002E-2</v>
      </c>
      <c r="J155" s="16">
        <v>0.1457</v>
      </c>
      <c r="K155" s="16">
        <v>3.3000000000000002E-2</v>
      </c>
      <c r="L155" s="16">
        <v>0.1457</v>
      </c>
      <c r="M155" s="16">
        <v>3.3000000000000002E-2</v>
      </c>
      <c r="N155" s="16">
        <v>9.2899999999999996E-2</v>
      </c>
      <c r="O155" s="16">
        <v>0.16289999999999999</v>
      </c>
      <c r="P155" s="16">
        <v>0.11</v>
      </c>
      <c r="Q155" s="16">
        <v>3.3000000000000002E-2</v>
      </c>
      <c r="R155" s="16">
        <v>0.1573</v>
      </c>
      <c r="S155" s="16">
        <v>9.8400000000000001E-2</v>
      </c>
      <c r="T155" s="16">
        <v>3.3000000000000002E-2</v>
      </c>
      <c r="U155" s="16">
        <v>5.0900000000000001E-2</v>
      </c>
      <c r="V155" s="16">
        <v>0.58940000000000003</v>
      </c>
      <c r="W155" s="16">
        <v>0.1192</v>
      </c>
      <c r="X155" s="16">
        <v>9.6199999999999994E-2</v>
      </c>
      <c r="Y155" s="16">
        <v>0.19120000000000001</v>
      </c>
      <c r="Z155" s="16">
        <v>0.12520000000000001</v>
      </c>
      <c r="AA155" s="16">
        <v>3.3000000000000002E-2</v>
      </c>
      <c r="AB155" s="16">
        <v>0.2228</v>
      </c>
      <c r="AC155" s="16">
        <v>3.3000000000000002E-2</v>
      </c>
      <c r="AD155" s="16">
        <v>0.1928</v>
      </c>
      <c r="AE155" s="16">
        <v>8.1500000000000003E-2</v>
      </c>
      <c r="AF155" s="16">
        <v>0.312</v>
      </c>
      <c r="AG155" s="16">
        <v>0.30609999999999998</v>
      </c>
      <c r="AH155" s="16">
        <v>0.2888</v>
      </c>
      <c r="AI155" s="16">
        <v>0.21410000000000001</v>
      </c>
      <c r="AJ155" s="16">
        <v>0.27150000000000002</v>
      </c>
      <c r="AK155" s="16">
        <v>0.26690000000000003</v>
      </c>
      <c r="AL155" s="16">
        <v>0.28910000000000002</v>
      </c>
      <c r="AM155" s="16">
        <v>0.23080000000000001</v>
      </c>
      <c r="AN155" s="16">
        <v>0.2263</v>
      </c>
      <c r="AO155" s="16">
        <v>0.2908</v>
      </c>
      <c r="AP155" s="16">
        <v>0.4163</v>
      </c>
      <c r="AQ155" s="16">
        <v>0.52610000000000001</v>
      </c>
      <c r="AR155" s="16">
        <v>0.52900000000000003</v>
      </c>
      <c r="AS155" s="16">
        <v>0.29930000000000001</v>
      </c>
      <c r="AT155" s="16">
        <v>0.21179999999999999</v>
      </c>
      <c r="AU155" s="16">
        <v>0.2228</v>
      </c>
      <c r="AV155" s="16">
        <v>3.3000000000000002E-2</v>
      </c>
      <c r="AW155" s="16">
        <v>3.3000000000000002E-2</v>
      </c>
      <c r="AX155" s="16">
        <v>0.1457</v>
      </c>
    </row>
    <row r="156" spans="1:50" x14ac:dyDescent="0.25">
      <c r="A156" s="8" t="s">
        <v>230</v>
      </c>
      <c r="B156" s="10" t="s">
        <v>57</v>
      </c>
      <c r="C156" s="16">
        <v>0.28489999999999999</v>
      </c>
      <c r="D156" s="16">
        <v>0.23680000000000001</v>
      </c>
      <c r="E156" s="16">
        <v>0.1978</v>
      </c>
      <c r="F156" s="16">
        <v>0.23019999999999999</v>
      </c>
      <c r="G156" s="16">
        <v>0.1487</v>
      </c>
      <c r="H156" s="16">
        <v>0.15490000000000001</v>
      </c>
      <c r="I156" s="16">
        <v>0.1925</v>
      </c>
      <c r="J156" s="16">
        <v>0.23569999999999999</v>
      </c>
      <c r="K156" s="16">
        <v>0.21160000000000001</v>
      </c>
      <c r="L156" s="16">
        <v>0.12939999999999999</v>
      </c>
      <c r="M156" s="16">
        <v>0.1263</v>
      </c>
      <c r="N156" s="16">
        <v>0.15790000000000001</v>
      </c>
      <c r="O156" s="16">
        <v>0.17899999999999999</v>
      </c>
      <c r="P156" s="16">
        <v>0.34260000000000002</v>
      </c>
      <c r="Q156" s="16">
        <v>6.1800000000000001E-2</v>
      </c>
      <c r="R156" s="16">
        <v>0.1429</v>
      </c>
      <c r="S156" s="16">
        <v>0.24929999999999999</v>
      </c>
      <c r="T156" s="16">
        <v>8.2000000000000003E-2</v>
      </c>
      <c r="U156" s="16">
        <v>0.58020000000000005</v>
      </c>
      <c r="V156" s="16">
        <v>9.2799999999999994E-2</v>
      </c>
      <c r="W156" s="16">
        <v>0.12939999999999999</v>
      </c>
      <c r="X156" s="16">
        <v>0.3851</v>
      </c>
      <c r="Y156" s="16">
        <v>6.2100000000000002E-2</v>
      </c>
      <c r="Z156" s="16">
        <v>0.1782</v>
      </c>
      <c r="AA156" s="16">
        <v>0.34339999999999998</v>
      </c>
      <c r="AB156" s="16">
        <v>5.5E-2</v>
      </c>
      <c r="AC156" s="16">
        <v>0.39850000000000002</v>
      </c>
      <c r="AD156" s="16">
        <v>0.1231</v>
      </c>
      <c r="AE156" s="16">
        <v>0.2301</v>
      </c>
      <c r="AF156" s="16">
        <v>0.53049999999999997</v>
      </c>
      <c r="AG156" s="16">
        <v>0.1643</v>
      </c>
      <c r="AH156" s="16">
        <v>1.2329000000000001</v>
      </c>
      <c r="AI156" s="16">
        <v>0.37890000000000001</v>
      </c>
      <c r="AJ156" s="16">
        <v>0.36370000000000002</v>
      </c>
      <c r="AK156" s="16">
        <v>0.54120000000000001</v>
      </c>
      <c r="AL156" s="16">
        <v>0.46560000000000001</v>
      </c>
      <c r="AM156" s="16">
        <v>0.64710000000000001</v>
      </c>
      <c r="AN156" s="16">
        <v>0.25409999999999999</v>
      </c>
      <c r="AO156" s="16">
        <v>0.36030000000000001</v>
      </c>
      <c r="AP156" s="16">
        <v>0.78559999999999997</v>
      </c>
      <c r="AQ156" s="16">
        <v>1.6686000000000001</v>
      </c>
      <c r="AR156" s="16">
        <v>0.61699999999999999</v>
      </c>
      <c r="AS156" s="16">
        <v>0.80079999999999996</v>
      </c>
      <c r="AT156" s="16">
        <v>0.73640000000000005</v>
      </c>
      <c r="AU156" s="16">
        <v>0.74329999999999996</v>
      </c>
      <c r="AV156" s="16">
        <v>0.79310000000000003</v>
      </c>
      <c r="AW156" s="16">
        <v>0.93159999999999998</v>
      </c>
      <c r="AX156" s="16">
        <v>0.66739999999999999</v>
      </c>
    </row>
    <row r="157" spans="1:50" x14ac:dyDescent="0.25">
      <c r="A157" s="8" t="s">
        <v>232</v>
      </c>
      <c r="B157" s="10" t="s">
        <v>57</v>
      </c>
      <c r="C157" s="16">
        <v>1.7918000000000001</v>
      </c>
      <c r="D157" s="16">
        <v>0.36969999999999997</v>
      </c>
      <c r="E157" s="16">
        <v>0.1176</v>
      </c>
      <c r="F157" s="16">
        <v>0.11</v>
      </c>
      <c r="G157" s="16">
        <v>0.1706</v>
      </c>
      <c r="H157" s="16">
        <v>5.7000000000000002E-2</v>
      </c>
      <c r="I157" s="16">
        <v>0.22359999999999999</v>
      </c>
      <c r="J157" s="16">
        <v>5.7000000000000002E-2</v>
      </c>
      <c r="K157" s="16">
        <v>5.7000000000000002E-2</v>
      </c>
      <c r="L157" s="16">
        <v>0.1024</v>
      </c>
      <c r="M157" s="16">
        <v>0.1782</v>
      </c>
      <c r="N157" s="16">
        <v>5.7000000000000002E-2</v>
      </c>
      <c r="O157" s="16">
        <v>0.22359999999999999</v>
      </c>
      <c r="P157" s="16">
        <v>5.7000000000000002E-2</v>
      </c>
      <c r="Q157" s="16">
        <v>5.7000000000000002E-2</v>
      </c>
      <c r="R157" s="16">
        <v>0.1479</v>
      </c>
      <c r="S157" s="16">
        <v>0.13270000000000001</v>
      </c>
      <c r="T157" s="16">
        <v>5.7000000000000002E-2</v>
      </c>
      <c r="U157" s="16">
        <v>0.22359999999999999</v>
      </c>
      <c r="V157" s="16">
        <v>5.7000000000000002E-2</v>
      </c>
      <c r="W157" s="16">
        <v>5.7000000000000002E-2</v>
      </c>
      <c r="X157" s="16">
        <v>0.16300000000000001</v>
      </c>
      <c r="Y157" s="16">
        <v>0.1176</v>
      </c>
      <c r="Z157" s="16">
        <v>5.7000000000000002E-2</v>
      </c>
      <c r="AA157" s="16">
        <v>5.7000000000000002E-2</v>
      </c>
      <c r="AB157" s="16">
        <v>0.22359999999999999</v>
      </c>
      <c r="AC157" s="16">
        <v>5.7000000000000002E-2</v>
      </c>
      <c r="AD157" s="16">
        <v>5.7000000000000002E-2</v>
      </c>
      <c r="AE157" s="16">
        <v>0.22359999999999999</v>
      </c>
      <c r="AF157" s="16">
        <v>5.7000000000000002E-2</v>
      </c>
      <c r="AG157" s="16">
        <v>0.13270000000000001</v>
      </c>
      <c r="AH157" s="16">
        <v>0.33760000000000001</v>
      </c>
      <c r="AI157" s="16">
        <v>0.2392</v>
      </c>
      <c r="AJ157" s="16">
        <v>0.52590000000000003</v>
      </c>
      <c r="AK157" s="16">
        <v>0.3155</v>
      </c>
      <c r="AL157" s="16">
        <v>0.3468</v>
      </c>
      <c r="AM157" s="16">
        <v>0.5131</v>
      </c>
      <c r="AN157" s="16">
        <v>0.41399999999999998</v>
      </c>
      <c r="AO157" s="16">
        <v>0.26500000000000001</v>
      </c>
      <c r="AP157" s="16">
        <v>0.45450000000000002</v>
      </c>
      <c r="AQ157" s="16">
        <v>0.79359999999999997</v>
      </c>
      <c r="AR157" s="16">
        <v>0.34320000000000001</v>
      </c>
      <c r="AS157" s="16">
        <v>0.34150000000000003</v>
      </c>
      <c r="AT157" s="16">
        <v>0.60680000000000001</v>
      </c>
      <c r="AU157" s="16">
        <v>0.36919999999999997</v>
      </c>
      <c r="AV157" s="16">
        <v>5.7000000000000002E-2</v>
      </c>
      <c r="AW157" s="16">
        <v>0.22359999999999999</v>
      </c>
      <c r="AX157" s="16">
        <v>5.7000000000000002E-2</v>
      </c>
    </row>
    <row r="158" spans="1:50" x14ac:dyDescent="0.25">
      <c r="A158" s="17" t="s">
        <v>537</v>
      </c>
      <c r="B158" s="13" t="s">
        <v>410</v>
      </c>
      <c r="C158" s="18">
        <v>1.9460999999999999</v>
      </c>
      <c r="D158" s="18">
        <v>0.53400000000000003</v>
      </c>
      <c r="E158" s="18">
        <v>7.7299999999999994E-2</v>
      </c>
      <c r="F158" s="18">
        <v>0.1474</v>
      </c>
      <c r="G158" s="18">
        <v>0.1469</v>
      </c>
      <c r="H158" s="18">
        <v>0.14149999999999999</v>
      </c>
      <c r="I158" s="18">
        <v>0.15279999999999999</v>
      </c>
      <c r="J158" s="18">
        <v>5.3999999999999999E-2</v>
      </c>
      <c r="K158" s="18">
        <v>0.1469</v>
      </c>
      <c r="L158" s="18">
        <v>0.1474</v>
      </c>
      <c r="M158" s="18">
        <v>6.1699999999999998E-2</v>
      </c>
      <c r="N158" s="18">
        <v>0.2349</v>
      </c>
      <c r="O158" s="18">
        <v>6.5100000000000005E-2</v>
      </c>
      <c r="P158" s="18">
        <v>0.1055</v>
      </c>
      <c r="Q158" s="18">
        <v>0.15640000000000001</v>
      </c>
      <c r="R158" s="18">
        <v>0.38700000000000001</v>
      </c>
      <c r="S158" s="18">
        <v>0.20780000000000001</v>
      </c>
      <c r="T158" s="18">
        <v>0.33489999999999998</v>
      </c>
      <c r="U158" s="18">
        <v>0.25640000000000002</v>
      </c>
      <c r="V158" s="18">
        <v>8.7800000000000003E-2</v>
      </c>
      <c r="W158" s="18">
        <v>0.1096</v>
      </c>
      <c r="X158" s="18">
        <v>0.13059999999999999</v>
      </c>
      <c r="Y158" s="18">
        <v>0.1074</v>
      </c>
      <c r="Z158" s="18">
        <v>0.2727</v>
      </c>
      <c r="AA158" s="18">
        <v>0.16400000000000001</v>
      </c>
      <c r="AB158" s="18">
        <v>0.22009999999999999</v>
      </c>
      <c r="AC158" s="18">
        <v>5.3999999999999999E-2</v>
      </c>
      <c r="AD158" s="18">
        <v>0.17069999999999999</v>
      </c>
      <c r="AE158" s="18">
        <v>0.104</v>
      </c>
      <c r="AF158" s="18">
        <v>0.21110000000000001</v>
      </c>
      <c r="AG158" s="18">
        <v>0.12859999999999999</v>
      </c>
      <c r="AH158" s="18">
        <v>0.17519999999999999</v>
      </c>
      <c r="AI158" s="18">
        <v>0.28839999999999999</v>
      </c>
      <c r="AJ158" s="18">
        <v>0.23960000000000001</v>
      </c>
      <c r="AK158" s="18">
        <v>0.4113</v>
      </c>
      <c r="AL158" s="18">
        <v>0.25750000000000001</v>
      </c>
      <c r="AM158" s="18">
        <v>0.31840000000000002</v>
      </c>
      <c r="AN158" s="18">
        <v>0.17499999999999999</v>
      </c>
      <c r="AO158" s="18">
        <v>0.97089999999999999</v>
      </c>
      <c r="AP158" s="18">
        <v>0.81759999999999999</v>
      </c>
      <c r="AQ158" s="18">
        <v>0.6069</v>
      </c>
      <c r="AR158" s="18">
        <v>0.4869</v>
      </c>
      <c r="AS158" s="18">
        <v>0.53749999999999998</v>
      </c>
      <c r="AT158" s="18">
        <v>0.4955</v>
      </c>
      <c r="AU158" s="18">
        <v>0.69120000000000004</v>
      </c>
      <c r="AV158" s="18">
        <v>0.50860000000000005</v>
      </c>
      <c r="AW158" s="18">
        <v>0.12989999999999999</v>
      </c>
      <c r="AX158" s="18">
        <v>9.4799999999999995E-2</v>
      </c>
    </row>
    <row r="159" spans="1:50" x14ac:dyDescent="0.25">
      <c r="A159" s="8" t="s">
        <v>234</v>
      </c>
      <c r="B159" s="10" t="s">
        <v>57</v>
      </c>
      <c r="C159" s="16">
        <v>0.16839999999999999</v>
      </c>
      <c r="D159" s="16">
        <v>8.4199999999999997E-2</v>
      </c>
      <c r="E159" s="16">
        <v>0.15690000000000001</v>
      </c>
      <c r="F159" s="16">
        <v>8.4199999999999997E-2</v>
      </c>
      <c r="G159" s="16">
        <v>4.9599999999999998E-2</v>
      </c>
      <c r="H159" s="16">
        <v>0.16270000000000001</v>
      </c>
      <c r="I159" s="16">
        <v>7.8399999999999997E-2</v>
      </c>
      <c r="J159" s="16">
        <v>6.4000000000000001E-2</v>
      </c>
      <c r="K159" s="16">
        <v>0.12529999999999999</v>
      </c>
      <c r="L159" s="16">
        <v>4.1000000000000002E-2</v>
      </c>
      <c r="M159" s="16">
        <v>0.2001</v>
      </c>
      <c r="N159" s="16">
        <v>4.1000000000000002E-2</v>
      </c>
      <c r="O159" s="16">
        <v>8.4199999999999997E-2</v>
      </c>
      <c r="P159" s="16">
        <v>0.15690000000000001</v>
      </c>
      <c r="Q159" s="16">
        <v>8.9899999999999994E-2</v>
      </c>
      <c r="R159" s="16">
        <v>5.8099999999999999E-2</v>
      </c>
      <c r="S159" s="16">
        <v>0.2001</v>
      </c>
      <c r="T159" s="16">
        <v>4.1000000000000002E-2</v>
      </c>
      <c r="U159" s="16">
        <v>0.1235</v>
      </c>
      <c r="V159" s="16">
        <v>0.93940000000000001</v>
      </c>
      <c r="W159" s="16">
        <v>0.1202</v>
      </c>
      <c r="X159" s="16">
        <v>0.21390000000000001</v>
      </c>
      <c r="Y159" s="16">
        <v>0.1023</v>
      </c>
      <c r="Z159" s="16">
        <v>9.2799999999999994E-2</v>
      </c>
      <c r="AA159" s="16">
        <v>0.24379999999999999</v>
      </c>
      <c r="AB159" s="16">
        <v>4.1000000000000002E-2</v>
      </c>
      <c r="AC159" s="16">
        <v>9.2799999999999994E-2</v>
      </c>
      <c r="AD159" s="16">
        <v>0.107</v>
      </c>
      <c r="AE159" s="16">
        <v>0.19059999999999999</v>
      </c>
      <c r="AF159" s="16">
        <v>1.1989000000000001</v>
      </c>
      <c r="AG159" s="16">
        <v>0.1593</v>
      </c>
      <c r="AH159" s="16">
        <v>0.2097</v>
      </c>
      <c r="AI159" s="16">
        <v>0.1832</v>
      </c>
      <c r="AJ159" s="16">
        <v>0.10920000000000001</v>
      </c>
      <c r="AK159" s="16">
        <v>0.14829999999999999</v>
      </c>
      <c r="AL159" s="16">
        <v>7.2700000000000001E-2</v>
      </c>
      <c r="AM159" s="16">
        <v>9.1800000000000007E-2</v>
      </c>
      <c r="AN159" s="16">
        <v>0.1176</v>
      </c>
      <c r="AO159" s="16">
        <v>5.5399999999999998E-2</v>
      </c>
      <c r="AP159" s="16">
        <v>9.9900000000000003E-2</v>
      </c>
      <c r="AQ159" s="16">
        <v>0.99060000000000004</v>
      </c>
      <c r="AR159" s="16">
        <v>0.85660000000000003</v>
      </c>
      <c r="AS159" s="16">
        <v>0.29899999999999999</v>
      </c>
      <c r="AT159" s="16">
        <v>0.182</v>
      </c>
      <c r="AU159" s="16">
        <v>0.38790000000000002</v>
      </c>
      <c r="AV159" s="16">
        <v>0.33450000000000002</v>
      </c>
      <c r="AW159" s="16">
        <v>4.1000000000000002E-2</v>
      </c>
      <c r="AX159" s="16">
        <v>0.1512</v>
      </c>
    </row>
    <row r="160" spans="1:50" x14ac:dyDescent="0.25">
      <c r="A160" s="8" t="s">
        <v>236</v>
      </c>
      <c r="B160" s="10" t="s">
        <v>57</v>
      </c>
      <c r="C160" s="16">
        <v>6.1600000000000002E-2</v>
      </c>
      <c r="D160" s="16">
        <v>0.33929999999999999</v>
      </c>
      <c r="E160" s="16">
        <v>0.10440000000000001</v>
      </c>
      <c r="F160" s="16">
        <v>0.13950000000000001</v>
      </c>
      <c r="G160" s="16">
        <v>0.1598</v>
      </c>
      <c r="H160" s="16">
        <v>0.20599999999999999</v>
      </c>
      <c r="I160" s="16">
        <v>0.13950000000000001</v>
      </c>
      <c r="J160" s="16">
        <v>0.22750000000000001</v>
      </c>
      <c r="K160" s="16">
        <v>0.13830000000000001</v>
      </c>
      <c r="L160" s="16">
        <v>0.1366</v>
      </c>
      <c r="M160" s="16">
        <v>0.31459999999999999</v>
      </c>
      <c r="N160" s="16">
        <v>0.29659999999999997</v>
      </c>
      <c r="O160" s="16">
        <v>0.27839999999999998</v>
      </c>
      <c r="P160" s="16">
        <v>0.2014</v>
      </c>
      <c r="Q160" s="16">
        <v>0.19409999999999999</v>
      </c>
      <c r="R160" s="16">
        <v>0.46579999999999999</v>
      </c>
      <c r="S160" s="16">
        <v>0.1028</v>
      </c>
      <c r="T160" s="16">
        <v>5.7000000000000002E-2</v>
      </c>
      <c r="U160" s="16">
        <v>0.38719999999999999</v>
      </c>
      <c r="V160" s="16">
        <v>0.1409</v>
      </c>
      <c r="W160" s="16">
        <v>7.7299999999999994E-2</v>
      </c>
      <c r="X160" s="16">
        <v>0.33429999999999999</v>
      </c>
      <c r="Y160" s="16">
        <v>9.3700000000000006E-2</v>
      </c>
      <c r="Z160" s="16">
        <v>6.3799999999999996E-2</v>
      </c>
      <c r="AA160" s="16">
        <v>0.25800000000000001</v>
      </c>
      <c r="AB160" s="16">
        <v>0.15609999999999999</v>
      </c>
      <c r="AC160" s="16">
        <v>8.4500000000000006E-2</v>
      </c>
      <c r="AD160" s="16">
        <v>0.19189999999999999</v>
      </c>
      <c r="AE160" s="16">
        <v>0.25640000000000002</v>
      </c>
      <c r="AF160" s="16">
        <v>5.7000000000000002E-2</v>
      </c>
      <c r="AG160" s="16">
        <v>0.37780000000000002</v>
      </c>
      <c r="AH160" s="16">
        <v>7.0499999999999993E-2</v>
      </c>
      <c r="AI160" s="16">
        <v>0.13950000000000001</v>
      </c>
      <c r="AJ160" s="16">
        <v>0.20599999999999999</v>
      </c>
      <c r="AK160" s="16">
        <v>0.15329999999999999</v>
      </c>
      <c r="AL160" s="16">
        <v>0.57120000000000004</v>
      </c>
      <c r="AM160" s="16">
        <v>0.38629999999999998</v>
      </c>
      <c r="AN160" s="16">
        <v>0.13039999999999999</v>
      </c>
      <c r="AO160" s="16">
        <v>0.29520000000000002</v>
      </c>
      <c r="AP160" s="16">
        <v>7.9699999999999993E-2</v>
      </c>
      <c r="AQ160" s="16">
        <v>0.1507</v>
      </c>
      <c r="AR160" s="16">
        <v>0.28849999999999998</v>
      </c>
      <c r="AS160" s="16">
        <v>0.13950000000000001</v>
      </c>
      <c r="AT160" s="16">
        <v>8.6400000000000005E-2</v>
      </c>
      <c r="AU160" s="16">
        <v>0.27939999999999998</v>
      </c>
      <c r="AV160" s="16">
        <v>9.8299999999999998E-2</v>
      </c>
      <c r="AW160" s="16">
        <v>0.20100000000000001</v>
      </c>
      <c r="AX160" s="16">
        <v>0.1721</v>
      </c>
    </row>
    <row r="161" spans="1:50" x14ac:dyDescent="0.25">
      <c r="A161" s="17" t="s">
        <v>539</v>
      </c>
      <c r="B161" s="13" t="s">
        <v>410</v>
      </c>
      <c r="C161" s="18">
        <v>0.05</v>
      </c>
      <c r="D161" s="18">
        <v>0.05</v>
      </c>
      <c r="E161" s="18">
        <v>0.05</v>
      </c>
      <c r="F161" s="18">
        <v>0.05</v>
      </c>
      <c r="G161" s="18">
        <v>0.05</v>
      </c>
      <c r="H161" s="18">
        <v>0.05</v>
      </c>
      <c r="I161" s="18">
        <v>0.05</v>
      </c>
      <c r="J161" s="18">
        <v>0.05</v>
      </c>
      <c r="K161" s="18">
        <v>0.05</v>
      </c>
      <c r="L161" s="18">
        <v>0.05</v>
      </c>
      <c r="M161" s="18">
        <v>0.05</v>
      </c>
      <c r="N161" s="18">
        <v>0.05</v>
      </c>
      <c r="O161" s="18">
        <v>0.05</v>
      </c>
      <c r="P161" s="18">
        <v>0.05</v>
      </c>
      <c r="Q161" s="18">
        <v>0.05</v>
      </c>
      <c r="R161" s="18">
        <v>0.2019</v>
      </c>
      <c r="S161" s="18">
        <v>0.1946</v>
      </c>
      <c r="T161" s="18">
        <v>0.1366</v>
      </c>
      <c r="U161" s="18">
        <v>0.05</v>
      </c>
      <c r="V161" s="18">
        <v>0.18379999999999999</v>
      </c>
      <c r="W161" s="18">
        <v>1.3796999999999999</v>
      </c>
      <c r="X161" s="18">
        <v>0.2213</v>
      </c>
      <c r="Y161" s="18">
        <v>2.5823999999999998</v>
      </c>
      <c r="Z161" s="18">
        <v>1.0972999999999999</v>
      </c>
      <c r="AA161" s="18">
        <v>1.7195</v>
      </c>
      <c r="AB161" s="18">
        <v>0.16919999999999999</v>
      </c>
      <c r="AC161" s="18">
        <v>6.2799999999999995E-2</v>
      </c>
      <c r="AD161" s="18">
        <v>0.29580000000000001</v>
      </c>
      <c r="AE161" s="18">
        <v>0.20180000000000001</v>
      </c>
      <c r="AF161" s="18">
        <v>0.14929999999999999</v>
      </c>
      <c r="AG161" s="18">
        <v>0.18840000000000001</v>
      </c>
      <c r="AH161" s="18">
        <v>0.61119999999999997</v>
      </c>
      <c r="AI161" s="18">
        <v>1.5205</v>
      </c>
      <c r="AJ161" s="18">
        <v>2.6067999999999998</v>
      </c>
      <c r="AK161" s="18">
        <v>0.31369999999999998</v>
      </c>
      <c r="AL161" s="18">
        <v>1.7604</v>
      </c>
      <c r="AM161" s="18">
        <v>4.0328999999999997</v>
      </c>
      <c r="AN161" s="18">
        <v>2.8136999999999999</v>
      </c>
      <c r="AO161" s="18">
        <v>0.65459999999999996</v>
      </c>
      <c r="AP161" s="18">
        <v>0.27289999999999998</v>
      </c>
      <c r="AQ161" s="18">
        <v>0.29420000000000002</v>
      </c>
      <c r="AR161" s="18">
        <v>1.8944000000000001</v>
      </c>
      <c r="AS161" s="18">
        <v>2.5318000000000001</v>
      </c>
      <c r="AT161" s="18">
        <v>1.1476999999999999</v>
      </c>
      <c r="AU161" s="18">
        <v>0.33700000000000002</v>
      </c>
      <c r="AV161" s="18">
        <v>0.54579999999999995</v>
      </c>
      <c r="AW161" s="18">
        <v>0.34060000000000001</v>
      </c>
      <c r="AX161" s="18">
        <v>0.31290000000000001</v>
      </c>
    </row>
    <row r="162" spans="1:50" x14ac:dyDescent="0.25">
      <c r="A162" s="17" t="s">
        <v>541</v>
      </c>
      <c r="B162" s="13" t="s">
        <v>410</v>
      </c>
      <c r="C162" s="18">
        <v>0.36299999999999999</v>
      </c>
      <c r="D162" s="18">
        <v>3.6999999999999998E-2</v>
      </c>
      <c r="E162" s="18">
        <v>3.6999999999999998E-2</v>
      </c>
      <c r="F162" s="18">
        <v>0.20730000000000001</v>
      </c>
      <c r="G162" s="18">
        <v>3.6999999999999998E-2</v>
      </c>
      <c r="H162" s="18">
        <v>0.12989999999999999</v>
      </c>
      <c r="I162" s="18">
        <v>0.1144</v>
      </c>
      <c r="J162" s="18">
        <v>3.6999999999999998E-2</v>
      </c>
      <c r="K162" s="18">
        <v>0.20730000000000001</v>
      </c>
      <c r="L162" s="18">
        <v>3.6999999999999998E-2</v>
      </c>
      <c r="M162" s="18">
        <v>4.4699999999999997E-2</v>
      </c>
      <c r="N162" s="18">
        <v>0.19950000000000001</v>
      </c>
      <c r="O162" s="18">
        <v>3.6999999999999998E-2</v>
      </c>
      <c r="P162" s="18">
        <v>0.20730000000000001</v>
      </c>
      <c r="Q162" s="18">
        <v>3.6999999999999998E-2</v>
      </c>
      <c r="R162" s="18">
        <v>0.2492</v>
      </c>
      <c r="S162" s="18">
        <v>0.2545</v>
      </c>
      <c r="T162" s="18">
        <v>0.39829999999999999</v>
      </c>
      <c r="U162" s="18">
        <v>0.20730000000000001</v>
      </c>
      <c r="V162" s="18">
        <v>3.9800000000000002E-2</v>
      </c>
      <c r="W162" s="18">
        <v>0.2949</v>
      </c>
      <c r="X162" s="18">
        <v>9.4399999999999998E-2</v>
      </c>
      <c r="Y162" s="18">
        <v>0.18029999999999999</v>
      </c>
      <c r="Z162" s="18">
        <v>0.28029999999999999</v>
      </c>
      <c r="AA162" s="18">
        <v>0.112</v>
      </c>
      <c r="AB162" s="18">
        <v>0.2888</v>
      </c>
      <c r="AC162" s="18">
        <v>0.13059999999999999</v>
      </c>
      <c r="AD162" s="18">
        <v>0.29199999999999998</v>
      </c>
      <c r="AE162" s="18">
        <v>0.27279999999999999</v>
      </c>
      <c r="AF162" s="18">
        <v>0.31609999999999999</v>
      </c>
      <c r="AG162" s="18">
        <v>0.1174</v>
      </c>
      <c r="AH162" s="18">
        <v>0.2762</v>
      </c>
      <c r="AI162" s="18">
        <v>0.2059</v>
      </c>
      <c r="AJ162" s="18">
        <v>3.6999999999999998E-2</v>
      </c>
      <c r="AK162" s="18">
        <v>0.23250000000000001</v>
      </c>
      <c r="AL162" s="18">
        <v>0.20180000000000001</v>
      </c>
      <c r="AM162" s="18">
        <v>0.1148</v>
      </c>
      <c r="AN162" s="18">
        <v>0.17630000000000001</v>
      </c>
      <c r="AO162" s="18">
        <v>3.6999999999999998E-2</v>
      </c>
      <c r="AP162" s="18">
        <v>0.1144</v>
      </c>
      <c r="AQ162" s="18">
        <v>0.12989999999999999</v>
      </c>
      <c r="AR162" s="18">
        <v>3.6999999999999998E-2</v>
      </c>
      <c r="AS162" s="18">
        <v>4.4499999999999998E-2</v>
      </c>
      <c r="AT162" s="18">
        <v>0.1467</v>
      </c>
      <c r="AU162" s="18">
        <v>0.51229999999999998</v>
      </c>
      <c r="AV162" s="18">
        <v>0.31080000000000002</v>
      </c>
      <c r="AW162" s="18">
        <v>0.88339999999999996</v>
      </c>
      <c r="AX162" s="18">
        <v>0.75670000000000004</v>
      </c>
    </row>
    <row r="163" spans="1:50" x14ac:dyDescent="0.25">
      <c r="A163" s="8" t="s">
        <v>238</v>
      </c>
      <c r="B163" s="10" t="s">
        <v>57</v>
      </c>
      <c r="C163" s="16">
        <v>4.8000000000000001E-2</v>
      </c>
      <c r="D163" s="16">
        <v>4.8000000000000001E-2</v>
      </c>
      <c r="E163" s="16">
        <v>4.8000000000000001E-2</v>
      </c>
      <c r="F163" s="16">
        <v>4.8000000000000001E-2</v>
      </c>
      <c r="G163" s="16">
        <v>4.8000000000000001E-2</v>
      </c>
      <c r="H163" s="16">
        <v>4.8000000000000001E-2</v>
      </c>
      <c r="I163" s="16">
        <v>4.8000000000000001E-2</v>
      </c>
      <c r="J163" s="16">
        <v>4.8000000000000001E-2</v>
      </c>
      <c r="K163" s="16">
        <v>7.5499999999999998E-2</v>
      </c>
      <c r="L163" s="16">
        <v>4.8000000000000001E-2</v>
      </c>
      <c r="M163" s="16">
        <v>4.8000000000000001E-2</v>
      </c>
      <c r="N163" s="16">
        <v>4.8000000000000001E-2</v>
      </c>
      <c r="O163" s="16">
        <v>5.2200000000000003E-2</v>
      </c>
      <c r="P163" s="16">
        <v>0.28749999999999998</v>
      </c>
      <c r="Q163" s="16">
        <v>5.8000000000000003E-2</v>
      </c>
      <c r="R163" s="16">
        <v>5.0099999999999999E-2</v>
      </c>
      <c r="S163" s="16">
        <v>6.4899999999999999E-2</v>
      </c>
      <c r="T163" s="16">
        <v>0.5917</v>
      </c>
      <c r="U163" s="16">
        <v>0.80310000000000004</v>
      </c>
      <c r="V163" s="16">
        <v>9.8799999999999999E-2</v>
      </c>
      <c r="W163" s="16">
        <v>7.7899999999999997E-2</v>
      </c>
      <c r="X163" s="16">
        <v>0.10829999999999999</v>
      </c>
      <c r="Y163" s="16">
        <v>0.14849999999999999</v>
      </c>
      <c r="Z163" s="16">
        <v>0.13589999999999999</v>
      </c>
      <c r="AA163" s="16">
        <v>8.3199999999999996E-2</v>
      </c>
      <c r="AB163" s="16">
        <v>0.14660000000000001</v>
      </c>
      <c r="AC163" s="16">
        <v>0.23330000000000001</v>
      </c>
      <c r="AD163" s="16">
        <v>0.1159</v>
      </c>
      <c r="AE163" s="16">
        <v>0.67390000000000005</v>
      </c>
      <c r="AF163" s="16">
        <v>0.3826</v>
      </c>
      <c r="AG163" s="16">
        <v>0.10199999999999999</v>
      </c>
      <c r="AH163" s="16">
        <v>8.1199999999999994E-2</v>
      </c>
      <c r="AI163" s="16">
        <v>0.14449999999999999</v>
      </c>
      <c r="AJ163" s="16">
        <v>0.14929999999999999</v>
      </c>
      <c r="AK163" s="16">
        <v>0.113</v>
      </c>
      <c r="AL163" s="16">
        <v>6.0499999999999998E-2</v>
      </c>
      <c r="AM163" s="16">
        <v>0.14990000000000001</v>
      </c>
      <c r="AN163" s="16">
        <v>0.1789</v>
      </c>
      <c r="AO163" s="16">
        <v>0.24560000000000001</v>
      </c>
      <c r="AP163" s="16">
        <v>0.27389999999999998</v>
      </c>
      <c r="AQ163" s="16">
        <v>1.3240000000000001</v>
      </c>
      <c r="AR163" s="16">
        <v>0.69979999999999998</v>
      </c>
      <c r="AS163" s="16">
        <v>0.48630000000000001</v>
      </c>
      <c r="AT163" s="16">
        <v>0.4052</v>
      </c>
      <c r="AU163" s="16">
        <v>0.55189999999999995</v>
      </c>
      <c r="AV163" s="16">
        <v>0.54920000000000002</v>
      </c>
      <c r="AW163" s="16">
        <v>0.40679999999999999</v>
      </c>
      <c r="AX163" s="16">
        <v>0.20610000000000001</v>
      </c>
    </row>
    <row r="164" spans="1:50" x14ac:dyDescent="0.25">
      <c r="A164" s="8" t="s">
        <v>240</v>
      </c>
      <c r="B164" s="10" t="s">
        <v>57</v>
      </c>
      <c r="C164" s="16">
        <v>4.9000000000000002E-2</v>
      </c>
      <c r="D164" s="16">
        <v>9.9699999999999997E-2</v>
      </c>
      <c r="E164" s="16">
        <v>7.4399999999999994E-2</v>
      </c>
      <c r="F164" s="16">
        <v>9.5500000000000002E-2</v>
      </c>
      <c r="G164" s="16">
        <v>7.8600000000000003E-2</v>
      </c>
      <c r="H164" s="16">
        <v>4.9000000000000002E-2</v>
      </c>
      <c r="I164" s="16">
        <v>0.104</v>
      </c>
      <c r="J164" s="16">
        <v>7.0099999999999996E-2</v>
      </c>
      <c r="K164" s="16">
        <v>0.1124</v>
      </c>
      <c r="L164" s="16">
        <v>6.1699999999999998E-2</v>
      </c>
      <c r="M164" s="16">
        <v>0.1082</v>
      </c>
      <c r="N164" s="16">
        <v>6.59E-2</v>
      </c>
      <c r="O164" s="16">
        <v>4.9000000000000002E-2</v>
      </c>
      <c r="P164" s="16">
        <v>0.12509999999999999</v>
      </c>
      <c r="Q164" s="16">
        <v>0.27929999999999999</v>
      </c>
      <c r="R164" s="16">
        <v>0.27179999999999999</v>
      </c>
      <c r="S164" s="16">
        <v>0.28239999999999998</v>
      </c>
      <c r="T164" s="16">
        <v>0.24979999999999999</v>
      </c>
      <c r="U164" s="16">
        <v>0.3271</v>
      </c>
      <c r="V164" s="16">
        <v>0.15429999999999999</v>
      </c>
      <c r="W164" s="16">
        <v>0.16320000000000001</v>
      </c>
      <c r="X164" s="16">
        <v>0.12509999999999999</v>
      </c>
      <c r="Y164" s="16">
        <v>4.9000000000000002E-2</v>
      </c>
      <c r="Z164" s="16">
        <v>0.12509999999999999</v>
      </c>
      <c r="AA164" s="16">
        <v>4.9000000000000002E-2</v>
      </c>
      <c r="AB164" s="16">
        <v>0.12509999999999999</v>
      </c>
      <c r="AC164" s="16">
        <v>0.10879999999999999</v>
      </c>
      <c r="AD164" s="16">
        <v>0.29649999999999999</v>
      </c>
      <c r="AE164" s="16">
        <v>0.21099999999999999</v>
      </c>
      <c r="AF164" s="16">
        <v>0.24779999999999999</v>
      </c>
      <c r="AG164" s="16">
        <v>0.17199999999999999</v>
      </c>
      <c r="AH164" s="16">
        <v>6.3799999999999996E-2</v>
      </c>
      <c r="AI164" s="16">
        <v>9.6299999999999997E-2</v>
      </c>
      <c r="AJ164" s="16">
        <v>0.2109</v>
      </c>
      <c r="AK164" s="16">
        <v>9.3399999999999997E-2</v>
      </c>
      <c r="AL164" s="16">
        <v>0.33329999999999999</v>
      </c>
      <c r="AM164" s="16">
        <v>1.0790999999999999</v>
      </c>
      <c r="AN164" s="16">
        <v>0.13819999999999999</v>
      </c>
      <c r="AO164" s="16">
        <v>0.20499999999999999</v>
      </c>
      <c r="AP164" s="16">
        <v>0.12920000000000001</v>
      </c>
      <c r="AQ164" s="16">
        <v>0.30580000000000002</v>
      </c>
      <c r="AR164" s="16">
        <v>0.42480000000000001</v>
      </c>
      <c r="AS164" s="16">
        <v>0.36820000000000003</v>
      </c>
      <c r="AT164" s="16">
        <v>0.48559999999999998</v>
      </c>
      <c r="AU164" s="16">
        <v>0.12509999999999999</v>
      </c>
      <c r="AV164" s="16">
        <v>4.9000000000000002E-2</v>
      </c>
      <c r="AW164" s="16">
        <v>4.9000000000000002E-2</v>
      </c>
      <c r="AX164" s="16">
        <v>0.12509999999999999</v>
      </c>
    </row>
    <row r="165" spans="1:50" x14ac:dyDescent="0.25">
      <c r="A165" s="8" t="s">
        <v>242</v>
      </c>
      <c r="B165" s="10" t="s">
        <v>57</v>
      </c>
      <c r="C165" s="16">
        <v>0.15920000000000001</v>
      </c>
      <c r="D165" s="16">
        <v>5.7000000000000002E-2</v>
      </c>
      <c r="E165" s="16">
        <v>0.14460000000000001</v>
      </c>
      <c r="F165" s="16">
        <v>7.1599999999999997E-2</v>
      </c>
      <c r="G165" s="16">
        <v>7.1599999999999997E-2</v>
      </c>
      <c r="H165" s="16">
        <v>0.14460000000000001</v>
      </c>
      <c r="I165" s="16">
        <v>5.7000000000000002E-2</v>
      </c>
      <c r="J165" s="16">
        <v>0.15920000000000001</v>
      </c>
      <c r="K165" s="16">
        <v>5.7000000000000002E-2</v>
      </c>
      <c r="L165" s="16">
        <v>8.6199999999999999E-2</v>
      </c>
      <c r="M165" s="16">
        <v>0.13</v>
      </c>
      <c r="N165" s="16">
        <v>5.7000000000000002E-2</v>
      </c>
      <c r="O165" s="16">
        <v>0.15920000000000001</v>
      </c>
      <c r="P165" s="16">
        <v>5.7000000000000002E-2</v>
      </c>
      <c r="Q165" s="16">
        <v>0.27279999999999999</v>
      </c>
      <c r="R165" s="16">
        <v>0.20269999999999999</v>
      </c>
      <c r="S165" s="16">
        <v>7.6399999999999996E-2</v>
      </c>
      <c r="T165" s="16">
        <v>5.7000000000000002E-2</v>
      </c>
      <c r="U165" s="16">
        <v>0.15920000000000001</v>
      </c>
      <c r="V165" s="16">
        <v>5.7000000000000002E-2</v>
      </c>
      <c r="W165" s="16">
        <v>0.15920000000000001</v>
      </c>
      <c r="X165" s="16">
        <v>5.7000000000000002E-2</v>
      </c>
      <c r="Y165" s="16">
        <v>5.7000000000000002E-2</v>
      </c>
      <c r="Z165" s="16">
        <v>0.15920000000000001</v>
      </c>
      <c r="AA165" s="16">
        <v>8.9599999999999999E-2</v>
      </c>
      <c r="AB165" s="16">
        <v>2.524</v>
      </c>
      <c r="AC165" s="16">
        <v>2.5640999999999998</v>
      </c>
      <c r="AD165" s="16">
        <v>0.21029999999999999</v>
      </c>
      <c r="AE165" s="16">
        <v>0.82010000000000005</v>
      </c>
      <c r="AF165" s="16">
        <v>2.6859999999999999</v>
      </c>
      <c r="AG165" s="16">
        <v>2.2204999999999999</v>
      </c>
      <c r="AH165" s="16">
        <v>0.15959999999999999</v>
      </c>
      <c r="AI165" s="16">
        <v>0.1565</v>
      </c>
      <c r="AJ165" s="16">
        <v>0.24690000000000001</v>
      </c>
      <c r="AK165" s="16">
        <v>0.39850000000000002</v>
      </c>
      <c r="AL165" s="16">
        <v>1.3399000000000001</v>
      </c>
      <c r="AM165" s="16">
        <v>0.17660000000000001</v>
      </c>
      <c r="AN165" s="16">
        <v>0.1065</v>
      </c>
      <c r="AO165" s="16">
        <v>1.127</v>
      </c>
      <c r="AP165" s="16">
        <v>2.8346</v>
      </c>
      <c r="AQ165" s="16">
        <v>2.0007000000000001</v>
      </c>
      <c r="AR165" s="16">
        <v>0.35949999999999999</v>
      </c>
      <c r="AS165" s="16">
        <v>0.4098</v>
      </c>
      <c r="AT165" s="16">
        <v>0.33439999999999998</v>
      </c>
      <c r="AU165" s="16">
        <v>5.7000000000000002E-2</v>
      </c>
      <c r="AV165" s="16">
        <v>0.15920000000000001</v>
      </c>
      <c r="AW165" s="16">
        <v>5.7000000000000002E-2</v>
      </c>
      <c r="AX165" s="16">
        <v>0.1227</v>
      </c>
    </row>
    <row r="166" spans="1:50" x14ac:dyDescent="0.25">
      <c r="A166" s="17" t="s">
        <v>543</v>
      </c>
      <c r="B166" s="13" t="s">
        <v>410</v>
      </c>
      <c r="C166" s="18">
        <v>6.7500000000000004E-2</v>
      </c>
      <c r="D166" s="18">
        <v>0.29189999999999999</v>
      </c>
      <c r="E166" s="18">
        <v>5.2999999999999999E-2</v>
      </c>
      <c r="F166" s="18">
        <v>5.2999999999999999E-2</v>
      </c>
      <c r="G166" s="18">
        <v>0.24579999999999999</v>
      </c>
      <c r="H166" s="18">
        <v>0.11360000000000001</v>
      </c>
      <c r="I166" s="18">
        <v>5.2999999999999999E-2</v>
      </c>
      <c r="J166" s="18">
        <v>0.30630000000000002</v>
      </c>
      <c r="K166" s="18">
        <v>5.2999999999999999E-2</v>
      </c>
      <c r="L166" s="18">
        <v>0.13969999999999999</v>
      </c>
      <c r="M166" s="18">
        <v>5.2999999999999999E-2</v>
      </c>
      <c r="N166" s="18">
        <v>0.1852</v>
      </c>
      <c r="O166" s="18">
        <v>0.17419999999999999</v>
      </c>
      <c r="P166" s="18">
        <v>0.11559999999999999</v>
      </c>
      <c r="Q166" s="18">
        <v>0.2437</v>
      </c>
      <c r="R166" s="18">
        <v>0.13969999999999999</v>
      </c>
      <c r="S166" s="18">
        <v>0.159</v>
      </c>
      <c r="T166" s="18">
        <v>0.1578</v>
      </c>
      <c r="U166" s="18">
        <v>1.1347</v>
      </c>
      <c r="V166" s="18">
        <v>0.45800000000000002</v>
      </c>
      <c r="W166" s="18">
        <v>0.24379999999999999</v>
      </c>
      <c r="X166" s="18">
        <v>0.25430000000000003</v>
      </c>
      <c r="Y166" s="18">
        <v>9.64E-2</v>
      </c>
      <c r="Z166" s="18">
        <v>9.64E-2</v>
      </c>
      <c r="AA166" s="18">
        <v>0.19409999999999999</v>
      </c>
      <c r="AB166" s="18">
        <v>0.16520000000000001</v>
      </c>
      <c r="AC166" s="18">
        <v>0.15509999999999999</v>
      </c>
      <c r="AD166" s="18">
        <v>0.37480000000000002</v>
      </c>
      <c r="AE166" s="18">
        <v>0.58579999999999999</v>
      </c>
      <c r="AF166" s="18">
        <v>0.34129999999999999</v>
      </c>
      <c r="AG166" s="18">
        <v>0.29430000000000001</v>
      </c>
      <c r="AH166" s="18">
        <v>0.22670000000000001</v>
      </c>
      <c r="AI166" s="18">
        <v>0.25800000000000001</v>
      </c>
      <c r="AJ166" s="18">
        <v>0.2656</v>
      </c>
      <c r="AK166" s="18">
        <v>0.15140000000000001</v>
      </c>
      <c r="AL166" s="18">
        <v>0.17419999999999999</v>
      </c>
      <c r="AM166" s="18">
        <v>0.11700000000000001</v>
      </c>
      <c r="AN166" s="18">
        <v>0.1893</v>
      </c>
      <c r="AO166" s="18">
        <v>5.2999999999999999E-2</v>
      </c>
      <c r="AP166" s="18">
        <v>0.13969999999999999</v>
      </c>
      <c r="AQ166" s="18">
        <v>5.2999999999999999E-2</v>
      </c>
      <c r="AR166" s="18">
        <v>0.21959999999999999</v>
      </c>
      <c r="AS166" s="18">
        <v>5.2999999999999999E-2</v>
      </c>
      <c r="AT166" s="18">
        <v>5.2999999999999999E-2</v>
      </c>
      <c r="AU166" s="18">
        <v>0.1666</v>
      </c>
      <c r="AV166" s="18">
        <v>0.25840000000000002</v>
      </c>
      <c r="AW166" s="18">
        <v>0.1454</v>
      </c>
      <c r="AX166" s="18">
        <v>0.26429999999999998</v>
      </c>
    </row>
    <row r="167" spans="1:50" x14ac:dyDescent="0.25">
      <c r="A167" s="8" t="s">
        <v>244</v>
      </c>
      <c r="B167" s="10" t="s">
        <v>57</v>
      </c>
      <c r="C167" s="16">
        <v>0.10150000000000001</v>
      </c>
      <c r="D167" s="16">
        <v>0.16039999999999999</v>
      </c>
      <c r="E167" s="16">
        <v>0.05</v>
      </c>
      <c r="F167" s="16">
        <v>0.1236</v>
      </c>
      <c r="G167" s="16">
        <v>0.13830000000000001</v>
      </c>
      <c r="H167" s="16">
        <v>0.05</v>
      </c>
      <c r="I167" s="16">
        <v>0.21190000000000001</v>
      </c>
      <c r="J167" s="16">
        <v>0.05</v>
      </c>
      <c r="K167" s="16">
        <v>0.153</v>
      </c>
      <c r="L167" s="16">
        <v>0.1162</v>
      </c>
      <c r="M167" s="16">
        <v>0.05</v>
      </c>
      <c r="N167" s="16">
        <v>0.21190000000000001</v>
      </c>
      <c r="O167" s="16">
        <v>0.05</v>
      </c>
      <c r="P167" s="16">
        <v>0.05</v>
      </c>
      <c r="Q167" s="16">
        <v>8.6800000000000002E-2</v>
      </c>
      <c r="R167" s="16">
        <v>0.17510000000000001</v>
      </c>
      <c r="S167" s="16">
        <v>0.28289999999999998</v>
      </c>
      <c r="T167" s="16">
        <v>9.4399999999999998E-2</v>
      </c>
      <c r="U167" s="16">
        <v>0.05</v>
      </c>
      <c r="V167" s="16">
        <v>0.21190000000000001</v>
      </c>
      <c r="W167" s="16">
        <v>0.05</v>
      </c>
      <c r="X167" s="16">
        <v>0.11310000000000001</v>
      </c>
      <c r="Y167" s="16">
        <v>0.30020000000000002</v>
      </c>
      <c r="Z167" s="16">
        <v>0.27879999999999999</v>
      </c>
      <c r="AA167" s="16">
        <v>0.1988</v>
      </c>
      <c r="AB167" s="16">
        <v>0.9677</v>
      </c>
      <c r="AC167" s="16">
        <v>0.23669999999999999</v>
      </c>
      <c r="AD167" s="16">
        <v>8.0699999999999994E-2</v>
      </c>
      <c r="AE167" s="16">
        <v>0.05</v>
      </c>
      <c r="AF167" s="16">
        <v>0.1835</v>
      </c>
      <c r="AG167" s="16">
        <v>0.66439999999999999</v>
      </c>
      <c r="AH167" s="16">
        <v>0.96209999999999996</v>
      </c>
      <c r="AI167" s="16">
        <v>0.41120000000000001</v>
      </c>
      <c r="AJ167" s="16">
        <v>0.50319999999999998</v>
      </c>
      <c r="AK167" s="16">
        <v>1.1996</v>
      </c>
      <c r="AL167" s="16">
        <v>0.66269999999999996</v>
      </c>
      <c r="AM167" s="16">
        <v>0.37969999999999998</v>
      </c>
      <c r="AN167" s="16">
        <v>0.2356</v>
      </c>
      <c r="AO167" s="16">
        <v>0.30009999999999998</v>
      </c>
      <c r="AP167" s="16">
        <v>0.79879999999999995</v>
      </c>
      <c r="AQ167" s="16">
        <v>1.7475000000000001</v>
      </c>
      <c r="AR167" s="16">
        <v>0.55620000000000003</v>
      </c>
      <c r="AS167" s="16">
        <v>0.54530000000000001</v>
      </c>
      <c r="AT167" s="16">
        <v>0.4073</v>
      </c>
      <c r="AU167" s="16">
        <v>0.70489999999999997</v>
      </c>
      <c r="AV167" s="16">
        <v>0.4486</v>
      </c>
      <c r="AW167" s="16">
        <v>0.36399999999999999</v>
      </c>
      <c r="AX167" s="16">
        <v>0.20449999999999999</v>
      </c>
    </row>
    <row r="168" spans="1:50" x14ac:dyDescent="0.25">
      <c r="A168" s="8" t="s">
        <v>246</v>
      </c>
      <c r="B168" s="10" t="s">
        <v>57</v>
      </c>
      <c r="C168" s="16">
        <v>5.5E-2</v>
      </c>
      <c r="D168" s="16">
        <v>0.19139999999999999</v>
      </c>
      <c r="E168" s="16">
        <v>0.10489999999999999</v>
      </c>
      <c r="F168" s="16">
        <v>8.3799999999999999E-2</v>
      </c>
      <c r="G168" s="16">
        <v>0.11269999999999999</v>
      </c>
      <c r="H168" s="16">
        <v>0.16439999999999999</v>
      </c>
      <c r="I168" s="16">
        <v>0.13189999999999999</v>
      </c>
      <c r="J168" s="16">
        <v>0.15479999999999999</v>
      </c>
      <c r="K168" s="16">
        <v>0.14149999999999999</v>
      </c>
      <c r="L168" s="16">
        <v>5.5E-2</v>
      </c>
      <c r="M168" s="16">
        <v>5.5E-2</v>
      </c>
      <c r="N168" s="16">
        <v>0.15479999999999999</v>
      </c>
      <c r="O168" s="16">
        <v>5.5E-2</v>
      </c>
      <c r="P168" s="16">
        <v>0.18640000000000001</v>
      </c>
      <c r="Q168" s="16">
        <v>0.1099</v>
      </c>
      <c r="R168" s="16">
        <v>1.4883</v>
      </c>
      <c r="S168" s="16">
        <v>0.24529999999999999</v>
      </c>
      <c r="T168" s="16">
        <v>0.1037</v>
      </c>
      <c r="U168" s="16">
        <v>0.29260000000000003</v>
      </c>
      <c r="V168" s="16">
        <v>0.16239999999999999</v>
      </c>
      <c r="W168" s="16">
        <v>7.9000000000000001E-2</v>
      </c>
      <c r="X168" s="16">
        <v>0.20300000000000001</v>
      </c>
      <c r="Y168" s="16">
        <v>0.1221</v>
      </c>
      <c r="Z168" s="16">
        <v>8.8599999999999998E-2</v>
      </c>
      <c r="AA168" s="16">
        <v>0.21249999999999999</v>
      </c>
      <c r="AB168" s="16">
        <v>8.3799999999999999E-2</v>
      </c>
      <c r="AC168" s="16">
        <v>5.5E-2</v>
      </c>
      <c r="AD168" s="16">
        <v>0.23649999999999999</v>
      </c>
      <c r="AE168" s="16">
        <v>5.9799999999999999E-2</v>
      </c>
      <c r="AF168" s="16">
        <v>0.17710000000000001</v>
      </c>
      <c r="AG168" s="16">
        <v>0.43430000000000002</v>
      </c>
      <c r="AH168" s="16">
        <v>0.4027</v>
      </c>
      <c r="AI168" s="16">
        <v>0.49640000000000001</v>
      </c>
      <c r="AJ168" s="16">
        <v>0.62429999999999997</v>
      </c>
      <c r="AK168" s="16">
        <v>0.73450000000000004</v>
      </c>
      <c r="AL168" s="16">
        <v>0.44219999999999998</v>
      </c>
      <c r="AM168" s="16">
        <v>0.47389999999999999</v>
      </c>
      <c r="AN168" s="16">
        <v>0.54159999999999997</v>
      </c>
      <c r="AO168" s="16">
        <v>0.44679999999999997</v>
      </c>
      <c r="AP168" s="16">
        <v>0.14149999999999999</v>
      </c>
      <c r="AQ168" s="16">
        <v>0.15479999999999999</v>
      </c>
      <c r="AR168" s="16">
        <v>0.14149999999999999</v>
      </c>
      <c r="AS168" s="16">
        <v>0.1192</v>
      </c>
      <c r="AT168" s="16">
        <v>9.06E-2</v>
      </c>
      <c r="AU168" s="16">
        <v>0.11749999999999999</v>
      </c>
      <c r="AV168" s="16">
        <v>7.9000000000000001E-2</v>
      </c>
      <c r="AW168" s="16">
        <v>0.51049999999999995</v>
      </c>
      <c r="AX168" s="16">
        <v>0.42259999999999998</v>
      </c>
    </row>
    <row r="169" spans="1:50" x14ac:dyDescent="0.25">
      <c r="A169" s="8" t="s">
        <v>248</v>
      </c>
      <c r="B169" s="10" t="s">
        <v>57</v>
      </c>
      <c r="C169" s="16">
        <v>0.2137</v>
      </c>
      <c r="D169" s="16">
        <v>5.5E-2</v>
      </c>
      <c r="E169" s="16">
        <v>5.5E-2</v>
      </c>
      <c r="F169" s="16">
        <v>0.2137</v>
      </c>
      <c r="G169" s="16">
        <v>5.5E-2</v>
      </c>
      <c r="H169" s="16">
        <v>9.8299999999999998E-2</v>
      </c>
      <c r="I169" s="16">
        <v>0.1704</v>
      </c>
      <c r="J169" s="16">
        <v>5.5E-2</v>
      </c>
      <c r="K169" s="16">
        <v>0.2137</v>
      </c>
      <c r="L169" s="16">
        <v>5.5E-2</v>
      </c>
      <c r="M169" s="16">
        <v>5.5E-2</v>
      </c>
      <c r="N169" s="16">
        <v>0.19209999999999999</v>
      </c>
      <c r="O169" s="16">
        <v>7.6600000000000001E-2</v>
      </c>
      <c r="P169" s="16">
        <v>5.5E-2</v>
      </c>
      <c r="Q169" s="16">
        <v>0.18490000000000001</v>
      </c>
      <c r="R169" s="16">
        <v>8.3900000000000002E-2</v>
      </c>
      <c r="S169" s="16">
        <v>5.5E-2</v>
      </c>
      <c r="T169" s="16">
        <v>0.2137</v>
      </c>
      <c r="U169" s="16">
        <v>5.5E-2</v>
      </c>
      <c r="V169" s="16">
        <v>0.19209999999999999</v>
      </c>
      <c r="W169" s="16">
        <v>7.6600000000000001E-2</v>
      </c>
      <c r="X169" s="16">
        <v>5.5E-2</v>
      </c>
      <c r="Y169" s="16">
        <v>0.18490000000000001</v>
      </c>
      <c r="Z169" s="16">
        <v>0.24199999999999999</v>
      </c>
      <c r="AA169" s="16">
        <v>0.1948</v>
      </c>
      <c r="AB169" s="16">
        <v>0.27200000000000002</v>
      </c>
      <c r="AC169" s="16">
        <v>0.28399999999999997</v>
      </c>
      <c r="AD169" s="16">
        <v>0.18870000000000001</v>
      </c>
      <c r="AE169" s="16">
        <v>0.33119999999999999</v>
      </c>
      <c r="AF169" s="16">
        <v>7.2800000000000004E-2</v>
      </c>
      <c r="AG169" s="16">
        <v>0.19889999999999999</v>
      </c>
      <c r="AH169" s="16">
        <v>0.28589999999999999</v>
      </c>
      <c r="AI169" s="16">
        <v>0.1166</v>
      </c>
      <c r="AJ169" s="16">
        <v>0.20030000000000001</v>
      </c>
      <c r="AK169" s="16">
        <v>5.5E-2</v>
      </c>
      <c r="AL169" s="16">
        <v>0.2165</v>
      </c>
      <c r="AM169" s="16">
        <v>1.8546</v>
      </c>
      <c r="AN169" s="16">
        <v>0.46839999999999998</v>
      </c>
      <c r="AO169" s="16">
        <v>2.2502</v>
      </c>
      <c r="AP169" s="16">
        <v>0.38290000000000002</v>
      </c>
      <c r="AQ169" s="16">
        <v>0.69110000000000005</v>
      </c>
      <c r="AR169" s="16">
        <v>0.45910000000000001</v>
      </c>
      <c r="AS169" s="16">
        <v>1.3834</v>
      </c>
      <c r="AT169" s="16">
        <v>0.7137</v>
      </c>
      <c r="AU169" s="16">
        <v>0.91</v>
      </c>
      <c r="AV169" s="16">
        <v>0.81799999999999995</v>
      </c>
      <c r="AW169" s="16">
        <v>0.3054</v>
      </c>
      <c r="AX169" s="16">
        <v>0.19209999999999999</v>
      </c>
    </row>
    <row r="170" spans="1:50" x14ac:dyDescent="0.25">
      <c r="A170" s="8" t="s">
        <v>250</v>
      </c>
      <c r="B170" s="10" t="s">
        <v>57</v>
      </c>
      <c r="C170" s="16">
        <v>0.15959999999999999</v>
      </c>
      <c r="D170" s="16">
        <v>5.8000000000000003E-2</v>
      </c>
      <c r="E170" s="16">
        <v>5.8000000000000003E-2</v>
      </c>
      <c r="F170" s="16">
        <v>0.30680000000000002</v>
      </c>
      <c r="G170" s="16">
        <v>8.1199999999999994E-2</v>
      </c>
      <c r="H170" s="16">
        <v>0.13400000000000001</v>
      </c>
      <c r="I170" s="16">
        <v>0.254</v>
      </c>
      <c r="J170" s="16">
        <v>5.8000000000000003E-2</v>
      </c>
      <c r="K170" s="16">
        <v>0.21379999999999999</v>
      </c>
      <c r="L170" s="16">
        <v>0.1741</v>
      </c>
      <c r="M170" s="16">
        <v>5.8000000000000003E-2</v>
      </c>
      <c r="N170" s="16">
        <v>0.22539999999999999</v>
      </c>
      <c r="O170" s="16">
        <v>0.16250000000000001</v>
      </c>
      <c r="P170" s="16">
        <v>0.11990000000000001</v>
      </c>
      <c r="Q170" s="16">
        <v>0.16639999999999999</v>
      </c>
      <c r="R170" s="16">
        <v>0.25580000000000003</v>
      </c>
      <c r="S170" s="16">
        <v>0.3967</v>
      </c>
      <c r="T170" s="16">
        <v>0.4446</v>
      </c>
      <c r="U170" s="16">
        <v>0.37869999999999998</v>
      </c>
      <c r="V170" s="16">
        <v>0.37</v>
      </c>
      <c r="W170" s="16">
        <v>0.35120000000000001</v>
      </c>
      <c r="X170" s="16">
        <v>0.27139999999999997</v>
      </c>
      <c r="Y170" s="16">
        <v>0.44750000000000001</v>
      </c>
      <c r="Z170" s="16">
        <v>0.20219999999999999</v>
      </c>
      <c r="AA170" s="16">
        <v>0.27060000000000001</v>
      </c>
      <c r="AB170" s="16">
        <v>0.2293</v>
      </c>
      <c r="AC170" s="16">
        <v>0.15870000000000001</v>
      </c>
      <c r="AD170" s="16">
        <v>9.4299999999999995E-2</v>
      </c>
      <c r="AE170" s="16">
        <v>0.34229999999999999</v>
      </c>
      <c r="AF170" s="16">
        <v>0.22770000000000001</v>
      </c>
      <c r="AG170" s="16">
        <v>0.54400000000000004</v>
      </c>
      <c r="AH170" s="16">
        <v>0.36409999999999998</v>
      </c>
      <c r="AI170" s="16">
        <v>0.31309999999999999</v>
      </c>
      <c r="AJ170" s="16">
        <v>0.5343</v>
      </c>
      <c r="AK170" s="16">
        <v>0.38129999999999997</v>
      </c>
      <c r="AL170" s="16">
        <v>0.59550000000000003</v>
      </c>
      <c r="AM170" s="16">
        <v>5.8000000000000003E-2</v>
      </c>
      <c r="AN170" s="16">
        <v>5.8000000000000003E-2</v>
      </c>
      <c r="AO170" s="16">
        <v>0.2283</v>
      </c>
      <c r="AP170" s="16">
        <v>0.15240000000000001</v>
      </c>
      <c r="AQ170" s="16">
        <v>6.5299999999999997E-2</v>
      </c>
      <c r="AR170" s="16">
        <v>0.18140000000000001</v>
      </c>
      <c r="AS170" s="16">
        <v>0.20660000000000001</v>
      </c>
      <c r="AT170" s="16">
        <v>5.8000000000000003E-2</v>
      </c>
      <c r="AU170" s="16">
        <v>0.18190000000000001</v>
      </c>
      <c r="AV170" s="16">
        <v>0.1045</v>
      </c>
      <c r="AW170" s="16">
        <v>0.15959999999999999</v>
      </c>
      <c r="AX170" s="16">
        <v>0.2283</v>
      </c>
    </row>
    <row r="171" spans="1:50" x14ac:dyDescent="0.25">
      <c r="A171" s="17" t="s">
        <v>545</v>
      </c>
      <c r="B171" s="13" t="s">
        <v>410</v>
      </c>
      <c r="C171" s="18">
        <v>0.42559999999999998</v>
      </c>
      <c r="D171" s="18">
        <v>5.8999999999999997E-2</v>
      </c>
      <c r="E171" s="18">
        <v>0.2195</v>
      </c>
      <c r="F171" s="18">
        <v>0.31580000000000003</v>
      </c>
      <c r="G171" s="18">
        <v>5.8999999999999997E-2</v>
      </c>
      <c r="H171" s="18">
        <v>5.8999999999999997E-2</v>
      </c>
      <c r="I171" s="18">
        <v>0.2336</v>
      </c>
      <c r="J171" s="18">
        <v>0.30159999999999998</v>
      </c>
      <c r="K171" s="18">
        <v>5.8999999999999997E-2</v>
      </c>
      <c r="L171" s="18">
        <v>0.28660000000000002</v>
      </c>
      <c r="M171" s="18">
        <v>0.24859999999999999</v>
      </c>
      <c r="N171" s="18">
        <v>5.8999999999999997E-2</v>
      </c>
      <c r="O171" s="18">
        <v>0.47620000000000001</v>
      </c>
      <c r="P171" s="18">
        <v>5.8999999999999997E-2</v>
      </c>
      <c r="Q171" s="18">
        <v>0.29930000000000001</v>
      </c>
      <c r="R171" s="18">
        <v>0.2359</v>
      </c>
      <c r="S171" s="18">
        <v>0.1726</v>
      </c>
      <c r="T171" s="18">
        <v>0.85660000000000003</v>
      </c>
      <c r="U171" s="18">
        <v>0.56100000000000005</v>
      </c>
      <c r="V171" s="18">
        <v>0.2021</v>
      </c>
      <c r="W171" s="18">
        <v>0.45929999999999999</v>
      </c>
      <c r="X171" s="18">
        <v>0.33560000000000001</v>
      </c>
      <c r="Y171" s="18">
        <v>0.1183</v>
      </c>
      <c r="Z171" s="18">
        <v>0.57120000000000004</v>
      </c>
      <c r="AA171" s="18">
        <v>0.38069999999999998</v>
      </c>
      <c r="AB171" s="18">
        <v>0.2092</v>
      </c>
      <c r="AC171" s="18">
        <v>1.1143000000000001</v>
      </c>
      <c r="AD171" s="18">
        <v>0.64410000000000001</v>
      </c>
      <c r="AE171" s="18">
        <v>0.29659999999999997</v>
      </c>
      <c r="AF171" s="18">
        <v>2.4824999999999999</v>
      </c>
      <c r="AG171" s="18">
        <v>2.7330000000000001</v>
      </c>
      <c r="AH171" s="18">
        <v>1.1557999999999999</v>
      </c>
      <c r="AI171" s="18">
        <v>1.4092</v>
      </c>
      <c r="AJ171" s="18">
        <v>1.1841999999999999</v>
      </c>
      <c r="AK171" s="18">
        <v>1.9046000000000001</v>
      </c>
      <c r="AL171" s="18">
        <v>0.57640000000000002</v>
      </c>
      <c r="AM171" s="18">
        <v>0.64400000000000002</v>
      </c>
      <c r="AN171" s="18">
        <v>0.52990000000000004</v>
      </c>
      <c r="AO171" s="18">
        <v>0.54079999999999995</v>
      </c>
      <c r="AP171" s="18">
        <v>0.64590000000000003</v>
      </c>
      <c r="AQ171" s="18">
        <v>0.61770000000000003</v>
      </c>
      <c r="AR171" s="18">
        <v>0.70550000000000002</v>
      </c>
      <c r="AS171" s="18">
        <v>0.72119999999999995</v>
      </c>
      <c r="AT171" s="18">
        <v>0.67130000000000001</v>
      </c>
      <c r="AU171" s="18">
        <v>0.74219999999999997</v>
      </c>
      <c r="AV171" s="18">
        <v>0.66900000000000004</v>
      </c>
      <c r="AW171" s="18">
        <v>0.34820000000000001</v>
      </c>
      <c r="AX171" s="18">
        <v>0.2364</v>
      </c>
    </row>
    <row r="172" spans="1:50" x14ac:dyDescent="0.25">
      <c r="A172" s="8" t="s">
        <v>252</v>
      </c>
      <c r="B172" s="10" t="s">
        <v>57</v>
      </c>
      <c r="C172" s="16">
        <v>0.1464</v>
      </c>
      <c r="D172" s="16">
        <v>0.18140000000000001</v>
      </c>
      <c r="E172" s="16">
        <v>0.13239999999999999</v>
      </c>
      <c r="F172" s="16">
        <v>0.1804</v>
      </c>
      <c r="G172" s="16">
        <v>0.215</v>
      </c>
      <c r="H172" s="16">
        <v>5.0999999999999997E-2</v>
      </c>
      <c r="I172" s="16">
        <v>0.3513</v>
      </c>
      <c r="J172" s="16">
        <v>5.0999999999999997E-2</v>
      </c>
      <c r="K172" s="16">
        <v>0.29909999999999998</v>
      </c>
      <c r="L172" s="16">
        <v>0.1032</v>
      </c>
      <c r="M172" s="16">
        <v>5.0999999999999997E-2</v>
      </c>
      <c r="N172" s="16">
        <v>0.26829999999999998</v>
      </c>
      <c r="O172" s="16">
        <v>0.13400000000000001</v>
      </c>
      <c r="P172" s="16">
        <v>0.17369999999999999</v>
      </c>
      <c r="Q172" s="16">
        <v>0.26929999999999998</v>
      </c>
      <c r="R172" s="16">
        <v>0.1729</v>
      </c>
      <c r="S172" s="16">
        <v>0.24440000000000001</v>
      </c>
      <c r="T172" s="16">
        <v>0.26860000000000001</v>
      </c>
      <c r="U172" s="16">
        <v>0.71009999999999995</v>
      </c>
      <c r="V172" s="16">
        <v>0.70120000000000005</v>
      </c>
      <c r="W172" s="16">
        <v>0.42570000000000002</v>
      </c>
      <c r="X172" s="16">
        <v>0.22420000000000001</v>
      </c>
      <c r="Y172" s="16">
        <v>0.14050000000000001</v>
      </c>
      <c r="Z172" s="16">
        <v>0.12559999999999999</v>
      </c>
      <c r="AA172" s="16">
        <v>8.8300000000000003E-2</v>
      </c>
      <c r="AB172" s="16">
        <v>0.314</v>
      </c>
      <c r="AC172" s="16">
        <v>5.0999999999999997E-2</v>
      </c>
      <c r="AD172" s="16">
        <v>5.7799999999999997E-2</v>
      </c>
      <c r="AE172" s="16">
        <v>0.1804</v>
      </c>
      <c r="AF172" s="16">
        <v>5.0999999999999997E-2</v>
      </c>
      <c r="AG172" s="16">
        <v>1.2043999999999999</v>
      </c>
      <c r="AH172" s="16">
        <v>0.19719999999999999</v>
      </c>
      <c r="AI172" s="16">
        <v>0.30620000000000003</v>
      </c>
      <c r="AJ172" s="16">
        <v>0.22700000000000001</v>
      </c>
      <c r="AK172" s="16">
        <v>0.1421</v>
      </c>
      <c r="AL172" s="16">
        <v>1.4478</v>
      </c>
      <c r="AM172" s="16">
        <v>0.1988</v>
      </c>
      <c r="AN172" s="16">
        <v>0.26989999999999997</v>
      </c>
      <c r="AO172" s="16">
        <v>0.28000000000000003</v>
      </c>
      <c r="AP172" s="16">
        <v>0.11360000000000001</v>
      </c>
      <c r="AQ172" s="16">
        <v>0.37230000000000002</v>
      </c>
      <c r="AR172" s="16">
        <v>0.3352</v>
      </c>
      <c r="AS172" s="16">
        <v>0.34599999999999997</v>
      </c>
      <c r="AT172" s="16">
        <v>0.25159999999999999</v>
      </c>
      <c r="AU172" s="16">
        <v>0.4304</v>
      </c>
      <c r="AV172" s="16">
        <v>0.3387</v>
      </c>
      <c r="AW172" s="16">
        <v>0.39960000000000001</v>
      </c>
      <c r="AX172" s="16">
        <v>0.40739999999999998</v>
      </c>
    </row>
    <row r="173" spans="1:50" x14ac:dyDescent="0.25">
      <c r="A173" s="17" t="s">
        <v>547</v>
      </c>
      <c r="B173" s="13" t="s">
        <v>410</v>
      </c>
      <c r="C173" s="18">
        <v>0.22559999999999999</v>
      </c>
      <c r="D173" s="18">
        <v>5.2999999999999999E-2</v>
      </c>
      <c r="E173" s="18">
        <v>0.1229</v>
      </c>
      <c r="F173" s="18">
        <v>0.15329999999999999</v>
      </c>
      <c r="G173" s="18">
        <v>0.21379999999999999</v>
      </c>
      <c r="H173" s="18">
        <v>6.2300000000000001E-2</v>
      </c>
      <c r="I173" s="18">
        <v>0.18609999999999999</v>
      </c>
      <c r="J173" s="18">
        <v>0.17630000000000001</v>
      </c>
      <c r="K173" s="18">
        <v>9.3700000000000006E-2</v>
      </c>
      <c r="L173" s="18">
        <v>0.26869999999999999</v>
      </c>
      <c r="M173" s="18">
        <v>5.2999999999999999E-2</v>
      </c>
      <c r="N173" s="18">
        <v>0.22559999999999999</v>
      </c>
      <c r="O173" s="18">
        <v>0.1042</v>
      </c>
      <c r="P173" s="18">
        <v>0.2268</v>
      </c>
      <c r="Q173" s="18">
        <v>8.4400000000000003E-2</v>
      </c>
      <c r="R173" s="18">
        <v>0.13139999999999999</v>
      </c>
      <c r="S173" s="18">
        <v>0.14710000000000001</v>
      </c>
      <c r="T173" s="18">
        <v>0.1229</v>
      </c>
      <c r="U173" s="18">
        <v>0.23960000000000001</v>
      </c>
      <c r="V173" s="18">
        <v>0.1368</v>
      </c>
      <c r="W173" s="18">
        <v>0.20699999999999999</v>
      </c>
      <c r="X173" s="18">
        <v>0.17249999999999999</v>
      </c>
      <c r="Y173" s="18">
        <v>0.1368</v>
      </c>
      <c r="Z173" s="18">
        <v>0.22559999999999999</v>
      </c>
      <c r="AA173" s="18">
        <v>0.1368</v>
      </c>
      <c r="AB173" s="18">
        <v>5.4800000000000001E-2</v>
      </c>
      <c r="AC173" s="18">
        <v>5.7700000000000001E-2</v>
      </c>
      <c r="AD173" s="18">
        <v>0.27339999999999998</v>
      </c>
      <c r="AE173" s="18">
        <v>8.4400000000000003E-2</v>
      </c>
      <c r="AF173" s="18">
        <v>0.2109</v>
      </c>
      <c r="AG173" s="18">
        <v>0.38840000000000002</v>
      </c>
      <c r="AH173" s="18">
        <v>0.2666</v>
      </c>
      <c r="AI173" s="18">
        <v>0.53990000000000005</v>
      </c>
      <c r="AJ173" s="18">
        <v>0.51490000000000002</v>
      </c>
      <c r="AK173" s="18">
        <v>0.38379999999999997</v>
      </c>
      <c r="AL173" s="18">
        <v>0.50829999999999997</v>
      </c>
      <c r="AM173" s="18">
        <v>0.38419999999999999</v>
      </c>
      <c r="AN173" s="18">
        <v>0.41860000000000003</v>
      </c>
      <c r="AO173" s="18">
        <v>2.1153</v>
      </c>
      <c r="AP173" s="18">
        <v>2.5706000000000002</v>
      </c>
      <c r="AQ173" s="18">
        <v>1.6833</v>
      </c>
      <c r="AR173" s="18">
        <v>7.6499999999999999E-2</v>
      </c>
      <c r="AS173" s="18">
        <v>0.18290000000000001</v>
      </c>
      <c r="AT173" s="18">
        <v>0.17949999999999999</v>
      </c>
      <c r="AU173" s="18">
        <v>0.10009999999999999</v>
      </c>
      <c r="AV173" s="18">
        <v>0.17849999999999999</v>
      </c>
      <c r="AW173" s="18">
        <v>0.1368</v>
      </c>
      <c r="AX173" s="18">
        <v>0.17849999999999999</v>
      </c>
    </row>
    <row r="174" spans="1:50" x14ac:dyDescent="0.25">
      <c r="A174" s="17" t="s">
        <v>549</v>
      </c>
      <c r="B174" s="13" t="s">
        <v>410</v>
      </c>
      <c r="C174" s="18">
        <v>0.16769999999999999</v>
      </c>
      <c r="D174" s="18">
        <v>5.6000000000000001E-2</v>
      </c>
      <c r="E174" s="18">
        <v>5.6000000000000001E-2</v>
      </c>
      <c r="F174" s="18">
        <v>0.16769999999999999</v>
      </c>
      <c r="G174" s="18">
        <v>5.6000000000000001E-2</v>
      </c>
      <c r="H174" s="18">
        <v>0.16769999999999999</v>
      </c>
      <c r="I174" s="18">
        <v>5.6000000000000001E-2</v>
      </c>
      <c r="J174" s="18">
        <v>5.6000000000000001E-2</v>
      </c>
      <c r="K174" s="18">
        <v>5.6000000000000001E-2</v>
      </c>
      <c r="L174" s="18">
        <v>0.16769999999999999</v>
      </c>
      <c r="M174" s="18">
        <v>5.6000000000000001E-2</v>
      </c>
      <c r="N174" s="18">
        <v>5.6000000000000001E-2</v>
      </c>
      <c r="O174" s="18">
        <v>0.16769999999999999</v>
      </c>
      <c r="P174" s="18">
        <v>5.6000000000000001E-2</v>
      </c>
      <c r="Q174" s="18">
        <v>0.1278</v>
      </c>
      <c r="R174" s="18">
        <v>9.5899999999999999E-2</v>
      </c>
      <c r="S174" s="18">
        <v>5.6000000000000001E-2</v>
      </c>
      <c r="T174" s="18">
        <v>5.6000000000000001E-2</v>
      </c>
      <c r="U174" s="18">
        <v>0.16769999999999999</v>
      </c>
      <c r="V174" s="18">
        <v>5.6000000000000001E-2</v>
      </c>
      <c r="W174" s="18">
        <v>0.1278</v>
      </c>
      <c r="X174" s="18">
        <v>9.5899999999999999E-2</v>
      </c>
      <c r="Y174" s="18">
        <v>5.6000000000000001E-2</v>
      </c>
      <c r="Z174" s="18">
        <v>0.16769999999999999</v>
      </c>
      <c r="AA174" s="18">
        <v>5.6000000000000001E-2</v>
      </c>
      <c r="AB174" s="18">
        <v>5.6000000000000001E-2</v>
      </c>
      <c r="AC174" s="18">
        <v>5.6000000000000001E-2</v>
      </c>
      <c r="AD174" s="18">
        <v>0.16769999999999999</v>
      </c>
      <c r="AE174" s="18">
        <v>5.6000000000000001E-2</v>
      </c>
      <c r="AF174" s="18">
        <v>0.15179999999999999</v>
      </c>
      <c r="AG174" s="18">
        <v>7.1999999999999995E-2</v>
      </c>
      <c r="AH174" s="18">
        <v>5.6000000000000001E-2</v>
      </c>
      <c r="AI174" s="18">
        <v>0.16769999999999999</v>
      </c>
      <c r="AJ174" s="18">
        <v>5.6000000000000001E-2</v>
      </c>
      <c r="AK174" s="18">
        <v>5.6000000000000001E-2</v>
      </c>
      <c r="AL174" s="18">
        <v>0.16769999999999999</v>
      </c>
      <c r="AM174" s="18">
        <v>5.6000000000000001E-2</v>
      </c>
      <c r="AN174" s="18">
        <v>5.6000000000000001E-2</v>
      </c>
      <c r="AO174" s="18">
        <v>5.6000000000000001E-2</v>
      </c>
      <c r="AP174" s="18">
        <v>0.2031</v>
      </c>
      <c r="AQ174" s="18">
        <v>0.20100000000000001</v>
      </c>
      <c r="AR174" s="18">
        <v>0.21579999999999999</v>
      </c>
      <c r="AS174" s="18">
        <v>0.28970000000000001</v>
      </c>
      <c r="AT174" s="18">
        <v>0.2397</v>
      </c>
      <c r="AU174" s="18">
        <v>0.45040000000000002</v>
      </c>
      <c r="AV174" s="18">
        <v>0.31080000000000002</v>
      </c>
      <c r="AW174" s="18">
        <v>0.36799999999999999</v>
      </c>
      <c r="AX174" s="18">
        <v>0.624</v>
      </c>
    </row>
    <row r="175" spans="1:50" x14ac:dyDescent="0.25">
      <c r="A175" s="8" t="s">
        <v>254</v>
      </c>
      <c r="B175" s="10" t="s">
        <v>57</v>
      </c>
      <c r="C175" s="16">
        <v>0.75990000000000002</v>
      </c>
      <c r="D175" s="16">
        <v>5.1999999999999998E-2</v>
      </c>
      <c r="E175" s="16">
        <v>0.15679999999999999</v>
      </c>
      <c r="F175" s="16">
        <v>0.1246</v>
      </c>
      <c r="G175" s="16">
        <v>6.8099999999999994E-2</v>
      </c>
      <c r="H175" s="16">
        <v>0.21329999999999999</v>
      </c>
      <c r="I175" s="16">
        <v>5.1999999999999998E-2</v>
      </c>
      <c r="J175" s="16">
        <v>0.15679999999999999</v>
      </c>
      <c r="K175" s="16">
        <v>0.1246</v>
      </c>
      <c r="L175" s="16">
        <v>0.1004</v>
      </c>
      <c r="M175" s="16">
        <v>0.18099999999999999</v>
      </c>
      <c r="N175" s="16">
        <v>5.1999999999999998E-2</v>
      </c>
      <c r="O175" s="16">
        <v>0.21329999999999999</v>
      </c>
      <c r="P175" s="16">
        <v>6.8099999999999994E-2</v>
      </c>
      <c r="Q175" s="16">
        <v>0.55400000000000005</v>
      </c>
      <c r="R175" s="16">
        <v>0.45400000000000001</v>
      </c>
      <c r="S175" s="16">
        <v>0.2417</v>
      </c>
      <c r="T175" s="16">
        <v>0.36349999999999999</v>
      </c>
      <c r="U175" s="16">
        <v>0.1482</v>
      </c>
      <c r="V175" s="16">
        <v>0.13270000000000001</v>
      </c>
      <c r="W175" s="16">
        <v>0.3543</v>
      </c>
      <c r="X175" s="16">
        <v>5.1999999999999998E-2</v>
      </c>
      <c r="Y175" s="16">
        <v>8.3099999999999993E-2</v>
      </c>
      <c r="Z175" s="16">
        <v>0.32990000000000003</v>
      </c>
      <c r="AA175" s="16">
        <v>0.24790000000000001</v>
      </c>
      <c r="AB175" s="16">
        <v>0.20280000000000001</v>
      </c>
      <c r="AC175" s="16">
        <v>0.44590000000000002</v>
      </c>
      <c r="AD175" s="16">
        <v>0.2545</v>
      </c>
      <c r="AE175" s="16">
        <v>1.0239</v>
      </c>
      <c r="AF175" s="16">
        <v>0.46079999999999999</v>
      </c>
      <c r="AG175" s="16">
        <v>0.27860000000000001</v>
      </c>
      <c r="AH175" s="16">
        <v>0.28499999999999998</v>
      </c>
      <c r="AI175" s="16">
        <v>0.36370000000000002</v>
      </c>
      <c r="AJ175" s="16">
        <v>0.31569999999999998</v>
      </c>
      <c r="AK175" s="16">
        <v>0.1003</v>
      </c>
      <c r="AL175" s="16">
        <v>0.30049999999999999</v>
      </c>
      <c r="AM175" s="16">
        <v>0.1784</v>
      </c>
      <c r="AN175" s="16">
        <v>0.45860000000000001</v>
      </c>
      <c r="AO175" s="16">
        <v>0.40529999999999999</v>
      </c>
      <c r="AP175" s="16">
        <v>0.42409999999999998</v>
      </c>
      <c r="AQ175" s="16">
        <v>0.57740000000000002</v>
      </c>
      <c r="AR175" s="16">
        <v>0.75109999999999999</v>
      </c>
      <c r="AS175" s="16">
        <v>0.63819999999999999</v>
      </c>
      <c r="AT175" s="16">
        <v>0.11650000000000001</v>
      </c>
      <c r="AU175" s="16">
        <v>0.16489999999999999</v>
      </c>
      <c r="AV175" s="16">
        <v>0.11609999999999999</v>
      </c>
      <c r="AW175" s="16">
        <v>0.22140000000000001</v>
      </c>
      <c r="AX175" s="16">
        <v>5.1999999999999998E-2</v>
      </c>
    </row>
    <row r="176" spans="1:50" x14ac:dyDescent="0.25">
      <c r="A176" s="8" t="s">
        <v>256</v>
      </c>
      <c r="B176" s="10" t="s">
        <v>57</v>
      </c>
      <c r="C176" s="16">
        <v>0.10680000000000001</v>
      </c>
      <c r="D176" s="16">
        <v>0.26500000000000001</v>
      </c>
      <c r="E176" s="16">
        <v>0.12559999999999999</v>
      </c>
      <c r="F176" s="16">
        <v>0.44290000000000002</v>
      </c>
      <c r="G176" s="16">
        <v>8.9300000000000004E-2</v>
      </c>
      <c r="H176" s="16">
        <v>0.36599999999999999</v>
      </c>
      <c r="I176" s="16">
        <v>0.22320000000000001</v>
      </c>
      <c r="J176" s="16">
        <v>0.23480000000000001</v>
      </c>
      <c r="K176" s="16">
        <v>0.33479999999999999</v>
      </c>
      <c r="L176" s="16">
        <v>0.18970000000000001</v>
      </c>
      <c r="M176" s="16">
        <v>0.14230000000000001</v>
      </c>
      <c r="N176" s="16">
        <v>0.30649999999999999</v>
      </c>
      <c r="O176" s="16">
        <v>0.13439999999999999</v>
      </c>
      <c r="P176" s="16">
        <v>0.25069999999999998</v>
      </c>
      <c r="Q176" s="16">
        <v>0.2752</v>
      </c>
      <c r="R176" s="16">
        <v>0.2215</v>
      </c>
      <c r="S176" s="16">
        <v>0.30320000000000003</v>
      </c>
      <c r="T176" s="16">
        <v>0.35959999999999998</v>
      </c>
      <c r="U176" s="16">
        <v>0.2039</v>
      </c>
      <c r="V176" s="16">
        <v>0.29559999999999997</v>
      </c>
      <c r="W176" s="16">
        <v>0.19570000000000001</v>
      </c>
      <c r="X176" s="16">
        <v>0.16120000000000001</v>
      </c>
      <c r="Y176" s="16">
        <v>0.22559999999999999</v>
      </c>
      <c r="Z176" s="16">
        <v>0.31909999999999999</v>
      </c>
      <c r="AA176" s="16">
        <v>0.16589999999999999</v>
      </c>
      <c r="AB176" s="16">
        <v>0.25180000000000002</v>
      </c>
      <c r="AC176" s="16">
        <v>0.4052</v>
      </c>
      <c r="AD176" s="16">
        <v>0.39329999999999998</v>
      </c>
      <c r="AE176" s="16">
        <v>0.51270000000000004</v>
      </c>
      <c r="AF176" s="16">
        <v>0.1799</v>
      </c>
      <c r="AG176" s="16">
        <v>0.1449</v>
      </c>
      <c r="AH176" s="16">
        <v>0.26769999999999999</v>
      </c>
      <c r="AI176" s="16">
        <v>0.37080000000000002</v>
      </c>
      <c r="AJ176" s="16">
        <v>0.1769</v>
      </c>
      <c r="AK176" s="16">
        <v>0.44550000000000001</v>
      </c>
      <c r="AL176" s="16">
        <v>9.5399999999999999E-2</v>
      </c>
      <c r="AM176" s="16">
        <v>0.41060000000000002</v>
      </c>
      <c r="AN176" s="16">
        <v>0.38719999999999999</v>
      </c>
      <c r="AO176" s="16">
        <v>0.39079999999999998</v>
      </c>
      <c r="AP176" s="16">
        <v>0.27800000000000002</v>
      </c>
      <c r="AQ176" s="16">
        <v>1.7121999999999999</v>
      </c>
      <c r="AR176" s="16">
        <v>0.36570000000000003</v>
      </c>
      <c r="AS176" s="16">
        <v>0.62760000000000005</v>
      </c>
      <c r="AT176" s="16">
        <v>0.86990000000000001</v>
      </c>
      <c r="AU176" s="16">
        <v>0.48020000000000002</v>
      </c>
      <c r="AV176" s="16">
        <v>0.46970000000000001</v>
      </c>
      <c r="AW176" s="16">
        <v>0.45229999999999998</v>
      </c>
      <c r="AX176" s="16">
        <v>0.67849999999999999</v>
      </c>
    </row>
    <row r="177" spans="1:50" x14ac:dyDescent="0.25">
      <c r="A177" s="8" t="s">
        <v>258</v>
      </c>
      <c r="B177" s="10" t="s">
        <v>57</v>
      </c>
      <c r="C177" s="16">
        <v>4.3999999999999997E-2</v>
      </c>
      <c r="D177" s="16">
        <v>4.3999999999999997E-2</v>
      </c>
      <c r="E177" s="16">
        <v>0.1053</v>
      </c>
      <c r="F177" s="16">
        <v>0.15060000000000001</v>
      </c>
      <c r="G177" s="16">
        <v>4.3999999999999997E-2</v>
      </c>
      <c r="H177" s="16">
        <v>4.3999999999999997E-2</v>
      </c>
      <c r="I177" s="16">
        <v>4.3999999999999997E-2</v>
      </c>
      <c r="J177" s="16">
        <v>4.3999999999999997E-2</v>
      </c>
      <c r="K177" s="16">
        <v>4.3999999999999997E-2</v>
      </c>
      <c r="L177" s="16">
        <v>4.3999999999999997E-2</v>
      </c>
      <c r="M177" s="16">
        <v>4.3999999999999997E-2</v>
      </c>
      <c r="N177" s="16">
        <v>4.3999999999999997E-2</v>
      </c>
      <c r="O177" s="16">
        <v>4.3999999999999997E-2</v>
      </c>
      <c r="P177" s="16">
        <v>4.3999999999999997E-2</v>
      </c>
      <c r="Q177" s="16">
        <v>4.3999999999999997E-2</v>
      </c>
      <c r="R177" s="16">
        <v>0.2681</v>
      </c>
      <c r="S177" s="16">
        <v>0.20369999999999999</v>
      </c>
      <c r="T177" s="16">
        <v>0.25369999999999998</v>
      </c>
      <c r="U177" s="16">
        <v>0.35699999999999998</v>
      </c>
      <c r="V177" s="16">
        <v>4.3999999999999997E-2</v>
      </c>
      <c r="W177" s="16">
        <v>4.3999999999999997E-2</v>
      </c>
      <c r="X177" s="16">
        <v>4.3999999999999997E-2</v>
      </c>
      <c r="Y177" s="16">
        <v>4.3999999999999997E-2</v>
      </c>
      <c r="Z177" s="16">
        <v>4.3999999999999997E-2</v>
      </c>
      <c r="AA177" s="16">
        <v>4.3999999999999997E-2</v>
      </c>
      <c r="AB177" s="16">
        <v>4.3999999999999997E-2</v>
      </c>
      <c r="AC177" s="16">
        <v>0.26979999999999998</v>
      </c>
      <c r="AD177" s="16">
        <v>0.26979999999999998</v>
      </c>
      <c r="AE177" s="16">
        <v>0.19040000000000001</v>
      </c>
      <c r="AF177" s="16">
        <v>0.2077</v>
      </c>
      <c r="AG177" s="16">
        <v>0.1208</v>
      </c>
      <c r="AH177" s="16">
        <v>8.7800000000000003E-2</v>
      </c>
      <c r="AI177" s="16">
        <v>0.38600000000000001</v>
      </c>
      <c r="AJ177" s="16">
        <v>9.5399999999999999E-2</v>
      </c>
      <c r="AK177" s="16">
        <v>4.3999999999999997E-2</v>
      </c>
      <c r="AL177" s="16">
        <v>4.3999999999999997E-2</v>
      </c>
      <c r="AM177" s="16">
        <v>4.3999999999999997E-2</v>
      </c>
      <c r="AN177" s="16">
        <v>4.3999999999999997E-2</v>
      </c>
      <c r="AO177" s="16">
        <v>0.12590000000000001</v>
      </c>
      <c r="AP177" s="16">
        <v>0.2702</v>
      </c>
      <c r="AQ177" s="16">
        <v>0.4128</v>
      </c>
      <c r="AR177" s="16">
        <v>0.27029999999999998</v>
      </c>
      <c r="AS177" s="16">
        <v>0.35389999999999999</v>
      </c>
      <c r="AT177" s="16">
        <v>0.38379999999999997</v>
      </c>
      <c r="AU177" s="16">
        <v>0.38569999999999999</v>
      </c>
      <c r="AV177" s="16">
        <v>0.34889999999999999</v>
      </c>
      <c r="AW177" s="16">
        <v>0.22</v>
      </c>
      <c r="AX177" s="16">
        <v>4.3999999999999997E-2</v>
      </c>
    </row>
    <row r="178" spans="1:50" x14ac:dyDescent="0.25">
      <c r="A178" s="17" t="s">
        <v>551</v>
      </c>
      <c r="B178" s="13" t="s">
        <v>410</v>
      </c>
      <c r="C178" s="18">
        <v>4.8000000000000001E-2</v>
      </c>
      <c r="D178" s="18">
        <v>4.8000000000000001E-2</v>
      </c>
      <c r="E178" s="18">
        <v>4.8000000000000001E-2</v>
      </c>
      <c r="F178" s="18">
        <v>4.8000000000000001E-2</v>
      </c>
      <c r="G178" s="18">
        <v>4.8000000000000001E-2</v>
      </c>
      <c r="H178" s="18">
        <v>4.8000000000000001E-2</v>
      </c>
      <c r="I178" s="18">
        <v>4.8000000000000001E-2</v>
      </c>
      <c r="J178" s="18">
        <v>4.8000000000000001E-2</v>
      </c>
      <c r="K178" s="18">
        <v>4.8000000000000001E-2</v>
      </c>
      <c r="L178" s="18">
        <v>4.8000000000000001E-2</v>
      </c>
      <c r="M178" s="18">
        <v>4.8000000000000001E-2</v>
      </c>
      <c r="N178" s="18">
        <v>4.8000000000000001E-2</v>
      </c>
      <c r="O178" s="18">
        <v>4.8000000000000001E-2</v>
      </c>
      <c r="P178" s="18">
        <v>4.8000000000000001E-2</v>
      </c>
      <c r="Q178" s="18">
        <v>4.8000000000000001E-2</v>
      </c>
      <c r="R178" s="18">
        <v>4.8000000000000001E-2</v>
      </c>
      <c r="S178" s="18">
        <v>4.8000000000000001E-2</v>
      </c>
      <c r="T178" s="18">
        <v>4.8000000000000001E-2</v>
      </c>
      <c r="U178" s="18">
        <v>0.33739999999999998</v>
      </c>
      <c r="V178" s="18">
        <v>0.39989999999999998</v>
      </c>
      <c r="W178" s="18">
        <v>5.0099999999999999E-2</v>
      </c>
      <c r="X178" s="18">
        <v>4.8000000000000001E-2</v>
      </c>
      <c r="Y178" s="18">
        <v>4.8000000000000001E-2</v>
      </c>
      <c r="Z178" s="18">
        <v>4.8000000000000001E-2</v>
      </c>
      <c r="AA178" s="18">
        <v>4.8000000000000001E-2</v>
      </c>
      <c r="AB178" s="18">
        <v>4.8000000000000001E-2</v>
      </c>
      <c r="AC178" s="18">
        <v>4.8000000000000001E-2</v>
      </c>
      <c r="AD178" s="18">
        <v>7.8200000000000006E-2</v>
      </c>
      <c r="AE178" s="18">
        <v>0.21790000000000001</v>
      </c>
      <c r="AF178" s="18">
        <v>0.50890000000000002</v>
      </c>
      <c r="AG178" s="18">
        <v>0.51470000000000005</v>
      </c>
      <c r="AH178" s="18">
        <v>6.0100000000000001E-2</v>
      </c>
      <c r="AI178" s="18">
        <v>6.4399999999999999E-2</v>
      </c>
      <c r="AJ178" s="18">
        <v>5.9499999999999997E-2</v>
      </c>
      <c r="AK178" s="18">
        <v>7.3300000000000004E-2</v>
      </c>
      <c r="AL178" s="18">
        <v>0.13220000000000001</v>
      </c>
      <c r="AM178" s="18">
        <v>0.54500000000000004</v>
      </c>
      <c r="AN178" s="18">
        <v>0.46110000000000001</v>
      </c>
      <c r="AO178" s="18">
        <v>0.59460000000000002</v>
      </c>
      <c r="AP178" s="18">
        <v>0.49120000000000003</v>
      </c>
      <c r="AQ178" s="18">
        <v>0.54979999999999996</v>
      </c>
      <c r="AR178" s="18">
        <v>0.44009999999999999</v>
      </c>
      <c r="AS178" s="18">
        <v>0.60019999999999996</v>
      </c>
      <c r="AT178" s="18">
        <v>0.38669999999999999</v>
      </c>
      <c r="AU178" s="18">
        <v>0.51319999999999999</v>
      </c>
      <c r="AV178" s="18">
        <v>0.49409999999999998</v>
      </c>
      <c r="AW178" s="18">
        <v>0.67330000000000001</v>
      </c>
      <c r="AX178" s="18">
        <v>0.51280000000000003</v>
      </c>
    </row>
    <row r="179" spans="1:50" x14ac:dyDescent="0.25">
      <c r="A179" s="8" t="s">
        <v>260</v>
      </c>
      <c r="B179" s="10" t="s">
        <v>57</v>
      </c>
      <c r="C179" s="16">
        <v>4.8000000000000001E-2</v>
      </c>
      <c r="D179" s="16">
        <v>0.15490000000000001</v>
      </c>
      <c r="E179" s="16">
        <v>4.8000000000000001E-2</v>
      </c>
      <c r="F179" s="16">
        <v>4.8000000000000001E-2</v>
      </c>
      <c r="G179" s="16">
        <v>0.15490000000000001</v>
      </c>
      <c r="H179" s="16">
        <v>4.8000000000000001E-2</v>
      </c>
      <c r="I179" s="16">
        <v>4.8000000000000001E-2</v>
      </c>
      <c r="J179" s="16">
        <v>0.15490000000000001</v>
      </c>
      <c r="K179" s="16">
        <v>4.8000000000000001E-2</v>
      </c>
      <c r="L179" s="16">
        <v>0.15490000000000001</v>
      </c>
      <c r="M179" s="16">
        <v>4.8000000000000001E-2</v>
      </c>
      <c r="N179" s="16">
        <v>4.8000000000000001E-2</v>
      </c>
      <c r="O179" s="16">
        <v>0.15490000000000001</v>
      </c>
      <c r="P179" s="16">
        <v>0.1086</v>
      </c>
      <c r="Q179" s="16">
        <v>0.22900000000000001</v>
      </c>
      <c r="R179" s="16">
        <v>0.20449999999999999</v>
      </c>
      <c r="S179" s="16">
        <v>0.3574</v>
      </c>
      <c r="T179" s="16">
        <v>0.25359999999999999</v>
      </c>
      <c r="U179" s="16">
        <v>0.24199999999999999</v>
      </c>
      <c r="V179" s="16">
        <v>0.1343</v>
      </c>
      <c r="W179" s="16">
        <v>0.1623</v>
      </c>
      <c r="X179" s="16">
        <v>0.85640000000000005</v>
      </c>
      <c r="Y179" s="16">
        <v>0.1565</v>
      </c>
      <c r="Z179" s="16">
        <v>4.8000000000000001E-2</v>
      </c>
      <c r="AA179" s="16">
        <v>0.15490000000000001</v>
      </c>
      <c r="AB179" s="16">
        <v>5.7200000000000001E-2</v>
      </c>
      <c r="AC179" s="16">
        <v>0.79349999999999998</v>
      </c>
      <c r="AD179" s="16">
        <v>0.53910000000000002</v>
      </c>
      <c r="AE179" s="16">
        <v>4.8000000000000001E-2</v>
      </c>
      <c r="AF179" s="16">
        <v>0.15490000000000001</v>
      </c>
      <c r="AG179" s="16">
        <v>4.8000000000000001E-2</v>
      </c>
      <c r="AH179" s="16">
        <v>4.8000000000000001E-2</v>
      </c>
      <c r="AI179" s="16">
        <v>0.32700000000000001</v>
      </c>
      <c r="AJ179" s="16">
        <v>4.8000000000000001E-2</v>
      </c>
      <c r="AK179" s="16">
        <v>4.87E-2</v>
      </c>
      <c r="AL179" s="16">
        <v>1.0719000000000001</v>
      </c>
      <c r="AM179" s="16">
        <v>0.28299999999999997</v>
      </c>
      <c r="AN179" s="16">
        <v>8.9300000000000004E-2</v>
      </c>
      <c r="AO179" s="16">
        <v>0.15490000000000001</v>
      </c>
      <c r="AP179" s="16">
        <v>4.8000000000000001E-2</v>
      </c>
      <c r="AQ179" s="16">
        <v>0.1091</v>
      </c>
      <c r="AR179" s="16">
        <v>9.3799999999999994E-2</v>
      </c>
      <c r="AS179" s="16">
        <v>4.8000000000000001E-2</v>
      </c>
      <c r="AT179" s="16">
        <v>5.5599999999999997E-2</v>
      </c>
      <c r="AU179" s="16">
        <v>0.14729999999999999</v>
      </c>
      <c r="AV179" s="16">
        <v>4.8000000000000001E-2</v>
      </c>
      <c r="AW179" s="16">
        <v>4.8000000000000001E-2</v>
      </c>
      <c r="AX179" s="16">
        <v>8.6199999999999999E-2</v>
      </c>
    </row>
    <row r="180" spans="1:50" x14ac:dyDescent="0.25">
      <c r="A180" s="8" t="s">
        <v>262</v>
      </c>
      <c r="B180" s="10" t="s">
        <v>57</v>
      </c>
      <c r="C180" s="16">
        <v>0.1726</v>
      </c>
      <c r="D180" s="16">
        <v>0.1003</v>
      </c>
      <c r="E180" s="16">
        <v>5.7000000000000002E-2</v>
      </c>
      <c r="F180" s="16">
        <v>0.21590000000000001</v>
      </c>
      <c r="G180" s="16">
        <v>5.7000000000000002E-2</v>
      </c>
      <c r="H180" s="16">
        <v>5.7000000000000002E-2</v>
      </c>
      <c r="I180" s="16">
        <v>0.1653</v>
      </c>
      <c r="J180" s="16">
        <v>0.1076</v>
      </c>
      <c r="K180" s="16">
        <v>5.7000000000000002E-2</v>
      </c>
      <c r="L180" s="16">
        <v>5.7000000000000002E-2</v>
      </c>
      <c r="M180" s="16">
        <v>0.2087</v>
      </c>
      <c r="N180" s="16">
        <v>6.4199999999999993E-2</v>
      </c>
      <c r="O180" s="16">
        <v>7.8700000000000006E-2</v>
      </c>
      <c r="P180" s="16">
        <v>1.2415</v>
      </c>
      <c r="Q180" s="16">
        <v>9.7000000000000003E-2</v>
      </c>
      <c r="R180" s="16">
        <v>0.1993</v>
      </c>
      <c r="S180" s="16">
        <v>1.3792</v>
      </c>
      <c r="T180" s="16">
        <v>1.0353000000000001</v>
      </c>
      <c r="U180" s="16">
        <v>1.3392999999999999</v>
      </c>
      <c r="V180" s="16">
        <v>0.97629999999999995</v>
      </c>
      <c r="W180" s="16">
        <v>2.4969999999999999</v>
      </c>
      <c r="X180" s="16">
        <v>0.32450000000000001</v>
      </c>
      <c r="Y180" s="16">
        <v>0.2334</v>
      </c>
      <c r="Z180" s="16">
        <v>1.6163000000000001</v>
      </c>
      <c r="AA180" s="16">
        <v>0.3725</v>
      </c>
      <c r="AB180" s="16">
        <v>1.4164000000000001</v>
      </c>
      <c r="AC180" s="16">
        <v>5.7000000000000002E-2</v>
      </c>
      <c r="AD180" s="16">
        <v>0.99980000000000002</v>
      </c>
      <c r="AE180" s="16">
        <v>0.84179999999999999</v>
      </c>
      <c r="AF180" s="16">
        <v>1.623</v>
      </c>
      <c r="AG180" s="16">
        <v>0.35580000000000001</v>
      </c>
      <c r="AH180" s="16">
        <v>0.20910000000000001</v>
      </c>
      <c r="AI180" s="16">
        <v>0.20349999999999999</v>
      </c>
      <c r="AJ180" s="16">
        <v>0.2833</v>
      </c>
      <c r="AK180" s="16">
        <v>0.55469999999999997</v>
      </c>
      <c r="AL180" s="16">
        <v>1.5894999999999999</v>
      </c>
      <c r="AM180" s="16">
        <v>0.21210000000000001</v>
      </c>
      <c r="AN180" s="16">
        <v>0.50870000000000004</v>
      </c>
      <c r="AO180" s="16">
        <v>0.26690000000000003</v>
      </c>
      <c r="AP180" s="16">
        <v>0.73029999999999995</v>
      </c>
      <c r="AQ180" s="16">
        <v>0.54300000000000004</v>
      </c>
      <c r="AR180" s="16">
        <v>0.72019999999999995</v>
      </c>
      <c r="AS180" s="16">
        <v>2.1173999999999999</v>
      </c>
      <c r="AT180" s="16">
        <v>0.68969999999999998</v>
      </c>
      <c r="AU180" s="16">
        <v>0.30380000000000001</v>
      </c>
      <c r="AV180" s="16">
        <v>0.37340000000000001</v>
      </c>
      <c r="AW180" s="16">
        <v>0.3972</v>
      </c>
      <c r="AX180" s="16">
        <v>0.30919999999999997</v>
      </c>
    </row>
    <row r="181" spans="1:50" x14ac:dyDescent="0.25">
      <c r="A181" s="8" t="s">
        <v>264</v>
      </c>
      <c r="B181" s="10" t="s">
        <v>57</v>
      </c>
      <c r="C181" s="16">
        <v>0.26669999999999999</v>
      </c>
      <c r="D181" s="16">
        <v>5.2999999999999999E-2</v>
      </c>
      <c r="E181" s="16">
        <v>5.8900000000000001E-2</v>
      </c>
      <c r="F181" s="16">
        <v>0.20699999999999999</v>
      </c>
      <c r="G181" s="16">
        <v>0.1069</v>
      </c>
      <c r="H181" s="16">
        <v>0.1</v>
      </c>
      <c r="I181" s="16">
        <v>0.21970000000000001</v>
      </c>
      <c r="J181" s="16">
        <v>5.2999999999999999E-2</v>
      </c>
      <c r="K181" s="16">
        <v>0.26669999999999999</v>
      </c>
      <c r="L181" s="16">
        <v>5.2999999999999999E-2</v>
      </c>
      <c r="M181" s="16">
        <v>9.4E-2</v>
      </c>
      <c r="N181" s="16">
        <v>0.22570000000000001</v>
      </c>
      <c r="O181" s="16">
        <v>0.1116</v>
      </c>
      <c r="P181" s="16">
        <v>1.9659</v>
      </c>
      <c r="Q181" s="16">
        <v>0.84119999999999995</v>
      </c>
      <c r="R181" s="16">
        <v>1.3093999999999999</v>
      </c>
      <c r="S181" s="16">
        <v>0.28770000000000001</v>
      </c>
      <c r="T181" s="16">
        <v>0.17269999999999999</v>
      </c>
      <c r="U181" s="16">
        <v>0.3508</v>
      </c>
      <c r="V181" s="16">
        <v>0.40260000000000001</v>
      </c>
      <c r="W181" s="16">
        <v>1.3043</v>
      </c>
      <c r="X181" s="16">
        <v>0.193</v>
      </c>
      <c r="Y181" s="16">
        <v>0.1351</v>
      </c>
      <c r="Z181" s="16">
        <v>5.2999999999999999E-2</v>
      </c>
      <c r="AA181" s="16">
        <v>0.2331</v>
      </c>
      <c r="AB181" s="16">
        <v>0.12590000000000001</v>
      </c>
      <c r="AC181" s="16">
        <v>0.1205</v>
      </c>
      <c r="AD181" s="16">
        <v>0.38009999999999999</v>
      </c>
      <c r="AE181" s="16">
        <v>0.25480000000000003</v>
      </c>
      <c r="AF181" s="16">
        <v>0.26569999999999999</v>
      </c>
      <c r="AG181" s="16">
        <v>9.4E-2</v>
      </c>
      <c r="AH181" s="16">
        <v>0.31540000000000001</v>
      </c>
      <c r="AI181" s="16">
        <v>0.18690000000000001</v>
      </c>
      <c r="AJ181" s="16">
        <v>0.1706</v>
      </c>
      <c r="AK181" s="16">
        <v>0.21990000000000001</v>
      </c>
      <c r="AL181" s="16">
        <v>0.32450000000000001</v>
      </c>
      <c r="AM181" s="16">
        <v>0.39019999999999999</v>
      </c>
      <c r="AN181" s="16">
        <v>0.23849999999999999</v>
      </c>
      <c r="AO181" s="16">
        <v>0.99980000000000002</v>
      </c>
      <c r="AP181" s="16">
        <v>0.80400000000000005</v>
      </c>
      <c r="AQ181" s="16">
        <v>0.3483</v>
      </c>
      <c r="AR181" s="16">
        <v>0.27800000000000002</v>
      </c>
      <c r="AS181" s="16">
        <v>0.24540000000000001</v>
      </c>
      <c r="AT181" s="16">
        <v>0.58650000000000002</v>
      </c>
      <c r="AU181" s="16">
        <v>0.47320000000000001</v>
      </c>
      <c r="AV181" s="16">
        <v>0.1273</v>
      </c>
      <c r="AW181" s="16">
        <v>0.11749999999999999</v>
      </c>
      <c r="AX181" s="16">
        <v>0.1424</v>
      </c>
    </row>
    <row r="182" spans="1:50" x14ac:dyDescent="0.25">
      <c r="A182" s="8" t="s">
        <v>266</v>
      </c>
      <c r="B182" s="10" t="s">
        <v>57</v>
      </c>
      <c r="C182" s="16">
        <v>0.80689999999999995</v>
      </c>
      <c r="D182" s="16">
        <v>0.46439999999999998</v>
      </c>
      <c r="E182" s="16">
        <v>0.43469999999999998</v>
      </c>
      <c r="F182" s="16">
        <v>0.3725</v>
      </c>
      <c r="G182" s="16">
        <v>0.44469999999999998</v>
      </c>
      <c r="H182" s="16">
        <v>8.8700000000000001E-2</v>
      </c>
      <c r="I182" s="16">
        <v>0.2177</v>
      </c>
      <c r="J182" s="16">
        <v>0.11459999999999999</v>
      </c>
      <c r="K182" s="16">
        <v>0.17860000000000001</v>
      </c>
      <c r="L182" s="16">
        <v>0.17419999999999999</v>
      </c>
      <c r="M182" s="16">
        <v>7.3899999999999993E-2</v>
      </c>
      <c r="N182" s="16">
        <v>0.21929999999999999</v>
      </c>
      <c r="O182" s="16">
        <v>0.1411</v>
      </c>
      <c r="P182" s="16">
        <v>0.75219999999999998</v>
      </c>
      <c r="Q182" s="16">
        <v>1.0549999999999999</v>
      </c>
      <c r="R182" s="16">
        <v>0.23699999999999999</v>
      </c>
      <c r="S182" s="16">
        <v>0.18740000000000001</v>
      </c>
      <c r="T182" s="16">
        <v>5.5E-2</v>
      </c>
      <c r="U182" s="16">
        <v>0.12239999999999999</v>
      </c>
      <c r="V182" s="16">
        <v>0.24360000000000001</v>
      </c>
      <c r="W182" s="16">
        <v>0.11360000000000001</v>
      </c>
      <c r="X182" s="16">
        <v>0.31469999999999998</v>
      </c>
      <c r="Y182" s="16">
        <v>1.2415</v>
      </c>
      <c r="Z182" s="16">
        <v>2.3481999999999998</v>
      </c>
      <c r="AA182" s="16">
        <v>0.33439999999999998</v>
      </c>
      <c r="AB182" s="16">
        <v>0.23780000000000001</v>
      </c>
      <c r="AC182" s="16">
        <v>0.3921</v>
      </c>
      <c r="AD182" s="16">
        <v>0.53039999999999998</v>
      </c>
      <c r="AE182" s="16">
        <v>0.63959999999999995</v>
      </c>
      <c r="AF182" s="16">
        <v>0.75729999999999997</v>
      </c>
      <c r="AG182" s="16">
        <v>0.19639999999999999</v>
      </c>
      <c r="AH182" s="16">
        <v>8.2199999999999995E-2</v>
      </c>
      <c r="AI182" s="16">
        <v>0.23200000000000001</v>
      </c>
      <c r="AJ182" s="16">
        <v>1.2149000000000001</v>
      </c>
      <c r="AK182" s="16">
        <v>0.48499999999999999</v>
      </c>
      <c r="AL182" s="16">
        <v>2.4083000000000001</v>
      </c>
      <c r="AM182" s="16">
        <v>1.3988</v>
      </c>
      <c r="AN182" s="16">
        <v>0.41449999999999998</v>
      </c>
      <c r="AO182" s="16">
        <v>0.76329999999999998</v>
      </c>
      <c r="AP182" s="16">
        <v>0.63360000000000005</v>
      </c>
      <c r="AQ182" s="16">
        <v>0.58069999999999999</v>
      </c>
      <c r="AR182" s="16">
        <v>0.51759999999999995</v>
      </c>
      <c r="AS182" s="16">
        <v>0.48349999999999999</v>
      </c>
      <c r="AT182" s="16">
        <v>0.63680000000000003</v>
      </c>
      <c r="AU182" s="16">
        <v>0.75790000000000002</v>
      </c>
      <c r="AV182" s="16">
        <v>0.65549999999999997</v>
      </c>
      <c r="AW182" s="16">
        <v>0.58169999999999999</v>
      </c>
      <c r="AX182" s="16">
        <v>0.32329999999999998</v>
      </c>
    </row>
    <row r="183" spans="1:50" x14ac:dyDescent="0.25">
      <c r="A183" s="8" t="s">
        <v>268</v>
      </c>
      <c r="B183" s="10" t="s">
        <v>57</v>
      </c>
      <c r="C183" s="16">
        <v>7.3400000000000007E-2</v>
      </c>
      <c r="D183" s="16">
        <v>0.15490000000000001</v>
      </c>
      <c r="E183" s="16">
        <v>5.6000000000000001E-2</v>
      </c>
      <c r="F183" s="16">
        <v>5.6000000000000001E-2</v>
      </c>
      <c r="G183" s="16">
        <v>0.13739999999999999</v>
      </c>
      <c r="H183" s="16">
        <v>9.0899999999999995E-2</v>
      </c>
      <c r="I183" s="16">
        <v>5.6000000000000001E-2</v>
      </c>
      <c r="J183" s="16">
        <v>0.16070000000000001</v>
      </c>
      <c r="K183" s="16">
        <v>6.7599999999999993E-2</v>
      </c>
      <c r="L183" s="16">
        <v>0.16420000000000001</v>
      </c>
      <c r="M183" s="16">
        <v>0.13739999999999999</v>
      </c>
      <c r="N183" s="16">
        <v>5.6000000000000001E-2</v>
      </c>
      <c r="O183" s="16">
        <v>0.17230000000000001</v>
      </c>
      <c r="P183" s="16">
        <v>5.6000000000000001E-2</v>
      </c>
      <c r="Q183" s="16">
        <v>0.17230000000000001</v>
      </c>
      <c r="R183" s="16">
        <v>5.6000000000000001E-2</v>
      </c>
      <c r="S183" s="16">
        <v>0.15490000000000001</v>
      </c>
      <c r="T183" s="16">
        <v>7.3400000000000007E-2</v>
      </c>
      <c r="U183" s="16">
        <v>5.6000000000000001E-2</v>
      </c>
      <c r="V183" s="16">
        <v>0.17230000000000001</v>
      </c>
      <c r="W183" s="16">
        <v>5.6000000000000001E-2</v>
      </c>
      <c r="X183" s="16">
        <v>5.6000000000000001E-2</v>
      </c>
      <c r="Y183" s="16">
        <v>0.17230000000000001</v>
      </c>
      <c r="Z183" s="16">
        <v>5.6000000000000001E-2</v>
      </c>
      <c r="AA183" s="16">
        <v>0.23269999999999999</v>
      </c>
      <c r="AB183" s="16">
        <v>0.28760000000000002</v>
      </c>
      <c r="AC183" s="16">
        <v>0.2331</v>
      </c>
      <c r="AD183" s="16">
        <v>0.52639999999999998</v>
      </c>
      <c r="AE183" s="16">
        <v>0.2321</v>
      </c>
      <c r="AF183" s="16">
        <v>0.50890000000000002</v>
      </c>
      <c r="AG183" s="16">
        <v>0.43790000000000001</v>
      </c>
      <c r="AH183" s="16">
        <v>0.52669999999999995</v>
      </c>
      <c r="AI183" s="16">
        <v>0.2319</v>
      </c>
      <c r="AJ183" s="16">
        <v>7.2099999999999997E-2</v>
      </c>
      <c r="AK183" s="16">
        <v>0.1142</v>
      </c>
      <c r="AL183" s="16">
        <v>0.1142</v>
      </c>
      <c r="AM183" s="16">
        <v>5.6000000000000001E-2</v>
      </c>
      <c r="AN183" s="16">
        <v>0.17230000000000001</v>
      </c>
      <c r="AO183" s="16">
        <v>0.13150000000000001</v>
      </c>
      <c r="AP183" s="16">
        <v>0.21029999999999999</v>
      </c>
      <c r="AQ183" s="16">
        <v>0.6784</v>
      </c>
      <c r="AR183" s="16">
        <v>0.42580000000000001</v>
      </c>
      <c r="AS183" s="16">
        <v>0.59840000000000004</v>
      </c>
      <c r="AT183" s="16">
        <v>0.6139</v>
      </c>
      <c r="AU183" s="16">
        <v>0.14910000000000001</v>
      </c>
      <c r="AV183" s="16">
        <v>7.9299999999999995E-2</v>
      </c>
      <c r="AW183" s="16">
        <v>6.7599999999999993E-2</v>
      </c>
      <c r="AX183" s="16">
        <v>0.16070000000000001</v>
      </c>
    </row>
    <row r="184" spans="1:50" x14ac:dyDescent="0.25">
      <c r="A184" s="17" t="s">
        <v>553</v>
      </c>
      <c r="B184" s="13" t="s">
        <v>410</v>
      </c>
      <c r="C184" s="18">
        <v>0.1154</v>
      </c>
      <c r="D184" s="18">
        <v>0.05</v>
      </c>
      <c r="E184" s="18">
        <v>0.33160000000000001</v>
      </c>
      <c r="F184" s="18">
        <v>7.4499999999999997E-2</v>
      </c>
      <c r="G184" s="18">
        <v>0.20899999999999999</v>
      </c>
      <c r="H184" s="18">
        <v>0.1971</v>
      </c>
      <c r="I184" s="18">
        <v>0.05</v>
      </c>
      <c r="J184" s="18">
        <v>0.35610000000000003</v>
      </c>
      <c r="K184" s="18">
        <v>0.05</v>
      </c>
      <c r="L184" s="18">
        <v>0.27439999999999998</v>
      </c>
      <c r="M184" s="18">
        <v>0.13170000000000001</v>
      </c>
      <c r="N184" s="18">
        <v>0.05</v>
      </c>
      <c r="O184" s="18">
        <v>0.1399</v>
      </c>
      <c r="P184" s="18">
        <v>0.17150000000000001</v>
      </c>
      <c r="Q184" s="18">
        <v>0.1447</v>
      </c>
      <c r="R184" s="18">
        <v>0.25509999999999999</v>
      </c>
      <c r="S184" s="18">
        <v>0.15110000000000001</v>
      </c>
      <c r="T184" s="18">
        <v>0.17330000000000001</v>
      </c>
      <c r="U184" s="18">
        <v>0.58740000000000003</v>
      </c>
      <c r="V184" s="18">
        <v>0.65249999999999997</v>
      </c>
      <c r="W184" s="18">
        <v>0.37719999999999998</v>
      </c>
      <c r="X184" s="18">
        <v>0.32129999999999997</v>
      </c>
      <c r="Y184" s="18">
        <v>0.2424</v>
      </c>
      <c r="Z184" s="18">
        <v>0.05</v>
      </c>
      <c r="AA184" s="18">
        <v>0.24990000000000001</v>
      </c>
      <c r="AB184" s="18">
        <v>0.15620000000000001</v>
      </c>
      <c r="AC184" s="18">
        <v>8.9099999999999999E-2</v>
      </c>
      <c r="AD184" s="18">
        <v>0.67330000000000001</v>
      </c>
      <c r="AE184" s="18">
        <v>0.1535</v>
      </c>
      <c r="AF184" s="18">
        <v>0.29949999999999999</v>
      </c>
      <c r="AG184" s="18">
        <v>0.2165</v>
      </c>
      <c r="AH184" s="18">
        <v>0.35499999999999998</v>
      </c>
      <c r="AI184" s="18">
        <v>0.25800000000000001</v>
      </c>
      <c r="AJ184" s="18">
        <v>0.20250000000000001</v>
      </c>
      <c r="AK184" s="18">
        <v>0.63460000000000005</v>
      </c>
      <c r="AL184" s="18">
        <v>0.69130000000000003</v>
      </c>
      <c r="AM184" s="18">
        <v>0.16739999999999999</v>
      </c>
      <c r="AN184" s="18">
        <v>0.33989999999999998</v>
      </c>
      <c r="AO184" s="18">
        <v>0.18079999999999999</v>
      </c>
      <c r="AP184" s="18">
        <v>0.16220000000000001</v>
      </c>
      <c r="AQ184" s="18">
        <v>0.1132</v>
      </c>
      <c r="AR184" s="18">
        <v>0.05</v>
      </c>
      <c r="AS184" s="18">
        <v>0.29260000000000003</v>
      </c>
      <c r="AT184" s="18">
        <v>0.1135</v>
      </c>
      <c r="AU184" s="18">
        <v>0.1648</v>
      </c>
      <c r="AV184" s="18">
        <v>0.24129999999999999</v>
      </c>
      <c r="AW184" s="18">
        <v>0.05</v>
      </c>
      <c r="AX184" s="18">
        <v>0.10979999999999999</v>
      </c>
    </row>
    <row r="185" spans="1:50" x14ac:dyDescent="0.25">
      <c r="A185" s="8" t="s">
        <v>270</v>
      </c>
      <c r="B185" s="10" t="s">
        <v>57</v>
      </c>
      <c r="C185" s="16">
        <v>0.43630000000000002</v>
      </c>
      <c r="D185" s="16">
        <v>0.45319999999999999</v>
      </c>
      <c r="E185" s="16">
        <v>2.9499999999999998E-2</v>
      </c>
      <c r="F185" s="16">
        <v>0.18740000000000001</v>
      </c>
      <c r="G185" s="16">
        <v>4.65E-2</v>
      </c>
      <c r="H185" s="16">
        <v>0.14530000000000001</v>
      </c>
      <c r="I185" s="16">
        <v>9.3100000000000002E-2</v>
      </c>
      <c r="J185" s="16">
        <v>2.5000000000000001E-2</v>
      </c>
      <c r="K185" s="16">
        <v>0.1469</v>
      </c>
      <c r="L185" s="16">
        <v>9.1499999999999998E-2</v>
      </c>
      <c r="M185" s="16">
        <v>2.5000000000000001E-2</v>
      </c>
      <c r="N185" s="16">
        <v>0.1109</v>
      </c>
      <c r="O185" s="16">
        <v>4.65E-2</v>
      </c>
      <c r="P185" s="16">
        <v>4.65E-2</v>
      </c>
      <c r="Q185" s="16">
        <v>0.19189999999999999</v>
      </c>
      <c r="R185" s="16">
        <v>3.04E-2</v>
      </c>
      <c r="S185" s="16">
        <v>0.1636</v>
      </c>
      <c r="T185" s="16">
        <v>0.13350000000000001</v>
      </c>
      <c r="U185" s="16">
        <v>4.0099999999999997E-2</v>
      </c>
      <c r="V185" s="16">
        <v>5.6500000000000002E-2</v>
      </c>
      <c r="W185" s="16">
        <v>0.18190000000000001</v>
      </c>
      <c r="X185" s="16">
        <v>7.9000000000000001E-2</v>
      </c>
      <c r="Y185" s="16">
        <v>0.15939999999999999</v>
      </c>
      <c r="Z185" s="16">
        <v>2.5000000000000001E-2</v>
      </c>
      <c r="AA185" s="16">
        <v>0.13819999999999999</v>
      </c>
      <c r="AB185" s="16">
        <v>0.1002</v>
      </c>
      <c r="AC185" s="16">
        <v>5.1999999999999998E-2</v>
      </c>
      <c r="AD185" s="16">
        <v>7.9000000000000001E-2</v>
      </c>
      <c r="AE185" s="16">
        <v>2.5000000000000001E-2</v>
      </c>
      <c r="AF185" s="16">
        <v>0.16500000000000001</v>
      </c>
      <c r="AG185" s="16">
        <v>7.3300000000000004E-2</v>
      </c>
      <c r="AH185" s="16">
        <v>5.1900000000000002E-2</v>
      </c>
      <c r="AI185" s="16">
        <v>0.1056</v>
      </c>
      <c r="AJ185" s="16">
        <v>0.106</v>
      </c>
      <c r="AK185" s="16">
        <v>8.9499999999999996E-2</v>
      </c>
      <c r="AL185" s="16">
        <v>0.2177</v>
      </c>
      <c r="AM185" s="16">
        <v>0.11020000000000001</v>
      </c>
      <c r="AN185" s="16">
        <v>0.2273</v>
      </c>
      <c r="AO185" s="16">
        <v>8.8400000000000006E-2</v>
      </c>
      <c r="AP185" s="16">
        <v>0.2069</v>
      </c>
      <c r="AQ185" s="16">
        <v>0.39150000000000001</v>
      </c>
      <c r="AR185" s="16">
        <v>0.46679999999999999</v>
      </c>
      <c r="AS185" s="16">
        <v>0.43590000000000001</v>
      </c>
      <c r="AT185" s="16">
        <v>0.44600000000000001</v>
      </c>
      <c r="AU185" s="16">
        <v>0.77159999999999995</v>
      </c>
      <c r="AV185" s="16">
        <v>0.81140000000000001</v>
      </c>
      <c r="AW185" s="16">
        <v>0.4869</v>
      </c>
      <c r="AX185" s="16">
        <v>0.13239999999999999</v>
      </c>
    </row>
    <row r="186" spans="1:50" x14ac:dyDescent="0.25">
      <c r="A186" s="8" t="s">
        <v>272</v>
      </c>
      <c r="B186" s="10" t="s">
        <v>57</v>
      </c>
      <c r="C186" s="16">
        <v>0.16839999999999999</v>
      </c>
      <c r="D186" s="16">
        <v>0.2135</v>
      </c>
      <c r="E186" s="16">
        <v>6.5000000000000002E-2</v>
      </c>
      <c r="F186" s="16">
        <v>0.30969999999999998</v>
      </c>
      <c r="G186" s="16">
        <v>8.5300000000000001E-2</v>
      </c>
      <c r="H186" s="16">
        <v>0.1009</v>
      </c>
      <c r="I186" s="16">
        <v>0.31669999999999998</v>
      </c>
      <c r="J186" s="16">
        <v>9.7000000000000003E-2</v>
      </c>
      <c r="K186" s="16">
        <v>0.23599999999999999</v>
      </c>
      <c r="L186" s="16">
        <v>0.1474</v>
      </c>
      <c r="M186" s="16">
        <v>0.12330000000000001</v>
      </c>
      <c r="N186" s="16">
        <v>8.5300000000000001E-2</v>
      </c>
      <c r="O186" s="16">
        <v>0.34389999999999998</v>
      </c>
      <c r="P186" s="16">
        <v>0.1009</v>
      </c>
      <c r="Q186" s="16">
        <v>5.8000000000000003E-2</v>
      </c>
      <c r="R186" s="16">
        <v>0.31240000000000001</v>
      </c>
      <c r="S186" s="16">
        <v>0.13239999999999999</v>
      </c>
      <c r="T186" s="16">
        <v>0.70320000000000005</v>
      </c>
      <c r="U186" s="16">
        <v>2.3149999999999999</v>
      </c>
      <c r="V186" s="16">
        <v>0.51790000000000003</v>
      </c>
      <c r="W186" s="16">
        <v>0.24740000000000001</v>
      </c>
      <c r="X186" s="16">
        <v>0.59919999999999995</v>
      </c>
      <c r="Y186" s="16">
        <v>0.38269999999999998</v>
      </c>
      <c r="Z186" s="16">
        <v>0.76629999999999998</v>
      </c>
      <c r="AA186" s="16">
        <v>2.1705999999999999</v>
      </c>
      <c r="AB186" s="16">
        <v>2.5794999999999999</v>
      </c>
      <c r="AC186" s="16">
        <v>2.2936999999999999</v>
      </c>
      <c r="AD186" s="16">
        <v>0.24679999999999999</v>
      </c>
      <c r="AE186" s="16">
        <v>0.30209999999999998</v>
      </c>
      <c r="AF186" s="16">
        <v>0.15659999999999999</v>
      </c>
      <c r="AG186" s="16">
        <v>0.18629999999999999</v>
      </c>
      <c r="AH186" s="16">
        <v>0.1404</v>
      </c>
      <c r="AI186" s="16">
        <v>0.1086</v>
      </c>
      <c r="AJ186" s="16">
        <v>0.20480000000000001</v>
      </c>
      <c r="AK186" s="16">
        <v>0.27050000000000002</v>
      </c>
      <c r="AL186" s="16">
        <v>0.77329999999999999</v>
      </c>
      <c r="AM186" s="16">
        <v>0.1069</v>
      </c>
      <c r="AN186" s="16">
        <v>0.16289999999999999</v>
      </c>
      <c r="AO186" s="16">
        <v>0.28189999999999998</v>
      </c>
      <c r="AP186" s="16">
        <v>0.15540000000000001</v>
      </c>
      <c r="AQ186" s="16">
        <v>0.2195</v>
      </c>
      <c r="AR186" s="16">
        <v>0.12790000000000001</v>
      </c>
      <c r="AS186" s="16">
        <v>0.16289999999999999</v>
      </c>
      <c r="AT186" s="16">
        <v>0.17680000000000001</v>
      </c>
      <c r="AU186" s="16">
        <v>0.16309999999999999</v>
      </c>
      <c r="AV186" s="16">
        <v>0.18379999999999999</v>
      </c>
      <c r="AW186" s="16">
        <v>0.26090000000000002</v>
      </c>
      <c r="AX186" s="16">
        <v>0.1479</v>
      </c>
    </row>
    <row r="187" spans="1:50" x14ac:dyDescent="0.25">
      <c r="A187" s="8" t="s">
        <v>274</v>
      </c>
      <c r="B187" s="10" t="s">
        <v>57</v>
      </c>
      <c r="C187" s="16">
        <v>0.2762</v>
      </c>
      <c r="D187" s="16">
        <v>0.15620000000000001</v>
      </c>
      <c r="E187" s="16">
        <v>0.12239999999999999</v>
      </c>
      <c r="F187" s="16">
        <v>0.15190000000000001</v>
      </c>
      <c r="G187" s="16">
        <v>0.1961</v>
      </c>
      <c r="H187" s="16">
        <v>0.14199999999999999</v>
      </c>
      <c r="I187" s="16">
        <v>0.41710000000000003</v>
      </c>
      <c r="J187" s="16">
        <v>0.54110000000000003</v>
      </c>
      <c r="K187" s="16">
        <v>0.1522</v>
      </c>
      <c r="L187" s="16">
        <v>0.14149999999999999</v>
      </c>
      <c r="M187" s="16">
        <v>0.2762</v>
      </c>
      <c r="N187" s="16">
        <v>0.1656</v>
      </c>
      <c r="O187" s="16">
        <v>0.128</v>
      </c>
      <c r="P187" s="16">
        <v>0.2213</v>
      </c>
      <c r="Q187" s="16">
        <v>0.2112</v>
      </c>
      <c r="R187" s="16">
        <v>8.0799999999999997E-2</v>
      </c>
      <c r="S187" s="16">
        <v>0.26729999999999998</v>
      </c>
      <c r="T187" s="16">
        <v>6.7100000000000007E-2</v>
      </c>
      <c r="U187" s="16">
        <v>0.18579999999999999</v>
      </c>
      <c r="V187" s="16">
        <v>0.2326</v>
      </c>
      <c r="W187" s="16">
        <v>0.13739999999999999</v>
      </c>
      <c r="X187" s="16">
        <v>0.1918</v>
      </c>
      <c r="Y187" s="16">
        <v>9.9199999999999997E-2</v>
      </c>
      <c r="Z187" s="16">
        <v>0.26379999999999998</v>
      </c>
      <c r="AA187" s="16">
        <v>0.1459</v>
      </c>
      <c r="AB187" s="16">
        <v>0.114</v>
      </c>
      <c r="AC187" s="16">
        <v>8.9899999999999994E-2</v>
      </c>
      <c r="AD187" s="16">
        <v>0.34260000000000002</v>
      </c>
      <c r="AE187" s="16">
        <v>6.7500000000000004E-2</v>
      </c>
      <c r="AF187" s="16">
        <v>0.43269999999999997</v>
      </c>
      <c r="AG187" s="16">
        <v>0.16489999999999999</v>
      </c>
      <c r="AH187" s="16">
        <v>0.3367</v>
      </c>
      <c r="AI187" s="16">
        <v>0.188</v>
      </c>
      <c r="AJ187" s="16">
        <v>0.23910000000000001</v>
      </c>
      <c r="AK187" s="16">
        <v>0.1656</v>
      </c>
      <c r="AL187" s="16">
        <v>0.13270000000000001</v>
      </c>
      <c r="AM187" s="16">
        <v>0.1293</v>
      </c>
      <c r="AN187" s="16">
        <v>0.2235</v>
      </c>
      <c r="AO187" s="16">
        <v>0.13739999999999999</v>
      </c>
      <c r="AP187" s="16">
        <v>0.29499999999999998</v>
      </c>
      <c r="AQ187" s="16">
        <v>5.2999999999999999E-2</v>
      </c>
      <c r="AR187" s="16">
        <v>7.51E-2</v>
      </c>
      <c r="AS187" s="16">
        <v>0.27760000000000001</v>
      </c>
      <c r="AT187" s="16">
        <v>0.13270000000000001</v>
      </c>
      <c r="AU187" s="16">
        <v>0.112</v>
      </c>
      <c r="AV187" s="16">
        <v>0.24540000000000001</v>
      </c>
      <c r="AW187" s="16">
        <v>0.35170000000000001</v>
      </c>
      <c r="AX187" s="16">
        <v>0.26729999999999998</v>
      </c>
    </row>
    <row r="188" spans="1:50" x14ac:dyDescent="0.25">
      <c r="A188" s="8" t="s">
        <v>276</v>
      </c>
      <c r="B188" s="10" t="s">
        <v>57</v>
      </c>
      <c r="C188" s="16">
        <v>0.1474</v>
      </c>
      <c r="D188" s="16">
        <v>4.5999999999999999E-2</v>
      </c>
      <c r="E188" s="16">
        <v>0.13339999999999999</v>
      </c>
      <c r="F188" s="16">
        <v>0.27089999999999997</v>
      </c>
      <c r="G188" s="16">
        <v>8.0199999999999994E-2</v>
      </c>
      <c r="H188" s="16">
        <v>0.1237</v>
      </c>
      <c r="I188" s="16">
        <v>0.31480000000000002</v>
      </c>
      <c r="J188" s="16">
        <v>4.5999999999999999E-2</v>
      </c>
      <c r="K188" s="16">
        <v>0.2215</v>
      </c>
      <c r="L188" s="16">
        <v>0.217</v>
      </c>
      <c r="M188" s="16">
        <v>0.1043</v>
      </c>
      <c r="N188" s="16">
        <v>0.3342</v>
      </c>
      <c r="O188" s="16">
        <v>8.9700000000000002E-2</v>
      </c>
      <c r="P188" s="16">
        <v>9.9400000000000002E-2</v>
      </c>
      <c r="Q188" s="16">
        <v>0.2954</v>
      </c>
      <c r="R188" s="16">
        <v>0.1043</v>
      </c>
      <c r="S188" s="16">
        <v>8.48E-2</v>
      </c>
      <c r="T188" s="16">
        <v>0.30990000000000001</v>
      </c>
      <c r="U188" s="16">
        <v>0.14560000000000001</v>
      </c>
      <c r="V188" s="16">
        <v>0.22339999999999999</v>
      </c>
      <c r="W188" s="16">
        <v>0.22359999999999999</v>
      </c>
      <c r="X188" s="16">
        <v>9.7299999999999998E-2</v>
      </c>
      <c r="Y188" s="16">
        <v>0.25259999999999999</v>
      </c>
      <c r="Z188" s="16">
        <v>0.18099999999999999</v>
      </c>
      <c r="AA188" s="16">
        <v>7.4399999999999994E-2</v>
      </c>
      <c r="AB188" s="16">
        <v>0.32040000000000002</v>
      </c>
      <c r="AC188" s="16">
        <v>9.4600000000000004E-2</v>
      </c>
      <c r="AD188" s="16">
        <v>0.21840000000000001</v>
      </c>
      <c r="AE188" s="16">
        <v>0.123</v>
      </c>
      <c r="AF188" s="16">
        <v>0.19800000000000001</v>
      </c>
      <c r="AG188" s="16">
        <v>0.18920000000000001</v>
      </c>
      <c r="AH188" s="16">
        <v>0.19439999999999999</v>
      </c>
      <c r="AI188" s="16">
        <v>0.25259999999999999</v>
      </c>
      <c r="AJ188" s="16">
        <v>0.1033</v>
      </c>
      <c r="AK188" s="16">
        <v>0.26960000000000001</v>
      </c>
      <c r="AL188" s="16">
        <v>0.1822</v>
      </c>
      <c r="AM188" s="16">
        <v>9.98E-2</v>
      </c>
      <c r="AN188" s="16">
        <v>0.54800000000000004</v>
      </c>
      <c r="AO188" s="16">
        <v>0.1323</v>
      </c>
      <c r="AP188" s="16">
        <v>0.37419999999999998</v>
      </c>
      <c r="AQ188" s="16">
        <v>0.73609999999999998</v>
      </c>
      <c r="AR188" s="16">
        <v>0.60870000000000002</v>
      </c>
      <c r="AS188" s="16">
        <v>0.73099999999999998</v>
      </c>
      <c r="AT188" s="16">
        <v>1.0361</v>
      </c>
      <c r="AU188" s="16">
        <v>0.71730000000000005</v>
      </c>
      <c r="AV188" s="16">
        <v>0.50390000000000001</v>
      </c>
      <c r="AW188" s="16">
        <v>0.63039999999999996</v>
      </c>
      <c r="AX188" s="16">
        <v>0.311</v>
      </c>
    </row>
    <row r="189" spans="1:50" x14ac:dyDescent="0.25">
      <c r="A189" s="17" t="s">
        <v>555</v>
      </c>
      <c r="B189" s="13" t="s">
        <v>410</v>
      </c>
      <c r="C189" s="18">
        <v>0.12559999999999999</v>
      </c>
      <c r="D189" s="18">
        <v>5.0999999999999997E-2</v>
      </c>
      <c r="E189" s="18">
        <v>5.5100000000000003E-2</v>
      </c>
      <c r="F189" s="18">
        <v>0.1215</v>
      </c>
      <c r="G189" s="18">
        <v>5.0999999999999997E-2</v>
      </c>
      <c r="H189" s="18">
        <v>5.0999999999999997E-2</v>
      </c>
      <c r="I189" s="18">
        <v>9.6600000000000005E-2</v>
      </c>
      <c r="J189" s="18">
        <v>0.08</v>
      </c>
      <c r="K189" s="18">
        <v>5.0999999999999997E-2</v>
      </c>
      <c r="L189" s="18">
        <v>7.5899999999999995E-2</v>
      </c>
      <c r="M189" s="18">
        <v>0.1008</v>
      </c>
      <c r="N189" s="18">
        <v>5.0999999999999997E-2</v>
      </c>
      <c r="O189" s="18">
        <v>5.0999999999999997E-2</v>
      </c>
      <c r="P189" s="18">
        <v>5.0999999999999997E-2</v>
      </c>
      <c r="Q189" s="18">
        <v>5.0999999999999997E-2</v>
      </c>
      <c r="R189" s="18">
        <v>0.12559999999999999</v>
      </c>
      <c r="S189" s="18">
        <v>0.29749999999999999</v>
      </c>
      <c r="T189" s="18">
        <v>0.40560000000000002</v>
      </c>
      <c r="U189" s="18">
        <v>0.28060000000000002</v>
      </c>
      <c r="V189" s="18">
        <v>0.23719999999999999</v>
      </c>
      <c r="W189" s="18">
        <v>6.0499999999999998E-2</v>
      </c>
      <c r="X189" s="18">
        <v>6.3399999999999998E-2</v>
      </c>
      <c r="Y189" s="18">
        <v>0.1132</v>
      </c>
      <c r="Z189" s="18">
        <v>5.0999999999999997E-2</v>
      </c>
      <c r="AA189" s="18">
        <v>0.2041</v>
      </c>
      <c r="AB189" s="18">
        <v>0.21410000000000001</v>
      </c>
      <c r="AC189" s="18">
        <v>0.12759999999999999</v>
      </c>
      <c r="AD189" s="18">
        <v>5.0999999999999997E-2</v>
      </c>
      <c r="AE189" s="18">
        <v>7.17E-2</v>
      </c>
      <c r="AF189" s="18">
        <v>0.10489999999999999</v>
      </c>
      <c r="AG189" s="18">
        <v>5.0999999999999997E-2</v>
      </c>
      <c r="AH189" s="18">
        <v>5.0999999999999997E-2</v>
      </c>
      <c r="AI189" s="18">
        <v>0.12559999999999999</v>
      </c>
      <c r="AJ189" s="18">
        <v>5.0999999999999997E-2</v>
      </c>
      <c r="AK189" s="18">
        <v>0.1091</v>
      </c>
      <c r="AL189" s="18">
        <v>6.7599999999999993E-2</v>
      </c>
      <c r="AM189" s="18">
        <v>9.6600000000000005E-2</v>
      </c>
      <c r="AN189" s="18">
        <v>0.08</v>
      </c>
      <c r="AO189" s="18">
        <v>5.0999999999999997E-2</v>
      </c>
      <c r="AP189" s="18">
        <v>5.0999999999999997E-2</v>
      </c>
      <c r="AQ189" s="18">
        <v>8.8300000000000003E-2</v>
      </c>
      <c r="AR189" s="18">
        <v>8.8300000000000003E-2</v>
      </c>
      <c r="AS189" s="18">
        <v>5.0999999999999997E-2</v>
      </c>
      <c r="AT189" s="18">
        <v>0.12559999999999999</v>
      </c>
      <c r="AU189" s="18">
        <v>5.0999999999999997E-2</v>
      </c>
      <c r="AV189" s="18">
        <v>0.12559999999999999</v>
      </c>
      <c r="AW189" s="18">
        <v>5.0999999999999997E-2</v>
      </c>
      <c r="AX189" s="18">
        <v>5.0999999999999997E-2</v>
      </c>
    </row>
    <row r="190" spans="1:50" x14ac:dyDescent="0.25">
      <c r="A190" s="8" t="s">
        <v>278</v>
      </c>
      <c r="B190" s="10" t="s">
        <v>57</v>
      </c>
      <c r="C190" s="16">
        <v>0.18229999999999999</v>
      </c>
      <c r="D190" s="16">
        <v>4.8000000000000001E-2</v>
      </c>
      <c r="E190" s="16">
        <v>0.1512</v>
      </c>
      <c r="F190" s="16">
        <v>0.15670000000000001</v>
      </c>
      <c r="G190" s="16">
        <v>0.1192</v>
      </c>
      <c r="H190" s="16">
        <v>0.18870000000000001</v>
      </c>
      <c r="I190" s="16">
        <v>4.8000000000000001E-2</v>
      </c>
      <c r="J190" s="16">
        <v>0.1192</v>
      </c>
      <c r="K190" s="16">
        <v>4.8000000000000001E-2</v>
      </c>
      <c r="L190" s="16">
        <v>0.24410000000000001</v>
      </c>
      <c r="M190" s="16">
        <v>6.3799999999999996E-2</v>
      </c>
      <c r="N190" s="16">
        <v>0.1113</v>
      </c>
      <c r="O190" s="16">
        <v>0.1966</v>
      </c>
      <c r="P190" s="16">
        <v>4.8000000000000001E-2</v>
      </c>
      <c r="Q190" s="16">
        <v>4.8000000000000001E-2</v>
      </c>
      <c r="R190" s="16">
        <v>0.12470000000000001</v>
      </c>
      <c r="S190" s="16">
        <v>0.1119</v>
      </c>
      <c r="T190" s="16">
        <v>1.0912999999999999</v>
      </c>
      <c r="U190" s="16">
        <v>0.31509999999999999</v>
      </c>
      <c r="V190" s="16">
        <v>0.31740000000000002</v>
      </c>
      <c r="W190" s="16">
        <v>0.30070000000000002</v>
      </c>
      <c r="X190" s="16">
        <v>0.3775</v>
      </c>
      <c r="Y190" s="16">
        <v>0.20699999999999999</v>
      </c>
      <c r="Z190" s="16">
        <v>0.36270000000000002</v>
      </c>
      <c r="AA190" s="16">
        <v>0.22239999999999999</v>
      </c>
      <c r="AB190" s="16">
        <v>0.27139999999999997</v>
      </c>
      <c r="AC190" s="16">
        <v>0.37759999999999999</v>
      </c>
      <c r="AD190" s="16">
        <v>0.26419999999999999</v>
      </c>
      <c r="AE190" s="16">
        <v>0.44030000000000002</v>
      </c>
      <c r="AF190" s="16">
        <v>0.54069999999999996</v>
      </c>
      <c r="AG190" s="16">
        <v>1.2901</v>
      </c>
      <c r="AH190" s="16">
        <v>0.48039999999999999</v>
      </c>
      <c r="AI190" s="16">
        <v>0.3614</v>
      </c>
      <c r="AJ190" s="16">
        <v>0.23319999999999999</v>
      </c>
      <c r="AK190" s="16">
        <v>0.35520000000000002</v>
      </c>
      <c r="AL190" s="16">
        <v>0.33979999999999999</v>
      </c>
      <c r="AM190" s="16">
        <v>0.2082</v>
      </c>
      <c r="AN190" s="16">
        <v>7.6200000000000004E-2</v>
      </c>
      <c r="AO190" s="16">
        <v>0.3634</v>
      </c>
      <c r="AP190" s="16">
        <v>0.41320000000000001</v>
      </c>
      <c r="AQ190" s="16">
        <v>0.71889999999999998</v>
      </c>
      <c r="AR190" s="16">
        <v>0.72940000000000005</v>
      </c>
      <c r="AS190" s="16">
        <v>0.56189999999999996</v>
      </c>
      <c r="AT190" s="16">
        <v>0.70930000000000004</v>
      </c>
      <c r="AU190" s="16">
        <v>0.86299999999999999</v>
      </c>
      <c r="AV190" s="16">
        <v>0.62419999999999998</v>
      </c>
      <c r="AW190" s="16">
        <v>0.224</v>
      </c>
      <c r="AX190" s="16">
        <v>8.3900000000000002E-2</v>
      </c>
    </row>
    <row r="191" spans="1:50" x14ac:dyDescent="0.25">
      <c r="A191" s="17" t="s">
        <v>557</v>
      </c>
      <c r="B191" s="13" t="s">
        <v>410</v>
      </c>
      <c r="C191" s="18">
        <v>0.27139999999999997</v>
      </c>
      <c r="D191" s="18">
        <v>8.3599999999999994E-2</v>
      </c>
      <c r="E191" s="18">
        <v>0.18390000000000001</v>
      </c>
      <c r="F191" s="18">
        <v>5.5E-2</v>
      </c>
      <c r="G191" s="18">
        <v>0.1409</v>
      </c>
      <c r="H191" s="18">
        <v>0.12659999999999999</v>
      </c>
      <c r="I191" s="18">
        <v>5.5E-2</v>
      </c>
      <c r="J191" s="18">
        <v>0.13370000000000001</v>
      </c>
      <c r="K191" s="18">
        <v>0.13370000000000001</v>
      </c>
      <c r="L191" s="18">
        <v>5.5E-2</v>
      </c>
      <c r="M191" s="18">
        <v>0.1767</v>
      </c>
      <c r="N191" s="18">
        <v>9.0800000000000006E-2</v>
      </c>
      <c r="O191" s="18">
        <v>5.5E-2</v>
      </c>
      <c r="P191" s="18">
        <v>0.16239999999999999</v>
      </c>
      <c r="Q191" s="18">
        <v>0.1051</v>
      </c>
      <c r="R191" s="18">
        <v>0.1009</v>
      </c>
      <c r="S191" s="18">
        <v>1.1779999999999999</v>
      </c>
      <c r="T191" s="18">
        <v>0.27129999999999999</v>
      </c>
      <c r="U191" s="18">
        <v>1.3651</v>
      </c>
      <c r="V191" s="18">
        <v>2.9296000000000002</v>
      </c>
      <c r="W191" s="18">
        <v>1.8908</v>
      </c>
      <c r="X191" s="18">
        <v>1.6856</v>
      </c>
      <c r="Y191" s="18">
        <v>8.4699999999999998E-2</v>
      </c>
      <c r="Z191" s="18">
        <v>0.28079999999999999</v>
      </c>
      <c r="AA191" s="18">
        <v>0.1467</v>
      </c>
      <c r="AB191" s="18">
        <v>0.30599999999999999</v>
      </c>
      <c r="AC191" s="18">
        <v>0.2235</v>
      </c>
      <c r="AD191" s="18">
        <v>1.7285999999999999</v>
      </c>
      <c r="AE191" s="18">
        <v>2.4445999999999999</v>
      </c>
      <c r="AF191" s="18">
        <v>0.94940000000000002</v>
      </c>
      <c r="AG191" s="18">
        <v>1.8269</v>
      </c>
      <c r="AH191" s="18">
        <v>0.35680000000000001</v>
      </c>
      <c r="AI191" s="18">
        <v>0.35349999999999998</v>
      </c>
      <c r="AJ191" s="18">
        <v>0.44750000000000001</v>
      </c>
      <c r="AK191" s="18">
        <v>0.61399999999999999</v>
      </c>
      <c r="AL191" s="18">
        <v>1.198</v>
      </c>
      <c r="AM191" s="18">
        <v>1.0537000000000001</v>
      </c>
      <c r="AN191" s="18">
        <v>0.2382</v>
      </c>
      <c r="AO191" s="18">
        <v>0.20080000000000001</v>
      </c>
      <c r="AP191" s="18">
        <v>0.16950000000000001</v>
      </c>
      <c r="AQ191" s="18">
        <v>5.5E-2</v>
      </c>
      <c r="AR191" s="18">
        <v>0.21249999999999999</v>
      </c>
      <c r="AS191" s="18">
        <v>5.5E-2</v>
      </c>
      <c r="AT191" s="18">
        <v>5.5E-2</v>
      </c>
      <c r="AU191" s="18">
        <v>0.24560000000000001</v>
      </c>
      <c r="AV191" s="18">
        <v>0.41199999999999998</v>
      </c>
      <c r="AW191" s="18">
        <v>0.24079999999999999</v>
      </c>
      <c r="AX191" s="18">
        <v>0.44740000000000002</v>
      </c>
    </row>
    <row r="192" spans="1:50" x14ac:dyDescent="0.25">
      <c r="A192" s="17" t="s">
        <v>559</v>
      </c>
      <c r="B192" s="13" t="s">
        <v>410</v>
      </c>
      <c r="C192" s="18">
        <v>4.2999999999999997E-2</v>
      </c>
      <c r="D192" s="18">
        <v>0.21149999999999999</v>
      </c>
      <c r="E192" s="18">
        <v>4.2999999999999997E-2</v>
      </c>
      <c r="F192" s="18">
        <v>0.16550000000000001</v>
      </c>
      <c r="G192" s="18">
        <v>8.8900000000000007E-2</v>
      </c>
      <c r="H192" s="18">
        <v>5.8299999999999998E-2</v>
      </c>
      <c r="I192" s="18">
        <v>0.1961</v>
      </c>
      <c r="J192" s="18">
        <v>4.2999999999999997E-2</v>
      </c>
      <c r="K192" s="18">
        <v>0.21149999999999999</v>
      </c>
      <c r="L192" s="18">
        <v>4.2999999999999997E-2</v>
      </c>
      <c r="M192" s="18">
        <v>0.13489999999999999</v>
      </c>
      <c r="N192" s="18">
        <v>0.1196</v>
      </c>
      <c r="O192" s="18">
        <v>5.0700000000000002E-2</v>
      </c>
      <c r="P192" s="18">
        <v>0.20380000000000001</v>
      </c>
      <c r="Q192" s="18">
        <v>5.2999999999999999E-2</v>
      </c>
      <c r="R192" s="18">
        <v>0.15260000000000001</v>
      </c>
      <c r="S192" s="18">
        <v>0.16239999999999999</v>
      </c>
      <c r="T192" s="18">
        <v>0.1651</v>
      </c>
      <c r="U192" s="18">
        <v>0.28649999999999998</v>
      </c>
      <c r="V192" s="18">
        <v>5.1499999999999997E-2</v>
      </c>
      <c r="W192" s="18">
        <v>4.2999999999999997E-2</v>
      </c>
      <c r="X192" s="18">
        <v>9.6600000000000005E-2</v>
      </c>
      <c r="Y192" s="18">
        <v>0.15790000000000001</v>
      </c>
      <c r="Z192" s="18">
        <v>4.2999999999999997E-2</v>
      </c>
      <c r="AA192" s="18">
        <v>0.2671</v>
      </c>
      <c r="AB192" s="18">
        <v>0.1225</v>
      </c>
      <c r="AC192" s="18">
        <v>1.1124000000000001</v>
      </c>
      <c r="AD192" s="18">
        <v>0.1043</v>
      </c>
      <c r="AE192" s="18">
        <v>4.2999999999999997E-2</v>
      </c>
      <c r="AF192" s="18">
        <v>4.2999999999999997E-2</v>
      </c>
      <c r="AG192" s="18">
        <v>0.16550000000000001</v>
      </c>
      <c r="AH192" s="18">
        <v>0.748</v>
      </c>
      <c r="AI192" s="18">
        <v>0.27510000000000001</v>
      </c>
      <c r="AJ192" s="18">
        <v>0.32779999999999998</v>
      </c>
      <c r="AK192" s="18">
        <v>0.161</v>
      </c>
      <c r="AL192" s="18">
        <v>0.2341</v>
      </c>
      <c r="AM192" s="18">
        <v>0.1431</v>
      </c>
      <c r="AN192" s="18">
        <v>0.38179999999999997</v>
      </c>
      <c r="AO192" s="18">
        <v>0.50560000000000005</v>
      </c>
      <c r="AP192" s="18">
        <v>0.65410000000000001</v>
      </c>
      <c r="AQ192" s="18">
        <v>1.0704</v>
      </c>
      <c r="AR192" s="18">
        <v>0.20130000000000001</v>
      </c>
      <c r="AS192" s="18">
        <v>0.34760000000000002</v>
      </c>
      <c r="AT192" s="18">
        <v>0.2203</v>
      </c>
      <c r="AU192" s="18">
        <v>0.42359999999999998</v>
      </c>
      <c r="AV192" s="18">
        <v>0.26300000000000001</v>
      </c>
      <c r="AW192" s="18">
        <v>0.31659999999999999</v>
      </c>
      <c r="AX192" s="18">
        <v>4.2999999999999997E-2</v>
      </c>
    </row>
    <row r="193" spans="1:50" x14ac:dyDescent="0.25">
      <c r="A193" s="8" t="s">
        <v>280</v>
      </c>
      <c r="B193" s="10" t="s">
        <v>57</v>
      </c>
      <c r="C193" s="16">
        <v>0.20599999999999999</v>
      </c>
      <c r="D193" s="16">
        <v>5.6000000000000001E-2</v>
      </c>
      <c r="E193" s="16">
        <v>0.1958</v>
      </c>
      <c r="F193" s="16">
        <v>0.20599999999999999</v>
      </c>
      <c r="G193" s="16">
        <v>5.6000000000000001E-2</v>
      </c>
      <c r="H193" s="16">
        <v>0.3458</v>
      </c>
      <c r="I193" s="16">
        <v>5.6000000000000001E-2</v>
      </c>
      <c r="J193" s="16">
        <v>0.1981</v>
      </c>
      <c r="K193" s="16">
        <v>0.20369999999999999</v>
      </c>
      <c r="L193" s="16">
        <v>5.6000000000000001E-2</v>
      </c>
      <c r="M193" s="16">
        <v>0.26279999999999998</v>
      </c>
      <c r="N193" s="16">
        <v>0.13900000000000001</v>
      </c>
      <c r="O193" s="16">
        <v>0.14280000000000001</v>
      </c>
      <c r="P193" s="16">
        <v>0.24709999999999999</v>
      </c>
      <c r="Q193" s="16">
        <v>0.29830000000000001</v>
      </c>
      <c r="R193" s="16">
        <v>0.2656</v>
      </c>
      <c r="S193" s="16">
        <v>0.12239999999999999</v>
      </c>
      <c r="T193" s="16">
        <v>0.24790000000000001</v>
      </c>
      <c r="U193" s="16">
        <v>1.4990000000000001</v>
      </c>
      <c r="V193" s="16">
        <v>0.6079</v>
      </c>
      <c r="W193" s="16">
        <v>2.2168000000000001</v>
      </c>
      <c r="X193" s="16">
        <v>0.45069999999999999</v>
      </c>
      <c r="Y193" s="16">
        <v>1.3429</v>
      </c>
      <c r="Z193" s="16">
        <v>0.1822</v>
      </c>
      <c r="AA193" s="16">
        <v>0.5988</v>
      </c>
      <c r="AB193" s="16">
        <v>0.33379999999999999</v>
      </c>
      <c r="AC193" s="16">
        <v>0.3518</v>
      </c>
      <c r="AD193" s="16">
        <v>0.56089999999999995</v>
      </c>
      <c r="AE193" s="16">
        <v>0.317</v>
      </c>
      <c r="AF193" s="16">
        <v>0.26069999999999999</v>
      </c>
      <c r="AG193" s="16">
        <v>0.2535</v>
      </c>
      <c r="AH193" s="16">
        <v>0.26950000000000002</v>
      </c>
      <c r="AI193" s="16">
        <v>0.29570000000000002</v>
      </c>
      <c r="AJ193" s="16">
        <v>0.41839999999999999</v>
      </c>
      <c r="AK193" s="16">
        <v>0.28170000000000001</v>
      </c>
      <c r="AL193" s="16">
        <v>1.0349999999999999</v>
      </c>
      <c r="AM193" s="16">
        <v>0.4022</v>
      </c>
      <c r="AN193" s="16">
        <v>1.0755999999999999</v>
      </c>
      <c r="AO193" s="16">
        <v>0.15540000000000001</v>
      </c>
      <c r="AP193" s="16">
        <v>0.47089999999999999</v>
      </c>
      <c r="AQ193" s="16">
        <v>0.2233</v>
      </c>
      <c r="AR193" s="16">
        <v>0.44519999999999998</v>
      </c>
      <c r="AS193" s="16">
        <v>0.50700000000000001</v>
      </c>
      <c r="AT193" s="16">
        <v>0.40550000000000003</v>
      </c>
      <c r="AU193" s="16">
        <v>0.5494</v>
      </c>
      <c r="AV193" s="16">
        <v>0.2707</v>
      </c>
      <c r="AW193" s="16">
        <v>0.17269999999999999</v>
      </c>
      <c r="AX193" s="16">
        <v>0.3458</v>
      </c>
    </row>
    <row r="194" spans="1:50" x14ac:dyDescent="0.25">
      <c r="A194" s="17" t="s">
        <v>561</v>
      </c>
      <c r="B194" s="13" t="s">
        <v>410</v>
      </c>
      <c r="C194" s="18">
        <v>5.7000000000000002E-2</v>
      </c>
      <c r="D194" s="18">
        <v>5.7000000000000002E-2</v>
      </c>
      <c r="E194" s="18">
        <v>5.7000000000000002E-2</v>
      </c>
      <c r="F194" s="18">
        <v>5.7000000000000002E-2</v>
      </c>
      <c r="G194" s="18">
        <v>5.7000000000000002E-2</v>
      </c>
      <c r="H194" s="18">
        <v>5.7000000000000002E-2</v>
      </c>
      <c r="I194" s="18">
        <v>5.7000000000000002E-2</v>
      </c>
      <c r="J194" s="18">
        <v>5.7000000000000002E-2</v>
      </c>
      <c r="K194" s="18">
        <v>5.7000000000000002E-2</v>
      </c>
      <c r="L194" s="18">
        <v>5.7000000000000002E-2</v>
      </c>
      <c r="M194" s="18">
        <v>5.7000000000000002E-2</v>
      </c>
      <c r="N194" s="18">
        <v>5.7000000000000002E-2</v>
      </c>
      <c r="O194" s="18">
        <v>5.7000000000000002E-2</v>
      </c>
      <c r="P194" s="18">
        <v>7.0099999999999996E-2</v>
      </c>
      <c r="Q194" s="18">
        <v>0.16339999999999999</v>
      </c>
      <c r="R194" s="18">
        <v>0.14510000000000001</v>
      </c>
      <c r="S194" s="18">
        <v>1.0588</v>
      </c>
      <c r="T194" s="18">
        <v>0.23949999999999999</v>
      </c>
      <c r="U194" s="18">
        <v>0.19650000000000001</v>
      </c>
      <c r="V194" s="18">
        <v>0.1865</v>
      </c>
      <c r="W194" s="18">
        <v>5.7000000000000002E-2</v>
      </c>
      <c r="X194" s="18">
        <v>5.7000000000000002E-2</v>
      </c>
      <c r="Y194" s="18">
        <v>5.7000000000000002E-2</v>
      </c>
      <c r="Z194" s="18">
        <v>5.7000000000000002E-2</v>
      </c>
      <c r="AA194" s="18">
        <v>5.7000000000000002E-2</v>
      </c>
      <c r="AB194" s="18">
        <v>5.7000000000000002E-2</v>
      </c>
      <c r="AC194" s="18">
        <v>5.7000000000000002E-2</v>
      </c>
      <c r="AD194" s="18">
        <v>5.7000000000000002E-2</v>
      </c>
      <c r="AE194" s="18">
        <v>5.7000000000000002E-2</v>
      </c>
      <c r="AF194" s="18">
        <v>0.2109</v>
      </c>
      <c r="AG194" s="18">
        <v>0.20549999999999999</v>
      </c>
      <c r="AH194" s="18">
        <v>0.2082</v>
      </c>
      <c r="AI194" s="18">
        <v>0.18579999999999999</v>
      </c>
      <c r="AJ194" s="18">
        <v>0.24179999999999999</v>
      </c>
      <c r="AK194" s="18">
        <v>0.25240000000000001</v>
      </c>
      <c r="AL194" s="18">
        <v>0.22009999999999999</v>
      </c>
      <c r="AM194" s="18">
        <v>0.1164</v>
      </c>
      <c r="AN194" s="18">
        <v>0.14630000000000001</v>
      </c>
      <c r="AO194" s="18">
        <v>0.33300000000000002</v>
      </c>
      <c r="AP194" s="18">
        <v>0.41710000000000003</v>
      </c>
      <c r="AQ194" s="18">
        <v>0.25169999999999998</v>
      </c>
      <c r="AR194" s="18">
        <v>0.18729999999999999</v>
      </c>
      <c r="AS194" s="18">
        <v>0.30230000000000001</v>
      </c>
      <c r="AT194" s="18">
        <v>0.34489999999999998</v>
      </c>
      <c r="AU194" s="18">
        <v>0.2994</v>
      </c>
      <c r="AV194" s="18">
        <v>0.3211</v>
      </c>
      <c r="AW194" s="18">
        <v>5.7000000000000002E-2</v>
      </c>
      <c r="AX194" s="18">
        <v>5.7000000000000002E-2</v>
      </c>
    </row>
    <row r="195" spans="1:50" x14ac:dyDescent="0.25">
      <c r="A195" s="8" t="s">
        <v>282</v>
      </c>
      <c r="B195" s="10" t="s">
        <v>57</v>
      </c>
      <c r="C195" s="16">
        <v>0.17580000000000001</v>
      </c>
      <c r="D195" s="16">
        <v>0.12770000000000001</v>
      </c>
      <c r="E195" s="16">
        <v>0.22259999999999999</v>
      </c>
      <c r="F195" s="16">
        <v>0.12770000000000001</v>
      </c>
      <c r="G195" s="16">
        <v>5.0999999999999997E-2</v>
      </c>
      <c r="H195" s="16">
        <v>0.21629999999999999</v>
      </c>
      <c r="I195" s="16">
        <v>0.1341</v>
      </c>
      <c r="J195" s="16">
        <v>5.0999999999999997E-2</v>
      </c>
      <c r="K195" s="16">
        <v>0.29930000000000001</v>
      </c>
      <c r="L195" s="16">
        <v>5.0999999999999997E-2</v>
      </c>
      <c r="M195" s="16">
        <v>5.0999999999999997E-2</v>
      </c>
      <c r="N195" s="16">
        <v>0.26950000000000002</v>
      </c>
      <c r="O195" s="16">
        <v>8.0799999999999997E-2</v>
      </c>
      <c r="P195" s="16">
        <v>0.14460000000000001</v>
      </c>
      <c r="Q195" s="16">
        <v>0.14180000000000001</v>
      </c>
      <c r="R195" s="16">
        <v>0.16170000000000001</v>
      </c>
      <c r="S195" s="16">
        <v>0.17580000000000001</v>
      </c>
      <c r="T195" s="16">
        <v>8.9300000000000004E-2</v>
      </c>
      <c r="U195" s="16">
        <v>0.32479999999999998</v>
      </c>
      <c r="V195" s="16">
        <v>0.20039999999999999</v>
      </c>
      <c r="W195" s="16">
        <v>8.2199999999999995E-2</v>
      </c>
      <c r="X195" s="16">
        <v>0.19139999999999999</v>
      </c>
      <c r="Y195" s="16">
        <v>5.0999999999999997E-2</v>
      </c>
      <c r="Z195" s="16">
        <v>0.2737</v>
      </c>
      <c r="AA195" s="16">
        <v>0.52049999999999996</v>
      </c>
      <c r="AB195" s="16">
        <v>5.0999999999999997E-2</v>
      </c>
      <c r="AC195" s="16">
        <v>0.22259999999999999</v>
      </c>
      <c r="AD195" s="16">
        <v>5.0999999999999997E-2</v>
      </c>
      <c r="AE195" s="16">
        <v>0.19009999999999999</v>
      </c>
      <c r="AF195" s="16">
        <v>0.16020000000000001</v>
      </c>
      <c r="AG195" s="16">
        <v>0.90859999999999996</v>
      </c>
      <c r="AH195" s="16">
        <v>0.29930000000000001</v>
      </c>
      <c r="AI195" s="16">
        <v>5.0999999999999997E-2</v>
      </c>
      <c r="AJ195" s="16">
        <v>0.16800000000000001</v>
      </c>
      <c r="AK195" s="16">
        <v>0.1525</v>
      </c>
      <c r="AL195" s="16">
        <v>8.0799999999999997E-2</v>
      </c>
      <c r="AM195" s="16">
        <v>0.28649999999999998</v>
      </c>
      <c r="AN195" s="16">
        <v>0.42599999999999999</v>
      </c>
      <c r="AO195" s="16">
        <v>0.70909999999999995</v>
      </c>
      <c r="AP195" s="16">
        <v>0.20330000000000001</v>
      </c>
      <c r="AQ195" s="16">
        <v>0.1208</v>
      </c>
      <c r="AR195" s="16">
        <v>0.25669999999999998</v>
      </c>
      <c r="AS195" s="16">
        <v>9.3600000000000003E-2</v>
      </c>
      <c r="AT195" s="16">
        <v>5.0999999999999997E-2</v>
      </c>
      <c r="AU195" s="16">
        <v>0.17019999999999999</v>
      </c>
      <c r="AV195" s="16">
        <v>0.18010000000000001</v>
      </c>
      <c r="AW195" s="16">
        <v>0.1852</v>
      </c>
      <c r="AX195" s="16">
        <v>0.64149999999999996</v>
      </c>
    </row>
    <row r="196" spans="1:50" x14ac:dyDescent="0.25">
      <c r="A196" s="8" t="s">
        <v>284</v>
      </c>
      <c r="B196" s="10" t="s">
        <v>57</v>
      </c>
      <c r="C196" s="16">
        <v>5.3999999999999999E-2</v>
      </c>
      <c r="D196" s="16">
        <v>0.17180000000000001</v>
      </c>
      <c r="E196" s="16">
        <v>0.21310000000000001</v>
      </c>
      <c r="F196" s="16">
        <v>5.3999999999999999E-2</v>
      </c>
      <c r="G196" s="16">
        <v>0.15440000000000001</v>
      </c>
      <c r="H196" s="16">
        <v>0.2306</v>
      </c>
      <c r="I196" s="16">
        <v>0.1042</v>
      </c>
      <c r="J196" s="16">
        <v>0.2487</v>
      </c>
      <c r="K196" s="16">
        <v>8.6099999999999996E-2</v>
      </c>
      <c r="L196" s="16">
        <v>0.15440000000000001</v>
      </c>
      <c r="M196" s="16">
        <v>0.2651</v>
      </c>
      <c r="N196" s="16">
        <v>0.13289999999999999</v>
      </c>
      <c r="O196" s="16">
        <v>0.1237</v>
      </c>
      <c r="P196" s="16">
        <v>0.18920000000000001</v>
      </c>
      <c r="Q196" s="16">
        <v>5.3999999999999999E-2</v>
      </c>
      <c r="R196" s="16">
        <v>0.15440000000000001</v>
      </c>
      <c r="S196" s="16">
        <v>5.3999999999999999E-2</v>
      </c>
      <c r="T196" s="16">
        <v>0.1744</v>
      </c>
      <c r="U196" s="16">
        <v>0.21060000000000001</v>
      </c>
      <c r="V196" s="16">
        <v>5.3999999999999999E-2</v>
      </c>
      <c r="W196" s="16">
        <v>0.35970000000000002</v>
      </c>
      <c r="X196" s="16">
        <v>0.29820000000000002</v>
      </c>
      <c r="Y196" s="16">
        <v>0.1988</v>
      </c>
      <c r="Z196" s="16">
        <v>0.44209999999999999</v>
      </c>
      <c r="AA196" s="16">
        <v>0.25380000000000003</v>
      </c>
      <c r="AB196" s="16">
        <v>0.32619999999999999</v>
      </c>
      <c r="AC196" s="16">
        <v>0.74060000000000004</v>
      </c>
      <c r="AD196" s="16">
        <v>0.29780000000000001</v>
      </c>
      <c r="AE196" s="16">
        <v>0.36199999999999999</v>
      </c>
      <c r="AF196" s="16">
        <v>0.44840000000000002</v>
      </c>
      <c r="AG196" s="16">
        <v>0.49540000000000001</v>
      </c>
      <c r="AH196" s="16">
        <v>0.28560000000000002</v>
      </c>
      <c r="AI196" s="16">
        <v>0.30480000000000002</v>
      </c>
      <c r="AJ196" s="16">
        <v>0.15029999999999999</v>
      </c>
      <c r="AK196" s="16">
        <v>0.19320000000000001</v>
      </c>
      <c r="AL196" s="16">
        <v>0.29749999999999999</v>
      </c>
      <c r="AM196" s="16">
        <v>0.33989999999999998</v>
      </c>
      <c r="AN196" s="16">
        <v>0.28989999999999999</v>
      </c>
      <c r="AO196" s="16">
        <v>0.74839999999999995</v>
      </c>
      <c r="AP196" s="16">
        <v>1.8906000000000001</v>
      </c>
      <c r="AQ196" s="16">
        <v>0.18240000000000001</v>
      </c>
      <c r="AR196" s="16">
        <v>5.3999999999999999E-2</v>
      </c>
      <c r="AS196" s="16">
        <v>0.22539999999999999</v>
      </c>
      <c r="AT196" s="16">
        <v>0.1595</v>
      </c>
      <c r="AU196" s="16">
        <v>5.3999999999999999E-2</v>
      </c>
      <c r="AV196" s="16">
        <v>0.30230000000000001</v>
      </c>
      <c r="AW196" s="16">
        <v>8.2699999999999996E-2</v>
      </c>
      <c r="AX196" s="16">
        <v>5.3999999999999999E-2</v>
      </c>
    </row>
    <row r="197" spans="1:50" x14ac:dyDescent="0.25">
      <c r="A197" s="17" t="s">
        <v>563</v>
      </c>
      <c r="B197" s="13" t="s">
        <v>410</v>
      </c>
      <c r="C197" s="18">
        <v>0.1615</v>
      </c>
      <c r="D197" s="18">
        <v>0.1396</v>
      </c>
      <c r="E197" s="18">
        <v>0.19320000000000001</v>
      </c>
      <c r="F197" s="18">
        <v>0.15570000000000001</v>
      </c>
      <c r="G197" s="18">
        <v>0.1249</v>
      </c>
      <c r="H197" s="18">
        <v>0.1757</v>
      </c>
      <c r="I197" s="18">
        <v>0.10489999999999999</v>
      </c>
      <c r="J197" s="18">
        <v>0.17949999999999999</v>
      </c>
      <c r="K197" s="18">
        <v>6.7100000000000007E-2</v>
      </c>
      <c r="L197" s="18">
        <v>0.28170000000000001</v>
      </c>
      <c r="M197" s="18">
        <v>4.2999999999999997E-2</v>
      </c>
      <c r="N197" s="18">
        <v>0.24440000000000001</v>
      </c>
      <c r="O197" s="18">
        <v>0.10440000000000001</v>
      </c>
      <c r="P197" s="18">
        <v>4.2999999999999997E-2</v>
      </c>
      <c r="Q197" s="18">
        <v>0.2122</v>
      </c>
      <c r="R197" s="18">
        <v>0.1366</v>
      </c>
      <c r="S197" s="18">
        <v>4.2999999999999997E-2</v>
      </c>
      <c r="T197" s="18">
        <v>0.30590000000000001</v>
      </c>
      <c r="U197" s="18">
        <v>0.26050000000000001</v>
      </c>
      <c r="V197" s="18">
        <v>0.23830000000000001</v>
      </c>
      <c r="W197" s="18">
        <v>0.1106</v>
      </c>
      <c r="X197" s="18">
        <v>6.3500000000000001E-2</v>
      </c>
      <c r="Y197" s="18">
        <v>0.36749999999999999</v>
      </c>
      <c r="Z197" s="18">
        <v>1.5558000000000001</v>
      </c>
      <c r="AA197" s="18">
        <v>0.2545</v>
      </c>
      <c r="AB197" s="18">
        <v>0.30590000000000001</v>
      </c>
      <c r="AC197" s="18">
        <v>0.1069</v>
      </c>
      <c r="AD197" s="18">
        <v>0.22220000000000001</v>
      </c>
      <c r="AE197" s="18">
        <v>0.30399999999999999</v>
      </c>
      <c r="AF197" s="18">
        <v>5.74E-2</v>
      </c>
      <c r="AG197" s="18">
        <v>0.14760000000000001</v>
      </c>
      <c r="AH197" s="18">
        <v>5.0999999999999997E-2</v>
      </c>
      <c r="AI197" s="18">
        <v>0.1454</v>
      </c>
      <c r="AJ197" s="18">
        <v>0.14710000000000001</v>
      </c>
      <c r="AK197" s="18">
        <v>9.9299999999999999E-2</v>
      </c>
      <c r="AL197" s="18">
        <v>0.1236</v>
      </c>
      <c r="AM197" s="18">
        <v>0.24579999999999999</v>
      </c>
      <c r="AN197" s="18">
        <v>5.7200000000000001E-2</v>
      </c>
      <c r="AO197" s="18">
        <v>0.64739999999999998</v>
      </c>
      <c r="AP197" s="18">
        <v>1.0319</v>
      </c>
      <c r="AQ197" s="18">
        <v>0.30370000000000003</v>
      </c>
      <c r="AR197" s="18">
        <v>0.52380000000000004</v>
      </c>
      <c r="AS197" s="18">
        <v>1.4961</v>
      </c>
      <c r="AT197" s="18">
        <v>0.19750000000000001</v>
      </c>
      <c r="AU197" s="18">
        <v>0.19320000000000001</v>
      </c>
      <c r="AV197" s="18">
        <v>0.15570000000000001</v>
      </c>
      <c r="AW197" s="18">
        <v>4.9799999999999997E-2</v>
      </c>
      <c r="AX197" s="18">
        <v>0.19439999999999999</v>
      </c>
    </row>
    <row r="198" spans="1:50" x14ac:dyDescent="0.25">
      <c r="A198" s="8" t="s">
        <v>286</v>
      </c>
      <c r="B198" s="10" t="s">
        <v>57</v>
      </c>
      <c r="C198" s="16">
        <v>0.15890000000000001</v>
      </c>
      <c r="D198" s="16">
        <v>0.25650000000000001</v>
      </c>
      <c r="E198" s="16">
        <v>8.6699999999999999E-2</v>
      </c>
      <c r="F198" s="16">
        <v>0.25259999999999999</v>
      </c>
      <c r="G198" s="16">
        <v>5.5E-2</v>
      </c>
      <c r="H198" s="16">
        <v>0.2145</v>
      </c>
      <c r="I198" s="16">
        <v>0.2326</v>
      </c>
      <c r="J198" s="16">
        <v>5.5E-2</v>
      </c>
      <c r="K198" s="16">
        <v>0.16850000000000001</v>
      </c>
      <c r="L198" s="16">
        <v>0.15290000000000001</v>
      </c>
      <c r="M198" s="16">
        <v>0.1749</v>
      </c>
      <c r="N198" s="16">
        <v>0.2442</v>
      </c>
      <c r="O198" s="16">
        <v>9.5600000000000004E-2</v>
      </c>
      <c r="P198" s="16">
        <v>0.18179999999999999</v>
      </c>
      <c r="Q198" s="16">
        <v>0.1807</v>
      </c>
      <c r="R198" s="16">
        <v>0.15859999999999999</v>
      </c>
      <c r="S198" s="16">
        <v>0.188</v>
      </c>
      <c r="T198" s="16">
        <v>0.2427</v>
      </c>
      <c r="U198" s="16">
        <v>0.2248</v>
      </c>
      <c r="V198" s="16">
        <v>0.18909999999999999</v>
      </c>
      <c r="W198" s="16">
        <v>0.21290000000000001</v>
      </c>
      <c r="X198" s="16">
        <v>0.19270000000000001</v>
      </c>
      <c r="Y198" s="16">
        <v>0.24110000000000001</v>
      </c>
      <c r="Z198" s="16">
        <v>0.25950000000000001</v>
      </c>
      <c r="AA198" s="16">
        <v>0.30830000000000002</v>
      </c>
      <c r="AB198" s="16">
        <v>0.13780000000000001</v>
      </c>
      <c r="AC198" s="16">
        <v>0.4259</v>
      </c>
      <c r="AD198" s="16">
        <v>0.54730000000000001</v>
      </c>
      <c r="AE198" s="16">
        <v>0.43840000000000001</v>
      </c>
      <c r="AF198" s="16">
        <v>0.63890000000000002</v>
      </c>
      <c r="AG198" s="16">
        <v>0.41210000000000002</v>
      </c>
      <c r="AH198" s="16">
        <v>1.6748000000000001</v>
      </c>
      <c r="AI198" s="16">
        <v>2.6703000000000001</v>
      </c>
      <c r="AJ198" s="16">
        <v>1.5209999999999999</v>
      </c>
      <c r="AK198" s="16">
        <v>7.0999999999999994E-2</v>
      </c>
      <c r="AL198" s="16">
        <v>5.5E-2</v>
      </c>
      <c r="AM198" s="16">
        <v>0.24060000000000001</v>
      </c>
      <c r="AN198" s="16">
        <v>0.20649999999999999</v>
      </c>
      <c r="AO198" s="16">
        <v>0.4073</v>
      </c>
      <c r="AP198" s="16">
        <v>0.43719999999999998</v>
      </c>
      <c r="AQ198" s="16">
        <v>0.29020000000000001</v>
      </c>
      <c r="AR198" s="16">
        <v>0.2427</v>
      </c>
      <c r="AS198" s="16">
        <v>0.47910000000000003</v>
      </c>
      <c r="AT198" s="16">
        <v>0.74890000000000001</v>
      </c>
      <c r="AU198" s="16">
        <v>0.51580000000000004</v>
      </c>
      <c r="AV198" s="16">
        <v>0.83409999999999995</v>
      </c>
      <c r="AW198" s="16">
        <v>0.35580000000000001</v>
      </c>
      <c r="AX198" s="16">
        <v>0.13600000000000001</v>
      </c>
    </row>
    <row r="199" spans="1:50" x14ac:dyDescent="0.25">
      <c r="A199" s="17" t="s">
        <v>565</v>
      </c>
      <c r="B199" s="13" t="s">
        <v>410</v>
      </c>
      <c r="C199" s="18">
        <v>0.20530000000000001</v>
      </c>
      <c r="D199" s="18">
        <v>5.1999999999999998E-2</v>
      </c>
      <c r="E199" s="18">
        <v>0.19839999999999999</v>
      </c>
      <c r="F199" s="18">
        <v>0.1212</v>
      </c>
      <c r="G199" s="18">
        <v>0.13300000000000001</v>
      </c>
      <c r="H199" s="18">
        <v>0.18659999999999999</v>
      </c>
      <c r="I199" s="18">
        <v>5.1999999999999998E-2</v>
      </c>
      <c r="J199" s="18">
        <v>5.1999999999999998E-2</v>
      </c>
      <c r="K199" s="18">
        <v>0.1605</v>
      </c>
      <c r="L199" s="18">
        <v>0.15909999999999999</v>
      </c>
      <c r="M199" s="18">
        <v>9.6799999999999997E-2</v>
      </c>
      <c r="N199" s="18">
        <v>0.2228</v>
      </c>
      <c r="O199" s="18">
        <v>7.6399999999999996E-2</v>
      </c>
      <c r="P199" s="18">
        <v>0.1009</v>
      </c>
      <c r="Q199" s="18">
        <v>0.2162</v>
      </c>
      <c r="R199" s="18">
        <v>7.6399999999999996E-2</v>
      </c>
      <c r="S199" s="18">
        <v>0.17199999999999999</v>
      </c>
      <c r="T199" s="18">
        <v>0.1231</v>
      </c>
      <c r="U199" s="18">
        <v>6.0100000000000001E-2</v>
      </c>
      <c r="V199" s="18">
        <v>0.1171</v>
      </c>
      <c r="W199" s="18">
        <v>5.1999999999999998E-2</v>
      </c>
      <c r="X199" s="18">
        <v>0.1799</v>
      </c>
      <c r="Y199" s="18">
        <v>0.13969999999999999</v>
      </c>
      <c r="Z199" s="18">
        <v>0.1167</v>
      </c>
      <c r="AA199" s="18">
        <v>0.2281</v>
      </c>
      <c r="AB199" s="18">
        <v>9.64E-2</v>
      </c>
      <c r="AC199" s="18">
        <v>0.33129999999999998</v>
      </c>
      <c r="AD199" s="18">
        <v>0.14430000000000001</v>
      </c>
      <c r="AE199" s="18">
        <v>0.15409999999999999</v>
      </c>
      <c r="AF199" s="18">
        <v>0.91820000000000002</v>
      </c>
      <c r="AG199" s="18">
        <v>0.17949999999999999</v>
      </c>
      <c r="AH199" s="18">
        <v>0.61219999999999997</v>
      </c>
      <c r="AI199" s="18">
        <v>0.1258</v>
      </c>
      <c r="AJ199" s="18">
        <v>9.6799999999999997E-2</v>
      </c>
      <c r="AK199" s="18">
        <v>0.20649999999999999</v>
      </c>
      <c r="AL199" s="18">
        <v>0.1371</v>
      </c>
      <c r="AM199" s="18">
        <v>0.17299999999999999</v>
      </c>
      <c r="AN199" s="18">
        <v>0.32140000000000002</v>
      </c>
      <c r="AO199" s="18">
        <v>0.15590000000000001</v>
      </c>
      <c r="AP199" s="18">
        <v>0.38400000000000001</v>
      </c>
      <c r="AQ199" s="18">
        <v>0.3604</v>
      </c>
      <c r="AR199" s="18">
        <v>0.37980000000000003</v>
      </c>
      <c r="AS199" s="18">
        <v>0.47320000000000001</v>
      </c>
      <c r="AT199" s="18">
        <v>0.29780000000000001</v>
      </c>
      <c r="AU199" s="18">
        <v>0.27100000000000002</v>
      </c>
      <c r="AV199" s="18">
        <v>0.45140000000000002</v>
      </c>
      <c r="AW199" s="18">
        <v>0.11020000000000001</v>
      </c>
      <c r="AX199" s="18">
        <v>5.1999999999999998E-2</v>
      </c>
    </row>
    <row r="200" spans="1:50" x14ac:dyDescent="0.25">
      <c r="A200" s="17" t="s">
        <v>567</v>
      </c>
      <c r="B200" s="13" t="s">
        <v>410</v>
      </c>
      <c r="C200" s="18">
        <v>0.1195</v>
      </c>
      <c r="D200" s="18">
        <v>5.2999999999999999E-2</v>
      </c>
      <c r="E200" s="18">
        <v>0.30609999999999998</v>
      </c>
      <c r="F200" s="18">
        <v>5.2999999999999999E-2</v>
      </c>
      <c r="G200" s="18">
        <v>5.2999999999999999E-2</v>
      </c>
      <c r="H200" s="18">
        <v>0.30609999999999998</v>
      </c>
      <c r="I200" s="18">
        <v>5.2999999999999999E-2</v>
      </c>
      <c r="J200" s="18">
        <v>0.20979999999999999</v>
      </c>
      <c r="K200" s="18">
        <v>0.14929999999999999</v>
      </c>
      <c r="L200" s="18">
        <v>0.13719999999999999</v>
      </c>
      <c r="M200" s="18">
        <v>0.22189999999999999</v>
      </c>
      <c r="N200" s="18">
        <v>5.2999999999999999E-2</v>
      </c>
      <c r="O200" s="18">
        <v>5.2999999999999999E-2</v>
      </c>
      <c r="P200" s="18">
        <v>0.16109999999999999</v>
      </c>
      <c r="Q200" s="18">
        <v>0.17380000000000001</v>
      </c>
      <c r="R200" s="18">
        <v>0.12520000000000001</v>
      </c>
      <c r="S200" s="18">
        <v>0.12509999999999999</v>
      </c>
      <c r="T200" s="18">
        <v>0.186</v>
      </c>
      <c r="U200" s="18">
        <v>0.1371</v>
      </c>
      <c r="V200" s="18">
        <v>0.222</v>
      </c>
      <c r="W200" s="18">
        <v>0.13439999999999999</v>
      </c>
      <c r="X200" s="18">
        <v>7.7600000000000002E-2</v>
      </c>
      <c r="Y200" s="18">
        <v>0.3584</v>
      </c>
      <c r="Z200" s="18">
        <v>0.94410000000000005</v>
      </c>
      <c r="AA200" s="18">
        <v>0.30630000000000002</v>
      </c>
      <c r="AB200" s="18">
        <v>0.18790000000000001</v>
      </c>
      <c r="AC200" s="18">
        <v>0.13850000000000001</v>
      </c>
      <c r="AD200" s="18">
        <v>0.29409999999999997</v>
      </c>
      <c r="AE200" s="18">
        <v>5.2999999999999999E-2</v>
      </c>
      <c r="AF200" s="18">
        <v>0.1072</v>
      </c>
      <c r="AG200" s="18">
        <v>0.25190000000000001</v>
      </c>
      <c r="AH200" s="18">
        <v>5.2999999999999999E-2</v>
      </c>
      <c r="AI200" s="18">
        <v>0.26979999999999998</v>
      </c>
      <c r="AJ200" s="18">
        <v>8.9300000000000004E-2</v>
      </c>
      <c r="AK200" s="18">
        <v>6.5100000000000005E-2</v>
      </c>
      <c r="AL200" s="18">
        <v>0.36420000000000002</v>
      </c>
      <c r="AM200" s="18">
        <v>1.1314</v>
      </c>
      <c r="AN200" s="18">
        <v>0.2974</v>
      </c>
      <c r="AO200" s="18">
        <v>0.3327</v>
      </c>
      <c r="AP200" s="18">
        <v>0.4819</v>
      </c>
      <c r="AQ200" s="18">
        <v>0.51239999999999997</v>
      </c>
      <c r="AR200" s="18">
        <v>0.79749999999999999</v>
      </c>
      <c r="AS200" s="18">
        <v>0.71709999999999996</v>
      </c>
      <c r="AT200" s="18">
        <v>0.1195</v>
      </c>
      <c r="AU200" s="18">
        <v>0.1195</v>
      </c>
      <c r="AV200" s="18">
        <v>0.1671</v>
      </c>
      <c r="AW200" s="18">
        <v>0.33500000000000002</v>
      </c>
      <c r="AX200" s="18">
        <v>0.128</v>
      </c>
    </row>
    <row r="201" spans="1:50" x14ac:dyDescent="0.25">
      <c r="A201" s="17" t="s">
        <v>569</v>
      </c>
      <c r="B201" s="13" t="s">
        <v>410</v>
      </c>
      <c r="C201" s="18">
        <v>4.5999999999999999E-2</v>
      </c>
      <c r="D201" s="18">
        <v>4.5999999999999999E-2</v>
      </c>
      <c r="E201" s="18">
        <v>4.5999999999999999E-2</v>
      </c>
      <c r="F201" s="18">
        <v>4.5999999999999999E-2</v>
      </c>
      <c r="G201" s="18">
        <v>4.5999999999999999E-2</v>
      </c>
      <c r="H201" s="18">
        <v>4.5999999999999999E-2</v>
      </c>
      <c r="I201" s="18">
        <v>4.5999999999999999E-2</v>
      </c>
      <c r="J201" s="18">
        <v>4.5999999999999999E-2</v>
      </c>
      <c r="K201" s="18">
        <v>4.5999999999999999E-2</v>
      </c>
      <c r="L201" s="18">
        <v>4.5999999999999999E-2</v>
      </c>
      <c r="M201" s="18">
        <v>4.5999999999999999E-2</v>
      </c>
      <c r="N201" s="18">
        <v>4.5999999999999999E-2</v>
      </c>
      <c r="O201" s="18">
        <v>4.5999999999999999E-2</v>
      </c>
      <c r="P201" s="18">
        <v>4.5999999999999999E-2</v>
      </c>
      <c r="Q201" s="18">
        <v>0.1908</v>
      </c>
      <c r="R201" s="18">
        <v>4.9399999999999999E-2</v>
      </c>
      <c r="S201" s="18">
        <v>4.5999999999999999E-2</v>
      </c>
      <c r="T201" s="18">
        <v>4.5999999999999999E-2</v>
      </c>
      <c r="U201" s="18">
        <v>4.5999999999999999E-2</v>
      </c>
      <c r="V201" s="18">
        <v>4.5999999999999999E-2</v>
      </c>
      <c r="W201" s="18">
        <v>4.5999999999999999E-2</v>
      </c>
      <c r="X201" s="18">
        <v>4.5999999999999999E-2</v>
      </c>
      <c r="Y201" s="18">
        <v>4.5999999999999999E-2</v>
      </c>
      <c r="Z201" s="18">
        <v>4.5999999999999999E-2</v>
      </c>
      <c r="AA201" s="18">
        <v>4.5999999999999999E-2</v>
      </c>
      <c r="AB201" s="18">
        <v>4.5999999999999999E-2</v>
      </c>
      <c r="AC201" s="18">
        <v>4.5999999999999999E-2</v>
      </c>
      <c r="AD201" s="18">
        <v>4.5999999999999999E-2</v>
      </c>
      <c r="AE201" s="18">
        <v>4.5999999999999999E-2</v>
      </c>
      <c r="AF201" s="18">
        <v>4.5999999999999999E-2</v>
      </c>
      <c r="AG201" s="18">
        <v>4.5999999999999999E-2</v>
      </c>
      <c r="AH201" s="18">
        <v>4.5999999999999999E-2</v>
      </c>
      <c r="AI201" s="18">
        <v>4.5999999999999999E-2</v>
      </c>
      <c r="AJ201" s="18">
        <v>4.5999999999999999E-2</v>
      </c>
      <c r="AK201" s="18">
        <v>4.5999999999999999E-2</v>
      </c>
      <c r="AL201" s="18">
        <v>4.5999999999999999E-2</v>
      </c>
      <c r="AM201" s="18">
        <v>4.5999999999999999E-2</v>
      </c>
      <c r="AN201" s="18">
        <v>4.5999999999999999E-2</v>
      </c>
      <c r="AO201" s="18">
        <v>4.5999999999999999E-2</v>
      </c>
      <c r="AP201" s="18">
        <v>4.5999999999999999E-2</v>
      </c>
      <c r="AQ201" s="18">
        <v>4.5999999999999999E-2</v>
      </c>
      <c r="AR201" s="18">
        <v>4.5999999999999999E-2</v>
      </c>
      <c r="AS201" s="18">
        <v>4.5999999999999999E-2</v>
      </c>
      <c r="AT201" s="18">
        <v>0.1007</v>
      </c>
      <c r="AU201" s="18">
        <v>0.23419999999999999</v>
      </c>
      <c r="AV201" s="18">
        <v>0.35160000000000002</v>
      </c>
      <c r="AW201" s="18">
        <v>0.13120000000000001</v>
      </c>
      <c r="AX201" s="18">
        <v>8.09E-2</v>
      </c>
    </row>
    <row r="202" spans="1:50" x14ac:dyDescent="0.25">
      <c r="A202" s="8" t="s">
        <v>288</v>
      </c>
      <c r="B202" s="10" t="s">
        <v>57</v>
      </c>
      <c r="C202" s="16">
        <v>0.1081</v>
      </c>
      <c r="D202" s="16">
        <v>0.20979999999999999</v>
      </c>
      <c r="E202" s="16">
        <v>0.1103</v>
      </c>
      <c r="F202" s="16">
        <v>0.1925</v>
      </c>
      <c r="G202" s="16">
        <v>0.1492</v>
      </c>
      <c r="H202" s="16">
        <v>0.11899999999999999</v>
      </c>
      <c r="I202" s="16">
        <v>0.24440000000000001</v>
      </c>
      <c r="J202" s="16">
        <v>5.3999999999999999E-2</v>
      </c>
      <c r="K202" s="16">
        <v>6.2700000000000006E-2</v>
      </c>
      <c r="L202" s="16">
        <v>0.30070000000000002</v>
      </c>
      <c r="M202" s="16">
        <v>5.3999999999999999E-2</v>
      </c>
      <c r="N202" s="16">
        <v>0.15359999999999999</v>
      </c>
      <c r="O202" s="16">
        <v>0.20979999999999999</v>
      </c>
      <c r="P202" s="16">
        <v>5.3999999999999999E-2</v>
      </c>
      <c r="Q202" s="16">
        <v>0.25879999999999997</v>
      </c>
      <c r="R202" s="16">
        <v>0.1045</v>
      </c>
      <c r="S202" s="16">
        <v>0.2286</v>
      </c>
      <c r="T202" s="16">
        <v>0.1348</v>
      </c>
      <c r="U202" s="16">
        <v>0.25669999999999998</v>
      </c>
      <c r="V202" s="16">
        <v>0.38340000000000002</v>
      </c>
      <c r="W202" s="16">
        <v>0.2213</v>
      </c>
      <c r="X202" s="16">
        <v>0.14949999999999999</v>
      </c>
      <c r="Y202" s="16">
        <v>0.28849999999999998</v>
      </c>
      <c r="Z202" s="16">
        <v>0.125</v>
      </c>
      <c r="AA202" s="16">
        <v>0.1716</v>
      </c>
      <c r="AB202" s="16">
        <v>0.41110000000000002</v>
      </c>
      <c r="AC202" s="16">
        <v>8.6499999999999994E-2</v>
      </c>
      <c r="AD202" s="16">
        <v>0.24440000000000001</v>
      </c>
      <c r="AE202" s="16">
        <v>5.3999999999999999E-2</v>
      </c>
      <c r="AF202" s="16">
        <v>0.18820000000000001</v>
      </c>
      <c r="AG202" s="16">
        <v>0.17519999999999999</v>
      </c>
      <c r="AH202" s="16">
        <v>5.3999999999999999E-2</v>
      </c>
      <c r="AI202" s="16">
        <v>0.23569999999999999</v>
      </c>
      <c r="AJ202" s="16">
        <v>6.2700000000000006E-2</v>
      </c>
      <c r="AK202" s="16">
        <v>0.1232</v>
      </c>
      <c r="AL202" s="16">
        <v>0.24010000000000001</v>
      </c>
      <c r="AM202" s="16">
        <v>5.3999999999999999E-2</v>
      </c>
      <c r="AN202" s="16">
        <v>0.2271</v>
      </c>
      <c r="AO202" s="16">
        <v>7.1300000000000002E-2</v>
      </c>
      <c r="AP202" s="16">
        <v>5.3999999999999999E-2</v>
      </c>
      <c r="AQ202" s="16">
        <v>8.5699999999999998E-2</v>
      </c>
      <c r="AR202" s="16">
        <v>0.27760000000000001</v>
      </c>
      <c r="AS202" s="16">
        <v>5.3999999999999999E-2</v>
      </c>
      <c r="AT202" s="16">
        <v>0.30070000000000002</v>
      </c>
      <c r="AU202" s="16">
        <v>6.2700000000000006E-2</v>
      </c>
      <c r="AV202" s="16">
        <v>0.19689999999999999</v>
      </c>
      <c r="AW202" s="16">
        <v>0.16650000000000001</v>
      </c>
      <c r="AX202" s="16">
        <v>0.11899999999999999</v>
      </c>
    </row>
    <row r="203" spans="1:50" x14ac:dyDescent="0.25">
      <c r="A203" s="8" t="s">
        <v>290</v>
      </c>
      <c r="B203" s="10" t="s">
        <v>57</v>
      </c>
      <c r="C203" s="16">
        <v>5.5399999999999998E-2</v>
      </c>
      <c r="D203" s="16">
        <v>0.11550000000000001</v>
      </c>
      <c r="E203" s="16">
        <v>0.13070000000000001</v>
      </c>
      <c r="F203" s="16">
        <v>5.0999999999999997E-2</v>
      </c>
      <c r="G203" s="16">
        <v>0.1174</v>
      </c>
      <c r="H203" s="16">
        <v>6.4299999999999996E-2</v>
      </c>
      <c r="I203" s="16">
        <v>0.1086</v>
      </c>
      <c r="J203" s="16">
        <v>7.3099999999999998E-2</v>
      </c>
      <c r="K203" s="16">
        <v>0.1263</v>
      </c>
      <c r="L203" s="16">
        <v>5.5399999999999998E-2</v>
      </c>
      <c r="M203" s="16">
        <v>6.4299999999999996E-2</v>
      </c>
      <c r="N203" s="16">
        <v>0.1174</v>
      </c>
      <c r="O203" s="16">
        <v>5.0999999999999997E-2</v>
      </c>
      <c r="P203" s="16">
        <v>0.13070000000000001</v>
      </c>
      <c r="Q203" s="16">
        <v>5.0999999999999997E-2</v>
      </c>
      <c r="R203" s="16">
        <v>5.0999999999999997E-2</v>
      </c>
      <c r="S203" s="16">
        <v>0.317</v>
      </c>
      <c r="T203" s="16">
        <v>0.11310000000000001</v>
      </c>
      <c r="U203" s="16">
        <v>0.2397</v>
      </c>
      <c r="V203" s="16">
        <v>0.1434</v>
      </c>
      <c r="W203" s="16">
        <v>5.9900000000000002E-2</v>
      </c>
      <c r="X203" s="16">
        <v>0.12180000000000001</v>
      </c>
      <c r="Y203" s="16">
        <v>5.0999999999999997E-2</v>
      </c>
      <c r="Z203" s="16">
        <v>0.2621</v>
      </c>
      <c r="AA203" s="16">
        <v>0.15909999999999999</v>
      </c>
      <c r="AB203" s="16">
        <v>0.151</v>
      </c>
      <c r="AC203" s="16">
        <v>0.46160000000000001</v>
      </c>
      <c r="AD203" s="16">
        <v>0.22639999999999999</v>
      </c>
      <c r="AE203" s="16">
        <v>0.35510000000000003</v>
      </c>
      <c r="AF203" s="16">
        <v>0.1462</v>
      </c>
      <c r="AG203" s="16">
        <v>0.1857</v>
      </c>
      <c r="AH203" s="16">
        <v>0.1081</v>
      </c>
      <c r="AI203" s="16">
        <v>0.1174</v>
      </c>
      <c r="AJ203" s="16">
        <v>5.5399999999999998E-2</v>
      </c>
      <c r="AK203" s="16">
        <v>0.13170000000000001</v>
      </c>
      <c r="AL203" s="16">
        <v>0.83240000000000003</v>
      </c>
      <c r="AM203" s="16">
        <v>1.1293</v>
      </c>
      <c r="AN203" s="16">
        <v>1.7010000000000001</v>
      </c>
      <c r="AO203" s="16">
        <v>0.33910000000000001</v>
      </c>
      <c r="AP203" s="16">
        <v>0.41420000000000001</v>
      </c>
      <c r="AQ203" s="16">
        <v>0.3533</v>
      </c>
      <c r="AR203" s="16">
        <v>9.9699999999999997E-2</v>
      </c>
      <c r="AS203" s="16">
        <v>9.9699999999999997E-2</v>
      </c>
      <c r="AT203" s="16">
        <v>8.2000000000000003E-2</v>
      </c>
      <c r="AU203" s="16">
        <v>5.0999999999999997E-2</v>
      </c>
      <c r="AV203" s="16">
        <v>0.20499999999999999</v>
      </c>
      <c r="AW203" s="16">
        <v>0.1032</v>
      </c>
      <c r="AX203" s="16">
        <v>5.5399999999999998E-2</v>
      </c>
    </row>
    <row r="204" spans="1:50" x14ac:dyDescent="0.25">
      <c r="A204" s="17" t="s">
        <v>571</v>
      </c>
      <c r="B204" s="13" t="s">
        <v>410</v>
      </c>
      <c r="C204" s="18">
        <v>0.67769999999999997</v>
      </c>
      <c r="D204" s="18">
        <v>0.29749999999999999</v>
      </c>
      <c r="E204" s="18">
        <v>0.1331</v>
      </c>
      <c r="F204" s="18">
        <v>0.2034</v>
      </c>
      <c r="G204" s="18">
        <v>3.9E-2</v>
      </c>
      <c r="H204" s="18">
        <v>0.1517</v>
      </c>
      <c r="I204" s="18">
        <v>3.9E-2</v>
      </c>
      <c r="J204" s="18">
        <v>0.1782</v>
      </c>
      <c r="K204" s="18">
        <v>0.1527</v>
      </c>
      <c r="L204" s="18">
        <v>6.4500000000000002E-2</v>
      </c>
      <c r="M204" s="18">
        <v>0.1706</v>
      </c>
      <c r="N204" s="18">
        <v>0.14610000000000001</v>
      </c>
      <c r="O204" s="18">
        <v>0.1905</v>
      </c>
      <c r="P204" s="18">
        <v>0.14610000000000001</v>
      </c>
      <c r="Q204" s="18">
        <v>0.29039999999999999</v>
      </c>
      <c r="R204" s="18">
        <v>0.32350000000000001</v>
      </c>
      <c r="S204" s="18">
        <v>0.17760000000000001</v>
      </c>
      <c r="T204" s="18">
        <v>0.12520000000000001</v>
      </c>
      <c r="U204" s="18">
        <v>3.9E-2</v>
      </c>
      <c r="V204" s="18">
        <v>0.12520000000000001</v>
      </c>
      <c r="W204" s="18">
        <v>0.2114</v>
      </c>
      <c r="X204" s="18">
        <v>7.2099999999999997E-2</v>
      </c>
      <c r="Y204" s="18">
        <v>0.26440000000000002</v>
      </c>
      <c r="Z204" s="18">
        <v>3.9E-2</v>
      </c>
      <c r="AA204" s="18">
        <v>0.2041</v>
      </c>
      <c r="AB204" s="18">
        <v>0.13250000000000001</v>
      </c>
      <c r="AC204" s="18">
        <v>3.9E-2</v>
      </c>
      <c r="AD204" s="18">
        <v>0.2074</v>
      </c>
      <c r="AE204" s="18">
        <v>0.12920000000000001</v>
      </c>
      <c r="AF204" s="18">
        <v>6.1499999999999999E-2</v>
      </c>
      <c r="AG204" s="18">
        <v>1.1930000000000001</v>
      </c>
      <c r="AH204" s="18">
        <v>0.5837</v>
      </c>
      <c r="AI204" s="18">
        <v>6.2899999999999998E-2</v>
      </c>
      <c r="AJ204" s="18">
        <v>0.27450000000000002</v>
      </c>
      <c r="AK204" s="18">
        <v>0.27989999999999998</v>
      </c>
      <c r="AL204" s="18">
        <v>1.7070000000000001</v>
      </c>
      <c r="AM204" s="18">
        <v>0.61229999999999996</v>
      </c>
      <c r="AN204" s="18">
        <v>1.0008999999999999</v>
      </c>
      <c r="AO204" s="18">
        <v>2.8028</v>
      </c>
      <c r="AP204" s="18">
        <v>2.0251000000000001</v>
      </c>
      <c r="AQ204" s="18">
        <v>0.47560000000000002</v>
      </c>
      <c r="AR204" s="18">
        <v>1.4461999999999999</v>
      </c>
      <c r="AS204" s="18">
        <v>9.5399999999999999E-2</v>
      </c>
      <c r="AT204" s="18">
        <v>0.20810000000000001</v>
      </c>
      <c r="AU204" s="18">
        <v>0.1172</v>
      </c>
      <c r="AV204" s="18">
        <v>0.1066</v>
      </c>
      <c r="AW204" s="18">
        <v>0.2243</v>
      </c>
      <c r="AX204" s="18">
        <v>0.1123</v>
      </c>
    </row>
    <row r="205" spans="1:50" x14ac:dyDescent="0.25">
      <c r="A205" s="17" t="s">
        <v>573</v>
      </c>
      <c r="B205" s="13" t="s">
        <v>410</v>
      </c>
      <c r="C205" s="18">
        <v>0.2127</v>
      </c>
      <c r="D205" s="18">
        <v>0.28410000000000002</v>
      </c>
      <c r="E205" s="18">
        <v>0.1348</v>
      </c>
      <c r="F205" s="18">
        <v>4.1000000000000002E-2</v>
      </c>
      <c r="G205" s="18">
        <v>0.25929999999999997</v>
      </c>
      <c r="H205" s="18">
        <v>4.1000000000000002E-2</v>
      </c>
      <c r="I205" s="18">
        <v>4.1000000000000002E-2</v>
      </c>
      <c r="J205" s="18">
        <v>4.1000000000000002E-2</v>
      </c>
      <c r="K205" s="18">
        <v>0.1348</v>
      </c>
      <c r="L205" s="18">
        <v>4.1000000000000002E-2</v>
      </c>
      <c r="M205" s="18">
        <v>4.1000000000000002E-2</v>
      </c>
      <c r="N205" s="18">
        <v>5.4399999999999997E-2</v>
      </c>
      <c r="O205" s="18">
        <v>0.12139999999999999</v>
      </c>
      <c r="P205" s="18">
        <v>4.1000000000000002E-2</v>
      </c>
      <c r="Q205" s="18">
        <v>4.1000000000000002E-2</v>
      </c>
      <c r="R205" s="18">
        <v>0.1348</v>
      </c>
      <c r="S205" s="18">
        <v>4.1000000000000002E-2</v>
      </c>
      <c r="T205" s="18">
        <v>0.84150000000000003</v>
      </c>
      <c r="U205" s="18">
        <v>1.6426000000000001</v>
      </c>
      <c r="V205" s="18">
        <v>1.3606</v>
      </c>
      <c r="W205" s="18">
        <v>0.95989999999999998</v>
      </c>
      <c r="X205" s="18">
        <v>0.95020000000000004</v>
      </c>
      <c r="Y205" s="18">
        <v>0.1229</v>
      </c>
      <c r="Z205" s="18">
        <v>0.1002</v>
      </c>
      <c r="AA205" s="18">
        <v>0.2006</v>
      </c>
      <c r="AB205" s="18">
        <v>5.8500000000000003E-2</v>
      </c>
      <c r="AC205" s="18">
        <v>4.1000000000000002E-2</v>
      </c>
      <c r="AD205" s="18">
        <v>0.1348</v>
      </c>
      <c r="AE205" s="18">
        <v>4.1000000000000002E-2</v>
      </c>
      <c r="AF205" s="18">
        <v>0.12809999999999999</v>
      </c>
      <c r="AG205" s="18">
        <v>4.7699999999999999E-2</v>
      </c>
      <c r="AH205" s="18">
        <v>4.1000000000000002E-2</v>
      </c>
      <c r="AI205" s="18">
        <v>0.15229999999999999</v>
      </c>
      <c r="AJ205" s="18">
        <v>0.17780000000000001</v>
      </c>
      <c r="AK205" s="18">
        <v>9.1300000000000006E-2</v>
      </c>
      <c r="AL205" s="18">
        <v>0.2382</v>
      </c>
      <c r="AM205" s="18">
        <v>0.1734</v>
      </c>
      <c r="AN205" s="18">
        <v>0.25430000000000003</v>
      </c>
      <c r="AO205" s="18">
        <v>0.4748</v>
      </c>
      <c r="AP205" s="18">
        <v>0.31869999999999998</v>
      </c>
      <c r="AQ205" s="18">
        <v>0.1249</v>
      </c>
      <c r="AR205" s="18">
        <v>0.29409999999999997</v>
      </c>
      <c r="AS205" s="18">
        <v>0.17480000000000001</v>
      </c>
      <c r="AT205" s="18">
        <v>0.55449999999999999</v>
      </c>
      <c r="AU205" s="18">
        <v>0.24390000000000001</v>
      </c>
      <c r="AV205" s="18">
        <v>0.5292</v>
      </c>
      <c r="AW205" s="18">
        <v>0.32579999999999998</v>
      </c>
      <c r="AX205" s="18">
        <v>4.1000000000000002E-2</v>
      </c>
    </row>
    <row r="206" spans="1:50" x14ac:dyDescent="0.25">
      <c r="A206" s="8" t="s">
        <v>292</v>
      </c>
      <c r="B206" s="10" t="s">
        <v>57</v>
      </c>
      <c r="C206" s="16">
        <v>0.14230000000000001</v>
      </c>
      <c r="D206" s="16">
        <v>8.7099999999999997E-2</v>
      </c>
      <c r="E206" s="16">
        <v>7.0599999999999996E-2</v>
      </c>
      <c r="F206" s="16">
        <v>0.1588</v>
      </c>
      <c r="G206" s="16">
        <v>5.3999999999999999E-2</v>
      </c>
      <c r="H206" s="16">
        <v>0.1147</v>
      </c>
      <c r="I206" s="16">
        <v>0.1147</v>
      </c>
      <c r="J206" s="16">
        <v>8.1600000000000006E-2</v>
      </c>
      <c r="K206" s="16">
        <v>0.14779999999999999</v>
      </c>
      <c r="L206" s="16">
        <v>5.3999999999999999E-2</v>
      </c>
      <c r="M206" s="16">
        <v>0.1754</v>
      </c>
      <c r="N206" s="16">
        <v>5.3999999999999999E-2</v>
      </c>
      <c r="O206" s="16">
        <v>6.5000000000000002E-2</v>
      </c>
      <c r="P206" s="16">
        <v>0.1643</v>
      </c>
      <c r="Q206" s="16">
        <v>5.3999999999999999E-2</v>
      </c>
      <c r="R206" s="16">
        <v>7.6100000000000001E-2</v>
      </c>
      <c r="S206" s="16">
        <v>0.44219999999999998</v>
      </c>
      <c r="T206" s="16">
        <v>0.3533</v>
      </c>
      <c r="U206" s="16">
        <v>0.71040000000000003</v>
      </c>
      <c r="V206" s="16">
        <v>0.6381</v>
      </c>
      <c r="W206" s="16">
        <v>0.23710000000000001</v>
      </c>
      <c r="X206" s="16">
        <v>0.1172</v>
      </c>
      <c r="Y206" s="16">
        <v>0.1699</v>
      </c>
      <c r="Z206" s="16">
        <v>5.9499999999999997E-2</v>
      </c>
      <c r="AA206" s="16">
        <v>5.3999999999999999E-2</v>
      </c>
      <c r="AB206" s="16">
        <v>0.1147</v>
      </c>
      <c r="AC206" s="16">
        <v>0.1147</v>
      </c>
      <c r="AD206" s="16">
        <v>5.3999999999999999E-2</v>
      </c>
      <c r="AE206" s="16">
        <v>0.13120000000000001</v>
      </c>
      <c r="AF206" s="16">
        <v>9.8100000000000007E-2</v>
      </c>
      <c r="AG206" s="16">
        <v>5.9499999999999997E-2</v>
      </c>
      <c r="AH206" s="16">
        <v>0.1699</v>
      </c>
      <c r="AI206" s="16">
        <v>5.3999999999999999E-2</v>
      </c>
      <c r="AJ206" s="16">
        <v>0.1008</v>
      </c>
      <c r="AK206" s="16">
        <v>0.17269999999999999</v>
      </c>
      <c r="AL206" s="16">
        <v>0.1328</v>
      </c>
      <c r="AM206" s="16">
        <v>0.29310000000000003</v>
      </c>
      <c r="AN206" s="16">
        <v>0.13</v>
      </c>
      <c r="AO206" s="16">
        <v>0.24690000000000001</v>
      </c>
      <c r="AP206" s="16">
        <v>0.3251</v>
      </c>
      <c r="AQ206" s="16">
        <v>0.41420000000000001</v>
      </c>
      <c r="AR206" s="16">
        <v>0.63949999999999996</v>
      </c>
      <c r="AS206" s="16">
        <v>0.68210000000000004</v>
      </c>
      <c r="AT206" s="16">
        <v>0.37209999999999999</v>
      </c>
      <c r="AU206" s="16">
        <v>0.58760000000000001</v>
      </c>
      <c r="AV206" s="16">
        <v>0.53549999999999998</v>
      </c>
      <c r="AW206" s="16">
        <v>0.34110000000000001</v>
      </c>
      <c r="AX206" s="16">
        <v>0.1169</v>
      </c>
    </row>
    <row r="207" spans="1:50" x14ac:dyDescent="0.25">
      <c r="A207" s="8" t="s">
        <v>294</v>
      </c>
      <c r="B207" s="10" t="s">
        <v>57</v>
      </c>
      <c r="C207" s="16">
        <v>0.1191</v>
      </c>
      <c r="D207" s="16">
        <v>0.10009999999999999</v>
      </c>
      <c r="E207" s="16">
        <v>0.19819999999999999</v>
      </c>
      <c r="F207" s="16">
        <v>0.11210000000000001</v>
      </c>
      <c r="G207" s="16">
        <v>0.2205</v>
      </c>
      <c r="H207" s="16">
        <v>0.10639999999999999</v>
      </c>
      <c r="I207" s="16">
        <v>0.2114</v>
      </c>
      <c r="J207" s="16">
        <v>9.2600000000000002E-2</v>
      </c>
      <c r="K207" s="16">
        <v>0.2177</v>
      </c>
      <c r="L207" s="16">
        <v>0.14019999999999999</v>
      </c>
      <c r="M207" s="16">
        <v>8.5099999999999995E-2</v>
      </c>
      <c r="N207" s="16">
        <v>0.27029999999999998</v>
      </c>
      <c r="O207" s="16">
        <v>5.5E-2</v>
      </c>
      <c r="P207" s="16">
        <v>0.18759999999999999</v>
      </c>
      <c r="Q207" s="16">
        <v>0.1678</v>
      </c>
      <c r="R207" s="16">
        <v>5.5E-2</v>
      </c>
      <c r="S207" s="16">
        <v>0.2026</v>
      </c>
      <c r="T207" s="16">
        <v>0.15279999999999999</v>
      </c>
      <c r="U207" s="16">
        <v>0.13500000000000001</v>
      </c>
      <c r="V207" s="16">
        <v>0.2205</v>
      </c>
      <c r="W207" s="16">
        <v>7.7799999999999994E-2</v>
      </c>
      <c r="X207" s="16">
        <v>0.11210000000000001</v>
      </c>
      <c r="Y207" s="16">
        <v>5.5E-2</v>
      </c>
      <c r="Z207" s="16">
        <v>0.2026</v>
      </c>
      <c r="AA207" s="16">
        <v>0.15279999999999999</v>
      </c>
      <c r="AB207" s="16">
        <v>8.9300000000000004E-2</v>
      </c>
      <c r="AC207" s="16">
        <v>0.25109999999999999</v>
      </c>
      <c r="AD207" s="16">
        <v>7.0000000000000007E-2</v>
      </c>
      <c r="AE207" s="16">
        <v>0.1368</v>
      </c>
      <c r="AF207" s="16">
        <v>0.21859999999999999</v>
      </c>
      <c r="AG207" s="16">
        <v>5.5E-2</v>
      </c>
      <c r="AH207" s="16">
        <v>0.13500000000000001</v>
      </c>
      <c r="AI207" s="16">
        <v>0.2205</v>
      </c>
      <c r="AJ207" s="16">
        <v>0.1399</v>
      </c>
      <c r="AK207" s="16">
        <v>0.36909999999999998</v>
      </c>
      <c r="AL207" s="16">
        <v>0.18410000000000001</v>
      </c>
      <c r="AM207" s="16">
        <v>0.16250000000000001</v>
      </c>
      <c r="AN207" s="16">
        <v>0.37730000000000002</v>
      </c>
      <c r="AO207" s="16">
        <v>0.18029999999999999</v>
      </c>
      <c r="AP207" s="16">
        <v>0.30709999999999998</v>
      </c>
      <c r="AQ207" s="16">
        <v>0.49580000000000002</v>
      </c>
      <c r="AR207" s="16">
        <v>0.4652</v>
      </c>
      <c r="AS207" s="16">
        <v>0.76119999999999999</v>
      </c>
      <c r="AT207" s="16">
        <v>0.61370000000000002</v>
      </c>
      <c r="AU207" s="16">
        <v>0.4098</v>
      </c>
      <c r="AV207" s="16">
        <v>0.66790000000000005</v>
      </c>
      <c r="AW207" s="16">
        <v>0.38600000000000001</v>
      </c>
      <c r="AX207" s="16">
        <v>5.5E-2</v>
      </c>
    </row>
    <row r="208" spans="1:50" x14ac:dyDescent="0.25">
      <c r="A208" s="8" t="s">
        <v>296</v>
      </c>
      <c r="B208" s="10" t="s">
        <v>57</v>
      </c>
      <c r="C208" s="16">
        <v>0.1386</v>
      </c>
      <c r="D208" s="16">
        <v>5.3999999999999999E-2</v>
      </c>
      <c r="E208" s="16">
        <v>0.10100000000000001</v>
      </c>
      <c r="F208" s="16">
        <v>9.1600000000000001E-2</v>
      </c>
      <c r="G208" s="16">
        <v>0.1057</v>
      </c>
      <c r="H208" s="16">
        <v>8.6900000000000005E-2</v>
      </c>
      <c r="I208" s="16">
        <v>6.8099999999999994E-2</v>
      </c>
      <c r="J208" s="16">
        <v>0.1245</v>
      </c>
      <c r="K208" s="16">
        <v>5.3999999999999999E-2</v>
      </c>
      <c r="L208" s="16">
        <v>0.1386</v>
      </c>
      <c r="M208" s="16">
        <v>5.3999999999999999E-2</v>
      </c>
      <c r="N208" s="16">
        <v>5.3999999999999999E-2</v>
      </c>
      <c r="O208" s="16">
        <v>0.11509999999999999</v>
      </c>
      <c r="P208" s="16">
        <v>7.7499999999999999E-2</v>
      </c>
      <c r="Q208" s="16">
        <v>0.1198</v>
      </c>
      <c r="R208" s="16">
        <v>7.2800000000000004E-2</v>
      </c>
      <c r="S208" s="16">
        <v>0.1386</v>
      </c>
      <c r="T208" s="16">
        <v>0.1449</v>
      </c>
      <c r="U208" s="16">
        <v>0.25869999999999999</v>
      </c>
      <c r="V208" s="16">
        <v>0.96850000000000003</v>
      </c>
      <c r="W208" s="16">
        <v>0.28239999999999998</v>
      </c>
      <c r="X208" s="16">
        <v>0.2379</v>
      </c>
      <c r="Y208" s="16">
        <v>0.1757</v>
      </c>
      <c r="Z208" s="16">
        <v>0.18820000000000001</v>
      </c>
      <c r="AA208" s="16">
        <v>0.14849999999999999</v>
      </c>
      <c r="AB208" s="16">
        <v>0.33679999999999999</v>
      </c>
      <c r="AC208" s="16">
        <v>0.2457</v>
      </c>
      <c r="AD208" s="16">
        <v>0.18090000000000001</v>
      </c>
      <c r="AE208" s="16">
        <v>0.1031</v>
      </c>
      <c r="AF208" s="16">
        <v>0.2601</v>
      </c>
      <c r="AG208" s="16">
        <v>0.1386</v>
      </c>
      <c r="AH208" s="16">
        <v>5.3999999999999999E-2</v>
      </c>
      <c r="AI208" s="16">
        <v>5.3999999999999999E-2</v>
      </c>
      <c r="AJ208" s="16">
        <v>0.1386</v>
      </c>
      <c r="AK208" s="16">
        <v>6.1600000000000002E-2</v>
      </c>
      <c r="AL208" s="16">
        <v>0.1961</v>
      </c>
      <c r="AM208" s="16">
        <v>0.36230000000000001</v>
      </c>
      <c r="AN208" s="16">
        <v>0.3009</v>
      </c>
      <c r="AO208" s="16">
        <v>0.42909999999999998</v>
      </c>
      <c r="AP208" s="16">
        <v>0.41739999999999999</v>
      </c>
      <c r="AQ208" s="16">
        <v>0.42970000000000003</v>
      </c>
      <c r="AR208" s="16">
        <v>0.28520000000000001</v>
      </c>
      <c r="AS208" s="16">
        <v>0.11509999999999999</v>
      </c>
      <c r="AT208" s="16">
        <v>9.6299999999999997E-2</v>
      </c>
      <c r="AU208" s="16">
        <v>9.6299999999999997E-2</v>
      </c>
      <c r="AV208" s="16">
        <v>0.21210000000000001</v>
      </c>
      <c r="AW208" s="16">
        <v>0.36580000000000001</v>
      </c>
      <c r="AX208" s="16">
        <v>0.4239</v>
      </c>
    </row>
    <row r="209" spans="1:50" x14ac:dyDescent="0.25">
      <c r="A209" s="8" t="s">
        <v>298</v>
      </c>
      <c r="B209" s="10" t="s">
        <v>57</v>
      </c>
      <c r="C209" s="16">
        <v>0.1079</v>
      </c>
      <c r="D209" s="16">
        <v>0.19719999999999999</v>
      </c>
      <c r="E209" s="16">
        <v>0.121</v>
      </c>
      <c r="F209" s="16">
        <v>0.1963</v>
      </c>
      <c r="G209" s="16">
        <v>5.6099999999999997E-2</v>
      </c>
      <c r="H209" s="16">
        <v>4.2000000000000003E-2</v>
      </c>
      <c r="I209" s="16">
        <v>0.13420000000000001</v>
      </c>
      <c r="J209" s="16">
        <v>0.19719999999999999</v>
      </c>
      <c r="K209" s="16">
        <v>4.2000000000000003E-2</v>
      </c>
      <c r="L209" s="16">
        <v>0.13420000000000001</v>
      </c>
      <c r="M209" s="16">
        <v>0.16189999999999999</v>
      </c>
      <c r="N209" s="16">
        <v>0.16950000000000001</v>
      </c>
      <c r="O209" s="16">
        <v>4.2000000000000003E-2</v>
      </c>
      <c r="P209" s="16">
        <v>0.18970000000000001</v>
      </c>
      <c r="Q209" s="16">
        <v>0.14169999999999999</v>
      </c>
      <c r="R209" s="16">
        <v>4.2000000000000003E-2</v>
      </c>
      <c r="S209" s="16">
        <v>0.32019999999999998</v>
      </c>
      <c r="T209" s="16">
        <v>8.43E-2</v>
      </c>
      <c r="U209" s="16">
        <v>0.37380000000000002</v>
      </c>
      <c r="V209" s="16">
        <v>1.0797000000000001</v>
      </c>
      <c r="W209" s="16">
        <v>0.13009999999999999</v>
      </c>
      <c r="X209" s="16">
        <v>0.33800000000000002</v>
      </c>
      <c r="Y209" s="16">
        <v>5.5199999999999999E-2</v>
      </c>
      <c r="Z209" s="16">
        <v>0.17599999999999999</v>
      </c>
      <c r="AA209" s="16">
        <v>0.15540000000000001</v>
      </c>
      <c r="AB209" s="16">
        <v>4.2000000000000003E-2</v>
      </c>
      <c r="AC209" s="16">
        <v>0.2339</v>
      </c>
      <c r="AD209" s="16">
        <v>0.1195</v>
      </c>
      <c r="AE209" s="16">
        <v>0.1055</v>
      </c>
      <c r="AF209" s="16">
        <v>0.17979999999999999</v>
      </c>
      <c r="AG209" s="16">
        <v>8.8099999999999998E-2</v>
      </c>
      <c r="AH209" s="16">
        <v>0.16189999999999999</v>
      </c>
      <c r="AI209" s="16">
        <v>9.7000000000000003E-2</v>
      </c>
      <c r="AJ209" s="16">
        <v>0.1709</v>
      </c>
      <c r="AK209" s="16">
        <v>0.15090000000000001</v>
      </c>
      <c r="AL209" s="16">
        <v>0.13420000000000001</v>
      </c>
      <c r="AM209" s="16">
        <v>0.17599999999999999</v>
      </c>
      <c r="AN209" s="16">
        <v>6.3200000000000006E-2</v>
      </c>
      <c r="AO209" s="16">
        <v>9.5299999999999996E-2</v>
      </c>
      <c r="AP209" s="16">
        <v>0.2959</v>
      </c>
      <c r="AQ209" s="16">
        <v>0.34210000000000002</v>
      </c>
      <c r="AR209" s="16">
        <v>0.37780000000000002</v>
      </c>
      <c r="AS209" s="16">
        <v>0.59189999999999998</v>
      </c>
      <c r="AT209" s="16">
        <v>0.4103</v>
      </c>
      <c r="AU209" s="16">
        <v>0.25130000000000002</v>
      </c>
      <c r="AV209" s="16">
        <v>0.36580000000000001</v>
      </c>
      <c r="AW209" s="16">
        <v>0.15490000000000001</v>
      </c>
      <c r="AX209" s="16">
        <v>0.2984</v>
      </c>
    </row>
    <row r="210" spans="1:50" x14ac:dyDescent="0.25">
      <c r="A210" s="17" t="s">
        <v>575</v>
      </c>
      <c r="B210" s="13" t="s">
        <v>410</v>
      </c>
      <c r="C210" s="18">
        <v>0.1903</v>
      </c>
      <c r="D210" s="18">
        <v>4.7E-2</v>
      </c>
      <c r="E210" s="18">
        <v>0.17730000000000001</v>
      </c>
      <c r="F210" s="18">
        <v>0.06</v>
      </c>
      <c r="G210" s="18">
        <v>0.13819999999999999</v>
      </c>
      <c r="H210" s="18">
        <v>9.9099999999999994E-2</v>
      </c>
      <c r="I210" s="18">
        <v>4.7E-2</v>
      </c>
      <c r="J210" s="18">
        <v>0.1903</v>
      </c>
      <c r="K210" s="18">
        <v>4.7E-2</v>
      </c>
      <c r="L210" s="18">
        <v>7.3099999999999998E-2</v>
      </c>
      <c r="M210" s="18">
        <v>0.16420000000000001</v>
      </c>
      <c r="N210" s="18">
        <v>4.7E-2</v>
      </c>
      <c r="O210" s="18">
        <v>0.18379999999999999</v>
      </c>
      <c r="P210" s="18">
        <v>0.28449999999999998</v>
      </c>
      <c r="Q210" s="18">
        <v>4.7E-2</v>
      </c>
      <c r="R210" s="18">
        <v>6.7299999999999999E-2</v>
      </c>
      <c r="S210" s="18">
        <v>0.17730000000000001</v>
      </c>
      <c r="T210" s="18">
        <v>0.27300000000000002</v>
      </c>
      <c r="U210" s="18">
        <v>0.21010000000000001</v>
      </c>
      <c r="V210" s="18">
        <v>8.43E-2</v>
      </c>
      <c r="W210" s="18">
        <v>0.15529999999999999</v>
      </c>
      <c r="X210" s="18">
        <v>9.9099999999999994E-2</v>
      </c>
      <c r="Y210" s="18">
        <v>4.7E-2</v>
      </c>
      <c r="Z210" s="18">
        <v>0.36809999999999998</v>
      </c>
      <c r="AA210" s="18">
        <v>9.64E-2</v>
      </c>
      <c r="AB210" s="18">
        <v>0.28179999999999999</v>
      </c>
      <c r="AC210" s="18">
        <v>6.9900000000000004E-2</v>
      </c>
      <c r="AD210" s="18">
        <v>6.13E-2</v>
      </c>
      <c r="AE210" s="18">
        <v>0.1439</v>
      </c>
      <c r="AF210" s="18">
        <v>0.37969999999999998</v>
      </c>
      <c r="AG210" s="18">
        <v>9.1999999999999998E-2</v>
      </c>
      <c r="AH210" s="18">
        <v>0.23569999999999999</v>
      </c>
      <c r="AI210" s="18">
        <v>7.51E-2</v>
      </c>
      <c r="AJ210" s="18">
        <v>0.185</v>
      </c>
      <c r="AK210" s="18">
        <v>0.1024</v>
      </c>
      <c r="AL210" s="18">
        <v>0.19439999999999999</v>
      </c>
      <c r="AM210" s="18">
        <v>0.2918</v>
      </c>
      <c r="AN210" s="18">
        <v>5.7299999999999997E-2</v>
      </c>
      <c r="AO210" s="18">
        <v>0.32779999999999998</v>
      </c>
      <c r="AP210" s="18">
        <v>0.37319999999999998</v>
      </c>
      <c r="AQ210" s="18">
        <v>0.53990000000000005</v>
      </c>
      <c r="AR210" s="18">
        <v>0.47810000000000002</v>
      </c>
      <c r="AS210" s="18">
        <v>0.2611</v>
      </c>
      <c r="AT210" s="18">
        <v>4.7E-2</v>
      </c>
      <c r="AU210" s="18">
        <v>9.2600000000000002E-2</v>
      </c>
      <c r="AV210" s="18">
        <v>0.1447</v>
      </c>
      <c r="AW210" s="18">
        <v>4.7E-2</v>
      </c>
      <c r="AX210" s="18">
        <v>4.7E-2</v>
      </c>
    </row>
    <row r="211" spans="1:50" x14ac:dyDescent="0.25">
      <c r="A211" s="8" t="s">
        <v>300</v>
      </c>
      <c r="B211" s="10" t="s">
        <v>57</v>
      </c>
      <c r="C211" s="16">
        <v>5.3999999999999999E-2</v>
      </c>
      <c r="D211" s="16">
        <v>0.13200000000000001</v>
      </c>
      <c r="E211" s="16">
        <v>5.3999999999999999E-2</v>
      </c>
      <c r="F211" s="16">
        <v>0.12330000000000001</v>
      </c>
      <c r="G211" s="16">
        <v>6.2700000000000006E-2</v>
      </c>
      <c r="H211" s="16">
        <v>0.1103</v>
      </c>
      <c r="I211" s="16">
        <v>7.5700000000000003E-2</v>
      </c>
      <c r="J211" s="16">
        <v>8.43E-2</v>
      </c>
      <c r="K211" s="16">
        <v>0.1016</v>
      </c>
      <c r="L211" s="16">
        <v>5.3999999999999999E-2</v>
      </c>
      <c r="M211" s="16">
        <v>0.13200000000000001</v>
      </c>
      <c r="N211" s="16">
        <v>5.3999999999999999E-2</v>
      </c>
      <c r="O211" s="16">
        <v>5.3999999999999999E-2</v>
      </c>
      <c r="P211" s="16">
        <v>5.3999999999999999E-2</v>
      </c>
      <c r="Q211" s="16">
        <v>0.106</v>
      </c>
      <c r="R211" s="16">
        <v>0.08</v>
      </c>
      <c r="S211" s="16">
        <v>5.3999999999999999E-2</v>
      </c>
      <c r="T211" s="16">
        <v>8.8599999999999998E-2</v>
      </c>
      <c r="U211" s="16">
        <v>9.7299999999999998E-2</v>
      </c>
      <c r="V211" s="16">
        <v>9.0800000000000006E-2</v>
      </c>
      <c r="W211" s="16">
        <v>5.3999999999999999E-2</v>
      </c>
      <c r="X211" s="16">
        <v>5.3999999999999999E-2</v>
      </c>
      <c r="Y211" s="16">
        <v>0.16880000000000001</v>
      </c>
      <c r="Z211" s="16">
        <v>5.3999999999999999E-2</v>
      </c>
      <c r="AA211" s="16">
        <v>0.13569999999999999</v>
      </c>
      <c r="AB211" s="16">
        <v>0.48270000000000002</v>
      </c>
      <c r="AC211" s="16">
        <v>0.245</v>
      </c>
      <c r="AD211" s="16">
        <v>0.18410000000000001</v>
      </c>
      <c r="AE211" s="16">
        <v>0.45860000000000001</v>
      </c>
      <c r="AF211" s="16">
        <v>0.28660000000000002</v>
      </c>
      <c r="AG211" s="16">
        <v>0.24560000000000001</v>
      </c>
      <c r="AH211" s="16">
        <v>0.18959999999999999</v>
      </c>
      <c r="AI211" s="16">
        <v>0.18410000000000001</v>
      </c>
      <c r="AJ211" s="16">
        <v>8.3500000000000005E-2</v>
      </c>
      <c r="AK211" s="16">
        <v>0.24360000000000001</v>
      </c>
      <c r="AL211" s="16">
        <v>5.6399999999999999E-2</v>
      </c>
      <c r="AM211" s="16">
        <v>5.3999999999999999E-2</v>
      </c>
      <c r="AN211" s="16">
        <v>0.1464</v>
      </c>
      <c r="AO211" s="16">
        <v>0.26479999999999998</v>
      </c>
      <c r="AP211" s="16">
        <v>0.27650000000000002</v>
      </c>
      <c r="AQ211" s="16">
        <v>0.3085</v>
      </c>
      <c r="AR211" s="16">
        <v>0.39200000000000002</v>
      </c>
      <c r="AS211" s="16">
        <v>0.435</v>
      </c>
      <c r="AT211" s="16">
        <v>0.36199999999999999</v>
      </c>
      <c r="AU211" s="16">
        <v>0.25559999999999999</v>
      </c>
      <c r="AV211" s="16">
        <v>0.35730000000000001</v>
      </c>
      <c r="AW211" s="16">
        <v>0.21659999999999999</v>
      </c>
      <c r="AX211" s="16">
        <v>5.3999999999999999E-2</v>
      </c>
    </row>
    <row r="212" spans="1:50" x14ac:dyDescent="0.25">
      <c r="A212" s="17" t="s">
        <v>577</v>
      </c>
      <c r="B212" s="13" t="s">
        <v>410</v>
      </c>
      <c r="C212" s="18">
        <v>0.1177</v>
      </c>
      <c r="D212" s="18">
        <v>0.22700000000000001</v>
      </c>
      <c r="E212" s="18">
        <v>5.0999999999999997E-2</v>
      </c>
      <c r="F212" s="18">
        <v>0.1177</v>
      </c>
      <c r="G212" s="18">
        <v>7.4999999999999997E-2</v>
      </c>
      <c r="H212" s="18">
        <v>0.2697</v>
      </c>
      <c r="I212" s="18">
        <v>5.0999999999999997E-2</v>
      </c>
      <c r="J212" s="18">
        <v>0.2432</v>
      </c>
      <c r="K212" s="18">
        <v>0.10150000000000001</v>
      </c>
      <c r="L212" s="18">
        <v>5.0999999999999997E-2</v>
      </c>
      <c r="M212" s="18">
        <v>0.29370000000000002</v>
      </c>
      <c r="N212" s="18">
        <v>5.0999999999999997E-2</v>
      </c>
      <c r="O212" s="18">
        <v>0.17100000000000001</v>
      </c>
      <c r="P212" s="18">
        <v>0.107</v>
      </c>
      <c r="Q212" s="18">
        <v>9.9000000000000005E-2</v>
      </c>
      <c r="R212" s="18">
        <v>0.17899999999999999</v>
      </c>
      <c r="S212" s="18">
        <v>5.0999999999999997E-2</v>
      </c>
      <c r="T212" s="18">
        <v>0.46500000000000002</v>
      </c>
      <c r="U212" s="18">
        <v>0.35260000000000002</v>
      </c>
      <c r="V212" s="18">
        <v>2.8683000000000001</v>
      </c>
      <c r="W212" s="18">
        <v>0.40300000000000002</v>
      </c>
      <c r="X212" s="18">
        <v>0.36370000000000002</v>
      </c>
      <c r="Y212" s="18">
        <v>0.25519999999999998</v>
      </c>
      <c r="Z212" s="18">
        <v>0.31509999999999999</v>
      </c>
      <c r="AA212" s="18">
        <v>0.1177</v>
      </c>
      <c r="AB212" s="18">
        <v>0.1661</v>
      </c>
      <c r="AC212" s="18">
        <v>0.17860000000000001</v>
      </c>
      <c r="AD212" s="18">
        <v>0.16239999999999999</v>
      </c>
      <c r="AE212" s="18">
        <v>0.2329</v>
      </c>
      <c r="AF212" s="18">
        <v>1.4726999999999999</v>
      </c>
      <c r="AG212" s="18">
        <v>0.14380000000000001</v>
      </c>
      <c r="AH212" s="18">
        <v>0.1177</v>
      </c>
      <c r="AI212" s="18">
        <v>0.22700000000000001</v>
      </c>
      <c r="AJ212" s="18">
        <v>5.0999999999999997E-2</v>
      </c>
      <c r="AK212" s="18">
        <v>0.17369999999999999</v>
      </c>
      <c r="AL212" s="18">
        <v>0.17100000000000001</v>
      </c>
      <c r="AM212" s="18">
        <v>0.1177</v>
      </c>
      <c r="AN212" s="18">
        <v>0.22700000000000001</v>
      </c>
      <c r="AO212" s="18">
        <v>5.0999999999999997E-2</v>
      </c>
      <c r="AP212" s="18">
        <v>0.1177</v>
      </c>
      <c r="AQ212" s="18">
        <v>0.22700000000000001</v>
      </c>
      <c r="AR212" s="18">
        <v>5.0999999999999997E-2</v>
      </c>
      <c r="AS212" s="18">
        <v>0.13550000000000001</v>
      </c>
      <c r="AT212" s="18">
        <v>0.29549999999999998</v>
      </c>
      <c r="AU212" s="18">
        <v>0.19500000000000001</v>
      </c>
      <c r="AV212" s="18">
        <v>5.4699999999999999E-2</v>
      </c>
      <c r="AW212" s="18">
        <v>0.22600000000000001</v>
      </c>
      <c r="AX212" s="18">
        <v>0.13719999999999999</v>
      </c>
    </row>
    <row r="213" spans="1:50" x14ac:dyDescent="0.25">
      <c r="A213" s="8" t="s">
        <v>302</v>
      </c>
      <c r="B213" s="10" t="s">
        <v>57</v>
      </c>
      <c r="C213" s="16">
        <v>0.13619999999999999</v>
      </c>
      <c r="D213" s="16">
        <v>4.7E-2</v>
      </c>
      <c r="E213" s="16">
        <v>4.7E-2</v>
      </c>
      <c r="F213" s="16">
        <v>4.7E-2</v>
      </c>
      <c r="G213" s="16">
        <v>0.10639999999999999</v>
      </c>
      <c r="H213" s="16">
        <v>0.151</v>
      </c>
      <c r="I213" s="16">
        <v>6.1899999999999997E-2</v>
      </c>
      <c r="J213" s="16">
        <v>0.1956</v>
      </c>
      <c r="K213" s="16">
        <v>4.7E-2</v>
      </c>
      <c r="L213" s="16">
        <v>0.151</v>
      </c>
      <c r="M213" s="16">
        <v>0.10639999999999999</v>
      </c>
      <c r="N213" s="16">
        <v>8.4199999999999997E-2</v>
      </c>
      <c r="O213" s="16">
        <v>0.17330000000000001</v>
      </c>
      <c r="P213" s="16">
        <v>4.7E-2</v>
      </c>
      <c r="Q213" s="16">
        <v>0.1585</v>
      </c>
      <c r="R213" s="16">
        <v>9.9000000000000005E-2</v>
      </c>
      <c r="S213" s="16">
        <v>0.41499999999999998</v>
      </c>
      <c r="T213" s="16">
        <v>1.7065999999999999</v>
      </c>
      <c r="U213" s="16">
        <v>4.7E-2</v>
      </c>
      <c r="V213" s="16">
        <v>0.48089999999999999</v>
      </c>
      <c r="W213" s="16">
        <v>0.1956</v>
      </c>
      <c r="X213" s="16">
        <v>6.1899999999999997E-2</v>
      </c>
      <c r="Y213" s="16">
        <v>0.1139</v>
      </c>
      <c r="Z213" s="16">
        <v>0.14360000000000001</v>
      </c>
      <c r="AA213" s="16">
        <v>0.20330000000000001</v>
      </c>
      <c r="AB213" s="16">
        <v>0.97050000000000003</v>
      </c>
      <c r="AC213" s="16">
        <v>1.2923</v>
      </c>
      <c r="AD213" s="16">
        <v>1.6727000000000001</v>
      </c>
      <c r="AE213" s="16">
        <v>0.13619999999999999</v>
      </c>
      <c r="AF213" s="16">
        <v>0.13600000000000001</v>
      </c>
      <c r="AG213" s="16">
        <v>0.31840000000000002</v>
      </c>
      <c r="AH213" s="16">
        <v>0.20480000000000001</v>
      </c>
      <c r="AI213" s="16">
        <v>0.22819999999999999</v>
      </c>
      <c r="AJ213" s="16">
        <v>0.38729999999999998</v>
      </c>
      <c r="AK213" s="16">
        <v>0.16650000000000001</v>
      </c>
      <c r="AL213" s="16">
        <v>4.7E-2</v>
      </c>
      <c r="AM213" s="16">
        <v>0.1139</v>
      </c>
      <c r="AN213" s="16">
        <v>0.14360000000000001</v>
      </c>
      <c r="AO213" s="16">
        <v>4.7E-2</v>
      </c>
      <c r="AP213" s="16">
        <v>0.21049999999999999</v>
      </c>
      <c r="AQ213" s="16">
        <v>4.7E-2</v>
      </c>
      <c r="AR213" s="16">
        <v>4.7E-2</v>
      </c>
      <c r="AS213" s="16">
        <v>4.7E-2</v>
      </c>
      <c r="AT213" s="16">
        <v>0.14940000000000001</v>
      </c>
      <c r="AU213" s="16">
        <v>0.32450000000000001</v>
      </c>
      <c r="AV213" s="16">
        <v>4.7E-2</v>
      </c>
      <c r="AW213" s="16">
        <v>0.21049999999999999</v>
      </c>
      <c r="AX213" s="16">
        <v>4.7E-2</v>
      </c>
    </row>
    <row r="214" spans="1:50" x14ac:dyDescent="0.25">
      <c r="A214" s="17" t="s">
        <v>579</v>
      </c>
      <c r="B214" s="13" t="s">
        <v>410</v>
      </c>
      <c r="C214" s="18">
        <v>0.30669999999999997</v>
      </c>
      <c r="D214" s="18">
        <v>4.9000000000000002E-2</v>
      </c>
      <c r="E214" s="18">
        <v>0.1817</v>
      </c>
      <c r="F214" s="18">
        <v>4.9000000000000002E-2</v>
      </c>
      <c r="G214" s="18">
        <v>0.13350000000000001</v>
      </c>
      <c r="H214" s="18">
        <v>9.7299999999999998E-2</v>
      </c>
      <c r="I214" s="18">
        <v>8.5199999999999998E-2</v>
      </c>
      <c r="J214" s="18">
        <v>0.14549999999999999</v>
      </c>
      <c r="K214" s="18">
        <v>4.9000000000000002E-2</v>
      </c>
      <c r="L214" s="18">
        <v>4.9000000000000002E-2</v>
      </c>
      <c r="M214" s="18">
        <v>0.14549999999999999</v>
      </c>
      <c r="N214" s="18">
        <v>8.5199999999999998E-2</v>
      </c>
      <c r="O214" s="18">
        <v>4.9000000000000002E-2</v>
      </c>
      <c r="P214" s="18">
        <v>0.16969999999999999</v>
      </c>
      <c r="Q214" s="18">
        <v>6.1100000000000002E-2</v>
      </c>
      <c r="R214" s="18">
        <v>6.7100000000000007E-2</v>
      </c>
      <c r="S214" s="18">
        <v>1.0818000000000001</v>
      </c>
      <c r="T214" s="18">
        <v>0.15340000000000001</v>
      </c>
      <c r="U214" s="18">
        <v>4.9000000000000002E-2</v>
      </c>
      <c r="V214" s="18">
        <v>0.59140000000000004</v>
      </c>
      <c r="W214" s="18">
        <v>6.6900000000000001E-2</v>
      </c>
      <c r="X214" s="18">
        <v>6.9400000000000003E-2</v>
      </c>
      <c r="Y214" s="18">
        <v>1.0402</v>
      </c>
      <c r="Z214" s="18">
        <v>0.25869999999999999</v>
      </c>
      <c r="AA214" s="18">
        <v>4.9000000000000002E-2</v>
      </c>
      <c r="AB214" s="18">
        <v>4.9000000000000002E-2</v>
      </c>
      <c r="AC214" s="18">
        <v>7.9200000000000007E-2</v>
      </c>
      <c r="AD214" s="18">
        <v>0.15160000000000001</v>
      </c>
      <c r="AE214" s="18">
        <v>4.9000000000000002E-2</v>
      </c>
      <c r="AF214" s="18">
        <v>0.1817</v>
      </c>
      <c r="AG214" s="18">
        <v>4.9000000000000002E-2</v>
      </c>
      <c r="AH214" s="18">
        <v>0.15759999999999999</v>
      </c>
      <c r="AI214" s="18">
        <v>0.1552</v>
      </c>
      <c r="AJ214" s="18">
        <v>0.1263</v>
      </c>
      <c r="AK214" s="18">
        <v>0.19009999999999999</v>
      </c>
      <c r="AL214" s="18">
        <v>5.4800000000000001E-2</v>
      </c>
      <c r="AM214" s="18">
        <v>0.1794</v>
      </c>
      <c r="AN214" s="18">
        <v>0.1497</v>
      </c>
      <c r="AO214" s="18">
        <v>0.2</v>
      </c>
      <c r="AP214" s="18">
        <v>0.41470000000000001</v>
      </c>
      <c r="AQ214" s="18">
        <v>0.38419999999999999</v>
      </c>
      <c r="AR214" s="18">
        <v>0.65810000000000002</v>
      </c>
      <c r="AS214" s="18">
        <v>1.4278</v>
      </c>
      <c r="AT214" s="18">
        <v>1.2123999999999999</v>
      </c>
      <c r="AU214" s="18">
        <v>0.63229999999999997</v>
      </c>
      <c r="AV214" s="18">
        <v>0.40660000000000002</v>
      </c>
      <c r="AW214" s="18">
        <v>0.39319999999999999</v>
      </c>
      <c r="AX214" s="18">
        <v>5.5E-2</v>
      </c>
    </row>
    <row r="215" spans="1:50" x14ac:dyDescent="0.25">
      <c r="A215" s="8" t="s">
        <v>304</v>
      </c>
      <c r="B215" s="10" t="s">
        <v>57</v>
      </c>
      <c r="C215" s="16">
        <v>5.1999999999999998E-2</v>
      </c>
      <c r="D215" s="16">
        <v>8.7599999999999997E-2</v>
      </c>
      <c r="E215" s="16">
        <v>0.1351</v>
      </c>
      <c r="F215" s="16">
        <v>5.1999999999999998E-2</v>
      </c>
      <c r="G215" s="16">
        <v>7.5700000000000003E-2</v>
      </c>
      <c r="H215" s="16">
        <v>0.1469</v>
      </c>
      <c r="I215" s="16">
        <v>5.1999999999999998E-2</v>
      </c>
      <c r="J215" s="16">
        <v>0.1351</v>
      </c>
      <c r="K215" s="16">
        <v>8.7599999999999997E-2</v>
      </c>
      <c r="L215" s="16">
        <v>0.12909999999999999</v>
      </c>
      <c r="M215" s="16">
        <v>9.35E-2</v>
      </c>
      <c r="N215" s="16">
        <v>5.1999999999999998E-2</v>
      </c>
      <c r="O215" s="16">
        <v>5.1999999999999998E-2</v>
      </c>
      <c r="P215" s="16">
        <v>0.1232</v>
      </c>
      <c r="Q215" s="16">
        <v>9.9500000000000005E-2</v>
      </c>
      <c r="R215" s="16">
        <v>6.9800000000000001E-2</v>
      </c>
      <c r="S215" s="16">
        <v>0.15290000000000001</v>
      </c>
      <c r="T215" s="16">
        <v>5.1999999999999998E-2</v>
      </c>
      <c r="U215" s="16">
        <v>0.17069999999999999</v>
      </c>
      <c r="V215" s="16">
        <v>5.1999999999999998E-2</v>
      </c>
      <c r="W215" s="16">
        <v>5.1999999999999998E-2</v>
      </c>
      <c r="X215" s="16">
        <v>0.48930000000000001</v>
      </c>
      <c r="Y215" s="16">
        <v>0.21590000000000001</v>
      </c>
      <c r="Z215" s="16">
        <v>0.1027</v>
      </c>
      <c r="AA215" s="16">
        <v>0.14410000000000001</v>
      </c>
      <c r="AB215" s="16">
        <v>8.2500000000000004E-2</v>
      </c>
      <c r="AC215" s="16">
        <v>0.107</v>
      </c>
      <c r="AD215" s="16">
        <v>5.1999999999999998E-2</v>
      </c>
      <c r="AE215" s="16">
        <v>0.29399999999999998</v>
      </c>
      <c r="AF215" s="16">
        <v>0.1555</v>
      </c>
      <c r="AG215" s="16">
        <v>0.14649999999999999</v>
      </c>
      <c r="AH215" s="16">
        <v>0.2442</v>
      </c>
      <c r="AI215" s="16">
        <v>0.27529999999999999</v>
      </c>
      <c r="AJ215" s="16">
        <v>5.1999999999999998E-2</v>
      </c>
      <c r="AK215" s="16">
        <v>0.12909999999999999</v>
      </c>
      <c r="AL215" s="16">
        <v>9.35E-2</v>
      </c>
      <c r="AM215" s="16">
        <v>5.2999999999999999E-2</v>
      </c>
      <c r="AN215" s="16">
        <v>1.8395999999999999</v>
      </c>
      <c r="AO215" s="16">
        <v>0.37409999999999999</v>
      </c>
      <c r="AP215" s="16">
        <v>0.32990000000000003</v>
      </c>
      <c r="AQ215" s="16">
        <v>0.13300000000000001</v>
      </c>
      <c r="AR215" s="16">
        <v>0.25209999999999999</v>
      </c>
      <c r="AS215" s="16">
        <v>0.69820000000000004</v>
      </c>
      <c r="AT215" s="16">
        <v>0.26029999999999998</v>
      </c>
      <c r="AU215" s="16">
        <v>0.1605</v>
      </c>
      <c r="AV215" s="16">
        <v>0.22839999999999999</v>
      </c>
      <c r="AW215" s="16">
        <v>0.3306</v>
      </c>
      <c r="AX215" s="16">
        <v>0.2109</v>
      </c>
    </row>
    <row r="216" spans="1:50" x14ac:dyDescent="0.25">
      <c r="A216" s="8" t="s">
        <v>306</v>
      </c>
      <c r="B216" s="10" t="s">
        <v>57</v>
      </c>
      <c r="C216" s="16">
        <v>9.4399999999999998E-2</v>
      </c>
      <c r="D216" s="16">
        <v>0.14960000000000001</v>
      </c>
      <c r="E216" s="16">
        <v>0.19320000000000001</v>
      </c>
      <c r="F216" s="16">
        <v>0.18229999999999999</v>
      </c>
      <c r="G216" s="16">
        <v>0.1201</v>
      </c>
      <c r="H216" s="16">
        <v>0.13469999999999999</v>
      </c>
      <c r="I216" s="16">
        <v>0.13489999999999999</v>
      </c>
      <c r="J216" s="16">
        <v>0.25519999999999998</v>
      </c>
      <c r="K216" s="16">
        <v>7.4099999999999999E-2</v>
      </c>
      <c r="L216" s="16">
        <v>0.24299999999999999</v>
      </c>
      <c r="M216" s="16">
        <v>0.1201</v>
      </c>
      <c r="N216" s="16">
        <v>4.7E-2</v>
      </c>
      <c r="O216" s="16">
        <v>0.2079</v>
      </c>
      <c r="P216" s="16">
        <v>4.7E-2</v>
      </c>
      <c r="Q216" s="16">
        <v>0.26090000000000002</v>
      </c>
      <c r="R216" s="16">
        <v>0.1293</v>
      </c>
      <c r="S216" s="16">
        <v>0.18160000000000001</v>
      </c>
      <c r="T216" s="16">
        <v>0.20860000000000001</v>
      </c>
      <c r="U216" s="16">
        <v>6.3799999999999996E-2</v>
      </c>
      <c r="V216" s="16">
        <v>0.60129999999999995</v>
      </c>
      <c r="W216" s="16">
        <v>8.5800000000000001E-2</v>
      </c>
      <c r="X216" s="16">
        <v>1.0394000000000001</v>
      </c>
      <c r="Y216" s="16">
        <v>0.19400000000000001</v>
      </c>
      <c r="Z216" s="16">
        <v>0.61509999999999998</v>
      </c>
      <c r="AA216" s="16">
        <v>2.7440000000000002</v>
      </c>
      <c r="AB216" s="16">
        <v>2.68</v>
      </c>
      <c r="AC216" s="16">
        <v>0.8407</v>
      </c>
      <c r="AD216" s="16">
        <v>0.50049999999999994</v>
      </c>
      <c r="AE216" s="16">
        <v>1.2634000000000001</v>
      </c>
      <c r="AF216" s="16">
        <v>0.49809999999999999</v>
      </c>
      <c r="AG216" s="16">
        <v>0.32150000000000001</v>
      </c>
      <c r="AH216" s="16">
        <v>0.1956</v>
      </c>
      <c r="AI216" s="16">
        <v>0.36420000000000002</v>
      </c>
      <c r="AJ216" s="16">
        <v>0.4163</v>
      </c>
      <c r="AK216" s="16">
        <v>0.77010000000000001</v>
      </c>
      <c r="AL216" s="16">
        <v>0.55089999999999995</v>
      </c>
      <c r="AM216" s="16">
        <v>0.20039999999999999</v>
      </c>
      <c r="AN216" s="16">
        <v>0.39360000000000001</v>
      </c>
      <c r="AO216" s="16">
        <v>0.49890000000000001</v>
      </c>
      <c r="AP216" s="16">
        <v>0.45989999999999998</v>
      </c>
      <c r="AQ216" s="16">
        <v>0.32669999999999999</v>
      </c>
      <c r="AR216" s="16">
        <v>0.2641</v>
      </c>
      <c r="AS216" s="16">
        <v>4.7E-2</v>
      </c>
      <c r="AT216" s="16">
        <v>0.2238</v>
      </c>
      <c r="AU216" s="16">
        <v>0.16639999999999999</v>
      </c>
      <c r="AV216" s="16">
        <v>4.7E-2</v>
      </c>
      <c r="AW216" s="16">
        <v>4.7E-2</v>
      </c>
      <c r="AX216" s="16">
        <v>0.34320000000000001</v>
      </c>
    </row>
    <row r="217" spans="1:50" x14ac:dyDescent="0.25">
      <c r="A217" s="8" t="s">
        <v>308</v>
      </c>
      <c r="B217" s="10" t="s">
        <v>57</v>
      </c>
      <c r="C217" s="16">
        <v>0.20380000000000001</v>
      </c>
      <c r="D217" s="16">
        <v>8.2000000000000003E-2</v>
      </c>
      <c r="E217" s="16">
        <v>0.15260000000000001</v>
      </c>
      <c r="F217" s="16">
        <v>5.7000000000000002E-2</v>
      </c>
      <c r="G217" s="16">
        <v>0.1321</v>
      </c>
      <c r="H217" s="16">
        <v>0.1777</v>
      </c>
      <c r="I217" s="16">
        <v>9.4600000000000004E-2</v>
      </c>
      <c r="J217" s="16">
        <v>5.7000000000000002E-2</v>
      </c>
      <c r="K217" s="16">
        <v>0.2175</v>
      </c>
      <c r="L217" s="16">
        <v>0.1298</v>
      </c>
      <c r="M217" s="16">
        <v>0.1321</v>
      </c>
      <c r="N217" s="16">
        <v>0.2152</v>
      </c>
      <c r="O217" s="16">
        <v>5.7000000000000002E-2</v>
      </c>
      <c r="P217" s="16">
        <v>0.16339999999999999</v>
      </c>
      <c r="Q217" s="16">
        <v>0.18390000000000001</v>
      </c>
      <c r="R217" s="16">
        <v>5.7000000000000002E-2</v>
      </c>
      <c r="S217" s="16">
        <v>0.1048</v>
      </c>
      <c r="T217" s="16">
        <v>0.16109999999999999</v>
      </c>
      <c r="U217" s="16">
        <v>0.1865</v>
      </c>
      <c r="V217" s="16">
        <v>0.16739999999999999</v>
      </c>
      <c r="W217" s="16">
        <v>0.502</v>
      </c>
      <c r="X217" s="16">
        <v>1.177</v>
      </c>
      <c r="Y217" s="16">
        <v>1.7948</v>
      </c>
      <c r="Z217" s="16">
        <v>0.2823</v>
      </c>
      <c r="AA217" s="16">
        <v>0.1336</v>
      </c>
      <c r="AB217" s="16">
        <v>0.22259999999999999</v>
      </c>
      <c r="AC217" s="16">
        <v>9.2799999999999994E-2</v>
      </c>
      <c r="AD217" s="16">
        <v>0.24859999999999999</v>
      </c>
      <c r="AE217" s="16">
        <v>0.22159999999999999</v>
      </c>
      <c r="AF217" s="16">
        <v>6.2E-2</v>
      </c>
      <c r="AG217" s="16">
        <v>0.159</v>
      </c>
      <c r="AH217" s="16">
        <v>7.1800000000000003E-2</v>
      </c>
      <c r="AI217" s="16">
        <v>0.24299999999999999</v>
      </c>
      <c r="AJ217" s="16">
        <v>0.20430000000000001</v>
      </c>
      <c r="AK217" s="16">
        <v>0.26729999999999998</v>
      </c>
      <c r="AL217" s="16">
        <v>0.47289999999999999</v>
      </c>
      <c r="AM217" s="16">
        <v>0.58350000000000002</v>
      </c>
      <c r="AN217" s="16">
        <v>0.28999999999999998</v>
      </c>
      <c r="AO217" s="16">
        <v>1.0764</v>
      </c>
      <c r="AP217" s="16">
        <v>1.627</v>
      </c>
      <c r="AQ217" s="16">
        <v>0.59589999999999999</v>
      </c>
      <c r="AR217" s="16">
        <v>0.48159999999999997</v>
      </c>
      <c r="AS217" s="16">
        <v>0.60309999999999997</v>
      </c>
      <c r="AT217" s="16">
        <v>0.52329999999999999</v>
      </c>
      <c r="AU217" s="16">
        <v>0.6391</v>
      </c>
      <c r="AV217" s="16">
        <v>0.54020000000000001</v>
      </c>
      <c r="AW217" s="16">
        <v>0.71719999999999995</v>
      </c>
      <c r="AX217" s="16">
        <v>0.15260000000000001</v>
      </c>
    </row>
    <row r="218" spans="1:50" x14ac:dyDescent="0.25">
      <c r="A218" s="17" t="s">
        <v>581</v>
      </c>
      <c r="B218" s="13" t="s">
        <v>410</v>
      </c>
      <c r="C218" s="18">
        <v>0.21740000000000001</v>
      </c>
      <c r="D218" s="18">
        <v>0.1888</v>
      </c>
      <c r="E218" s="18">
        <v>4.9000000000000002E-2</v>
      </c>
      <c r="F218" s="18">
        <v>8.7900000000000006E-2</v>
      </c>
      <c r="G218" s="18">
        <v>0.17249999999999999</v>
      </c>
      <c r="H218" s="18">
        <v>0.26490000000000002</v>
      </c>
      <c r="I218" s="18">
        <v>0.12330000000000001</v>
      </c>
      <c r="J218" s="18">
        <v>4.9000000000000002E-2</v>
      </c>
      <c r="K218" s="18">
        <v>0.2631</v>
      </c>
      <c r="L218" s="18">
        <v>4.9000000000000002E-2</v>
      </c>
      <c r="M218" s="18">
        <v>0.17419999999999999</v>
      </c>
      <c r="N218" s="18">
        <v>0.13789999999999999</v>
      </c>
      <c r="O218" s="18">
        <v>0.12330000000000001</v>
      </c>
      <c r="P218" s="18">
        <v>8.7099999999999997E-2</v>
      </c>
      <c r="Q218" s="18">
        <v>0.22500000000000001</v>
      </c>
      <c r="R218" s="18">
        <v>4.9000000000000002E-2</v>
      </c>
      <c r="S218" s="18">
        <v>0.56169999999999998</v>
      </c>
      <c r="T218" s="18">
        <v>0.1192</v>
      </c>
      <c r="U218" s="18">
        <v>0.11890000000000001</v>
      </c>
      <c r="V218" s="18">
        <v>0.2203</v>
      </c>
      <c r="W218" s="18">
        <v>0.20930000000000001</v>
      </c>
      <c r="X218" s="18">
        <v>0.28110000000000002</v>
      </c>
      <c r="Y218" s="18">
        <v>0.1045</v>
      </c>
      <c r="Z218" s="18">
        <v>0.26779999999999998</v>
      </c>
      <c r="AA218" s="18">
        <v>6.9599999999999995E-2</v>
      </c>
      <c r="AB218" s="18">
        <v>0.12809999999999999</v>
      </c>
      <c r="AC218" s="18">
        <v>0.184</v>
      </c>
      <c r="AD218" s="18">
        <v>9.0300000000000005E-2</v>
      </c>
      <c r="AE218" s="18">
        <v>0.2218</v>
      </c>
      <c r="AF218" s="18">
        <v>9.0999999999999998E-2</v>
      </c>
      <c r="AG218" s="18">
        <v>0.21729999999999999</v>
      </c>
      <c r="AH218" s="18">
        <v>7.0099999999999996E-2</v>
      </c>
      <c r="AI218" s="18">
        <v>0.19589999999999999</v>
      </c>
      <c r="AJ218" s="18">
        <v>0.15559999999999999</v>
      </c>
      <c r="AK218" s="18">
        <v>0.18210000000000001</v>
      </c>
      <c r="AL218" s="18">
        <v>0.6159</v>
      </c>
      <c r="AM218" s="18">
        <v>7.1800000000000003E-2</v>
      </c>
      <c r="AN218" s="18">
        <v>1.1305000000000001</v>
      </c>
      <c r="AO218" s="18">
        <v>9.1300000000000006E-2</v>
      </c>
      <c r="AP218" s="18">
        <v>0.48630000000000001</v>
      </c>
      <c r="AQ218" s="18">
        <v>0.154</v>
      </c>
      <c r="AR218" s="18">
        <v>0.1144</v>
      </c>
      <c r="AS218" s="18">
        <v>0.19769999999999999</v>
      </c>
      <c r="AT218" s="18">
        <v>5.3100000000000001E-2</v>
      </c>
      <c r="AU218" s="18">
        <v>0.1192</v>
      </c>
      <c r="AV218" s="18">
        <v>4.9000000000000002E-2</v>
      </c>
      <c r="AW218" s="18">
        <v>4.9000000000000002E-2</v>
      </c>
      <c r="AX218" s="18">
        <v>0.18049999999999999</v>
      </c>
    </row>
    <row r="219" spans="1:50" x14ac:dyDescent="0.25">
      <c r="A219" s="17" t="s">
        <v>583</v>
      </c>
      <c r="B219" s="13" t="s">
        <v>410</v>
      </c>
      <c r="C219" s="18">
        <v>0.05</v>
      </c>
      <c r="D219" s="18">
        <v>0.05</v>
      </c>
      <c r="E219" s="18">
        <v>0.05</v>
      </c>
      <c r="F219" s="18">
        <v>0.05</v>
      </c>
      <c r="G219" s="18">
        <v>0.05</v>
      </c>
      <c r="H219" s="18">
        <v>0.05</v>
      </c>
      <c r="I219" s="18">
        <v>0.05</v>
      </c>
      <c r="J219" s="18">
        <v>0.05</v>
      </c>
      <c r="K219" s="18">
        <v>0.05</v>
      </c>
      <c r="L219" s="18">
        <v>0.05</v>
      </c>
      <c r="M219" s="18">
        <v>0.05</v>
      </c>
      <c r="N219" s="18">
        <v>0.05</v>
      </c>
      <c r="O219" s="18">
        <v>0.05</v>
      </c>
      <c r="P219" s="18">
        <v>0.05</v>
      </c>
      <c r="Q219" s="18">
        <v>0.05</v>
      </c>
      <c r="R219" s="18">
        <v>0.05</v>
      </c>
      <c r="S219" s="18">
        <v>0.09</v>
      </c>
      <c r="T219" s="18">
        <v>0.85209999999999997</v>
      </c>
      <c r="U219" s="18">
        <v>0.34739999999999999</v>
      </c>
      <c r="V219" s="18">
        <v>0.15</v>
      </c>
      <c r="W219" s="18">
        <v>0.17979999999999999</v>
      </c>
      <c r="X219" s="18">
        <v>8.3699999999999997E-2</v>
      </c>
      <c r="Y219" s="18">
        <v>0.32250000000000001</v>
      </c>
      <c r="Z219" s="18">
        <v>0.1077</v>
      </c>
      <c r="AA219" s="18">
        <v>6.1699999999999998E-2</v>
      </c>
      <c r="AB219" s="18">
        <v>1.3952</v>
      </c>
      <c r="AC219" s="18">
        <v>1.0523</v>
      </c>
      <c r="AD219" s="18">
        <v>0.75049999999999994</v>
      </c>
      <c r="AE219" s="18">
        <v>0.05</v>
      </c>
      <c r="AF219" s="18">
        <v>0.05</v>
      </c>
      <c r="AG219" s="18">
        <v>0.05</v>
      </c>
      <c r="AH219" s="18">
        <v>0.05</v>
      </c>
      <c r="AI219" s="18">
        <v>0.05</v>
      </c>
      <c r="AJ219" s="18">
        <v>0.05</v>
      </c>
      <c r="AK219" s="18">
        <v>0.05</v>
      </c>
      <c r="AL219" s="18">
        <v>0.05</v>
      </c>
      <c r="AM219" s="18">
        <v>0.05</v>
      </c>
      <c r="AN219" s="18">
        <v>5.5100000000000003E-2</v>
      </c>
      <c r="AO219" s="18">
        <v>6.0199999999999997E-2</v>
      </c>
      <c r="AP219" s="18">
        <v>0.1638</v>
      </c>
      <c r="AQ219" s="18">
        <v>0.05</v>
      </c>
      <c r="AR219" s="18">
        <v>0.05</v>
      </c>
      <c r="AS219" s="18">
        <v>0.05</v>
      </c>
      <c r="AT219" s="18">
        <v>0.05</v>
      </c>
      <c r="AU219" s="18">
        <v>0.05</v>
      </c>
      <c r="AV219" s="18">
        <v>0.05</v>
      </c>
      <c r="AW219" s="18">
        <v>0.05</v>
      </c>
      <c r="AX219" s="18">
        <v>0.05</v>
      </c>
    </row>
    <row r="220" spans="1:50" x14ac:dyDescent="0.25">
      <c r="A220" s="17" t="s">
        <v>585</v>
      </c>
      <c r="B220" s="13" t="s">
        <v>410</v>
      </c>
      <c r="C220" s="18">
        <v>0.05</v>
      </c>
      <c r="D220" s="18">
        <v>0.129</v>
      </c>
      <c r="E220" s="18">
        <v>0.1951</v>
      </c>
      <c r="F220" s="18">
        <v>0.1041</v>
      </c>
      <c r="G220" s="18">
        <v>9.8100000000000007E-2</v>
      </c>
      <c r="H220" s="18">
        <v>0.28010000000000002</v>
      </c>
      <c r="I220" s="18">
        <v>0.05</v>
      </c>
      <c r="J220" s="18">
        <v>0.19500000000000001</v>
      </c>
      <c r="K220" s="18">
        <v>0.1832</v>
      </c>
      <c r="L220" s="18">
        <v>0.1003</v>
      </c>
      <c r="M220" s="18">
        <v>0.27789999999999998</v>
      </c>
      <c r="N220" s="18">
        <v>5.7200000000000001E-2</v>
      </c>
      <c r="O220" s="18">
        <v>0.20080000000000001</v>
      </c>
      <c r="P220" s="18">
        <v>0.05</v>
      </c>
      <c r="Q220" s="18">
        <v>0.32819999999999999</v>
      </c>
      <c r="R220" s="18">
        <v>9.9199999999999997E-2</v>
      </c>
      <c r="S220" s="18">
        <v>0.49940000000000001</v>
      </c>
      <c r="T220" s="18">
        <v>1.3633999999999999</v>
      </c>
      <c r="U220" s="18">
        <v>0.28249999999999997</v>
      </c>
      <c r="V220" s="18">
        <v>0.1159</v>
      </c>
      <c r="W220" s="18">
        <v>0.25740000000000002</v>
      </c>
      <c r="X220" s="18">
        <v>9.2100000000000001E-2</v>
      </c>
      <c r="Y220" s="18">
        <v>9.3100000000000002E-2</v>
      </c>
      <c r="Z220" s="18">
        <v>0.23699999999999999</v>
      </c>
      <c r="AA220" s="18">
        <v>0.1101</v>
      </c>
      <c r="AB220" s="18">
        <v>1.4852000000000001</v>
      </c>
      <c r="AC220" s="18">
        <v>8.7499999999999994E-2</v>
      </c>
      <c r="AD220" s="18">
        <v>0.44940000000000002</v>
      </c>
      <c r="AE220" s="18">
        <v>0.1341</v>
      </c>
      <c r="AF220" s="18">
        <v>0.24399999999999999</v>
      </c>
      <c r="AG220" s="18">
        <v>0.11609999999999999</v>
      </c>
      <c r="AH220" s="18">
        <v>0.1903</v>
      </c>
      <c r="AI220" s="18">
        <v>0.12180000000000001</v>
      </c>
      <c r="AJ220" s="18">
        <v>0.05</v>
      </c>
      <c r="AK220" s="18">
        <v>0.17019999999999999</v>
      </c>
      <c r="AL220" s="18">
        <v>0.05</v>
      </c>
      <c r="AM220" s="18">
        <v>0.34810000000000002</v>
      </c>
      <c r="AN220" s="18">
        <v>6.7299999999999999E-2</v>
      </c>
      <c r="AO220" s="18">
        <v>0.1081</v>
      </c>
      <c r="AP220" s="18">
        <v>0.43330000000000002</v>
      </c>
      <c r="AQ220" s="18">
        <v>0.50490000000000002</v>
      </c>
      <c r="AR220" s="18">
        <v>0.48049999999999998</v>
      </c>
      <c r="AS220" s="18">
        <v>0.60329999999999995</v>
      </c>
      <c r="AT220" s="18">
        <v>0.57609999999999995</v>
      </c>
      <c r="AU220" s="18">
        <v>0.49430000000000002</v>
      </c>
      <c r="AV220" s="18">
        <v>0.58640000000000003</v>
      </c>
      <c r="AW220" s="18">
        <v>0.49530000000000002</v>
      </c>
      <c r="AX220" s="18">
        <v>0.32819999999999999</v>
      </c>
    </row>
    <row r="221" spans="1:50" x14ac:dyDescent="0.25">
      <c r="A221" s="8" t="s">
        <v>310</v>
      </c>
      <c r="B221" s="10" t="s">
        <v>57</v>
      </c>
      <c r="C221" s="16">
        <v>0.4098</v>
      </c>
      <c r="D221" s="16">
        <v>0.4859</v>
      </c>
      <c r="E221" s="16">
        <v>0.58340000000000003</v>
      </c>
      <c r="F221" s="16">
        <v>0.63849999999999996</v>
      </c>
      <c r="G221" s="16">
        <v>0.1726</v>
      </c>
      <c r="H221" s="16">
        <v>5.6000000000000001E-2</v>
      </c>
      <c r="I221" s="16">
        <v>5.6000000000000001E-2</v>
      </c>
      <c r="J221" s="16">
        <v>5.6000000000000001E-2</v>
      </c>
      <c r="K221" s="16">
        <v>5.6000000000000001E-2</v>
      </c>
      <c r="L221" s="16">
        <v>5.6000000000000001E-2</v>
      </c>
      <c r="M221" s="16">
        <v>5.6000000000000001E-2</v>
      </c>
      <c r="N221" s="16">
        <v>5.6000000000000001E-2</v>
      </c>
      <c r="O221" s="16">
        <v>5.6000000000000001E-2</v>
      </c>
      <c r="P221" s="16">
        <v>5.6000000000000001E-2</v>
      </c>
      <c r="Q221" s="16">
        <v>5.6000000000000001E-2</v>
      </c>
      <c r="R221" s="16">
        <v>5.6000000000000001E-2</v>
      </c>
      <c r="S221" s="16">
        <v>5.6000000000000001E-2</v>
      </c>
      <c r="T221" s="16">
        <v>5.6000000000000001E-2</v>
      </c>
      <c r="U221" s="16">
        <v>5.6000000000000001E-2</v>
      </c>
      <c r="V221" s="16">
        <v>6.0100000000000001E-2</v>
      </c>
      <c r="W221" s="16">
        <v>7.7899999999999997E-2</v>
      </c>
      <c r="X221" s="16">
        <v>0.10879999999999999</v>
      </c>
      <c r="Y221" s="16">
        <v>9.1300000000000006E-2</v>
      </c>
      <c r="Z221" s="16">
        <v>0.14599999999999999</v>
      </c>
      <c r="AA221" s="16">
        <v>0.21990000000000001</v>
      </c>
      <c r="AB221" s="16">
        <v>0.2545</v>
      </c>
      <c r="AC221" s="16">
        <v>0.2049</v>
      </c>
      <c r="AD221" s="16">
        <v>0.22950000000000001</v>
      </c>
      <c r="AE221" s="16">
        <v>5.6000000000000001E-2</v>
      </c>
      <c r="AF221" s="16">
        <v>5.6000000000000001E-2</v>
      </c>
      <c r="AG221" s="16">
        <v>5.6000000000000001E-2</v>
      </c>
      <c r="AH221" s="16">
        <v>5.6000000000000001E-2</v>
      </c>
      <c r="AI221" s="16">
        <v>5.6000000000000001E-2</v>
      </c>
      <c r="AJ221" s="16">
        <v>5.6000000000000001E-2</v>
      </c>
      <c r="AK221" s="16">
        <v>0.17599999999999999</v>
      </c>
      <c r="AL221" s="16">
        <v>0.2661</v>
      </c>
      <c r="AM221" s="16">
        <v>0.44359999999999999</v>
      </c>
      <c r="AN221" s="16">
        <v>0.28960000000000002</v>
      </c>
      <c r="AO221" s="16">
        <v>0.15029999999999999</v>
      </c>
      <c r="AP221" s="16">
        <v>5.6000000000000001E-2</v>
      </c>
      <c r="AQ221" s="16">
        <v>5.6000000000000001E-2</v>
      </c>
      <c r="AR221" s="16">
        <v>5.6000000000000001E-2</v>
      </c>
      <c r="AS221" s="16">
        <v>5.6000000000000001E-2</v>
      </c>
      <c r="AT221" s="16">
        <v>5.6000000000000001E-2</v>
      </c>
      <c r="AU221" s="16">
        <v>0.47770000000000001</v>
      </c>
      <c r="AV221" s="16">
        <v>0.39019999999999999</v>
      </c>
      <c r="AW221" s="16">
        <v>2.0329000000000002</v>
      </c>
      <c r="AX221" s="16">
        <v>0.48599999999999999</v>
      </c>
    </row>
    <row r="222" spans="1:50" x14ac:dyDescent="0.25">
      <c r="A222" s="17" t="s">
        <v>587</v>
      </c>
      <c r="B222" s="13" t="s">
        <v>410</v>
      </c>
      <c r="C222" s="18">
        <v>0.1487</v>
      </c>
      <c r="D222" s="18">
        <v>0.1431</v>
      </c>
      <c r="E222" s="18">
        <v>4.1000000000000002E-2</v>
      </c>
      <c r="F222" s="18">
        <v>8.1799999999999998E-2</v>
      </c>
      <c r="G222" s="18">
        <v>0.14990000000000001</v>
      </c>
      <c r="H222" s="18">
        <v>4.1000000000000002E-2</v>
      </c>
      <c r="I222" s="18">
        <v>0.19070000000000001</v>
      </c>
      <c r="J222" s="18">
        <v>4.1000000000000002E-2</v>
      </c>
      <c r="K222" s="18">
        <v>0.17030000000000001</v>
      </c>
      <c r="L222" s="18">
        <v>6.1400000000000003E-2</v>
      </c>
      <c r="M222" s="18">
        <v>4.1000000000000002E-2</v>
      </c>
      <c r="N222" s="18">
        <v>4.1000000000000002E-2</v>
      </c>
      <c r="O222" s="18">
        <v>0.14990000000000001</v>
      </c>
      <c r="P222" s="18">
        <v>8.1799999999999998E-2</v>
      </c>
      <c r="Q222" s="18">
        <v>5.11E-2</v>
      </c>
      <c r="R222" s="18">
        <v>1.2043999999999999</v>
      </c>
      <c r="S222" s="18">
        <v>0.20369999999999999</v>
      </c>
      <c r="T222" s="18">
        <v>4.9599999999999998E-2</v>
      </c>
      <c r="U222" s="18">
        <v>0.2596</v>
      </c>
      <c r="V222" s="18">
        <v>0.14949999999999999</v>
      </c>
      <c r="W222" s="18">
        <v>0.22009999999999999</v>
      </c>
      <c r="X222" s="18">
        <v>0.3125</v>
      </c>
      <c r="Y222" s="18">
        <v>1.9132</v>
      </c>
      <c r="Z222" s="18">
        <v>1.1068</v>
      </c>
      <c r="AA222" s="18">
        <v>1.3465</v>
      </c>
      <c r="AB222" s="18">
        <v>0.16270000000000001</v>
      </c>
      <c r="AC222" s="18">
        <v>0.32990000000000003</v>
      </c>
      <c r="AD222" s="18">
        <v>0.39560000000000001</v>
      </c>
      <c r="AE222" s="18">
        <v>0.39450000000000002</v>
      </c>
      <c r="AF222" s="18">
        <v>0.17280000000000001</v>
      </c>
      <c r="AG222" s="18">
        <v>7.7100000000000002E-2</v>
      </c>
      <c r="AH222" s="18">
        <v>0.57469999999999999</v>
      </c>
      <c r="AI222" s="18">
        <v>7.4800000000000005E-2</v>
      </c>
      <c r="AJ222" s="18">
        <v>0.23899999999999999</v>
      </c>
      <c r="AK222" s="18">
        <v>0.31390000000000001</v>
      </c>
      <c r="AL222" s="18">
        <v>0.13980000000000001</v>
      </c>
      <c r="AM222" s="18">
        <v>0.12039999999999999</v>
      </c>
      <c r="AN222" s="18">
        <v>0.47160000000000002</v>
      </c>
      <c r="AO222" s="18">
        <v>0.15579999999999999</v>
      </c>
      <c r="AP222" s="18">
        <v>0.4471</v>
      </c>
      <c r="AQ222" s="18">
        <v>0.64600000000000002</v>
      </c>
      <c r="AR222" s="18">
        <v>0.74399999999999999</v>
      </c>
      <c r="AS222" s="18">
        <v>0.58530000000000004</v>
      </c>
      <c r="AT222" s="18">
        <v>0.67420000000000002</v>
      </c>
      <c r="AU222" s="18">
        <v>0.503</v>
      </c>
      <c r="AV222" s="18">
        <v>1.8849</v>
      </c>
      <c r="AW222" s="18">
        <v>0.18390000000000001</v>
      </c>
      <c r="AX222" s="18">
        <v>4.1000000000000002E-2</v>
      </c>
    </row>
    <row r="223" spans="1:50" x14ac:dyDescent="0.25">
      <c r="A223" s="17" t="s">
        <v>589</v>
      </c>
      <c r="B223" s="13" t="s">
        <v>410</v>
      </c>
      <c r="C223" s="18">
        <v>0.1953</v>
      </c>
      <c r="D223" s="18">
        <v>0.15490000000000001</v>
      </c>
      <c r="E223" s="18">
        <v>5.1999999999999998E-2</v>
      </c>
      <c r="F223" s="18">
        <v>0.29820000000000002</v>
      </c>
      <c r="G223" s="18">
        <v>5.1999999999999998E-2</v>
      </c>
      <c r="H223" s="18">
        <v>0.24399999999999999</v>
      </c>
      <c r="I223" s="18">
        <v>0.1062</v>
      </c>
      <c r="J223" s="18">
        <v>0.10730000000000001</v>
      </c>
      <c r="K223" s="18">
        <v>0.18909999999999999</v>
      </c>
      <c r="L223" s="18">
        <v>0.10580000000000001</v>
      </c>
      <c r="M223" s="18">
        <v>0.20399999999999999</v>
      </c>
      <c r="N223" s="18">
        <v>0.1462</v>
      </c>
      <c r="O223" s="18">
        <v>5.1999999999999998E-2</v>
      </c>
      <c r="P223" s="18">
        <v>0.20399999999999999</v>
      </c>
      <c r="Q223" s="18">
        <v>0.16750000000000001</v>
      </c>
      <c r="R223" s="18">
        <v>0.26740000000000003</v>
      </c>
      <c r="S223" s="18">
        <v>0.20369999999999999</v>
      </c>
      <c r="T223" s="18">
        <v>0.25919999999999999</v>
      </c>
      <c r="U223" s="18">
        <v>0.38629999999999998</v>
      </c>
      <c r="V223" s="18">
        <v>0.26910000000000001</v>
      </c>
      <c r="W223" s="18">
        <v>0.44679999999999997</v>
      </c>
      <c r="X223" s="18">
        <v>0.1462</v>
      </c>
      <c r="Y223" s="18">
        <v>5.1999999999999998E-2</v>
      </c>
      <c r="Z223" s="18">
        <v>0.27810000000000001</v>
      </c>
      <c r="AA223" s="18">
        <v>7.22E-2</v>
      </c>
      <c r="AB223" s="18">
        <v>5.1999999999999998E-2</v>
      </c>
      <c r="AC223" s="18">
        <v>0.1462</v>
      </c>
      <c r="AD223" s="18">
        <v>0.1487</v>
      </c>
      <c r="AE223" s="18">
        <v>0.20150000000000001</v>
      </c>
      <c r="AF223" s="18">
        <v>5.1999999999999998E-2</v>
      </c>
      <c r="AG223" s="18">
        <v>0.20369999999999999</v>
      </c>
      <c r="AH223" s="18">
        <v>0.14660000000000001</v>
      </c>
      <c r="AI223" s="18">
        <v>0.10730000000000001</v>
      </c>
      <c r="AJ223" s="18">
        <v>0.24299999999999999</v>
      </c>
      <c r="AK223" s="18">
        <v>0.15820000000000001</v>
      </c>
      <c r="AL223" s="18">
        <v>0.45100000000000001</v>
      </c>
      <c r="AM223" s="18">
        <v>0.28489999999999999</v>
      </c>
      <c r="AN223" s="18">
        <v>0.32129999999999997</v>
      </c>
      <c r="AO223" s="18">
        <v>0.36770000000000003</v>
      </c>
      <c r="AP223" s="18">
        <v>5.1999999999999998E-2</v>
      </c>
      <c r="AQ223" s="18">
        <v>0.16689999999999999</v>
      </c>
      <c r="AR223" s="18">
        <v>0.18329999999999999</v>
      </c>
      <c r="AS223" s="18">
        <v>0.10580000000000001</v>
      </c>
      <c r="AT223" s="18">
        <v>0.4451</v>
      </c>
      <c r="AU223" s="18">
        <v>5.1999999999999998E-2</v>
      </c>
      <c r="AV223" s="18">
        <v>0.1462</v>
      </c>
      <c r="AW223" s="18">
        <v>5.8900000000000001E-2</v>
      </c>
      <c r="AX223" s="18">
        <v>0.2442</v>
      </c>
    </row>
    <row r="224" spans="1:50" x14ac:dyDescent="0.25">
      <c r="A224" s="17" t="s">
        <v>591</v>
      </c>
      <c r="B224" s="13" t="s">
        <v>410</v>
      </c>
      <c r="C224" s="18">
        <v>4.9000000000000002E-2</v>
      </c>
      <c r="D224" s="18">
        <v>0.11</v>
      </c>
      <c r="E224" s="18">
        <v>4.9000000000000002E-2</v>
      </c>
      <c r="F224" s="18">
        <v>0.11</v>
      </c>
      <c r="G224" s="18">
        <v>4.9000000000000002E-2</v>
      </c>
      <c r="H224" s="18">
        <v>8.6300000000000002E-2</v>
      </c>
      <c r="I224" s="18">
        <v>7.2700000000000001E-2</v>
      </c>
      <c r="J224" s="18">
        <v>4.9000000000000002E-2</v>
      </c>
      <c r="K224" s="18">
        <v>4.9000000000000002E-2</v>
      </c>
      <c r="L224" s="18">
        <v>0.11</v>
      </c>
      <c r="M224" s="18">
        <v>4.9000000000000002E-2</v>
      </c>
      <c r="N224" s="18">
        <v>4.9000000000000002E-2</v>
      </c>
      <c r="O224" s="18">
        <v>5.9200000000000003E-2</v>
      </c>
      <c r="P224" s="18">
        <v>4.9000000000000002E-2</v>
      </c>
      <c r="Q224" s="18">
        <v>0.11</v>
      </c>
      <c r="R224" s="18">
        <v>6.25E-2</v>
      </c>
      <c r="S224" s="18">
        <v>9.64E-2</v>
      </c>
      <c r="T224" s="18">
        <v>4.9000000000000002E-2</v>
      </c>
      <c r="U224" s="18">
        <v>9.2999999999999999E-2</v>
      </c>
      <c r="V224" s="18">
        <v>6.59E-2</v>
      </c>
      <c r="W224" s="18">
        <v>4.9000000000000002E-2</v>
      </c>
      <c r="X224" s="18">
        <v>5.4100000000000002E-2</v>
      </c>
      <c r="Y224" s="18">
        <v>7.9500000000000001E-2</v>
      </c>
      <c r="Z224" s="18">
        <v>0.38129999999999997</v>
      </c>
      <c r="AA224" s="18">
        <v>7.0499999999999993E-2</v>
      </c>
      <c r="AB224" s="18">
        <v>0.11</v>
      </c>
      <c r="AC224" s="18">
        <v>4.9000000000000002E-2</v>
      </c>
      <c r="AD224" s="18">
        <v>0.11</v>
      </c>
      <c r="AE224" s="18">
        <v>4.9000000000000002E-2</v>
      </c>
      <c r="AF224" s="18">
        <v>4.9000000000000002E-2</v>
      </c>
      <c r="AG224" s="18">
        <v>0.11</v>
      </c>
      <c r="AH224" s="18">
        <v>4.9000000000000002E-2</v>
      </c>
      <c r="AI224" s="18">
        <v>5.0799999999999998E-2</v>
      </c>
      <c r="AJ224" s="18">
        <v>0.11360000000000001</v>
      </c>
      <c r="AK224" s="18">
        <v>4.9000000000000002E-2</v>
      </c>
      <c r="AL224" s="18">
        <v>0.11</v>
      </c>
      <c r="AM224" s="18">
        <v>0.15409999999999999</v>
      </c>
      <c r="AN224" s="18">
        <v>0.21990000000000001</v>
      </c>
      <c r="AO224" s="18">
        <v>0.15359999999999999</v>
      </c>
      <c r="AP224" s="18">
        <v>0.42259999999999998</v>
      </c>
      <c r="AQ224" s="18">
        <v>0.75880000000000003</v>
      </c>
      <c r="AR224" s="18">
        <v>2.7296</v>
      </c>
      <c r="AS224" s="18">
        <v>2.9558</v>
      </c>
      <c r="AT224" s="18">
        <v>0.52080000000000004</v>
      </c>
      <c r="AU224" s="18">
        <v>0.25869999999999999</v>
      </c>
      <c r="AV224" s="18">
        <v>0.23169999999999999</v>
      </c>
      <c r="AW224" s="18">
        <v>0.52400000000000002</v>
      </c>
      <c r="AX224" s="18">
        <v>0.3624</v>
      </c>
    </row>
    <row r="225" spans="1:50" x14ac:dyDescent="0.25">
      <c r="A225" s="8" t="s">
        <v>312</v>
      </c>
      <c r="B225" s="10" t="s">
        <v>57</v>
      </c>
      <c r="C225" s="16">
        <v>0.20860000000000001</v>
      </c>
      <c r="D225" s="16">
        <v>0.1666</v>
      </c>
      <c r="E225" s="16">
        <v>8.8800000000000004E-2</v>
      </c>
      <c r="F225" s="16">
        <v>0.13250000000000001</v>
      </c>
      <c r="G225" s="16">
        <v>7.2400000000000006E-2</v>
      </c>
      <c r="H225" s="16">
        <v>0.27479999999999999</v>
      </c>
      <c r="I225" s="16">
        <v>8.4000000000000005E-2</v>
      </c>
      <c r="J225" s="16">
        <v>0.1658</v>
      </c>
      <c r="K225" s="16">
        <v>0.20949999999999999</v>
      </c>
      <c r="L225" s="16">
        <v>5.6000000000000001E-2</v>
      </c>
      <c r="M225" s="16">
        <v>0.189</v>
      </c>
      <c r="N225" s="16">
        <v>0.1862</v>
      </c>
      <c r="O225" s="16">
        <v>5.6000000000000001E-2</v>
      </c>
      <c r="P225" s="16">
        <v>0.1434</v>
      </c>
      <c r="Q225" s="16">
        <v>0.1618</v>
      </c>
      <c r="R225" s="16">
        <v>0.18060000000000001</v>
      </c>
      <c r="S225" s="16">
        <v>0.14560000000000001</v>
      </c>
      <c r="T225" s="16">
        <v>0.17499999999999999</v>
      </c>
      <c r="U225" s="16">
        <v>0.1052</v>
      </c>
      <c r="V225" s="16">
        <v>0.27010000000000001</v>
      </c>
      <c r="W225" s="16">
        <v>0.16370000000000001</v>
      </c>
      <c r="X225" s="16">
        <v>0.27289999999999998</v>
      </c>
      <c r="Y225" s="16">
        <v>0.30199999999999999</v>
      </c>
      <c r="Z225" s="16">
        <v>0.20660000000000001</v>
      </c>
      <c r="AA225" s="16">
        <v>0.59919999999999995</v>
      </c>
      <c r="AB225" s="16">
        <v>0.20369999999999999</v>
      </c>
      <c r="AC225" s="16">
        <v>0.3296</v>
      </c>
      <c r="AD225" s="16">
        <v>0.3115</v>
      </c>
      <c r="AE225" s="16">
        <v>0.26340000000000002</v>
      </c>
      <c r="AF225" s="16">
        <v>0.21</v>
      </c>
      <c r="AG225" s="16">
        <v>0.13320000000000001</v>
      </c>
      <c r="AH225" s="16">
        <v>0.11609999999999999</v>
      </c>
      <c r="AI225" s="16">
        <v>0.2109</v>
      </c>
      <c r="AJ225" s="16">
        <v>5.6000000000000001E-2</v>
      </c>
      <c r="AK225" s="16">
        <v>1.2823</v>
      </c>
      <c r="AL225" s="16">
        <v>0.59530000000000005</v>
      </c>
      <c r="AM225" s="16">
        <v>0.16159999999999999</v>
      </c>
      <c r="AN225" s="16">
        <v>0.30130000000000001</v>
      </c>
      <c r="AO225" s="16">
        <v>0.26900000000000002</v>
      </c>
      <c r="AP225" s="16">
        <v>0.2399</v>
      </c>
      <c r="AQ225" s="16">
        <v>0.58150000000000002</v>
      </c>
      <c r="AR225" s="16">
        <v>0.41520000000000001</v>
      </c>
      <c r="AS225" s="16">
        <v>0.25619999999999998</v>
      </c>
      <c r="AT225" s="16">
        <v>0.11899999999999999</v>
      </c>
      <c r="AU225" s="16">
        <v>9.0999999999999998E-2</v>
      </c>
      <c r="AV225" s="16">
        <v>0.28420000000000001</v>
      </c>
      <c r="AW225" s="16">
        <v>5.6000000000000001E-2</v>
      </c>
      <c r="AX225" s="16">
        <v>0.21</v>
      </c>
    </row>
    <row r="226" spans="1:50" x14ac:dyDescent="0.25">
      <c r="A226" s="8" t="s">
        <v>314</v>
      </c>
      <c r="B226" s="10" t="s">
        <v>57</v>
      </c>
      <c r="C226" s="16">
        <v>0.18490000000000001</v>
      </c>
      <c r="D226" s="16">
        <v>0.128</v>
      </c>
      <c r="E226" s="16">
        <v>0.27529999999999999</v>
      </c>
      <c r="F226" s="16">
        <v>8.3500000000000005E-2</v>
      </c>
      <c r="G226" s="16">
        <v>0.24690000000000001</v>
      </c>
      <c r="H226" s="16">
        <v>0.112</v>
      </c>
      <c r="I226" s="16">
        <v>3.9E-2</v>
      </c>
      <c r="J226" s="16">
        <v>0.15029999999999999</v>
      </c>
      <c r="K226" s="16">
        <v>0.25309999999999999</v>
      </c>
      <c r="L226" s="16">
        <v>8.3500000000000005E-2</v>
      </c>
      <c r="M226" s="16">
        <v>0.15770000000000001</v>
      </c>
      <c r="N226" s="16">
        <v>3.9E-2</v>
      </c>
      <c r="O226" s="16">
        <v>0.15029999999999999</v>
      </c>
      <c r="P226" s="16">
        <v>0.245</v>
      </c>
      <c r="Q226" s="16">
        <v>8.4199999999999997E-2</v>
      </c>
      <c r="R226" s="16">
        <v>0.28670000000000001</v>
      </c>
      <c r="S226" s="16">
        <v>0.14199999999999999</v>
      </c>
      <c r="T226" s="16">
        <v>0.125</v>
      </c>
      <c r="U226" s="16">
        <v>0.85270000000000001</v>
      </c>
      <c r="V226" s="16">
        <v>0.3009</v>
      </c>
      <c r="W226" s="16">
        <v>0.151</v>
      </c>
      <c r="X226" s="16">
        <v>0.25240000000000001</v>
      </c>
      <c r="Y226" s="16">
        <v>5.3800000000000001E-2</v>
      </c>
      <c r="Z226" s="16">
        <v>0.34949999999999998</v>
      </c>
      <c r="AA226" s="16">
        <v>3.9E-2</v>
      </c>
      <c r="AB226" s="16">
        <v>3.9E-2</v>
      </c>
      <c r="AC226" s="16">
        <v>0.1038</v>
      </c>
      <c r="AD226" s="16">
        <v>0.29949999999999999</v>
      </c>
      <c r="AE226" s="16">
        <v>3.9E-2</v>
      </c>
      <c r="AF226" s="16">
        <v>0.2011</v>
      </c>
      <c r="AG226" s="16">
        <v>4.2700000000000002E-2</v>
      </c>
      <c r="AH226" s="16">
        <v>0.2011</v>
      </c>
      <c r="AI226" s="16">
        <v>0.1948</v>
      </c>
      <c r="AJ226" s="16">
        <v>4.6399999999999997E-2</v>
      </c>
      <c r="AK226" s="16">
        <v>0.22339999999999999</v>
      </c>
      <c r="AL226" s="16">
        <v>0.18</v>
      </c>
      <c r="AM226" s="16">
        <v>3.9E-2</v>
      </c>
      <c r="AN226" s="16">
        <v>0.10920000000000001</v>
      </c>
      <c r="AO226" s="16">
        <v>0.29420000000000002</v>
      </c>
      <c r="AP226" s="16">
        <v>3.9E-2</v>
      </c>
      <c r="AQ226" s="16">
        <v>0.2482</v>
      </c>
      <c r="AR226" s="16">
        <v>0.5081</v>
      </c>
      <c r="AS226" s="16">
        <v>0.4723</v>
      </c>
      <c r="AT226" s="16">
        <v>0.28129999999999999</v>
      </c>
      <c r="AU226" s="16">
        <v>0.24610000000000001</v>
      </c>
      <c r="AV226" s="16">
        <v>0.1429</v>
      </c>
      <c r="AW226" s="16">
        <v>0.1525</v>
      </c>
      <c r="AX226" s="16">
        <v>8.7599999999999997E-2</v>
      </c>
    </row>
    <row r="227" spans="1:50" x14ac:dyDescent="0.25">
      <c r="A227" s="8" t="s">
        <v>316</v>
      </c>
      <c r="B227" s="10" t="s">
        <v>57</v>
      </c>
      <c r="C227" s="16">
        <v>4.8000000000000001E-2</v>
      </c>
      <c r="D227" s="16">
        <v>6.4799999999999996E-2</v>
      </c>
      <c r="E227" s="16">
        <v>0.107</v>
      </c>
      <c r="F227" s="16">
        <v>4.8000000000000001E-2</v>
      </c>
      <c r="G227" s="16">
        <v>0.12379999999999999</v>
      </c>
      <c r="H227" s="16">
        <v>4.8000000000000001E-2</v>
      </c>
      <c r="I227" s="16">
        <v>4.8000000000000001E-2</v>
      </c>
      <c r="J227" s="16">
        <v>0.2026</v>
      </c>
      <c r="K227" s="16">
        <v>7.0900000000000005E-2</v>
      </c>
      <c r="L227" s="16">
        <v>4.8000000000000001E-2</v>
      </c>
      <c r="M227" s="16">
        <v>0.12379999999999999</v>
      </c>
      <c r="N227" s="16">
        <v>4.8000000000000001E-2</v>
      </c>
      <c r="O227" s="16">
        <v>4.8000000000000001E-2</v>
      </c>
      <c r="P227" s="16">
        <v>4.8000000000000001E-2</v>
      </c>
      <c r="Q227" s="16">
        <v>0.12379999999999999</v>
      </c>
      <c r="R227" s="16">
        <v>5.79E-2</v>
      </c>
      <c r="S227" s="16">
        <v>0.12379999999999999</v>
      </c>
      <c r="T227" s="16">
        <v>4.8000000000000001E-2</v>
      </c>
      <c r="U227" s="16">
        <v>4.8000000000000001E-2</v>
      </c>
      <c r="V227" s="16">
        <v>0.1196</v>
      </c>
      <c r="W227" s="16">
        <v>5.2200000000000003E-2</v>
      </c>
      <c r="X227" s="16">
        <v>5.2299999999999999E-2</v>
      </c>
      <c r="Y227" s="16">
        <v>0.56010000000000004</v>
      </c>
      <c r="Z227" s="16">
        <v>0.26650000000000001</v>
      </c>
      <c r="AA227" s="16">
        <v>0.10489999999999999</v>
      </c>
      <c r="AB227" s="16">
        <v>0.15229999999999999</v>
      </c>
      <c r="AC227" s="16">
        <v>7.4700000000000003E-2</v>
      </c>
      <c r="AD227" s="16">
        <v>7.9899999999999999E-2</v>
      </c>
      <c r="AE227" s="16">
        <v>0.41270000000000001</v>
      </c>
      <c r="AF227" s="16">
        <v>0.2576</v>
      </c>
      <c r="AG227" s="16">
        <v>0.37659999999999999</v>
      </c>
      <c r="AH227" s="16">
        <v>5.6399999999999999E-2</v>
      </c>
      <c r="AI227" s="16">
        <v>5.6399999999999999E-2</v>
      </c>
      <c r="AJ227" s="16">
        <v>0.19739999999999999</v>
      </c>
      <c r="AK227" s="16">
        <v>8.0299999999999996E-2</v>
      </c>
      <c r="AL227" s="16">
        <v>0.1699</v>
      </c>
      <c r="AM227" s="16">
        <v>0.11799999999999999</v>
      </c>
      <c r="AN227" s="16">
        <v>0.24429999999999999</v>
      </c>
      <c r="AO227" s="16">
        <v>0.23960000000000001</v>
      </c>
      <c r="AP227" s="16">
        <v>0.50660000000000005</v>
      </c>
      <c r="AQ227" s="16">
        <v>0.44990000000000002</v>
      </c>
      <c r="AR227" s="16">
        <v>0.34410000000000002</v>
      </c>
      <c r="AS227" s="16">
        <v>8.1699999999999995E-2</v>
      </c>
      <c r="AT227" s="16">
        <v>4.8000000000000001E-2</v>
      </c>
      <c r="AU227" s="16">
        <v>0.12379999999999999</v>
      </c>
      <c r="AV227" s="16">
        <v>4.8000000000000001E-2</v>
      </c>
      <c r="AW227" s="16">
        <v>8.5900000000000004E-2</v>
      </c>
      <c r="AX227" s="16">
        <v>8.5900000000000004E-2</v>
      </c>
    </row>
    <row r="228" spans="1:50" x14ac:dyDescent="0.25">
      <c r="A228" s="17" t="s">
        <v>593</v>
      </c>
      <c r="B228" s="13" t="s">
        <v>410</v>
      </c>
      <c r="C228" s="18">
        <v>1.5651999999999999</v>
      </c>
      <c r="D228" s="18">
        <v>5.8000000000000003E-2</v>
      </c>
      <c r="E228" s="18">
        <v>0.1013</v>
      </c>
      <c r="F228" s="18">
        <v>0.1734</v>
      </c>
      <c r="G228" s="18">
        <v>5.8000000000000003E-2</v>
      </c>
      <c r="H228" s="18">
        <v>0.2167</v>
      </c>
      <c r="I228" s="18">
        <v>5.8000000000000003E-2</v>
      </c>
      <c r="J228" s="18">
        <v>0.18060000000000001</v>
      </c>
      <c r="K228" s="18">
        <v>9.4100000000000003E-2</v>
      </c>
      <c r="L228" s="18">
        <v>5.8000000000000003E-2</v>
      </c>
      <c r="M228" s="18">
        <v>0.2167</v>
      </c>
      <c r="N228" s="18">
        <v>5.8000000000000003E-2</v>
      </c>
      <c r="O228" s="18">
        <v>0.1951</v>
      </c>
      <c r="P228" s="18">
        <v>7.9600000000000004E-2</v>
      </c>
      <c r="Q228" s="18">
        <v>5.8000000000000003E-2</v>
      </c>
      <c r="R228" s="18">
        <v>5.8000000000000003E-2</v>
      </c>
      <c r="S228" s="18">
        <v>0.18060000000000001</v>
      </c>
      <c r="T228" s="18">
        <v>9.4100000000000003E-2</v>
      </c>
      <c r="U228" s="18">
        <v>0.1575</v>
      </c>
      <c r="V228" s="18">
        <v>0.1734</v>
      </c>
      <c r="W228" s="18">
        <v>5.8000000000000003E-2</v>
      </c>
      <c r="X228" s="18">
        <v>0.25119999999999998</v>
      </c>
      <c r="Y228" s="18">
        <v>0.129</v>
      </c>
      <c r="Z228" s="18">
        <v>0.24879999999999999</v>
      </c>
      <c r="AA228" s="18">
        <v>0.10979999999999999</v>
      </c>
      <c r="AB228" s="18">
        <v>0.2167</v>
      </c>
      <c r="AC228" s="18">
        <v>5.8000000000000003E-2</v>
      </c>
      <c r="AD228" s="18">
        <v>8.6900000000000005E-2</v>
      </c>
      <c r="AE228" s="18">
        <v>0.18779999999999999</v>
      </c>
      <c r="AF228" s="18">
        <v>5.8000000000000003E-2</v>
      </c>
      <c r="AG228" s="18">
        <v>5.8000000000000003E-2</v>
      </c>
      <c r="AH228" s="18">
        <v>0.20230000000000001</v>
      </c>
      <c r="AI228" s="18">
        <v>0.1242</v>
      </c>
      <c r="AJ228" s="18">
        <v>0.38550000000000001</v>
      </c>
      <c r="AK228" s="18">
        <v>0.64300000000000002</v>
      </c>
      <c r="AL228" s="18">
        <v>0.32450000000000001</v>
      </c>
      <c r="AM228" s="18">
        <v>0.2419</v>
      </c>
      <c r="AN228" s="18">
        <v>0.252</v>
      </c>
      <c r="AO228" s="18">
        <v>0.39290000000000003</v>
      </c>
      <c r="AP228" s="18">
        <v>0.65869999999999995</v>
      </c>
      <c r="AQ228" s="18">
        <v>0.55630000000000002</v>
      </c>
      <c r="AR228" s="18">
        <v>0.73280000000000001</v>
      </c>
      <c r="AS228" s="18">
        <v>0.53129999999999999</v>
      </c>
      <c r="AT228" s="18">
        <v>0.62219999999999998</v>
      </c>
      <c r="AU228" s="18">
        <v>0.43309999999999998</v>
      </c>
      <c r="AV228" s="18">
        <v>0.14399999999999999</v>
      </c>
      <c r="AW228" s="18">
        <v>0.2167</v>
      </c>
      <c r="AX228" s="18">
        <v>5.8000000000000003E-2</v>
      </c>
    </row>
    <row r="229" spans="1:50" x14ac:dyDescent="0.25">
      <c r="A229" s="17" t="s">
        <v>595</v>
      </c>
      <c r="B229" s="13" t="s">
        <v>410</v>
      </c>
      <c r="C229" s="18">
        <v>4.1000000000000002E-2</v>
      </c>
      <c r="D229" s="18">
        <v>0.22889999999999999</v>
      </c>
      <c r="E229" s="18">
        <v>7.2900000000000006E-2</v>
      </c>
      <c r="F229" s="18">
        <v>0.1038</v>
      </c>
      <c r="G229" s="18">
        <v>0.19800000000000001</v>
      </c>
      <c r="H229" s="18">
        <v>4.1000000000000002E-2</v>
      </c>
      <c r="I229" s="18">
        <v>5.3699999999999998E-2</v>
      </c>
      <c r="J229" s="18">
        <v>0.1817</v>
      </c>
      <c r="K229" s="18">
        <v>0.1074</v>
      </c>
      <c r="L229" s="18">
        <v>0.12379999999999999</v>
      </c>
      <c r="M229" s="18">
        <v>9.8299999999999998E-2</v>
      </c>
      <c r="N229" s="18">
        <v>9.2700000000000005E-2</v>
      </c>
      <c r="O229" s="18">
        <v>0.16719999999999999</v>
      </c>
      <c r="P229" s="18">
        <v>4.1000000000000002E-2</v>
      </c>
      <c r="Q229" s="18">
        <v>0.1812</v>
      </c>
      <c r="R229" s="18">
        <v>0.1206</v>
      </c>
      <c r="S229" s="18">
        <v>0.1812</v>
      </c>
      <c r="T229" s="18">
        <v>4.1000000000000002E-2</v>
      </c>
      <c r="U229" s="18">
        <v>0.20680000000000001</v>
      </c>
      <c r="V229" s="18">
        <v>9.5000000000000001E-2</v>
      </c>
      <c r="W229" s="18">
        <v>8.5000000000000006E-2</v>
      </c>
      <c r="X229" s="18">
        <v>0.1429</v>
      </c>
      <c r="Y229" s="18">
        <v>0.1206</v>
      </c>
      <c r="Z229" s="18">
        <v>0.16819999999999999</v>
      </c>
      <c r="AA229" s="18">
        <v>0.49059999999999998</v>
      </c>
      <c r="AB229" s="18">
        <v>0.28599999999999998</v>
      </c>
      <c r="AC229" s="18">
        <v>0.51890000000000003</v>
      </c>
      <c r="AD229" s="18">
        <v>0.35539999999999999</v>
      </c>
      <c r="AE229" s="18">
        <v>0.38690000000000002</v>
      </c>
      <c r="AF229" s="18">
        <v>0.39450000000000002</v>
      </c>
      <c r="AG229" s="18">
        <v>0.31380000000000002</v>
      </c>
      <c r="AH229" s="18">
        <v>0.37030000000000002</v>
      </c>
      <c r="AI229" s="18">
        <v>0.377</v>
      </c>
      <c r="AJ229" s="18">
        <v>0.37790000000000001</v>
      </c>
      <c r="AK229" s="18">
        <v>0.67479999999999996</v>
      </c>
      <c r="AL229" s="18">
        <v>1.1619999999999999</v>
      </c>
      <c r="AM229" s="18">
        <v>0.2321</v>
      </c>
      <c r="AN229" s="18">
        <v>0.16819999999999999</v>
      </c>
      <c r="AO229" s="18">
        <v>0.24840000000000001</v>
      </c>
      <c r="AP229" s="18">
        <v>0.52139999999999997</v>
      </c>
      <c r="AQ229" s="18">
        <v>0.53879999999999995</v>
      </c>
      <c r="AR229" s="18">
        <v>0.42359999999999998</v>
      </c>
      <c r="AS229" s="18">
        <v>0.81720000000000004</v>
      </c>
      <c r="AT229" s="18">
        <v>0.63949999999999996</v>
      </c>
      <c r="AU229" s="18">
        <v>0.70779999999999998</v>
      </c>
      <c r="AV229" s="18">
        <v>0.4083</v>
      </c>
      <c r="AW229" s="18">
        <v>0.33169999999999999</v>
      </c>
      <c r="AX229" s="18">
        <v>0.29210000000000003</v>
      </c>
    </row>
    <row r="230" spans="1:50" x14ac:dyDescent="0.25">
      <c r="A230" s="8" t="s">
        <v>318</v>
      </c>
      <c r="B230" s="10" t="s">
        <v>57</v>
      </c>
      <c r="C230" s="16">
        <v>5.8700000000000002E-2</v>
      </c>
      <c r="D230" s="16">
        <v>0.13900000000000001</v>
      </c>
      <c r="E230" s="16">
        <v>5.1999999999999998E-2</v>
      </c>
      <c r="F230" s="16">
        <v>0.11890000000000001</v>
      </c>
      <c r="G230" s="16">
        <v>7.8799999999999995E-2</v>
      </c>
      <c r="H230" s="16">
        <v>5.1999999999999998E-2</v>
      </c>
      <c r="I230" s="16">
        <v>0.1056</v>
      </c>
      <c r="J230" s="16">
        <v>9.2200000000000004E-2</v>
      </c>
      <c r="K230" s="16">
        <v>5.1999999999999998E-2</v>
      </c>
      <c r="L230" s="16">
        <v>5.1999999999999998E-2</v>
      </c>
      <c r="M230" s="16">
        <v>0.1457</v>
      </c>
      <c r="N230" s="16">
        <v>5.1999999999999998E-2</v>
      </c>
      <c r="O230" s="16">
        <v>9.2200000000000004E-2</v>
      </c>
      <c r="P230" s="16">
        <v>0.1056</v>
      </c>
      <c r="Q230" s="16">
        <v>5.1999999999999998E-2</v>
      </c>
      <c r="R230" s="16">
        <v>0.1457</v>
      </c>
      <c r="S230" s="16">
        <v>5.1999999999999998E-2</v>
      </c>
      <c r="T230" s="16">
        <v>5.1999999999999998E-2</v>
      </c>
      <c r="U230" s="16">
        <v>0.1457</v>
      </c>
      <c r="V230" s="16">
        <v>5.1999999999999998E-2</v>
      </c>
      <c r="W230" s="16">
        <v>8.5500000000000007E-2</v>
      </c>
      <c r="X230" s="16">
        <v>0.1123</v>
      </c>
      <c r="Y230" s="16">
        <v>5.1999999999999998E-2</v>
      </c>
      <c r="Z230" s="16">
        <v>5.1999999999999998E-2</v>
      </c>
      <c r="AA230" s="16">
        <v>0.1457</v>
      </c>
      <c r="AB230" s="16">
        <v>5.1999999999999998E-2</v>
      </c>
      <c r="AC230" s="16">
        <v>5.1999999999999998E-2</v>
      </c>
      <c r="AD230" s="16">
        <v>6.54E-2</v>
      </c>
      <c r="AE230" s="16">
        <v>0.1323</v>
      </c>
      <c r="AF230" s="16">
        <v>0.16700000000000001</v>
      </c>
      <c r="AG230" s="16">
        <v>0.1754</v>
      </c>
      <c r="AH230" s="16">
        <v>0.10920000000000001</v>
      </c>
      <c r="AI230" s="16">
        <v>0.1057</v>
      </c>
      <c r="AJ230" s="16">
        <v>0.18410000000000001</v>
      </c>
      <c r="AK230" s="16">
        <v>0.14940000000000001</v>
      </c>
      <c r="AL230" s="16">
        <v>0.2263</v>
      </c>
      <c r="AM230" s="16">
        <v>0.30690000000000001</v>
      </c>
      <c r="AN230" s="16">
        <v>0.26910000000000001</v>
      </c>
      <c r="AO230" s="16">
        <v>0.40720000000000001</v>
      </c>
      <c r="AP230" s="16">
        <v>1.1601999999999999</v>
      </c>
      <c r="AQ230" s="16">
        <v>1.1277999999999999</v>
      </c>
      <c r="AR230" s="16">
        <v>0.73770000000000002</v>
      </c>
      <c r="AS230" s="16">
        <v>0.71389999999999998</v>
      </c>
      <c r="AT230" s="16">
        <v>0.80320000000000003</v>
      </c>
      <c r="AU230" s="16">
        <v>6.54E-2</v>
      </c>
      <c r="AV230" s="16">
        <v>5.1999999999999998E-2</v>
      </c>
      <c r="AW230" s="16">
        <v>0.1457</v>
      </c>
      <c r="AX230" s="16">
        <v>5.1999999999999998E-2</v>
      </c>
    </row>
    <row r="231" spans="1:50" x14ac:dyDescent="0.25">
      <c r="A231" s="8" t="s">
        <v>320</v>
      </c>
      <c r="B231" s="10" t="s">
        <v>57</v>
      </c>
      <c r="C231" s="16">
        <v>0.18190000000000001</v>
      </c>
      <c r="D231" s="16">
        <v>0.16109999999999999</v>
      </c>
      <c r="E231" s="16">
        <v>4.7E-2</v>
      </c>
      <c r="F231" s="16">
        <v>0.12870000000000001</v>
      </c>
      <c r="G231" s="16">
        <v>0.1079</v>
      </c>
      <c r="H231" s="16">
        <v>0.1535</v>
      </c>
      <c r="I231" s="16">
        <v>0.11119999999999999</v>
      </c>
      <c r="J231" s="16">
        <v>7.9699999999999993E-2</v>
      </c>
      <c r="K231" s="16">
        <v>0.1991</v>
      </c>
      <c r="L231" s="16">
        <v>0.12870000000000001</v>
      </c>
      <c r="M231" s="16">
        <v>4.7E-2</v>
      </c>
      <c r="N231" s="16">
        <v>0.23769999999999999</v>
      </c>
      <c r="O231" s="16">
        <v>0.1053</v>
      </c>
      <c r="P231" s="16">
        <v>0.13830000000000001</v>
      </c>
      <c r="Q231" s="16">
        <v>0.21379999999999999</v>
      </c>
      <c r="R231" s="16">
        <v>4.7E-2</v>
      </c>
      <c r="S231" s="16">
        <v>0.1002</v>
      </c>
      <c r="T231" s="16">
        <v>0.24279999999999999</v>
      </c>
      <c r="U231" s="16">
        <v>9.9500000000000005E-2</v>
      </c>
      <c r="V231" s="16">
        <v>2.1966000000000001</v>
      </c>
      <c r="W231" s="16">
        <v>0.35339999999999999</v>
      </c>
      <c r="X231" s="16">
        <v>0.41370000000000001</v>
      </c>
      <c r="Y231" s="16">
        <v>0.20860000000000001</v>
      </c>
      <c r="Z231" s="16">
        <v>1.0992</v>
      </c>
      <c r="AA231" s="16">
        <v>1.0083</v>
      </c>
      <c r="AB231" s="16">
        <v>0.2235</v>
      </c>
      <c r="AC231" s="16">
        <v>0.16830000000000001</v>
      </c>
      <c r="AD231" s="16">
        <v>0.1026</v>
      </c>
      <c r="AE231" s="16">
        <v>0.33360000000000001</v>
      </c>
      <c r="AF231" s="16">
        <v>0.1241</v>
      </c>
      <c r="AG231" s="16">
        <v>0.2727</v>
      </c>
      <c r="AH231" s="16">
        <v>0.504</v>
      </c>
      <c r="AI231" s="16">
        <v>0.21360000000000001</v>
      </c>
      <c r="AJ231" s="16">
        <v>0.1235</v>
      </c>
      <c r="AK231" s="16">
        <v>0.1222</v>
      </c>
      <c r="AL231" s="16">
        <v>0.33950000000000002</v>
      </c>
      <c r="AM231" s="16">
        <v>0.34739999999999999</v>
      </c>
      <c r="AN231" s="16">
        <v>0.41770000000000002</v>
      </c>
      <c r="AO231" s="16">
        <v>0.1575</v>
      </c>
      <c r="AP231" s="16">
        <v>5.8700000000000002E-2</v>
      </c>
      <c r="AQ231" s="16">
        <v>0.2843</v>
      </c>
      <c r="AR231" s="16">
        <v>4.7E-2</v>
      </c>
      <c r="AS231" s="16">
        <v>0.1903</v>
      </c>
      <c r="AT231" s="16">
        <v>0.15279999999999999</v>
      </c>
      <c r="AU231" s="16">
        <v>0.1002</v>
      </c>
      <c r="AV231" s="16">
        <v>0.1961</v>
      </c>
      <c r="AW231" s="16">
        <v>0.37619999999999998</v>
      </c>
      <c r="AX231" s="16">
        <v>0.47810000000000002</v>
      </c>
    </row>
    <row r="232" spans="1:50" x14ac:dyDescent="0.25">
      <c r="A232" s="17" t="s">
        <v>597</v>
      </c>
      <c r="B232" s="13" t="s">
        <v>410</v>
      </c>
      <c r="C232" s="18">
        <v>0.45129999999999998</v>
      </c>
      <c r="D232" s="18">
        <v>0.32319999999999999</v>
      </c>
      <c r="E232" s="18">
        <v>0.2727</v>
      </c>
      <c r="F232" s="18">
        <v>0.1363</v>
      </c>
      <c r="G232" s="18">
        <v>5.7000000000000002E-2</v>
      </c>
      <c r="H232" s="18">
        <v>0.1363</v>
      </c>
      <c r="I232" s="18">
        <v>5.7000000000000002E-2</v>
      </c>
      <c r="J232" s="18">
        <v>5.7000000000000002E-2</v>
      </c>
      <c r="K232" s="18">
        <v>6.5799999999999997E-2</v>
      </c>
      <c r="L232" s="18">
        <v>0.1275</v>
      </c>
      <c r="M232" s="18">
        <v>5.7000000000000002E-2</v>
      </c>
      <c r="N232" s="18">
        <v>5.7000000000000002E-2</v>
      </c>
      <c r="O232" s="18">
        <v>0.1011</v>
      </c>
      <c r="P232" s="18">
        <v>9.2200000000000004E-2</v>
      </c>
      <c r="Q232" s="18">
        <v>5.7000000000000002E-2</v>
      </c>
      <c r="R232" s="18">
        <v>0.10580000000000001</v>
      </c>
      <c r="S232" s="18">
        <v>6.8199999999999997E-2</v>
      </c>
      <c r="T232" s="18">
        <v>0.8861</v>
      </c>
      <c r="U232" s="18">
        <v>0.1363</v>
      </c>
      <c r="V232" s="18">
        <v>5.7000000000000002E-2</v>
      </c>
      <c r="W232" s="18">
        <v>5.7000000000000002E-2</v>
      </c>
      <c r="X232" s="18">
        <v>5.7000000000000002E-2</v>
      </c>
      <c r="Y232" s="18">
        <v>0.1099</v>
      </c>
      <c r="Z232" s="18">
        <v>8.3400000000000002E-2</v>
      </c>
      <c r="AA232" s="18">
        <v>5.7000000000000002E-2</v>
      </c>
      <c r="AB232" s="18">
        <v>0.1363</v>
      </c>
      <c r="AC232" s="18">
        <v>5.7000000000000002E-2</v>
      </c>
      <c r="AD232" s="18">
        <v>0.1363</v>
      </c>
      <c r="AE232" s="18">
        <v>5.7000000000000002E-2</v>
      </c>
      <c r="AF232" s="18">
        <v>0.1363</v>
      </c>
      <c r="AG232" s="18">
        <v>5.7000000000000002E-2</v>
      </c>
      <c r="AH232" s="18">
        <v>5.7000000000000002E-2</v>
      </c>
      <c r="AI232" s="18">
        <v>5.7000000000000002E-2</v>
      </c>
      <c r="AJ232" s="18">
        <v>1.2629999999999999</v>
      </c>
      <c r="AK232" s="18">
        <v>0.83850000000000002</v>
      </c>
      <c r="AL232" s="18">
        <v>0.1042</v>
      </c>
      <c r="AM232" s="18">
        <v>0.1852</v>
      </c>
      <c r="AN232" s="18">
        <v>0.2467</v>
      </c>
      <c r="AO232" s="18">
        <v>1.0522</v>
      </c>
      <c r="AP232" s="18">
        <v>1.3462000000000001</v>
      </c>
      <c r="AQ232" s="18">
        <v>1.3784000000000001</v>
      </c>
      <c r="AR232" s="18">
        <v>0.35420000000000001</v>
      </c>
      <c r="AS232" s="18">
        <v>0.46310000000000001</v>
      </c>
      <c r="AT232" s="18">
        <v>0.83799999999999997</v>
      </c>
      <c r="AU232" s="18">
        <v>0.63849999999999996</v>
      </c>
      <c r="AV232" s="18">
        <v>0.56510000000000005</v>
      </c>
      <c r="AW232" s="18">
        <v>0.43990000000000001</v>
      </c>
      <c r="AX232" s="18">
        <v>0.61560000000000004</v>
      </c>
    </row>
    <row r="233" spans="1:50" x14ac:dyDescent="0.25">
      <c r="A233" s="8" t="s">
        <v>322</v>
      </c>
      <c r="B233" s="10" t="s">
        <v>57</v>
      </c>
      <c r="C233" s="16">
        <v>5.3999999999999999E-2</v>
      </c>
      <c r="D233" s="16">
        <v>0.18640000000000001</v>
      </c>
      <c r="E233" s="16">
        <v>6.0299999999999999E-2</v>
      </c>
      <c r="F233" s="16">
        <v>5.3999999999999999E-2</v>
      </c>
      <c r="G233" s="16">
        <v>0.18640000000000001</v>
      </c>
      <c r="H233" s="16">
        <v>6.0299999999999999E-2</v>
      </c>
      <c r="I233" s="16">
        <v>6.6600000000000006E-2</v>
      </c>
      <c r="J233" s="16">
        <v>0.18010000000000001</v>
      </c>
      <c r="K233" s="16">
        <v>5.3999999999999999E-2</v>
      </c>
      <c r="L233" s="16">
        <v>0.18010000000000001</v>
      </c>
      <c r="M233" s="16">
        <v>6.6600000000000006E-2</v>
      </c>
      <c r="N233" s="16">
        <v>5.3999999999999999E-2</v>
      </c>
      <c r="O233" s="16">
        <v>0.19270000000000001</v>
      </c>
      <c r="P233" s="16">
        <v>5.3999999999999999E-2</v>
      </c>
      <c r="Q233" s="16">
        <v>5.3999999999999999E-2</v>
      </c>
      <c r="R233" s="16">
        <v>0.19270000000000001</v>
      </c>
      <c r="S233" s="16">
        <v>0.49509999999999998</v>
      </c>
      <c r="T233" s="16">
        <v>0.20030000000000001</v>
      </c>
      <c r="U233" s="16">
        <v>0.2167</v>
      </c>
      <c r="V233" s="16">
        <v>0.50539999999999996</v>
      </c>
      <c r="W233" s="16">
        <v>0.2429</v>
      </c>
      <c r="X233" s="16">
        <v>0.24970000000000001</v>
      </c>
      <c r="Y233" s="16">
        <v>0.10440000000000001</v>
      </c>
      <c r="Z233" s="16">
        <v>9.8100000000000007E-2</v>
      </c>
      <c r="AA233" s="16">
        <v>0.32040000000000002</v>
      </c>
      <c r="AB233" s="16">
        <v>0.15529999999999999</v>
      </c>
      <c r="AC233" s="16">
        <v>0.19769999999999999</v>
      </c>
      <c r="AD233" s="16">
        <v>0.2044</v>
      </c>
      <c r="AE233" s="16">
        <v>0.30980000000000002</v>
      </c>
      <c r="AF233" s="16">
        <v>0.17380000000000001</v>
      </c>
      <c r="AG233" s="16">
        <v>0.12609999999999999</v>
      </c>
      <c r="AH233" s="16">
        <v>0.25059999999999999</v>
      </c>
      <c r="AI233" s="16">
        <v>0.21590000000000001</v>
      </c>
      <c r="AJ233" s="16">
        <v>0.88270000000000004</v>
      </c>
      <c r="AK233" s="16">
        <v>1.0173000000000001</v>
      </c>
      <c r="AL233" s="16">
        <v>5.3999999999999999E-2</v>
      </c>
      <c r="AM233" s="16">
        <v>6.6600000000000006E-2</v>
      </c>
      <c r="AN233" s="16">
        <v>0.18010000000000001</v>
      </c>
      <c r="AO233" s="16">
        <v>5.3999999999999999E-2</v>
      </c>
      <c r="AP233" s="16">
        <v>0.19270000000000001</v>
      </c>
      <c r="AQ233" s="16">
        <v>5.3999999999999999E-2</v>
      </c>
      <c r="AR233" s="16">
        <v>5.3999999999999999E-2</v>
      </c>
      <c r="AS233" s="16">
        <v>0.1234</v>
      </c>
      <c r="AT233" s="16">
        <v>0.1234</v>
      </c>
      <c r="AU233" s="16">
        <v>0.13569999999999999</v>
      </c>
      <c r="AV233" s="16">
        <v>0.50170000000000003</v>
      </c>
      <c r="AW233" s="16">
        <v>5.3999999999999999E-2</v>
      </c>
      <c r="AX233" s="16">
        <v>0.17380000000000001</v>
      </c>
    </row>
    <row r="234" spans="1:50" x14ac:dyDescent="0.25">
      <c r="A234" s="17" t="s">
        <v>599</v>
      </c>
      <c r="B234" s="13" t="s">
        <v>410</v>
      </c>
      <c r="C234" s="18">
        <v>0.1547</v>
      </c>
      <c r="D234" s="18">
        <v>4.7E-2</v>
      </c>
      <c r="E234" s="18">
        <v>4.7E-2</v>
      </c>
      <c r="F234" s="18">
        <v>0.1547</v>
      </c>
      <c r="G234" s="18">
        <v>6.6000000000000003E-2</v>
      </c>
      <c r="H234" s="18">
        <v>7.8700000000000006E-2</v>
      </c>
      <c r="I234" s="18">
        <v>0.14199999999999999</v>
      </c>
      <c r="J234" s="18">
        <v>4.7E-2</v>
      </c>
      <c r="K234" s="18">
        <v>8.5000000000000006E-2</v>
      </c>
      <c r="L234" s="18">
        <v>0.13569999999999999</v>
      </c>
      <c r="M234" s="18">
        <v>4.7E-2</v>
      </c>
      <c r="N234" s="18">
        <v>4.7E-2</v>
      </c>
      <c r="O234" s="18">
        <v>0.17369999999999999</v>
      </c>
      <c r="P234" s="18">
        <v>4.7E-2</v>
      </c>
      <c r="Q234" s="18">
        <v>4.7E-2</v>
      </c>
      <c r="R234" s="18">
        <v>4.7E-2</v>
      </c>
      <c r="S234" s="18">
        <v>0.21940000000000001</v>
      </c>
      <c r="T234" s="18">
        <v>0.1593</v>
      </c>
      <c r="U234" s="18">
        <v>1.4742999999999999</v>
      </c>
      <c r="V234" s="18">
        <v>0.17899999999999999</v>
      </c>
      <c r="W234" s="18">
        <v>0.11600000000000001</v>
      </c>
      <c r="X234" s="18">
        <v>0.16250000000000001</v>
      </c>
      <c r="Y234" s="18">
        <v>0.1774</v>
      </c>
      <c r="Z234" s="18">
        <v>0.1862</v>
      </c>
      <c r="AA234" s="18">
        <v>1.6276999999999999</v>
      </c>
      <c r="AB234" s="18">
        <v>1.698</v>
      </c>
      <c r="AC234" s="18">
        <v>0.50619999999999998</v>
      </c>
      <c r="AD234" s="18">
        <v>0.36899999999999999</v>
      </c>
      <c r="AE234" s="18">
        <v>0.30380000000000001</v>
      </c>
      <c r="AF234" s="18">
        <v>0.30380000000000001</v>
      </c>
      <c r="AG234" s="18">
        <v>0.26869999999999999</v>
      </c>
      <c r="AH234" s="18">
        <v>0.3347</v>
      </c>
      <c r="AI234" s="18">
        <v>0.33139999999999997</v>
      </c>
      <c r="AJ234" s="18">
        <v>0.23830000000000001</v>
      </c>
      <c r="AK234" s="18">
        <v>0.16109999999999999</v>
      </c>
      <c r="AL234" s="18">
        <v>5.9700000000000003E-2</v>
      </c>
      <c r="AM234" s="18">
        <v>0.83819999999999995</v>
      </c>
      <c r="AN234" s="18">
        <v>4.7E-2</v>
      </c>
      <c r="AO234" s="18">
        <v>4.7E-2</v>
      </c>
      <c r="AP234" s="18">
        <v>0.17369999999999999</v>
      </c>
      <c r="AQ234" s="18">
        <v>4.7E-2</v>
      </c>
      <c r="AR234" s="18">
        <v>0.17369999999999999</v>
      </c>
      <c r="AS234" s="18">
        <v>4.7E-2</v>
      </c>
      <c r="AT234" s="18">
        <v>4.7E-2</v>
      </c>
      <c r="AU234" s="18">
        <v>0.104</v>
      </c>
      <c r="AV234" s="18">
        <v>0.1167</v>
      </c>
      <c r="AW234" s="18">
        <v>0.50749999999999995</v>
      </c>
      <c r="AX234" s="18">
        <v>0.53739999999999999</v>
      </c>
    </row>
    <row r="235" spans="1:50" x14ac:dyDescent="0.25">
      <c r="A235" s="17" t="s">
        <v>601</v>
      </c>
      <c r="B235" s="13" t="s">
        <v>410</v>
      </c>
      <c r="C235" s="18">
        <v>1.4919</v>
      </c>
      <c r="D235" s="18">
        <v>0.19800000000000001</v>
      </c>
      <c r="E235" s="18">
        <v>5.3999999999999999E-2</v>
      </c>
      <c r="F235" s="18">
        <v>0.26929999999999998</v>
      </c>
      <c r="G235" s="18">
        <v>0.18690000000000001</v>
      </c>
      <c r="H235" s="18">
        <v>5.3999999999999999E-2</v>
      </c>
      <c r="I235" s="18">
        <v>0.16320000000000001</v>
      </c>
      <c r="J235" s="18">
        <v>0.1789</v>
      </c>
      <c r="K235" s="18">
        <v>0.1681</v>
      </c>
      <c r="L235" s="18">
        <v>0.16320000000000001</v>
      </c>
      <c r="M235" s="18">
        <v>0.22070000000000001</v>
      </c>
      <c r="N235" s="18">
        <v>0.18870000000000001</v>
      </c>
      <c r="O235" s="18">
        <v>0.11600000000000001</v>
      </c>
      <c r="P235" s="18">
        <v>0.27779999999999999</v>
      </c>
      <c r="Q235" s="18">
        <v>0.32940000000000003</v>
      </c>
      <c r="R235" s="18">
        <v>1.2673000000000001</v>
      </c>
      <c r="S235" s="18">
        <v>0.23100000000000001</v>
      </c>
      <c r="T235" s="18">
        <v>0.1888</v>
      </c>
      <c r="U235" s="18">
        <v>0.2213</v>
      </c>
      <c r="V235" s="18">
        <v>0.30320000000000003</v>
      </c>
      <c r="W235" s="18">
        <v>0.40660000000000002</v>
      </c>
      <c r="X235" s="18">
        <v>0.1222</v>
      </c>
      <c r="Y235" s="18">
        <v>0.2046</v>
      </c>
      <c r="Z235" s="18">
        <v>0.54459999999999997</v>
      </c>
      <c r="AA235" s="18">
        <v>1.7556</v>
      </c>
      <c r="AB235" s="18">
        <v>1.6946000000000001</v>
      </c>
      <c r="AC235" s="18">
        <v>0.35909999999999997</v>
      </c>
      <c r="AD235" s="18">
        <v>0.19850000000000001</v>
      </c>
      <c r="AE235" s="18">
        <v>0.31659999999999999</v>
      </c>
      <c r="AF235" s="18">
        <v>1.2721</v>
      </c>
      <c r="AG235" s="18">
        <v>0.39479999999999998</v>
      </c>
      <c r="AH235" s="18">
        <v>0.17469999999999999</v>
      </c>
      <c r="AI235" s="18">
        <v>0.13100000000000001</v>
      </c>
      <c r="AJ235" s="18">
        <v>0.371</v>
      </c>
      <c r="AK235" s="18">
        <v>0.14530000000000001</v>
      </c>
      <c r="AL235" s="18">
        <v>0.21990000000000001</v>
      </c>
      <c r="AM235" s="18">
        <v>0.24690000000000001</v>
      </c>
      <c r="AN235" s="18">
        <v>0.73329999999999995</v>
      </c>
      <c r="AO235" s="18">
        <v>1.7611000000000001</v>
      </c>
      <c r="AP235" s="18">
        <v>0.44140000000000001</v>
      </c>
      <c r="AQ235" s="18">
        <v>0.43480000000000002</v>
      </c>
      <c r="AR235" s="18">
        <v>0.51739999999999997</v>
      </c>
      <c r="AS235" s="18">
        <v>0.75170000000000003</v>
      </c>
      <c r="AT235" s="18">
        <v>0.51880000000000004</v>
      </c>
      <c r="AU235" s="18">
        <v>0.88800000000000001</v>
      </c>
      <c r="AV235" s="18">
        <v>0.42549999999999999</v>
      </c>
      <c r="AW235" s="18">
        <v>0.1615</v>
      </c>
      <c r="AX235" s="18">
        <v>0.29480000000000001</v>
      </c>
    </row>
    <row r="236" spans="1:50" x14ac:dyDescent="0.25">
      <c r="A236" s="17" t="s">
        <v>603</v>
      </c>
      <c r="B236" s="13" t="s">
        <v>410</v>
      </c>
      <c r="C236" s="18">
        <v>5.3999999999999999E-2</v>
      </c>
      <c r="D236" s="18">
        <v>0.18840000000000001</v>
      </c>
      <c r="E236" s="18">
        <v>5.3999999999999999E-2</v>
      </c>
      <c r="F236" s="18">
        <v>0.18840000000000001</v>
      </c>
      <c r="G236" s="18">
        <v>5.3999999999999999E-2</v>
      </c>
      <c r="H236" s="18">
        <v>0.15479999999999999</v>
      </c>
      <c r="I236" s="18">
        <v>8.7599999999999997E-2</v>
      </c>
      <c r="J236" s="18">
        <v>0.1077</v>
      </c>
      <c r="K236" s="18">
        <v>0.1346</v>
      </c>
      <c r="L236" s="18">
        <v>5.3999999999999999E-2</v>
      </c>
      <c r="M236" s="18">
        <v>5.3999999999999999E-2</v>
      </c>
      <c r="N236" s="18">
        <v>5.3999999999999999E-2</v>
      </c>
      <c r="O236" s="18">
        <v>0.18840000000000001</v>
      </c>
      <c r="P236" s="18">
        <v>5.3999999999999999E-2</v>
      </c>
      <c r="Q236" s="18">
        <v>8.7599999999999997E-2</v>
      </c>
      <c r="R236" s="18">
        <v>0.22339999999999999</v>
      </c>
      <c r="S236" s="18">
        <v>5.3999999999999999E-2</v>
      </c>
      <c r="T236" s="18">
        <v>0.1749</v>
      </c>
      <c r="U236" s="18">
        <v>6.7400000000000002E-2</v>
      </c>
      <c r="V236" s="18">
        <v>0.2243</v>
      </c>
      <c r="W236" s="18">
        <v>0.31490000000000001</v>
      </c>
      <c r="X236" s="18">
        <v>0.29949999999999999</v>
      </c>
      <c r="Y236" s="18">
        <v>0.25</v>
      </c>
      <c r="Z236" s="18">
        <v>0.56579999999999997</v>
      </c>
      <c r="AA236" s="18">
        <v>0.2361</v>
      </c>
      <c r="AB236" s="18">
        <v>0.16200000000000001</v>
      </c>
      <c r="AC236" s="18">
        <v>5.3999999999999999E-2</v>
      </c>
      <c r="AD236" s="18">
        <v>5.3999999999999999E-2</v>
      </c>
      <c r="AE236" s="18">
        <v>0.34429999999999999</v>
      </c>
      <c r="AF236" s="18">
        <v>0.3674</v>
      </c>
      <c r="AG236" s="18">
        <v>1.3489</v>
      </c>
      <c r="AH236" s="18">
        <v>0.75600000000000001</v>
      </c>
      <c r="AI236" s="18">
        <v>1.5054000000000001</v>
      </c>
      <c r="AJ236" s="18">
        <v>1.6958</v>
      </c>
      <c r="AK236" s="18">
        <v>0.31869999999999998</v>
      </c>
      <c r="AL236" s="18">
        <v>0.30640000000000001</v>
      </c>
      <c r="AM236" s="18">
        <v>0.17199999999999999</v>
      </c>
      <c r="AN236" s="18">
        <v>0.16389999999999999</v>
      </c>
      <c r="AO236" s="18">
        <v>8.6300000000000002E-2</v>
      </c>
      <c r="AP236" s="18">
        <v>0.36259999999999998</v>
      </c>
      <c r="AQ236" s="18">
        <v>0.28339999999999999</v>
      </c>
      <c r="AR236" s="18">
        <v>0.3523</v>
      </c>
      <c r="AS236" s="18">
        <v>0.50090000000000001</v>
      </c>
      <c r="AT236" s="18">
        <v>0.58560000000000001</v>
      </c>
      <c r="AU236" s="18">
        <v>0.69589999999999996</v>
      </c>
      <c r="AV236" s="18">
        <v>0.46089999999999998</v>
      </c>
      <c r="AW236" s="18">
        <v>0.37019999999999997</v>
      </c>
      <c r="AX236" s="18">
        <v>0.19189999999999999</v>
      </c>
    </row>
    <row r="237" spans="1:50" x14ac:dyDescent="0.25">
      <c r="A237" s="17" t="s">
        <v>605</v>
      </c>
      <c r="B237" s="13" t="s">
        <v>410</v>
      </c>
      <c r="C237" s="18">
        <v>0.04</v>
      </c>
      <c r="D237" s="18">
        <v>9.5699999999999993E-2</v>
      </c>
      <c r="E237" s="18">
        <v>0.1593</v>
      </c>
      <c r="F237" s="18">
        <v>0.04</v>
      </c>
      <c r="G237" s="18">
        <v>0.17530000000000001</v>
      </c>
      <c r="H237" s="18">
        <v>7.9799999999999996E-2</v>
      </c>
      <c r="I237" s="18">
        <v>0.04</v>
      </c>
      <c r="J237" s="18">
        <v>0.1036</v>
      </c>
      <c r="K237" s="18">
        <v>0.15140000000000001</v>
      </c>
      <c r="L237" s="18">
        <v>0.04</v>
      </c>
      <c r="M237" s="18">
        <v>0.04</v>
      </c>
      <c r="N237" s="18">
        <v>0.04</v>
      </c>
      <c r="O237" s="18">
        <v>0.1673</v>
      </c>
      <c r="P237" s="18">
        <v>8.77E-2</v>
      </c>
      <c r="Q237" s="18">
        <v>8.77E-2</v>
      </c>
      <c r="R237" s="18">
        <v>0.1673</v>
      </c>
      <c r="S237" s="18">
        <v>0.04</v>
      </c>
      <c r="T237" s="18">
        <v>0.215</v>
      </c>
      <c r="U237" s="18">
        <v>0.04</v>
      </c>
      <c r="V237" s="18">
        <v>0.04</v>
      </c>
      <c r="W237" s="18">
        <v>0.33439999999999998</v>
      </c>
      <c r="X237" s="18">
        <v>8.6699999999999999E-2</v>
      </c>
      <c r="Y237" s="18">
        <v>0.2175</v>
      </c>
      <c r="Z237" s="18">
        <v>0.17929999999999999</v>
      </c>
      <c r="AA237" s="18">
        <v>0.2959</v>
      </c>
      <c r="AB237" s="18">
        <v>0.25340000000000001</v>
      </c>
      <c r="AC237" s="18">
        <v>0.27860000000000001</v>
      </c>
      <c r="AD237" s="18">
        <v>0.28000000000000003</v>
      </c>
      <c r="AE237" s="18">
        <v>4.8000000000000001E-2</v>
      </c>
      <c r="AF237" s="18">
        <v>0.20710000000000001</v>
      </c>
      <c r="AG237" s="18">
        <v>0.04</v>
      </c>
      <c r="AH237" s="18">
        <v>0.19120000000000001</v>
      </c>
      <c r="AI237" s="18">
        <v>0.21829999999999999</v>
      </c>
      <c r="AJ237" s="18">
        <v>0.50529999999999997</v>
      </c>
      <c r="AK237" s="18">
        <v>0.45329999999999998</v>
      </c>
      <c r="AL237" s="18">
        <v>0.41860000000000003</v>
      </c>
      <c r="AM237" s="18">
        <v>0.28660000000000002</v>
      </c>
      <c r="AN237" s="18">
        <v>0.28739999999999999</v>
      </c>
      <c r="AO237" s="18">
        <v>0.1134</v>
      </c>
      <c r="AP237" s="18">
        <v>0.13619999999999999</v>
      </c>
      <c r="AQ237" s="18">
        <v>0.33639999999999998</v>
      </c>
      <c r="AR237" s="18">
        <v>0.34689999999999999</v>
      </c>
      <c r="AS237" s="18">
        <v>0.4869</v>
      </c>
      <c r="AT237" s="18">
        <v>0.28599999999999998</v>
      </c>
      <c r="AU237" s="18">
        <v>0.43419999999999997</v>
      </c>
      <c r="AV237" s="18">
        <v>0.76519999999999999</v>
      </c>
      <c r="AW237" s="18">
        <v>5.5899999999999998E-2</v>
      </c>
      <c r="AX237" s="18">
        <v>0.1991</v>
      </c>
    </row>
    <row r="238" spans="1:50" x14ac:dyDescent="0.25">
      <c r="A238" s="17" t="s">
        <v>607</v>
      </c>
      <c r="B238" s="13" t="s">
        <v>410</v>
      </c>
      <c r="C238" s="18">
        <v>5.8000000000000003E-2</v>
      </c>
      <c r="D238" s="18">
        <v>0.30309999999999998</v>
      </c>
      <c r="E238" s="18">
        <v>9.98E-2</v>
      </c>
      <c r="F238" s="18">
        <v>0.21879999999999999</v>
      </c>
      <c r="G238" s="18">
        <v>0.19950000000000001</v>
      </c>
      <c r="H238" s="18">
        <v>0.1409</v>
      </c>
      <c r="I238" s="18">
        <v>0.2442</v>
      </c>
      <c r="J238" s="18">
        <v>0.20849999999999999</v>
      </c>
      <c r="K238" s="18">
        <v>0.13189999999999999</v>
      </c>
      <c r="L238" s="18">
        <v>0.30669999999999997</v>
      </c>
      <c r="M238" s="18">
        <v>5.8000000000000003E-2</v>
      </c>
      <c r="N238" s="18">
        <v>0.27710000000000001</v>
      </c>
      <c r="O238" s="18">
        <v>6.5299999999999997E-2</v>
      </c>
      <c r="P238" s="18">
        <v>0.30230000000000001</v>
      </c>
      <c r="Q238" s="18">
        <v>5.8000000000000003E-2</v>
      </c>
      <c r="R238" s="18">
        <v>0.25159999999999999</v>
      </c>
      <c r="S238" s="18">
        <v>0.2069</v>
      </c>
      <c r="T238" s="18">
        <v>0.27910000000000001</v>
      </c>
      <c r="U238" s="18">
        <v>0.1681</v>
      </c>
      <c r="V238" s="18">
        <v>0.33110000000000001</v>
      </c>
      <c r="W238" s="18">
        <v>0.1981</v>
      </c>
      <c r="X238" s="18">
        <v>0.2903</v>
      </c>
      <c r="Y238" s="18">
        <v>0.47389999999999999</v>
      </c>
      <c r="Z238" s="18">
        <v>0.59899999999999998</v>
      </c>
      <c r="AA238" s="18">
        <v>1.1839</v>
      </c>
      <c r="AB238" s="18">
        <v>0.34179999999999999</v>
      </c>
      <c r="AC238" s="18">
        <v>0.44990000000000002</v>
      </c>
      <c r="AD238" s="18">
        <v>0.45979999999999999</v>
      </c>
      <c r="AE238" s="18">
        <v>0.71399999999999997</v>
      </c>
      <c r="AF238" s="18">
        <v>0.25659999999999999</v>
      </c>
      <c r="AG238" s="18">
        <v>0.2213</v>
      </c>
      <c r="AH238" s="18">
        <v>0.18160000000000001</v>
      </c>
      <c r="AI238" s="18">
        <v>0.109</v>
      </c>
      <c r="AJ238" s="18">
        <v>0.46260000000000001</v>
      </c>
      <c r="AK238" s="18">
        <v>0.29420000000000002</v>
      </c>
      <c r="AL238" s="18">
        <v>0.53800000000000003</v>
      </c>
      <c r="AM238" s="18">
        <v>1.2063999999999999</v>
      </c>
      <c r="AN238" s="18">
        <v>0.72829999999999995</v>
      </c>
      <c r="AO238" s="18">
        <v>3.1452</v>
      </c>
      <c r="AP238" s="18">
        <v>2.9910999999999999</v>
      </c>
      <c r="AQ238" s="18">
        <v>1.4403999999999999</v>
      </c>
      <c r="AR238" s="18">
        <v>0.57110000000000005</v>
      </c>
      <c r="AS238" s="18">
        <v>0.63260000000000005</v>
      </c>
      <c r="AT238" s="18">
        <v>0.66659999999999997</v>
      </c>
      <c r="AU238" s="18">
        <v>0.2959</v>
      </c>
      <c r="AV238" s="18">
        <v>0.55479999999999996</v>
      </c>
      <c r="AW238" s="18">
        <v>0.1971</v>
      </c>
      <c r="AX238" s="18">
        <v>0.49609999999999999</v>
      </c>
    </row>
    <row r="239" spans="1:50" x14ac:dyDescent="0.25">
      <c r="A239" s="8" t="s">
        <v>324</v>
      </c>
      <c r="B239" s="10" t="s">
        <v>57</v>
      </c>
      <c r="C239" s="16">
        <v>0.2571</v>
      </c>
      <c r="D239" s="16">
        <v>5.6000000000000001E-2</v>
      </c>
      <c r="E239" s="16">
        <v>5.6000000000000001E-2</v>
      </c>
      <c r="F239" s="16">
        <v>5.6000000000000001E-2</v>
      </c>
      <c r="G239" s="16">
        <v>9.2600000000000002E-2</v>
      </c>
      <c r="H239" s="16">
        <v>0.2205</v>
      </c>
      <c r="I239" s="16">
        <v>5.6000000000000001E-2</v>
      </c>
      <c r="J239" s="16">
        <v>0.2571</v>
      </c>
      <c r="K239" s="16">
        <v>5.6000000000000001E-2</v>
      </c>
      <c r="L239" s="16">
        <v>5.6000000000000001E-2</v>
      </c>
      <c r="M239" s="16">
        <v>0.16569999999999999</v>
      </c>
      <c r="N239" s="16">
        <v>0.1474</v>
      </c>
      <c r="O239" s="16">
        <v>5.6000000000000001E-2</v>
      </c>
      <c r="P239" s="16">
        <v>9.4799999999999995E-2</v>
      </c>
      <c r="Q239" s="16">
        <v>0.22969999999999999</v>
      </c>
      <c r="R239" s="16">
        <v>5.6000000000000001E-2</v>
      </c>
      <c r="S239" s="16">
        <v>0.2205</v>
      </c>
      <c r="T239" s="16">
        <v>9.2600000000000002E-2</v>
      </c>
      <c r="U239" s="16">
        <v>0.13830000000000001</v>
      </c>
      <c r="V239" s="16">
        <v>0.17480000000000001</v>
      </c>
      <c r="W239" s="16">
        <v>0.10100000000000001</v>
      </c>
      <c r="X239" s="16">
        <v>0.30919999999999997</v>
      </c>
      <c r="Y239" s="16">
        <v>1.5479000000000001</v>
      </c>
      <c r="Z239" s="16">
        <v>0.53390000000000004</v>
      </c>
      <c r="AA239" s="16">
        <v>0.42899999999999999</v>
      </c>
      <c r="AB239" s="16">
        <v>0.39079999999999998</v>
      </c>
      <c r="AC239" s="16">
        <v>0.19700000000000001</v>
      </c>
      <c r="AD239" s="16">
        <v>1.9931000000000001</v>
      </c>
      <c r="AE239" s="16">
        <v>9.8199999999999996E-2</v>
      </c>
      <c r="AF239" s="16">
        <v>5.6000000000000001E-2</v>
      </c>
      <c r="AG239" s="16">
        <v>0.29930000000000001</v>
      </c>
      <c r="AH239" s="16">
        <v>0.1827</v>
      </c>
      <c r="AI239" s="16">
        <v>0.26490000000000002</v>
      </c>
      <c r="AJ239" s="16">
        <v>0.42299999999999999</v>
      </c>
      <c r="AK239" s="16">
        <v>0.25080000000000002</v>
      </c>
      <c r="AL239" s="16">
        <v>0.29380000000000001</v>
      </c>
      <c r="AM239" s="16">
        <v>0.23880000000000001</v>
      </c>
      <c r="AN239" s="16">
        <v>0.1074</v>
      </c>
      <c r="AO239" s="16">
        <v>0.16259999999999999</v>
      </c>
      <c r="AP239" s="16">
        <v>0.75770000000000004</v>
      </c>
      <c r="AQ239" s="16">
        <v>1.1895</v>
      </c>
      <c r="AR239" s="16">
        <v>1.1499999999999999</v>
      </c>
      <c r="AS239" s="16">
        <v>0.66169999999999995</v>
      </c>
      <c r="AT239" s="16">
        <v>0.60740000000000005</v>
      </c>
      <c r="AU239" s="16">
        <v>0.45989999999999998</v>
      </c>
      <c r="AV239" s="16">
        <v>5.6000000000000001E-2</v>
      </c>
      <c r="AW239" s="16">
        <v>5.6000000000000001E-2</v>
      </c>
      <c r="AX239" s="16">
        <v>0.12909999999999999</v>
      </c>
    </row>
    <row r="240" spans="1:50" x14ac:dyDescent="0.25">
      <c r="A240" s="17" t="s">
        <v>609</v>
      </c>
      <c r="B240" s="13" t="s">
        <v>410</v>
      </c>
      <c r="C240" s="18">
        <v>8.9700000000000002E-2</v>
      </c>
      <c r="D240" s="18">
        <v>3.4000000000000002E-2</v>
      </c>
      <c r="E240" s="18">
        <v>3.4000000000000002E-2</v>
      </c>
      <c r="F240" s="18">
        <v>9.8199999999999996E-2</v>
      </c>
      <c r="G240" s="18">
        <v>4.6800000000000001E-2</v>
      </c>
      <c r="H240" s="18">
        <v>8.2100000000000006E-2</v>
      </c>
      <c r="I240" s="18">
        <v>6.8199999999999997E-2</v>
      </c>
      <c r="J240" s="18">
        <v>7.6799999999999993E-2</v>
      </c>
      <c r="K240" s="18">
        <v>3.4000000000000002E-2</v>
      </c>
      <c r="L240" s="18">
        <v>8.1100000000000005E-2</v>
      </c>
      <c r="M240" s="18">
        <v>6.4000000000000001E-2</v>
      </c>
      <c r="N240" s="18">
        <v>3.4000000000000002E-2</v>
      </c>
      <c r="O240" s="18">
        <v>3.4000000000000002E-2</v>
      </c>
      <c r="P240" s="18">
        <v>0.1111</v>
      </c>
      <c r="Q240" s="18">
        <v>0.2918</v>
      </c>
      <c r="R240" s="18">
        <v>0.17979999999999999</v>
      </c>
      <c r="S240" s="18">
        <v>0.1797</v>
      </c>
      <c r="T240" s="18">
        <v>7.2499999999999995E-2</v>
      </c>
      <c r="U240" s="18">
        <v>7.2499999999999995E-2</v>
      </c>
      <c r="V240" s="18">
        <v>8.5400000000000004E-2</v>
      </c>
      <c r="W240" s="18">
        <v>5.9700000000000003E-2</v>
      </c>
      <c r="X240" s="18">
        <v>0.1197</v>
      </c>
      <c r="Y240" s="18">
        <v>0.41449999999999998</v>
      </c>
      <c r="Z240" s="18">
        <v>0.16800000000000001</v>
      </c>
      <c r="AA240" s="18">
        <v>0.24929999999999999</v>
      </c>
      <c r="AB240" s="18">
        <v>0.16270000000000001</v>
      </c>
      <c r="AC240" s="18">
        <v>1.3402000000000001</v>
      </c>
      <c r="AD240" s="18">
        <v>0.77510000000000001</v>
      </c>
      <c r="AE240" s="18">
        <v>0.26090000000000002</v>
      </c>
      <c r="AF240" s="18">
        <v>0.18110000000000001</v>
      </c>
      <c r="AG240" s="18">
        <v>0.22459999999999999</v>
      </c>
      <c r="AH240" s="18">
        <v>0.20180000000000001</v>
      </c>
      <c r="AI240" s="18">
        <v>0.25769999999999998</v>
      </c>
      <c r="AJ240" s="18">
        <v>0.22689999999999999</v>
      </c>
      <c r="AK240" s="18">
        <v>0.52690000000000003</v>
      </c>
      <c r="AL240" s="18">
        <v>1.7902</v>
      </c>
      <c r="AM240" s="18">
        <v>1.1048</v>
      </c>
      <c r="AN240" s="18">
        <v>0.19470000000000001</v>
      </c>
      <c r="AO240" s="18">
        <v>1.0221</v>
      </c>
      <c r="AP240" s="18">
        <v>0.3483</v>
      </c>
      <c r="AQ240" s="18">
        <v>0.23830000000000001</v>
      </c>
      <c r="AR240" s="18">
        <v>0.43480000000000002</v>
      </c>
      <c r="AS240" s="18">
        <v>0.2858</v>
      </c>
      <c r="AT240" s="18">
        <v>0.2853</v>
      </c>
      <c r="AU240" s="18">
        <v>3.4000000000000002E-2</v>
      </c>
      <c r="AV240" s="18">
        <v>0.13569999999999999</v>
      </c>
      <c r="AW240" s="18">
        <v>0.216</v>
      </c>
      <c r="AX240" s="18">
        <v>0.30890000000000001</v>
      </c>
    </row>
    <row r="241" spans="1:50" x14ac:dyDescent="0.25">
      <c r="A241" s="8" t="s">
        <v>326</v>
      </c>
      <c r="B241" s="10" t="s">
        <v>57</v>
      </c>
      <c r="C241" s="16">
        <v>8.6499999999999994E-2</v>
      </c>
      <c r="D241" s="16">
        <v>0.15559999999999999</v>
      </c>
      <c r="E241" s="16">
        <v>4.4999999999999998E-2</v>
      </c>
      <c r="F241" s="16">
        <v>0.19700000000000001</v>
      </c>
      <c r="G241" s="16">
        <v>4.4999999999999998E-2</v>
      </c>
      <c r="H241" s="16">
        <v>4.4999999999999998E-2</v>
      </c>
      <c r="I241" s="16">
        <v>0.19700000000000001</v>
      </c>
      <c r="J241" s="16">
        <v>4.4999999999999998E-2</v>
      </c>
      <c r="K241" s="16">
        <v>0.11409999999999999</v>
      </c>
      <c r="L241" s="16">
        <v>0.12790000000000001</v>
      </c>
      <c r="M241" s="16">
        <v>4.4999999999999998E-2</v>
      </c>
      <c r="N241" s="16">
        <v>0.19700000000000001</v>
      </c>
      <c r="O241" s="16">
        <v>4.4999999999999998E-2</v>
      </c>
      <c r="P241" s="16">
        <v>7.0800000000000002E-2</v>
      </c>
      <c r="Q241" s="16">
        <v>0.10009999999999999</v>
      </c>
      <c r="R241" s="16">
        <v>0.15559999999999999</v>
      </c>
      <c r="S241" s="16">
        <v>8.1199999999999994E-2</v>
      </c>
      <c r="T241" s="16">
        <v>0.21310000000000001</v>
      </c>
      <c r="U241" s="16">
        <v>0.60909999999999997</v>
      </c>
      <c r="V241" s="16">
        <v>2.1789999999999998</v>
      </c>
      <c r="W241" s="16">
        <v>4.4999999999999998E-2</v>
      </c>
      <c r="X241" s="16">
        <v>4.4999999999999998E-2</v>
      </c>
      <c r="Y241" s="16">
        <v>0.19700000000000001</v>
      </c>
      <c r="Z241" s="16">
        <v>4.4999999999999998E-2</v>
      </c>
      <c r="AA241" s="16">
        <v>0.12790000000000001</v>
      </c>
      <c r="AB241" s="16">
        <v>0.11409999999999999</v>
      </c>
      <c r="AC241" s="16">
        <v>5.1900000000000002E-2</v>
      </c>
      <c r="AD241" s="16">
        <v>0.19009999999999999</v>
      </c>
      <c r="AE241" s="16">
        <v>4.4999999999999998E-2</v>
      </c>
      <c r="AF241" s="16">
        <v>0.19700000000000001</v>
      </c>
      <c r="AG241" s="16">
        <v>4.4999999999999998E-2</v>
      </c>
      <c r="AH241" s="16">
        <v>8.6900000000000005E-2</v>
      </c>
      <c r="AI241" s="16">
        <v>0.2341</v>
      </c>
      <c r="AJ241" s="16">
        <v>2.1726999999999999</v>
      </c>
      <c r="AK241" s="16">
        <v>0.80669999999999997</v>
      </c>
      <c r="AL241" s="16">
        <v>0.22320000000000001</v>
      </c>
      <c r="AM241" s="16">
        <v>6.5600000000000006E-2</v>
      </c>
      <c r="AN241" s="16">
        <v>0.25090000000000001</v>
      </c>
      <c r="AO241" s="16">
        <v>7.5800000000000006E-2</v>
      </c>
      <c r="AP241" s="16">
        <v>0.3251</v>
      </c>
      <c r="AQ241" s="16">
        <v>0.41249999999999998</v>
      </c>
      <c r="AR241" s="16">
        <v>0.30530000000000002</v>
      </c>
      <c r="AS241" s="16">
        <v>0.52100000000000002</v>
      </c>
      <c r="AT241" s="16">
        <v>0.73960000000000004</v>
      </c>
      <c r="AU241" s="16">
        <v>0.82420000000000004</v>
      </c>
      <c r="AV241" s="16">
        <v>0.49909999999999999</v>
      </c>
      <c r="AW241" s="16">
        <v>0.43490000000000001</v>
      </c>
      <c r="AX241" s="16">
        <v>0.54790000000000005</v>
      </c>
    </row>
    <row r="242" spans="1:50" x14ac:dyDescent="0.25">
      <c r="A242" s="17" t="s">
        <v>611</v>
      </c>
      <c r="B242" s="13" t="s">
        <v>410</v>
      </c>
      <c r="C242" s="18">
        <v>0.12540000000000001</v>
      </c>
      <c r="D242" s="18">
        <v>5.1999999999999998E-2</v>
      </c>
      <c r="E242" s="18">
        <v>0.12540000000000001</v>
      </c>
      <c r="F242" s="18">
        <v>5.1999999999999998E-2</v>
      </c>
      <c r="G242" s="18">
        <v>0.12540000000000001</v>
      </c>
      <c r="H242" s="18">
        <v>5.1999999999999998E-2</v>
      </c>
      <c r="I242" s="18">
        <v>7.2400000000000006E-2</v>
      </c>
      <c r="J242" s="18">
        <v>0.105</v>
      </c>
      <c r="K242" s="18">
        <v>5.1999999999999998E-2</v>
      </c>
      <c r="L242" s="18">
        <v>5.1999999999999998E-2</v>
      </c>
      <c r="M242" s="18">
        <v>5.1999999999999998E-2</v>
      </c>
      <c r="N242" s="18">
        <v>5.1999999999999998E-2</v>
      </c>
      <c r="O242" s="18">
        <v>6.4199999999999993E-2</v>
      </c>
      <c r="P242" s="18">
        <v>0.1132</v>
      </c>
      <c r="Q242" s="18">
        <v>5.1999999999999998E-2</v>
      </c>
      <c r="R242" s="18">
        <v>0.12540000000000001</v>
      </c>
      <c r="S242" s="18">
        <v>5.1999999999999998E-2</v>
      </c>
      <c r="T242" s="18">
        <v>0.21609999999999999</v>
      </c>
      <c r="U242" s="18">
        <v>0.28360000000000002</v>
      </c>
      <c r="V242" s="18">
        <v>0.22650000000000001</v>
      </c>
      <c r="W242" s="18">
        <v>0.1174</v>
      </c>
      <c r="X242" s="18">
        <v>0.1134</v>
      </c>
      <c r="Y242" s="18">
        <v>0.55779999999999996</v>
      </c>
      <c r="Z242" s="18">
        <v>0.26519999999999999</v>
      </c>
      <c r="AA242" s="18">
        <v>0.192</v>
      </c>
      <c r="AB242" s="18">
        <v>0.1772</v>
      </c>
      <c r="AC242" s="18">
        <v>0.1772</v>
      </c>
      <c r="AD242" s="18">
        <v>0.52839999999999998</v>
      </c>
      <c r="AE242" s="18">
        <v>5.1999999999999998E-2</v>
      </c>
      <c r="AF242" s="18">
        <v>0.12540000000000001</v>
      </c>
      <c r="AG242" s="18">
        <v>5.1999999999999998E-2</v>
      </c>
      <c r="AH242" s="18">
        <v>0.12540000000000001</v>
      </c>
      <c r="AI242" s="18">
        <v>0.21809999999999999</v>
      </c>
      <c r="AJ242" s="18">
        <v>0.20219999999999999</v>
      </c>
      <c r="AK242" s="18">
        <v>0.24279999999999999</v>
      </c>
      <c r="AL242" s="18">
        <v>0.64080000000000004</v>
      </c>
      <c r="AM242" s="18">
        <v>1.6015999999999999</v>
      </c>
      <c r="AN242" s="18">
        <v>0.1057</v>
      </c>
      <c r="AO242" s="18">
        <v>0.10340000000000001</v>
      </c>
      <c r="AP242" s="18">
        <v>1.3380000000000001</v>
      </c>
      <c r="AQ242" s="18">
        <v>0.86739999999999995</v>
      </c>
      <c r="AR242" s="18">
        <v>0.58389999999999997</v>
      </c>
      <c r="AS242" s="18">
        <v>0.43519999999999998</v>
      </c>
      <c r="AT242" s="18">
        <v>0.32429999999999998</v>
      </c>
      <c r="AU242" s="18">
        <v>0.31630000000000003</v>
      </c>
      <c r="AV242" s="18">
        <v>0.41320000000000001</v>
      </c>
      <c r="AW242" s="18">
        <v>1.4392</v>
      </c>
      <c r="AX242" s="18">
        <v>0.63149999999999995</v>
      </c>
    </row>
    <row r="243" spans="1:50" x14ac:dyDescent="0.25">
      <c r="A243" s="8" t="s">
        <v>328</v>
      </c>
      <c r="B243" s="10" t="s">
        <v>57</v>
      </c>
      <c r="C243" s="16">
        <v>0.1244</v>
      </c>
      <c r="D243" s="16">
        <v>0.1021</v>
      </c>
      <c r="E243" s="16">
        <v>5.1999999999999998E-2</v>
      </c>
      <c r="F243" s="16">
        <v>9.0999999999999998E-2</v>
      </c>
      <c r="G243" s="16">
        <v>0.13550000000000001</v>
      </c>
      <c r="H243" s="16">
        <v>5.1999999999999998E-2</v>
      </c>
      <c r="I243" s="16">
        <v>5.1999999999999998E-2</v>
      </c>
      <c r="J243" s="16">
        <v>0.1188</v>
      </c>
      <c r="K243" s="16">
        <v>0.1077</v>
      </c>
      <c r="L243" s="16">
        <v>8.5400000000000004E-2</v>
      </c>
      <c r="M243" s="16">
        <v>0.1411</v>
      </c>
      <c r="N243" s="16">
        <v>5.1999999999999998E-2</v>
      </c>
      <c r="O243" s="16">
        <v>0.20610000000000001</v>
      </c>
      <c r="P243" s="16">
        <v>5.1999999999999998E-2</v>
      </c>
      <c r="Q243" s="16">
        <v>0.1077</v>
      </c>
      <c r="R243" s="16">
        <v>0.1313</v>
      </c>
      <c r="S243" s="16">
        <v>5.3699999999999998E-2</v>
      </c>
      <c r="T243" s="16">
        <v>0.2135</v>
      </c>
      <c r="U243" s="16">
        <v>8.3599999999999994E-2</v>
      </c>
      <c r="V243" s="16">
        <v>0.30299999999999999</v>
      </c>
      <c r="W243" s="16">
        <v>0.12620000000000001</v>
      </c>
      <c r="X243" s="16">
        <v>6.2E-2</v>
      </c>
      <c r="Y243" s="16">
        <v>0.18129999999999999</v>
      </c>
      <c r="Z243" s="16">
        <v>0.13700000000000001</v>
      </c>
      <c r="AA243" s="16">
        <v>0.23300000000000001</v>
      </c>
      <c r="AB243" s="16">
        <v>0.29899999999999999</v>
      </c>
      <c r="AC243" s="16">
        <v>0.34539999999999998</v>
      </c>
      <c r="AD243" s="16">
        <v>0.37430000000000002</v>
      </c>
      <c r="AE243" s="16">
        <v>0.28570000000000001</v>
      </c>
      <c r="AF243" s="16">
        <v>0.20380000000000001</v>
      </c>
      <c r="AG243" s="16">
        <v>0.21790000000000001</v>
      </c>
      <c r="AH243" s="16">
        <v>0.5131</v>
      </c>
      <c r="AI243" s="16">
        <v>0.23419999999999999</v>
      </c>
      <c r="AJ243" s="16">
        <v>0.34699999999999998</v>
      </c>
      <c r="AK243" s="16">
        <v>1.9509000000000001</v>
      </c>
      <c r="AL243" s="16">
        <v>1.9731000000000001</v>
      </c>
      <c r="AM243" s="16">
        <v>0.44309999999999999</v>
      </c>
      <c r="AN243" s="16">
        <v>0.14810000000000001</v>
      </c>
      <c r="AO243" s="16">
        <v>0.18260000000000001</v>
      </c>
      <c r="AP243" s="16">
        <v>5.1999999999999998E-2</v>
      </c>
      <c r="AQ243" s="16">
        <v>0.15770000000000001</v>
      </c>
      <c r="AR243" s="16">
        <v>6.8699999999999997E-2</v>
      </c>
      <c r="AS243" s="16">
        <v>5.1999999999999998E-2</v>
      </c>
      <c r="AT243" s="16">
        <v>7.1599999999999997E-2</v>
      </c>
      <c r="AU243" s="16">
        <v>0.36749999999999999</v>
      </c>
      <c r="AV243" s="16">
        <v>0.37390000000000001</v>
      </c>
      <c r="AW243" s="16">
        <v>0.4304</v>
      </c>
      <c r="AX243" s="16">
        <v>0.4093</v>
      </c>
    </row>
    <row r="244" spans="1:50" x14ac:dyDescent="0.25">
      <c r="A244" s="17" t="s">
        <v>613</v>
      </c>
      <c r="B244" s="13" t="s">
        <v>410</v>
      </c>
      <c r="C244" s="18">
        <v>5.7000000000000002E-2</v>
      </c>
      <c r="D244" s="18">
        <v>5.7000000000000002E-2</v>
      </c>
      <c r="E244" s="18">
        <v>5.7000000000000002E-2</v>
      </c>
      <c r="F244" s="18">
        <v>5.7000000000000002E-2</v>
      </c>
      <c r="G244" s="18">
        <v>5.7000000000000002E-2</v>
      </c>
      <c r="H244" s="18">
        <v>5.7000000000000002E-2</v>
      </c>
      <c r="I244" s="18">
        <v>5.7000000000000002E-2</v>
      </c>
      <c r="J244" s="18">
        <v>5.7000000000000002E-2</v>
      </c>
      <c r="K244" s="18">
        <v>5.7000000000000002E-2</v>
      </c>
      <c r="L244" s="18">
        <v>5.7000000000000002E-2</v>
      </c>
      <c r="M244" s="18">
        <v>5.7000000000000002E-2</v>
      </c>
      <c r="N244" s="18">
        <v>5.7000000000000002E-2</v>
      </c>
      <c r="O244" s="18">
        <v>5.7000000000000002E-2</v>
      </c>
      <c r="P244" s="18">
        <v>9.5699999999999993E-2</v>
      </c>
      <c r="Q244" s="18">
        <v>0.20230000000000001</v>
      </c>
      <c r="R244" s="18">
        <v>1.5860000000000001</v>
      </c>
      <c r="S244" s="18">
        <v>0.21360000000000001</v>
      </c>
      <c r="T244" s="18">
        <v>0.2404</v>
      </c>
      <c r="U244" s="18">
        <v>0.32950000000000002</v>
      </c>
      <c r="V244" s="18">
        <v>0.2387</v>
      </c>
      <c r="W244" s="18">
        <v>0.2666</v>
      </c>
      <c r="X244" s="18">
        <v>0.21729999999999999</v>
      </c>
      <c r="Y244" s="18">
        <v>0.21479999999999999</v>
      </c>
      <c r="Z244" s="18">
        <v>0.2039</v>
      </c>
      <c r="AA244" s="18">
        <v>6.6699999999999995E-2</v>
      </c>
      <c r="AB244" s="18">
        <v>0.27889999999999998</v>
      </c>
      <c r="AC244" s="18">
        <v>5.7000000000000002E-2</v>
      </c>
      <c r="AD244" s="18">
        <v>8.7499999999999994E-2</v>
      </c>
      <c r="AE244" s="18">
        <v>0.13589999999999999</v>
      </c>
      <c r="AF244" s="18">
        <v>0.16550000000000001</v>
      </c>
      <c r="AG244" s="18">
        <v>0.22020000000000001</v>
      </c>
      <c r="AH244" s="18">
        <v>0.42409999999999998</v>
      </c>
      <c r="AI244" s="18">
        <v>1.5294000000000001</v>
      </c>
      <c r="AJ244" s="18">
        <v>0.1527</v>
      </c>
      <c r="AK244" s="18">
        <v>0.1178</v>
      </c>
      <c r="AL244" s="18">
        <v>0.39400000000000002</v>
      </c>
      <c r="AM244" s="18">
        <v>0.43340000000000001</v>
      </c>
      <c r="AN244" s="18">
        <v>0.4249</v>
      </c>
      <c r="AO244" s="18">
        <v>0.4501</v>
      </c>
      <c r="AP244" s="18">
        <v>1.3017000000000001</v>
      </c>
      <c r="AQ244" s="18">
        <v>0.35820000000000002</v>
      </c>
      <c r="AR244" s="18">
        <v>0.3034</v>
      </c>
      <c r="AS244" s="18">
        <v>0.38929999999999998</v>
      </c>
      <c r="AT244" s="18">
        <v>0.61329999999999996</v>
      </c>
      <c r="AU244" s="18">
        <v>0.67859999999999998</v>
      </c>
      <c r="AV244" s="18">
        <v>0.48110000000000003</v>
      </c>
      <c r="AW244" s="18">
        <v>0.31009999999999999</v>
      </c>
      <c r="AX244" s="18">
        <v>5.7000000000000002E-2</v>
      </c>
    </row>
    <row r="245" spans="1:50" x14ac:dyDescent="0.25">
      <c r="A245" s="17" t="s">
        <v>615</v>
      </c>
      <c r="B245" s="13" t="s">
        <v>410</v>
      </c>
      <c r="C245" s="18">
        <v>0.1</v>
      </c>
      <c r="D245" s="18">
        <v>3.9E-2</v>
      </c>
      <c r="E245" s="18">
        <v>0.161</v>
      </c>
      <c r="F245" s="18">
        <v>3.9E-2</v>
      </c>
      <c r="G245" s="18">
        <v>3.9E-2</v>
      </c>
      <c r="H245" s="18">
        <v>3.9E-2</v>
      </c>
      <c r="I245" s="18">
        <v>0.161</v>
      </c>
      <c r="J245" s="18">
        <v>3.9E-2</v>
      </c>
      <c r="K245" s="18">
        <v>3.9E-2</v>
      </c>
      <c r="L245" s="18">
        <v>0.161</v>
      </c>
      <c r="M245" s="18">
        <v>3.9E-2</v>
      </c>
      <c r="N245" s="18">
        <v>0.1174</v>
      </c>
      <c r="O245" s="18">
        <v>8.2600000000000007E-2</v>
      </c>
      <c r="P245" s="18">
        <v>3.9E-2</v>
      </c>
      <c r="Q245" s="18">
        <v>0.1174</v>
      </c>
      <c r="R245" s="18">
        <v>8.2600000000000007E-2</v>
      </c>
      <c r="S245" s="18">
        <v>3.9E-2</v>
      </c>
      <c r="T245" s="18">
        <v>0.14360000000000001</v>
      </c>
      <c r="U245" s="18">
        <v>5.6399999999999999E-2</v>
      </c>
      <c r="V245" s="18">
        <v>5.6399999999999999E-2</v>
      </c>
      <c r="W245" s="18">
        <v>0.44319999999999998</v>
      </c>
      <c r="X245" s="18">
        <v>0.36220000000000002</v>
      </c>
      <c r="Y245" s="18">
        <v>0.39650000000000002</v>
      </c>
      <c r="Z245" s="18">
        <v>0.14649999999999999</v>
      </c>
      <c r="AA245" s="18">
        <v>0.30790000000000001</v>
      </c>
      <c r="AB245" s="18">
        <v>0.38300000000000001</v>
      </c>
      <c r="AC245" s="18">
        <v>0.1013</v>
      </c>
      <c r="AD245" s="18">
        <v>0.1696</v>
      </c>
      <c r="AE245" s="18">
        <v>0.31690000000000002</v>
      </c>
      <c r="AF245" s="18">
        <v>0.41789999999999999</v>
      </c>
      <c r="AG245" s="18">
        <v>0.25619999999999998</v>
      </c>
      <c r="AH245" s="18">
        <v>0.1323</v>
      </c>
      <c r="AI245" s="18">
        <v>1.1966000000000001</v>
      </c>
      <c r="AJ245" s="18">
        <v>0.51170000000000004</v>
      </c>
      <c r="AK245" s="18">
        <v>0.37230000000000002</v>
      </c>
      <c r="AL245" s="18">
        <v>0.1535</v>
      </c>
      <c r="AM245" s="18">
        <v>0.25040000000000001</v>
      </c>
      <c r="AN245" s="18">
        <v>0.29409999999999997</v>
      </c>
      <c r="AO245" s="18">
        <v>0.49669999999999997</v>
      </c>
      <c r="AP245" s="18">
        <v>0.5827</v>
      </c>
      <c r="AQ245" s="18">
        <v>0.83309999999999995</v>
      </c>
      <c r="AR245" s="18">
        <v>0.74299999999999999</v>
      </c>
      <c r="AS245" s="18">
        <v>0.95899999999999996</v>
      </c>
      <c r="AT245" s="18">
        <v>0.50670000000000004</v>
      </c>
      <c r="AU245" s="18">
        <v>0.62229999999999996</v>
      </c>
      <c r="AV245" s="18">
        <v>1.5459000000000001</v>
      </c>
      <c r="AW245" s="18">
        <v>0.4965</v>
      </c>
      <c r="AX245" s="18">
        <v>0.47520000000000001</v>
      </c>
    </row>
    <row r="246" spans="1:50" x14ac:dyDescent="0.25">
      <c r="A246" s="8" t="s">
        <v>330</v>
      </c>
      <c r="B246" s="10" t="s">
        <v>57</v>
      </c>
      <c r="C246" s="16">
        <v>0.22270000000000001</v>
      </c>
      <c r="D246" s="16">
        <v>0.11509999999999999</v>
      </c>
      <c r="E246" s="16">
        <v>0.35220000000000001</v>
      </c>
      <c r="F246" s="16">
        <v>7.4399999999999994E-2</v>
      </c>
      <c r="G246" s="16">
        <v>0.30549999999999999</v>
      </c>
      <c r="H246" s="16">
        <v>0.1852</v>
      </c>
      <c r="I246" s="16">
        <v>5.0999999999999997E-2</v>
      </c>
      <c r="J246" s="16">
        <v>0.22850000000000001</v>
      </c>
      <c r="K246" s="16">
        <v>0.26219999999999999</v>
      </c>
      <c r="L246" s="16">
        <v>5.0999999999999997E-2</v>
      </c>
      <c r="M246" s="16">
        <v>0.26800000000000002</v>
      </c>
      <c r="N246" s="16">
        <v>0.1212</v>
      </c>
      <c r="O246" s="16">
        <v>0.21790000000000001</v>
      </c>
      <c r="P246" s="16">
        <v>0.20250000000000001</v>
      </c>
      <c r="Q246" s="16">
        <v>5.0999999999999997E-2</v>
      </c>
      <c r="R246" s="16">
        <v>0.31440000000000001</v>
      </c>
      <c r="S246" s="16">
        <v>6.13E-2</v>
      </c>
      <c r="T246" s="16">
        <v>0.22620000000000001</v>
      </c>
      <c r="U246" s="16">
        <v>0.28610000000000002</v>
      </c>
      <c r="V246" s="16">
        <v>5.0999999999999997E-2</v>
      </c>
      <c r="W246" s="16">
        <v>0.3518</v>
      </c>
      <c r="X246" s="16">
        <v>0.56299999999999994</v>
      </c>
      <c r="Y246" s="16">
        <v>0.36470000000000002</v>
      </c>
      <c r="Z246" s="16">
        <v>0.3004</v>
      </c>
      <c r="AA246" s="16">
        <v>0.1628</v>
      </c>
      <c r="AB246" s="16">
        <v>0.6804</v>
      </c>
      <c r="AC246" s="16">
        <v>1.4358</v>
      </c>
      <c r="AD246" s="16">
        <v>1.6422000000000001</v>
      </c>
      <c r="AE246" s="16">
        <v>0.31590000000000001</v>
      </c>
      <c r="AF246" s="16">
        <v>0.1537</v>
      </c>
      <c r="AG246" s="16">
        <v>0.33410000000000001</v>
      </c>
      <c r="AH246" s="16">
        <v>0.15529999999999999</v>
      </c>
      <c r="AI246" s="16">
        <v>0.35680000000000001</v>
      </c>
      <c r="AJ246" s="16">
        <v>0.44919999999999999</v>
      </c>
      <c r="AK246" s="16">
        <v>0.2858</v>
      </c>
      <c r="AL246" s="16">
        <v>0.48270000000000002</v>
      </c>
      <c r="AM246" s="16">
        <v>0.51949999999999996</v>
      </c>
      <c r="AN246" s="16">
        <v>0.51819999999999999</v>
      </c>
      <c r="AO246" s="16">
        <v>0.59609999999999996</v>
      </c>
      <c r="AP246" s="16">
        <v>0.61809999999999998</v>
      </c>
      <c r="AQ246" s="16">
        <v>0.1527</v>
      </c>
      <c r="AR246" s="16">
        <v>0.14460000000000001</v>
      </c>
      <c r="AS246" s="16">
        <v>0.27710000000000001</v>
      </c>
      <c r="AT246" s="16">
        <v>0.11990000000000001</v>
      </c>
      <c r="AU246" s="16">
        <v>0.26769999999999999</v>
      </c>
      <c r="AV246" s="16">
        <v>0.223</v>
      </c>
      <c r="AW246" s="16">
        <v>5.0999999999999997E-2</v>
      </c>
      <c r="AX246" s="16">
        <v>0.37240000000000001</v>
      </c>
    </row>
    <row r="247" spans="1:50" x14ac:dyDescent="0.25">
      <c r="A247" s="8" t="s">
        <v>332</v>
      </c>
      <c r="B247" s="10" t="s">
        <v>57</v>
      </c>
      <c r="C247" s="16">
        <v>0.28160000000000002</v>
      </c>
      <c r="D247" s="16">
        <v>0.20330000000000001</v>
      </c>
      <c r="E247" s="16">
        <v>0.12909999999999999</v>
      </c>
      <c r="F247" s="16">
        <v>0.1033</v>
      </c>
      <c r="G247" s="16">
        <v>0.20979999999999999</v>
      </c>
      <c r="H247" s="16">
        <v>0.17199999999999999</v>
      </c>
      <c r="I247" s="16">
        <v>7.6399999999999996E-2</v>
      </c>
      <c r="J247" s="16">
        <v>0.2944</v>
      </c>
      <c r="K247" s="16">
        <v>6.4899999999999999E-2</v>
      </c>
      <c r="L247" s="16">
        <v>0.21829999999999999</v>
      </c>
      <c r="M247" s="16">
        <v>0.16350000000000001</v>
      </c>
      <c r="N247" s="16">
        <v>7.6399999999999996E-2</v>
      </c>
      <c r="O247" s="16">
        <v>0.27800000000000002</v>
      </c>
      <c r="P247" s="16">
        <v>8.14E-2</v>
      </c>
      <c r="Q247" s="16">
        <v>5.3999999999999999E-2</v>
      </c>
      <c r="R247" s="16">
        <v>0.25309999999999999</v>
      </c>
      <c r="S247" s="16">
        <v>0.12870000000000001</v>
      </c>
      <c r="T247" s="16">
        <v>8.3900000000000002E-2</v>
      </c>
      <c r="U247" s="16">
        <v>0.50260000000000005</v>
      </c>
      <c r="V247" s="16">
        <v>0.27760000000000001</v>
      </c>
      <c r="W247" s="16">
        <v>0.3392</v>
      </c>
      <c r="X247" s="16">
        <v>0.16739999999999999</v>
      </c>
      <c r="Y247" s="16">
        <v>0.1525</v>
      </c>
      <c r="Z247" s="16">
        <v>6.4899999999999999E-2</v>
      </c>
      <c r="AA247" s="16">
        <v>0.21829999999999999</v>
      </c>
      <c r="AB247" s="16">
        <v>0.16350000000000001</v>
      </c>
      <c r="AC247" s="16">
        <v>5.3999999999999999E-2</v>
      </c>
      <c r="AD247" s="16">
        <v>0.17299999999999999</v>
      </c>
      <c r="AE247" s="16">
        <v>0.20880000000000001</v>
      </c>
      <c r="AF247" s="16">
        <v>5.3999999999999999E-2</v>
      </c>
      <c r="AG247" s="16">
        <v>0.18590000000000001</v>
      </c>
      <c r="AH247" s="16">
        <v>0.22389999999999999</v>
      </c>
      <c r="AI247" s="16">
        <v>0.18049999999999999</v>
      </c>
      <c r="AJ247" s="16">
        <v>0.37940000000000002</v>
      </c>
      <c r="AK247" s="16">
        <v>0.59550000000000003</v>
      </c>
      <c r="AL247" s="16">
        <v>1.3508</v>
      </c>
      <c r="AM247" s="16">
        <v>3.7458999999999998</v>
      </c>
      <c r="AN247" s="16">
        <v>0.104</v>
      </c>
      <c r="AO247" s="16">
        <v>6.8900000000000003E-2</v>
      </c>
      <c r="AP247" s="16">
        <v>0.31280000000000002</v>
      </c>
      <c r="AQ247" s="16">
        <v>5.3999999999999999E-2</v>
      </c>
      <c r="AR247" s="16">
        <v>5.3999999999999999E-2</v>
      </c>
      <c r="AS247" s="16">
        <v>0.21829999999999999</v>
      </c>
      <c r="AT247" s="16">
        <v>0.16350000000000001</v>
      </c>
      <c r="AU247" s="16">
        <v>6.8900000000000003E-2</v>
      </c>
      <c r="AV247" s="16">
        <v>0.31280000000000002</v>
      </c>
      <c r="AW247" s="16">
        <v>5.3999999999999999E-2</v>
      </c>
      <c r="AX247" s="16">
        <v>0.32029999999999997</v>
      </c>
    </row>
    <row r="248" spans="1:50" x14ac:dyDescent="0.25">
      <c r="A248" s="8" t="s">
        <v>334</v>
      </c>
      <c r="B248" s="10" t="s">
        <v>57</v>
      </c>
      <c r="C248" s="16">
        <v>0.58819999999999995</v>
      </c>
      <c r="D248" s="16">
        <v>0.78129999999999999</v>
      </c>
      <c r="E248" s="16">
        <v>5.1999999999999998E-2</v>
      </c>
      <c r="F248" s="16">
        <v>5.1999999999999998E-2</v>
      </c>
      <c r="G248" s="16">
        <v>0.1484</v>
      </c>
      <c r="H248" s="16">
        <v>5.1999999999999998E-2</v>
      </c>
      <c r="I248" s="16">
        <v>0.1484</v>
      </c>
      <c r="J248" s="16">
        <v>5.1999999999999998E-2</v>
      </c>
      <c r="K248" s="16">
        <v>5.1999999999999998E-2</v>
      </c>
      <c r="L248" s="16">
        <v>0.1484</v>
      </c>
      <c r="M248" s="16">
        <v>5.1999999999999998E-2</v>
      </c>
      <c r="N248" s="16">
        <v>5.1999999999999998E-2</v>
      </c>
      <c r="O248" s="16">
        <v>0.1484</v>
      </c>
      <c r="P248" s="16">
        <v>5.1999999999999998E-2</v>
      </c>
      <c r="Q248" s="16">
        <v>5.1999999999999998E-2</v>
      </c>
      <c r="R248" s="16">
        <v>5.1999999999999998E-2</v>
      </c>
      <c r="S248" s="16">
        <v>0.1484</v>
      </c>
      <c r="T248" s="16">
        <v>5.1999999999999998E-2</v>
      </c>
      <c r="U248" s="16">
        <v>0.3881</v>
      </c>
      <c r="V248" s="16">
        <v>1.4103000000000001</v>
      </c>
      <c r="W248" s="16">
        <v>0.23119999999999999</v>
      </c>
      <c r="X248" s="16">
        <v>0.2278</v>
      </c>
      <c r="Y248" s="16">
        <v>0.33229999999999998</v>
      </c>
      <c r="Z248" s="16">
        <v>0.2387</v>
      </c>
      <c r="AA248" s="16">
        <v>0.32619999999999999</v>
      </c>
      <c r="AB248" s="16">
        <v>0.15040000000000001</v>
      </c>
      <c r="AC248" s="16">
        <v>5.6000000000000001E-2</v>
      </c>
      <c r="AD248" s="16">
        <v>0.60199999999999998</v>
      </c>
      <c r="AE248" s="16">
        <v>0.57030000000000003</v>
      </c>
      <c r="AF248" s="16">
        <v>0.36259999999999998</v>
      </c>
      <c r="AG248" s="16">
        <v>0.32150000000000001</v>
      </c>
      <c r="AH248" s="16">
        <v>2.5017999999999998</v>
      </c>
      <c r="AI248" s="16">
        <v>2.7719</v>
      </c>
      <c r="AJ248" s="16">
        <v>1.2218</v>
      </c>
      <c r="AK248" s="16">
        <v>0.30580000000000002</v>
      </c>
      <c r="AL248" s="16">
        <v>0.19309999999999999</v>
      </c>
      <c r="AM248" s="16">
        <v>0.2258</v>
      </c>
      <c r="AN248" s="16">
        <v>0.2999</v>
      </c>
      <c r="AO248" s="16">
        <v>0.25740000000000002</v>
      </c>
      <c r="AP248" s="16">
        <v>0.5837</v>
      </c>
      <c r="AQ248" s="16">
        <v>0.47260000000000002</v>
      </c>
      <c r="AR248" s="16">
        <v>0.60740000000000005</v>
      </c>
      <c r="AS248" s="16">
        <v>1.6151</v>
      </c>
      <c r="AT248" s="16">
        <v>0.59050000000000002</v>
      </c>
      <c r="AU248" s="16">
        <v>0.43869999999999998</v>
      </c>
      <c r="AV248" s="16">
        <v>0.63109999999999999</v>
      </c>
      <c r="AW248" s="16">
        <v>5.8900000000000001E-2</v>
      </c>
      <c r="AX248" s="16">
        <v>0.14149999999999999</v>
      </c>
    </row>
    <row r="249" spans="1:50" x14ac:dyDescent="0.25">
      <c r="A249" s="17" t="s">
        <v>617</v>
      </c>
      <c r="B249" s="13" t="s">
        <v>410</v>
      </c>
      <c r="C249" s="18">
        <v>0.3155</v>
      </c>
      <c r="D249" s="18">
        <v>9.3200000000000005E-2</v>
      </c>
      <c r="E249" s="18">
        <v>9.3200000000000005E-2</v>
      </c>
      <c r="F249" s="18">
        <v>0.24310000000000001</v>
      </c>
      <c r="G249" s="18">
        <v>0.14399999999999999</v>
      </c>
      <c r="H249" s="18">
        <v>0.27760000000000001</v>
      </c>
      <c r="I249" s="18">
        <v>0.1191</v>
      </c>
      <c r="J249" s="18">
        <v>0.14829999999999999</v>
      </c>
      <c r="K249" s="18">
        <v>0.14349999999999999</v>
      </c>
      <c r="L249" s="18">
        <v>0.20180000000000001</v>
      </c>
      <c r="M249" s="18">
        <v>0.23280000000000001</v>
      </c>
      <c r="N249" s="18">
        <v>0.1236</v>
      </c>
      <c r="O249" s="18">
        <v>0.1527</v>
      </c>
      <c r="P249" s="18">
        <v>0.15529999999999999</v>
      </c>
      <c r="Q249" s="18">
        <v>0.18579999999999999</v>
      </c>
      <c r="R249" s="18">
        <v>0.13059999999999999</v>
      </c>
      <c r="S249" s="18">
        <v>0.2011</v>
      </c>
      <c r="T249" s="18">
        <v>0.40100000000000002</v>
      </c>
      <c r="U249" s="18">
        <v>0.32969999999999999</v>
      </c>
      <c r="V249" s="18">
        <v>2.2031000000000001</v>
      </c>
      <c r="W249" s="18">
        <v>0.37030000000000002</v>
      </c>
      <c r="X249" s="18">
        <v>0.28670000000000001</v>
      </c>
      <c r="Y249" s="18">
        <v>0.33229999999999998</v>
      </c>
      <c r="Z249" s="18">
        <v>0.2205</v>
      </c>
      <c r="AA249" s="18">
        <v>0.2218</v>
      </c>
      <c r="AB249" s="18">
        <v>0.2238</v>
      </c>
      <c r="AC249" s="18">
        <v>0.36170000000000002</v>
      </c>
      <c r="AD249" s="18">
        <v>0.35639999999999999</v>
      </c>
      <c r="AE249" s="18">
        <v>0.25569999999999998</v>
      </c>
      <c r="AF249" s="18">
        <v>8.9399999999999993E-2</v>
      </c>
      <c r="AG249" s="18">
        <v>0.18260000000000001</v>
      </c>
      <c r="AH249" s="18">
        <v>6.3E-2</v>
      </c>
      <c r="AI249" s="18">
        <v>0.27329999999999999</v>
      </c>
      <c r="AJ249" s="18">
        <v>0.2908</v>
      </c>
      <c r="AK249" s="18">
        <v>0.2762</v>
      </c>
      <c r="AL249" s="18">
        <v>1.4792000000000001</v>
      </c>
      <c r="AM249" s="18">
        <v>0.65780000000000005</v>
      </c>
      <c r="AN249" s="18">
        <v>0.3024</v>
      </c>
      <c r="AO249" s="18">
        <v>0.43209999999999998</v>
      </c>
      <c r="AP249" s="18">
        <v>0.53149999999999997</v>
      </c>
      <c r="AQ249" s="18">
        <v>0.126</v>
      </c>
      <c r="AR249" s="18">
        <v>0.2291</v>
      </c>
      <c r="AS249" s="18">
        <v>0.51729999999999998</v>
      </c>
      <c r="AT249" s="18">
        <v>0.3206</v>
      </c>
      <c r="AU249" s="18">
        <v>0.57399999999999995</v>
      </c>
      <c r="AV249" s="18">
        <v>0.41360000000000002</v>
      </c>
      <c r="AW249" s="18">
        <v>0.41210000000000002</v>
      </c>
      <c r="AX249" s="18">
        <v>0.63319999999999999</v>
      </c>
    </row>
    <row r="250" spans="1:50" x14ac:dyDescent="0.25">
      <c r="A250" s="8" t="s">
        <v>336</v>
      </c>
      <c r="B250" s="10" t="s">
        <v>57</v>
      </c>
      <c r="C250" s="16">
        <v>3.5999999999999997E-2</v>
      </c>
      <c r="D250" s="16">
        <v>0.1527</v>
      </c>
      <c r="E250" s="16">
        <v>3.5999999999999997E-2</v>
      </c>
      <c r="F250" s="16">
        <v>3.5999999999999997E-2</v>
      </c>
      <c r="G250" s="16">
        <v>0.1118</v>
      </c>
      <c r="H250" s="16">
        <v>7.6799999999999993E-2</v>
      </c>
      <c r="I250" s="16">
        <v>4.7699999999999999E-2</v>
      </c>
      <c r="J250" s="16">
        <v>0.14099999999999999</v>
      </c>
      <c r="K250" s="16">
        <v>3.5999999999999997E-2</v>
      </c>
      <c r="L250" s="16">
        <v>0.1527</v>
      </c>
      <c r="M250" s="16">
        <v>3.5999999999999997E-2</v>
      </c>
      <c r="N250" s="16">
        <v>0.106</v>
      </c>
      <c r="O250" s="16">
        <v>8.2699999999999996E-2</v>
      </c>
      <c r="P250" s="16">
        <v>7.6799999999999993E-2</v>
      </c>
      <c r="Q250" s="16">
        <v>0.1118</v>
      </c>
      <c r="R250" s="16">
        <v>0.1956</v>
      </c>
      <c r="S250" s="16">
        <v>0.24729999999999999</v>
      </c>
      <c r="T250" s="16">
        <v>0.30149999999999999</v>
      </c>
      <c r="U250" s="16">
        <v>9.4799999999999995E-2</v>
      </c>
      <c r="V250" s="16">
        <v>0.1527</v>
      </c>
      <c r="W250" s="16">
        <v>3.5999999999999997E-2</v>
      </c>
      <c r="X250" s="16">
        <v>1.7484</v>
      </c>
      <c r="Y250" s="16">
        <v>0.21560000000000001</v>
      </c>
      <c r="Z250" s="16">
        <v>0.2823</v>
      </c>
      <c r="AA250" s="16">
        <v>0.25900000000000001</v>
      </c>
      <c r="AB250" s="16">
        <v>0.25829999999999997</v>
      </c>
      <c r="AC250" s="16">
        <v>0.35849999999999999</v>
      </c>
      <c r="AD250" s="16">
        <v>0.1774</v>
      </c>
      <c r="AE250" s="16">
        <v>0.28370000000000001</v>
      </c>
      <c r="AF250" s="16">
        <v>3.5999999999999997E-2</v>
      </c>
      <c r="AG250" s="16">
        <v>3.5999999999999997E-2</v>
      </c>
      <c r="AH250" s="16">
        <v>3.5999999999999997E-2</v>
      </c>
      <c r="AI250" s="16">
        <v>0.1527</v>
      </c>
      <c r="AJ250" s="16">
        <v>3.5999999999999997E-2</v>
      </c>
      <c r="AK250" s="16">
        <v>0.1875</v>
      </c>
      <c r="AL250" s="16">
        <v>6.8199999999999997E-2</v>
      </c>
      <c r="AM250" s="16">
        <v>0.20630000000000001</v>
      </c>
      <c r="AN250" s="16">
        <v>0.35770000000000002</v>
      </c>
      <c r="AO250" s="16">
        <v>0.26150000000000001</v>
      </c>
      <c r="AP250" s="16">
        <v>0.25309999999999999</v>
      </c>
      <c r="AQ250" s="16">
        <v>0.28549999999999998</v>
      </c>
      <c r="AR250" s="16">
        <v>0.36990000000000001</v>
      </c>
      <c r="AS250" s="16">
        <v>0.50270000000000004</v>
      </c>
      <c r="AT250" s="16">
        <v>0.61140000000000005</v>
      </c>
      <c r="AU250" s="16">
        <v>0.21629999999999999</v>
      </c>
      <c r="AV250" s="16">
        <v>0.1527</v>
      </c>
      <c r="AW250" s="16">
        <v>3.5999999999999997E-2</v>
      </c>
      <c r="AX250" s="16">
        <v>4.7699999999999999E-2</v>
      </c>
    </row>
    <row r="251" spans="1:50" x14ac:dyDescent="0.25">
      <c r="A251" s="8" t="s">
        <v>338</v>
      </c>
      <c r="B251" s="10" t="s">
        <v>57</v>
      </c>
      <c r="C251" s="16">
        <v>0.2092</v>
      </c>
      <c r="D251" s="16">
        <v>0.10340000000000001</v>
      </c>
      <c r="E251" s="16">
        <v>0.2223</v>
      </c>
      <c r="F251" s="16">
        <v>0.1031</v>
      </c>
      <c r="G251" s="16">
        <v>0.15390000000000001</v>
      </c>
      <c r="H251" s="16">
        <v>0.2165</v>
      </c>
      <c r="I251" s="16">
        <v>8.7400000000000005E-2</v>
      </c>
      <c r="J251" s="16">
        <v>0.1827</v>
      </c>
      <c r="K251" s="16">
        <v>5.2999999999999999E-2</v>
      </c>
      <c r="L251" s="16">
        <v>0.21149999999999999</v>
      </c>
      <c r="M251" s="16">
        <v>0.16439999999999999</v>
      </c>
      <c r="N251" s="16">
        <v>0.1323</v>
      </c>
      <c r="O251" s="16">
        <v>0.24360000000000001</v>
      </c>
      <c r="P251" s="16">
        <v>5.2999999999999999E-2</v>
      </c>
      <c r="Q251" s="16">
        <v>0.2021</v>
      </c>
      <c r="R251" s="16">
        <v>0.17380000000000001</v>
      </c>
      <c r="S251" s="16">
        <v>5.2999999999999999E-2</v>
      </c>
      <c r="T251" s="16">
        <v>0.4486</v>
      </c>
      <c r="U251" s="16">
        <v>0.16439999999999999</v>
      </c>
      <c r="V251" s="16">
        <v>0.125</v>
      </c>
      <c r="W251" s="16">
        <v>0.25080000000000002</v>
      </c>
      <c r="X251" s="16">
        <v>5.2999999999999999E-2</v>
      </c>
      <c r="Y251" s="16">
        <v>0.12540000000000001</v>
      </c>
      <c r="Z251" s="16">
        <v>0.2505</v>
      </c>
      <c r="AA251" s="16">
        <v>5.8599999999999999E-2</v>
      </c>
      <c r="AB251" s="16">
        <v>0.1588</v>
      </c>
      <c r="AC251" s="16">
        <v>0.1178</v>
      </c>
      <c r="AD251" s="16">
        <v>0.1467</v>
      </c>
      <c r="AE251" s="16">
        <v>5.2999999999999999E-2</v>
      </c>
      <c r="AF251" s="16">
        <v>0.29499999999999998</v>
      </c>
      <c r="AG251" s="16">
        <v>8.0799999999999997E-2</v>
      </c>
      <c r="AH251" s="16">
        <v>5.2999999999999999E-2</v>
      </c>
      <c r="AI251" s="16">
        <v>0.1258</v>
      </c>
      <c r="AJ251" s="16">
        <v>9.1999999999999998E-2</v>
      </c>
      <c r="AK251" s="16">
        <v>0.25840000000000002</v>
      </c>
      <c r="AL251" s="16">
        <v>0.11749999999999999</v>
      </c>
      <c r="AM251" s="16">
        <v>0.15029999999999999</v>
      </c>
      <c r="AN251" s="16">
        <v>0.22559999999999999</v>
      </c>
      <c r="AO251" s="16">
        <v>0.1177</v>
      </c>
      <c r="AP251" s="16">
        <v>0.20430000000000001</v>
      </c>
      <c r="AQ251" s="16">
        <v>0.1716</v>
      </c>
      <c r="AR251" s="16">
        <v>9.6199999999999994E-2</v>
      </c>
      <c r="AS251" s="16">
        <v>0.16830000000000001</v>
      </c>
      <c r="AT251" s="16">
        <v>5.2999999999999999E-2</v>
      </c>
      <c r="AU251" s="16">
        <v>0.23380000000000001</v>
      </c>
      <c r="AV251" s="16">
        <v>0.1421</v>
      </c>
      <c r="AW251" s="16">
        <v>0.1971</v>
      </c>
      <c r="AX251" s="16">
        <v>0.17879999999999999</v>
      </c>
    </row>
    <row r="252" spans="1:50" x14ac:dyDescent="0.25">
      <c r="A252" s="8" t="s">
        <v>340</v>
      </c>
      <c r="B252" s="10" t="s">
        <v>57</v>
      </c>
      <c r="C252" s="16">
        <v>0.13339999999999999</v>
      </c>
      <c r="D252" s="16">
        <v>5.4899999999999997E-2</v>
      </c>
      <c r="E252" s="16">
        <v>0.05</v>
      </c>
      <c r="F252" s="16">
        <v>0.05</v>
      </c>
      <c r="G252" s="16">
        <v>0.1384</v>
      </c>
      <c r="H252" s="16">
        <v>0.05</v>
      </c>
      <c r="I252" s="16">
        <v>0.1236</v>
      </c>
      <c r="J252" s="16">
        <v>6.4699999999999994E-2</v>
      </c>
      <c r="K252" s="16">
        <v>5.9799999999999999E-2</v>
      </c>
      <c r="L252" s="16">
        <v>0.1285</v>
      </c>
      <c r="M252" s="16">
        <v>0.05</v>
      </c>
      <c r="N252" s="16">
        <v>0.05</v>
      </c>
      <c r="O252" s="16">
        <v>0.1138</v>
      </c>
      <c r="P252" s="16">
        <v>7.4499999999999997E-2</v>
      </c>
      <c r="Q252" s="16">
        <v>7.9500000000000001E-2</v>
      </c>
      <c r="R252" s="16">
        <v>0.1089</v>
      </c>
      <c r="S252" s="16">
        <v>7.9500000000000001E-2</v>
      </c>
      <c r="T252" s="16">
        <v>0.1714</v>
      </c>
      <c r="U252" s="16">
        <v>0.1401</v>
      </c>
      <c r="V252" s="16">
        <v>1.1417999999999999</v>
      </c>
      <c r="W252" s="16">
        <v>0.1138</v>
      </c>
      <c r="X252" s="16">
        <v>0.05</v>
      </c>
      <c r="Y252" s="16">
        <v>0.1384</v>
      </c>
      <c r="Z252" s="16">
        <v>0.4884</v>
      </c>
      <c r="AA252" s="16">
        <v>0.1384</v>
      </c>
      <c r="AB252" s="16">
        <v>0.1273</v>
      </c>
      <c r="AC252" s="16">
        <v>0.1236</v>
      </c>
      <c r="AD252" s="16">
        <v>7.0800000000000002E-2</v>
      </c>
      <c r="AE252" s="16">
        <v>7.8799999999999995E-2</v>
      </c>
      <c r="AF252" s="16">
        <v>0.12570000000000001</v>
      </c>
      <c r="AG252" s="16">
        <v>0.1389</v>
      </c>
      <c r="AH252" s="16">
        <v>8.3699999999999997E-2</v>
      </c>
      <c r="AI252" s="16">
        <v>0.1208</v>
      </c>
      <c r="AJ252" s="16">
        <v>7.4099999999999999E-2</v>
      </c>
      <c r="AK252" s="16">
        <v>9.8400000000000001E-2</v>
      </c>
      <c r="AL252" s="16">
        <v>0.10059999999999999</v>
      </c>
      <c r="AM252" s="16">
        <v>0.2349</v>
      </c>
      <c r="AN252" s="16">
        <v>0.1106</v>
      </c>
      <c r="AO252" s="16">
        <v>0.14480000000000001</v>
      </c>
      <c r="AP252" s="16">
        <v>0.3548</v>
      </c>
      <c r="AQ252" s="16">
        <v>0.41860000000000003</v>
      </c>
      <c r="AR252" s="16">
        <v>0.38390000000000002</v>
      </c>
      <c r="AS252" s="16">
        <v>0.49220000000000003</v>
      </c>
      <c r="AT252" s="16">
        <v>0.56289999999999996</v>
      </c>
      <c r="AU252" s="16">
        <v>1.1592</v>
      </c>
      <c r="AV252" s="16">
        <v>0.74880000000000002</v>
      </c>
      <c r="AW252" s="16">
        <v>0.31709999999999999</v>
      </c>
      <c r="AX252" s="16">
        <v>0.05</v>
      </c>
    </row>
    <row r="253" spans="1:50" x14ac:dyDescent="0.25">
      <c r="A253" s="8" t="s">
        <v>342</v>
      </c>
      <c r="B253" s="10" t="s">
        <v>57</v>
      </c>
      <c r="C253" s="16">
        <v>0.27189999999999998</v>
      </c>
      <c r="D253" s="16">
        <v>5.1999999999999998E-2</v>
      </c>
      <c r="E253" s="16">
        <v>0.1792</v>
      </c>
      <c r="F253" s="16">
        <v>0.1198</v>
      </c>
      <c r="G253" s="16">
        <v>0.10150000000000001</v>
      </c>
      <c r="H253" s="16">
        <v>0.20749999999999999</v>
      </c>
      <c r="I253" s="16">
        <v>9.6500000000000002E-2</v>
      </c>
      <c r="J253" s="16">
        <v>0.1036</v>
      </c>
      <c r="K253" s="16">
        <v>0.20039999999999999</v>
      </c>
      <c r="L253" s="16">
        <v>5.1999999999999998E-2</v>
      </c>
      <c r="M253" s="16">
        <v>0.1842</v>
      </c>
      <c r="N253" s="16">
        <v>0.16439999999999999</v>
      </c>
      <c r="O253" s="16">
        <v>0.1227</v>
      </c>
      <c r="P253" s="16">
        <v>0.1368</v>
      </c>
      <c r="Q253" s="16">
        <v>5.1999999999999998E-2</v>
      </c>
      <c r="R253" s="16">
        <v>8.0299999999999996E-2</v>
      </c>
      <c r="S253" s="16">
        <v>0.1792</v>
      </c>
      <c r="T253" s="16">
        <v>5.1999999999999998E-2</v>
      </c>
      <c r="U253" s="16">
        <v>5.1999999999999998E-2</v>
      </c>
      <c r="V253" s="16">
        <v>0.14099999999999999</v>
      </c>
      <c r="W253" s="16">
        <v>0.33210000000000001</v>
      </c>
      <c r="X253" s="16">
        <v>1.3662000000000001</v>
      </c>
      <c r="Y253" s="16">
        <v>0.33389999999999997</v>
      </c>
      <c r="Z253" s="16">
        <v>0.1048</v>
      </c>
      <c r="AA253" s="16">
        <v>0.67359999999999998</v>
      </c>
      <c r="AB253" s="16">
        <v>1.2293000000000001</v>
      </c>
      <c r="AC253" s="16">
        <v>0.33639999999999998</v>
      </c>
      <c r="AD253" s="16">
        <v>0.3851</v>
      </c>
      <c r="AE253" s="16">
        <v>0.22700000000000001</v>
      </c>
      <c r="AF253" s="16">
        <v>0.4204</v>
      </c>
      <c r="AG253" s="16">
        <v>2.5257999999999998</v>
      </c>
      <c r="AH253" s="16">
        <v>1.3898999999999999</v>
      </c>
      <c r="AI253" s="16">
        <v>2.0773999999999999</v>
      </c>
      <c r="AJ253" s="16">
        <v>1.0046999999999999</v>
      </c>
      <c r="AK253" s="16">
        <v>0.79339999999999999</v>
      </c>
      <c r="AL253" s="16">
        <v>0.20749999999999999</v>
      </c>
      <c r="AM253" s="16">
        <v>5.1999999999999998E-2</v>
      </c>
      <c r="AN253" s="16">
        <v>0.14099999999999999</v>
      </c>
      <c r="AO253" s="16">
        <v>0.151</v>
      </c>
      <c r="AP253" s="16">
        <v>0.11840000000000001</v>
      </c>
      <c r="AQ253" s="16">
        <v>0.13109999999999999</v>
      </c>
      <c r="AR253" s="16">
        <v>0.1792</v>
      </c>
      <c r="AS253" s="16">
        <v>8.0299999999999996E-2</v>
      </c>
      <c r="AT253" s="16">
        <v>0.77239999999999998</v>
      </c>
      <c r="AU253" s="16">
        <v>0.29659999999999997</v>
      </c>
      <c r="AV253" s="16">
        <v>5.6899999999999999E-2</v>
      </c>
      <c r="AW253" s="16">
        <v>0.19259999999999999</v>
      </c>
      <c r="AX253" s="16">
        <v>0.151</v>
      </c>
    </row>
    <row r="254" spans="1:50" x14ac:dyDescent="0.25">
      <c r="A254" s="8" t="s">
        <v>344</v>
      </c>
      <c r="B254" s="10" t="s">
        <v>57</v>
      </c>
      <c r="C254" s="16">
        <v>0.1575</v>
      </c>
      <c r="D254" s="16">
        <v>4.9000000000000002E-2</v>
      </c>
      <c r="E254" s="16">
        <v>0.2248</v>
      </c>
      <c r="F254" s="16">
        <v>8.09E-2</v>
      </c>
      <c r="G254" s="16">
        <v>0.17369999999999999</v>
      </c>
      <c r="H254" s="16">
        <v>0.13200000000000001</v>
      </c>
      <c r="I254" s="16">
        <v>0.1162</v>
      </c>
      <c r="J254" s="16">
        <v>0.18940000000000001</v>
      </c>
      <c r="K254" s="16">
        <v>4.9000000000000002E-2</v>
      </c>
      <c r="L254" s="16">
        <v>4.9000000000000002E-2</v>
      </c>
      <c r="M254" s="16">
        <v>0.25669999999999998</v>
      </c>
      <c r="N254" s="16">
        <v>4.9000000000000002E-2</v>
      </c>
      <c r="O254" s="16">
        <v>0.1575</v>
      </c>
      <c r="P254" s="16">
        <v>0.26090000000000002</v>
      </c>
      <c r="Q254" s="16">
        <v>0.22900000000000001</v>
      </c>
      <c r="R254" s="16">
        <v>0.15629999999999999</v>
      </c>
      <c r="S254" s="16">
        <v>7.4099999999999999E-2</v>
      </c>
      <c r="T254" s="16">
        <v>0.224</v>
      </c>
      <c r="U254" s="16">
        <v>0.17100000000000001</v>
      </c>
      <c r="V254" s="16">
        <v>0.1371</v>
      </c>
      <c r="W254" s="16">
        <v>1.2343999999999999</v>
      </c>
      <c r="X254" s="16">
        <v>0.56330000000000002</v>
      </c>
      <c r="Y254" s="16">
        <v>0.154</v>
      </c>
      <c r="Z254" s="16">
        <v>0.317</v>
      </c>
      <c r="AA254" s="16">
        <v>0.33289999999999997</v>
      </c>
      <c r="AB254" s="16">
        <v>0.14630000000000001</v>
      </c>
      <c r="AC254" s="16">
        <v>0.2492</v>
      </c>
      <c r="AD254" s="16">
        <v>7.1400000000000005E-2</v>
      </c>
      <c r="AE254" s="16">
        <v>9.3799999999999994E-2</v>
      </c>
      <c r="AF254" s="16">
        <v>0.18940000000000001</v>
      </c>
      <c r="AG254" s="16">
        <v>0.1162</v>
      </c>
      <c r="AH254" s="16">
        <v>0.23</v>
      </c>
      <c r="AI254" s="16">
        <v>0.12790000000000001</v>
      </c>
      <c r="AJ254" s="16">
        <v>5.0999999999999997E-2</v>
      </c>
      <c r="AK254" s="16">
        <v>0.309</v>
      </c>
      <c r="AL254" s="16">
        <v>0.37109999999999999</v>
      </c>
      <c r="AM254" s="16">
        <v>0.30719999999999997</v>
      </c>
      <c r="AN254" s="16">
        <v>9.69E-2</v>
      </c>
      <c r="AO254" s="16">
        <v>0.17829999999999999</v>
      </c>
      <c r="AP254" s="16">
        <v>1.8633</v>
      </c>
      <c r="AQ254" s="16">
        <v>0.54220000000000002</v>
      </c>
      <c r="AR254" s="16">
        <v>0.23089999999999999</v>
      </c>
      <c r="AS254" s="16">
        <v>0.32950000000000002</v>
      </c>
      <c r="AT254" s="16">
        <v>0.28070000000000001</v>
      </c>
      <c r="AU254" s="16">
        <v>0.30659999999999998</v>
      </c>
      <c r="AV254" s="16">
        <v>0.42270000000000002</v>
      </c>
      <c r="AW254" s="16">
        <v>0.85709999999999997</v>
      </c>
      <c r="AX254" s="16">
        <v>0.74339999999999995</v>
      </c>
    </row>
    <row r="255" spans="1:50" x14ac:dyDescent="0.25">
      <c r="A255" s="8" t="s">
        <v>346</v>
      </c>
      <c r="B255" s="10" t="s">
        <v>57</v>
      </c>
      <c r="C255" s="16">
        <v>0.70850000000000002</v>
      </c>
      <c r="D255" s="16">
        <v>0.85609999999999997</v>
      </c>
      <c r="E255" s="16">
        <v>0.67910000000000004</v>
      </c>
      <c r="F255" s="16">
        <v>0.44450000000000001</v>
      </c>
      <c r="G255" s="16">
        <v>0.50470000000000004</v>
      </c>
      <c r="H255" s="16">
        <v>0.50460000000000005</v>
      </c>
      <c r="I255" s="16">
        <v>0.4546</v>
      </c>
      <c r="J255" s="16">
        <v>5.2999999999999999E-2</v>
      </c>
      <c r="K255" s="16">
        <v>0.10299999999999999</v>
      </c>
      <c r="L255" s="16">
        <v>0.37019999999999997</v>
      </c>
      <c r="M255" s="16">
        <v>7.0599999999999996E-2</v>
      </c>
      <c r="N255" s="16">
        <v>0.1462</v>
      </c>
      <c r="O255" s="16">
        <v>0.22059999999999999</v>
      </c>
      <c r="P255" s="16">
        <v>0.1419</v>
      </c>
      <c r="Q255" s="16">
        <v>0.24249999999999999</v>
      </c>
      <c r="R255" s="16">
        <v>7.7200000000000005E-2</v>
      </c>
      <c r="S255" s="16">
        <v>0.29859999999999998</v>
      </c>
      <c r="T255" s="16">
        <v>0.33239999999999997</v>
      </c>
      <c r="U255" s="16">
        <v>0.219</v>
      </c>
      <c r="V255" s="16">
        <v>0.2361</v>
      </c>
      <c r="W255" s="16">
        <v>1.31</v>
      </c>
      <c r="X255" s="16">
        <v>0.17630000000000001</v>
      </c>
      <c r="Y255" s="16">
        <v>1.1442000000000001</v>
      </c>
      <c r="Z255" s="16">
        <v>1.6591</v>
      </c>
      <c r="AA255" s="16">
        <v>2.9719000000000002</v>
      </c>
      <c r="AB255" s="16">
        <v>2.5165999999999999</v>
      </c>
      <c r="AC255" s="16">
        <v>0.38869999999999999</v>
      </c>
      <c r="AD255" s="16">
        <v>0.4531</v>
      </c>
      <c r="AE255" s="16">
        <v>1.1196999999999999</v>
      </c>
      <c r="AF255" s="16">
        <v>1.8655999999999999</v>
      </c>
      <c r="AG255" s="16">
        <v>0.70430000000000004</v>
      </c>
      <c r="AH255" s="16">
        <v>0.8619</v>
      </c>
      <c r="AI255" s="16">
        <v>0.4219</v>
      </c>
      <c r="AJ255" s="16">
        <v>0.121</v>
      </c>
      <c r="AK255" s="16">
        <v>0.33439999999999998</v>
      </c>
      <c r="AL255" s="16">
        <v>0.53500000000000003</v>
      </c>
      <c r="AM255" s="16">
        <v>0.28860000000000002</v>
      </c>
      <c r="AN255" s="16">
        <v>0.40539999999999998</v>
      </c>
      <c r="AO255" s="16">
        <v>1.8025</v>
      </c>
      <c r="AP255" s="16">
        <v>1.4287000000000001</v>
      </c>
      <c r="AQ255" s="16">
        <v>0.61829999999999996</v>
      </c>
      <c r="AR255" s="16">
        <v>0.93479999999999996</v>
      </c>
      <c r="AS255" s="16">
        <v>0.74339999999999995</v>
      </c>
      <c r="AT255" s="16">
        <v>1.0702</v>
      </c>
      <c r="AU255" s="16">
        <v>1.0687</v>
      </c>
      <c r="AV255" s="16">
        <v>1.0088999999999999</v>
      </c>
      <c r="AW255" s="16">
        <v>0.92589999999999995</v>
      </c>
      <c r="AX255" s="16">
        <v>0.93220000000000003</v>
      </c>
    </row>
    <row r="256" spans="1:50" x14ac:dyDescent="0.25">
      <c r="A256" s="8" t="s">
        <v>348</v>
      </c>
      <c r="B256" s="10" t="s">
        <v>57</v>
      </c>
      <c r="C256" s="16">
        <v>0.2114</v>
      </c>
      <c r="D256" s="16">
        <v>5.6000000000000001E-2</v>
      </c>
      <c r="E256" s="16">
        <v>5.6000000000000001E-2</v>
      </c>
      <c r="F256" s="16">
        <v>5.6000000000000001E-2</v>
      </c>
      <c r="G256" s="16">
        <v>0.2114</v>
      </c>
      <c r="H256" s="16">
        <v>5.6000000000000001E-2</v>
      </c>
      <c r="I256" s="16">
        <v>0.18310000000000001</v>
      </c>
      <c r="J256" s="16">
        <v>8.4199999999999997E-2</v>
      </c>
      <c r="K256" s="16">
        <v>0.1196</v>
      </c>
      <c r="L256" s="16">
        <v>0.14779999999999999</v>
      </c>
      <c r="M256" s="16">
        <v>5.6000000000000001E-2</v>
      </c>
      <c r="N256" s="16">
        <v>0.19020000000000001</v>
      </c>
      <c r="O256" s="16">
        <v>7.7200000000000005E-2</v>
      </c>
      <c r="P256" s="16">
        <v>6.3100000000000003E-2</v>
      </c>
      <c r="Q256" s="16">
        <v>0.20430000000000001</v>
      </c>
      <c r="R256" s="16">
        <v>5.6000000000000001E-2</v>
      </c>
      <c r="S256" s="16">
        <v>5.6000000000000001E-2</v>
      </c>
      <c r="T256" s="16">
        <v>0.24829999999999999</v>
      </c>
      <c r="U256" s="16">
        <v>0.09</v>
      </c>
      <c r="V256" s="16">
        <v>0.1205</v>
      </c>
      <c r="W256" s="16">
        <v>0.17150000000000001</v>
      </c>
      <c r="X256" s="16">
        <v>0.91300000000000003</v>
      </c>
      <c r="Y256" s="16">
        <v>2.4546000000000001</v>
      </c>
      <c r="Z256" s="16">
        <v>1.5886</v>
      </c>
      <c r="AA256" s="16">
        <v>0.40079999999999999</v>
      </c>
      <c r="AB256" s="16">
        <v>0.69940000000000002</v>
      </c>
      <c r="AC256" s="16">
        <v>2.5670999999999999</v>
      </c>
      <c r="AD256" s="16">
        <v>2.2610000000000001</v>
      </c>
      <c r="AE256" s="16">
        <v>0.1196</v>
      </c>
      <c r="AF256" s="16">
        <v>0.1837</v>
      </c>
      <c r="AG256" s="16">
        <v>0.23519999999999999</v>
      </c>
      <c r="AH256" s="16">
        <v>0.70489999999999997</v>
      </c>
      <c r="AI256" s="16">
        <v>0.31159999999999999</v>
      </c>
      <c r="AJ256" s="16">
        <v>0.33739999999999998</v>
      </c>
      <c r="AK256" s="16">
        <v>0.39269999999999999</v>
      </c>
      <c r="AL256" s="16">
        <v>0.26400000000000001</v>
      </c>
      <c r="AM256" s="16">
        <v>0.2114</v>
      </c>
      <c r="AN256" s="16">
        <v>0.37390000000000001</v>
      </c>
      <c r="AO256" s="16">
        <v>0.48709999999999998</v>
      </c>
      <c r="AP256" s="16">
        <v>0.34439999999999998</v>
      </c>
      <c r="AQ256" s="16">
        <v>5.6000000000000001E-2</v>
      </c>
      <c r="AR256" s="16">
        <v>0.2114</v>
      </c>
      <c r="AS256" s="16">
        <v>0.26140000000000002</v>
      </c>
      <c r="AT256" s="16">
        <v>0.2122</v>
      </c>
      <c r="AU256" s="16">
        <v>0.19719999999999999</v>
      </c>
      <c r="AV256" s="16">
        <v>7.0099999999999996E-2</v>
      </c>
      <c r="AW256" s="16">
        <v>5.6000000000000001E-2</v>
      </c>
      <c r="AX256" s="16">
        <v>7.7200000000000005E-2</v>
      </c>
    </row>
    <row r="257" spans="1:50" x14ac:dyDescent="0.25">
      <c r="A257" s="8" t="s">
        <v>350</v>
      </c>
      <c r="B257" s="10" t="s">
        <v>57</v>
      </c>
      <c r="C257" s="16">
        <v>5.1999999999999998E-2</v>
      </c>
      <c r="D257" s="16">
        <v>5.1999999999999998E-2</v>
      </c>
      <c r="E257" s="16">
        <v>5.1999999999999998E-2</v>
      </c>
      <c r="F257" s="16">
        <v>5.1999999999999998E-2</v>
      </c>
      <c r="G257" s="16">
        <v>5.1999999999999998E-2</v>
      </c>
      <c r="H257" s="16">
        <v>5.1999999999999998E-2</v>
      </c>
      <c r="I257" s="16">
        <v>5.1999999999999998E-2</v>
      </c>
      <c r="J257" s="16">
        <v>5.1999999999999998E-2</v>
      </c>
      <c r="K257" s="16">
        <v>5.1999999999999998E-2</v>
      </c>
      <c r="L257" s="16">
        <v>5.1999999999999998E-2</v>
      </c>
      <c r="M257" s="16">
        <v>5.1999999999999998E-2</v>
      </c>
      <c r="N257" s="16">
        <v>5.1999999999999998E-2</v>
      </c>
      <c r="O257" s="16">
        <v>5.1999999999999998E-2</v>
      </c>
      <c r="P257" s="16">
        <v>5.1999999999999998E-2</v>
      </c>
      <c r="Q257" s="16">
        <v>5.1999999999999998E-2</v>
      </c>
      <c r="R257" s="16">
        <v>5.1999999999999998E-2</v>
      </c>
      <c r="S257" s="16">
        <v>5.1999999999999998E-2</v>
      </c>
      <c r="T257" s="16">
        <v>5.1999999999999998E-2</v>
      </c>
      <c r="U257" s="16">
        <v>5.1999999999999998E-2</v>
      </c>
      <c r="V257" s="16">
        <v>5.1999999999999998E-2</v>
      </c>
      <c r="W257" s="16">
        <v>5.1999999999999998E-2</v>
      </c>
      <c r="X257" s="16">
        <v>5.1999999999999998E-2</v>
      </c>
      <c r="Y257" s="16">
        <v>5.1999999999999998E-2</v>
      </c>
      <c r="Z257" s="16">
        <v>5.1999999999999998E-2</v>
      </c>
      <c r="AA257" s="16">
        <v>5.1999999999999998E-2</v>
      </c>
      <c r="AB257" s="16">
        <v>5.1999999999999998E-2</v>
      </c>
      <c r="AC257" s="16">
        <v>5.1999999999999998E-2</v>
      </c>
      <c r="AD257" s="16">
        <v>5.1999999999999998E-2</v>
      </c>
      <c r="AE257" s="16">
        <v>5.1999999999999998E-2</v>
      </c>
      <c r="AF257" s="16">
        <v>5.1999999999999998E-2</v>
      </c>
      <c r="AG257" s="16">
        <v>5.1999999999999998E-2</v>
      </c>
      <c r="AH257" s="16">
        <v>5.1999999999999998E-2</v>
      </c>
      <c r="AI257" s="16">
        <v>5.1999999999999998E-2</v>
      </c>
      <c r="AJ257" s="16">
        <v>5.1999999999999998E-2</v>
      </c>
      <c r="AK257" s="16">
        <v>5.1999999999999998E-2</v>
      </c>
      <c r="AL257" s="16">
        <v>5.1999999999999998E-2</v>
      </c>
      <c r="AM257" s="16">
        <v>5.1999999999999998E-2</v>
      </c>
      <c r="AN257" s="16">
        <v>5.1999999999999998E-2</v>
      </c>
      <c r="AO257" s="16">
        <v>5.1999999999999998E-2</v>
      </c>
      <c r="AP257" s="16">
        <v>5.1999999999999998E-2</v>
      </c>
      <c r="AQ257" s="16">
        <v>5.1999999999999998E-2</v>
      </c>
      <c r="AR257" s="16">
        <v>5.1999999999999998E-2</v>
      </c>
      <c r="AS257" s="16">
        <v>5.1999999999999998E-2</v>
      </c>
      <c r="AT257" s="16">
        <v>0.222</v>
      </c>
      <c r="AU257" s="16">
        <v>0.42649999999999999</v>
      </c>
      <c r="AV257" s="16">
        <v>0.56059999999999999</v>
      </c>
      <c r="AW257" s="16">
        <v>0.51600000000000001</v>
      </c>
      <c r="AX257" s="16">
        <v>0.1593</v>
      </c>
    </row>
    <row r="258" spans="1:50" x14ac:dyDescent="0.25">
      <c r="A258" s="17" t="s">
        <v>619</v>
      </c>
      <c r="B258" s="13" t="s">
        <v>410</v>
      </c>
      <c r="C258" s="18">
        <v>4.2000000000000003E-2</v>
      </c>
      <c r="D258" s="18">
        <v>0.115</v>
      </c>
      <c r="E258" s="18">
        <v>4.2000000000000003E-2</v>
      </c>
      <c r="F258" s="18">
        <v>4.2000000000000003E-2</v>
      </c>
      <c r="G258" s="18">
        <v>4.2000000000000003E-2</v>
      </c>
      <c r="H258" s="18">
        <v>0.1109</v>
      </c>
      <c r="I258" s="18">
        <v>4.6100000000000002E-2</v>
      </c>
      <c r="J258" s="18">
        <v>4.2000000000000003E-2</v>
      </c>
      <c r="K258" s="18">
        <v>4.2000000000000003E-2</v>
      </c>
      <c r="L258" s="18">
        <v>4.2000000000000003E-2</v>
      </c>
      <c r="M258" s="18">
        <v>0.1109</v>
      </c>
      <c r="N258" s="18">
        <v>4.6100000000000002E-2</v>
      </c>
      <c r="O258" s="18">
        <v>4.2000000000000003E-2</v>
      </c>
      <c r="P258" s="18">
        <v>4.2000000000000003E-2</v>
      </c>
      <c r="Q258" s="18">
        <v>9.4700000000000006E-2</v>
      </c>
      <c r="R258" s="18">
        <v>0.10199999999999999</v>
      </c>
      <c r="S258" s="18">
        <v>4.2000000000000003E-2</v>
      </c>
      <c r="T258" s="18">
        <v>4.2000000000000003E-2</v>
      </c>
      <c r="U258" s="18">
        <v>4.2000000000000003E-2</v>
      </c>
      <c r="V258" s="18">
        <v>0.24460000000000001</v>
      </c>
      <c r="W258" s="18">
        <v>4.2000000000000003E-2</v>
      </c>
      <c r="X258" s="18">
        <v>9.4700000000000006E-2</v>
      </c>
      <c r="Y258" s="18">
        <v>6.2300000000000001E-2</v>
      </c>
      <c r="Z258" s="18">
        <v>4.2000000000000003E-2</v>
      </c>
      <c r="AA258" s="18">
        <v>4.2000000000000003E-2</v>
      </c>
      <c r="AB258" s="18">
        <v>0.115</v>
      </c>
      <c r="AC258" s="18">
        <v>4.2000000000000003E-2</v>
      </c>
      <c r="AD258" s="18">
        <v>4.2000000000000003E-2</v>
      </c>
      <c r="AE258" s="18">
        <v>0.115</v>
      </c>
      <c r="AF258" s="18">
        <v>4.2000000000000003E-2</v>
      </c>
      <c r="AG258" s="18">
        <v>0.1353</v>
      </c>
      <c r="AH258" s="18">
        <v>8.2500000000000004E-2</v>
      </c>
      <c r="AI258" s="18">
        <v>0.14460000000000001</v>
      </c>
      <c r="AJ258" s="18">
        <v>0.18640000000000001</v>
      </c>
      <c r="AK258" s="18">
        <v>4.2000000000000003E-2</v>
      </c>
      <c r="AL258" s="18">
        <v>7.5300000000000006E-2</v>
      </c>
      <c r="AM258" s="18">
        <v>0.13669999999999999</v>
      </c>
      <c r="AN258" s="18">
        <v>1.3270999999999999</v>
      </c>
      <c r="AO258" s="18">
        <v>4.2000000000000003E-2</v>
      </c>
      <c r="AP258" s="18">
        <v>4.2000000000000003E-2</v>
      </c>
      <c r="AQ258" s="18">
        <v>0.115</v>
      </c>
      <c r="AR258" s="18">
        <v>4.2000000000000003E-2</v>
      </c>
      <c r="AS258" s="18">
        <v>0.115</v>
      </c>
      <c r="AT258" s="18">
        <v>4.2000000000000003E-2</v>
      </c>
      <c r="AU258" s="18">
        <v>4.6100000000000002E-2</v>
      </c>
      <c r="AV258" s="18">
        <v>0.1109</v>
      </c>
      <c r="AW258" s="18">
        <v>7.0400000000000004E-2</v>
      </c>
      <c r="AX258" s="18">
        <v>8.6599999999999996E-2</v>
      </c>
    </row>
    <row r="259" spans="1:50" x14ac:dyDescent="0.25">
      <c r="A259" s="8" t="s">
        <v>352</v>
      </c>
      <c r="B259" s="10" t="s">
        <v>57</v>
      </c>
      <c r="C259" s="16">
        <v>5.3999999999999999E-2</v>
      </c>
      <c r="D259" s="16">
        <v>0.11749999999999999</v>
      </c>
      <c r="E259" s="16">
        <v>5.3999999999999999E-2</v>
      </c>
      <c r="F259" s="16">
        <v>6.8099999999999994E-2</v>
      </c>
      <c r="G259" s="16">
        <v>0.2404</v>
      </c>
      <c r="H259" s="16">
        <v>0.1336</v>
      </c>
      <c r="I259" s="16">
        <v>0.115</v>
      </c>
      <c r="J259" s="16">
        <v>0.2167</v>
      </c>
      <c r="K259" s="16">
        <v>5.3999999999999999E-2</v>
      </c>
      <c r="L259" s="16">
        <v>0.30590000000000001</v>
      </c>
      <c r="M259" s="16">
        <v>5.3999999999999999E-2</v>
      </c>
      <c r="N259" s="16">
        <v>0.10340000000000001</v>
      </c>
      <c r="O259" s="16">
        <v>0.12809999999999999</v>
      </c>
      <c r="P259" s="16">
        <v>0.1825</v>
      </c>
      <c r="Q259" s="16">
        <v>5.3999999999999999E-2</v>
      </c>
      <c r="R259" s="16">
        <v>5.3999999999999999E-2</v>
      </c>
      <c r="S259" s="16">
        <v>0.2082</v>
      </c>
      <c r="T259" s="16">
        <v>0.1482</v>
      </c>
      <c r="U259" s="16">
        <v>5.7500000000000002E-2</v>
      </c>
      <c r="V259" s="16">
        <v>0.2424</v>
      </c>
      <c r="W259" s="16">
        <v>0.11749999999999999</v>
      </c>
      <c r="X259" s="16">
        <v>5.3999999999999999E-2</v>
      </c>
      <c r="Y259" s="16">
        <v>0.2424</v>
      </c>
      <c r="Z259" s="16">
        <v>7.5200000000000003E-2</v>
      </c>
      <c r="AA259" s="16">
        <v>9.6299999999999997E-2</v>
      </c>
      <c r="AB259" s="16">
        <v>7.1599999999999997E-2</v>
      </c>
      <c r="AC259" s="16">
        <v>1.1937</v>
      </c>
      <c r="AD259" s="16">
        <v>6.4899999999999999E-2</v>
      </c>
      <c r="AE259" s="16">
        <v>0.2298</v>
      </c>
      <c r="AF259" s="16">
        <v>0.21199999999999999</v>
      </c>
      <c r="AG259" s="16">
        <v>0.36809999999999998</v>
      </c>
      <c r="AH259" s="16">
        <v>0.99309999999999998</v>
      </c>
      <c r="AI259" s="16">
        <v>0.48699999999999999</v>
      </c>
      <c r="AJ259" s="16">
        <v>0.40450000000000003</v>
      </c>
      <c r="AK259" s="16">
        <v>0.32540000000000002</v>
      </c>
      <c r="AL259" s="16">
        <v>0.43049999999999999</v>
      </c>
      <c r="AM259" s="16">
        <v>0.1996</v>
      </c>
      <c r="AN259" s="16">
        <v>0.38269999999999998</v>
      </c>
      <c r="AO259" s="16">
        <v>0.2238</v>
      </c>
      <c r="AP259" s="16">
        <v>0.32790000000000002</v>
      </c>
      <c r="AQ259" s="16">
        <v>2.0188000000000001</v>
      </c>
      <c r="AR259" s="16">
        <v>1.5906</v>
      </c>
      <c r="AS259" s="16">
        <v>0.90169999999999995</v>
      </c>
      <c r="AT259" s="16">
        <v>0.58199999999999996</v>
      </c>
      <c r="AU259" s="16">
        <v>5.3999999999999999E-2</v>
      </c>
      <c r="AV259" s="16">
        <v>0.2031</v>
      </c>
      <c r="AW259" s="16">
        <v>0.15679999999999999</v>
      </c>
      <c r="AX259" s="16">
        <v>6.1100000000000002E-2</v>
      </c>
    </row>
    <row r="260" spans="1:50" x14ac:dyDescent="0.25">
      <c r="A260" s="8" t="s">
        <v>354</v>
      </c>
      <c r="B260" s="10" t="s">
        <v>57</v>
      </c>
      <c r="C260" s="16">
        <v>4.8000000000000001E-2</v>
      </c>
      <c r="D260" s="16">
        <v>0.22720000000000001</v>
      </c>
      <c r="E260" s="16">
        <v>4.8000000000000001E-2</v>
      </c>
      <c r="F260" s="16">
        <v>4.8000000000000001E-2</v>
      </c>
      <c r="G260" s="16">
        <v>0.22720000000000001</v>
      </c>
      <c r="H260" s="16">
        <v>4.8000000000000001E-2</v>
      </c>
      <c r="I260" s="16">
        <v>0.15390000000000001</v>
      </c>
      <c r="J260" s="16">
        <v>0.12130000000000001</v>
      </c>
      <c r="K260" s="16">
        <v>4.8000000000000001E-2</v>
      </c>
      <c r="L260" s="16">
        <v>0.22720000000000001</v>
      </c>
      <c r="M260" s="16">
        <v>4.8000000000000001E-2</v>
      </c>
      <c r="N260" s="16">
        <v>0.22720000000000001</v>
      </c>
      <c r="O260" s="16">
        <v>4.8000000000000001E-2</v>
      </c>
      <c r="P260" s="16">
        <v>9.69E-2</v>
      </c>
      <c r="Q260" s="16">
        <v>0.17829999999999999</v>
      </c>
      <c r="R260" s="16">
        <v>4.8000000000000001E-2</v>
      </c>
      <c r="S260" s="16">
        <v>4.8000000000000001E-2</v>
      </c>
      <c r="T260" s="16">
        <v>4.8000000000000001E-2</v>
      </c>
      <c r="U260" s="16">
        <v>0.22720000000000001</v>
      </c>
      <c r="V260" s="16">
        <v>4.8000000000000001E-2</v>
      </c>
      <c r="W260" s="16">
        <v>1.0212000000000001</v>
      </c>
      <c r="X260" s="16">
        <v>9.69E-2</v>
      </c>
      <c r="Y260" s="16">
        <v>6.4299999999999996E-2</v>
      </c>
      <c r="Z260" s="16">
        <v>0.2109</v>
      </c>
      <c r="AA260" s="16">
        <v>4.8000000000000001E-2</v>
      </c>
      <c r="AB260" s="16">
        <v>0.22720000000000001</v>
      </c>
      <c r="AC260" s="16">
        <v>4.8000000000000001E-2</v>
      </c>
      <c r="AD260" s="16">
        <v>4.8000000000000001E-2</v>
      </c>
      <c r="AE260" s="16">
        <v>0.32769999999999999</v>
      </c>
      <c r="AF260" s="16">
        <v>0.1973</v>
      </c>
      <c r="AG260" s="16">
        <v>0.15090000000000001</v>
      </c>
      <c r="AH260" s="16">
        <v>0.2424</v>
      </c>
      <c r="AI260" s="16">
        <v>6.4199999999999993E-2</v>
      </c>
      <c r="AJ260" s="16">
        <v>8.5099999999999995E-2</v>
      </c>
      <c r="AK260" s="16">
        <v>0.2787</v>
      </c>
      <c r="AL260" s="16">
        <v>0.30380000000000001</v>
      </c>
      <c r="AM260" s="16">
        <v>5.8400000000000001E-2</v>
      </c>
      <c r="AN260" s="16">
        <v>0.1454</v>
      </c>
      <c r="AO260" s="16">
        <v>6.4299999999999996E-2</v>
      </c>
      <c r="AP260" s="16">
        <v>0.27160000000000001</v>
      </c>
      <c r="AQ260" s="16">
        <v>8.0199999999999994E-2</v>
      </c>
      <c r="AR260" s="16">
        <v>0.28849999999999998</v>
      </c>
      <c r="AS260" s="16">
        <v>0.249</v>
      </c>
      <c r="AT260" s="16">
        <v>0.43390000000000001</v>
      </c>
      <c r="AU260" s="16">
        <v>1.4475</v>
      </c>
      <c r="AV260" s="16">
        <v>0.59289999999999998</v>
      </c>
      <c r="AW260" s="16">
        <v>0.2233</v>
      </c>
      <c r="AX260" s="16">
        <v>0.16200000000000001</v>
      </c>
    </row>
    <row r="261" spans="1:50" x14ac:dyDescent="0.25">
      <c r="A261" s="17" t="s">
        <v>621</v>
      </c>
      <c r="B261" s="13" t="s">
        <v>410</v>
      </c>
      <c r="C261" s="18">
        <v>0.1547</v>
      </c>
      <c r="D261" s="18">
        <v>0.18329999999999999</v>
      </c>
      <c r="E261" s="18">
        <v>5.6000000000000001E-2</v>
      </c>
      <c r="F261" s="18">
        <v>5.6000000000000001E-2</v>
      </c>
      <c r="G261" s="18">
        <v>0.25900000000000001</v>
      </c>
      <c r="H261" s="18">
        <v>7.9000000000000001E-2</v>
      </c>
      <c r="I261" s="18">
        <v>7.0300000000000001E-2</v>
      </c>
      <c r="J261" s="18">
        <v>0.26769999999999999</v>
      </c>
      <c r="K261" s="18">
        <v>5.6000000000000001E-2</v>
      </c>
      <c r="L261" s="18">
        <v>5.6000000000000001E-2</v>
      </c>
      <c r="M261" s="18">
        <v>5.6000000000000001E-2</v>
      </c>
      <c r="N261" s="18">
        <v>0.26769999999999999</v>
      </c>
      <c r="O261" s="18">
        <v>7.0300000000000001E-2</v>
      </c>
      <c r="P261" s="18">
        <v>0.1608</v>
      </c>
      <c r="Q261" s="18">
        <v>0.1772</v>
      </c>
      <c r="R261" s="18">
        <v>0.1192</v>
      </c>
      <c r="S261" s="18">
        <v>0.40610000000000002</v>
      </c>
      <c r="T261" s="18">
        <v>1.6454</v>
      </c>
      <c r="U261" s="18">
        <v>2.7618999999999998</v>
      </c>
      <c r="V261" s="18">
        <v>1.0943000000000001</v>
      </c>
      <c r="W261" s="18">
        <v>5.6000000000000001E-2</v>
      </c>
      <c r="X261" s="18">
        <v>0.2205</v>
      </c>
      <c r="Y261" s="18">
        <v>0.1174</v>
      </c>
      <c r="Z261" s="18">
        <v>0.19689999999999999</v>
      </c>
      <c r="AA261" s="18">
        <v>1.6702999999999999</v>
      </c>
      <c r="AB261" s="18">
        <v>1.1758999999999999</v>
      </c>
      <c r="AC261" s="18">
        <v>0.25950000000000001</v>
      </c>
      <c r="AD261" s="18">
        <v>0.38700000000000001</v>
      </c>
      <c r="AE261" s="18">
        <v>0.14069999999999999</v>
      </c>
      <c r="AF261" s="18">
        <v>0.1158</v>
      </c>
      <c r="AG261" s="18">
        <v>0.22600000000000001</v>
      </c>
      <c r="AH261" s="18">
        <v>0.67079999999999995</v>
      </c>
      <c r="AI261" s="18">
        <v>1.8758999999999999</v>
      </c>
      <c r="AJ261" s="18">
        <v>0.66279999999999994</v>
      </c>
      <c r="AK261" s="18">
        <v>0.4027</v>
      </c>
      <c r="AL261" s="18">
        <v>0.3906</v>
      </c>
      <c r="AM261" s="18">
        <v>0.21929999999999999</v>
      </c>
      <c r="AN261" s="18">
        <v>0.33439999999999998</v>
      </c>
      <c r="AO261" s="18">
        <v>0.3735</v>
      </c>
      <c r="AP261" s="18">
        <v>0.62670000000000003</v>
      </c>
      <c r="AQ261" s="18">
        <v>0.72399999999999998</v>
      </c>
      <c r="AR261" s="18">
        <v>0.63590000000000002</v>
      </c>
      <c r="AS261" s="18">
        <v>0.50239999999999996</v>
      </c>
      <c r="AT261" s="18">
        <v>0.4874</v>
      </c>
      <c r="AU261" s="18">
        <v>0.36299999999999999</v>
      </c>
      <c r="AV261" s="18">
        <v>0.94210000000000005</v>
      </c>
      <c r="AW261" s="18">
        <v>0.41820000000000002</v>
      </c>
      <c r="AX261" s="18">
        <v>0.2079</v>
      </c>
    </row>
    <row r="262" spans="1:50" x14ac:dyDescent="0.25">
      <c r="A262" s="8" t="s">
        <v>356</v>
      </c>
      <c r="B262" s="10" t="s">
        <v>57</v>
      </c>
      <c r="C262" s="16">
        <v>0.21379999999999999</v>
      </c>
      <c r="D262" s="16">
        <v>4.5999999999999999E-2</v>
      </c>
      <c r="E262" s="16">
        <v>0.18329999999999999</v>
      </c>
      <c r="F262" s="16">
        <v>7.6499999999999999E-2</v>
      </c>
      <c r="G262" s="16">
        <v>0.11459999999999999</v>
      </c>
      <c r="H262" s="16">
        <v>0.14510000000000001</v>
      </c>
      <c r="I262" s="16">
        <v>4.5999999999999999E-2</v>
      </c>
      <c r="J262" s="16">
        <v>0.21379999999999999</v>
      </c>
      <c r="K262" s="16">
        <v>4.5999999999999999E-2</v>
      </c>
      <c r="L262" s="16">
        <v>0.16039999999999999</v>
      </c>
      <c r="M262" s="16">
        <v>9.9400000000000002E-2</v>
      </c>
      <c r="N262" s="16">
        <v>4.5999999999999999E-2</v>
      </c>
      <c r="O262" s="16">
        <v>4.5999999999999999E-2</v>
      </c>
      <c r="P262" s="16">
        <v>0.13750000000000001</v>
      </c>
      <c r="Q262" s="16">
        <v>0.26069999999999999</v>
      </c>
      <c r="R262" s="16">
        <v>7.0699999999999999E-2</v>
      </c>
      <c r="S262" s="16">
        <v>0.21679999999999999</v>
      </c>
      <c r="T262" s="16">
        <v>0.38150000000000001</v>
      </c>
      <c r="U262" s="16">
        <v>0.11459999999999999</v>
      </c>
      <c r="V262" s="16">
        <v>2.0722999999999998</v>
      </c>
      <c r="W262" s="16">
        <v>0.6099</v>
      </c>
      <c r="X262" s="16">
        <v>0.20300000000000001</v>
      </c>
      <c r="Y262" s="16">
        <v>8.6099999999999996E-2</v>
      </c>
      <c r="Z262" s="16">
        <v>0.13750000000000001</v>
      </c>
      <c r="AA262" s="16">
        <v>0.12230000000000001</v>
      </c>
      <c r="AB262" s="16">
        <v>4.5999999999999999E-2</v>
      </c>
      <c r="AC262" s="16">
        <v>0.19089999999999999</v>
      </c>
      <c r="AD262" s="16">
        <v>1.1295999999999999</v>
      </c>
      <c r="AE262" s="16">
        <v>0.20669999999999999</v>
      </c>
      <c r="AF262" s="16">
        <v>0.32790000000000002</v>
      </c>
      <c r="AG262" s="16">
        <v>0.1079</v>
      </c>
      <c r="AH262" s="16">
        <v>0.1487</v>
      </c>
      <c r="AI262" s="16">
        <v>0.376</v>
      </c>
      <c r="AJ262" s="16">
        <v>0.29659999999999997</v>
      </c>
      <c r="AK262" s="16">
        <v>0.30599999999999999</v>
      </c>
      <c r="AL262" s="16">
        <v>0.1231</v>
      </c>
      <c r="AM262" s="16">
        <v>0.1236</v>
      </c>
      <c r="AN262" s="16">
        <v>4.5999999999999999E-2</v>
      </c>
      <c r="AO262" s="16">
        <v>4.5999999999999999E-2</v>
      </c>
      <c r="AP262" s="16">
        <v>4.5999999999999999E-2</v>
      </c>
      <c r="AQ262" s="16">
        <v>0.21379999999999999</v>
      </c>
      <c r="AR262" s="16">
        <v>4.5999999999999999E-2</v>
      </c>
      <c r="AS262" s="16">
        <v>0.14510000000000001</v>
      </c>
      <c r="AT262" s="16">
        <v>0.11459999999999999</v>
      </c>
      <c r="AU262" s="16">
        <v>4.5999999999999999E-2</v>
      </c>
      <c r="AV262" s="16">
        <v>4.5999999999999999E-2</v>
      </c>
      <c r="AW262" s="16">
        <v>0.19239999999999999</v>
      </c>
      <c r="AX262" s="16">
        <v>0.72519999999999996</v>
      </c>
    </row>
    <row r="263" spans="1:50" x14ac:dyDescent="0.25">
      <c r="A263" s="17" t="s">
        <v>623</v>
      </c>
      <c r="B263" s="13" t="s">
        <v>410</v>
      </c>
      <c r="C263" s="18">
        <v>0.71940000000000004</v>
      </c>
      <c r="D263" s="18">
        <v>0.50780000000000003</v>
      </c>
      <c r="E263" s="18">
        <v>0.50590000000000002</v>
      </c>
      <c r="F263" s="18">
        <v>0.48309999999999997</v>
      </c>
      <c r="G263" s="18">
        <v>0.1434</v>
      </c>
      <c r="H263" s="18">
        <v>0.15540000000000001</v>
      </c>
      <c r="I263" s="18">
        <v>0.1978</v>
      </c>
      <c r="J263" s="18">
        <v>0.15870000000000001</v>
      </c>
      <c r="K263" s="18">
        <v>0.15570000000000001</v>
      </c>
      <c r="L263" s="18">
        <v>0.159</v>
      </c>
      <c r="M263" s="18">
        <v>0.14849999999999999</v>
      </c>
      <c r="N263" s="18">
        <v>0.23580000000000001</v>
      </c>
      <c r="O263" s="18">
        <v>5.8000000000000003E-2</v>
      </c>
      <c r="P263" s="18">
        <v>7.1900000000000006E-2</v>
      </c>
      <c r="Q263" s="18">
        <v>0.36099999999999999</v>
      </c>
      <c r="R263" s="18">
        <v>5.8000000000000003E-2</v>
      </c>
      <c r="S263" s="18">
        <v>0.1951</v>
      </c>
      <c r="T263" s="18">
        <v>0.18920000000000001</v>
      </c>
      <c r="U263" s="18">
        <v>0.21809999999999999</v>
      </c>
      <c r="V263" s="18">
        <v>0.6069</v>
      </c>
      <c r="W263" s="18">
        <v>0.63039999999999996</v>
      </c>
      <c r="X263" s="18">
        <v>0.1464</v>
      </c>
      <c r="Y263" s="18">
        <v>0.28799999999999998</v>
      </c>
      <c r="Z263" s="18">
        <v>0.29430000000000001</v>
      </c>
      <c r="AA263" s="18">
        <v>0.35489999999999999</v>
      </c>
      <c r="AB263" s="18">
        <v>0.1837</v>
      </c>
      <c r="AC263" s="18">
        <v>0.19109999999999999</v>
      </c>
      <c r="AD263" s="18">
        <v>0.15790000000000001</v>
      </c>
      <c r="AE263" s="18">
        <v>0.29909999999999998</v>
      </c>
      <c r="AF263" s="18">
        <v>3.0261</v>
      </c>
      <c r="AG263" s="18">
        <v>2.9470999999999998</v>
      </c>
      <c r="AH263" s="18">
        <v>0.58789999999999998</v>
      </c>
      <c r="AI263" s="18">
        <v>0.2437</v>
      </c>
      <c r="AJ263" s="18">
        <v>0.34860000000000002</v>
      </c>
      <c r="AK263" s="18">
        <v>0.106</v>
      </c>
      <c r="AL263" s="18">
        <v>0.24410000000000001</v>
      </c>
      <c r="AM263" s="18">
        <v>0.1431</v>
      </c>
      <c r="AN263" s="18">
        <v>2.0566</v>
      </c>
      <c r="AO263" s="18">
        <v>1.7342</v>
      </c>
      <c r="AP263" s="18">
        <v>0.68269999999999997</v>
      </c>
      <c r="AQ263" s="18">
        <v>0.59819999999999995</v>
      </c>
      <c r="AR263" s="18">
        <v>0.91910000000000003</v>
      </c>
      <c r="AS263" s="18">
        <v>0.73750000000000004</v>
      </c>
      <c r="AT263" s="18">
        <v>0.64370000000000005</v>
      </c>
      <c r="AU263" s="18">
        <v>0.73499999999999999</v>
      </c>
      <c r="AV263" s="18">
        <v>0.7823</v>
      </c>
      <c r="AW263" s="18">
        <v>0.3306</v>
      </c>
      <c r="AX263" s="18">
        <v>0.2056</v>
      </c>
    </row>
    <row r="264" spans="1:50" x14ac:dyDescent="0.25">
      <c r="A264" s="8" t="s">
        <v>358</v>
      </c>
      <c r="B264" s="10" t="s">
        <v>57</v>
      </c>
      <c r="C264" s="16">
        <v>0.86</v>
      </c>
      <c r="D264" s="16">
        <v>0.63929999999999998</v>
      </c>
      <c r="E264" s="16">
        <v>0.3871</v>
      </c>
      <c r="F264" s="16">
        <v>0.19189999999999999</v>
      </c>
      <c r="G264" s="16">
        <v>0.17949999999999999</v>
      </c>
      <c r="H264" s="16">
        <v>6.3799999999999996E-2</v>
      </c>
      <c r="I264" s="16">
        <v>0.18870000000000001</v>
      </c>
      <c r="J264" s="16">
        <v>9.8299999999999998E-2</v>
      </c>
      <c r="K264" s="16">
        <v>0.27960000000000002</v>
      </c>
      <c r="L264" s="16">
        <v>4.7E-2</v>
      </c>
      <c r="M264" s="16">
        <v>0.1336</v>
      </c>
      <c r="N264" s="16">
        <v>0.24429999999999999</v>
      </c>
      <c r="O264" s="16">
        <v>7.9100000000000004E-2</v>
      </c>
      <c r="P264" s="16">
        <v>0.1923</v>
      </c>
      <c r="Q264" s="16">
        <v>0.16619999999999999</v>
      </c>
      <c r="R264" s="16">
        <v>0.14330000000000001</v>
      </c>
      <c r="S264" s="16">
        <v>0.2218</v>
      </c>
      <c r="T264" s="16">
        <v>0.19350000000000001</v>
      </c>
      <c r="U264" s="16">
        <v>0.2036</v>
      </c>
      <c r="V264" s="16">
        <v>0.2104</v>
      </c>
      <c r="W264" s="16">
        <v>0.12790000000000001</v>
      </c>
      <c r="X264" s="16">
        <v>0.21859999999999999</v>
      </c>
      <c r="Y264" s="16">
        <v>0.17050000000000001</v>
      </c>
      <c r="Z264" s="16">
        <v>5.0700000000000002E-2</v>
      </c>
      <c r="AA264" s="16">
        <v>0.30869999999999997</v>
      </c>
      <c r="AB264" s="16">
        <v>0.25540000000000002</v>
      </c>
      <c r="AC264" s="16">
        <v>0.2389</v>
      </c>
      <c r="AD264" s="16">
        <v>0.50849999999999995</v>
      </c>
      <c r="AE264" s="16">
        <v>0.13830000000000001</v>
      </c>
      <c r="AF264" s="16">
        <v>6.3100000000000003E-2</v>
      </c>
      <c r="AG264" s="16">
        <v>0.18759999999999999</v>
      </c>
      <c r="AH264" s="16">
        <v>0.1389</v>
      </c>
      <c r="AI264" s="16">
        <v>9.8400000000000001E-2</v>
      </c>
      <c r="AJ264" s="16">
        <v>5.8400000000000001E-2</v>
      </c>
      <c r="AK264" s="16">
        <v>0.29780000000000001</v>
      </c>
      <c r="AL264" s="16">
        <v>0.15559999999999999</v>
      </c>
      <c r="AM264" s="16">
        <v>0.41610000000000003</v>
      </c>
      <c r="AN264" s="16">
        <v>0.25019999999999998</v>
      </c>
      <c r="AO264" s="16">
        <v>0.29599999999999999</v>
      </c>
      <c r="AP264" s="16">
        <v>0.49880000000000002</v>
      </c>
      <c r="AQ264" s="16">
        <v>0.45779999999999998</v>
      </c>
      <c r="AR264" s="16">
        <v>0.53720000000000001</v>
      </c>
      <c r="AS264" s="16">
        <v>0.60219999999999996</v>
      </c>
      <c r="AT264" s="16">
        <v>0.46479999999999999</v>
      </c>
      <c r="AU264" s="16">
        <v>5.9900000000000002E-2</v>
      </c>
      <c r="AV264" s="16">
        <v>0.1108</v>
      </c>
      <c r="AW264" s="16">
        <v>0.26700000000000002</v>
      </c>
      <c r="AX264" s="16">
        <v>6.3100000000000003E-2</v>
      </c>
    </row>
    <row r="265" spans="1:50" x14ac:dyDescent="0.25">
      <c r="A265" s="8" t="s">
        <v>360</v>
      </c>
      <c r="B265" s="10" t="s">
        <v>57</v>
      </c>
      <c r="C265" s="16">
        <v>5.2999999999999999E-2</v>
      </c>
      <c r="D265" s="16">
        <v>0.12089999999999999</v>
      </c>
      <c r="E265" s="16">
        <v>5.2999999999999999E-2</v>
      </c>
      <c r="F265" s="16">
        <v>8.3199999999999996E-2</v>
      </c>
      <c r="G265" s="16">
        <v>9.0700000000000003E-2</v>
      </c>
      <c r="H265" s="16">
        <v>5.2999999999999999E-2</v>
      </c>
      <c r="I265" s="16">
        <v>0.12089999999999999</v>
      </c>
      <c r="J265" s="16">
        <v>5.2999999999999999E-2</v>
      </c>
      <c r="K265" s="16">
        <v>5.2999999999999999E-2</v>
      </c>
      <c r="L265" s="16">
        <v>9.0700000000000003E-2</v>
      </c>
      <c r="M265" s="16">
        <v>8.3199999999999996E-2</v>
      </c>
      <c r="N265" s="16">
        <v>0.16969999999999999</v>
      </c>
      <c r="O265" s="16">
        <v>0.33400000000000002</v>
      </c>
      <c r="P265" s="16">
        <v>0.12089999999999999</v>
      </c>
      <c r="Q265" s="16">
        <v>5.2999999999999999E-2</v>
      </c>
      <c r="R265" s="16">
        <v>8.6900000000000005E-2</v>
      </c>
      <c r="S265" s="16">
        <v>0.2702</v>
      </c>
      <c r="T265" s="16">
        <v>0.26050000000000001</v>
      </c>
      <c r="U265" s="16">
        <v>0.42159999999999997</v>
      </c>
      <c r="V265" s="16">
        <v>0.25040000000000001</v>
      </c>
      <c r="W265" s="16">
        <v>0.32929999999999998</v>
      </c>
      <c r="X265" s="16">
        <v>6.4299999999999996E-2</v>
      </c>
      <c r="Y265" s="16">
        <v>6.8099999999999994E-2</v>
      </c>
      <c r="Z265" s="16">
        <v>0.10580000000000001</v>
      </c>
      <c r="AA265" s="16">
        <v>0.33339999999999997</v>
      </c>
      <c r="AB265" s="16">
        <v>8.3199999999999996E-2</v>
      </c>
      <c r="AC265" s="16">
        <v>5.2999999999999999E-2</v>
      </c>
      <c r="AD265" s="16">
        <v>0.12089999999999999</v>
      </c>
      <c r="AE265" s="16">
        <v>6.4299999999999996E-2</v>
      </c>
      <c r="AF265" s="16">
        <v>0.1096</v>
      </c>
      <c r="AG265" s="16">
        <v>7.5600000000000001E-2</v>
      </c>
      <c r="AH265" s="16">
        <v>9.8299999999999998E-2</v>
      </c>
      <c r="AI265" s="16">
        <v>5.2999999999999999E-2</v>
      </c>
      <c r="AJ265" s="16">
        <v>5.2999999999999999E-2</v>
      </c>
      <c r="AK265" s="16">
        <v>9.4500000000000001E-2</v>
      </c>
      <c r="AL265" s="16">
        <v>7.9399999999999998E-2</v>
      </c>
      <c r="AM265" s="16">
        <v>0.155</v>
      </c>
      <c r="AN265" s="16">
        <v>0.35220000000000001</v>
      </c>
      <c r="AO265" s="16">
        <v>8.3299999999999999E-2</v>
      </c>
      <c r="AP265" s="16">
        <v>0.45379999999999998</v>
      </c>
      <c r="AQ265" s="16">
        <v>0.78059999999999996</v>
      </c>
      <c r="AR265" s="16">
        <v>0.71689999999999998</v>
      </c>
      <c r="AS265" s="16">
        <v>0.51739999999999997</v>
      </c>
      <c r="AT265" s="16">
        <v>0.61870000000000003</v>
      </c>
      <c r="AU265" s="16">
        <v>0.81850000000000001</v>
      </c>
      <c r="AV265" s="16">
        <v>0.73729999999999996</v>
      </c>
      <c r="AW265" s="16">
        <v>0.70220000000000005</v>
      </c>
      <c r="AX265" s="16">
        <v>0.32140000000000002</v>
      </c>
    </row>
    <row r="266" spans="1:50" x14ac:dyDescent="0.25">
      <c r="A266" s="8" t="s">
        <v>362</v>
      </c>
      <c r="B266" s="10" t="s">
        <v>57</v>
      </c>
      <c r="C266" s="16">
        <v>0.55210000000000004</v>
      </c>
      <c r="D266" s="16">
        <v>0.28149999999999997</v>
      </c>
      <c r="E266" s="16">
        <v>0.15909999999999999</v>
      </c>
      <c r="F266" s="16">
        <v>6.4699999999999994E-2</v>
      </c>
      <c r="G266" s="16">
        <v>0.20630000000000001</v>
      </c>
      <c r="H266" s="16">
        <v>4.9000000000000002E-2</v>
      </c>
      <c r="I266" s="16">
        <v>4.9000000000000002E-2</v>
      </c>
      <c r="J266" s="16">
        <v>0.222</v>
      </c>
      <c r="K266" s="16">
        <v>4.9000000000000002E-2</v>
      </c>
      <c r="L266" s="16">
        <v>0.1512</v>
      </c>
      <c r="M266" s="16">
        <v>0.1198</v>
      </c>
      <c r="N266" s="16">
        <v>4.9000000000000002E-2</v>
      </c>
      <c r="O266" s="16">
        <v>0.2142</v>
      </c>
      <c r="P266" s="16">
        <v>5.6899999999999999E-2</v>
      </c>
      <c r="Q266" s="16">
        <v>0.1038</v>
      </c>
      <c r="R266" s="16">
        <v>0.35510000000000003</v>
      </c>
      <c r="S266" s="16">
        <v>0.14180000000000001</v>
      </c>
      <c r="T266" s="16">
        <v>0.187</v>
      </c>
      <c r="U266" s="16">
        <v>0.1041</v>
      </c>
      <c r="V266" s="16">
        <v>0.1041</v>
      </c>
      <c r="W266" s="16">
        <v>0.16700000000000001</v>
      </c>
      <c r="X266" s="16">
        <v>5.4800000000000001E-2</v>
      </c>
      <c r="Y266" s="16">
        <v>0.25090000000000001</v>
      </c>
      <c r="Z266" s="16">
        <v>0.1215</v>
      </c>
      <c r="AA266" s="16">
        <v>0.17530000000000001</v>
      </c>
      <c r="AB266" s="16">
        <v>0.30809999999999998</v>
      </c>
      <c r="AC266" s="16">
        <v>0.19489999999999999</v>
      </c>
      <c r="AD266" s="16">
        <v>0.52390000000000003</v>
      </c>
      <c r="AE266" s="16">
        <v>0.39650000000000002</v>
      </c>
      <c r="AF266" s="16">
        <v>0.19550000000000001</v>
      </c>
      <c r="AG266" s="16">
        <v>0.37419999999999998</v>
      </c>
      <c r="AH266" s="16">
        <v>0.4365</v>
      </c>
      <c r="AI266" s="16">
        <v>0.40610000000000002</v>
      </c>
      <c r="AJ266" s="16">
        <v>0.3488</v>
      </c>
      <c r="AK266" s="16">
        <v>0.3947</v>
      </c>
      <c r="AL266" s="16">
        <v>0.25979999999999998</v>
      </c>
      <c r="AM266" s="16">
        <v>0.31290000000000001</v>
      </c>
      <c r="AN266" s="16">
        <v>0.37159999999999999</v>
      </c>
      <c r="AO266" s="16">
        <v>1.528</v>
      </c>
      <c r="AP266" s="16">
        <v>1.2817000000000001</v>
      </c>
      <c r="AQ266" s="16">
        <v>0.7127</v>
      </c>
      <c r="AR266" s="16">
        <v>0.51180000000000003</v>
      </c>
      <c r="AS266" s="16">
        <v>0.75919999999999999</v>
      </c>
      <c r="AT266" s="16">
        <v>0.45750000000000002</v>
      </c>
      <c r="AU266" s="16">
        <v>0.53310000000000002</v>
      </c>
      <c r="AV266" s="16">
        <v>0.64339999999999997</v>
      </c>
      <c r="AW266" s="16">
        <v>0.67769999999999997</v>
      </c>
      <c r="AX266" s="16">
        <v>0.77690000000000003</v>
      </c>
    </row>
    <row r="267" spans="1:50" x14ac:dyDescent="0.25">
      <c r="A267" s="17" t="s">
        <v>625</v>
      </c>
      <c r="B267" s="13" t="s">
        <v>410</v>
      </c>
      <c r="C267" s="18">
        <v>5.8000000000000003E-2</v>
      </c>
      <c r="D267" s="18">
        <v>5.8000000000000003E-2</v>
      </c>
      <c r="E267" s="18">
        <v>0.16070000000000001</v>
      </c>
      <c r="F267" s="18">
        <v>0.10589999999999999</v>
      </c>
      <c r="G267" s="18">
        <v>9.2200000000000004E-2</v>
      </c>
      <c r="H267" s="18">
        <v>0.1744</v>
      </c>
      <c r="I267" s="18">
        <v>5.8000000000000003E-2</v>
      </c>
      <c r="J267" s="18">
        <v>0.20180000000000001</v>
      </c>
      <c r="K267" s="18">
        <v>6.4799999999999996E-2</v>
      </c>
      <c r="L267" s="18">
        <v>0.14699999999999999</v>
      </c>
      <c r="M267" s="18">
        <v>0.1196</v>
      </c>
      <c r="N267" s="18">
        <v>5.8000000000000003E-2</v>
      </c>
      <c r="O267" s="18">
        <v>0.1333</v>
      </c>
      <c r="P267" s="18">
        <v>0.1333</v>
      </c>
      <c r="Q267" s="18">
        <v>5.8000000000000003E-2</v>
      </c>
      <c r="R267" s="18">
        <v>0.1744</v>
      </c>
      <c r="S267" s="18">
        <v>9.2200000000000004E-2</v>
      </c>
      <c r="T267" s="18">
        <v>5.8000000000000003E-2</v>
      </c>
      <c r="U267" s="18">
        <v>0.2087</v>
      </c>
      <c r="V267" s="18">
        <v>0.21129999999999999</v>
      </c>
      <c r="W267" s="18">
        <v>0.36680000000000001</v>
      </c>
      <c r="X267" s="18">
        <v>0.42780000000000001</v>
      </c>
      <c r="Y267" s="18">
        <v>0.4249</v>
      </c>
      <c r="Z267" s="18">
        <v>4.2309999999999999</v>
      </c>
      <c r="AA267" s="18">
        <v>3.2231999999999998</v>
      </c>
      <c r="AB267" s="18">
        <v>0.65939999999999999</v>
      </c>
      <c r="AC267" s="18">
        <v>0.33350000000000002</v>
      </c>
      <c r="AD267" s="18">
        <v>0.88849999999999996</v>
      </c>
      <c r="AE267" s="18">
        <v>0.93440000000000001</v>
      </c>
      <c r="AF267" s="18">
        <v>0.37530000000000002</v>
      </c>
      <c r="AG267" s="18">
        <v>0.35589999999999999</v>
      </c>
      <c r="AH267" s="18">
        <v>0.82940000000000003</v>
      </c>
      <c r="AI267" s="18">
        <v>0.2697</v>
      </c>
      <c r="AJ267" s="18">
        <v>0.28670000000000001</v>
      </c>
      <c r="AK267" s="18">
        <v>0.3644</v>
      </c>
      <c r="AL267" s="18">
        <v>0.23430000000000001</v>
      </c>
      <c r="AM267" s="18">
        <v>0.38600000000000001</v>
      </c>
      <c r="AN267" s="18">
        <v>0.45369999999999999</v>
      </c>
      <c r="AO267" s="18">
        <v>0.14019999999999999</v>
      </c>
      <c r="AP267" s="18">
        <v>5.8000000000000003E-2</v>
      </c>
      <c r="AQ267" s="18">
        <v>0.16070000000000001</v>
      </c>
      <c r="AR267" s="18">
        <v>0.10589999999999999</v>
      </c>
      <c r="AS267" s="18">
        <v>1.0091000000000001</v>
      </c>
      <c r="AT267" s="18">
        <v>1.0617000000000001</v>
      </c>
      <c r="AU267" s="18">
        <v>5.8000000000000003E-2</v>
      </c>
      <c r="AV267" s="18">
        <v>0.18809999999999999</v>
      </c>
      <c r="AW267" s="18">
        <v>7.85E-2</v>
      </c>
      <c r="AX267" s="18">
        <v>5.8000000000000003E-2</v>
      </c>
    </row>
    <row r="268" spans="1:50" x14ac:dyDescent="0.25">
      <c r="A268" s="8" t="s">
        <v>364</v>
      </c>
      <c r="B268" s="10" t="s">
        <v>57</v>
      </c>
      <c r="C268" s="16">
        <v>4.9000000000000002E-2</v>
      </c>
      <c r="D268" s="16">
        <v>4.9000000000000002E-2</v>
      </c>
      <c r="E268" s="16">
        <v>0.1479</v>
      </c>
      <c r="F268" s="16">
        <v>7.3700000000000002E-2</v>
      </c>
      <c r="G268" s="16">
        <v>4.9000000000000002E-2</v>
      </c>
      <c r="H268" s="16">
        <v>4.9000000000000002E-2</v>
      </c>
      <c r="I268" s="16">
        <v>0.1726</v>
      </c>
      <c r="J268" s="16">
        <v>4.9000000000000002E-2</v>
      </c>
      <c r="K268" s="16">
        <v>4.9000000000000002E-2</v>
      </c>
      <c r="L268" s="16">
        <v>0.15409999999999999</v>
      </c>
      <c r="M268" s="16">
        <v>6.7500000000000004E-2</v>
      </c>
      <c r="N268" s="16">
        <v>4.9000000000000002E-2</v>
      </c>
      <c r="O268" s="16">
        <v>0.1726</v>
      </c>
      <c r="P268" s="16">
        <v>4.9000000000000002E-2</v>
      </c>
      <c r="Q268" s="16">
        <v>4.9000000000000002E-2</v>
      </c>
      <c r="R268" s="16">
        <v>5.9499999999999997E-2</v>
      </c>
      <c r="S268" s="16">
        <v>1.3601000000000001</v>
      </c>
      <c r="T268" s="16">
        <v>0.91600000000000004</v>
      </c>
      <c r="U268" s="16">
        <v>1.1712</v>
      </c>
      <c r="V268" s="16">
        <v>4.9000000000000002E-2</v>
      </c>
      <c r="W268" s="16">
        <v>0.1726</v>
      </c>
      <c r="X268" s="16">
        <v>4.9000000000000002E-2</v>
      </c>
      <c r="Y268" s="16">
        <v>0.1479</v>
      </c>
      <c r="Z268" s="16">
        <v>7.3700000000000002E-2</v>
      </c>
      <c r="AA268" s="16">
        <v>4.9000000000000002E-2</v>
      </c>
      <c r="AB268" s="16">
        <v>9.2299999999999993E-2</v>
      </c>
      <c r="AC268" s="16">
        <v>0.1293</v>
      </c>
      <c r="AD268" s="16">
        <v>9.2299999999999993E-2</v>
      </c>
      <c r="AE268" s="16">
        <v>0.1293</v>
      </c>
      <c r="AF268" s="16">
        <v>5.7000000000000002E-2</v>
      </c>
      <c r="AG268" s="16">
        <v>0.312</v>
      </c>
      <c r="AH268" s="16">
        <v>1.8827</v>
      </c>
      <c r="AI268" s="16">
        <v>2.6091000000000002</v>
      </c>
      <c r="AJ268" s="16">
        <v>2.8746999999999998</v>
      </c>
      <c r="AK268" s="16">
        <v>0.39439999999999997</v>
      </c>
      <c r="AL268" s="16">
        <v>0.1003</v>
      </c>
      <c r="AM268" s="16">
        <v>0.36059999999999998</v>
      </c>
      <c r="AN268" s="16">
        <v>4.9000000000000002E-2</v>
      </c>
      <c r="AO268" s="16">
        <v>4.9000000000000002E-2</v>
      </c>
      <c r="AP268" s="16">
        <v>0.16020000000000001</v>
      </c>
      <c r="AQ268" s="16">
        <v>6.1400000000000003E-2</v>
      </c>
      <c r="AR268" s="16">
        <v>5.5199999999999999E-2</v>
      </c>
      <c r="AS268" s="16">
        <v>0.16639999999999999</v>
      </c>
      <c r="AT268" s="16">
        <v>5.5199999999999999E-2</v>
      </c>
      <c r="AU268" s="16">
        <v>0.16639999999999999</v>
      </c>
      <c r="AV268" s="16">
        <v>4.9000000000000002E-2</v>
      </c>
      <c r="AW268" s="16">
        <v>4.9000000000000002E-2</v>
      </c>
      <c r="AX268" s="16">
        <v>6.7500000000000004E-2</v>
      </c>
    </row>
    <row r="269" spans="1:50" x14ac:dyDescent="0.25">
      <c r="A269" s="17" t="s">
        <v>627</v>
      </c>
      <c r="B269" s="13" t="s">
        <v>410</v>
      </c>
      <c r="C269" s="18">
        <v>0.05</v>
      </c>
      <c r="D269" s="18">
        <v>0.1212</v>
      </c>
      <c r="E269" s="18">
        <v>0.10349999999999999</v>
      </c>
      <c r="F269" s="18">
        <v>8.5599999999999996E-2</v>
      </c>
      <c r="G269" s="18">
        <v>8.5599999999999996E-2</v>
      </c>
      <c r="H269" s="18">
        <v>0.05</v>
      </c>
      <c r="I269" s="18">
        <v>0.1212</v>
      </c>
      <c r="J269" s="18">
        <v>5.79E-2</v>
      </c>
      <c r="K269" s="18">
        <v>0.1133</v>
      </c>
      <c r="L269" s="18">
        <v>6.5799999999999997E-2</v>
      </c>
      <c r="M269" s="18">
        <v>0.10539999999999999</v>
      </c>
      <c r="N269" s="18">
        <v>0.05</v>
      </c>
      <c r="O269" s="18">
        <v>0.1212</v>
      </c>
      <c r="P269" s="18">
        <v>0.05</v>
      </c>
      <c r="Q269" s="18">
        <v>0.1212</v>
      </c>
      <c r="R269" s="18">
        <v>0.05</v>
      </c>
      <c r="S269" s="18">
        <v>1.39</v>
      </c>
      <c r="T269" s="18">
        <v>1.9818</v>
      </c>
      <c r="U269" s="18">
        <v>9.2899999999999996E-2</v>
      </c>
      <c r="V269" s="18">
        <v>7.7399999999999997E-2</v>
      </c>
      <c r="W269" s="18">
        <v>0.17069999999999999</v>
      </c>
      <c r="X269" s="18">
        <v>0.2122</v>
      </c>
      <c r="Y269" s="18">
        <v>9.6799999999999997E-2</v>
      </c>
      <c r="Z269" s="18">
        <v>0.05</v>
      </c>
      <c r="AA269" s="18">
        <v>8.9599999999999999E-2</v>
      </c>
      <c r="AB269" s="18">
        <v>8.1699999999999995E-2</v>
      </c>
      <c r="AC269" s="18">
        <v>0.24579999999999999</v>
      </c>
      <c r="AD269" s="18">
        <v>0.1391</v>
      </c>
      <c r="AE269" s="18">
        <v>0.1542</v>
      </c>
      <c r="AF269" s="18">
        <v>0.1648</v>
      </c>
      <c r="AG269" s="18">
        <v>0.1973</v>
      </c>
      <c r="AH269" s="18">
        <v>0.19819999999999999</v>
      </c>
      <c r="AI269" s="18">
        <v>7.1599999999999997E-2</v>
      </c>
      <c r="AJ269" s="18">
        <v>7.5999999999999998E-2</v>
      </c>
      <c r="AK269" s="18">
        <v>5.5100000000000003E-2</v>
      </c>
      <c r="AL269" s="18">
        <v>0.17069999999999999</v>
      </c>
      <c r="AM269" s="18">
        <v>0.1268</v>
      </c>
      <c r="AN269" s="18">
        <v>0.157</v>
      </c>
      <c r="AO269" s="18">
        <v>0.34649999999999997</v>
      </c>
      <c r="AP269" s="18">
        <v>0.16769999999999999</v>
      </c>
      <c r="AQ269" s="18">
        <v>0.1565</v>
      </c>
      <c r="AR269" s="18">
        <v>0.31</v>
      </c>
      <c r="AS269" s="18">
        <v>0.38300000000000001</v>
      </c>
      <c r="AT269" s="18">
        <v>0.46260000000000001</v>
      </c>
      <c r="AU269" s="18">
        <v>0.3291</v>
      </c>
      <c r="AV269" s="18">
        <v>0.1124</v>
      </c>
      <c r="AW269" s="18">
        <v>0.1212</v>
      </c>
      <c r="AX269" s="18">
        <v>5.79E-2</v>
      </c>
    </row>
    <row r="270" spans="1:50" x14ac:dyDescent="0.25">
      <c r="A270" s="17" t="s">
        <v>629</v>
      </c>
      <c r="B270" s="13" t="s">
        <v>410</v>
      </c>
      <c r="C270" s="18">
        <v>0.2349</v>
      </c>
      <c r="D270" s="18">
        <v>0.20269999999999999</v>
      </c>
      <c r="E270" s="18">
        <v>9.9699999999999997E-2</v>
      </c>
      <c r="F270" s="18">
        <v>0.2026</v>
      </c>
      <c r="G270" s="18">
        <v>0.2707</v>
      </c>
      <c r="H270" s="18">
        <v>0.24809999999999999</v>
      </c>
      <c r="I270" s="18">
        <v>6.2100000000000002E-2</v>
      </c>
      <c r="J270" s="18">
        <v>0.32750000000000001</v>
      </c>
      <c r="K270" s="18">
        <v>0.16520000000000001</v>
      </c>
      <c r="L270" s="18">
        <v>0.2447</v>
      </c>
      <c r="M270" s="18">
        <v>0.15490000000000001</v>
      </c>
      <c r="N270" s="18">
        <v>0.21820000000000001</v>
      </c>
      <c r="O270" s="18">
        <v>0.1106</v>
      </c>
      <c r="P270" s="18">
        <v>0.1517</v>
      </c>
      <c r="Q270" s="18">
        <v>0.28599999999999998</v>
      </c>
      <c r="R270" s="18">
        <v>0.1171</v>
      </c>
      <c r="S270" s="18">
        <v>0.93210000000000004</v>
      </c>
      <c r="T270" s="18">
        <v>0.65610000000000002</v>
      </c>
      <c r="U270" s="18">
        <v>0.32240000000000002</v>
      </c>
      <c r="V270" s="18">
        <v>0.18559999999999999</v>
      </c>
      <c r="W270" s="18">
        <v>0.27750000000000002</v>
      </c>
      <c r="X270" s="18">
        <v>0.22570000000000001</v>
      </c>
      <c r="Y270" s="18">
        <v>0.12620000000000001</v>
      </c>
      <c r="Z270" s="18">
        <v>0.371</v>
      </c>
      <c r="AA270" s="18">
        <v>6.7500000000000004E-2</v>
      </c>
      <c r="AB270" s="18">
        <v>0.15040000000000001</v>
      </c>
      <c r="AC270" s="18">
        <v>0.33600000000000002</v>
      </c>
      <c r="AD270" s="18">
        <v>0.15939999999999999</v>
      </c>
      <c r="AE270" s="18">
        <v>0.15490000000000001</v>
      </c>
      <c r="AF270" s="18">
        <v>0.15359999999999999</v>
      </c>
      <c r="AG270" s="18">
        <v>0.1106</v>
      </c>
      <c r="AH270" s="18">
        <v>0.23849999999999999</v>
      </c>
      <c r="AI270" s="18">
        <v>0.25</v>
      </c>
      <c r="AJ270" s="18">
        <v>0.42559999999999998</v>
      </c>
      <c r="AK270" s="18">
        <v>0.1118</v>
      </c>
      <c r="AL270" s="18">
        <v>0.34420000000000001</v>
      </c>
      <c r="AM270" s="18">
        <v>0.15390000000000001</v>
      </c>
      <c r="AN270" s="18">
        <v>0.23880000000000001</v>
      </c>
      <c r="AO270" s="18">
        <v>0.3488</v>
      </c>
      <c r="AP270" s="18">
        <v>0.78480000000000005</v>
      </c>
      <c r="AQ270" s="18">
        <v>0.9173</v>
      </c>
      <c r="AR270" s="18">
        <v>0.63500000000000001</v>
      </c>
      <c r="AS270" s="18">
        <v>0.87839999999999996</v>
      </c>
      <c r="AT270" s="18">
        <v>0.63219999999999998</v>
      </c>
      <c r="AU270" s="18">
        <v>0.69299999999999995</v>
      </c>
      <c r="AV270" s="18">
        <v>0.84279999999999999</v>
      </c>
      <c r="AW270" s="18">
        <v>0.70150000000000001</v>
      </c>
      <c r="AX270" s="18">
        <v>0.68510000000000004</v>
      </c>
    </row>
    <row r="271" spans="1:50" x14ac:dyDescent="0.25">
      <c r="A271" s="8" t="s">
        <v>366</v>
      </c>
      <c r="B271" s="10" t="s">
        <v>57</v>
      </c>
      <c r="C271" s="16">
        <v>0.05</v>
      </c>
      <c r="D271" s="16">
        <v>0.13059999999999999</v>
      </c>
      <c r="E271" s="16">
        <v>0.05</v>
      </c>
      <c r="F271" s="16">
        <v>0.05</v>
      </c>
      <c r="G271" s="16">
        <v>0.05</v>
      </c>
      <c r="H271" s="16">
        <v>0.13059999999999999</v>
      </c>
      <c r="I271" s="16">
        <v>0.05</v>
      </c>
      <c r="J271" s="16">
        <v>6.7900000000000002E-2</v>
      </c>
      <c r="K271" s="16">
        <v>0.11269999999999999</v>
      </c>
      <c r="L271" s="16">
        <v>0.05</v>
      </c>
      <c r="M271" s="16">
        <v>0.13059999999999999</v>
      </c>
      <c r="N271" s="16">
        <v>0.05</v>
      </c>
      <c r="O271" s="16">
        <v>0.13059999999999999</v>
      </c>
      <c r="P271" s="16">
        <v>0.05</v>
      </c>
      <c r="Q271" s="16">
        <v>0.12609999999999999</v>
      </c>
      <c r="R271" s="16">
        <v>5.45E-2</v>
      </c>
      <c r="S271" s="16">
        <v>0.1037</v>
      </c>
      <c r="T271" s="16">
        <v>7.6899999999999996E-2</v>
      </c>
      <c r="U271" s="16">
        <v>0.29380000000000001</v>
      </c>
      <c r="V271" s="16">
        <v>0.14269999999999999</v>
      </c>
      <c r="W271" s="16">
        <v>0.05</v>
      </c>
      <c r="X271" s="16">
        <v>0.13059999999999999</v>
      </c>
      <c r="Y271" s="16">
        <v>0.05</v>
      </c>
      <c r="Z271" s="16">
        <v>0.13059999999999999</v>
      </c>
      <c r="AA271" s="16">
        <v>0.05</v>
      </c>
      <c r="AB271" s="16">
        <v>0.05</v>
      </c>
      <c r="AC271" s="16">
        <v>0.12609999999999999</v>
      </c>
      <c r="AD271" s="16">
        <v>0.2777</v>
      </c>
      <c r="AE271" s="16">
        <v>0.13059999999999999</v>
      </c>
      <c r="AF271" s="16">
        <v>0.05</v>
      </c>
      <c r="AG271" s="16">
        <v>0.1192</v>
      </c>
      <c r="AH271" s="16">
        <v>0.1124</v>
      </c>
      <c r="AI271" s="16">
        <v>0.30209999999999998</v>
      </c>
      <c r="AJ271" s="16">
        <v>0.22989999999999999</v>
      </c>
      <c r="AK271" s="16">
        <v>0.47789999999999999</v>
      </c>
      <c r="AL271" s="16">
        <v>0.80789999999999995</v>
      </c>
      <c r="AM271" s="16">
        <v>0.1913</v>
      </c>
      <c r="AN271" s="16">
        <v>0.83340000000000003</v>
      </c>
      <c r="AO271" s="16">
        <v>0.38419999999999999</v>
      </c>
      <c r="AP271" s="16">
        <v>1.5918000000000001</v>
      </c>
      <c r="AQ271" s="16">
        <v>0.2414</v>
      </c>
      <c r="AR271" s="16">
        <v>2.0482999999999998</v>
      </c>
      <c r="AS271" s="16">
        <v>1.4864999999999999</v>
      </c>
      <c r="AT271" s="16">
        <v>0.6139</v>
      </c>
      <c r="AU271" s="16">
        <v>0.33389999999999997</v>
      </c>
      <c r="AV271" s="16">
        <v>0.63529999999999998</v>
      </c>
      <c r="AW271" s="16">
        <v>0.96450000000000002</v>
      </c>
      <c r="AX271" s="16">
        <v>5.8999999999999997E-2</v>
      </c>
    </row>
    <row r="272" spans="1:50" x14ac:dyDescent="0.25">
      <c r="A272" s="8" t="s">
        <v>368</v>
      </c>
      <c r="B272" s="10" t="s">
        <v>57</v>
      </c>
      <c r="C272" s="16">
        <v>0.21529999999999999</v>
      </c>
      <c r="D272" s="16">
        <v>0.2253</v>
      </c>
      <c r="E272" s="16">
        <v>0.05</v>
      </c>
      <c r="F272" s="16">
        <v>0.29070000000000001</v>
      </c>
      <c r="G272" s="16">
        <v>0.14990000000000001</v>
      </c>
      <c r="H272" s="16">
        <v>0.12130000000000001</v>
      </c>
      <c r="I272" s="16">
        <v>0.30959999999999999</v>
      </c>
      <c r="J272" s="16">
        <v>5.96E-2</v>
      </c>
      <c r="K272" s="16">
        <v>0.28149999999999997</v>
      </c>
      <c r="L272" s="16">
        <v>0.15909999999999999</v>
      </c>
      <c r="M272" s="16">
        <v>0.15010000000000001</v>
      </c>
      <c r="N272" s="16">
        <v>0.20399999999999999</v>
      </c>
      <c r="O272" s="16">
        <v>9.3200000000000005E-2</v>
      </c>
      <c r="P272" s="16">
        <v>0.30030000000000001</v>
      </c>
      <c r="Q272" s="16">
        <v>0.16919999999999999</v>
      </c>
      <c r="R272" s="16">
        <v>6.4399999999999999E-2</v>
      </c>
      <c r="S272" s="16">
        <v>0.15970000000000001</v>
      </c>
      <c r="T272" s="16">
        <v>0.24249999999999999</v>
      </c>
      <c r="U272" s="16">
        <v>8.8400000000000006E-2</v>
      </c>
      <c r="V272" s="16">
        <v>0.26119999999999999</v>
      </c>
      <c r="W272" s="16">
        <v>0.10539999999999999</v>
      </c>
      <c r="X272" s="16">
        <v>8.2000000000000003E-2</v>
      </c>
      <c r="Y272" s="16">
        <v>0.245</v>
      </c>
      <c r="Z272" s="16">
        <v>0.18049999999999999</v>
      </c>
      <c r="AA272" s="16">
        <v>1.3452</v>
      </c>
      <c r="AB272" s="16">
        <v>0.29110000000000003</v>
      </c>
      <c r="AC272" s="16">
        <v>0.52629999999999999</v>
      </c>
      <c r="AD272" s="16">
        <v>0.56079999999999997</v>
      </c>
      <c r="AE272" s="16">
        <v>1.2779</v>
      </c>
      <c r="AF272" s="16">
        <v>0.30299999999999999</v>
      </c>
      <c r="AG272" s="16">
        <v>0.371</v>
      </c>
      <c r="AH272" s="16">
        <v>0.35139999999999999</v>
      </c>
      <c r="AI272" s="16">
        <v>0.33900000000000002</v>
      </c>
      <c r="AJ272" s="16">
        <v>0.14749999999999999</v>
      </c>
      <c r="AK272" s="16">
        <v>0.1724</v>
      </c>
      <c r="AL272" s="16">
        <v>0.3125</v>
      </c>
      <c r="AM272" s="16">
        <v>0.28120000000000001</v>
      </c>
      <c r="AN272" s="16">
        <v>0.50060000000000004</v>
      </c>
      <c r="AO272" s="16">
        <v>0.78249999999999997</v>
      </c>
      <c r="AP272" s="16">
        <v>0.50960000000000005</v>
      </c>
      <c r="AQ272" s="16">
        <v>0.63790000000000002</v>
      </c>
      <c r="AR272" s="16">
        <v>0.64339999999999997</v>
      </c>
      <c r="AS272" s="16">
        <v>0.66010000000000002</v>
      </c>
      <c r="AT272" s="16">
        <v>0.4017</v>
      </c>
      <c r="AU272" s="16">
        <v>0.55059999999999998</v>
      </c>
      <c r="AV272" s="16">
        <v>0.23449999999999999</v>
      </c>
      <c r="AW272" s="16">
        <v>0.1145</v>
      </c>
      <c r="AX272" s="16">
        <v>0.27850000000000003</v>
      </c>
    </row>
    <row r="273" spans="1:50" x14ac:dyDescent="0.25">
      <c r="A273" s="17" t="s">
        <v>631</v>
      </c>
      <c r="B273" s="13" t="s">
        <v>410</v>
      </c>
      <c r="C273" s="18">
        <v>0.27310000000000001</v>
      </c>
      <c r="D273" s="18">
        <v>0.24959999999999999</v>
      </c>
      <c r="E273" s="18">
        <v>0.16689999999999999</v>
      </c>
      <c r="F273" s="18">
        <v>7.6399999999999996E-2</v>
      </c>
      <c r="G273" s="18">
        <v>0.39240000000000003</v>
      </c>
      <c r="H273" s="18">
        <v>0.13039999999999999</v>
      </c>
      <c r="I273" s="18">
        <v>0.12280000000000001</v>
      </c>
      <c r="J273" s="18">
        <v>0.2707</v>
      </c>
      <c r="K273" s="18">
        <v>0.18629999999999999</v>
      </c>
      <c r="L273" s="18">
        <v>0.27310000000000001</v>
      </c>
      <c r="M273" s="18">
        <v>0.1203</v>
      </c>
      <c r="N273" s="18">
        <v>5.7000000000000002E-2</v>
      </c>
      <c r="O273" s="18">
        <v>0.2137</v>
      </c>
      <c r="P273" s="18">
        <v>0.2268</v>
      </c>
      <c r="Q273" s="18">
        <v>0.1885</v>
      </c>
      <c r="R273" s="18">
        <v>0.11269999999999999</v>
      </c>
      <c r="S273" s="18">
        <v>0.17979999999999999</v>
      </c>
      <c r="T273" s="18">
        <v>0.33650000000000002</v>
      </c>
      <c r="U273" s="18">
        <v>5.7000000000000002E-2</v>
      </c>
      <c r="V273" s="18">
        <v>0.16919999999999999</v>
      </c>
      <c r="W273" s="18">
        <v>0.35349999999999998</v>
      </c>
      <c r="X273" s="18">
        <v>5.7000000000000002E-2</v>
      </c>
      <c r="Y273" s="18">
        <v>0.16389999999999999</v>
      </c>
      <c r="Z273" s="18">
        <v>0.25540000000000002</v>
      </c>
      <c r="AA273" s="18">
        <v>0.22720000000000001</v>
      </c>
      <c r="AB273" s="18">
        <v>0.37790000000000001</v>
      </c>
      <c r="AC273" s="18">
        <v>0.53739999999999999</v>
      </c>
      <c r="AD273" s="18">
        <v>0.33460000000000001</v>
      </c>
      <c r="AE273" s="18">
        <v>1.7766</v>
      </c>
      <c r="AF273" s="18">
        <v>0.1971</v>
      </c>
      <c r="AG273" s="18">
        <v>0.45529999999999998</v>
      </c>
      <c r="AH273" s="18">
        <v>0.1867</v>
      </c>
      <c r="AI273" s="18">
        <v>5.7000000000000002E-2</v>
      </c>
      <c r="AJ273" s="18">
        <v>0.32240000000000002</v>
      </c>
      <c r="AK273" s="18">
        <v>7.1099999999999997E-2</v>
      </c>
      <c r="AL273" s="18">
        <v>0.12809999999999999</v>
      </c>
      <c r="AM273" s="18">
        <v>0.29599999999999999</v>
      </c>
      <c r="AN273" s="18">
        <v>0.18149999999999999</v>
      </c>
      <c r="AO273" s="18">
        <v>0.25900000000000001</v>
      </c>
      <c r="AP273" s="18">
        <v>0.2379</v>
      </c>
      <c r="AQ273" s="18">
        <v>0.1104</v>
      </c>
      <c r="AR273" s="18">
        <v>0.40410000000000001</v>
      </c>
      <c r="AS273" s="18">
        <v>9.11E-2</v>
      </c>
      <c r="AT273" s="18">
        <v>0.25900000000000001</v>
      </c>
      <c r="AU273" s="18">
        <v>0.2379</v>
      </c>
      <c r="AV273" s="18">
        <v>0.20860000000000001</v>
      </c>
      <c r="AW273" s="18">
        <v>0.26490000000000002</v>
      </c>
      <c r="AX273" s="18">
        <v>0.21279999999999999</v>
      </c>
    </row>
    <row r="274" spans="1:50" x14ac:dyDescent="0.25">
      <c r="A274" s="17" t="s">
        <v>633</v>
      </c>
      <c r="B274" s="13" t="s">
        <v>410</v>
      </c>
      <c r="C274" s="18">
        <v>0.15620000000000001</v>
      </c>
      <c r="D274" s="18">
        <v>5.3999999999999999E-2</v>
      </c>
      <c r="E274" s="18">
        <v>5.3999999999999999E-2</v>
      </c>
      <c r="F274" s="18">
        <v>0.16400000000000001</v>
      </c>
      <c r="G274" s="18">
        <v>5.3999999999999999E-2</v>
      </c>
      <c r="H274" s="18">
        <v>0.16400000000000001</v>
      </c>
      <c r="I274" s="18">
        <v>5.3999999999999999E-2</v>
      </c>
      <c r="J274" s="18">
        <v>5.3999999999999999E-2</v>
      </c>
      <c r="K274" s="18">
        <v>0.109</v>
      </c>
      <c r="L274" s="18">
        <v>0.109</v>
      </c>
      <c r="M274" s="18">
        <v>5.3999999999999999E-2</v>
      </c>
      <c r="N274" s="18">
        <v>0.16400000000000001</v>
      </c>
      <c r="O274" s="18">
        <v>5.3999999999999999E-2</v>
      </c>
      <c r="P274" s="18">
        <v>5.3999999999999999E-2</v>
      </c>
      <c r="Q274" s="18">
        <v>0.4</v>
      </c>
      <c r="R274" s="18">
        <v>0.2661</v>
      </c>
      <c r="S274" s="18">
        <v>0.1978</v>
      </c>
      <c r="T274" s="18">
        <v>0.19370000000000001</v>
      </c>
      <c r="U274" s="18">
        <v>0.23300000000000001</v>
      </c>
      <c r="V274" s="18">
        <v>0.26819999999999999</v>
      </c>
      <c r="W274" s="18">
        <v>0.19689999999999999</v>
      </c>
      <c r="X274" s="18">
        <v>0.30880000000000002</v>
      </c>
      <c r="Y274" s="18">
        <v>0.23810000000000001</v>
      </c>
      <c r="Z274" s="18">
        <v>5.3999999999999999E-2</v>
      </c>
      <c r="AA274" s="18">
        <v>0.25719999999999998</v>
      </c>
      <c r="AB274" s="18">
        <v>0.3115</v>
      </c>
      <c r="AC274" s="18">
        <v>5.3999999999999999E-2</v>
      </c>
      <c r="AD274" s="18">
        <v>0.16400000000000001</v>
      </c>
      <c r="AE274" s="18">
        <v>5.3999999999999999E-2</v>
      </c>
      <c r="AF274" s="18">
        <v>5.3999999999999999E-2</v>
      </c>
      <c r="AG274" s="18">
        <v>5.3999999999999999E-2</v>
      </c>
      <c r="AH274" s="18">
        <v>0.16400000000000001</v>
      </c>
      <c r="AI274" s="18">
        <v>5.3999999999999999E-2</v>
      </c>
      <c r="AJ274" s="18">
        <v>9.3299999999999994E-2</v>
      </c>
      <c r="AK274" s="18">
        <v>0.12470000000000001</v>
      </c>
      <c r="AL274" s="18">
        <v>5.3999999999999999E-2</v>
      </c>
      <c r="AM274" s="18">
        <v>0.29630000000000001</v>
      </c>
      <c r="AN274" s="18">
        <v>1.7298</v>
      </c>
      <c r="AO274" s="18">
        <v>2.3109999999999999</v>
      </c>
      <c r="AP274" s="18">
        <v>1.0317000000000001</v>
      </c>
      <c r="AQ274" s="18">
        <v>0.40939999999999999</v>
      </c>
      <c r="AR274" s="18">
        <v>1.2764</v>
      </c>
      <c r="AS274" s="18">
        <v>0.6643</v>
      </c>
      <c r="AT274" s="18">
        <v>0.68589999999999995</v>
      </c>
      <c r="AU274" s="18">
        <v>0.63260000000000005</v>
      </c>
      <c r="AV274" s="18">
        <v>0.61160000000000003</v>
      </c>
      <c r="AW274" s="18">
        <v>0.33029999999999998</v>
      </c>
      <c r="AX274" s="18">
        <v>0.70150000000000001</v>
      </c>
    </row>
    <row r="275" spans="1:50" x14ac:dyDescent="0.25">
      <c r="A275" s="8" t="s">
        <v>370</v>
      </c>
      <c r="B275" s="10" t="s">
        <v>57</v>
      </c>
      <c r="C275" s="16">
        <v>0.53010000000000002</v>
      </c>
      <c r="D275" s="16">
        <v>0.36330000000000001</v>
      </c>
      <c r="E275" s="16">
        <v>0.87090000000000001</v>
      </c>
      <c r="F275" s="16">
        <v>0.30930000000000002</v>
      </c>
      <c r="G275" s="16">
        <v>4.3999999999999997E-2</v>
      </c>
      <c r="H275" s="16">
        <v>0.1915</v>
      </c>
      <c r="I275" s="16">
        <v>6.7299999999999999E-2</v>
      </c>
      <c r="J275" s="16">
        <v>4.3999999999999997E-2</v>
      </c>
      <c r="K275" s="16">
        <v>0.1915</v>
      </c>
      <c r="L275" s="16">
        <v>6.7299999999999999E-2</v>
      </c>
      <c r="M275" s="16">
        <v>4.3999999999999997E-2</v>
      </c>
      <c r="N275" s="16">
        <v>0.20710000000000001</v>
      </c>
      <c r="O275" s="16">
        <v>5.1799999999999999E-2</v>
      </c>
      <c r="P275" s="16">
        <v>5.3600000000000002E-2</v>
      </c>
      <c r="Q275" s="16">
        <v>0.14369999999999999</v>
      </c>
      <c r="R275" s="16">
        <v>0.15720000000000001</v>
      </c>
      <c r="S275" s="16">
        <v>4.3999999999999997E-2</v>
      </c>
      <c r="T275" s="16">
        <v>9.06E-2</v>
      </c>
      <c r="U275" s="16">
        <v>0.17419999999999999</v>
      </c>
      <c r="V275" s="16">
        <v>1.714</v>
      </c>
      <c r="W275" s="16">
        <v>0.2661</v>
      </c>
      <c r="X275" s="16">
        <v>8.8900000000000007E-2</v>
      </c>
      <c r="Y275" s="16">
        <v>0.1585</v>
      </c>
      <c r="Z275" s="16">
        <v>0.24399999999999999</v>
      </c>
      <c r="AA275" s="16">
        <v>0.3715</v>
      </c>
      <c r="AB275" s="16">
        <v>0.2586</v>
      </c>
      <c r="AC275" s="16">
        <v>0.20380000000000001</v>
      </c>
      <c r="AD275" s="16">
        <v>0.2873</v>
      </c>
      <c r="AE275" s="16">
        <v>0.3967</v>
      </c>
      <c r="AF275" s="16">
        <v>0.41020000000000001</v>
      </c>
      <c r="AG275" s="16">
        <v>0.40200000000000002</v>
      </c>
      <c r="AH275" s="16">
        <v>0.30890000000000001</v>
      </c>
      <c r="AI275" s="16">
        <v>0.2364</v>
      </c>
      <c r="AJ275" s="16">
        <v>0.31929999999999997</v>
      </c>
      <c r="AK275" s="16">
        <v>0.2056</v>
      </c>
      <c r="AL275" s="16">
        <v>0.2989</v>
      </c>
      <c r="AM275" s="16">
        <v>0.3296</v>
      </c>
      <c r="AN275" s="16">
        <v>0.3206</v>
      </c>
      <c r="AO275" s="16">
        <v>0.34599999999999997</v>
      </c>
      <c r="AP275" s="16">
        <v>0.51880000000000004</v>
      </c>
      <c r="AQ275" s="16">
        <v>0.73799999999999999</v>
      </c>
      <c r="AR275" s="16">
        <v>0.78269999999999995</v>
      </c>
      <c r="AS275" s="16">
        <v>0.58009999999999995</v>
      </c>
      <c r="AT275" s="16">
        <v>1.0081</v>
      </c>
      <c r="AU275" s="16">
        <v>0.72940000000000005</v>
      </c>
      <c r="AV275" s="16">
        <v>0.85340000000000005</v>
      </c>
      <c r="AW275" s="16">
        <v>0.6764</v>
      </c>
      <c r="AX275" s="16">
        <v>0.6089</v>
      </c>
    </row>
    <row r="276" spans="1:50" x14ac:dyDescent="0.25">
      <c r="A276" s="8" t="s">
        <v>372</v>
      </c>
      <c r="B276" s="10" t="s">
        <v>57</v>
      </c>
      <c r="C276" s="16">
        <v>0.19209999999999999</v>
      </c>
      <c r="D276" s="16">
        <v>0.17419999999999999</v>
      </c>
      <c r="E276" s="16">
        <v>7.9200000000000007E-2</v>
      </c>
      <c r="F276" s="16">
        <v>0.22939999999999999</v>
      </c>
      <c r="G276" s="16">
        <v>0.1037</v>
      </c>
      <c r="H276" s="16">
        <v>0.1976</v>
      </c>
      <c r="I276" s="16">
        <v>0.16869999999999999</v>
      </c>
      <c r="J276" s="16">
        <v>4.5999999999999999E-2</v>
      </c>
      <c r="K276" s="16">
        <v>0.31390000000000001</v>
      </c>
      <c r="L276" s="16">
        <v>0.10100000000000001</v>
      </c>
      <c r="M276" s="16">
        <v>7.9799999999999996E-2</v>
      </c>
      <c r="N276" s="16">
        <v>0.29420000000000002</v>
      </c>
      <c r="O276" s="16">
        <v>5.8799999999999998E-2</v>
      </c>
      <c r="P276" s="16">
        <v>0.1953</v>
      </c>
      <c r="Q276" s="16">
        <v>0.17100000000000001</v>
      </c>
      <c r="R276" s="16">
        <v>4.5999999999999999E-2</v>
      </c>
      <c r="S276" s="16">
        <v>0.32029999999999997</v>
      </c>
      <c r="T276" s="16">
        <v>4.5999999999999999E-2</v>
      </c>
      <c r="U276" s="16">
        <v>1.1400999999999999</v>
      </c>
      <c r="V276" s="16">
        <v>1.5247999999999999</v>
      </c>
      <c r="W276" s="16">
        <v>1.8867</v>
      </c>
      <c r="X276" s="16">
        <v>0.29239999999999999</v>
      </c>
      <c r="Y276" s="16">
        <v>0.17599999999999999</v>
      </c>
      <c r="Z276" s="16">
        <v>6.5699999999999995E-2</v>
      </c>
      <c r="AA276" s="16">
        <v>0.31090000000000001</v>
      </c>
      <c r="AB276" s="16">
        <v>6.1400000000000003E-2</v>
      </c>
      <c r="AC276" s="16">
        <v>0.186</v>
      </c>
      <c r="AD276" s="16">
        <v>5.11E-2</v>
      </c>
      <c r="AE276" s="16">
        <v>0.32029999999999997</v>
      </c>
      <c r="AF276" s="16">
        <v>4.5999999999999999E-2</v>
      </c>
      <c r="AG276" s="16">
        <v>0.16439999999999999</v>
      </c>
      <c r="AH276" s="16">
        <v>0.2019</v>
      </c>
      <c r="AI276" s="16">
        <v>5.2600000000000001E-2</v>
      </c>
      <c r="AJ276" s="16">
        <v>0.31369999999999998</v>
      </c>
      <c r="AK276" s="16">
        <v>4.5999999999999999E-2</v>
      </c>
      <c r="AL276" s="16">
        <v>0.32029999999999997</v>
      </c>
      <c r="AM276" s="16">
        <v>5.6300000000000003E-2</v>
      </c>
      <c r="AN276" s="16">
        <v>5.6300000000000003E-2</v>
      </c>
      <c r="AO276" s="16">
        <v>0.25040000000000001</v>
      </c>
      <c r="AP276" s="16">
        <v>0.45710000000000001</v>
      </c>
      <c r="AQ276" s="16">
        <v>0.39100000000000001</v>
      </c>
      <c r="AR276" s="16">
        <v>0.75370000000000004</v>
      </c>
      <c r="AS276" s="16">
        <v>0.41449999999999998</v>
      </c>
      <c r="AT276" s="16">
        <v>0.52410000000000001</v>
      </c>
      <c r="AU276" s="16">
        <v>0.69550000000000001</v>
      </c>
      <c r="AV276" s="16">
        <v>0.33019999999999999</v>
      </c>
      <c r="AW276" s="16">
        <v>0.26079999999999998</v>
      </c>
      <c r="AX276" s="16">
        <v>0.16420000000000001</v>
      </c>
    </row>
    <row r="277" spans="1:50" x14ac:dyDescent="0.25">
      <c r="A277" s="17" t="s">
        <v>635</v>
      </c>
      <c r="B277" s="13" t="s">
        <v>410</v>
      </c>
      <c r="C277" s="18">
        <v>0.1668</v>
      </c>
      <c r="D277" s="18">
        <v>0.26200000000000001</v>
      </c>
      <c r="E277" s="18">
        <v>0.18820000000000001</v>
      </c>
      <c r="F277" s="18">
        <v>0.2369</v>
      </c>
      <c r="G277" s="18">
        <v>0.06</v>
      </c>
      <c r="H277" s="18">
        <v>0.06</v>
      </c>
      <c r="I277" s="18">
        <v>0.06</v>
      </c>
      <c r="J277" s="18">
        <v>0.06</v>
      </c>
      <c r="K277" s="18">
        <v>0.06</v>
      </c>
      <c r="L277" s="18">
        <v>0.06</v>
      </c>
      <c r="M277" s="18">
        <v>0.06</v>
      </c>
      <c r="N277" s="18">
        <v>0.06</v>
      </c>
      <c r="O277" s="18">
        <v>0.06</v>
      </c>
      <c r="P277" s="18">
        <v>0.06</v>
      </c>
      <c r="Q277" s="18">
        <v>0.06</v>
      </c>
      <c r="R277" s="18">
        <v>0.06</v>
      </c>
      <c r="S277" s="18">
        <v>0.06</v>
      </c>
      <c r="T277" s="18">
        <v>0.06</v>
      </c>
      <c r="U277" s="18">
        <v>0.06</v>
      </c>
      <c r="V277" s="18">
        <v>0.06</v>
      </c>
      <c r="W277" s="18">
        <v>0.06</v>
      </c>
      <c r="X277" s="18">
        <v>0.06</v>
      </c>
      <c r="Y277" s="18">
        <v>8.9700000000000002E-2</v>
      </c>
      <c r="Z277" s="18">
        <v>9.8699999999999996E-2</v>
      </c>
      <c r="AA277" s="18">
        <v>0.06</v>
      </c>
      <c r="AB277" s="18">
        <v>0.1017</v>
      </c>
      <c r="AC277" s="18">
        <v>0.06</v>
      </c>
      <c r="AD277" s="18">
        <v>0.06</v>
      </c>
      <c r="AE277" s="18">
        <v>0.06</v>
      </c>
      <c r="AF277" s="18">
        <v>0.06</v>
      </c>
      <c r="AG277" s="18">
        <v>0.06</v>
      </c>
      <c r="AH277" s="18">
        <v>0.06</v>
      </c>
      <c r="AI277" s="18">
        <v>0.06</v>
      </c>
      <c r="AJ277" s="18">
        <v>0.06</v>
      </c>
      <c r="AK277" s="18">
        <v>0.15690000000000001</v>
      </c>
      <c r="AL277" s="18">
        <v>0.113</v>
      </c>
      <c r="AM277" s="18">
        <v>8.5000000000000006E-2</v>
      </c>
      <c r="AN277" s="18">
        <v>8.8999999999999996E-2</v>
      </c>
      <c r="AO277" s="18">
        <v>0.24249999999999999</v>
      </c>
      <c r="AP277" s="18">
        <v>0.37959999999999999</v>
      </c>
      <c r="AQ277" s="18">
        <v>0.50419999999999998</v>
      </c>
      <c r="AR277" s="18">
        <v>0.53859999999999997</v>
      </c>
      <c r="AS277" s="18">
        <v>0.7329</v>
      </c>
      <c r="AT277" s="18">
        <v>0.36870000000000003</v>
      </c>
      <c r="AU277" s="18">
        <v>0.48830000000000001</v>
      </c>
      <c r="AV277" s="18">
        <v>0.59799999999999998</v>
      </c>
      <c r="AW277" s="18">
        <v>0.55479999999999996</v>
      </c>
      <c r="AX277" s="18">
        <v>0.623</v>
      </c>
    </row>
    <row r="278" spans="1:50" x14ac:dyDescent="0.25">
      <c r="A278" s="8" t="s">
        <v>374</v>
      </c>
      <c r="B278" s="10" t="s">
        <v>57</v>
      </c>
      <c r="C278" s="16">
        <v>0.1439</v>
      </c>
      <c r="D278" s="16">
        <v>4.9000000000000002E-2</v>
      </c>
      <c r="E278" s="16">
        <v>0.1439</v>
      </c>
      <c r="F278" s="16">
        <v>4.9000000000000002E-2</v>
      </c>
      <c r="G278" s="16">
        <v>0.11070000000000001</v>
      </c>
      <c r="H278" s="16">
        <v>8.2199999999999995E-2</v>
      </c>
      <c r="I278" s="16">
        <v>4.9000000000000002E-2</v>
      </c>
      <c r="J278" s="16">
        <v>0.1439</v>
      </c>
      <c r="K278" s="16">
        <v>4.9000000000000002E-2</v>
      </c>
      <c r="L278" s="16">
        <v>0.1439</v>
      </c>
      <c r="M278" s="16">
        <v>4.9000000000000002E-2</v>
      </c>
      <c r="N278" s="16">
        <v>0.29360000000000003</v>
      </c>
      <c r="O278" s="16">
        <v>0.1192</v>
      </c>
      <c r="P278" s="16">
        <v>4.9000000000000002E-2</v>
      </c>
      <c r="Q278" s="16">
        <v>0.1439</v>
      </c>
      <c r="R278" s="16">
        <v>4.9000000000000002E-2</v>
      </c>
      <c r="S278" s="16">
        <v>0.1268</v>
      </c>
      <c r="T278" s="16">
        <v>0.54049999999999998</v>
      </c>
      <c r="U278" s="16">
        <v>0.2913</v>
      </c>
      <c r="V278" s="16">
        <v>0.25569999999999998</v>
      </c>
      <c r="W278" s="16">
        <v>4.9000000000000002E-2</v>
      </c>
      <c r="X278" s="16">
        <v>0.11070000000000001</v>
      </c>
      <c r="Y278" s="16">
        <v>0.39119999999999999</v>
      </c>
      <c r="Z278" s="16">
        <v>4.9000000000000002E-2</v>
      </c>
      <c r="AA278" s="16">
        <v>8.2199999999999995E-2</v>
      </c>
      <c r="AB278" s="16">
        <v>0.11070000000000001</v>
      </c>
      <c r="AC278" s="16">
        <v>4.9000000000000002E-2</v>
      </c>
      <c r="AD278" s="16">
        <v>0.35260000000000002</v>
      </c>
      <c r="AE278" s="16">
        <v>0.25659999999999999</v>
      </c>
      <c r="AF278" s="16">
        <v>0.22070000000000001</v>
      </c>
      <c r="AG278" s="16">
        <v>0.2898</v>
      </c>
      <c r="AH278" s="16">
        <v>8.7499999999999994E-2</v>
      </c>
      <c r="AI278" s="16">
        <v>9.2600000000000002E-2</v>
      </c>
      <c r="AJ278" s="16">
        <v>0.2346</v>
      </c>
      <c r="AK278" s="16">
        <v>1.1074999999999999</v>
      </c>
      <c r="AL278" s="16">
        <v>0.3947</v>
      </c>
      <c r="AM278" s="16">
        <v>0.28399999999999997</v>
      </c>
      <c r="AN278" s="16">
        <v>0.254</v>
      </c>
      <c r="AO278" s="16">
        <v>0.75900000000000001</v>
      </c>
      <c r="AP278" s="16">
        <v>1.4362999999999999</v>
      </c>
      <c r="AQ278" s="16">
        <v>2.0407000000000002</v>
      </c>
      <c r="AR278" s="16">
        <v>0.52700000000000002</v>
      </c>
      <c r="AS278" s="16">
        <v>0.4456</v>
      </c>
      <c r="AT278" s="16">
        <v>0.35039999999999999</v>
      </c>
      <c r="AU278" s="16">
        <v>0.1202</v>
      </c>
      <c r="AV278" s="16">
        <v>4.9000000000000002E-2</v>
      </c>
      <c r="AW278" s="16">
        <v>0.1439</v>
      </c>
      <c r="AX278" s="16">
        <v>4.9000000000000002E-2</v>
      </c>
    </row>
    <row r="279" spans="1:50" x14ac:dyDescent="0.25">
      <c r="A279" s="17" t="s">
        <v>637</v>
      </c>
      <c r="B279" s="13" t="s">
        <v>410</v>
      </c>
      <c r="C279" s="18">
        <v>0.1666</v>
      </c>
      <c r="D279" s="18">
        <v>0.1288</v>
      </c>
      <c r="E279" s="18">
        <v>5.0500000000000003E-2</v>
      </c>
      <c r="F279" s="18">
        <v>0.10879999999999999</v>
      </c>
      <c r="G279" s="18">
        <v>0.18779999999999999</v>
      </c>
      <c r="H279" s="18">
        <v>6.4799999999999996E-2</v>
      </c>
      <c r="I279" s="18">
        <v>0.1193</v>
      </c>
      <c r="J279" s="18">
        <v>0.11269999999999999</v>
      </c>
      <c r="K279" s="18">
        <v>4.2000000000000003E-2</v>
      </c>
      <c r="L279" s="18">
        <v>0.2107</v>
      </c>
      <c r="M279" s="18">
        <v>0.11269999999999999</v>
      </c>
      <c r="N279" s="18">
        <v>0.13339999999999999</v>
      </c>
      <c r="O279" s="18">
        <v>0.1547</v>
      </c>
      <c r="P279" s="18">
        <v>0.1368</v>
      </c>
      <c r="Q279" s="18">
        <v>0.15129999999999999</v>
      </c>
      <c r="R279" s="18">
        <v>0.26939999999999997</v>
      </c>
      <c r="S279" s="18">
        <v>0.36020000000000002</v>
      </c>
      <c r="T279" s="18">
        <v>0.37080000000000002</v>
      </c>
      <c r="U279" s="18">
        <v>0.26540000000000002</v>
      </c>
      <c r="V279" s="18">
        <v>0.2707</v>
      </c>
      <c r="W279" s="18">
        <v>0.33040000000000003</v>
      </c>
      <c r="X279" s="18">
        <v>0.25879999999999997</v>
      </c>
      <c r="Y279" s="18">
        <v>0.28310000000000002</v>
      </c>
      <c r="Z279" s="18">
        <v>0.15079999999999999</v>
      </c>
      <c r="AA279" s="18">
        <v>1.0043</v>
      </c>
      <c r="AB279" s="18">
        <v>0.12609999999999999</v>
      </c>
      <c r="AC279" s="18">
        <v>0.10829999999999999</v>
      </c>
      <c r="AD279" s="18">
        <v>0.13339999999999999</v>
      </c>
      <c r="AE279" s="18">
        <v>0.1176</v>
      </c>
      <c r="AF279" s="18">
        <v>0.1144</v>
      </c>
      <c r="AG279" s="18">
        <v>0.13339999999999999</v>
      </c>
      <c r="AH279" s="18">
        <v>0.14680000000000001</v>
      </c>
      <c r="AI279" s="18">
        <v>9.8900000000000002E-2</v>
      </c>
      <c r="AJ279" s="18">
        <v>0.19700000000000001</v>
      </c>
      <c r="AK279" s="18">
        <v>0.15140000000000001</v>
      </c>
      <c r="AL279" s="18">
        <v>0.1822</v>
      </c>
      <c r="AM279" s="18">
        <v>0.18690000000000001</v>
      </c>
      <c r="AN279" s="18">
        <v>0.2954</v>
      </c>
      <c r="AO279" s="18">
        <v>0.41070000000000001</v>
      </c>
      <c r="AP279" s="18">
        <v>0.30559999999999998</v>
      </c>
      <c r="AQ279" s="18">
        <v>0.52180000000000004</v>
      </c>
      <c r="AR279" s="18">
        <v>0.70909999999999995</v>
      </c>
      <c r="AS279" s="18">
        <v>0.61319999999999997</v>
      </c>
      <c r="AT279" s="18">
        <v>0.1366</v>
      </c>
      <c r="AU279" s="18">
        <v>0.1061</v>
      </c>
      <c r="AV279" s="18">
        <v>0.19</v>
      </c>
      <c r="AW279" s="18">
        <v>0.13339999999999999</v>
      </c>
      <c r="AX279" s="18">
        <v>0.11269999999999999</v>
      </c>
    </row>
    <row r="280" spans="1:50" x14ac:dyDescent="0.25">
      <c r="A280" s="17" t="s">
        <v>639</v>
      </c>
      <c r="B280" s="13" t="s">
        <v>410</v>
      </c>
      <c r="C280" s="18">
        <v>3.4000000000000002E-2</v>
      </c>
      <c r="D280" s="18">
        <v>3.4000000000000002E-2</v>
      </c>
      <c r="E280" s="18">
        <v>0.15090000000000001</v>
      </c>
      <c r="F280" s="18">
        <v>8.8599999999999998E-2</v>
      </c>
      <c r="G280" s="18">
        <v>3.4000000000000002E-2</v>
      </c>
      <c r="H280" s="18">
        <v>3.4000000000000002E-2</v>
      </c>
      <c r="I280" s="18">
        <v>3.4000000000000002E-2</v>
      </c>
      <c r="J280" s="18">
        <v>0.18210000000000001</v>
      </c>
      <c r="K280" s="18">
        <v>5.74E-2</v>
      </c>
      <c r="L280" s="18">
        <v>8.0799999999999997E-2</v>
      </c>
      <c r="M280" s="18">
        <v>0.15870000000000001</v>
      </c>
      <c r="N280" s="18">
        <v>3.4000000000000002E-2</v>
      </c>
      <c r="O280" s="18">
        <v>3.4000000000000002E-2</v>
      </c>
      <c r="P280" s="18">
        <v>0.20549999999999999</v>
      </c>
      <c r="Q280" s="18">
        <v>3.4000000000000002E-2</v>
      </c>
      <c r="R280" s="18">
        <v>0.15870000000000001</v>
      </c>
      <c r="S280" s="18">
        <v>8.0799999999999997E-2</v>
      </c>
      <c r="T280" s="18">
        <v>3.4000000000000002E-2</v>
      </c>
      <c r="U280" s="18">
        <v>0.34539999999999998</v>
      </c>
      <c r="V280" s="18">
        <v>3.4000000000000002E-2</v>
      </c>
      <c r="W280" s="18">
        <v>0.18990000000000001</v>
      </c>
      <c r="X280" s="18">
        <v>0.14910000000000001</v>
      </c>
      <c r="Y280" s="18">
        <v>3.4000000000000002E-2</v>
      </c>
      <c r="Z280" s="18">
        <v>0.25590000000000002</v>
      </c>
      <c r="AA280" s="18">
        <v>0.33550000000000002</v>
      </c>
      <c r="AB280" s="18">
        <v>1.3299000000000001</v>
      </c>
      <c r="AC280" s="18">
        <v>0.1867</v>
      </c>
      <c r="AD280" s="18">
        <v>0.24959999999999999</v>
      </c>
      <c r="AE280" s="18">
        <v>0.40450000000000003</v>
      </c>
      <c r="AF280" s="18">
        <v>0.52959999999999996</v>
      </c>
      <c r="AG280" s="18">
        <v>0.36730000000000002</v>
      </c>
      <c r="AH280" s="18">
        <v>1.6724000000000001</v>
      </c>
      <c r="AI280" s="18">
        <v>1.1713</v>
      </c>
      <c r="AJ280" s="18">
        <v>1.7739</v>
      </c>
      <c r="AK280" s="18">
        <v>0.24279999999999999</v>
      </c>
      <c r="AL280" s="18">
        <v>1.2951999999999999</v>
      </c>
      <c r="AM280" s="18">
        <v>0.97460000000000002</v>
      </c>
      <c r="AN280" s="18">
        <v>1.667</v>
      </c>
      <c r="AO280" s="18">
        <v>0.46139999999999998</v>
      </c>
      <c r="AP280" s="18">
        <v>0.26029999999999998</v>
      </c>
      <c r="AQ280" s="18">
        <v>0.434</v>
      </c>
      <c r="AR280" s="18">
        <v>0.35510000000000003</v>
      </c>
      <c r="AS280" s="18">
        <v>0.55569999999999997</v>
      </c>
      <c r="AT280" s="18">
        <v>0.75900000000000001</v>
      </c>
      <c r="AU280" s="18">
        <v>0.50090000000000001</v>
      </c>
      <c r="AV280" s="18">
        <v>0.37140000000000001</v>
      </c>
      <c r="AW280" s="18">
        <v>0.38929999999999998</v>
      </c>
      <c r="AX280" s="18">
        <v>0.33710000000000001</v>
      </c>
    </row>
    <row r="281" spans="1:50" x14ac:dyDescent="0.25">
      <c r="A281" s="17" t="s">
        <v>641</v>
      </c>
      <c r="B281" s="13" t="s">
        <v>410</v>
      </c>
      <c r="C281" s="18">
        <v>3.7999999999999999E-2</v>
      </c>
      <c r="D281" s="18">
        <v>0.13830000000000001</v>
      </c>
      <c r="E281" s="18">
        <v>8.4099999999999994E-2</v>
      </c>
      <c r="F281" s="18">
        <v>0.2611</v>
      </c>
      <c r="G281" s="18">
        <v>3.7999999999999999E-2</v>
      </c>
      <c r="H281" s="18">
        <v>0.20699999999999999</v>
      </c>
      <c r="I281" s="18">
        <v>0.13830000000000001</v>
      </c>
      <c r="J281" s="18">
        <v>0.1762</v>
      </c>
      <c r="K281" s="18">
        <v>0.14749999999999999</v>
      </c>
      <c r="L281" s="18">
        <v>5.9499999999999997E-2</v>
      </c>
      <c r="M281" s="18">
        <v>0.16039999999999999</v>
      </c>
      <c r="N281" s="18">
        <v>0.18490000000000001</v>
      </c>
      <c r="O281" s="18">
        <v>3.7999999999999999E-2</v>
      </c>
      <c r="P281" s="18">
        <v>0.13830000000000001</v>
      </c>
      <c r="Q281" s="18">
        <v>0.20699999999999999</v>
      </c>
      <c r="R281" s="18">
        <v>3.7999999999999999E-2</v>
      </c>
      <c r="S281" s="18">
        <v>0.1588</v>
      </c>
      <c r="T281" s="18">
        <v>0.18640000000000001</v>
      </c>
      <c r="U281" s="18">
        <v>3.7999999999999999E-2</v>
      </c>
      <c r="V281" s="18">
        <v>9.1800000000000007E-2</v>
      </c>
      <c r="W281" s="18">
        <v>0.23200000000000001</v>
      </c>
      <c r="X281" s="18">
        <v>5.9499999999999997E-2</v>
      </c>
      <c r="Y281" s="18">
        <v>0.20699999999999999</v>
      </c>
      <c r="Z281" s="18">
        <v>0.18690000000000001</v>
      </c>
      <c r="AA281" s="18">
        <v>0.29649999999999999</v>
      </c>
      <c r="AB281" s="18">
        <v>0.1245</v>
      </c>
      <c r="AC281" s="18">
        <v>6.7199999999999996E-2</v>
      </c>
      <c r="AD281" s="18">
        <v>0.1993</v>
      </c>
      <c r="AE281" s="18">
        <v>0.13830000000000001</v>
      </c>
      <c r="AF281" s="18">
        <v>0.16089999999999999</v>
      </c>
      <c r="AG281" s="18">
        <v>8.4099999999999994E-2</v>
      </c>
      <c r="AH281" s="18">
        <v>0.13830000000000001</v>
      </c>
      <c r="AI281" s="18">
        <v>0.19159999999999999</v>
      </c>
      <c r="AJ281" s="18">
        <v>0.10349999999999999</v>
      </c>
      <c r="AK281" s="18">
        <v>0.11890000000000001</v>
      </c>
      <c r="AL281" s="18">
        <v>0.1762</v>
      </c>
      <c r="AM281" s="18">
        <v>0.27689999999999998</v>
      </c>
      <c r="AN281" s="18">
        <v>0.35639999999999999</v>
      </c>
      <c r="AO281" s="18">
        <v>0.4375</v>
      </c>
      <c r="AP281" s="18">
        <v>0.56459999999999999</v>
      </c>
      <c r="AQ281" s="18">
        <v>0.3755</v>
      </c>
      <c r="AR281" s="18">
        <v>0.24579999999999999</v>
      </c>
      <c r="AS281" s="18">
        <v>3.7999999999999999E-2</v>
      </c>
      <c r="AT281" s="18">
        <v>6.6600000000000006E-2</v>
      </c>
      <c r="AU281" s="18">
        <v>0.2402</v>
      </c>
      <c r="AV281" s="18">
        <v>7.6399999999999996E-2</v>
      </c>
      <c r="AW281" s="18">
        <v>0.13830000000000001</v>
      </c>
      <c r="AX281" s="18">
        <v>0.20699999999999999</v>
      </c>
    </row>
    <row r="282" spans="1:50" x14ac:dyDescent="0.25">
      <c r="A282" s="8" t="s">
        <v>376</v>
      </c>
      <c r="B282" s="10" t="s">
        <v>57</v>
      </c>
      <c r="C282" s="16">
        <v>0.40129999999999999</v>
      </c>
      <c r="D282" s="16">
        <v>0.56179999999999997</v>
      </c>
      <c r="E282" s="16">
        <v>4.8000000000000001E-2</v>
      </c>
      <c r="F282" s="16">
        <v>8.1900000000000001E-2</v>
      </c>
      <c r="G282" s="16">
        <v>0.1633</v>
      </c>
      <c r="H282" s="16">
        <v>4.8000000000000001E-2</v>
      </c>
      <c r="I282" s="16">
        <v>0.1837</v>
      </c>
      <c r="J282" s="16">
        <v>6.1600000000000002E-2</v>
      </c>
      <c r="K282" s="16">
        <v>0.14299999999999999</v>
      </c>
      <c r="L282" s="16">
        <v>0.1023</v>
      </c>
      <c r="M282" s="16">
        <v>4.8000000000000001E-2</v>
      </c>
      <c r="N282" s="16">
        <v>9.5500000000000002E-2</v>
      </c>
      <c r="O282" s="16">
        <v>0.14979999999999999</v>
      </c>
      <c r="P282" s="16">
        <v>4.8000000000000001E-2</v>
      </c>
      <c r="Q282" s="16">
        <v>0.21429999999999999</v>
      </c>
      <c r="R282" s="16">
        <v>0.10340000000000001</v>
      </c>
      <c r="S282" s="16">
        <v>4.8000000000000001E-2</v>
      </c>
      <c r="T282" s="16">
        <v>0.19969999999999999</v>
      </c>
      <c r="U282" s="16">
        <v>6.0299999999999999E-2</v>
      </c>
      <c r="V282" s="16">
        <v>0.157</v>
      </c>
      <c r="W282" s="16">
        <v>1.6780999999999999</v>
      </c>
      <c r="X282" s="16">
        <v>0.63519999999999999</v>
      </c>
      <c r="Y282" s="16">
        <v>0.67320000000000002</v>
      </c>
      <c r="Z282" s="16">
        <v>0.37390000000000001</v>
      </c>
      <c r="AA282" s="16">
        <v>0.29949999999999999</v>
      </c>
      <c r="AB282" s="16">
        <v>0.25140000000000001</v>
      </c>
      <c r="AC282" s="16">
        <v>0.39850000000000002</v>
      </c>
      <c r="AD282" s="16">
        <v>0.50180000000000002</v>
      </c>
      <c r="AE282" s="16">
        <v>0.28100000000000003</v>
      </c>
      <c r="AF282" s="16">
        <v>0.3891</v>
      </c>
      <c r="AG282" s="16">
        <v>0.1643</v>
      </c>
      <c r="AH282" s="16">
        <v>0.28939999999999999</v>
      </c>
      <c r="AI282" s="16">
        <v>0.26529999999999998</v>
      </c>
      <c r="AJ282" s="16">
        <v>0.1202</v>
      </c>
      <c r="AK282" s="16">
        <v>0.22739999999999999</v>
      </c>
      <c r="AL282" s="16">
        <v>9.5699999999999993E-2</v>
      </c>
      <c r="AM282" s="16">
        <v>0.30409999999999998</v>
      </c>
      <c r="AN282" s="16">
        <v>0.17460000000000001</v>
      </c>
      <c r="AO282" s="16">
        <v>0.1411</v>
      </c>
      <c r="AP282" s="16">
        <v>0.43009999999999998</v>
      </c>
      <c r="AQ282" s="16">
        <v>0.42149999999999999</v>
      </c>
      <c r="AR282" s="16">
        <v>0.77090000000000003</v>
      </c>
      <c r="AS282" s="16">
        <v>0.49049999999999999</v>
      </c>
      <c r="AT282" s="16">
        <v>0.66839999999999999</v>
      </c>
      <c r="AU282" s="16">
        <v>0.36409999999999998</v>
      </c>
      <c r="AV282" s="16">
        <v>5.4800000000000001E-2</v>
      </c>
      <c r="AW282" s="16">
        <v>0.30280000000000001</v>
      </c>
      <c r="AX282" s="16">
        <v>0.39369999999999999</v>
      </c>
    </row>
    <row r="283" spans="1:50" x14ac:dyDescent="0.25">
      <c r="A283" s="17" t="s">
        <v>643</v>
      </c>
      <c r="B283" s="13" t="s">
        <v>410</v>
      </c>
      <c r="C283" s="18">
        <v>0.17829999999999999</v>
      </c>
      <c r="D283" s="18">
        <v>0.1013</v>
      </c>
      <c r="E283" s="18">
        <v>0.12790000000000001</v>
      </c>
      <c r="F283" s="18">
        <v>0.22459999999999999</v>
      </c>
      <c r="G283" s="18">
        <v>6.3100000000000003E-2</v>
      </c>
      <c r="H283" s="18">
        <v>0.1198</v>
      </c>
      <c r="I283" s="18">
        <v>0.24479999999999999</v>
      </c>
      <c r="J283" s="18">
        <v>0.1076</v>
      </c>
      <c r="K283" s="18">
        <v>0.23830000000000001</v>
      </c>
      <c r="L283" s="18">
        <v>0.1142</v>
      </c>
      <c r="M283" s="18">
        <v>7.5200000000000003E-2</v>
      </c>
      <c r="N283" s="18">
        <v>0.24640000000000001</v>
      </c>
      <c r="O283" s="18">
        <v>8.5800000000000001E-2</v>
      </c>
      <c r="P283" s="18">
        <v>8.5800000000000001E-2</v>
      </c>
      <c r="Q283" s="18">
        <v>0.2666</v>
      </c>
      <c r="R283" s="18">
        <v>5.5E-2</v>
      </c>
      <c r="S283" s="18">
        <v>0.22689999999999999</v>
      </c>
      <c r="T283" s="18">
        <v>0.43340000000000001</v>
      </c>
      <c r="U283" s="18">
        <v>0.26440000000000002</v>
      </c>
      <c r="V283" s="18">
        <v>0.30320000000000003</v>
      </c>
      <c r="W283" s="18">
        <v>0.32929999999999998</v>
      </c>
      <c r="X283" s="18">
        <v>1.0754999999999999</v>
      </c>
      <c r="Y283" s="18">
        <v>0.1671</v>
      </c>
      <c r="Z283" s="18">
        <v>1.1581999999999999</v>
      </c>
      <c r="AA283" s="18">
        <v>2.1677</v>
      </c>
      <c r="AB283" s="18">
        <v>1.6464000000000001</v>
      </c>
      <c r="AC283" s="18">
        <v>0.2117</v>
      </c>
      <c r="AD283" s="18">
        <v>0.24729999999999999</v>
      </c>
      <c r="AE283" s="18">
        <v>0.10050000000000001</v>
      </c>
      <c r="AF283" s="18">
        <v>0.3155</v>
      </c>
      <c r="AG283" s="18">
        <v>9.35E-2</v>
      </c>
      <c r="AH283" s="18">
        <v>0.1013</v>
      </c>
      <c r="AI283" s="18">
        <v>0.23899999999999999</v>
      </c>
      <c r="AJ283" s="18">
        <v>6.7100000000000007E-2</v>
      </c>
      <c r="AK283" s="18">
        <v>0.24959999999999999</v>
      </c>
      <c r="AL283" s="18">
        <v>0.1028</v>
      </c>
      <c r="AM283" s="18">
        <v>5.5E-2</v>
      </c>
      <c r="AN283" s="18">
        <v>0.10680000000000001</v>
      </c>
      <c r="AO283" s="18">
        <v>0.24560000000000001</v>
      </c>
      <c r="AP283" s="18">
        <v>5.5E-2</v>
      </c>
      <c r="AQ283" s="18">
        <v>0.28199999999999997</v>
      </c>
      <c r="AR283" s="18">
        <v>7.0400000000000004E-2</v>
      </c>
      <c r="AS283" s="18">
        <v>0.14099999999999999</v>
      </c>
      <c r="AT283" s="18">
        <v>0.21149999999999999</v>
      </c>
      <c r="AU283" s="18">
        <v>5.5E-2</v>
      </c>
      <c r="AV283" s="18">
        <v>0.26100000000000001</v>
      </c>
      <c r="AW283" s="18">
        <v>9.1399999999999995E-2</v>
      </c>
      <c r="AX283" s="18">
        <v>0.22009999999999999</v>
      </c>
    </row>
    <row r="284" spans="1:50" x14ac:dyDescent="0.25">
      <c r="A284" s="8" t="s">
        <v>378</v>
      </c>
      <c r="B284" s="10" t="s">
        <v>57</v>
      </c>
      <c r="C284" s="16">
        <v>0.13070000000000001</v>
      </c>
      <c r="D284" s="16">
        <v>0.1171</v>
      </c>
      <c r="E284" s="16">
        <v>7.6200000000000004E-2</v>
      </c>
      <c r="F284" s="16">
        <v>0.17150000000000001</v>
      </c>
      <c r="G284" s="16">
        <v>4.9000000000000002E-2</v>
      </c>
      <c r="H284" s="16">
        <v>0.19189999999999999</v>
      </c>
      <c r="I284" s="16">
        <v>5.5800000000000002E-2</v>
      </c>
      <c r="J284" s="16">
        <v>8.9800000000000005E-2</v>
      </c>
      <c r="K284" s="16">
        <v>0.19</v>
      </c>
      <c r="L284" s="16">
        <v>0.43509999999999999</v>
      </c>
      <c r="M284" s="16">
        <v>0.2298</v>
      </c>
      <c r="N284" s="16">
        <v>4.9000000000000002E-2</v>
      </c>
      <c r="O284" s="16">
        <v>4.9000000000000002E-2</v>
      </c>
      <c r="P284" s="16">
        <v>0.19869999999999999</v>
      </c>
      <c r="Q284" s="16">
        <v>4.9000000000000002E-2</v>
      </c>
      <c r="R284" s="16">
        <v>4.9000000000000002E-2</v>
      </c>
      <c r="S284" s="16">
        <v>0.1636</v>
      </c>
      <c r="T284" s="16">
        <v>0.1706</v>
      </c>
      <c r="U284" s="16">
        <v>0.2026</v>
      </c>
      <c r="V284" s="16">
        <v>0.2676</v>
      </c>
      <c r="W284" s="16">
        <v>0.23449999999999999</v>
      </c>
      <c r="X284" s="16">
        <v>4.9000000000000002E-2</v>
      </c>
      <c r="Y284" s="16">
        <v>0.15790000000000001</v>
      </c>
      <c r="Z284" s="16">
        <v>8.9800000000000005E-2</v>
      </c>
      <c r="AA284" s="16">
        <v>0.1171</v>
      </c>
      <c r="AB284" s="16">
        <v>0.13070000000000001</v>
      </c>
      <c r="AC284" s="16">
        <v>0.15240000000000001</v>
      </c>
      <c r="AD284" s="16">
        <v>0.54469999999999996</v>
      </c>
      <c r="AE284" s="16">
        <v>0.27989999999999998</v>
      </c>
      <c r="AF284" s="16">
        <v>0.2263</v>
      </c>
      <c r="AG284" s="16">
        <v>0.15110000000000001</v>
      </c>
      <c r="AH284" s="16">
        <v>0.17319999999999999</v>
      </c>
      <c r="AI284" s="16">
        <v>0.25009999999999999</v>
      </c>
      <c r="AJ284" s="16">
        <v>0.2631</v>
      </c>
      <c r="AK284" s="16">
        <v>0.1123</v>
      </c>
      <c r="AL284" s="16">
        <v>0.42380000000000001</v>
      </c>
      <c r="AM284" s="16">
        <v>9.8199999999999996E-2</v>
      </c>
      <c r="AN284" s="16">
        <v>0.2525</v>
      </c>
      <c r="AO284" s="16">
        <v>0.16450000000000001</v>
      </c>
      <c r="AP284" s="16">
        <v>0.1585</v>
      </c>
      <c r="AQ284" s="16">
        <v>0.1239</v>
      </c>
      <c r="AR284" s="16">
        <v>4.9000000000000002E-2</v>
      </c>
      <c r="AS284" s="16">
        <v>0.15790000000000001</v>
      </c>
      <c r="AT284" s="16">
        <v>8.9800000000000005E-2</v>
      </c>
      <c r="AU284" s="16">
        <v>0.99639999999999995</v>
      </c>
      <c r="AV284" s="16">
        <v>0.248</v>
      </c>
      <c r="AW284" s="16">
        <v>0.22439999999999999</v>
      </c>
      <c r="AX284" s="16">
        <v>0.1179</v>
      </c>
    </row>
    <row r="285" spans="1:50" x14ac:dyDescent="0.25">
      <c r="A285" s="8" t="s">
        <v>380</v>
      </c>
      <c r="B285" s="10" t="s">
        <v>57</v>
      </c>
      <c r="C285" s="16">
        <v>0.61019999999999996</v>
      </c>
      <c r="D285" s="16">
        <v>0.23050000000000001</v>
      </c>
      <c r="E285" s="16">
        <v>0.1043</v>
      </c>
      <c r="F285" s="16">
        <v>0.16439999999999999</v>
      </c>
      <c r="G285" s="16">
        <v>0.17030000000000001</v>
      </c>
      <c r="H285" s="16">
        <v>9.0999999999999998E-2</v>
      </c>
      <c r="I285" s="16">
        <v>0.21729999999999999</v>
      </c>
      <c r="J285" s="16">
        <v>7.3400000000000007E-2</v>
      </c>
      <c r="K285" s="16">
        <v>0.27010000000000001</v>
      </c>
      <c r="L285" s="16">
        <v>6.4600000000000005E-2</v>
      </c>
      <c r="M285" s="16">
        <v>4.7E-2</v>
      </c>
      <c r="N285" s="16">
        <v>0.20849999999999999</v>
      </c>
      <c r="O285" s="16">
        <v>4.7E-2</v>
      </c>
      <c r="P285" s="16">
        <v>0.16300000000000001</v>
      </c>
      <c r="Q285" s="16">
        <v>0.17180000000000001</v>
      </c>
      <c r="R285" s="16">
        <v>1.0381</v>
      </c>
      <c r="S285" s="16">
        <v>0.3538</v>
      </c>
      <c r="T285" s="16">
        <v>1.4623999999999999</v>
      </c>
      <c r="U285" s="16">
        <v>1.3136000000000001</v>
      </c>
      <c r="V285" s="16">
        <v>0.69030000000000002</v>
      </c>
      <c r="W285" s="16">
        <v>0.1363</v>
      </c>
      <c r="X285" s="16">
        <v>0.39129999999999998</v>
      </c>
      <c r="Y285" s="16">
        <v>0.3841</v>
      </c>
      <c r="Z285" s="16">
        <v>2.0924999999999998</v>
      </c>
      <c r="AA285" s="16">
        <v>1.0911</v>
      </c>
      <c r="AB285" s="16">
        <v>0.35980000000000001</v>
      </c>
      <c r="AC285" s="16">
        <v>0.41149999999999998</v>
      </c>
      <c r="AD285" s="16">
        <v>0.48849999999999999</v>
      </c>
      <c r="AE285" s="16">
        <v>0.35320000000000001</v>
      </c>
      <c r="AF285" s="16">
        <v>0.92759999999999998</v>
      </c>
      <c r="AG285" s="16">
        <v>1.2305999999999999</v>
      </c>
      <c r="AH285" s="16">
        <v>2.0705</v>
      </c>
      <c r="AI285" s="16">
        <v>0.34749999999999998</v>
      </c>
      <c r="AJ285" s="16">
        <v>0.50019999999999998</v>
      </c>
      <c r="AK285" s="16">
        <v>1.0269999999999999</v>
      </c>
      <c r="AL285" s="16">
        <v>0.79</v>
      </c>
      <c r="AM285" s="16">
        <v>0.4466</v>
      </c>
      <c r="AN285" s="16">
        <v>0.18640000000000001</v>
      </c>
      <c r="AO285" s="16">
        <v>0.45079999999999998</v>
      </c>
      <c r="AP285" s="16">
        <v>0.43180000000000002</v>
      </c>
      <c r="AQ285" s="16">
        <v>2.1678999999999999</v>
      </c>
      <c r="AR285" s="16">
        <v>2.4651999999999998</v>
      </c>
      <c r="AS285" s="16">
        <v>1.9231</v>
      </c>
      <c r="AT285" s="16">
        <v>1.6922999999999999</v>
      </c>
      <c r="AU285" s="16">
        <v>1.179</v>
      </c>
      <c r="AV285" s="16">
        <v>0.39539999999999997</v>
      </c>
      <c r="AW285" s="16">
        <v>0.1263</v>
      </c>
      <c r="AX285" s="16">
        <v>0.17910000000000001</v>
      </c>
    </row>
    <row r="286" spans="1:50" x14ac:dyDescent="0.25">
      <c r="A286" s="8" t="s">
        <v>382</v>
      </c>
      <c r="B286" s="10" t="s">
        <v>57</v>
      </c>
      <c r="C286" s="16">
        <v>4.8000000000000001E-2</v>
      </c>
      <c r="D286" s="16">
        <v>4.8000000000000001E-2</v>
      </c>
      <c r="E286" s="16">
        <v>4.8000000000000001E-2</v>
      </c>
      <c r="F286" s="16">
        <v>4.8000000000000001E-2</v>
      </c>
      <c r="G286" s="16">
        <v>4.8000000000000001E-2</v>
      </c>
      <c r="H286" s="16">
        <v>4.8000000000000001E-2</v>
      </c>
      <c r="I286" s="16">
        <v>4.8000000000000001E-2</v>
      </c>
      <c r="J286" s="16">
        <v>4.8000000000000001E-2</v>
      </c>
      <c r="K286" s="16">
        <v>4.8000000000000001E-2</v>
      </c>
      <c r="L286" s="16">
        <v>4.8000000000000001E-2</v>
      </c>
      <c r="M286" s="16">
        <v>4.8000000000000001E-2</v>
      </c>
      <c r="N286" s="16">
        <v>4.8000000000000001E-2</v>
      </c>
      <c r="O286" s="16">
        <v>4.8000000000000001E-2</v>
      </c>
      <c r="P286" s="16">
        <v>4.8000000000000001E-2</v>
      </c>
      <c r="Q286" s="16">
        <v>5.45E-2</v>
      </c>
      <c r="R286" s="16">
        <v>0.14560000000000001</v>
      </c>
      <c r="S286" s="16">
        <v>4.8000000000000001E-2</v>
      </c>
      <c r="T286" s="16">
        <v>4.8000000000000001E-2</v>
      </c>
      <c r="U286" s="16">
        <v>4.8000000000000001E-2</v>
      </c>
      <c r="V286" s="16">
        <v>4.8000000000000001E-2</v>
      </c>
      <c r="W286" s="16">
        <v>0.33579999999999999</v>
      </c>
      <c r="X286" s="16">
        <v>3.0301999999999998</v>
      </c>
      <c r="Y286" s="16">
        <v>2.3349000000000002</v>
      </c>
      <c r="Z286" s="16">
        <v>0.67030000000000001</v>
      </c>
      <c r="AA286" s="16">
        <v>8.1100000000000005E-2</v>
      </c>
      <c r="AB286" s="16">
        <v>8.3099999999999993E-2</v>
      </c>
      <c r="AC286" s="16">
        <v>0.24560000000000001</v>
      </c>
      <c r="AD286" s="16">
        <v>4.8000000000000001E-2</v>
      </c>
      <c r="AE286" s="16">
        <v>4.8000000000000001E-2</v>
      </c>
      <c r="AF286" s="16">
        <v>0.1416</v>
      </c>
      <c r="AG286" s="16">
        <v>6.1699999999999998E-2</v>
      </c>
      <c r="AH286" s="16">
        <v>0.1522</v>
      </c>
      <c r="AI286" s="16">
        <v>0.13239999999999999</v>
      </c>
      <c r="AJ286" s="16">
        <v>2.2084000000000001</v>
      </c>
      <c r="AK286" s="16">
        <v>0.15240000000000001</v>
      </c>
      <c r="AL286" s="16">
        <v>0.1033</v>
      </c>
      <c r="AM286" s="16">
        <v>9.5699999999999993E-2</v>
      </c>
      <c r="AN286" s="16">
        <v>0.28560000000000002</v>
      </c>
      <c r="AO286" s="16">
        <v>9.6000000000000002E-2</v>
      </c>
      <c r="AP286" s="16">
        <v>0.21010000000000001</v>
      </c>
      <c r="AQ286" s="16">
        <v>0.30890000000000001</v>
      </c>
      <c r="AR286" s="16">
        <v>0.189</v>
      </c>
      <c r="AS286" s="16">
        <v>0.2424</v>
      </c>
      <c r="AT286" s="16">
        <v>0.2414</v>
      </c>
      <c r="AU286" s="16">
        <v>0.32100000000000001</v>
      </c>
      <c r="AV286" s="16">
        <v>0.84660000000000002</v>
      </c>
      <c r="AW286" s="16">
        <v>0.28949999999999998</v>
      </c>
      <c r="AX286" s="16">
        <v>4.8000000000000001E-2</v>
      </c>
    </row>
    <row r="287" spans="1:50" x14ac:dyDescent="0.25">
      <c r="A287" s="17" t="s">
        <v>645</v>
      </c>
      <c r="B287" s="13" t="s">
        <v>410</v>
      </c>
      <c r="C287" s="18">
        <v>0.14530000000000001</v>
      </c>
      <c r="D287" s="18">
        <v>4.7E-2</v>
      </c>
      <c r="E287" s="18">
        <v>0.1143</v>
      </c>
      <c r="F287" s="18">
        <v>0.18310000000000001</v>
      </c>
      <c r="G287" s="18">
        <v>8.3199999999999996E-2</v>
      </c>
      <c r="H287" s="18">
        <v>0.2142</v>
      </c>
      <c r="I287" s="18">
        <v>4.7E-2</v>
      </c>
      <c r="J287" s="18">
        <v>0.10249999999999999</v>
      </c>
      <c r="K287" s="18">
        <v>0.19489999999999999</v>
      </c>
      <c r="L287" s="18">
        <v>4.7E-2</v>
      </c>
      <c r="M287" s="18">
        <v>4.7E-2</v>
      </c>
      <c r="N287" s="18">
        <v>0.13650000000000001</v>
      </c>
      <c r="O287" s="18">
        <v>0.16089999999999999</v>
      </c>
      <c r="P287" s="18">
        <v>4.7E-2</v>
      </c>
      <c r="Q287" s="18">
        <v>0.1195</v>
      </c>
      <c r="R287" s="18">
        <v>0.16800000000000001</v>
      </c>
      <c r="S287" s="18">
        <v>7.7700000000000005E-2</v>
      </c>
      <c r="T287" s="18">
        <v>0.14019999999999999</v>
      </c>
      <c r="U287" s="18">
        <v>0.13650000000000001</v>
      </c>
      <c r="V287" s="18">
        <v>0.58340000000000003</v>
      </c>
      <c r="W287" s="18">
        <v>0.97099999999999997</v>
      </c>
      <c r="X287" s="18">
        <v>4.7E-2</v>
      </c>
      <c r="Y287" s="18">
        <v>0.15570000000000001</v>
      </c>
      <c r="Z287" s="18">
        <v>0.14169999999999999</v>
      </c>
      <c r="AA287" s="18">
        <v>4.7E-2</v>
      </c>
      <c r="AB287" s="18">
        <v>0.1822</v>
      </c>
      <c r="AC287" s="18">
        <v>0.17649999999999999</v>
      </c>
      <c r="AD287" s="18">
        <v>0.1171</v>
      </c>
      <c r="AE287" s="18">
        <v>0.19370000000000001</v>
      </c>
      <c r="AF287" s="18">
        <v>9.0499999999999997E-2</v>
      </c>
      <c r="AG287" s="18">
        <v>0.20599999999999999</v>
      </c>
      <c r="AH287" s="18">
        <v>0.17510000000000001</v>
      </c>
      <c r="AI287" s="18">
        <v>0.13059999999999999</v>
      </c>
      <c r="AJ287" s="18">
        <v>0.1275</v>
      </c>
      <c r="AK287" s="18">
        <v>0.19819999999999999</v>
      </c>
      <c r="AL287" s="18">
        <v>0.1183</v>
      </c>
      <c r="AM287" s="18">
        <v>0.2697</v>
      </c>
      <c r="AN287" s="18">
        <v>0.36509999999999998</v>
      </c>
      <c r="AO287" s="18">
        <v>0.25569999999999998</v>
      </c>
      <c r="AP287" s="18">
        <v>0.40820000000000001</v>
      </c>
      <c r="AQ287" s="18">
        <v>0.58860000000000001</v>
      </c>
      <c r="AR287" s="18">
        <v>0.62529999999999997</v>
      </c>
      <c r="AS287" s="18">
        <v>4.7E-2</v>
      </c>
      <c r="AT287" s="18">
        <v>0.1195</v>
      </c>
      <c r="AU287" s="18">
        <v>8.8400000000000006E-2</v>
      </c>
      <c r="AV287" s="18">
        <v>6.1899999999999997E-2</v>
      </c>
      <c r="AW287" s="18">
        <v>0.23549999999999999</v>
      </c>
      <c r="AX287" s="18">
        <v>4.7E-2</v>
      </c>
    </row>
    <row r="288" spans="1:50" x14ac:dyDescent="0.25">
      <c r="A288" s="8" t="s">
        <v>384</v>
      </c>
      <c r="B288" s="10" t="s">
        <v>57</v>
      </c>
      <c r="C288" s="16">
        <v>2.9000000000000001E-2</v>
      </c>
      <c r="D288" s="16">
        <v>2.9000000000000001E-2</v>
      </c>
      <c r="E288" s="16">
        <v>2.9000000000000001E-2</v>
      </c>
      <c r="F288" s="16">
        <v>2.9000000000000001E-2</v>
      </c>
      <c r="G288" s="16">
        <v>2.9000000000000001E-2</v>
      </c>
      <c r="H288" s="16">
        <v>2.9000000000000001E-2</v>
      </c>
      <c r="I288" s="16">
        <v>2.9000000000000001E-2</v>
      </c>
      <c r="J288" s="16">
        <v>2.9000000000000001E-2</v>
      </c>
      <c r="K288" s="16">
        <v>2.9000000000000001E-2</v>
      </c>
      <c r="L288" s="16">
        <v>2.9000000000000001E-2</v>
      </c>
      <c r="M288" s="16">
        <v>2.9000000000000001E-2</v>
      </c>
      <c r="N288" s="16">
        <v>2.9000000000000001E-2</v>
      </c>
      <c r="O288" s="16">
        <v>2.9000000000000001E-2</v>
      </c>
      <c r="P288" s="16">
        <v>2.9000000000000001E-2</v>
      </c>
      <c r="Q288" s="16">
        <v>2.9000000000000001E-2</v>
      </c>
      <c r="R288" s="16">
        <v>2.9000000000000001E-2</v>
      </c>
      <c r="S288" s="16">
        <v>2.9000000000000001E-2</v>
      </c>
      <c r="T288" s="16">
        <v>2.9000000000000001E-2</v>
      </c>
      <c r="U288" s="16">
        <v>2.9000000000000001E-2</v>
      </c>
      <c r="V288" s="16">
        <v>2.9000000000000001E-2</v>
      </c>
      <c r="W288" s="16">
        <v>2.9000000000000001E-2</v>
      </c>
      <c r="X288" s="16">
        <v>2.9000000000000001E-2</v>
      </c>
      <c r="Y288" s="16">
        <v>2.9000000000000001E-2</v>
      </c>
      <c r="Z288" s="16">
        <v>2.9000000000000001E-2</v>
      </c>
      <c r="AA288" s="16">
        <v>2.9000000000000001E-2</v>
      </c>
      <c r="AB288" s="16">
        <v>0.67879999999999996</v>
      </c>
      <c r="AC288" s="16">
        <v>0.79149999999999998</v>
      </c>
      <c r="AD288" s="16">
        <v>5.91E-2</v>
      </c>
      <c r="AE288" s="16">
        <v>4.9000000000000002E-2</v>
      </c>
      <c r="AF288" s="16">
        <v>2.9000000000000001E-2</v>
      </c>
      <c r="AG288" s="16">
        <v>2.9000000000000001E-2</v>
      </c>
      <c r="AH288" s="16">
        <v>2.9000000000000001E-2</v>
      </c>
      <c r="AI288" s="16">
        <v>2.9000000000000001E-2</v>
      </c>
      <c r="AJ288" s="16">
        <v>2.9000000000000001E-2</v>
      </c>
      <c r="AK288" s="16">
        <v>2.9000000000000001E-2</v>
      </c>
      <c r="AL288" s="16">
        <v>2.9000000000000001E-2</v>
      </c>
      <c r="AM288" s="16">
        <v>2.9000000000000001E-2</v>
      </c>
      <c r="AN288" s="16">
        <v>6.8000000000000005E-2</v>
      </c>
      <c r="AO288" s="16">
        <v>0.1721</v>
      </c>
      <c r="AP288" s="16">
        <v>1.3440000000000001</v>
      </c>
      <c r="AQ288" s="16">
        <v>0.50860000000000005</v>
      </c>
      <c r="AR288" s="16">
        <v>0.56669999999999998</v>
      </c>
      <c r="AS288" s="16">
        <v>0.59540000000000004</v>
      </c>
      <c r="AT288" s="16">
        <v>0.47010000000000002</v>
      </c>
      <c r="AU288" s="16">
        <v>0.38290000000000002</v>
      </c>
      <c r="AV288" s="16">
        <v>0.46179999999999999</v>
      </c>
      <c r="AW288" s="16">
        <v>0.18479999999999999</v>
      </c>
      <c r="AX288" s="16">
        <v>2.9000000000000001E-2</v>
      </c>
    </row>
    <row r="289" spans="1:50" x14ac:dyDescent="0.25">
      <c r="A289" s="17" t="s">
        <v>647</v>
      </c>
      <c r="B289" s="13" t="s">
        <v>410</v>
      </c>
      <c r="C289" s="18">
        <v>0.36720000000000003</v>
      </c>
      <c r="D289" s="18">
        <v>0.4471</v>
      </c>
      <c r="E289" s="18">
        <v>0.17230000000000001</v>
      </c>
      <c r="F289" s="18">
        <v>0.5444</v>
      </c>
      <c r="G289" s="18">
        <v>0.23119999999999999</v>
      </c>
      <c r="H289" s="18">
        <v>0.33339999999999997</v>
      </c>
      <c r="I289" s="18">
        <v>0.5202</v>
      </c>
      <c r="J289" s="18">
        <v>7.5600000000000001E-2</v>
      </c>
      <c r="K289" s="18">
        <v>4.8000000000000001E-2</v>
      </c>
      <c r="L289" s="18">
        <v>4.8000000000000001E-2</v>
      </c>
      <c r="M289" s="18">
        <v>0.19989999999999999</v>
      </c>
      <c r="N289" s="18">
        <v>4.8000000000000001E-2</v>
      </c>
      <c r="O289" s="18">
        <v>0.16539999999999999</v>
      </c>
      <c r="P289" s="18">
        <v>8.2500000000000004E-2</v>
      </c>
      <c r="Q289" s="18">
        <v>0.124</v>
      </c>
      <c r="R289" s="18">
        <v>0.124</v>
      </c>
      <c r="S289" s="18">
        <v>4.8000000000000001E-2</v>
      </c>
      <c r="T289" s="18">
        <v>8.2500000000000004E-2</v>
      </c>
      <c r="U289" s="18">
        <v>0.16539999999999999</v>
      </c>
      <c r="V289" s="18">
        <v>4.8000000000000001E-2</v>
      </c>
      <c r="W289" s="18">
        <v>4.8000000000000001E-2</v>
      </c>
      <c r="X289" s="18">
        <v>4.8000000000000001E-2</v>
      </c>
      <c r="Y289" s="18">
        <v>0.19989999999999999</v>
      </c>
      <c r="Z289" s="18">
        <v>4.8000000000000001E-2</v>
      </c>
      <c r="AA289" s="18">
        <v>0.1447</v>
      </c>
      <c r="AB289" s="18">
        <v>0.1032</v>
      </c>
      <c r="AC289" s="18">
        <v>4.8000000000000001E-2</v>
      </c>
      <c r="AD289" s="18">
        <v>8.9399999999999993E-2</v>
      </c>
      <c r="AE289" s="18">
        <v>0.1585</v>
      </c>
      <c r="AF289" s="18">
        <v>4.8000000000000001E-2</v>
      </c>
      <c r="AG289" s="18">
        <v>4.8000000000000001E-2</v>
      </c>
      <c r="AH289" s="18">
        <v>0.19989999999999999</v>
      </c>
      <c r="AI289" s="18">
        <v>4.8000000000000001E-2</v>
      </c>
      <c r="AJ289" s="18">
        <v>0.18609999999999999</v>
      </c>
      <c r="AK289" s="18">
        <v>6.1800000000000001E-2</v>
      </c>
      <c r="AL289" s="18">
        <v>5.8799999999999998E-2</v>
      </c>
      <c r="AM289" s="18">
        <v>4.8000000000000001E-2</v>
      </c>
      <c r="AN289" s="18">
        <v>0.4602</v>
      </c>
      <c r="AO289" s="18">
        <v>0.2001</v>
      </c>
      <c r="AP289" s="18">
        <v>0.2054</v>
      </c>
      <c r="AQ289" s="18">
        <v>0.27729999999999999</v>
      </c>
      <c r="AR289" s="18">
        <v>0.19620000000000001</v>
      </c>
      <c r="AS289" s="18">
        <v>0.36909999999999998</v>
      </c>
      <c r="AT289" s="18">
        <v>0.36749999999999999</v>
      </c>
      <c r="AU289" s="18">
        <v>0.44890000000000002</v>
      </c>
      <c r="AV289" s="18">
        <v>0.43940000000000001</v>
      </c>
      <c r="AW289" s="18">
        <v>0.44</v>
      </c>
      <c r="AX289" s="18">
        <v>0.25319999999999998</v>
      </c>
    </row>
    <row r="290" spans="1:50" x14ac:dyDescent="0.25">
      <c r="A290" s="8" t="s">
        <v>386</v>
      </c>
      <c r="B290" s="10" t="s">
        <v>57</v>
      </c>
      <c r="C290" s="16">
        <v>0.43080000000000002</v>
      </c>
      <c r="D290" s="16">
        <v>0.43709999999999999</v>
      </c>
      <c r="E290" s="16">
        <v>3.9E-2</v>
      </c>
      <c r="F290" s="16">
        <v>0.1419</v>
      </c>
      <c r="G290" s="16">
        <v>0.1943</v>
      </c>
      <c r="H290" s="16">
        <v>3.9E-2</v>
      </c>
      <c r="I290" s="16">
        <v>0.1046</v>
      </c>
      <c r="J290" s="16">
        <v>0.23169999999999999</v>
      </c>
      <c r="K290" s="16">
        <v>3.9E-2</v>
      </c>
      <c r="L290" s="16">
        <v>0.1943</v>
      </c>
      <c r="M290" s="16">
        <v>0.1419</v>
      </c>
      <c r="N290" s="16">
        <v>3.9E-2</v>
      </c>
      <c r="O290" s="16">
        <v>0.24579999999999999</v>
      </c>
      <c r="P290" s="16">
        <v>9.0499999999999997E-2</v>
      </c>
      <c r="Q290" s="16">
        <v>0.159</v>
      </c>
      <c r="R290" s="16">
        <v>0.1772</v>
      </c>
      <c r="S290" s="16">
        <v>7.0300000000000001E-2</v>
      </c>
      <c r="T290" s="16">
        <v>0.18720000000000001</v>
      </c>
      <c r="U290" s="16">
        <v>0.1434</v>
      </c>
      <c r="V290" s="16">
        <v>0.32900000000000001</v>
      </c>
      <c r="W290" s="16">
        <v>0.22489999999999999</v>
      </c>
      <c r="X290" s="16">
        <v>0.249</v>
      </c>
      <c r="Y290" s="16">
        <v>0.1875</v>
      </c>
      <c r="Z290" s="16">
        <v>0.55269999999999997</v>
      </c>
      <c r="AA290" s="16">
        <v>0.1875</v>
      </c>
      <c r="AB290" s="16">
        <v>0.5383</v>
      </c>
      <c r="AC290" s="16">
        <v>0.25369999999999998</v>
      </c>
      <c r="AD290" s="16">
        <v>6.0199999999999997E-2</v>
      </c>
      <c r="AE290" s="16">
        <v>0.27610000000000001</v>
      </c>
      <c r="AF290" s="16">
        <v>3.9E-2</v>
      </c>
      <c r="AG290" s="16">
        <v>0.20369999999999999</v>
      </c>
      <c r="AH290" s="16">
        <v>0.13250000000000001</v>
      </c>
      <c r="AI290" s="16">
        <v>3.9E-2</v>
      </c>
      <c r="AJ290" s="16">
        <v>0.26900000000000002</v>
      </c>
      <c r="AK290" s="16">
        <v>6.7199999999999996E-2</v>
      </c>
      <c r="AL290" s="16">
        <v>0.28439999999999999</v>
      </c>
      <c r="AM290" s="16">
        <v>0.44330000000000003</v>
      </c>
      <c r="AN290" s="16">
        <v>1.1485000000000001</v>
      </c>
      <c r="AO290" s="16">
        <v>0.39350000000000002</v>
      </c>
      <c r="AP290" s="16">
        <v>0.26950000000000002</v>
      </c>
      <c r="AQ290" s="16">
        <v>3.9E-2</v>
      </c>
      <c r="AR290" s="16">
        <v>0.1419</v>
      </c>
      <c r="AS290" s="16">
        <v>0.1943</v>
      </c>
      <c r="AT290" s="16">
        <v>8.3099999999999993E-2</v>
      </c>
      <c r="AU290" s="16">
        <v>0.11899999999999999</v>
      </c>
      <c r="AV290" s="16">
        <v>0.1731</v>
      </c>
      <c r="AW290" s="16">
        <v>0.1419</v>
      </c>
      <c r="AX290" s="16">
        <v>0.1449</v>
      </c>
    </row>
    <row r="291" spans="1:50" x14ac:dyDescent="0.25">
      <c r="A291" s="8" t="s">
        <v>388</v>
      </c>
      <c r="B291" s="10" t="s">
        <v>57</v>
      </c>
      <c r="C291" s="16">
        <v>6.2399999999999997E-2</v>
      </c>
      <c r="D291" s="16">
        <v>0.19189999999999999</v>
      </c>
      <c r="E291" s="16">
        <v>3.7999999999999999E-2</v>
      </c>
      <c r="F291" s="16">
        <v>0.1535</v>
      </c>
      <c r="G291" s="16">
        <v>0.1008</v>
      </c>
      <c r="H291" s="16">
        <v>3.7999999999999999E-2</v>
      </c>
      <c r="I291" s="16">
        <v>0.1605</v>
      </c>
      <c r="J291" s="16">
        <v>9.3799999999999994E-2</v>
      </c>
      <c r="K291" s="16">
        <v>0.13700000000000001</v>
      </c>
      <c r="L291" s="16">
        <v>5.45E-2</v>
      </c>
      <c r="M291" s="16">
        <v>0.1008</v>
      </c>
      <c r="N291" s="16">
        <v>0.1535</v>
      </c>
      <c r="O291" s="16">
        <v>3.7999999999999999E-2</v>
      </c>
      <c r="P291" s="16">
        <v>3.7999999999999999E-2</v>
      </c>
      <c r="Q291" s="16">
        <v>0.1535</v>
      </c>
      <c r="R291" s="16">
        <v>0.1008</v>
      </c>
      <c r="S291" s="16">
        <v>3.7999999999999999E-2</v>
      </c>
      <c r="T291" s="16">
        <v>0.21629999999999999</v>
      </c>
      <c r="U291" s="16">
        <v>3.7999999999999999E-2</v>
      </c>
      <c r="V291" s="16">
        <v>8.7499999999999994E-2</v>
      </c>
      <c r="W291" s="16">
        <v>0.13539999999999999</v>
      </c>
      <c r="X291" s="16">
        <v>6.9400000000000003E-2</v>
      </c>
      <c r="Y291" s="16">
        <v>0.1535</v>
      </c>
      <c r="Z291" s="16">
        <v>3.7999999999999999E-2</v>
      </c>
      <c r="AA291" s="16">
        <v>9.5699999999999993E-2</v>
      </c>
      <c r="AB291" s="16">
        <v>0.15859999999999999</v>
      </c>
      <c r="AC291" s="16">
        <v>3.7999999999999999E-2</v>
      </c>
      <c r="AD291" s="16">
        <v>0.16270000000000001</v>
      </c>
      <c r="AE291" s="16">
        <v>9.1600000000000001E-2</v>
      </c>
      <c r="AF291" s="16">
        <v>6.2399999999999997E-2</v>
      </c>
      <c r="AG291" s="16">
        <v>0.15060000000000001</v>
      </c>
      <c r="AH291" s="16">
        <v>7.9200000000000007E-2</v>
      </c>
      <c r="AI291" s="16">
        <v>6.9400000000000003E-2</v>
      </c>
      <c r="AJ291" s="16">
        <v>9.4200000000000006E-2</v>
      </c>
      <c r="AK291" s="16">
        <v>0.1706</v>
      </c>
      <c r="AL291" s="16">
        <v>0.39169999999999999</v>
      </c>
      <c r="AM291" s="16">
        <v>0.30499999999999999</v>
      </c>
      <c r="AN291" s="16">
        <v>0.27629999999999999</v>
      </c>
      <c r="AO291" s="16">
        <v>0.26919999999999999</v>
      </c>
      <c r="AP291" s="16">
        <v>0.53590000000000004</v>
      </c>
      <c r="AQ291" s="16">
        <v>0.52200000000000002</v>
      </c>
      <c r="AR291" s="16">
        <v>0.30780000000000002</v>
      </c>
      <c r="AS291" s="16">
        <v>0.55689999999999995</v>
      </c>
      <c r="AT291" s="16">
        <v>0.6149</v>
      </c>
      <c r="AU291" s="16">
        <v>0.59279999999999999</v>
      </c>
      <c r="AV291" s="16">
        <v>0.54490000000000005</v>
      </c>
      <c r="AW291" s="16">
        <v>3.7999999999999999E-2</v>
      </c>
      <c r="AX291" s="16">
        <v>0.1535</v>
      </c>
    </row>
    <row r="292" spans="1:50" x14ac:dyDescent="0.25">
      <c r="A292" s="8" t="s">
        <v>390</v>
      </c>
      <c r="B292" s="10" t="s">
        <v>57</v>
      </c>
      <c r="C292" s="16">
        <v>4.7E-2</v>
      </c>
      <c r="D292" s="16">
        <v>4.7E-2</v>
      </c>
      <c r="E292" s="16">
        <v>4.7E-2</v>
      </c>
      <c r="F292" s="16">
        <v>4.7E-2</v>
      </c>
      <c r="G292" s="16">
        <v>4.7E-2</v>
      </c>
      <c r="H292" s="16">
        <v>4.7E-2</v>
      </c>
      <c r="I292" s="16">
        <v>4.7E-2</v>
      </c>
      <c r="J292" s="16">
        <v>4.7E-2</v>
      </c>
      <c r="K292" s="16">
        <v>4.7E-2</v>
      </c>
      <c r="L292" s="16">
        <v>4.7E-2</v>
      </c>
      <c r="M292" s="16">
        <v>4.7E-2</v>
      </c>
      <c r="N292" s="16">
        <v>4.7E-2</v>
      </c>
      <c r="O292" s="16">
        <v>4.7E-2</v>
      </c>
      <c r="P292" s="16">
        <v>4.7E-2</v>
      </c>
      <c r="Q292" s="16">
        <v>4.7E-2</v>
      </c>
      <c r="R292" s="16">
        <v>6.0299999999999999E-2</v>
      </c>
      <c r="S292" s="16">
        <v>5.3699999999999998E-2</v>
      </c>
      <c r="T292" s="16">
        <v>4.7E-2</v>
      </c>
      <c r="U292" s="16">
        <v>4.7E-2</v>
      </c>
      <c r="V292" s="16">
        <v>4.7E-2</v>
      </c>
      <c r="W292" s="16">
        <v>4.7E-2</v>
      </c>
      <c r="X292" s="16">
        <v>5.5E-2</v>
      </c>
      <c r="Y292" s="16">
        <v>8.2000000000000003E-2</v>
      </c>
      <c r="Z292" s="16">
        <v>5.9700000000000003E-2</v>
      </c>
      <c r="AA292" s="16">
        <v>6.4500000000000002E-2</v>
      </c>
      <c r="AB292" s="16">
        <v>4.7E-2</v>
      </c>
      <c r="AC292" s="16">
        <v>6.13E-2</v>
      </c>
      <c r="AD292" s="16">
        <v>6.7699999999999996E-2</v>
      </c>
      <c r="AE292" s="16">
        <v>4.7E-2</v>
      </c>
      <c r="AF292" s="16">
        <v>4.7E-2</v>
      </c>
      <c r="AG292" s="16">
        <v>9.8500000000000004E-2</v>
      </c>
      <c r="AH292" s="16">
        <v>0.21540000000000001</v>
      </c>
      <c r="AI292" s="16">
        <v>0.25140000000000001</v>
      </c>
      <c r="AJ292" s="16">
        <v>0.25269999999999998</v>
      </c>
      <c r="AK292" s="16">
        <v>0.2114</v>
      </c>
      <c r="AL292" s="16">
        <v>0.28599999999999998</v>
      </c>
      <c r="AM292" s="16">
        <v>0.28860000000000002</v>
      </c>
      <c r="AN292" s="16">
        <v>0.29260000000000003</v>
      </c>
      <c r="AO292" s="16">
        <v>0.26279999999999998</v>
      </c>
      <c r="AP292" s="16">
        <v>0.40079999999999999</v>
      </c>
      <c r="AQ292" s="16">
        <v>0.38850000000000001</v>
      </c>
      <c r="AR292" s="16">
        <v>0.20860000000000001</v>
      </c>
      <c r="AS292" s="16">
        <v>0.26140000000000002</v>
      </c>
      <c r="AT292" s="16">
        <v>0.40060000000000001</v>
      </c>
      <c r="AU292" s="16">
        <v>0.30349999999999999</v>
      </c>
      <c r="AV292" s="16">
        <v>0.16539999999999999</v>
      </c>
      <c r="AW292" s="16">
        <v>0.1822</v>
      </c>
      <c r="AX292" s="16">
        <v>0.3468</v>
      </c>
    </row>
    <row r="293" spans="1:50" x14ac:dyDescent="0.25">
      <c r="A293" s="8" t="s">
        <v>392</v>
      </c>
      <c r="B293" s="10" t="s">
        <v>57</v>
      </c>
      <c r="C293" s="16">
        <v>4.8000000000000001E-2</v>
      </c>
      <c r="D293" s="16">
        <v>4.8000000000000001E-2</v>
      </c>
      <c r="E293" s="16">
        <v>0.21179999999999999</v>
      </c>
      <c r="F293" s="16">
        <v>0.45660000000000001</v>
      </c>
      <c r="G293" s="16">
        <v>0.93640000000000001</v>
      </c>
      <c r="H293" s="16">
        <v>1.0645</v>
      </c>
      <c r="I293" s="16">
        <v>1.7299</v>
      </c>
      <c r="J293" s="16">
        <v>0.1862</v>
      </c>
      <c r="K293" s="16">
        <v>4.8000000000000001E-2</v>
      </c>
      <c r="L293" s="16">
        <v>0.15479999999999999</v>
      </c>
      <c r="M293" s="16">
        <v>7.9399999999999998E-2</v>
      </c>
      <c r="N293" s="16">
        <v>4.8000000000000001E-2</v>
      </c>
      <c r="O293" s="16">
        <v>0.13600000000000001</v>
      </c>
      <c r="P293" s="16">
        <v>9.8299999999999998E-2</v>
      </c>
      <c r="Q293" s="16">
        <v>0.24160000000000001</v>
      </c>
      <c r="R293" s="16">
        <v>8.4000000000000005E-2</v>
      </c>
      <c r="S293" s="16">
        <v>7.3099999999999998E-2</v>
      </c>
      <c r="T293" s="16">
        <v>0.16109999999999999</v>
      </c>
      <c r="U293" s="16">
        <v>4.8000000000000001E-2</v>
      </c>
      <c r="V293" s="16">
        <v>0.2162</v>
      </c>
      <c r="W293" s="16">
        <v>0.1139</v>
      </c>
      <c r="X293" s="16">
        <v>1.0339</v>
      </c>
      <c r="Y293" s="16">
        <v>0.85470000000000002</v>
      </c>
      <c r="Z293" s="16">
        <v>1.4406000000000001</v>
      </c>
      <c r="AA293" s="16">
        <v>4.8000000000000001E-2</v>
      </c>
      <c r="AB293" s="16">
        <v>0.20100000000000001</v>
      </c>
      <c r="AC293" s="16">
        <v>0.13500000000000001</v>
      </c>
      <c r="AD293" s="16">
        <v>0.16189999999999999</v>
      </c>
      <c r="AE293" s="16">
        <v>0.46820000000000001</v>
      </c>
      <c r="AF293" s="16">
        <v>4.8000000000000001E-2</v>
      </c>
      <c r="AG293" s="16">
        <v>0.14849999999999999</v>
      </c>
      <c r="AH293" s="16">
        <v>8.5699999999999998E-2</v>
      </c>
      <c r="AI293" s="16">
        <v>4.8000000000000001E-2</v>
      </c>
      <c r="AJ293" s="16">
        <v>7.9399999999999998E-2</v>
      </c>
      <c r="AK293" s="16">
        <v>0.15479999999999999</v>
      </c>
      <c r="AL293" s="16">
        <v>4.8000000000000001E-2</v>
      </c>
      <c r="AM293" s="16">
        <v>4.8000000000000001E-2</v>
      </c>
      <c r="AN293" s="16">
        <v>0.1862</v>
      </c>
      <c r="AO293" s="16">
        <v>4.8000000000000001E-2</v>
      </c>
      <c r="AP293" s="16">
        <v>1.1748000000000001</v>
      </c>
      <c r="AQ293" s="16">
        <v>0.67490000000000006</v>
      </c>
      <c r="AR293" s="16">
        <v>0.75960000000000005</v>
      </c>
      <c r="AS293" s="16">
        <v>0.75760000000000005</v>
      </c>
      <c r="AT293" s="16">
        <v>0.4672</v>
      </c>
      <c r="AU293" s="16">
        <v>0.62060000000000004</v>
      </c>
      <c r="AV293" s="16">
        <v>1.66</v>
      </c>
      <c r="AW293" s="16">
        <v>0.67979999999999996</v>
      </c>
      <c r="AX293" s="16">
        <v>0.76380000000000003</v>
      </c>
    </row>
    <row r="294" spans="1:50" x14ac:dyDescent="0.25">
      <c r="A294" s="8" t="s">
        <v>394</v>
      </c>
      <c r="B294" s="10" t="s">
        <v>57</v>
      </c>
      <c r="C294" s="16">
        <v>0.1595</v>
      </c>
      <c r="D294" s="16">
        <v>0.24970000000000001</v>
      </c>
      <c r="E294" s="16">
        <v>0.2079</v>
      </c>
      <c r="F294" s="16">
        <v>5.7000000000000002E-2</v>
      </c>
      <c r="G294" s="16">
        <v>0.29010000000000002</v>
      </c>
      <c r="H294" s="16">
        <v>0.1595</v>
      </c>
      <c r="I294" s="16">
        <v>0.2097</v>
      </c>
      <c r="J294" s="16">
        <v>0.21629999999999999</v>
      </c>
      <c r="K294" s="16">
        <v>0.1085</v>
      </c>
      <c r="L294" s="16">
        <v>0.246</v>
      </c>
      <c r="M294" s="16">
        <v>0.1996</v>
      </c>
      <c r="N294" s="16">
        <v>0.1048</v>
      </c>
      <c r="O294" s="16">
        <v>0.3569</v>
      </c>
      <c r="P294" s="16">
        <v>0.10059999999999999</v>
      </c>
      <c r="Q294" s="16">
        <v>0.1216</v>
      </c>
      <c r="R294" s="16">
        <v>1.0345</v>
      </c>
      <c r="S294" s="16">
        <v>0.12859999999999999</v>
      </c>
      <c r="T294" s="16">
        <v>0.217</v>
      </c>
      <c r="U294" s="16">
        <v>0.26860000000000001</v>
      </c>
      <c r="V294" s="16">
        <v>0.14879999999999999</v>
      </c>
      <c r="W294" s="16">
        <v>0.43819999999999998</v>
      </c>
      <c r="X294" s="16">
        <v>0.26340000000000002</v>
      </c>
      <c r="Y294" s="16">
        <v>2.2583000000000002</v>
      </c>
      <c r="Z294" s="16">
        <v>2.7793999999999999</v>
      </c>
      <c r="AA294" s="16">
        <v>1.2672000000000001</v>
      </c>
      <c r="AB294" s="16">
        <v>0.38600000000000001</v>
      </c>
      <c r="AC294" s="16">
        <v>5.0099999999999999E-2</v>
      </c>
      <c r="AD294" s="16">
        <v>0.15809999999999999</v>
      </c>
      <c r="AE294" s="16">
        <v>0.92430000000000001</v>
      </c>
      <c r="AF294" s="16">
        <v>2.6116999999999999</v>
      </c>
      <c r="AG294" s="16">
        <v>2.6987999999999999</v>
      </c>
      <c r="AH294" s="16">
        <v>0.45190000000000002</v>
      </c>
      <c r="AI294" s="16">
        <v>0.1048</v>
      </c>
      <c r="AJ294" s="16">
        <v>0.2321</v>
      </c>
      <c r="AK294" s="16">
        <v>0.22550000000000001</v>
      </c>
      <c r="AL294" s="16">
        <v>0.1123</v>
      </c>
      <c r="AM294" s="16">
        <v>0.3453</v>
      </c>
      <c r="AN294" s="16">
        <v>4.9000000000000002E-2</v>
      </c>
      <c r="AO294" s="16">
        <v>0.24729999999999999</v>
      </c>
      <c r="AP294" s="16">
        <v>0.21029999999999999</v>
      </c>
      <c r="AQ294" s="16">
        <v>4.9000000000000002E-2</v>
      </c>
      <c r="AR294" s="16">
        <v>0.2737</v>
      </c>
      <c r="AS294" s="16">
        <v>0.18379999999999999</v>
      </c>
      <c r="AT294" s="16">
        <v>8.9300000000000004E-2</v>
      </c>
      <c r="AU294" s="16">
        <v>0.36830000000000002</v>
      </c>
      <c r="AV294" s="16">
        <v>4.9000000000000002E-2</v>
      </c>
      <c r="AW294" s="16">
        <v>0.1167</v>
      </c>
      <c r="AX294" s="16">
        <v>0.23039999999999999</v>
      </c>
    </row>
    <row r="295" spans="1:50" x14ac:dyDescent="0.25">
      <c r="A295" s="8" t="s">
        <v>396</v>
      </c>
      <c r="B295" s="10" t="s">
        <v>57</v>
      </c>
      <c r="C295" s="16">
        <v>0.1197</v>
      </c>
      <c r="D295" s="16">
        <v>3.2000000000000001E-2</v>
      </c>
      <c r="E295" s="16">
        <v>6.3299999999999995E-2</v>
      </c>
      <c r="F295" s="16">
        <v>0.13850000000000001</v>
      </c>
      <c r="G295" s="16">
        <v>3.2000000000000001E-2</v>
      </c>
      <c r="H295" s="16">
        <v>3.2000000000000001E-2</v>
      </c>
      <c r="I295" s="16">
        <v>4.4499999999999998E-2</v>
      </c>
      <c r="J295" s="16">
        <v>0.1573</v>
      </c>
      <c r="K295" s="16">
        <v>3.2000000000000001E-2</v>
      </c>
      <c r="L295" s="16">
        <v>3.2000000000000001E-2</v>
      </c>
      <c r="M295" s="16">
        <v>0.1699</v>
      </c>
      <c r="N295" s="16">
        <v>3.2000000000000001E-2</v>
      </c>
      <c r="O295" s="16">
        <v>3.2000000000000001E-2</v>
      </c>
      <c r="P295" s="16">
        <v>3.2000000000000001E-2</v>
      </c>
      <c r="Q295" s="16">
        <v>4.4499999999999998E-2</v>
      </c>
      <c r="R295" s="16">
        <v>0.1573</v>
      </c>
      <c r="S295" s="16">
        <v>3.2000000000000001E-2</v>
      </c>
      <c r="T295" s="16">
        <v>0.1009</v>
      </c>
      <c r="U295" s="16">
        <v>0.1009</v>
      </c>
      <c r="V295" s="16">
        <v>5.0799999999999998E-2</v>
      </c>
      <c r="W295" s="16">
        <v>0.22989999999999999</v>
      </c>
      <c r="X295" s="16">
        <v>0.27039999999999997</v>
      </c>
      <c r="Y295" s="16">
        <v>0.2898</v>
      </c>
      <c r="Z295" s="16">
        <v>3.2000000000000001E-2</v>
      </c>
      <c r="AA295" s="16">
        <v>0.19359999999999999</v>
      </c>
      <c r="AB295" s="16">
        <v>0.52600000000000002</v>
      </c>
      <c r="AC295" s="16">
        <v>0.37219999999999998</v>
      </c>
      <c r="AD295" s="16">
        <v>0.6069</v>
      </c>
      <c r="AE295" s="16">
        <v>0.46229999999999999</v>
      </c>
      <c r="AF295" s="16">
        <v>3.2000000000000001E-2</v>
      </c>
      <c r="AG295" s="16">
        <v>0.43719999999999998</v>
      </c>
      <c r="AH295" s="16">
        <v>0.42949999999999999</v>
      </c>
      <c r="AI295" s="16">
        <v>0.1033</v>
      </c>
      <c r="AJ295" s="16">
        <v>0.20810000000000001</v>
      </c>
      <c r="AK295" s="16">
        <v>0.11600000000000001</v>
      </c>
      <c r="AL295" s="16">
        <v>9.9699999999999997E-2</v>
      </c>
      <c r="AM295" s="16">
        <v>0.49049999999999999</v>
      </c>
      <c r="AN295" s="16">
        <v>0.6653</v>
      </c>
      <c r="AO295" s="16">
        <v>0.45579999999999998</v>
      </c>
      <c r="AP295" s="16">
        <v>0.59489999999999998</v>
      </c>
      <c r="AQ295" s="16">
        <v>0.52359999999999995</v>
      </c>
      <c r="AR295" s="16">
        <v>0.42249999999999999</v>
      </c>
      <c r="AS295" s="16">
        <v>0.51259999999999994</v>
      </c>
      <c r="AT295" s="16">
        <v>0.65029999999999999</v>
      </c>
      <c r="AU295" s="16">
        <v>0.2417</v>
      </c>
      <c r="AV295" s="16">
        <v>8.6900000000000005E-2</v>
      </c>
      <c r="AW295" s="16">
        <v>0.371</v>
      </c>
      <c r="AX295" s="16">
        <v>0.1893</v>
      </c>
    </row>
    <row r="296" spans="1:50" x14ac:dyDescent="0.25">
      <c r="A296" s="8" t="s">
        <v>398</v>
      </c>
      <c r="B296" s="10" t="s">
        <v>57</v>
      </c>
      <c r="C296" s="16">
        <v>0.45529999999999998</v>
      </c>
      <c r="D296" s="16">
        <v>0.47739999999999999</v>
      </c>
      <c r="E296" s="16">
        <v>0.22339999999999999</v>
      </c>
      <c r="F296" s="16">
        <v>4.7E-2</v>
      </c>
      <c r="G296" s="16">
        <v>0.1091</v>
      </c>
      <c r="H296" s="16">
        <v>0.15570000000000001</v>
      </c>
      <c r="I296" s="16">
        <v>4.7E-2</v>
      </c>
      <c r="J296" s="16">
        <v>0.21779999999999999</v>
      </c>
      <c r="K296" s="16">
        <v>4.7E-2</v>
      </c>
      <c r="L296" s="16">
        <v>4.7E-2</v>
      </c>
      <c r="M296" s="16">
        <v>0.14019999999999999</v>
      </c>
      <c r="N296" s="16">
        <v>0.1246</v>
      </c>
      <c r="O296" s="16">
        <v>4.7E-2</v>
      </c>
      <c r="P296" s="16">
        <v>0.21779999999999999</v>
      </c>
      <c r="Q296" s="16">
        <v>2.6930000000000001</v>
      </c>
      <c r="R296" s="16">
        <v>1.2884</v>
      </c>
      <c r="S296" s="16">
        <v>0.39400000000000002</v>
      </c>
      <c r="T296" s="16">
        <v>5.7799999999999997E-2</v>
      </c>
      <c r="U296" s="16">
        <v>0.33439999999999998</v>
      </c>
      <c r="V296" s="16">
        <v>0.11890000000000001</v>
      </c>
      <c r="W296" s="16">
        <v>4.7E-2</v>
      </c>
      <c r="X296" s="16">
        <v>0.24479999999999999</v>
      </c>
      <c r="Y296" s="16">
        <v>0.2334</v>
      </c>
      <c r="Z296" s="16">
        <v>0.20230000000000001</v>
      </c>
      <c r="AA296" s="16">
        <v>0.2515</v>
      </c>
      <c r="AB296" s="16">
        <v>6.6400000000000001E-2</v>
      </c>
      <c r="AC296" s="16">
        <v>1.0696000000000001</v>
      </c>
      <c r="AD296" s="16">
        <v>0.152</v>
      </c>
      <c r="AE296" s="16">
        <v>0.35920000000000002</v>
      </c>
      <c r="AF296" s="16">
        <v>0.17829999999999999</v>
      </c>
      <c r="AG296" s="16">
        <v>0.27710000000000001</v>
      </c>
      <c r="AH296" s="16">
        <v>4.82E-2</v>
      </c>
      <c r="AI296" s="16">
        <v>0.1517</v>
      </c>
      <c r="AJ296" s="16">
        <v>0.1169</v>
      </c>
      <c r="AK296" s="16">
        <v>4.7E-2</v>
      </c>
      <c r="AL296" s="16">
        <v>0.4042</v>
      </c>
      <c r="AM296" s="16">
        <v>5.5399999999999998E-2</v>
      </c>
      <c r="AN296" s="16">
        <v>0.19040000000000001</v>
      </c>
      <c r="AO296" s="16">
        <v>0.1678</v>
      </c>
      <c r="AP296" s="16">
        <v>0.40699999999999997</v>
      </c>
      <c r="AQ296" s="16">
        <v>0.58299999999999996</v>
      </c>
      <c r="AR296" s="16">
        <v>0.45140000000000002</v>
      </c>
      <c r="AS296" s="16">
        <v>0.2676</v>
      </c>
      <c r="AT296" s="16">
        <v>0.62070000000000003</v>
      </c>
      <c r="AU296" s="16">
        <v>0.37409999999999999</v>
      </c>
      <c r="AV296" s="16">
        <v>0.31309999999999999</v>
      </c>
      <c r="AW296" s="16">
        <v>0.13239999999999999</v>
      </c>
      <c r="AX296" s="16">
        <v>4.7E-2</v>
      </c>
    </row>
    <row r="297" spans="1:50" x14ac:dyDescent="0.25">
      <c r="A297" s="8" t="s">
        <v>400</v>
      </c>
      <c r="B297" s="10" t="s">
        <v>57</v>
      </c>
      <c r="C297" s="16">
        <v>0.90139999999999998</v>
      </c>
      <c r="D297" s="16">
        <v>0.79449999999999998</v>
      </c>
      <c r="E297" s="16">
        <v>0.92959999999999998</v>
      </c>
      <c r="F297" s="16">
        <v>0.13009999999999999</v>
      </c>
      <c r="G297" s="16">
        <v>5.5E-2</v>
      </c>
      <c r="H297" s="16">
        <v>5.5E-2</v>
      </c>
      <c r="I297" s="16">
        <v>5.5E-2</v>
      </c>
      <c r="J297" s="16">
        <v>0.12180000000000001</v>
      </c>
      <c r="K297" s="16">
        <v>6.3299999999999995E-2</v>
      </c>
      <c r="L297" s="16">
        <v>0.13009999999999999</v>
      </c>
      <c r="M297" s="16">
        <v>5.5E-2</v>
      </c>
      <c r="N297" s="16">
        <v>0.13009999999999999</v>
      </c>
      <c r="O297" s="16">
        <v>5.5E-2</v>
      </c>
      <c r="P297" s="16">
        <v>5.5E-2</v>
      </c>
      <c r="Q297" s="16">
        <v>0.44929999999999998</v>
      </c>
      <c r="R297" s="16">
        <v>0.44829999999999998</v>
      </c>
      <c r="S297" s="16">
        <v>0.31109999999999999</v>
      </c>
      <c r="T297" s="16">
        <v>5.5E-2</v>
      </c>
      <c r="U297" s="16">
        <v>0.29049999999999998</v>
      </c>
      <c r="V297" s="16">
        <v>0.20180000000000001</v>
      </c>
      <c r="W297" s="16">
        <v>0.20150000000000001</v>
      </c>
      <c r="X297" s="16">
        <v>0.26219999999999999</v>
      </c>
      <c r="Y297" s="16">
        <v>0.16120000000000001</v>
      </c>
      <c r="Z297" s="16">
        <v>0.53859999999999997</v>
      </c>
      <c r="AA297" s="16">
        <v>6.3100000000000003E-2</v>
      </c>
      <c r="AB297" s="16">
        <v>0.33460000000000001</v>
      </c>
      <c r="AC297" s="16">
        <v>0.33229999999999998</v>
      </c>
      <c r="AD297" s="16">
        <v>0.16719999999999999</v>
      </c>
      <c r="AE297" s="16">
        <v>0.3614</v>
      </c>
      <c r="AF297" s="16">
        <v>8.8200000000000001E-2</v>
      </c>
      <c r="AG297" s="16">
        <v>0.35399999999999998</v>
      </c>
      <c r="AH297" s="16">
        <v>0.57650000000000001</v>
      </c>
      <c r="AI297" s="16">
        <v>0.4733</v>
      </c>
      <c r="AJ297" s="16">
        <v>0.1605</v>
      </c>
      <c r="AK297" s="16">
        <v>0.1663</v>
      </c>
      <c r="AL297" s="16">
        <v>0.28370000000000001</v>
      </c>
      <c r="AM297" s="16">
        <v>5.5E-2</v>
      </c>
      <c r="AN297" s="16">
        <v>0.1231</v>
      </c>
      <c r="AO297" s="16">
        <v>0.50160000000000005</v>
      </c>
      <c r="AP297" s="16">
        <v>0.82040000000000002</v>
      </c>
      <c r="AQ297" s="16">
        <v>0.56779999999999997</v>
      </c>
      <c r="AR297" s="16">
        <v>0.4829</v>
      </c>
      <c r="AS297" s="16">
        <v>0.53690000000000004</v>
      </c>
      <c r="AT297" s="16">
        <v>0.8599</v>
      </c>
      <c r="AU297" s="16">
        <v>1.1469</v>
      </c>
      <c r="AV297" s="16">
        <v>0.67400000000000004</v>
      </c>
      <c r="AW297" s="16">
        <v>1.0018</v>
      </c>
      <c r="AX297" s="16">
        <v>6.3299999999999995E-2</v>
      </c>
    </row>
    <row r="298" spans="1:50" x14ac:dyDescent="0.25">
      <c r="A298" s="8" t="s">
        <v>402</v>
      </c>
      <c r="B298" s="10" t="s">
        <v>57</v>
      </c>
      <c r="C298" s="16">
        <v>0.31340000000000001</v>
      </c>
      <c r="D298" s="16">
        <v>0.05</v>
      </c>
      <c r="E298" s="16">
        <v>0.27250000000000002</v>
      </c>
      <c r="F298" s="16">
        <v>0.13089999999999999</v>
      </c>
      <c r="G298" s="16">
        <v>0.18940000000000001</v>
      </c>
      <c r="H298" s="16">
        <v>0.13589999999999999</v>
      </c>
      <c r="I298" s="16">
        <v>0.22</v>
      </c>
      <c r="J298" s="16">
        <v>0.1794</v>
      </c>
      <c r="K298" s="16">
        <v>0.2268</v>
      </c>
      <c r="L298" s="16">
        <v>0.05</v>
      </c>
      <c r="M298" s="16">
        <v>0.37059999999999998</v>
      </c>
      <c r="N298" s="16">
        <v>6.4399999999999999E-2</v>
      </c>
      <c r="O298" s="16">
        <v>5.5300000000000002E-2</v>
      </c>
      <c r="P298" s="16">
        <v>0.15</v>
      </c>
      <c r="Q298" s="16">
        <v>0.12189999999999999</v>
      </c>
      <c r="R298" s="16">
        <v>0.24149999999999999</v>
      </c>
      <c r="S298" s="16">
        <v>0.2676</v>
      </c>
      <c r="T298" s="16">
        <v>0.26219999999999999</v>
      </c>
      <c r="U298" s="16">
        <v>0.2</v>
      </c>
      <c r="V298" s="16">
        <v>0.30549999999999999</v>
      </c>
      <c r="W298" s="16">
        <v>0.42980000000000002</v>
      </c>
      <c r="X298" s="16">
        <v>0.36899999999999999</v>
      </c>
      <c r="Y298" s="16">
        <v>0.46260000000000001</v>
      </c>
      <c r="Z298" s="16">
        <v>0.27650000000000002</v>
      </c>
      <c r="AA298" s="16">
        <v>0.29270000000000002</v>
      </c>
      <c r="AB298" s="16">
        <v>0.30099999999999999</v>
      </c>
      <c r="AC298" s="16">
        <v>0.17879999999999999</v>
      </c>
      <c r="AD298" s="16">
        <v>0.1003</v>
      </c>
      <c r="AE298" s="16">
        <v>0.22939999999999999</v>
      </c>
      <c r="AF298" s="16">
        <v>0.11509999999999999</v>
      </c>
      <c r="AG298" s="16">
        <v>0.25629999999999997</v>
      </c>
      <c r="AH298" s="16">
        <v>0.4148</v>
      </c>
      <c r="AI298" s="16">
        <v>0.20930000000000001</v>
      </c>
      <c r="AJ298" s="16">
        <v>0.4234</v>
      </c>
      <c r="AK298" s="16">
        <v>0.26269999999999999</v>
      </c>
      <c r="AL298" s="16">
        <v>0.29809999999999998</v>
      </c>
      <c r="AM298" s="16">
        <v>0.50929999999999997</v>
      </c>
      <c r="AN298" s="16">
        <v>0.18010000000000001</v>
      </c>
      <c r="AO298" s="16">
        <v>0.27679999999999999</v>
      </c>
      <c r="AP298" s="16">
        <v>0.252</v>
      </c>
      <c r="AQ298" s="16">
        <v>0.22270000000000001</v>
      </c>
      <c r="AR298" s="16">
        <v>0.55969999999999998</v>
      </c>
      <c r="AS298" s="16">
        <v>0.5161</v>
      </c>
      <c r="AT298" s="16">
        <v>0.3508</v>
      </c>
      <c r="AU298" s="16">
        <v>0.98640000000000005</v>
      </c>
      <c r="AV298" s="16">
        <v>0.42049999999999998</v>
      </c>
      <c r="AW298" s="16">
        <v>0.37969999999999998</v>
      </c>
      <c r="AX298" s="16">
        <v>5.5300000000000002E-2</v>
      </c>
    </row>
    <row r="299" spans="1:50" x14ac:dyDescent="0.25">
      <c r="A299" s="17" t="s">
        <v>649</v>
      </c>
      <c r="B299" s="13" t="s">
        <v>410</v>
      </c>
      <c r="C299" s="18">
        <v>0.75680000000000003</v>
      </c>
      <c r="D299" s="18">
        <v>1.748</v>
      </c>
      <c r="E299" s="18">
        <v>0.25800000000000001</v>
      </c>
      <c r="F299" s="18">
        <v>0.52380000000000004</v>
      </c>
      <c r="G299" s="18">
        <v>0.30180000000000001</v>
      </c>
      <c r="H299" s="18">
        <v>0.1552</v>
      </c>
      <c r="I299" s="18">
        <v>5.7000000000000002E-2</v>
      </c>
      <c r="J299" s="18">
        <v>2.9000000000000001E-2</v>
      </c>
      <c r="K299" s="18">
        <v>0.1762</v>
      </c>
      <c r="L299" s="18">
        <v>3.5999999999999997E-2</v>
      </c>
      <c r="M299" s="18">
        <v>8.5099999999999995E-2</v>
      </c>
      <c r="N299" s="18">
        <v>0.12709999999999999</v>
      </c>
      <c r="O299" s="18">
        <v>2.9000000000000001E-2</v>
      </c>
      <c r="P299" s="18">
        <v>0.1832</v>
      </c>
      <c r="Q299" s="18">
        <v>2.9000000000000001E-2</v>
      </c>
      <c r="R299" s="18">
        <v>5.7000000000000002E-2</v>
      </c>
      <c r="S299" s="18">
        <v>0.1552</v>
      </c>
      <c r="T299" s="18">
        <v>2.9000000000000001E-2</v>
      </c>
      <c r="U299" s="18">
        <v>2.9000000000000001E-2</v>
      </c>
      <c r="V299" s="18">
        <v>7.8100000000000003E-2</v>
      </c>
      <c r="W299" s="18">
        <v>0.1341</v>
      </c>
      <c r="X299" s="18">
        <v>2.9000000000000001E-2</v>
      </c>
      <c r="Y299" s="18">
        <v>0.34089999999999998</v>
      </c>
      <c r="Z299" s="18">
        <v>0.3054</v>
      </c>
      <c r="AA299" s="18">
        <v>3.5999999999999997E-2</v>
      </c>
      <c r="AB299" s="18">
        <v>0.1762</v>
      </c>
      <c r="AC299" s="18">
        <v>2.9000000000000001E-2</v>
      </c>
      <c r="AD299" s="18">
        <v>0.16220000000000001</v>
      </c>
      <c r="AE299" s="18">
        <v>0.3019</v>
      </c>
      <c r="AF299" s="18">
        <v>0.25590000000000002</v>
      </c>
      <c r="AG299" s="18">
        <v>0.18759999999999999</v>
      </c>
      <c r="AH299" s="18">
        <v>0.31190000000000001</v>
      </c>
      <c r="AI299" s="18">
        <v>0.39529999999999998</v>
      </c>
      <c r="AJ299" s="18">
        <v>0.24299999999999999</v>
      </c>
      <c r="AK299" s="18">
        <v>0.18340000000000001</v>
      </c>
      <c r="AL299" s="18">
        <v>0.1135</v>
      </c>
      <c r="AM299" s="18">
        <v>0.75419999999999998</v>
      </c>
      <c r="AN299" s="18">
        <v>0.59</v>
      </c>
      <c r="AO299" s="18">
        <v>0.438</v>
      </c>
      <c r="AP299" s="18">
        <v>1.3968</v>
      </c>
      <c r="AQ299" s="18">
        <v>0.63029999999999997</v>
      </c>
      <c r="AR299" s="18">
        <v>0.29459999999999997</v>
      </c>
      <c r="AS299" s="18">
        <v>0.2843</v>
      </c>
      <c r="AT299" s="18">
        <v>0.3594</v>
      </c>
      <c r="AU299" s="18">
        <v>0.30609999999999998</v>
      </c>
      <c r="AV299" s="18">
        <v>0.38600000000000001</v>
      </c>
      <c r="AW299" s="18">
        <v>0.27679999999999999</v>
      </c>
      <c r="AX299" s="18">
        <v>9.0300000000000005E-2</v>
      </c>
    </row>
    <row r="300" spans="1:50" x14ac:dyDescent="0.25">
      <c r="A300" s="17" t="s">
        <v>651</v>
      </c>
      <c r="B300" s="13" t="s">
        <v>410</v>
      </c>
      <c r="C300" s="18">
        <v>0.17780000000000001</v>
      </c>
      <c r="D300" s="18">
        <v>5.1999999999999998E-2</v>
      </c>
      <c r="E300" s="18">
        <v>0.20580000000000001</v>
      </c>
      <c r="F300" s="18">
        <v>5.1999999999999998E-2</v>
      </c>
      <c r="G300" s="18">
        <v>0.1079</v>
      </c>
      <c r="H300" s="18">
        <v>0.14979999999999999</v>
      </c>
      <c r="I300" s="18">
        <v>5.1999999999999998E-2</v>
      </c>
      <c r="J300" s="18">
        <v>5.1999999999999998E-2</v>
      </c>
      <c r="K300" s="18">
        <v>0.12189999999999999</v>
      </c>
      <c r="L300" s="18">
        <v>0.13589999999999999</v>
      </c>
      <c r="M300" s="18">
        <v>5.1999999999999998E-2</v>
      </c>
      <c r="N300" s="18">
        <v>5.1999999999999998E-2</v>
      </c>
      <c r="O300" s="18">
        <v>0.20580000000000001</v>
      </c>
      <c r="P300" s="18">
        <v>1.4302999999999999</v>
      </c>
      <c r="Q300" s="18">
        <v>0.76160000000000005</v>
      </c>
      <c r="R300" s="18">
        <v>0.64170000000000005</v>
      </c>
      <c r="S300" s="18">
        <v>0.436</v>
      </c>
      <c r="T300" s="18">
        <v>0.39750000000000002</v>
      </c>
      <c r="U300" s="18">
        <v>0.25190000000000001</v>
      </c>
      <c r="V300" s="18">
        <v>0.36959999999999998</v>
      </c>
      <c r="W300" s="18">
        <v>1.4946999999999999</v>
      </c>
      <c r="X300" s="18">
        <v>0.21890000000000001</v>
      </c>
      <c r="Y300" s="18">
        <v>0.70040000000000002</v>
      </c>
      <c r="Z300" s="18">
        <v>1.881</v>
      </c>
      <c r="AA300" s="18">
        <v>0.08</v>
      </c>
      <c r="AB300" s="18">
        <v>0.36580000000000001</v>
      </c>
      <c r="AC300" s="18">
        <v>5.8700000000000002E-2</v>
      </c>
      <c r="AD300" s="18">
        <v>0.54449999999999998</v>
      </c>
      <c r="AE300" s="18">
        <v>0.1108</v>
      </c>
      <c r="AF300" s="18">
        <v>0.39040000000000002</v>
      </c>
      <c r="AG300" s="18">
        <v>1.3998999999999999</v>
      </c>
      <c r="AH300" s="18">
        <v>0.78710000000000002</v>
      </c>
      <c r="AI300" s="18">
        <v>0.56320000000000003</v>
      </c>
      <c r="AJ300" s="18">
        <v>0.443</v>
      </c>
      <c r="AK300" s="18">
        <v>0.68769999999999998</v>
      </c>
      <c r="AL300" s="18">
        <v>0.43009999999999998</v>
      </c>
      <c r="AM300" s="18">
        <v>0.63990000000000002</v>
      </c>
      <c r="AN300" s="18">
        <v>3.0956999999999999</v>
      </c>
      <c r="AO300" s="18">
        <v>3.6970000000000001</v>
      </c>
      <c r="AP300" s="18">
        <v>1.0454000000000001</v>
      </c>
      <c r="AQ300" s="18">
        <v>0.47310000000000002</v>
      </c>
      <c r="AR300" s="18">
        <v>0.50480000000000003</v>
      </c>
      <c r="AS300" s="18">
        <v>1.6946000000000001</v>
      </c>
      <c r="AT300" s="18">
        <v>0.88260000000000005</v>
      </c>
      <c r="AU300" s="18">
        <v>0.87439999999999996</v>
      </c>
      <c r="AV300" s="18">
        <v>0.17019999999999999</v>
      </c>
      <c r="AW300" s="18">
        <v>5.1999999999999998E-2</v>
      </c>
      <c r="AX300" s="18">
        <v>0.20580000000000001</v>
      </c>
    </row>
    <row r="301" spans="1:50" x14ac:dyDescent="0.25">
      <c r="A301" s="17" t="s">
        <v>653</v>
      </c>
      <c r="B301" s="13" t="s">
        <v>410</v>
      </c>
      <c r="C301" s="18">
        <v>0.16739999999999999</v>
      </c>
      <c r="D301" s="18">
        <v>6.7500000000000004E-2</v>
      </c>
      <c r="E301" s="18">
        <v>5.5E-2</v>
      </c>
      <c r="F301" s="18">
        <v>5.5E-2</v>
      </c>
      <c r="G301" s="18">
        <v>0.1799</v>
      </c>
      <c r="H301" s="18">
        <v>5.5E-2</v>
      </c>
      <c r="I301" s="18">
        <v>0.1736</v>
      </c>
      <c r="J301" s="18">
        <v>6.1199999999999997E-2</v>
      </c>
      <c r="K301" s="18">
        <v>5.5E-2</v>
      </c>
      <c r="L301" s="18">
        <v>5.5E-2</v>
      </c>
      <c r="M301" s="18">
        <v>0.1174</v>
      </c>
      <c r="N301" s="18">
        <v>0.1174</v>
      </c>
      <c r="O301" s="18">
        <v>5.5E-2</v>
      </c>
      <c r="P301" s="18">
        <v>5.5E-2</v>
      </c>
      <c r="Q301" s="18">
        <v>0.1487</v>
      </c>
      <c r="R301" s="18">
        <v>8.6199999999999999E-2</v>
      </c>
      <c r="S301" s="18">
        <v>0.23350000000000001</v>
      </c>
      <c r="T301" s="18">
        <v>0.2545</v>
      </c>
      <c r="U301" s="18">
        <v>0.66279999999999994</v>
      </c>
      <c r="V301" s="18">
        <v>5.6099999999999997E-2</v>
      </c>
      <c r="W301" s="18">
        <v>0.36830000000000002</v>
      </c>
      <c r="X301" s="18">
        <v>8.6900000000000005E-2</v>
      </c>
      <c r="Y301" s="18">
        <v>0.10780000000000001</v>
      </c>
      <c r="Z301" s="18">
        <v>0.1424</v>
      </c>
      <c r="AA301" s="18">
        <v>6.7500000000000004E-2</v>
      </c>
      <c r="AB301" s="18">
        <v>0.16739999999999999</v>
      </c>
      <c r="AC301" s="18">
        <v>0.17030000000000001</v>
      </c>
      <c r="AD301" s="18">
        <v>0.83579999999999999</v>
      </c>
      <c r="AE301" s="18">
        <v>1.3942000000000001</v>
      </c>
      <c r="AF301" s="18">
        <v>0.69430000000000003</v>
      </c>
      <c r="AG301" s="18">
        <v>1.0668</v>
      </c>
      <c r="AH301" s="18">
        <v>2.7364999999999999</v>
      </c>
      <c r="AI301" s="18">
        <v>2.6476999999999999</v>
      </c>
      <c r="AJ301" s="18">
        <v>0.16950000000000001</v>
      </c>
      <c r="AK301" s="18">
        <v>5.5E-2</v>
      </c>
      <c r="AL301" s="18">
        <v>5.5E-2</v>
      </c>
      <c r="AM301" s="18">
        <v>0.13619999999999999</v>
      </c>
      <c r="AN301" s="18">
        <v>9.8699999999999996E-2</v>
      </c>
      <c r="AO301" s="18">
        <v>5.5E-2</v>
      </c>
      <c r="AP301" s="18">
        <v>0.1799</v>
      </c>
      <c r="AQ301" s="18">
        <v>0.53649999999999998</v>
      </c>
      <c r="AR301" s="18">
        <v>0.45960000000000001</v>
      </c>
      <c r="AS301" s="18">
        <v>0.44379999999999997</v>
      </c>
      <c r="AT301" s="18">
        <v>0.55420000000000003</v>
      </c>
      <c r="AU301" s="18">
        <v>1.4944999999999999</v>
      </c>
      <c r="AV301" s="18">
        <v>1.2285999999999999</v>
      </c>
      <c r="AW301" s="18">
        <v>0.50839999999999996</v>
      </c>
      <c r="AX301" s="18">
        <v>0.15290000000000001</v>
      </c>
    </row>
    <row r="302" spans="1:50" x14ac:dyDescent="0.25">
      <c r="A302" s="8" t="s">
        <v>404</v>
      </c>
      <c r="B302" s="10" t="s">
        <v>57</v>
      </c>
      <c r="C302" s="16">
        <v>3.7999999999999999E-2</v>
      </c>
      <c r="D302" s="16">
        <v>3.7999999999999999E-2</v>
      </c>
      <c r="E302" s="16">
        <v>0.1386</v>
      </c>
      <c r="F302" s="16">
        <v>3.7999999999999999E-2</v>
      </c>
      <c r="G302" s="16">
        <v>3.7999999999999999E-2</v>
      </c>
      <c r="H302" s="16">
        <v>0.1386</v>
      </c>
      <c r="I302" s="16">
        <v>3.7999999999999999E-2</v>
      </c>
      <c r="J302" s="16">
        <v>3.7999999999999999E-2</v>
      </c>
      <c r="K302" s="16">
        <v>0.1386</v>
      </c>
      <c r="L302" s="16">
        <v>3.7999999999999999E-2</v>
      </c>
      <c r="M302" s="16">
        <v>3.7999999999999999E-2</v>
      </c>
      <c r="N302" s="16">
        <v>0.1386</v>
      </c>
      <c r="O302" s="16">
        <v>3.7999999999999999E-2</v>
      </c>
      <c r="P302" s="16">
        <v>3.7999999999999999E-2</v>
      </c>
      <c r="Q302" s="16">
        <v>0.1386</v>
      </c>
      <c r="R302" s="16">
        <v>3.7999999999999999E-2</v>
      </c>
      <c r="S302" s="16">
        <v>0.65539999999999998</v>
      </c>
      <c r="T302" s="16">
        <v>1.4762</v>
      </c>
      <c r="U302" s="16">
        <v>0.1072</v>
      </c>
      <c r="V302" s="16">
        <v>0.47710000000000002</v>
      </c>
      <c r="W302" s="16">
        <v>2.5369999999999999</v>
      </c>
      <c r="X302" s="16">
        <v>2.6375999999999999</v>
      </c>
      <c r="Y302" s="16">
        <v>0.45450000000000002</v>
      </c>
      <c r="Z302" s="16">
        <v>3.7999999999999999E-2</v>
      </c>
      <c r="AA302" s="16">
        <v>3.7999999999999999E-2</v>
      </c>
      <c r="AB302" s="16">
        <v>0.1386</v>
      </c>
      <c r="AC302" s="16">
        <v>3.7999999999999999E-2</v>
      </c>
      <c r="AD302" s="16">
        <v>0.1027</v>
      </c>
      <c r="AE302" s="16">
        <v>7.3899999999999993E-2</v>
      </c>
      <c r="AF302" s="16">
        <v>3.7999999999999999E-2</v>
      </c>
      <c r="AG302" s="16">
        <v>0.1386</v>
      </c>
      <c r="AH302" s="16">
        <v>3.7999999999999999E-2</v>
      </c>
      <c r="AI302" s="16">
        <v>6.6699999999999995E-2</v>
      </c>
      <c r="AJ302" s="16">
        <v>0.1099</v>
      </c>
      <c r="AK302" s="16">
        <v>3.7999999999999999E-2</v>
      </c>
      <c r="AL302" s="16">
        <v>0.1386</v>
      </c>
      <c r="AM302" s="16">
        <v>3.7999999999999999E-2</v>
      </c>
      <c r="AN302" s="16">
        <v>9.35E-2</v>
      </c>
      <c r="AO302" s="16">
        <v>0.2545</v>
      </c>
      <c r="AP302" s="16">
        <v>0.4516</v>
      </c>
      <c r="AQ302" s="16">
        <v>0.43240000000000001</v>
      </c>
      <c r="AR302" s="16">
        <v>0.5383</v>
      </c>
      <c r="AS302" s="16">
        <v>0.34710000000000002</v>
      </c>
      <c r="AT302" s="16">
        <v>0.70730000000000004</v>
      </c>
      <c r="AU302" s="16">
        <v>0.13139999999999999</v>
      </c>
      <c r="AV302" s="16">
        <v>3.7999999999999999E-2</v>
      </c>
      <c r="AW302" s="16">
        <v>0.1386</v>
      </c>
      <c r="AX302" s="16">
        <v>3.7999999999999999E-2</v>
      </c>
    </row>
    <row r="303" spans="1:50" x14ac:dyDescent="0.25">
      <c r="A303" s="17" t="s">
        <v>655</v>
      </c>
      <c r="B303" s="13" t="s">
        <v>410</v>
      </c>
      <c r="C303" s="18">
        <v>9.0399999999999994E-2</v>
      </c>
      <c r="D303" s="18">
        <v>4.9000000000000002E-2</v>
      </c>
      <c r="E303" s="18">
        <v>0.2208</v>
      </c>
      <c r="F303" s="18">
        <v>0.15429999999999999</v>
      </c>
      <c r="G303" s="18">
        <v>9.4100000000000003E-2</v>
      </c>
      <c r="H303" s="18">
        <v>0.28110000000000002</v>
      </c>
      <c r="I303" s="18">
        <v>4.9000000000000002E-2</v>
      </c>
      <c r="J303" s="18">
        <v>0.29160000000000003</v>
      </c>
      <c r="K303" s="18">
        <v>8.3500000000000005E-2</v>
      </c>
      <c r="L303" s="18">
        <v>0.22950000000000001</v>
      </c>
      <c r="M303" s="18">
        <v>0.1457</v>
      </c>
      <c r="N303" s="18">
        <v>0.17419999999999999</v>
      </c>
      <c r="O303" s="18">
        <v>0.11119999999999999</v>
      </c>
      <c r="P303" s="18">
        <v>0.23899999999999999</v>
      </c>
      <c r="Q303" s="18">
        <v>7.3999999999999996E-2</v>
      </c>
      <c r="R303" s="18">
        <v>0.28420000000000001</v>
      </c>
      <c r="S303" s="18">
        <v>0.24890000000000001</v>
      </c>
      <c r="T303" s="18">
        <v>0.50819999999999999</v>
      </c>
      <c r="U303" s="18">
        <v>0.77080000000000004</v>
      </c>
      <c r="V303" s="18">
        <v>0.34350000000000003</v>
      </c>
      <c r="W303" s="18">
        <v>0.4274</v>
      </c>
      <c r="X303" s="18">
        <v>0.53769999999999996</v>
      </c>
      <c r="Y303" s="18">
        <v>0.4763</v>
      </c>
      <c r="Z303" s="18">
        <v>0.63890000000000002</v>
      </c>
      <c r="AA303" s="18">
        <v>2.1476000000000002</v>
      </c>
      <c r="AB303" s="18">
        <v>0.42409999999999998</v>
      </c>
      <c r="AC303" s="18">
        <v>0.11119999999999999</v>
      </c>
      <c r="AD303" s="18">
        <v>0.52629999999999999</v>
      </c>
      <c r="AE303" s="18">
        <v>0.1082</v>
      </c>
      <c r="AF303" s="18">
        <v>0.35699999999999998</v>
      </c>
      <c r="AG303" s="18">
        <v>0.3483</v>
      </c>
      <c r="AH303" s="18">
        <v>0.5786</v>
      </c>
      <c r="AI303" s="18">
        <v>0.48130000000000001</v>
      </c>
      <c r="AJ303" s="18">
        <v>1.4765999999999999</v>
      </c>
      <c r="AK303" s="18">
        <v>0.98819999999999997</v>
      </c>
      <c r="AL303" s="18">
        <v>0.42899999999999999</v>
      </c>
      <c r="AM303" s="18">
        <v>7.3999999999999996E-2</v>
      </c>
      <c r="AN303" s="18">
        <v>0.36399999999999999</v>
      </c>
      <c r="AO303" s="18">
        <v>0.40400000000000003</v>
      </c>
      <c r="AP303" s="18">
        <v>0.13039999999999999</v>
      </c>
      <c r="AQ303" s="18">
        <v>0.19639999999999999</v>
      </c>
      <c r="AR303" s="18">
        <v>9.74E-2</v>
      </c>
      <c r="AS303" s="18">
        <v>0.56769999999999998</v>
      </c>
      <c r="AT303" s="18">
        <v>0.73760000000000003</v>
      </c>
      <c r="AU303" s="18">
        <v>0.93330000000000002</v>
      </c>
      <c r="AV303" s="18">
        <v>0.35249999999999998</v>
      </c>
      <c r="AW303" s="18">
        <v>0.48570000000000002</v>
      </c>
      <c r="AX303" s="18">
        <v>0.56940000000000002</v>
      </c>
    </row>
    <row r="304" spans="1:50" x14ac:dyDescent="0.25">
      <c r="A304" s="8" t="s">
        <v>406</v>
      </c>
      <c r="B304" s="10" t="s">
        <v>57</v>
      </c>
      <c r="C304" s="16">
        <v>0.40920000000000001</v>
      </c>
      <c r="D304" s="16">
        <v>0.35670000000000002</v>
      </c>
      <c r="E304" s="16">
        <v>6.6400000000000001E-2</v>
      </c>
      <c r="F304" s="16">
        <v>0.19009999999999999</v>
      </c>
      <c r="G304" s="16">
        <v>0.13439999999999999</v>
      </c>
      <c r="H304" s="16">
        <v>0.13009999999999999</v>
      </c>
      <c r="I304" s="16">
        <v>0.19439999999999999</v>
      </c>
      <c r="J304" s="16">
        <v>0.04</v>
      </c>
      <c r="K304" s="16">
        <v>0.28449999999999998</v>
      </c>
      <c r="L304" s="16">
        <v>0.04</v>
      </c>
      <c r="M304" s="16">
        <v>0.04</v>
      </c>
      <c r="N304" s="16">
        <v>5.5E-2</v>
      </c>
      <c r="O304" s="16">
        <v>0.19009999999999999</v>
      </c>
      <c r="P304" s="16">
        <v>9.2899999999999996E-2</v>
      </c>
      <c r="Q304" s="16">
        <v>8.1500000000000003E-2</v>
      </c>
      <c r="R304" s="16">
        <v>0.19009999999999999</v>
      </c>
      <c r="S304" s="16">
        <v>4.7399999999999998E-2</v>
      </c>
      <c r="T304" s="16">
        <v>0.20660000000000001</v>
      </c>
      <c r="U304" s="16">
        <v>8.8499999999999995E-2</v>
      </c>
      <c r="V304" s="16">
        <v>0.16089999999999999</v>
      </c>
      <c r="W304" s="16">
        <v>0.12970000000000001</v>
      </c>
      <c r="X304" s="16">
        <v>0.7581</v>
      </c>
      <c r="Y304" s="16">
        <v>2.5228999999999999</v>
      </c>
      <c r="Z304" s="16">
        <v>1.7851999999999999</v>
      </c>
      <c r="AA304" s="16">
        <v>0.16200000000000001</v>
      </c>
      <c r="AB304" s="16">
        <v>0.29139999999999999</v>
      </c>
      <c r="AC304" s="16">
        <v>5.1499999999999997E-2</v>
      </c>
      <c r="AD304" s="16">
        <v>0.17510000000000001</v>
      </c>
      <c r="AE304" s="16">
        <v>7.0000000000000007E-2</v>
      </c>
      <c r="AF304" s="16">
        <v>0.1226</v>
      </c>
      <c r="AG304" s="16">
        <v>0.1358</v>
      </c>
      <c r="AH304" s="16">
        <v>0.1061</v>
      </c>
      <c r="AI304" s="16">
        <v>0.19009999999999999</v>
      </c>
      <c r="AJ304" s="16">
        <v>8.8400000000000006E-2</v>
      </c>
      <c r="AK304" s="16">
        <v>0.18740000000000001</v>
      </c>
      <c r="AL304" s="16">
        <v>0.32369999999999999</v>
      </c>
      <c r="AM304" s="16">
        <v>1.1117999999999999</v>
      </c>
      <c r="AN304" s="16">
        <v>0.2097</v>
      </c>
      <c r="AO304" s="16">
        <v>0.18790000000000001</v>
      </c>
      <c r="AP304" s="16">
        <v>0.23549999999999999</v>
      </c>
      <c r="AQ304" s="16">
        <v>0.35610000000000003</v>
      </c>
      <c r="AR304" s="16">
        <v>0.18609999999999999</v>
      </c>
      <c r="AS304" s="16">
        <v>0.28260000000000002</v>
      </c>
      <c r="AT304" s="16">
        <v>0.31140000000000001</v>
      </c>
      <c r="AU304" s="16">
        <v>0.31990000000000002</v>
      </c>
      <c r="AV304" s="16">
        <v>0.39610000000000001</v>
      </c>
      <c r="AW304" s="16">
        <v>0.35830000000000001</v>
      </c>
      <c r="AX304" s="16">
        <v>0.1706</v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V5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6" customWidth="1"/>
    <col min="3" max="126" width="13" customWidth="1"/>
  </cols>
  <sheetData>
    <row r="1" spans="1:126" ht="19.5" x14ac:dyDescent="0.3">
      <c r="A1" s="1" t="s">
        <v>709</v>
      </c>
    </row>
    <row r="2" spans="1:126" x14ac:dyDescent="0.25">
      <c r="A2" s="29" t="s">
        <v>710</v>
      </c>
      <c r="B2" s="27"/>
      <c r="C2" s="27"/>
      <c r="D2" s="27"/>
      <c r="E2" s="27"/>
      <c r="F2" s="27"/>
      <c r="G2" s="27"/>
      <c r="H2" s="27"/>
    </row>
    <row r="4" spans="1:126" ht="25.5" x14ac:dyDescent="0.25">
      <c r="A4" s="5" t="s">
        <v>711</v>
      </c>
      <c r="B4" s="5" t="s">
        <v>712</v>
      </c>
      <c r="C4" s="5" t="s">
        <v>713</v>
      </c>
      <c r="D4" s="5" t="s">
        <v>714</v>
      </c>
      <c r="E4" s="5" t="s">
        <v>715</v>
      </c>
      <c r="F4" s="5" t="s">
        <v>716</v>
      </c>
      <c r="G4" s="5" t="s">
        <v>717</v>
      </c>
      <c r="H4" s="5" t="s">
        <v>718</v>
      </c>
      <c r="I4" s="5" t="s">
        <v>719</v>
      </c>
      <c r="J4" s="5" t="s">
        <v>720</v>
      </c>
      <c r="K4" s="5" t="s">
        <v>721</v>
      </c>
      <c r="L4" s="5" t="s">
        <v>722</v>
      </c>
      <c r="M4" s="5" t="s">
        <v>723</v>
      </c>
      <c r="N4" s="5" t="s">
        <v>724</v>
      </c>
      <c r="O4" s="5" t="s">
        <v>725</v>
      </c>
      <c r="P4" s="5" t="s">
        <v>726</v>
      </c>
      <c r="Q4" s="5" t="s">
        <v>727</v>
      </c>
      <c r="R4" s="5" t="s">
        <v>728</v>
      </c>
      <c r="S4" s="5" t="s">
        <v>729</v>
      </c>
      <c r="T4" s="5" t="s">
        <v>730</v>
      </c>
      <c r="U4" s="5" t="s">
        <v>731</v>
      </c>
      <c r="V4" s="5" t="s">
        <v>732</v>
      </c>
      <c r="W4" s="5" t="s">
        <v>733</v>
      </c>
      <c r="X4" s="5" t="s">
        <v>734</v>
      </c>
      <c r="Y4" s="5" t="s">
        <v>735</v>
      </c>
      <c r="Z4" s="5" t="s">
        <v>736</v>
      </c>
      <c r="AA4" s="5" t="s">
        <v>737</v>
      </c>
      <c r="AB4" s="5" t="s">
        <v>738</v>
      </c>
      <c r="AC4" s="5" t="s">
        <v>739</v>
      </c>
      <c r="AD4" s="5" t="s">
        <v>740</v>
      </c>
      <c r="AE4" s="5" t="s">
        <v>741</v>
      </c>
      <c r="AF4" s="5" t="s">
        <v>742</v>
      </c>
      <c r="AG4" s="5" t="s">
        <v>743</v>
      </c>
      <c r="AH4" s="5" t="s">
        <v>744</v>
      </c>
      <c r="AI4" s="5" t="s">
        <v>745</v>
      </c>
      <c r="AJ4" s="5" t="s">
        <v>746</v>
      </c>
      <c r="AK4" s="5" t="s">
        <v>747</v>
      </c>
      <c r="AL4" s="5" t="s">
        <v>748</v>
      </c>
      <c r="AM4" s="5" t="s">
        <v>749</v>
      </c>
      <c r="AN4" s="5" t="s">
        <v>750</v>
      </c>
      <c r="AO4" s="5" t="s">
        <v>751</v>
      </c>
      <c r="AP4" s="5" t="s">
        <v>752</v>
      </c>
      <c r="AQ4" s="5" t="s">
        <v>753</v>
      </c>
      <c r="AR4" s="5" t="s">
        <v>754</v>
      </c>
      <c r="AS4" s="5" t="s">
        <v>755</v>
      </c>
      <c r="AT4" s="5" t="s">
        <v>756</v>
      </c>
      <c r="AU4" s="5" t="s">
        <v>757</v>
      </c>
      <c r="AV4" s="5" t="s">
        <v>758</v>
      </c>
      <c r="AW4" s="5" t="s">
        <v>759</v>
      </c>
      <c r="AX4" s="5" t="s">
        <v>760</v>
      </c>
      <c r="AY4" s="5" t="s">
        <v>761</v>
      </c>
      <c r="AZ4" s="5" t="s">
        <v>762</v>
      </c>
      <c r="BA4" s="5" t="s">
        <v>763</v>
      </c>
      <c r="BB4" s="5" t="s">
        <v>764</v>
      </c>
      <c r="BC4" s="5" t="s">
        <v>765</v>
      </c>
      <c r="BD4" s="5" t="s">
        <v>766</v>
      </c>
      <c r="BE4" s="5" t="s">
        <v>767</v>
      </c>
      <c r="BF4" s="5" t="s">
        <v>768</v>
      </c>
      <c r="BG4" s="5" t="s">
        <v>769</v>
      </c>
      <c r="BH4" s="5" t="s">
        <v>770</v>
      </c>
      <c r="BI4" s="5" t="s">
        <v>771</v>
      </c>
      <c r="BJ4" s="5" t="s">
        <v>772</v>
      </c>
      <c r="BK4" s="5" t="s">
        <v>773</v>
      </c>
      <c r="BL4" s="5" t="s">
        <v>774</v>
      </c>
      <c r="BM4" s="5" t="s">
        <v>775</v>
      </c>
      <c r="BN4" s="5" t="s">
        <v>776</v>
      </c>
      <c r="BO4" s="5" t="s">
        <v>777</v>
      </c>
      <c r="BP4" s="5" t="s">
        <v>778</v>
      </c>
      <c r="BQ4" s="5" t="s">
        <v>779</v>
      </c>
      <c r="BR4" s="5" t="s">
        <v>780</v>
      </c>
      <c r="BS4" s="5" t="s">
        <v>781</v>
      </c>
      <c r="BT4" s="5" t="s">
        <v>782</v>
      </c>
      <c r="BU4" s="5" t="s">
        <v>783</v>
      </c>
      <c r="BV4" s="5" t="s">
        <v>784</v>
      </c>
      <c r="BW4" s="5" t="s">
        <v>785</v>
      </c>
      <c r="BX4" s="5" t="s">
        <v>786</v>
      </c>
      <c r="BY4" s="5" t="s">
        <v>787</v>
      </c>
      <c r="BZ4" s="5" t="s">
        <v>788</v>
      </c>
      <c r="CA4" s="5" t="s">
        <v>789</v>
      </c>
      <c r="CB4" s="5" t="s">
        <v>790</v>
      </c>
      <c r="CC4" s="5" t="s">
        <v>791</v>
      </c>
      <c r="CD4" s="5" t="s">
        <v>792</v>
      </c>
      <c r="CE4" s="5" t="s">
        <v>793</v>
      </c>
      <c r="CF4" s="5" t="s">
        <v>794</v>
      </c>
      <c r="CG4" s="5" t="s">
        <v>795</v>
      </c>
      <c r="CH4" s="5" t="s">
        <v>796</v>
      </c>
      <c r="CI4" s="5" t="s">
        <v>797</v>
      </c>
      <c r="CJ4" s="5" t="s">
        <v>798</v>
      </c>
      <c r="CK4" s="5" t="s">
        <v>799</v>
      </c>
      <c r="CL4" s="5" t="s">
        <v>800</v>
      </c>
      <c r="CM4" s="5" t="s">
        <v>801</v>
      </c>
      <c r="CN4" s="5" t="s">
        <v>802</v>
      </c>
      <c r="CO4" s="5" t="s">
        <v>803</v>
      </c>
      <c r="CP4" s="5" t="s">
        <v>804</v>
      </c>
      <c r="CQ4" s="5" t="s">
        <v>805</v>
      </c>
      <c r="CR4" s="5" t="s">
        <v>806</v>
      </c>
      <c r="CS4" s="5" t="s">
        <v>807</v>
      </c>
      <c r="CT4" s="5" t="s">
        <v>808</v>
      </c>
      <c r="CU4" s="5" t="s">
        <v>809</v>
      </c>
      <c r="CV4" s="5" t="s">
        <v>810</v>
      </c>
      <c r="CW4" s="5" t="s">
        <v>811</v>
      </c>
      <c r="CX4" s="5" t="s">
        <v>812</v>
      </c>
      <c r="CY4" s="5" t="s">
        <v>813</v>
      </c>
      <c r="CZ4" s="5" t="s">
        <v>814</v>
      </c>
      <c r="DA4" s="5" t="s">
        <v>815</v>
      </c>
      <c r="DB4" s="5" t="s">
        <v>816</v>
      </c>
      <c r="DC4" s="5" t="s">
        <v>817</v>
      </c>
      <c r="DD4" s="5" t="s">
        <v>818</v>
      </c>
      <c r="DE4" s="5" t="s">
        <v>819</v>
      </c>
      <c r="DF4" s="5" t="s">
        <v>820</v>
      </c>
      <c r="DG4" s="5" t="s">
        <v>821</v>
      </c>
      <c r="DH4" s="5" t="s">
        <v>822</v>
      </c>
      <c r="DI4" s="5" t="s">
        <v>823</v>
      </c>
      <c r="DJ4" s="5" t="s">
        <v>824</v>
      </c>
      <c r="DK4" s="5" t="s">
        <v>825</v>
      </c>
      <c r="DL4" s="5" t="s">
        <v>826</v>
      </c>
      <c r="DM4" s="5" t="s">
        <v>827</v>
      </c>
      <c r="DN4" s="5" t="s">
        <v>828</v>
      </c>
      <c r="DO4" s="5" t="s">
        <v>829</v>
      </c>
      <c r="DP4" s="5" t="s">
        <v>830</v>
      </c>
      <c r="DQ4" s="5" t="s">
        <v>831</v>
      </c>
      <c r="DR4" s="5" t="s">
        <v>832</v>
      </c>
      <c r="DS4" s="5" t="s">
        <v>833</v>
      </c>
      <c r="DT4" s="5" t="s">
        <v>834</v>
      </c>
      <c r="DU4" s="5" t="s">
        <v>835</v>
      </c>
      <c r="DV4" s="5" t="s">
        <v>836</v>
      </c>
    </row>
    <row r="5" spans="1:126" x14ac:dyDescent="0.25">
      <c r="A5" s="8">
        <v>1</v>
      </c>
      <c r="B5" s="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v>0</v>
      </c>
      <c r="BA5" s="18">
        <v>0</v>
      </c>
      <c r="BB5" s="18">
        <v>0</v>
      </c>
      <c r="BC5" s="18">
        <v>0</v>
      </c>
      <c r="BD5" s="18">
        <v>0</v>
      </c>
      <c r="BE5" s="18">
        <v>0</v>
      </c>
      <c r="BF5" s="18">
        <v>0</v>
      </c>
      <c r="BG5" s="18">
        <v>0</v>
      </c>
      <c r="BH5" s="18">
        <v>0</v>
      </c>
      <c r="BI5" s="18">
        <v>0</v>
      </c>
      <c r="BJ5" s="18">
        <v>0</v>
      </c>
      <c r="BK5" s="18">
        <v>0</v>
      </c>
      <c r="BL5" s="18">
        <v>0</v>
      </c>
      <c r="BM5" s="18">
        <v>0</v>
      </c>
      <c r="BN5" s="18">
        <v>0</v>
      </c>
      <c r="BO5" s="18">
        <v>0</v>
      </c>
      <c r="BP5" s="18">
        <v>0</v>
      </c>
      <c r="BQ5" s="18">
        <v>0</v>
      </c>
      <c r="BR5" s="18">
        <v>0</v>
      </c>
      <c r="BS5" s="18">
        <v>0</v>
      </c>
      <c r="BT5" s="18">
        <v>0</v>
      </c>
      <c r="BU5" s="18">
        <v>0</v>
      </c>
      <c r="BV5" s="18">
        <v>0</v>
      </c>
      <c r="BW5" s="18">
        <v>0</v>
      </c>
      <c r="BX5" s="18">
        <v>0</v>
      </c>
      <c r="BY5" s="18">
        <v>0</v>
      </c>
      <c r="BZ5" s="18">
        <v>0</v>
      </c>
      <c r="CA5" s="18">
        <v>0</v>
      </c>
      <c r="CB5" s="18">
        <v>0</v>
      </c>
      <c r="CC5" s="18">
        <v>0</v>
      </c>
      <c r="CD5" s="18">
        <v>0</v>
      </c>
      <c r="CE5" s="18">
        <v>0</v>
      </c>
      <c r="CF5" s="18">
        <v>0</v>
      </c>
      <c r="CG5" s="18">
        <v>0</v>
      </c>
      <c r="CH5" s="18">
        <v>0</v>
      </c>
      <c r="CI5" s="18">
        <v>0</v>
      </c>
      <c r="CJ5" s="18">
        <v>0</v>
      </c>
      <c r="CK5" s="18">
        <v>0</v>
      </c>
      <c r="CL5" s="18">
        <v>0</v>
      </c>
      <c r="CM5" s="18">
        <v>0</v>
      </c>
      <c r="CN5" s="18">
        <v>0</v>
      </c>
      <c r="CO5" s="18">
        <v>0</v>
      </c>
      <c r="CP5" s="18">
        <v>0</v>
      </c>
      <c r="CQ5" s="18">
        <v>0</v>
      </c>
      <c r="CR5" s="18">
        <v>0</v>
      </c>
      <c r="CS5" s="18">
        <v>0</v>
      </c>
      <c r="CT5" s="18">
        <v>0</v>
      </c>
      <c r="CU5" s="18">
        <v>0</v>
      </c>
      <c r="CV5" s="18">
        <v>0</v>
      </c>
      <c r="CW5" s="18">
        <v>0</v>
      </c>
      <c r="CX5" s="18">
        <v>0</v>
      </c>
      <c r="CY5" s="18">
        <v>0</v>
      </c>
      <c r="CZ5" s="18">
        <v>0</v>
      </c>
      <c r="DA5" s="18">
        <v>0</v>
      </c>
      <c r="DB5" s="18">
        <v>0</v>
      </c>
      <c r="DC5" s="18">
        <v>0</v>
      </c>
      <c r="DD5" s="18">
        <v>0</v>
      </c>
      <c r="DE5" s="18">
        <v>0</v>
      </c>
      <c r="DF5" s="18">
        <v>0</v>
      </c>
      <c r="DG5" s="18">
        <v>0</v>
      </c>
      <c r="DH5" s="18">
        <v>0</v>
      </c>
      <c r="DI5" s="18">
        <v>0</v>
      </c>
      <c r="DJ5" s="18">
        <v>0</v>
      </c>
      <c r="DK5" s="18">
        <v>0</v>
      </c>
      <c r="DL5" s="18">
        <v>0</v>
      </c>
      <c r="DM5" s="18">
        <v>0</v>
      </c>
      <c r="DN5" s="18">
        <v>0</v>
      </c>
      <c r="DO5" s="18">
        <v>0</v>
      </c>
      <c r="DP5" s="18">
        <v>0</v>
      </c>
      <c r="DQ5" s="18">
        <v>0</v>
      </c>
      <c r="DR5" s="18">
        <v>0</v>
      </c>
      <c r="DS5" s="18">
        <v>0</v>
      </c>
      <c r="DT5" s="18">
        <v>0</v>
      </c>
      <c r="DU5" s="18">
        <v>0</v>
      </c>
      <c r="DV5" s="18">
        <v>0</v>
      </c>
    </row>
    <row r="6" spans="1:126" x14ac:dyDescent="0.25">
      <c r="A6" s="8">
        <v>2</v>
      </c>
      <c r="B6" s="8">
        <v>0.5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8">
        <v>0</v>
      </c>
      <c r="BE6" s="18">
        <v>0</v>
      </c>
      <c r="BF6" s="18">
        <v>0</v>
      </c>
      <c r="BG6" s="18">
        <v>0</v>
      </c>
      <c r="BH6" s="18">
        <v>0</v>
      </c>
      <c r="BI6" s="18">
        <v>0</v>
      </c>
      <c r="BJ6" s="18">
        <v>0</v>
      </c>
      <c r="BK6" s="18">
        <v>0</v>
      </c>
      <c r="BL6" s="18">
        <v>0</v>
      </c>
      <c r="BM6" s="18">
        <v>0</v>
      </c>
      <c r="BN6" s="18">
        <v>0</v>
      </c>
      <c r="BO6" s="18">
        <v>0</v>
      </c>
      <c r="BP6" s="18">
        <v>0</v>
      </c>
      <c r="BQ6" s="18">
        <v>0</v>
      </c>
      <c r="BR6" s="18">
        <v>0</v>
      </c>
      <c r="BS6" s="18">
        <v>0</v>
      </c>
      <c r="BT6" s="18">
        <v>0</v>
      </c>
      <c r="BU6" s="18">
        <v>0</v>
      </c>
      <c r="BV6" s="18">
        <v>0</v>
      </c>
      <c r="BW6" s="18">
        <v>0</v>
      </c>
      <c r="BX6" s="18">
        <v>0</v>
      </c>
      <c r="BY6" s="18">
        <v>0</v>
      </c>
      <c r="BZ6" s="18">
        <v>0</v>
      </c>
      <c r="CA6" s="18">
        <v>0</v>
      </c>
      <c r="CB6" s="18">
        <v>0</v>
      </c>
      <c r="CC6" s="18">
        <v>0</v>
      </c>
      <c r="CD6" s="18">
        <v>0</v>
      </c>
      <c r="CE6" s="18">
        <v>0</v>
      </c>
      <c r="CF6" s="18">
        <v>0</v>
      </c>
      <c r="CG6" s="18">
        <v>0</v>
      </c>
      <c r="CH6" s="18">
        <v>0</v>
      </c>
      <c r="CI6" s="18">
        <v>0</v>
      </c>
      <c r="CJ6" s="18">
        <v>0</v>
      </c>
      <c r="CK6" s="18">
        <v>0</v>
      </c>
      <c r="CL6" s="18">
        <v>0</v>
      </c>
      <c r="CM6" s="18">
        <v>0</v>
      </c>
      <c r="CN6" s="18">
        <v>0</v>
      </c>
      <c r="CO6" s="18">
        <v>0</v>
      </c>
      <c r="CP6" s="18">
        <v>0</v>
      </c>
      <c r="CQ6" s="18">
        <v>0</v>
      </c>
      <c r="CR6" s="18">
        <v>0</v>
      </c>
      <c r="CS6" s="18">
        <v>0</v>
      </c>
      <c r="CT6" s="18">
        <v>0</v>
      </c>
      <c r="CU6" s="18">
        <v>0</v>
      </c>
      <c r="CV6" s="18">
        <v>0</v>
      </c>
      <c r="CW6" s="18">
        <v>0</v>
      </c>
      <c r="CX6" s="18">
        <v>0</v>
      </c>
      <c r="CY6" s="18">
        <v>0</v>
      </c>
      <c r="CZ6" s="18">
        <v>0</v>
      </c>
      <c r="DA6" s="18">
        <v>0</v>
      </c>
      <c r="DB6" s="18">
        <v>0</v>
      </c>
      <c r="DC6" s="18">
        <v>0</v>
      </c>
      <c r="DD6" s="18">
        <v>0</v>
      </c>
      <c r="DE6" s="18">
        <v>0</v>
      </c>
      <c r="DF6" s="18">
        <v>0</v>
      </c>
      <c r="DG6" s="18">
        <v>0</v>
      </c>
      <c r="DH6" s="18">
        <v>0</v>
      </c>
      <c r="DI6" s="18">
        <v>0</v>
      </c>
      <c r="DJ6" s="18">
        <v>0</v>
      </c>
      <c r="DK6" s="18">
        <v>0</v>
      </c>
      <c r="DL6" s="18">
        <v>0</v>
      </c>
      <c r="DM6" s="18">
        <v>0</v>
      </c>
      <c r="DN6" s="18">
        <v>0</v>
      </c>
      <c r="DO6" s="18">
        <v>0</v>
      </c>
      <c r="DP6" s="18">
        <v>0</v>
      </c>
      <c r="DQ6" s="18">
        <v>0</v>
      </c>
      <c r="DR6" s="18">
        <v>0</v>
      </c>
      <c r="DS6" s="18">
        <v>0</v>
      </c>
      <c r="DT6" s="18">
        <v>0</v>
      </c>
      <c r="DU6" s="18">
        <v>0</v>
      </c>
      <c r="DV6" s="18">
        <v>0</v>
      </c>
    </row>
    <row r="7" spans="1:126" x14ac:dyDescent="0.25">
      <c r="A7" s="8">
        <v>3</v>
      </c>
      <c r="B7" s="8">
        <v>1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>
        <v>0</v>
      </c>
      <c r="BN7" s="18">
        <v>0</v>
      </c>
      <c r="BO7" s="18">
        <v>0</v>
      </c>
      <c r="BP7" s="18">
        <v>0</v>
      </c>
      <c r="BQ7" s="18">
        <v>0</v>
      </c>
      <c r="BR7" s="18">
        <v>0</v>
      </c>
      <c r="BS7" s="18">
        <v>0</v>
      </c>
      <c r="BT7" s="18">
        <v>0</v>
      </c>
      <c r="BU7" s="18">
        <v>0</v>
      </c>
      <c r="BV7" s="18">
        <v>0</v>
      </c>
      <c r="BW7" s="18">
        <v>0</v>
      </c>
      <c r="BX7" s="18">
        <v>0</v>
      </c>
      <c r="BY7" s="18">
        <v>0</v>
      </c>
      <c r="BZ7" s="18">
        <v>0</v>
      </c>
      <c r="CA7" s="18">
        <v>0</v>
      </c>
      <c r="CB7" s="18">
        <v>0</v>
      </c>
      <c r="CC7" s="18">
        <v>0</v>
      </c>
      <c r="CD7" s="18">
        <v>0</v>
      </c>
      <c r="CE7" s="18">
        <v>0</v>
      </c>
      <c r="CF7" s="18">
        <v>0</v>
      </c>
      <c r="CG7" s="18">
        <v>0</v>
      </c>
      <c r="CH7" s="18">
        <v>0</v>
      </c>
      <c r="CI7" s="18">
        <v>0</v>
      </c>
      <c r="CJ7" s="18">
        <v>0</v>
      </c>
      <c r="CK7" s="18">
        <v>0</v>
      </c>
      <c r="CL7" s="18">
        <v>0</v>
      </c>
      <c r="CM7" s="18">
        <v>0</v>
      </c>
      <c r="CN7" s="18">
        <v>0</v>
      </c>
      <c r="CO7" s="18">
        <v>0</v>
      </c>
      <c r="CP7" s="18">
        <v>0</v>
      </c>
      <c r="CQ7" s="18">
        <v>0</v>
      </c>
      <c r="CR7" s="18">
        <v>0</v>
      </c>
      <c r="CS7" s="18">
        <v>0</v>
      </c>
      <c r="CT7" s="18">
        <v>0</v>
      </c>
      <c r="CU7" s="18">
        <v>0</v>
      </c>
      <c r="CV7" s="18">
        <v>0</v>
      </c>
      <c r="CW7" s="18">
        <v>0</v>
      </c>
      <c r="CX7" s="18">
        <v>0</v>
      </c>
      <c r="CY7" s="18">
        <v>0</v>
      </c>
      <c r="CZ7" s="18">
        <v>0</v>
      </c>
      <c r="DA7" s="18">
        <v>0</v>
      </c>
      <c r="DB7" s="18">
        <v>0</v>
      </c>
      <c r="DC7" s="18">
        <v>0</v>
      </c>
      <c r="DD7" s="18">
        <v>0</v>
      </c>
      <c r="DE7" s="18">
        <v>0</v>
      </c>
      <c r="DF7" s="18">
        <v>0</v>
      </c>
      <c r="DG7" s="18">
        <v>0</v>
      </c>
      <c r="DH7" s="18">
        <v>0</v>
      </c>
      <c r="DI7" s="18">
        <v>0</v>
      </c>
      <c r="DJ7" s="18">
        <v>0</v>
      </c>
      <c r="DK7" s="18">
        <v>0</v>
      </c>
      <c r="DL7" s="18">
        <v>0</v>
      </c>
      <c r="DM7" s="18">
        <v>0</v>
      </c>
      <c r="DN7" s="18">
        <v>0</v>
      </c>
      <c r="DO7" s="18">
        <v>0</v>
      </c>
      <c r="DP7" s="18">
        <v>0</v>
      </c>
      <c r="DQ7" s="18">
        <v>0</v>
      </c>
      <c r="DR7" s="18">
        <v>0</v>
      </c>
      <c r="DS7" s="18">
        <v>0</v>
      </c>
      <c r="DT7" s="18">
        <v>0</v>
      </c>
      <c r="DU7" s="18">
        <v>0</v>
      </c>
      <c r="DV7" s="18">
        <v>0</v>
      </c>
    </row>
    <row r="8" spans="1:126" x14ac:dyDescent="0.25">
      <c r="A8" s="8">
        <v>4</v>
      </c>
      <c r="B8" s="8">
        <v>1.5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0</v>
      </c>
      <c r="BX8" s="18">
        <v>0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  <c r="CF8" s="18">
        <v>0</v>
      </c>
      <c r="CG8" s="18">
        <v>0</v>
      </c>
      <c r="CH8" s="18">
        <v>0</v>
      </c>
      <c r="CI8" s="18">
        <v>0</v>
      </c>
      <c r="CJ8" s="18">
        <v>0</v>
      </c>
      <c r="CK8" s="18">
        <v>0</v>
      </c>
      <c r="CL8" s="18">
        <v>0</v>
      </c>
      <c r="CM8" s="18">
        <v>0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18">
        <v>0</v>
      </c>
      <c r="CX8" s="18">
        <v>0</v>
      </c>
      <c r="CY8" s="18">
        <v>0</v>
      </c>
      <c r="CZ8" s="18">
        <v>0</v>
      </c>
      <c r="DA8" s="18">
        <v>0</v>
      </c>
      <c r="DB8" s="18">
        <v>0</v>
      </c>
      <c r="DC8" s="18">
        <v>0</v>
      </c>
      <c r="DD8" s="18">
        <v>0</v>
      </c>
      <c r="DE8" s="18">
        <v>0</v>
      </c>
      <c r="DF8" s="18">
        <v>0</v>
      </c>
      <c r="DG8" s="18">
        <v>0</v>
      </c>
      <c r="DH8" s="18">
        <v>0</v>
      </c>
      <c r="DI8" s="18">
        <v>0</v>
      </c>
      <c r="DJ8" s="18">
        <v>0</v>
      </c>
      <c r="DK8" s="18">
        <v>0</v>
      </c>
      <c r="DL8" s="18">
        <v>0</v>
      </c>
      <c r="DM8" s="18">
        <v>0</v>
      </c>
      <c r="DN8" s="18">
        <v>0</v>
      </c>
      <c r="DO8" s="18">
        <v>0</v>
      </c>
      <c r="DP8" s="18">
        <v>0</v>
      </c>
      <c r="DQ8" s="18">
        <v>0</v>
      </c>
      <c r="DR8" s="18">
        <v>0</v>
      </c>
      <c r="DS8" s="18">
        <v>0</v>
      </c>
      <c r="DT8" s="18">
        <v>0</v>
      </c>
      <c r="DU8" s="18">
        <v>0</v>
      </c>
      <c r="DV8" s="18">
        <v>0</v>
      </c>
    </row>
    <row r="9" spans="1:126" x14ac:dyDescent="0.25">
      <c r="A9" s="8">
        <v>5</v>
      </c>
      <c r="B9" s="8">
        <v>2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0</v>
      </c>
      <c r="BV9" s="18">
        <v>0</v>
      </c>
      <c r="BW9" s="18">
        <v>0</v>
      </c>
      <c r="BX9" s="18">
        <v>0</v>
      </c>
      <c r="BY9" s="18">
        <v>0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  <c r="CF9" s="18">
        <v>0</v>
      </c>
      <c r="CG9" s="18">
        <v>0</v>
      </c>
      <c r="CH9" s="18">
        <v>0</v>
      </c>
      <c r="CI9" s="18">
        <v>0</v>
      </c>
      <c r="CJ9" s="18">
        <v>0</v>
      </c>
      <c r="CK9" s="18">
        <v>0</v>
      </c>
      <c r="CL9" s="18">
        <v>0</v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8">
        <v>0</v>
      </c>
      <c r="CT9" s="18">
        <v>0</v>
      </c>
      <c r="CU9" s="18">
        <v>0</v>
      </c>
      <c r="CV9" s="18">
        <v>0</v>
      </c>
      <c r="CW9" s="18">
        <v>0</v>
      </c>
      <c r="CX9" s="18">
        <v>0</v>
      </c>
      <c r="CY9" s="18">
        <v>0</v>
      </c>
      <c r="CZ9" s="18">
        <v>0</v>
      </c>
      <c r="DA9" s="18">
        <v>0</v>
      </c>
      <c r="DB9" s="18">
        <v>0</v>
      </c>
      <c r="DC9" s="18">
        <v>0</v>
      </c>
      <c r="DD9" s="18">
        <v>0</v>
      </c>
      <c r="DE9" s="18">
        <v>0</v>
      </c>
      <c r="DF9" s="18">
        <v>0</v>
      </c>
      <c r="DG9" s="18">
        <v>0</v>
      </c>
      <c r="DH9" s="18">
        <v>0</v>
      </c>
      <c r="DI9" s="18">
        <v>0</v>
      </c>
      <c r="DJ9" s="18">
        <v>0</v>
      </c>
      <c r="DK9" s="18">
        <v>0</v>
      </c>
      <c r="DL9" s="18">
        <v>0</v>
      </c>
      <c r="DM9" s="18">
        <v>0</v>
      </c>
      <c r="DN9" s="18">
        <v>0</v>
      </c>
      <c r="DO9" s="18">
        <v>0</v>
      </c>
      <c r="DP9" s="18">
        <v>0</v>
      </c>
      <c r="DQ9" s="18">
        <v>0</v>
      </c>
      <c r="DR9" s="18">
        <v>0</v>
      </c>
      <c r="DS9" s="18">
        <v>0</v>
      </c>
      <c r="DT9" s="18">
        <v>0</v>
      </c>
      <c r="DU9" s="18">
        <v>0</v>
      </c>
      <c r="DV9" s="18">
        <v>0</v>
      </c>
    </row>
    <row r="10" spans="1:126" x14ac:dyDescent="0.25">
      <c r="A10" s="8">
        <v>6</v>
      </c>
      <c r="B10" s="8">
        <v>2.5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>
        <v>0</v>
      </c>
      <c r="BX10" s="18">
        <v>0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18">
        <v>0</v>
      </c>
      <c r="CH10" s="18">
        <v>0</v>
      </c>
      <c r="CI10" s="18">
        <v>0</v>
      </c>
      <c r="CJ10" s="18">
        <v>0</v>
      </c>
      <c r="CK10" s="18">
        <v>0</v>
      </c>
      <c r="CL10" s="18">
        <v>0</v>
      </c>
      <c r="CM10" s="18">
        <v>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18">
        <v>0</v>
      </c>
      <c r="CX10" s="18">
        <v>0</v>
      </c>
      <c r="CY10" s="18">
        <v>0</v>
      </c>
      <c r="CZ10" s="18">
        <v>0</v>
      </c>
      <c r="DA10" s="18">
        <v>0</v>
      </c>
      <c r="DB10" s="18">
        <v>0</v>
      </c>
      <c r="DC10" s="18">
        <v>0</v>
      </c>
      <c r="DD10" s="18">
        <v>0</v>
      </c>
      <c r="DE10" s="18">
        <v>0</v>
      </c>
      <c r="DF10" s="18">
        <v>0</v>
      </c>
      <c r="DG10" s="18">
        <v>0</v>
      </c>
      <c r="DH10" s="18">
        <v>0</v>
      </c>
      <c r="DI10" s="18">
        <v>0</v>
      </c>
      <c r="DJ10" s="18">
        <v>0</v>
      </c>
      <c r="DK10" s="18">
        <v>0</v>
      </c>
      <c r="DL10" s="18">
        <v>0</v>
      </c>
      <c r="DM10" s="18">
        <v>0</v>
      </c>
      <c r="DN10" s="18">
        <v>0</v>
      </c>
      <c r="DO10" s="18">
        <v>0</v>
      </c>
      <c r="DP10" s="18">
        <v>0</v>
      </c>
      <c r="DQ10" s="18">
        <v>0</v>
      </c>
      <c r="DR10" s="18">
        <v>0</v>
      </c>
      <c r="DS10" s="18">
        <v>0</v>
      </c>
      <c r="DT10" s="18">
        <v>0</v>
      </c>
      <c r="DU10" s="18">
        <v>0</v>
      </c>
      <c r="DV10" s="18">
        <v>0</v>
      </c>
    </row>
    <row r="11" spans="1:126" x14ac:dyDescent="0.25">
      <c r="A11" s="8">
        <v>7</v>
      </c>
      <c r="B11" s="8">
        <v>3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0</v>
      </c>
      <c r="CI11" s="18">
        <v>0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0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18">
        <v>0</v>
      </c>
      <c r="DF11" s="18">
        <v>0</v>
      </c>
      <c r="DG11" s="18">
        <v>0</v>
      </c>
      <c r="DH11" s="18">
        <v>0</v>
      </c>
      <c r="DI11" s="18">
        <v>0</v>
      </c>
      <c r="DJ11" s="18">
        <v>0</v>
      </c>
      <c r="DK11" s="18">
        <v>0</v>
      </c>
      <c r="DL11" s="18">
        <v>0</v>
      </c>
      <c r="DM11" s="18">
        <v>0</v>
      </c>
      <c r="DN11" s="18">
        <v>0</v>
      </c>
      <c r="DO11" s="18">
        <v>0</v>
      </c>
      <c r="DP11" s="18">
        <v>0</v>
      </c>
      <c r="DQ11" s="18">
        <v>0</v>
      </c>
      <c r="DR11" s="18">
        <v>0</v>
      </c>
      <c r="DS11" s="18">
        <v>0</v>
      </c>
      <c r="DT11" s="18">
        <v>0</v>
      </c>
      <c r="DU11" s="18">
        <v>0</v>
      </c>
      <c r="DV11" s="18">
        <v>0</v>
      </c>
    </row>
    <row r="12" spans="1:126" x14ac:dyDescent="0.25">
      <c r="A12" s="8">
        <v>8</v>
      </c>
      <c r="B12" s="8">
        <v>3.5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>
        <v>0</v>
      </c>
      <c r="BX12" s="18">
        <v>0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18">
        <v>0</v>
      </c>
      <c r="CI12" s="18">
        <v>0</v>
      </c>
      <c r="CJ12" s="18">
        <v>0</v>
      </c>
      <c r="CK12" s="18">
        <v>0</v>
      </c>
      <c r="CL12" s="18">
        <v>0</v>
      </c>
      <c r="CM12" s="18">
        <v>0</v>
      </c>
      <c r="CN12" s="18">
        <v>0</v>
      </c>
      <c r="CO12" s="18">
        <v>0</v>
      </c>
      <c r="CP12" s="18">
        <v>0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18">
        <v>0</v>
      </c>
      <c r="CX12" s="18">
        <v>0</v>
      </c>
      <c r="CY12" s="18">
        <v>0</v>
      </c>
      <c r="CZ12" s="18">
        <v>0</v>
      </c>
      <c r="DA12" s="18">
        <v>0</v>
      </c>
      <c r="DB12" s="18">
        <v>0</v>
      </c>
      <c r="DC12" s="18">
        <v>0</v>
      </c>
      <c r="DD12" s="18">
        <v>0</v>
      </c>
      <c r="DE12" s="18">
        <v>0</v>
      </c>
      <c r="DF12" s="18">
        <v>0</v>
      </c>
      <c r="DG12" s="18">
        <v>0</v>
      </c>
      <c r="DH12" s="18">
        <v>0</v>
      </c>
      <c r="DI12" s="18">
        <v>0</v>
      </c>
      <c r="DJ12" s="18">
        <v>0</v>
      </c>
      <c r="DK12" s="18">
        <v>0</v>
      </c>
      <c r="DL12" s="18">
        <v>0</v>
      </c>
      <c r="DM12" s="18">
        <v>0</v>
      </c>
      <c r="DN12" s="18">
        <v>0</v>
      </c>
      <c r="DO12" s="18">
        <v>0</v>
      </c>
      <c r="DP12" s="18">
        <v>0</v>
      </c>
      <c r="DQ12" s="18">
        <v>0</v>
      </c>
      <c r="DR12" s="18">
        <v>0</v>
      </c>
      <c r="DS12" s="18">
        <v>0</v>
      </c>
      <c r="DT12" s="18">
        <v>0</v>
      </c>
      <c r="DU12" s="18">
        <v>0</v>
      </c>
      <c r="DV12" s="18">
        <v>0</v>
      </c>
    </row>
    <row r="13" spans="1:126" x14ac:dyDescent="0.25">
      <c r="A13" s="8">
        <v>9</v>
      </c>
      <c r="B13" s="8">
        <v>4</v>
      </c>
      <c r="C13" s="18">
        <v>0</v>
      </c>
      <c r="D13" s="18">
        <v>0</v>
      </c>
      <c r="E13" s="18">
        <v>0</v>
      </c>
      <c r="F13" s="18">
        <v>0</v>
      </c>
      <c r="G13" s="18">
        <v>3.0000000000000001E-3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2E-3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4.0000000000000001E-3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0</v>
      </c>
      <c r="BV13" s="18">
        <v>0</v>
      </c>
      <c r="BW13" s="18">
        <v>0</v>
      </c>
      <c r="BX13" s="18">
        <v>0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18">
        <v>3.0000000000000001E-3</v>
      </c>
      <c r="CI13" s="18">
        <v>0</v>
      </c>
      <c r="CJ13" s="18">
        <v>0</v>
      </c>
      <c r="CK13" s="18">
        <v>0</v>
      </c>
      <c r="CL13" s="18">
        <v>0</v>
      </c>
      <c r="CM13" s="18">
        <v>0</v>
      </c>
      <c r="CN13" s="18">
        <v>0</v>
      </c>
      <c r="CO13" s="18">
        <v>0</v>
      </c>
      <c r="CP13" s="18">
        <v>1E-3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18">
        <v>0</v>
      </c>
      <c r="CX13" s="18">
        <v>0</v>
      </c>
      <c r="CY13" s="18">
        <v>1.6E-2</v>
      </c>
      <c r="CZ13" s="18">
        <v>0</v>
      </c>
      <c r="DA13" s="18">
        <v>0</v>
      </c>
      <c r="DB13" s="18">
        <v>0</v>
      </c>
      <c r="DC13" s="18">
        <v>0</v>
      </c>
      <c r="DD13" s="18">
        <v>0</v>
      </c>
      <c r="DE13" s="18">
        <v>0</v>
      </c>
      <c r="DF13" s="18">
        <v>0</v>
      </c>
      <c r="DG13" s="18">
        <v>0</v>
      </c>
      <c r="DH13" s="18">
        <v>0</v>
      </c>
      <c r="DI13" s="18">
        <v>0</v>
      </c>
      <c r="DJ13" s="18">
        <v>0</v>
      </c>
      <c r="DK13" s="18">
        <v>0</v>
      </c>
      <c r="DL13" s="18">
        <v>0</v>
      </c>
      <c r="DM13" s="18">
        <v>8.0000000000000002E-3</v>
      </c>
      <c r="DN13" s="18">
        <v>0</v>
      </c>
      <c r="DO13" s="18">
        <v>0</v>
      </c>
      <c r="DP13" s="18">
        <v>0</v>
      </c>
      <c r="DQ13" s="18">
        <v>0</v>
      </c>
      <c r="DR13" s="18">
        <v>2E-3</v>
      </c>
      <c r="DS13" s="18">
        <v>0</v>
      </c>
      <c r="DT13" s="18">
        <v>0</v>
      </c>
      <c r="DU13" s="18">
        <v>0</v>
      </c>
      <c r="DV13" s="18">
        <v>0</v>
      </c>
    </row>
    <row r="14" spans="1:126" x14ac:dyDescent="0.25">
      <c r="A14" s="8">
        <v>10</v>
      </c>
      <c r="B14" s="8">
        <v>4.5</v>
      </c>
      <c r="C14" s="18">
        <v>7.2999999999999995E-2</v>
      </c>
      <c r="D14" s="18">
        <v>0</v>
      </c>
      <c r="E14" s="18">
        <v>9.4E-2</v>
      </c>
      <c r="F14" s="18">
        <v>5.7000000000000002E-2</v>
      </c>
      <c r="G14" s="18">
        <v>0.186</v>
      </c>
      <c r="H14" s="18">
        <v>7.8E-2</v>
      </c>
      <c r="I14" s="18">
        <v>3.2000000000000001E-2</v>
      </c>
      <c r="J14" s="18">
        <v>0</v>
      </c>
      <c r="K14" s="18">
        <v>6.2E-2</v>
      </c>
      <c r="L14" s="18">
        <v>0</v>
      </c>
      <c r="M14" s="18">
        <v>0.185</v>
      </c>
      <c r="N14" s="18">
        <v>0.186</v>
      </c>
      <c r="O14" s="18">
        <v>0.129</v>
      </c>
      <c r="P14" s="18">
        <v>9.5000000000000001E-2</v>
      </c>
      <c r="Q14" s="18">
        <v>6.8000000000000005E-2</v>
      </c>
      <c r="R14" s="18">
        <v>0</v>
      </c>
      <c r="S14" s="18">
        <v>6.2E-2</v>
      </c>
      <c r="T14" s="18">
        <v>0</v>
      </c>
      <c r="U14" s="18">
        <v>0.111</v>
      </c>
      <c r="V14" s="18">
        <v>0.17399999999999999</v>
      </c>
      <c r="W14" s="18">
        <v>3.0000000000000001E-3</v>
      </c>
      <c r="X14" s="18">
        <v>0</v>
      </c>
      <c r="Y14" s="18">
        <v>0.14299999999999999</v>
      </c>
      <c r="Z14" s="18">
        <v>0.17799999999999999</v>
      </c>
      <c r="AA14" s="18">
        <v>3.6999999999999998E-2</v>
      </c>
      <c r="AB14" s="18">
        <v>0</v>
      </c>
      <c r="AC14" s="18">
        <v>0.105</v>
      </c>
      <c r="AD14" s="18">
        <v>0.112</v>
      </c>
      <c r="AE14" s="18">
        <v>0.17799999999999999</v>
      </c>
      <c r="AF14" s="18">
        <v>0</v>
      </c>
      <c r="AG14" s="18">
        <v>0</v>
      </c>
      <c r="AH14" s="18">
        <v>0.187</v>
      </c>
      <c r="AI14" s="18">
        <v>0</v>
      </c>
      <c r="AJ14" s="18">
        <v>0.153</v>
      </c>
      <c r="AK14" s="18">
        <v>0</v>
      </c>
      <c r="AL14" s="18">
        <v>0.1</v>
      </c>
      <c r="AM14" s="18">
        <v>0</v>
      </c>
      <c r="AN14" s="18">
        <v>0.186</v>
      </c>
      <c r="AO14" s="18">
        <v>3.4000000000000002E-2</v>
      </c>
      <c r="AP14" s="18">
        <v>0.158</v>
      </c>
      <c r="AQ14" s="18">
        <v>0.151</v>
      </c>
      <c r="AR14" s="18">
        <v>0.17799999999999999</v>
      </c>
      <c r="AS14" s="18">
        <v>0.17499999999999999</v>
      </c>
      <c r="AT14" s="18">
        <v>0</v>
      </c>
      <c r="AU14" s="18">
        <v>0.183</v>
      </c>
      <c r="AV14" s="18">
        <v>0.13700000000000001</v>
      </c>
      <c r="AW14" s="18">
        <v>0.17299999999999999</v>
      </c>
      <c r="AX14" s="18">
        <v>8.5999999999999993E-2</v>
      </c>
      <c r="AY14" s="18">
        <v>0.185</v>
      </c>
      <c r="AZ14" s="18">
        <v>0.122</v>
      </c>
      <c r="BA14" s="18">
        <v>0.13500000000000001</v>
      </c>
      <c r="BB14" s="18">
        <v>8.4000000000000005E-2</v>
      </c>
      <c r="BC14" s="18">
        <v>0</v>
      </c>
      <c r="BD14" s="18">
        <v>2.5999999999999999E-2</v>
      </c>
      <c r="BE14" s="18">
        <v>3.1E-2</v>
      </c>
      <c r="BF14" s="18">
        <v>1.0999999999999999E-2</v>
      </c>
      <c r="BG14" s="18">
        <v>0</v>
      </c>
      <c r="BH14" s="18">
        <v>6.6000000000000003E-2</v>
      </c>
      <c r="BI14" s="18">
        <v>0.155</v>
      </c>
      <c r="BJ14" s="18">
        <v>7.2999999999999995E-2</v>
      </c>
      <c r="BK14" s="18">
        <v>0.14399999999999999</v>
      </c>
      <c r="BL14" s="18">
        <v>0</v>
      </c>
      <c r="BM14" s="18">
        <v>0.06</v>
      </c>
      <c r="BN14" s="18">
        <v>0</v>
      </c>
      <c r="BO14" s="18">
        <v>5.6000000000000001E-2</v>
      </c>
      <c r="BP14" s="18">
        <v>0.124</v>
      </c>
      <c r="BQ14" s="18">
        <v>0.19600000000000001</v>
      </c>
      <c r="BR14" s="18">
        <v>6.4000000000000001E-2</v>
      </c>
      <c r="BS14" s="18">
        <v>0</v>
      </c>
      <c r="BT14" s="18">
        <v>0</v>
      </c>
      <c r="BU14" s="18">
        <v>6.5000000000000002E-2</v>
      </c>
      <c r="BV14" s="18">
        <v>0.126</v>
      </c>
      <c r="BW14" s="18">
        <v>0</v>
      </c>
      <c r="BX14" s="18">
        <v>0.128</v>
      </c>
      <c r="BY14" s="18">
        <v>0.17799999999999999</v>
      </c>
      <c r="BZ14" s="18">
        <v>0.13100000000000001</v>
      </c>
      <c r="CA14" s="18">
        <v>0.17599999999999999</v>
      </c>
      <c r="CB14" s="18">
        <v>0</v>
      </c>
      <c r="CC14" s="18">
        <v>7.3999999999999996E-2</v>
      </c>
      <c r="CD14" s="18">
        <v>3.6999999999999998E-2</v>
      </c>
      <c r="CE14" s="18">
        <v>9.9000000000000005E-2</v>
      </c>
      <c r="CF14" s="18">
        <v>0.16800000000000001</v>
      </c>
      <c r="CG14" s="18">
        <v>0.192</v>
      </c>
      <c r="CH14" s="18">
        <v>0.16</v>
      </c>
      <c r="CI14" s="18">
        <v>3.5999999999999997E-2</v>
      </c>
      <c r="CJ14" s="18">
        <v>0.155</v>
      </c>
      <c r="CK14" s="18">
        <v>9.6000000000000002E-2</v>
      </c>
      <c r="CL14" s="18">
        <v>0.124</v>
      </c>
      <c r="CM14" s="18">
        <v>7.3999999999999996E-2</v>
      </c>
      <c r="CN14" s="18">
        <v>5.5E-2</v>
      </c>
      <c r="CO14" s="18">
        <v>6.9000000000000006E-2</v>
      </c>
      <c r="CP14" s="18">
        <v>0.123</v>
      </c>
      <c r="CQ14" s="18">
        <v>5.8000000000000003E-2</v>
      </c>
      <c r="CR14" s="18">
        <v>0</v>
      </c>
      <c r="CS14" s="18">
        <v>0.105</v>
      </c>
      <c r="CT14" s="18">
        <v>6.8000000000000005E-2</v>
      </c>
      <c r="CU14" s="18">
        <v>0.04</v>
      </c>
      <c r="CV14" s="18">
        <v>0.15</v>
      </c>
      <c r="CW14" s="18">
        <v>4.7E-2</v>
      </c>
      <c r="CX14" s="18">
        <v>0</v>
      </c>
      <c r="CY14" s="18">
        <v>0.151</v>
      </c>
      <c r="CZ14" s="18">
        <v>6.4000000000000001E-2</v>
      </c>
      <c r="DA14" s="18">
        <v>0.17599999999999999</v>
      </c>
      <c r="DB14" s="18">
        <v>0</v>
      </c>
      <c r="DC14" s="18">
        <v>0</v>
      </c>
      <c r="DD14" s="18">
        <v>7.3999999999999996E-2</v>
      </c>
      <c r="DE14" s="18">
        <v>0.06</v>
      </c>
      <c r="DF14" s="18">
        <v>4.4999999999999998E-2</v>
      </c>
      <c r="DG14" s="18">
        <v>8.5999999999999993E-2</v>
      </c>
      <c r="DH14" s="18">
        <v>0.16700000000000001</v>
      </c>
      <c r="DI14" s="18">
        <v>0</v>
      </c>
      <c r="DJ14" s="18">
        <v>0</v>
      </c>
      <c r="DK14" s="18">
        <v>9.4E-2</v>
      </c>
      <c r="DL14" s="18">
        <v>0.114</v>
      </c>
      <c r="DM14" s="18">
        <v>2.1999999999999999E-2</v>
      </c>
      <c r="DN14" s="18">
        <v>0.152</v>
      </c>
      <c r="DO14" s="18">
        <v>0.17299999999999999</v>
      </c>
      <c r="DP14" s="18">
        <v>3.1E-2</v>
      </c>
      <c r="DQ14" s="18">
        <v>9.8000000000000004E-2</v>
      </c>
      <c r="DR14" s="18">
        <v>0.185</v>
      </c>
      <c r="DS14" s="18">
        <v>0.08</v>
      </c>
      <c r="DT14" s="18">
        <v>0</v>
      </c>
      <c r="DU14" s="18">
        <v>6.0999999999999999E-2</v>
      </c>
      <c r="DV14" s="18">
        <v>0</v>
      </c>
    </row>
    <row r="15" spans="1:126" x14ac:dyDescent="0.25">
      <c r="A15" s="8">
        <v>11</v>
      </c>
      <c r="B15" s="8">
        <v>5</v>
      </c>
      <c r="C15" s="18">
        <v>0.188</v>
      </c>
      <c r="D15" s="18">
        <v>0.23899999999999999</v>
      </c>
      <c r="E15" s="18">
        <v>0.23699999999999999</v>
      </c>
      <c r="F15" s="18">
        <v>0.17199999999999999</v>
      </c>
      <c r="G15" s="18">
        <v>0.41399999999999998</v>
      </c>
      <c r="H15" s="18">
        <v>0.40300000000000002</v>
      </c>
      <c r="I15" s="18">
        <v>0.28699999999999998</v>
      </c>
      <c r="J15" s="18">
        <v>0.315</v>
      </c>
      <c r="K15" s="18">
        <v>0</v>
      </c>
      <c r="L15" s="18">
        <v>0.29499999999999998</v>
      </c>
      <c r="M15" s="18">
        <v>0.33100000000000002</v>
      </c>
      <c r="N15" s="18">
        <v>0.246</v>
      </c>
      <c r="O15" s="18">
        <v>0.24099999999999999</v>
      </c>
      <c r="P15" s="18">
        <v>0.34599999999999997</v>
      </c>
      <c r="Q15" s="18">
        <v>0</v>
      </c>
      <c r="R15" s="18">
        <v>2.3E-2</v>
      </c>
      <c r="S15" s="18">
        <v>0.115</v>
      </c>
      <c r="T15" s="18">
        <v>4.5999999999999999E-2</v>
      </c>
      <c r="U15" s="18">
        <v>0.35499999999999998</v>
      </c>
      <c r="V15" s="18">
        <v>0.27400000000000002</v>
      </c>
      <c r="W15" s="18">
        <v>0</v>
      </c>
      <c r="X15" s="18">
        <v>0.219</v>
      </c>
      <c r="Y15" s="18">
        <v>0.20200000000000001</v>
      </c>
      <c r="Z15" s="18">
        <v>0.40600000000000003</v>
      </c>
      <c r="AA15" s="18">
        <v>0.35099999999999998</v>
      </c>
      <c r="AB15" s="18">
        <v>0.23400000000000001</v>
      </c>
      <c r="AC15" s="18">
        <v>0.41099999999999998</v>
      </c>
      <c r="AD15" s="18">
        <v>0.312</v>
      </c>
      <c r="AE15" s="18">
        <v>0.40600000000000003</v>
      </c>
      <c r="AF15" s="18">
        <v>0.25700000000000001</v>
      </c>
      <c r="AG15" s="18">
        <v>0.22700000000000001</v>
      </c>
      <c r="AH15" s="18">
        <v>0.41499999999999998</v>
      </c>
      <c r="AI15" s="18">
        <v>0.21199999999999999</v>
      </c>
      <c r="AJ15" s="18">
        <v>0.22800000000000001</v>
      </c>
      <c r="AK15" s="18">
        <v>0.28299999999999997</v>
      </c>
      <c r="AL15" s="18">
        <v>0.24299999999999999</v>
      </c>
      <c r="AM15" s="18">
        <v>2.1999999999999999E-2</v>
      </c>
      <c r="AN15" s="18">
        <v>0.36899999999999999</v>
      </c>
      <c r="AO15" s="18">
        <v>0.30099999999999999</v>
      </c>
      <c r="AP15" s="18">
        <v>0.11</v>
      </c>
      <c r="AQ15" s="18">
        <v>0.27500000000000002</v>
      </c>
      <c r="AR15" s="18">
        <v>0.40600000000000003</v>
      </c>
      <c r="AS15" s="18">
        <v>0.40300000000000002</v>
      </c>
      <c r="AT15" s="18">
        <v>0.191</v>
      </c>
      <c r="AU15" s="18">
        <v>0.39600000000000002</v>
      </c>
      <c r="AV15" s="18">
        <v>0.28100000000000003</v>
      </c>
      <c r="AW15" s="18">
        <v>0.40100000000000002</v>
      </c>
      <c r="AX15" s="18">
        <v>0.122</v>
      </c>
      <c r="AY15" s="18">
        <v>0.316</v>
      </c>
      <c r="AZ15" s="18">
        <v>0.29399999999999998</v>
      </c>
      <c r="BA15" s="18">
        <v>0.307</v>
      </c>
      <c r="BB15" s="18">
        <v>0.32400000000000001</v>
      </c>
      <c r="BC15" s="18">
        <v>0.218</v>
      </c>
      <c r="BD15" s="18">
        <v>4.4999999999999998E-2</v>
      </c>
      <c r="BE15" s="18">
        <v>0.34300000000000003</v>
      </c>
      <c r="BF15" s="18">
        <v>0.23100000000000001</v>
      </c>
      <c r="BG15" s="18">
        <v>2.9000000000000001E-2</v>
      </c>
      <c r="BH15" s="18">
        <v>0.18099999999999999</v>
      </c>
      <c r="BI15" s="18">
        <v>0.28899999999999998</v>
      </c>
      <c r="BJ15" s="18">
        <v>0.113</v>
      </c>
      <c r="BK15" s="18">
        <v>0.31</v>
      </c>
      <c r="BL15" s="18">
        <v>0.35299999999999998</v>
      </c>
      <c r="BM15" s="18">
        <v>0</v>
      </c>
      <c r="BN15" s="18">
        <v>0</v>
      </c>
      <c r="BO15" s="18">
        <v>0.34200000000000003</v>
      </c>
      <c r="BP15" s="18">
        <v>0.29599999999999999</v>
      </c>
      <c r="BQ15" s="18">
        <v>0.41699999999999998</v>
      </c>
      <c r="BR15" s="18">
        <v>0.35099999999999998</v>
      </c>
      <c r="BS15" s="18">
        <v>0</v>
      </c>
      <c r="BT15" s="18">
        <v>0.29299999999999998</v>
      </c>
      <c r="BU15" s="18">
        <v>0.40500000000000003</v>
      </c>
      <c r="BV15" s="18">
        <v>0.29799999999999999</v>
      </c>
      <c r="BW15" s="18">
        <v>0.33</v>
      </c>
      <c r="BX15" s="18">
        <v>0.30299999999999999</v>
      </c>
      <c r="BY15" s="18">
        <v>0.28499999999999998</v>
      </c>
      <c r="BZ15" s="18">
        <v>0.21099999999999999</v>
      </c>
      <c r="CA15" s="18">
        <v>0.40400000000000003</v>
      </c>
      <c r="CB15" s="18">
        <v>0.30299999999999999</v>
      </c>
      <c r="CC15" s="18">
        <v>0.36499999999999999</v>
      </c>
      <c r="CD15" s="18">
        <v>0.124</v>
      </c>
      <c r="CE15" s="18">
        <v>0.24199999999999999</v>
      </c>
      <c r="CF15" s="18">
        <v>0.29099999999999998</v>
      </c>
      <c r="CG15" s="18">
        <v>0.42</v>
      </c>
      <c r="CH15" s="18">
        <v>0.29699999999999999</v>
      </c>
      <c r="CI15" s="18">
        <v>0</v>
      </c>
      <c r="CJ15" s="18">
        <v>0.25800000000000001</v>
      </c>
      <c r="CK15" s="18">
        <v>0.114</v>
      </c>
      <c r="CL15" s="18">
        <v>0.29599999999999999</v>
      </c>
      <c r="CM15" s="18">
        <v>6.8000000000000005E-2</v>
      </c>
      <c r="CN15" s="18">
        <v>0.19</v>
      </c>
      <c r="CO15" s="18">
        <v>0.14199999999999999</v>
      </c>
      <c r="CP15" s="18">
        <v>0.41199999999999998</v>
      </c>
      <c r="CQ15" s="18">
        <v>1.4E-2</v>
      </c>
      <c r="CR15" s="18">
        <v>7.4999999999999997E-2</v>
      </c>
      <c r="CS15" s="18">
        <v>0.40400000000000003</v>
      </c>
      <c r="CT15" s="18">
        <v>0.35699999999999998</v>
      </c>
      <c r="CU15" s="18">
        <v>0.183</v>
      </c>
      <c r="CV15" s="18">
        <v>0.35</v>
      </c>
      <c r="CW15" s="18">
        <v>0.13300000000000001</v>
      </c>
      <c r="CX15" s="18">
        <v>0.115</v>
      </c>
      <c r="CY15" s="18">
        <v>0.39700000000000002</v>
      </c>
      <c r="CZ15" s="18">
        <v>0.17899999999999999</v>
      </c>
      <c r="DA15" s="18">
        <v>0.40400000000000003</v>
      </c>
      <c r="DB15" s="18">
        <v>0.249</v>
      </c>
      <c r="DC15" s="18">
        <v>0</v>
      </c>
      <c r="DD15" s="18">
        <v>0.12</v>
      </c>
      <c r="DE15" s="18">
        <v>0.17499999999999999</v>
      </c>
      <c r="DF15" s="18">
        <v>0.255</v>
      </c>
      <c r="DG15" s="18">
        <v>0.34200000000000003</v>
      </c>
      <c r="DH15" s="18">
        <v>0.35599999999999998</v>
      </c>
      <c r="DI15" s="18">
        <v>0.249</v>
      </c>
      <c r="DJ15" s="18">
        <v>0.34100000000000003</v>
      </c>
      <c r="DK15" s="18">
        <v>0.35</v>
      </c>
      <c r="DL15" s="18">
        <v>0.28599999999999998</v>
      </c>
      <c r="DM15" s="18">
        <v>0.34899999999999998</v>
      </c>
      <c r="DN15" s="18">
        <v>0.30299999999999999</v>
      </c>
      <c r="DO15" s="18">
        <v>0.30099999999999999</v>
      </c>
      <c r="DP15" s="18">
        <v>0.21299999999999999</v>
      </c>
      <c r="DQ15" s="18">
        <v>0.24099999999999999</v>
      </c>
      <c r="DR15" s="18">
        <v>0.26100000000000001</v>
      </c>
      <c r="DS15" s="18">
        <v>0.14599999999999999</v>
      </c>
      <c r="DT15" s="18">
        <v>0.17899999999999999</v>
      </c>
      <c r="DU15" s="18">
        <v>0.113</v>
      </c>
      <c r="DV15" s="18">
        <v>0</v>
      </c>
    </row>
    <row r="16" spans="1:126" x14ac:dyDescent="0.25">
      <c r="A16" s="8">
        <v>12</v>
      </c>
      <c r="B16" s="8">
        <v>5.5</v>
      </c>
      <c r="C16" s="18">
        <v>0.191</v>
      </c>
      <c r="D16" s="18">
        <v>0.33700000000000002</v>
      </c>
      <c r="E16" s="18">
        <v>0.41299999999999998</v>
      </c>
      <c r="F16" s="18">
        <v>0.312</v>
      </c>
      <c r="G16" s="18">
        <v>0.65</v>
      </c>
      <c r="H16" s="18">
        <v>0.54200000000000004</v>
      </c>
      <c r="I16" s="18">
        <v>0.68899999999999995</v>
      </c>
      <c r="J16" s="18">
        <v>0.38900000000000001</v>
      </c>
      <c r="K16" s="18">
        <v>0.317</v>
      </c>
      <c r="L16" s="18">
        <v>0.505</v>
      </c>
      <c r="M16" s="18">
        <v>0.65900000000000003</v>
      </c>
      <c r="N16" s="18">
        <v>0.69499999999999995</v>
      </c>
      <c r="O16" s="18">
        <v>0.69</v>
      </c>
      <c r="P16" s="18">
        <v>0.60399999999999998</v>
      </c>
      <c r="Q16" s="18">
        <v>0.309</v>
      </c>
      <c r="R16" s="18">
        <v>0.159</v>
      </c>
      <c r="S16" s="18">
        <v>0.30499999999999999</v>
      </c>
      <c r="T16" s="18">
        <v>0</v>
      </c>
      <c r="U16" s="18">
        <v>0.57499999999999996</v>
      </c>
      <c r="V16" s="18">
        <v>0.67</v>
      </c>
      <c r="W16" s="18">
        <v>0.32300000000000001</v>
      </c>
      <c r="X16" s="18">
        <v>0.40699999999999997</v>
      </c>
      <c r="Y16" s="18">
        <v>0.52500000000000002</v>
      </c>
      <c r="Z16" s="18">
        <v>0.6</v>
      </c>
      <c r="AA16" s="18">
        <v>0.505</v>
      </c>
      <c r="AB16" s="18">
        <v>0.20300000000000001</v>
      </c>
      <c r="AC16" s="18">
        <v>0.503</v>
      </c>
      <c r="AD16" s="18">
        <v>0.58499999999999996</v>
      </c>
      <c r="AE16" s="18">
        <v>0.68700000000000006</v>
      </c>
      <c r="AF16" s="18">
        <v>0.42899999999999999</v>
      </c>
      <c r="AG16" s="18">
        <v>0.40300000000000002</v>
      </c>
      <c r="AH16" s="18">
        <v>0.69599999999999995</v>
      </c>
      <c r="AI16" s="18">
        <v>0.501</v>
      </c>
      <c r="AJ16" s="18">
        <v>0.55100000000000005</v>
      </c>
      <c r="AK16" s="18">
        <v>0.50800000000000001</v>
      </c>
      <c r="AL16" s="18">
        <v>0.252</v>
      </c>
      <c r="AM16" s="18">
        <v>0.27500000000000002</v>
      </c>
      <c r="AN16" s="18">
        <v>0.57499999999999996</v>
      </c>
      <c r="AO16" s="18">
        <v>0.61799999999999999</v>
      </c>
      <c r="AP16" s="18">
        <v>0.60299999999999998</v>
      </c>
      <c r="AQ16" s="18">
        <v>0.59599999999999997</v>
      </c>
      <c r="AR16" s="18">
        <v>0.64500000000000002</v>
      </c>
      <c r="AS16" s="18">
        <v>0.68400000000000005</v>
      </c>
      <c r="AT16" s="18">
        <v>0.13700000000000001</v>
      </c>
      <c r="AU16" s="18">
        <v>0.60399999999999998</v>
      </c>
      <c r="AV16" s="18">
        <v>0.43</v>
      </c>
      <c r="AW16" s="18">
        <v>0.68200000000000005</v>
      </c>
      <c r="AX16" s="18">
        <v>0.40500000000000003</v>
      </c>
      <c r="AY16" s="18">
        <v>0.69399999999999995</v>
      </c>
      <c r="AZ16" s="18">
        <v>0.504</v>
      </c>
      <c r="BA16" s="18">
        <v>0.51700000000000002</v>
      </c>
      <c r="BB16" s="18">
        <v>0.67800000000000005</v>
      </c>
      <c r="BC16" s="18">
        <v>0.71199999999999997</v>
      </c>
      <c r="BD16" s="18">
        <v>0</v>
      </c>
      <c r="BE16" s="18">
        <v>0.60199999999999998</v>
      </c>
      <c r="BF16" s="18">
        <v>0.29099999999999998</v>
      </c>
      <c r="BG16" s="18">
        <v>0.22600000000000001</v>
      </c>
      <c r="BH16" s="18">
        <v>0.16300000000000001</v>
      </c>
      <c r="BI16" s="18">
        <v>0.61699999999999999</v>
      </c>
      <c r="BJ16" s="18">
        <v>0.32800000000000001</v>
      </c>
      <c r="BK16" s="18">
        <v>0.38</v>
      </c>
      <c r="BL16" s="18">
        <v>0.53700000000000003</v>
      </c>
      <c r="BM16" s="18">
        <v>0.315</v>
      </c>
      <c r="BN16" s="18">
        <v>0.223</v>
      </c>
      <c r="BO16" s="18">
        <v>0.41399999999999998</v>
      </c>
      <c r="BP16" s="18">
        <v>0.50600000000000001</v>
      </c>
      <c r="BQ16" s="18">
        <v>0.54200000000000004</v>
      </c>
      <c r="BR16" s="18">
        <v>0.46400000000000002</v>
      </c>
      <c r="BS16" s="18">
        <v>0.312</v>
      </c>
      <c r="BT16" s="18">
        <v>0.33100000000000002</v>
      </c>
      <c r="BU16" s="18">
        <v>0.68600000000000005</v>
      </c>
      <c r="BV16" s="18">
        <v>0.50800000000000001</v>
      </c>
      <c r="BW16" s="18">
        <v>0.69199999999999995</v>
      </c>
      <c r="BX16" s="18">
        <v>0.59799999999999998</v>
      </c>
      <c r="BY16" s="18">
        <v>0.65100000000000002</v>
      </c>
      <c r="BZ16" s="18">
        <v>0.437</v>
      </c>
      <c r="CA16" s="18">
        <v>0.68500000000000005</v>
      </c>
      <c r="CB16" s="18">
        <v>0.312</v>
      </c>
      <c r="CC16" s="18">
        <v>0.51900000000000002</v>
      </c>
      <c r="CD16" s="18">
        <v>0.503</v>
      </c>
      <c r="CE16" s="18">
        <v>0.41799999999999998</v>
      </c>
      <c r="CF16" s="18">
        <v>0.59599999999999997</v>
      </c>
      <c r="CG16" s="18">
        <v>0.68700000000000006</v>
      </c>
      <c r="CH16" s="18">
        <v>0.69499999999999995</v>
      </c>
      <c r="CI16" s="18">
        <v>0.22700000000000001</v>
      </c>
      <c r="CJ16" s="18">
        <v>0.56399999999999995</v>
      </c>
      <c r="CK16" s="18">
        <v>0.32600000000000001</v>
      </c>
      <c r="CL16" s="18">
        <v>0.50600000000000001</v>
      </c>
      <c r="CM16" s="18">
        <v>0.499</v>
      </c>
      <c r="CN16" s="18">
        <v>0.33</v>
      </c>
      <c r="CO16" s="18">
        <v>0.41</v>
      </c>
      <c r="CP16" s="18">
        <v>0.69299999999999995</v>
      </c>
      <c r="CQ16" s="18">
        <v>0.313</v>
      </c>
      <c r="CR16" s="18">
        <v>0.185</v>
      </c>
      <c r="CS16" s="18">
        <v>0.68500000000000005</v>
      </c>
      <c r="CT16" s="18">
        <v>0.60199999999999998</v>
      </c>
      <c r="CU16" s="18">
        <v>0.46</v>
      </c>
      <c r="CV16" s="18">
        <v>0.59499999999999997</v>
      </c>
      <c r="CW16" s="18">
        <v>0.23799999999999999</v>
      </c>
      <c r="CX16" s="18">
        <v>1E-3</v>
      </c>
      <c r="CY16" s="18">
        <v>0.70799999999999996</v>
      </c>
      <c r="CZ16" s="18">
        <v>0.31900000000000001</v>
      </c>
      <c r="DA16" s="18">
        <v>0.68500000000000005</v>
      </c>
      <c r="DB16" s="18">
        <v>0.34599999999999997</v>
      </c>
      <c r="DC16" s="18">
        <v>0.155</v>
      </c>
      <c r="DD16" s="18">
        <v>0.32500000000000001</v>
      </c>
      <c r="DE16" s="18">
        <v>0.10299999999999999</v>
      </c>
      <c r="DF16" s="18">
        <v>0.41299999999999998</v>
      </c>
      <c r="DG16" s="18">
        <v>0.68400000000000005</v>
      </c>
      <c r="DH16" s="18">
        <v>0.69199999999999995</v>
      </c>
      <c r="DI16" s="18">
        <v>0.43099999999999999</v>
      </c>
      <c r="DJ16" s="18">
        <v>0.68500000000000005</v>
      </c>
      <c r="DK16" s="18">
        <v>0.48499999999999999</v>
      </c>
      <c r="DL16" s="18">
        <v>0.496</v>
      </c>
      <c r="DM16" s="18">
        <v>0.60799999999999998</v>
      </c>
      <c r="DN16" s="18">
        <v>0.70799999999999996</v>
      </c>
      <c r="DO16" s="18">
        <v>0.55700000000000005</v>
      </c>
      <c r="DP16" s="18">
        <v>0.217</v>
      </c>
      <c r="DQ16" s="18">
        <v>0.32700000000000001</v>
      </c>
      <c r="DR16" s="18">
        <v>0.69399999999999995</v>
      </c>
      <c r="DS16" s="18">
        <v>0.24399999999999999</v>
      </c>
      <c r="DT16" s="18">
        <v>0.31900000000000001</v>
      </c>
      <c r="DU16" s="18">
        <v>0.253</v>
      </c>
      <c r="DV16" s="18">
        <v>1.0999999999999999E-2</v>
      </c>
    </row>
    <row r="17" spans="1:126" x14ac:dyDescent="0.25">
      <c r="A17" s="8">
        <v>13</v>
      </c>
      <c r="B17" s="8">
        <v>6</v>
      </c>
      <c r="C17" s="18">
        <v>0.48099999999999998</v>
      </c>
      <c r="D17" s="18">
        <v>0.49399999999999999</v>
      </c>
      <c r="E17" s="18">
        <v>0.60399999999999998</v>
      </c>
      <c r="F17" s="18">
        <v>0.46500000000000002</v>
      </c>
      <c r="G17" s="18">
        <v>0.97799999999999998</v>
      </c>
      <c r="H17" s="18">
        <v>0.96099999999999997</v>
      </c>
      <c r="I17" s="18">
        <v>0.995</v>
      </c>
      <c r="J17" s="18">
        <v>0.73099999999999998</v>
      </c>
      <c r="K17" s="18">
        <v>0.42599999999999999</v>
      </c>
      <c r="L17" s="18">
        <v>0.60799999999999998</v>
      </c>
      <c r="M17" s="18">
        <v>1</v>
      </c>
      <c r="N17" s="18">
        <v>1.0009999999999999</v>
      </c>
      <c r="O17" s="18">
        <v>0.77600000000000002</v>
      </c>
      <c r="P17" s="18">
        <v>0.52100000000000002</v>
      </c>
      <c r="Q17" s="18">
        <v>0.45800000000000002</v>
      </c>
      <c r="R17" s="18">
        <v>0</v>
      </c>
      <c r="S17" s="18">
        <v>0.45400000000000001</v>
      </c>
      <c r="T17" s="18">
        <v>0.14000000000000001</v>
      </c>
      <c r="U17" s="18">
        <v>0.99399999999999999</v>
      </c>
      <c r="V17" s="18">
        <v>0.98899999999999999</v>
      </c>
      <c r="W17" s="18">
        <v>0.46</v>
      </c>
      <c r="X17" s="18">
        <v>0.55600000000000005</v>
      </c>
      <c r="Y17" s="18">
        <v>0.64200000000000002</v>
      </c>
      <c r="Z17" s="18">
        <v>0.92100000000000004</v>
      </c>
      <c r="AA17" s="18">
        <v>0.84099999999999997</v>
      </c>
      <c r="AB17" s="18">
        <v>0.45200000000000001</v>
      </c>
      <c r="AC17" s="18">
        <v>0.97299999999999998</v>
      </c>
      <c r="AD17" s="18">
        <v>0.71399999999999997</v>
      </c>
      <c r="AE17" s="18">
        <v>0.91300000000000003</v>
      </c>
      <c r="AF17" s="18">
        <v>0.64300000000000002</v>
      </c>
      <c r="AG17" s="18">
        <v>0.43</v>
      </c>
      <c r="AH17" s="18">
        <v>1.002</v>
      </c>
      <c r="AI17" s="18">
        <v>0.64</v>
      </c>
      <c r="AJ17" s="18">
        <v>0.86599999999999999</v>
      </c>
      <c r="AK17" s="18">
        <v>0.73</v>
      </c>
      <c r="AL17" s="18">
        <v>0.61</v>
      </c>
      <c r="AM17" s="18">
        <v>0.28999999999999998</v>
      </c>
      <c r="AN17" s="18">
        <v>1.0009999999999999</v>
      </c>
      <c r="AO17" s="18">
        <v>0.82499999999999996</v>
      </c>
      <c r="AP17" s="18">
        <v>0.871</v>
      </c>
      <c r="AQ17" s="18">
        <v>0.78800000000000003</v>
      </c>
      <c r="AR17" s="18">
        <v>0.85299999999999998</v>
      </c>
      <c r="AS17" s="18">
        <v>0.90600000000000003</v>
      </c>
      <c r="AT17" s="18">
        <v>0.48399999999999999</v>
      </c>
      <c r="AU17" s="18">
        <v>0.998</v>
      </c>
      <c r="AV17" s="18">
        <v>0.79500000000000004</v>
      </c>
      <c r="AW17" s="18">
        <v>0.98799999999999999</v>
      </c>
      <c r="AX17" s="18">
        <v>0.48899999999999999</v>
      </c>
      <c r="AY17" s="18">
        <v>1</v>
      </c>
      <c r="AZ17" s="18">
        <v>0.73399999999999999</v>
      </c>
      <c r="BA17" s="18">
        <v>0.747</v>
      </c>
      <c r="BB17" s="18">
        <v>0.83199999999999996</v>
      </c>
      <c r="BC17" s="18">
        <v>1.018</v>
      </c>
      <c r="BD17" s="18">
        <v>0.35199999999999998</v>
      </c>
      <c r="BE17" s="18">
        <v>0.99199999999999999</v>
      </c>
      <c r="BF17" s="18">
        <v>0.505</v>
      </c>
      <c r="BG17" s="18">
        <v>0.192</v>
      </c>
      <c r="BH17" s="18">
        <v>0.47399999999999998</v>
      </c>
      <c r="BI17" s="18">
        <v>0.98599999999999999</v>
      </c>
      <c r="BJ17" s="18">
        <v>0.43099999999999999</v>
      </c>
      <c r="BK17" s="18">
        <v>0.86899999999999999</v>
      </c>
      <c r="BL17" s="18">
        <v>0.71</v>
      </c>
      <c r="BM17" s="18">
        <v>0.23</v>
      </c>
      <c r="BN17" s="18">
        <v>0.14899999999999999</v>
      </c>
      <c r="BO17" s="18">
        <v>0.85199999999999998</v>
      </c>
      <c r="BP17" s="18">
        <v>0.73599999999999999</v>
      </c>
      <c r="BQ17" s="18">
        <v>1.0109999999999999</v>
      </c>
      <c r="BR17" s="18">
        <v>0.74299999999999999</v>
      </c>
      <c r="BS17" s="18">
        <v>4.8000000000000001E-2</v>
      </c>
      <c r="BT17" s="18">
        <v>0.68200000000000005</v>
      </c>
      <c r="BU17" s="18">
        <v>0.88</v>
      </c>
      <c r="BV17" s="18">
        <v>0.73799999999999999</v>
      </c>
      <c r="BW17" s="18">
        <v>0.90800000000000003</v>
      </c>
      <c r="BX17" s="18">
        <v>0.86599999999999999</v>
      </c>
      <c r="BY17" s="18">
        <v>0.99299999999999999</v>
      </c>
      <c r="BZ17" s="18">
        <v>0.73499999999999999</v>
      </c>
      <c r="CA17" s="18">
        <v>0.99099999999999999</v>
      </c>
      <c r="CB17" s="18">
        <v>0.68100000000000005</v>
      </c>
      <c r="CC17" s="18">
        <v>0.97099999999999997</v>
      </c>
      <c r="CD17" s="18">
        <v>0.73299999999999998</v>
      </c>
      <c r="CE17" s="18">
        <v>0.60899999999999999</v>
      </c>
      <c r="CF17" s="18">
        <v>0.85699999999999998</v>
      </c>
      <c r="CG17" s="18">
        <v>0.92700000000000005</v>
      </c>
      <c r="CH17" s="18">
        <v>0.86399999999999999</v>
      </c>
      <c r="CI17" s="18">
        <v>0.222</v>
      </c>
      <c r="CJ17" s="18">
        <v>0.86799999999999999</v>
      </c>
      <c r="CK17" s="18">
        <v>0.53200000000000003</v>
      </c>
      <c r="CL17" s="18">
        <v>0.73599999999999999</v>
      </c>
      <c r="CM17" s="18">
        <v>0.58499999999999996</v>
      </c>
      <c r="CN17" s="18">
        <v>0.374</v>
      </c>
      <c r="CO17" s="18">
        <v>0.73399999999999999</v>
      </c>
      <c r="CP17" s="18">
        <v>0.98899999999999999</v>
      </c>
      <c r="CQ17" s="18">
        <v>0.32900000000000001</v>
      </c>
      <c r="CR17" s="18">
        <v>0.22600000000000001</v>
      </c>
      <c r="CS17" s="18">
        <v>0.94699999999999995</v>
      </c>
      <c r="CT17" s="18">
        <v>0.74299999999999999</v>
      </c>
      <c r="CU17" s="18">
        <v>0.80100000000000005</v>
      </c>
      <c r="CV17" s="18">
        <v>0.72899999999999998</v>
      </c>
      <c r="CW17" s="18">
        <v>0.22600000000000001</v>
      </c>
      <c r="CX17" s="18">
        <v>0.32800000000000001</v>
      </c>
      <c r="CY17" s="18">
        <v>1.014</v>
      </c>
      <c r="CZ17" s="18">
        <v>0.46</v>
      </c>
      <c r="DA17" s="18">
        <v>0.99099999999999999</v>
      </c>
      <c r="DB17" s="18">
        <v>0.57199999999999995</v>
      </c>
      <c r="DC17" s="18">
        <v>0.24</v>
      </c>
      <c r="DD17" s="18">
        <v>0.48199999999999998</v>
      </c>
      <c r="DE17" s="18">
        <v>0.45400000000000001</v>
      </c>
      <c r="DF17" s="18">
        <v>0.85899999999999999</v>
      </c>
      <c r="DG17" s="18">
        <v>0.91500000000000004</v>
      </c>
      <c r="DH17" s="18">
        <v>0.92700000000000005</v>
      </c>
      <c r="DI17" s="18">
        <v>0.80600000000000005</v>
      </c>
      <c r="DJ17" s="18">
        <v>0.83399999999999996</v>
      </c>
      <c r="DK17" s="18">
        <v>0.86299999999999999</v>
      </c>
      <c r="DL17" s="18">
        <v>0.72599999999999998</v>
      </c>
      <c r="DM17" s="18">
        <v>0.89300000000000002</v>
      </c>
      <c r="DN17" s="18">
        <v>1.014</v>
      </c>
      <c r="DO17" s="18">
        <v>1.01</v>
      </c>
      <c r="DP17" s="18">
        <v>0.56899999999999995</v>
      </c>
      <c r="DQ17" s="18">
        <v>0.49399999999999999</v>
      </c>
      <c r="DR17" s="18">
        <v>0.88300000000000001</v>
      </c>
      <c r="DS17" s="18">
        <v>0.495</v>
      </c>
      <c r="DT17" s="18">
        <v>0.318</v>
      </c>
      <c r="DU17" s="18">
        <v>0.46899999999999997</v>
      </c>
      <c r="DV17" s="18">
        <v>0.151</v>
      </c>
    </row>
    <row r="18" spans="1:126" x14ac:dyDescent="0.25">
      <c r="A18" s="8">
        <v>14</v>
      </c>
      <c r="B18" s="8">
        <v>6.5</v>
      </c>
      <c r="C18" s="18">
        <v>0.63600000000000001</v>
      </c>
      <c r="D18" s="18">
        <v>0.8</v>
      </c>
      <c r="E18" s="18">
        <v>0.79800000000000004</v>
      </c>
      <c r="F18" s="18">
        <v>0.62</v>
      </c>
      <c r="G18" s="18">
        <v>1.3109999999999999</v>
      </c>
      <c r="H18" s="18">
        <v>1.1040000000000001</v>
      </c>
      <c r="I18" s="18">
        <v>1.145</v>
      </c>
      <c r="J18" s="18">
        <v>0.55000000000000004</v>
      </c>
      <c r="K18" s="18">
        <v>0.39400000000000002</v>
      </c>
      <c r="L18" s="18">
        <v>0.96699999999999997</v>
      </c>
      <c r="M18" s="18">
        <v>1.1919999999999999</v>
      </c>
      <c r="N18" s="18">
        <v>1.2949999999999999</v>
      </c>
      <c r="O18" s="18">
        <v>1.28</v>
      </c>
      <c r="P18" s="18">
        <v>0.98399999999999999</v>
      </c>
      <c r="Q18" s="18">
        <v>0.46200000000000002</v>
      </c>
      <c r="R18" s="18">
        <v>8.5999999999999993E-2</v>
      </c>
      <c r="S18" s="18">
        <v>0.47499999999999998</v>
      </c>
      <c r="T18" s="18">
        <v>0.187</v>
      </c>
      <c r="U18" s="18">
        <v>1.1459999999999999</v>
      </c>
      <c r="V18" s="18">
        <v>1.2989999999999999</v>
      </c>
      <c r="W18" s="18">
        <v>0.36399999999999999</v>
      </c>
      <c r="X18" s="18">
        <v>0.71499999999999997</v>
      </c>
      <c r="Y18" s="18">
        <v>0.98699999999999999</v>
      </c>
      <c r="Z18" s="18">
        <v>1.288</v>
      </c>
      <c r="AA18" s="18">
        <v>1.032</v>
      </c>
      <c r="AB18" s="18">
        <v>0.67200000000000004</v>
      </c>
      <c r="AC18" s="18">
        <v>1.2410000000000001</v>
      </c>
      <c r="AD18" s="18">
        <v>1.1950000000000001</v>
      </c>
      <c r="AE18" s="18">
        <v>0.16600000000000001</v>
      </c>
      <c r="AF18" s="18">
        <v>0.96799999999999997</v>
      </c>
      <c r="AG18" s="18">
        <v>0.78800000000000003</v>
      </c>
      <c r="AH18" s="18">
        <v>1.3120000000000001</v>
      </c>
      <c r="AI18" s="18">
        <v>1.1419999999999999</v>
      </c>
      <c r="AJ18" s="18">
        <v>1.044</v>
      </c>
      <c r="AK18" s="18">
        <v>0.80700000000000005</v>
      </c>
      <c r="AL18" s="18">
        <v>0.80400000000000005</v>
      </c>
      <c r="AM18" s="18">
        <v>0.59299999999999997</v>
      </c>
      <c r="AN18" s="18">
        <v>1.1459999999999999</v>
      </c>
      <c r="AO18" s="18">
        <v>1.2310000000000001</v>
      </c>
      <c r="AP18" s="18">
        <v>1.1419999999999999</v>
      </c>
      <c r="AQ18" s="18">
        <v>1.135</v>
      </c>
      <c r="AR18" s="18">
        <v>1.254</v>
      </c>
      <c r="AS18" s="18">
        <v>1.3</v>
      </c>
      <c r="AT18" s="18">
        <v>0.39800000000000002</v>
      </c>
      <c r="AU18" s="18">
        <v>1.3080000000000001</v>
      </c>
      <c r="AV18" s="18">
        <v>1.0289999999999999</v>
      </c>
      <c r="AW18" s="18">
        <v>1.298</v>
      </c>
      <c r="AX18" s="18">
        <v>0.67600000000000005</v>
      </c>
      <c r="AY18" s="18">
        <v>1.141</v>
      </c>
      <c r="AZ18" s="18">
        <v>0.91800000000000004</v>
      </c>
      <c r="BA18" s="18">
        <v>0.97899999999999998</v>
      </c>
      <c r="BB18" s="18">
        <v>1.2949999999999999</v>
      </c>
      <c r="BC18" s="18">
        <v>1.2290000000000001</v>
      </c>
      <c r="BD18" s="18">
        <v>0.17799999999999999</v>
      </c>
      <c r="BE18" s="18">
        <v>1.0940000000000001</v>
      </c>
      <c r="BF18" s="18">
        <v>0.753</v>
      </c>
      <c r="BG18" s="18">
        <v>0.372</v>
      </c>
      <c r="BH18" s="18">
        <v>0.51400000000000001</v>
      </c>
      <c r="BI18" s="18">
        <v>1.123</v>
      </c>
      <c r="BJ18" s="18">
        <v>0.61099999999999999</v>
      </c>
      <c r="BK18" s="18">
        <v>1.014</v>
      </c>
      <c r="BL18" s="18">
        <v>1.07</v>
      </c>
      <c r="BM18" s="18">
        <v>0.58399999999999996</v>
      </c>
      <c r="BN18" s="18">
        <v>0.441</v>
      </c>
      <c r="BO18" s="18">
        <v>1.083</v>
      </c>
      <c r="BP18" s="18">
        <v>0.96799999999999997</v>
      </c>
      <c r="BQ18" s="18">
        <v>1.1499999999999999</v>
      </c>
      <c r="BR18" s="18">
        <v>1.0720000000000001</v>
      </c>
      <c r="BS18" s="18">
        <v>0.62</v>
      </c>
      <c r="BT18" s="18">
        <v>0.79200000000000004</v>
      </c>
      <c r="BU18" s="18">
        <v>1.302</v>
      </c>
      <c r="BV18" s="18">
        <v>0.97</v>
      </c>
      <c r="BW18" s="18">
        <v>1.1859999999999999</v>
      </c>
      <c r="BX18" s="18">
        <v>1.137</v>
      </c>
      <c r="BY18" s="18">
        <v>1.1950000000000001</v>
      </c>
      <c r="BZ18" s="18">
        <v>0.81499999999999995</v>
      </c>
      <c r="CA18" s="18">
        <v>1.288</v>
      </c>
      <c r="CB18" s="18">
        <v>0.97499999999999998</v>
      </c>
      <c r="CC18" s="18">
        <v>1.2569999999999999</v>
      </c>
      <c r="CD18" s="18">
        <v>0.85699999999999998</v>
      </c>
      <c r="CE18" s="18">
        <v>0.80300000000000005</v>
      </c>
      <c r="CF18" s="18">
        <v>1.212</v>
      </c>
      <c r="CG18" s="18">
        <v>1.3169999999999999</v>
      </c>
      <c r="CH18" s="18">
        <v>1.073</v>
      </c>
      <c r="CI18" s="18">
        <v>0.40200000000000002</v>
      </c>
      <c r="CJ18" s="18">
        <v>1.018</v>
      </c>
      <c r="CK18" s="18">
        <v>0.76100000000000001</v>
      </c>
      <c r="CL18" s="18">
        <v>0.96799999999999997</v>
      </c>
      <c r="CM18" s="18">
        <v>0.96799999999999997</v>
      </c>
      <c r="CN18" s="18">
        <v>0.59699999999999998</v>
      </c>
      <c r="CO18" s="18">
        <v>0.81399999999999995</v>
      </c>
      <c r="CP18" s="18">
        <v>1.3089999999999999</v>
      </c>
      <c r="CQ18" s="18">
        <v>0.59899999999999998</v>
      </c>
      <c r="CR18" s="18">
        <v>0.46800000000000003</v>
      </c>
      <c r="CS18" s="18">
        <v>1.2649999999999999</v>
      </c>
      <c r="CT18" s="18">
        <v>1.141</v>
      </c>
      <c r="CU18" s="18">
        <v>0.91</v>
      </c>
      <c r="CV18" s="18">
        <v>1.1339999999999999</v>
      </c>
      <c r="CW18" s="18">
        <v>0.42099999999999999</v>
      </c>
      <c r="CX18" s="18">
        <v>0.20699999999999999</v>
      </c>
      <c r="CY18" s="18">
        <v>1.2470000000000001</v>
      </c>
      <c r="CZ18" s="18">
        <v>0.56599999999999995</v>
      </c>
      <c r="DA18" s="18">
        <v>1.262</v>
      </c>
      <c r="DB18" s="18">
        <v>0.81</v>
      </c>
      <c r="DC18" s="18">
        <v>0.35399999999999998</v>
      </c>
      <c r="DD18" s="18">
        <v>0.63700000000000001</v>
      </c>
      <c r="DE18" s="18">
        <v>0.51800000000000002</v>
      </c>
      <c r="DF18" s="18">
        <v>1.1160000000000001</v>
      </c>
      <c r="DG18" s="18">
        <v>1.224</v>
      </c>
      <c r="DH18" s="18">
        <v>1.3080000000000001</v>
      </c>
      <c r="DI18" s="18">
        <v>1.036</v>
      </c>
      <c r="DJ18" s="18">
        <v>1.131</v>
      </c>
      <c r="DK18" s="18">
        <v>1.1339999999999999</v>
      </c>
      <c r="DL18" s="18">
        <v>0.95799999999999996</v>
      </c>
      <c r="DM18" s="18">
        <v>1.2210000000000001</v>
      </c>
      <c r="DN18" s="18">
        <v>1.1519999999999999</v>
      </c>
      <c r="DO18" s="18">
        <v>1.2190000000000001</v>
      </c>
      <c r="DP18" s="18">
        <v>0.76300000000000001</v>
      </c>
      <c r="DQ18" s="18">
        <v>0.80200000000000005</v>
      </c>
      <c r="DR18" s="18">
        <v>1.2749999999999999</v>
      </c>
      <c r="DS18" s="18">
        <v>0.496</v>
      </c>
      <c r="DT18" s="18">
        <v>0</v>
      </c>
      <c r="DU18" s="18">
        <v>0.624</v>
      </c>
      <c r="DV18" s="18">
        <v>0.1</v>
      </c>
    </row>
    <row r="19" spans="1:126" x14ac:dyDescent="0.25">
      <c r="A19" s="8">
        <v>15</v>
      </c>
      <c r="B19" s="8">
        <v>7</v>
      </c>
      <c r="C19" s="18">
        <v>0.79</v>
      </c>
      <c r="D19" s="18">
        <v>0.85399999999999998</v>
      </c>
      <c r="E19" s="18">
        <v>0.99</v>
      </c>
      <c r="F19" s="18">
        <v>0.77400000000000002</v>
      </c>
      <c r="G19" s="18">
        <v>1.619</v>
      </c>
      <c r="H19" s="18">
        <v>1.5569999999999999</v>
      </c>
      <c r="I19" s="18">
        <v>1.5029999999999999</v>
      </c>
      <c r="J19" s="18">
        <v>1.163</v>
      </c>
      <c r="K19" s="18">
        <v>0.76700000000000002</v>
      </c>
      <c r="L19" s="18">
        <v>1.071</v>
      </c>
      <c r="M19" s="18">
        <v>1.605</v>
      </c>
      <c r="N19" s="18">
        <v>1.446</v>
      </c>
      <c r="O19" s="18">
        <v>1.5369999999999999</v>
      </c>
      <c r="P19" s="18">
        <v>1.1599999999999999</v>
      </c>
      <c r="Q19" s="18">
        <v>0.69</v>
      </c>
      <c r="R19" s="18">
        <v>0.33400000000000002</v>
      </c>
      <c r="S19" s="18">
        <v>0.75800000000000001</v>
      </c>
      <c r="T19" s="18">
        <v>0.14899999999999999</v>
      </c>
      <c r="U19" s="18">
        <v>1.6040000000000001</v>
      </c>
      <c r="V19" s="18">
        <v>1.4219999999999999</v>
      </c>
      <c r="W19" s="18">
        <v>0.76700000000000002</v>
      </c>
      <c r="X19" s="18">
        <v>0.98399999999999999</v>
      </c>
      <c r="Y19" s="18">
        <v>1.151</v>
      </c>
      <c r="Z19" s="18">
        <v>1.466</v>
      </c>
      <c r="AA19" s="18">
        <v>0.51100000000000001</v>
      </c>
      <c r="AB19" s="18">
        <v>0.90300000000000002</v>
      </c>
      <c r="AC19" s="18">
        <v>1.4690000000000001</v>
      </c>
      <c r="AD19" s="18">
        <v>1.615</v>
      </c>
      <c r="AE19" s="18">
        <v>1.611</v>
      </c>
      <c r="AF19" s="18">
        <v>1.0289999999999999</v>
      </c>
      <c r="AG19" s="18">
        <v>0.86799999999999999</v>
      </c>
      <c r="AH19" s="18">
        <v>1.62</v>
      </c>
      <c r="AI19" s="18">
        <v>1.179</v>
      </c>
      <c r="AJ19" s="18">
        <v>1.329</v>
      </c>
      <c r="AK19" s="18">
        <v>1.2010000000000001</v>
      </c>
      <c r="AL19" s="18">
        <v>0.98899999999999999</v>
      </c>
      <c r="AM19" s="18">
        <v>0.63200000000000001</v>
      </c>
      <c r="AN19" s="18">
        <v>1.619</v>
      </c>
      <c r="AO19" s="18">
        <v>1.5189999999999999</v>
      </c>
      <c r="AP19" s="18">
        <v>1.4119999999999999</v>
      </c>
      <c r="AQ19" s="18">
        <v>1.405</v>
      </c>
      <c r="AR19" s="18">
        <v>1.611</v>
      </c>
      <c r="AS19" s="18">
        <v>1.54</v>
      </c>
      <c r="AT19" s="18">
        <v>0.57899999999999996</v>
      </c>
      <c r="AU19" s="18">
        <v>1.57</v>
      </c>
      <c r="AV19" s="18">
        <v>1.2869999999999999</v>
      </c>
      <c r="AW19" s="18">
        <v>1.6060000000000001</v>
      </c>
      <c r="AX19" s="18">
        <v>0.98199999999999998</v>
      </c>
      <c r="AY19" s="18">
        <v>1.6180000000000001</v>
      </c>
      <c r="AZ19" s="18">
        <v>1.1970000000000001</v>
      </c>
      <c r="BA19" s="18">
        <v>0.97799999999999998</v>
      </c>
      <c r="BB19" s="18">
        <v>1.617</v>
      </c>
      <c r="BC19" s="18">
        <v>1.603</v>
      </c>
      <c r="BD19" s="18">
        <v>0.44600000000000001</v>
      </c>
      <c r="BE19" s="18">
        <v>1.61</v>
      </c>
      <c r="BF19" s="18">
        <v>0.81499999999999995</v>
      </c>
      <c r="BG19" s="18">
        <v>0</v>
      </c>
      <c r="BH19" s="18">
        <v>0.57799999999999996</v>
      </c>
      <c r="BI19" s="18">
        <v>1.6020000000000001</v>
      </c>
      <c r="BJ19" s="18">
        <v>0.79</v>
      </c>
      <c r="BK19" s="18">
        <v>1.3029999999999999</v>
      </c>
      <c r="BL19" s="18">
        <v>1.381</v>
      </c>
      <c r="BM19" s="18">
        <v>0.77700000000000002</v>
      </c>
      <c r="BN19" s="18">
        <v>0.54300000000000004</v>
      </c>
      <c r="BO19" s="18">
        <v>1.3009999999999999</v>
      </c>
      <c r="BP19" s="18">
        <v>1.1990000000000001</v>
      </c>
      <c r="BQ19" s="18">
        <v>1.629</v>
      </c>
      <c r="BR19" s="18">
        <v>1.214</v>
      </c>
      <c r="BS19" s="18">
        <v>0.53400000000000003</v>
      </c>
      <c r="BT19" s="18">
        <v>1.165</v>
      </c>
      <c r="BU19" s="18">
        <v>1.538</v>
      </c>
      <c r="BV19" s="18">
        <v>1.2010000000000001</v>
      </c>
      <c r="BW19" s="18">
        <v>1.5209999999999999</v>
      </c>
      <c r="BX19" s="18">
        <v>1.407</v>
      </c>
      <c r="BY19" s="18">
        <v>1.5609999999999999</v>
      </c>
      <c r="BZ19" s="18">
        <v>1.196</v>
      </c>
      <c r="CA19" s="18">
        <v>1.5029999999999999</v>
      </c>
      <c r="CB19" s="18">
        <v>1.0369999999999999</v>
      </c>
      <c r="CC19" s="18">
        <v>1.45</v>
      </c>
      <c r="CD19" s="18">
        <v>1.0760000000000001</v>
      </c>
      <c r="CE19" s="18">
        <v>0.85</v>
      </c>
      <c r="CF19" s="18">
        <v>1.3759999999999999</v>
      </c>
      <c r="CG19" s="18">
        <v>1.625</v>
      </c>
      <c r="CH19" s="18">
        <v>1.619</v>
      </c>
      <c r="CI19" s="18">
        <v>0.52600000000000002</v>
      </c>
      <c r="CJ19" s="18">
        <v>1.397</v>
      </c>
      <c r="CK19" s="18">
        <v>0.81599999999999995</v>
      </c>
      <c r="CL19" s="18">
        <v>1.1990000000000001</v>
      </c>
      <c r="CM19" s="18">
        <v>0.92100000000000004</v>
      </c>
      <c r="CN19" s="18">
        <v>0.78200000000000003</v>
      </c>
      <c r="CO19" s="18">
        <v>1.0820000000000001</v>
      </c>
      <c r="CP19" s="18">
        <v>1.556</v>
      </c>
      <c r="CQ19" s="18">
        <v>0.77500000000000002</v>
      </c>
      <c r="CR19" s="18">
        <v>0.44400000000000001</v>
      </c>
      <c r="CS19" s="18">
        <v>1.609</v>
      </c>
      <c r="CT19" s="18">
        <v>1.411</v>
      </c>
      <c r="CU19" s="18">
        <v>1.1279999999999999</v>
      </c>
      <c r="CV19" s="18">
        <v>1.37</v>
      </c>
      <c r="CW19" s="18">
        <v>0.53700000000000003</v>
      </c>
      <c r="CX19" s="18">
        <v>0.56699999999999995</v>
      </c>
      <c r="CY19" s="18">
        <v>1.3740000000000001</v>
      </c>
      <c r="CZ19" s="18">
        <v>0.78100000000000003</v>
      </c>
      <c r="DA19" s="18">
        <v>1.464</v>
      </c>
      <c r="DB19" s="18">
        <v>0.92400000000000004</v>
      </c>
      <c r="DC19" s="18">
        <v>0.439</v>
      </c>
      <c r="DD19" s="18">
        <v>0.73799999999999999</v>
      </c>
      <c r="DE19" s="18">
        <v>0.65600000000000003</v>
      </c>
      <c r="DF19" s="18">
        <v>1.097</v>
      </c>
      <c r="DG19" s="18">
        <v>1.6080000000000001</v>
      </c>
      <c r="DH19" s="18">
        <v>1.5449999999999999</v>
      </c>
      <c r="DI19" s="18">
        <v>1.1719999999999999</v>
      </c>
      <c r="DJ19" s="18">
        <v>1.4770000000000001</v>
      </c>
      <c r="DK19" s="18">
        <v>1.0580000000000001</v>
      </c>
      <c r="DL19" s="18">
        <v>1.1890000000000001</v>
      </c>
      <c r="DM19" s="18">
        <v>1.5149999999999999</v>
      </c>
      <c r="DN19" s="18">
        <v>1.6319999999999999</v>
      </c>
      <c r="DO19" s="18">
        <v>1.4590000000000001</v>
      </c>
      <c r="DP19" s="18">
        <v>0.77500000000000002</v>
      </c>
      <c r="DQ19" s="18">
        <v>0.92200000000000004</v>
      </c>
      <c r="DR19" s="18">
        <v>1.542</v>
      </c>
      <c r="DS19" s="18">
        <v>0.80400000000000005</v>
      </c>
      <c r="DT19" s="18">
        <v>7.0999999999999994E-2</v>
      </c>
      <c r="DU19" s="18">
        <v>0.68400000000000005</v>
      </c>
      <c r="DV19" s="18">
        <v>0.34200000000000003</v>
      </c>
    </row>
    <row r="20" spans="1:126" x14ac:dyDescent="0.25">
      <c r="A20" s="8">
        <v>16</v>
      </c>
      <c r="B20" s="8">
        <v>7.5</v>
      </c>
      <c r="C20" s="18">
        <v>0.94399999999999995</v>
      </c>
      <c r="D20" s="18">
        <v>1.133</v>
      </c>
      <c r="E20" s="18">
        <v>1.1830000000000001</v>
      </c>
      <c r="F20" s="18">
        <v>0.92800000000000005</v>
      </c>
      <c r="G20" s="18">
        <v>1.9279999999999999</v>
      </c>
      <c r="H20" s="18">
        <v>1.821</v>
      </c>
      <c r="I20" s="18">
        <v>1.9219999999999999</v>
      </c>
      <c r="J20" s="18">
        <v>0.76500000000000001</v>
      </c>
      <c r="K20" s="18">
        <v>0.82099999999999995</v>
      </c>
      <c r="L20" s="18">
        <v>1.43</v>
      </c>
      <c r="M20" s="18">
        <v>1.155</v>
      </c>
      <c r="N20" s="18">
        <v>1.59</v>
      </c>
      <c r="O20" s="18">
        <v>1.831</v>
      </c>
      <c r="P20" s="18">
        <v>1.639</v>
      </c>
      <c r="Q20" s="18">
        <v>0.91600000000000004</v>
      </c>
      <c r="R20" s="18">
        <v>0.55900000000000005</v>
      </c>
      <c r="S20" s="18">
        <v>0.88</v>
      </c>
      <c r="T20" s="18">
        <v>0.14599999999999999</v>
      </c>
      <c r="U20" s="18">
        <v>1.857</v>
      </c>
      <c r="V20" s="18">
        <v>1.675</v>
      </c>
      <c r="W20" s="18">
        <v>0.79700000000000004</v>
      </c>
      <c r="X20" s="18">
        <v>1.1479999999999999</v>
      </c>
      <c r="Y20" s="18">
        <v>1.405</v>
      </c>
      <c r="Z20" s="18">
        <v>1.4750000000000001</v>
      </c>
      <c r="AA20" s="18">
        <v>1.59</v>
      </c>
      <c r="AB20" s="18">
        <v>0.96699999999999997</v>
      </c>
      <c r="AC20" s="18">
        <v>1.8819999999999999</v>
      </c>
      <c r="AD20" s="18">
        <v>1.8340000000000001</v>
      </c>
      <c r="AE20" s="18">
        <v>1.873</v>
      </c>
      <c r="AF20" s="18">
        <v>1.431</v>
      </c>
      <c r="AG20" s="18">
        <v>1.0900000000000001</v>
      </c>
      <c r="AH20" s="18">
        <v>1.929</v>
      </c>
      <c r="AI20" s="18">
        <v>1.589</v>
      </c>
      <c r="AJ20" s="18">
        <v>1.6579999999999999</v>
      </c>
      <c r="AK20" s="18">
        <v>1.4330000000000001</v>
      </c>
      <c r="AL20" s="18">
        <v>0.79500000000000004</v>
      </c>
      <c r="AM20" s="18">
        <v>0.82199999999999995</v>
      </c>
      <c r="AN20" s="18">
        <v>1.556</v>
      </c>
      <c r="AO20" s="18">
        <v>1.6559999999999999</v>
      </c>
      <c r="AP20" s="18">
        <v>1.4259999999999999</v>
      </c>
      <c r="AQ20" s="18">
        <v>1.599</v>
      </c>
      <c r="AR20" s="18">
        <v>1.92</v>
      </c>
      <c r="AS20" s="18">
        <v>0</v>
      </c>
      <c r="AT20" s="18">
        <v>0.84299999999999997</v>
      </c>
      <c r="AU20" s="18">
        <v>1.0189999999999999</v>
      </c>
      <c r="AV20" s="18">
        <v>1.6619999999999999</v>
      </c>
      <c r="AW20" s="18">
        <v>0.70599999999999996</v>
      </c>
      <c r="AX20" s="18">
        <v>0.879</v>
      </c>
      <c r="AY20" s="18">
        <v>1.3440000000000001</v>
      </c>
      <c r="AZ20" s="18">
        <v>1.429</v>
      </c>
      <c r="BA20" s="18">
        <v>0.56399999999999995</v>
      </c>
      <c r="BB20" s="18">
        <v>1.6859999999999999</v>
      </c>
      <c r="BC20" s="18">
        <v>1.905</v>
      </c>
      <c r="BD20" s="18">
        <v>0.59699999999999998</v>
      </c>
      <c r="BE20" s="18">
        <v>1.76</v>
      </c>
      <c r="BF20" s="18">
        <v>1.099</v>
      </c>
      <c r="BG20" s="18">
        <v>0.34200000000000003</v>
      </c>
      <c r="BH20" s="18">
        <v>0.78500000000000003</v>
      </c>
      <c r="BI20" s="18">
        <v>1.7589999999999999</v>
      </c>
      <c r="BJ20" s="18">
        <v>0.94399999999999995</v>
      </c>
      <c r="BK20" s="18">
        <v>1.6040000000000001</v>
      </c>
      <c r="BL20" s="18">
        <v>1.5509999999999999</v>
      </c>
      <c r="BM20" s="18">
        <v>0.84499999999999997</v>
      </c>
      <c r="BN20" s="18">
        <v>0.56599999999999995</v>
      </c>
      <c r="BO20" s="18">
        <v>1.341</v>
      </c>
      <c r="BP20" s="18">
        <v>1.2789999999999999</v>
      </c>
      <c r="BQ20" s="18">
        <v>1.6080000000000001</v>
      </c>
      <c r="BR20" s="18">
        <v>1.5880000000000001</v>
      </c>
      <c r="BS20" s="18">
        <v>0.751</v>
      </c>
      <c r="BT20" s="18">
        <v>1.35</v>
      </c>
      <c r="BU20" s="18">
        <v>1.31</v>
      </c>
      <c r="BV20" s="18">
        <v>1.4330000000000001</v>
      </c>
      <c r="BW20" s="18">
        <v>1.72</v>
      </c>
      <c r="BX20" s="18">
        <v>1.581</v>
      </c>
      <c r="BY20" s="18">
        <v>1.706</v>
      </c>
      <c r="BZ20" s="18">
        <v>1.3280000000000001</v>
      </c>
      <c r="CA20" s="18">
        <v>0.77800000000000002</v>
      </c>
      <c r="CB20" s="18">
        <v>1.3440000000000001</v>
      </c>
      <c r="CC20" s="18">
        <v>1.8979999999999999</v>
      </c>
      <c r="CD20" s="18">
        <v>1.3560000000000001</v>
      </c>
      <c r="CE20" s="18">
        <v>1.1850000000000001</v>
      </c>
      <c r="CF20" s="18">
        <v>1.651</v>
      </c>
      <c r="CG20" s="18">
        <v>1.4079999999999999</v>
      </c>
      <c r="CH20" s="18">
        <v>1.653</v>
      </c>
      <c r="CI20" s="18">
        <v>0.56100000000000005</v>
      </c>
      <c r="CJ20" s="18">
        <v>1.661</v>
      </c>
      <c r="CK20" s="18">
        <v>1.1850000000000001</v>
      </c>
      <c r="CL20" s="18">
        <v>1.431</v>
      </c>
      <c r="CM20" s="18">
        <v>1.3819999999999999</v>
      </c>
      <c r="CN20" s="18">
        <v>0</v>
      </c>
      <c r="CO20" s="18">
        <v>1.214</v>
      </c>
      <c r="CP20" s="18">
        <v>0.86499999999999999</v>
      </c>
      <c r="CQ20" s="18">
        <v>0.92900000000000005</v>
      </c>
      <c r="CR20" s="18">
        <v>0.62</v>
      </c>
      <c r="CS20" s="18">
        <v>1.869</v>
      </c>
      <c r="CT20" s="18">
        <v>1.681</v>
      </c>
      <c r="CU20" s="18">
        <v>0.46</v>
      </c>
      <c r="CV20" s="18">
        <v>1.504</v>
      </c>
      <c r="CW20" s="18">
        <v>0.57299999999999995</v>
      </c>
      <c r="CX20" s="18">
        <v>0.48899999999999999</v>
      </c>
      <c r="CY20" s="18">
        <v>0.99</v>
      </c>
      <c r="CZ20" s="18">
        <v>0.86199999999999999</v>
      </c>
      <c r="DA20" s="18">
        <v>0.38900000000000001</v>
      </c>
      <c r="DB20" s="18">
        <v>1.1519999999999999</v>
      </c>
      <c r="DC20" s="18">
        <v>0.61</v>
      </c>
      <c r="DD20" s="18">
        <v>0.88500000000000001</v>
      </c>
      <c r="DE20" s="18">
        <v>0.86799999999999999</v>
      </c>
      <c r="DF20" s="18">
        <v>1.67</v>
      </c>
      <c r="DG20" s="18">
        <v>1.478</v>
      </c>
      <c r="DH20" s="18">
        <v>1.1359999999999999</v>
      </c>
      <c r="DI20" s="18">
        <v>1.611</v>
      </c>
      <c r="DJ20" s="18">
        <v>1.8620000000000001</v>
      </c>
      <c r="DK20" s="18">
        <v>1.462</v>
      </c>
      <c r="DL20" s="18">
        <v>1.421</v>
      </c>
      <c r="DM20" s="18">
        <v>1.7050000000000001</v>
      </c>
      <c r="DN20" s="18">
        <v>1.014</v>
      </c>
      <c r="DO20" s="18">
        <v>1.899</v>
      </c>
      <c r="DP20" s="18">
        <v>1.179</v>
      </c>
      <c r="DQ20" s="18">
        <v>1.0660000000000001</v>
      </c>
      <c r="DR20" s="18">
        <v>1.851</v>
      </c>
      <c r="DS20" s="18">
        <v>0.93</v>
      </c>
      <c r="DT20" s="18">
        <v>0.34599999999999997</v>
      </c>
      <c r="DU20" s="18">
        <v>0.90100000000000002</v>
      </c>
      <c r="DV20" s="18">
        <v>0.20899999999999999</v>
      </c>
    </row>
    <row r="21" spans="1:126" x14ac:dyDescent="0.25">
      <c r="A21" s="8">
        <v>17</v>
      </c>
      <c r="B21" s="8">
        <v>8</v>
      </c>
      <c r="C21" s="18">
        <v>1.089</v>
      </c>
      <c r="D21" s="18">
        <v>1.2969999999999999</v>
      </c>
      <c r="E21" s="18">
        <v>1.3640000000000001</v>
      </c>
      <c r="F21" s="18">
        <v>0.57599999999999996</v>
      </c>
      <c r="G21" s="18">
        <v>6.8000000000000005E-2</v>
      </c>
      <c r="H21" s="18">
        <v>0.16300000000000001</v>
      </c>
      <c r="I21" s="18">
        <v>0.109</v>
      </c>
      <c r="J21" s="18">
        <v>0</v>
      </c>
      <c r="K21" s="18">
        <v>0.90700000000000003</v>
      </c>
      <c r="L21" s="18">
        <v>1.448</v>
      </c>
      <c r="M21" s="18">
        <v>0</v>
      </c>
      <c r="N21" s="18">
        <v>0</v>
      </c>
      <c r="O21" s="18">
        <v>1.4850000000000001</v>
      </c>
      <c r="P21" s="18">
        <v>1.262</v>
      </c>
      <c r="Q21" s="18">
        <v>0</v>
      </c>
      <c r="R21" s="18">
        <v>0</v>
      </c>
      <c r="S21" s="18">
        <v>1.0409999999999999</v>
      </c>
      <c r="T21" s="18">
        <v>0.121</v>
      </c>
      <c r="U21" s="18">
        <v>0</v>
      </c>
      <c r="V21" s="18">
        <v>9.2999999999999999E-2</v>
      </c>
      <c r="W21" s="18">
        <v>0.92500000000000004</v>
      </c>
      <c r="X21" s="18">
        <v>1.103</v>
      </c>
      <c r="Y21" s="18">
        <v>0.89600000000000002</v>
      </c>
      <c r="Z21" s="18">
        <v>0</v>
      </c>
      <c r="AA21" s="18">
        <v>1.3009999999999999</v>
      </c>
      <c r="AB21" s="18">
        <v>1.2509999999999999</v>
      </c>
      <c r="AC21" s="18">
        <v>3.1E-2</v>
      </c>
      <c r="AD21" s="18">
        <v>0.47399999999999998</v>
      </c>
      <c r="AE21" s="18">
        <v>1.0620000000000001</v>
      </c>
      <c r="AF21" s="18">
        <v>1.5549999999999999</v>
      </c>
      <c r="AG21" s="18">
        <v>1.3540000000000001</v>
      </c>
      <c r="AH21" s="18">
        <v>6.2E-2</v>
      </c>
      <c r="AI21" s="18">
        <v>1.577</v>
      </c>
      <c r="AJ21" s="18">
        <v>0.66</v>
      </c>
      <c r="AK21" s="18">
        <v>1.427</v>
      </c>
      <c r="AL21" s="18">
        <v>1.3340000000000001</v>
      </c>
      <c r="AM21" s="18">
        <v>0.98299999999999998</v>
      </c>
      <c r="AN21" s="18">
        <v>0</v>
      </c>
      <c r="AO21" s="18">
        <v>0.94199999999999995</v>
      </c>
      <c r="AP21" s="18">
        <v>0</v>
      </c>
      <c r="AQ21" s="18">
        <v>0.17899999999999999</v>
      </c>
      <c r="AR21" s="18">
        <v>1.103</v>
      </c>
      <c r="AS21" s="18">
        <v>0.52200000000000002</v>
      </c>
      <c r="AT21" s="18">
        <v>0.94</v>
      </c>
      <c r="AU21" s="18">
        <v>0</v>
      </c>
      <c r="AV21" s="18">
        <v>1.3089999999999999</v>
      </c>
      <c r="AW21" s="18">
        <v>0</v>
      </c>
      <c r="AX21" s="18">
        <v>1.1399999999999999</v>
      </c>
      <c r="AY21" s="18">
        <v>0</v>
      </c>
      <c r="AZ21" s="18">
        <v>1.5549999999999999</v>
      </c>
      <c r="BA21" s="18">
        <v>1.635</v>
      </c>
      <c r="BB21" s="18">
        <v>0</v>
      </c>
      <c r="BC21" s="18">
        <v>0.29199999999999998</v>
      </c>
      <c r="BD21" s="18">
        <v>0.64</v>
      </c>
      <c r="BE21" s="18">
        <v>0.15</v>
      </c>
      <c r="BF21" s="18">
        <v>1.304</v>
      </c>
      <c r="BG21" s="18">
        <v>0.77</v>
      </c>
      <c r="BH21" s="18">
        <v>0.60699999999999998</v>
      </c>
      <c r="BI21" s="18">
        <v>9.1999999999999998E-2</v>
      </c>
      <c r="BJ21" s="18">
        <v>0.89100000000000001</v>
      </c>
      <c r="BK21" s="18">
        <v>0.98699999999999999</v>
      </c>
      <c r="BL21" s="18">
        <v>0.83599999999999997</v>
      </c>
      <c r="BM21" s="18">
        <v>1.0760000000000001</v>
      </c>
      <c r="BN21" s="18">
        <v>0.753</v>
      </c>
      <c r="BO21" s="18">
        <v>1.774</v>
      </c>
      <c r="BP21" s="18">
        <v>0.65900000000000003</v>
      </c>
      <c r="BQ21" s="18">
        <v>0</v>
      </c>
      <c r="BR21" s="18">
        <v>1.1399999999999999</v>
      </c>
      <c r="BS21" s="18">
        <v>0.96</v>
      </c>
      <c r="BT21" s="18">
        <v>1.5509999999999999</v>
      </c>
      <c r="BU21" s="18">
        <v>0</v>
      </c>
      <c r="BV21" s="18">
        <v>0.47299999999999998</v>
      </c>
      <c r="BW21" s="18">
        <v>0.53600000000000003</v>
      </c>
      <c r="BX21" s="18">
        <v>0</v>
      </c>
      <c r="BY21" s="18">
        <v>0</v>
      </c>
      <c r="BZ21" s="18">
        <v>1.536</v>
      </c>
      <c r="CA21" s="18">
        <v>0</v>
      </c>
      <c r="CB21" s="18">
        <v>1.655</v>
      </c>
      <c r="CC21" s="18">
        <v>0.01</v>
      </c>
      <c r="CD21" s="18">
        <v>1.573</v>
      </c>
      <c r="CE21" s="18">
        <v>1.369</v>
      </c>
      <c r="CF21" s="18">
        <v>1.1839999999999999</v>
      </c>
      <c r="CG21" s="18">
        <v>0</v>
      </c>
      <c r="CH21" s="18">
        <v>0</v>
      </c>
      <c r="CI21" s="18">
        <v>0.79800000000000004</v>
      </c>
      <c r="CJ21" s="18">
        <v>0.55900000000000005</v>
      </c>
      <c r="CK21" s="18">
        <v>0.85399999999999998</v>
      </c>
      <c r="CL21" s="18">
        <v>0.50700000000000001</v>
      </c>
      <c r="CM21" s="18">
        <v>1.1990000000000001</v>
      </c>
      <c r="CN21" s="18">
        <v>0.92800000000000005</v>
      </c>
      <c r="CO21" s="18">
        <v>1.4950000000000001</v>
      </c>
      <c r="CP21" s="18">
        <v>0</v>
      </c>
      <c r="CQ21" s="18">
        <v>0.95199999999999996</v>
      </c>
      <c r="CR21" s="18">
        <v>0.66800000000000004</v>
      </c>
      <c r="CS21" s="18">
        <v>9.9000000000000005E-2</v>
      </c>
      <c r="CT21" s="18">
        <v>0.17199999999999999</v>
      </c>
      <c r="CU21" s="18">
        <v>1.75</v>
      </c>
      <c r="CV21" s="18">
        <v>0.56699999999999995</v>
      </c>
      <c r="CW21" s="18">
        <v>0.80900000000000005</v>
      </c>
      <c r="CX21" s="18">
        <v>0.64200000000000002</v>
      </c>
      <c r="CY21" s="18">
        <v>0</v>
      </c>
      <c r="CZ21" s="18">
        <v>1.08</v>
      </c>
      <c r="DA21" s="18">
        <v>0.45300000000000001</v>
      </c>
      <c r="DB21" s="18">
        <v>1.3759999999999999</v>
      </c>
      <c r="DC21" s="18">
        <v>0.64800000000000002</v>
      </c>
      <c r="DD21" s="18">
        <v>1.0900000000000001</v>
      </c>
      <c r="DE21" s="18">
        <v>0.72599999999999998</v>
      </c>
      <c r="DF21" s="18">
        <v>1.786</v>
      </c>
      <c r="DG21" s="18">
        <v>0</v>
      </c>
      <c r="DH21" s="18">
        <v>0</v>
      </c>
      <c r="DI21" s="18">
        <v>1.0489999999999999</v>
      </c>
      <c r="DJ21" s="18">
        <v>1.044</v>
      </c>
      <c r="DK21" s="18">
        <v>0.77400000000000002</v>
      </c>
      <c r="DL21" s="18">
        <v>1.359</v>
      </c>
      <c r="DM21" s="18">
        <v>3.2000000000000001E-2</v>
      </c>
      <c r="DN21" s="18">
        <v>0</v>
      </c>
      <c r="DO21" s="18">
        <v>0</v>
      </c>
      <c r="DP21" s="18">
        <v>1.1879999999999999</v>
      </c>
      <c r="DQ21" s="18">
        <v>1.3380000000000001</v>
      </c>
      <c r="DR21" s="18">
        <v>1.2769999999999999</v>
      </c>
      <c r="DS21" s="18">
        <v>0.97699999999999998</v>
      </c>
      <c r="DT21" s="18">
        <v>0.69599999999999995</v>
      </c>
      <c r="DU21" s="18">
        <v>0.89900000000000002</v>
      </c>
      <c r="DV21" s="18">
        <v>0.317</v>
      </c>
    </row>
    <row r="22" spans="1:126" x14ac:dyDescent="0.25">
      <c r="A22" s="8">
        <v>18</v>
      </c>
      <c r="B22" s="8">
        <v>8.5</v>
      </c>
      <c r="C22" s="18">
        <v>1.109</v>
      </c>
      <c r="D22" s="18">
        <v>1.3460000000000001</v>
      </c>
      <c r="E22" s="18">
        <v>0.20300000000000001</v>
      </c>
      <c r="F22" s="18">
        <v>0.70599999999999996</v>
      </c>
      <c r="G22" s="18">
        <v>0</v>
      </c>
      <c r="H22" s="18">
        <v>0</v>
      </c>
      <c r="I22" s="18">
        <v>0</v>
      </c>
      <c r="J22" s="18">
        <v>1.8460000000000001</v>
      </c>
      <c r="K22" s="18">
        <v>0.64100000000000001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1.101</v>
      </c>
      <c r="R22" s="18">
        <v>0.7</v>
      </c>
      <c r="S22" s="18">
        <v>1.177</v>
      </c>
      <c r="T22" s="18">
        <v>0</v>
      </c>
      <c r="U22" s="18">
        <v>0</v>
      </c>
      <c r="V22" s="18">
        <v>0</v>
      </c>
      <c r="W22" s="18">
        <v>1.165</v>
      </c>
      <c r="X22" s="18">
        <v>0.85899999999999999</v>
      </c>
      <c r="Y22" s="18">
        <v>0</v>
      </c>
      <c r="Z22" s="18">
        <v>0</v>
      </c>
      <c r="AA22" s="18">
        <v>0</v>
      </c>
      <c r="AB22" s="18">
        <v>1.379</v>
      </c>
      <c r="AC22" s="18">
        <v>0</v>
      </c>
      <c r="AD22" s="18">
        <v>0</v>
      </c>
      <c r="AE22" s="18">
        <v>0</v>
      </c>
      <c r="AF22" s="18">
        <v>0.54700000000000004</v>
      </c>
      <c r="AG22" s="18">
        <v>1.288</v>
      </c>
      <c r="AH22" s="18">
        <v>0</v>
      </c>
      <c r="AI22" s="18">
        <v>0</v>
      </c>
      <c r="AJ22" s="18">
        <v>0</v>
      </c>
      <c r="AK22" s="18">
        <v>0</v>
      </c>
      <c r="AL22" s="18">
        <v>5.7000000000000002E-2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1.024</v>
      </c>
      <c r="AU22" s="18">
        <v>0</v>
      </c>
      <c r="AV22" s="18">
        <v>0</v>
      </c>
      <c r="AW22" s="18">
        <v>0</v>
      </c>
      <c r="AX22" s="18">
        <v>1.385</v>
      </c>
      <c r="AY22" s="18">
        <v>0</v>
      </c>
      <c r="AZ22" s="18">
        <v>0</v>
      </c>
      <c r="BA22" s="18">
        <v>0.158</v>
      </c>
      <c r="BB22" s="18">
        <v>0</v>
      </c>
      <c r="BC22" s="18">
        <v>0</v>
      </c>
      <c r="BD22" s="18">
        <v>0.83299999999999996</v>
      </c>
      <c r="BE22" s="18">
        <v>0</v>
      </c>
      <c r="BF22" s="18">
        <v>1.401</v>
      </c>
      <c r="BG22" s="18">
        <v>0.86399999999999999</v>
      </c>
      <c r="BH22" s="18">
        <v>1.218</v>
      </c>
      <c r="BI22" s="18">
        <v>0</v>
      </c>
      <c r="BJ22" s="18">
        <v>1.0640000000000001</v>
      </c>
      <c r="BK22" s="18">
        <v>0</v>
      </c>
      <c r="BL22" s="18">
        <v>0</v>
      </c>
      <c r="BM22" s="18">
        <v>0.93500000000000005</v>
      </c>
      <c r="BN22" s="18">
        <v>0.88100000000000001</v>
      </c>
      <c r="BO22" s="18">
        <v>0.80600000000000005</v>
      </c>
      <c r="BP22" s="18">
        <v>0</v>
      </c>
      <c r="BQ22" s="18">
        <v>0</v>
      </c>
      <c r="BR22" s="18">
        <v>0</v>
      </c>
      <c r="BS22" s="18">
        <v>0.41199999999999998</v>
      </c>
      <c r="BT22" s="18">
        <v>0.64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5.7000000000000002E-2</v>
      </c>
      <c r="CA22" s="18">
        <v>0</v>
      </c>
      <c r="CB22" s="18">
        <v>0.52600000000000002</v>
      </c>
      <c r="CC22" s="18">
        <v>0</v>
      </c>
      <c r="CD22" s="18">
        <v>0.45600000000000002</v>
      </c>
      <c r="CE22" s="18">
        <v>0.16</v>
      </c>
      <c r="CF22" s="18">
        <v>0</v>
      </c>
      <c r="CG22" s="18">
        <v>0</v>
      </c>
      <c r="CH22" s="18">
        <v>0</v>
      </c>
      <c r="CI22" s="18">
        <v>0.48599999999999999</v>
      </c>
      <c r="CJ22" s="18">
        <v>0</v>
      </c>
      <c r="CK22" s="18">
        <v>1.466</v>
      </c>
      <c r="CL22" s="18">
        <v>0</v>
      </c>
      <c r="CM22" s="18">
        <v>0.53900000000000003</v>
      </c>
      <c r="CN22" s="18">
        <v>1.2190000000000001</v>
      </c>
      <c r="CO22" s="18">
        <v>0.86399999999999999</v>
      </c>
      <c r="CP22" s="18">
        <v>0</v>
      </c>
      <c r="CQ22" s="18">
        <v>1.1739999999999999</v>
      </c>
      <c r="CR22" s="18">
        <v>0.91</v>
      </c>
      <c r="CS22" s="18">
        <v>0</v>
      </c>
      <c r="CT22" s="18">
        <v>0</v>
      </c>
      <c r="CU22" s="18">
        <v>2.0310000000000001</v>
      </c>
      <c r="CV22" s="18">
        <v>0</v>
      </c>
      <c r="CW22" s="18">
        <v>0.73599999999999999</v>
      </c>
      <c r="CX22" s="18">
        <v>0.67200000000000004</v>
      </c>
      <c r="CY22" s="18">
        <v>0</v>
      </c>
      <c r="CZ22" s="18">
        <v>1.052</v>
      </c>
      <c r="DA22" s="18">
        <v>0</v>
      </c>
      <c r="DB22" s="18">
        <v>0.59299999999999997</v>
      </c>
      <c r="DC22" s="18">
        <v>0.55000000000000004</v>
      </c>
      <c r="DD22" s="18">
        <v>1.226</v>
      </c>
      <c r="DE22" s="18">
        <v>0</v>
      </c>
      <c r="DF22" s="18">
        <v>0.72799999999999998</v>
      </c>
      <c r="DG22" s="18">
        <v>0</v>
      </c>
      <c r="DH22" s="18">
        <v>0</v>
      </c>
      <c r="DI22" s="18">
        <v>0.96699999999999997</v>
      </c>
      <c r="DJ22" s="18">
        <v>0</v>
      </c>
      <c r="DK22" s="18">
        <v>0</v>
      </c>
      <c r="DL22" s="18">
        <v>0</v>
      </c>
      <c r="DM22" s="18">
        <v>0</v>
      </c>
      <c r="DN22" s="18">
        <v>0</v>
      </c>
      <c r="DO22" s="18">
        <v>0</v>
      </c>
      <c r="DP22" s="18">
        <v>1.1519999999999999</v>
      </c>
      <c r="DQ22" s="18">
        <v>1.2450000000000001</v>
      </c>
      <c r="DR22" s="18">
        <v>0</v>
      </c>
      <c r="DS22" s="18">
        <v>1.2390000000000001</v>
      </c>
      <c r="DT22" s="18">
        <v>0.871</v>
      </c>
      <c r="DU22" s="18">
        <v>1.014</v>
      </c>
      <c r="DV22" s="18">
        <v>0.126</v>
      </c>
    </row>
    <row r="23" spans="1:126" x14ac:dyDescent="0.25">
      <c r="A23" s="8">
        <v>19</v>
      </c>
      <c r="B23" s="8">
        <v>9</v>
      </c>
      <c r="C23" s="18">
        <v>0.73099999999999998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0.86299999999999999</v>
      </c>
      <c r="K23" s="18">
        <v>1.1659999999999999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0.88500000000000001</v>
      </c>
      <c r="S23" s="18">
        <v>1.33</v>
      </c>
      <c r="T23" s="18">
        <v>0.312</v>
      </c>
      <c r="U23" s="18">
        <v>0</v>
      </c>
      <c r="V23" s="18">
        <v>0</v>
      </c>
      <c r="W23" s="18">
        <v>1.1220000000000001</v>
      </c>
      <c r="X23" s="18">
        <v>0.27</v>
      </c>
      <c r="Y23" s="18">
        <v>0</v>
      </c>
      <c r="Z23" s="18">
        <v>0</v>
      </c>
      <c r="AA23" s="18">
        <v>0</v>
      </c>
      <c r="AB23" s="18">
        <v>1.1919999999999999</v>
      </c>
      <c r="AC23" s="18">
        <v>0</v>
      </c>
      <c r="AD23" s="18">
        <v>0</v>
      </c>
      <c r="AE23" s="18">
        <v>0</v>
      </c>
      <c r="AF23" s="18">
        <v>0</v>
      </c>
      <c r="AG23" s="18">
        <v>0.59899999999999998</v>
      </c>
      <c r="AH23" s="18">
        <v>0</v>
      </c>
      <c r="AI23" s="18">
        <v>0</v>
      </c>
      <c r="AJ23" s="18">
        <v>0</v>
      </c>
      <c r="AK23" s="18">
        <v>0</v>
      </c>
      <c r="AL23" s="18">
        <v>1.0960000000000001</v>
      </c>
      <c r="AM23" s="18">
        <v>0.83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0.67500000000000004</v>
      </c>
      <c r="AT23" s="18">
        <v>0.48099999999999998</v>
      </c>
      <c r="AU23" s="18">
        <v>0</v>
      </c>
      <c r="AV23" s="18">
        <v>0</v>
      </c>
      <c r="AW23" s="18">
        <v>0</v>
      </c>
      <c r="AX23" s="18">
        <v>0.44500000000000001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0.80300000000000005</v>
      </c>
      <c r="BE23" s="18">
        <v>0</v>
      </c>
      <c r="BF23" s="18">
        <v>0.81100000000000005</v>
      </c>
      <c r="BG23" s="18">
        <v>0.90700000000000003</v>
      </c>
      <c r="BH23" s="18">
        <v>1.1180000000000001</v>
      </c>
      <c r="BI23" s="18">
        <v>0</v>
      </c>
      <c r="BJ23" s="18">
        <v>0.76600000000000001</v>
      </c>
      <c r="BK23" s="18">
        <v>0</v>
      </c>
      <c r="BL23" s="18">
        <v>0</v>
      </c>
      <c r="BM23" s="18">
        <v>1.3</v>
      </c>
      <c r="BN23" s="18">
        <v>0.85099999999999998</v>
      </c>
      <c r="BO23" s="18">
        <v>0</v>
      </c>
      <c r="BP23" s="18">
        <v>0</v>
      </c>
      <c r="BQ23" s="18">
        <v>0</v>
      </c>
      <c r="BR23" s="18">
        <v>0</v>
      </c>
      <c r="BS23" s="18">
        <v>0.82299999999999995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18">
        <v>0</v>
      </c>
      <c r="CI23" s="18">
        <v>0.68600000000000005</v>
      </c>
      <c r="CJ23" s="18">
        <v>0</v>
      </c>
      <c r="CK23" s="18">
        <v>0.69799999999999995</v>
      </c>
      <c r="CL23" s="18">
        <v>0</v>
      </c>
      <c r="CM23" s="18">
        <v>0.45900000000000002</v>
      </c>
      <c r="CN23" s="18">
        <v>1.125</v>
      </c>
      <c r="CO23" s="18">
        <v>0</v>
      </c>
      <c r="CP23" s="18">
        <v>0</v>
      </c>
      <c r="CQ23" s="18">
        <v>1.2270000000000001</v>
      </c>
      <c r="CR23" s="18">
        <v>0.83099999999999996</v>
      </c>
      <c r="CS23" s="18">
        <v>0</v>
      </c>
      <c r="CT23" s="18">
        <v>0</v>
      </c>
      <c r="CU23" s="18">
        <v>0.20399999999999999</v>
      </c>
      <c r="CV23" s="18">
        <v>0</v>
      </c>
      <c r="CW23" s="18">
        <v>0.998</v>
      </c>
      <c r="CX23" s="18">
        <v>0.87</v>
      </c>
      <c r="CY23" s="18">
        <v>0</v>
      </c>
      <c r="CZ23" s="18">
        <v>0.76700000000000002</v>
      </c>
      <c r="DA23" s="18">
        <v>0</v>
      </c>
      <c r="DB23" s="18">
        <v>0</v>
      </c>
      <c r="DC23" s="18">
        <v>0.70799999999999996</v>
      </c>
      <c r="DD23" s="18">
        <v>0.28699999999999998</v>
      </c>
      <c r="DE23" s="18">
        <v>0</v>
      </c>
      <c r="DF23" s="18">
        <v>0</v>
      </c>
      <c r="DG23" s="18">
        <v>0</v>
      </c>
      <c r="DH23" s="18">
        <v>0</v>
      </c>
      <c r="DI23" s="18">
        <v>0</v>
      </c>
      <c r="DJ23" s="18">
        <v>0</v>
      </c>
      <c r="DK23" s="18">
        <v>0</v>
      </c>
      <c r="DL23" s="18">
        <v>0</v>
      </c>
      <c r="DM23" s="18">
        <v>0</v>
      </c>
      <c r="DN23" s="18">
        <v>0</v>
      </c>
      <c r="DO23" s="18">
        <v>0</v>
      </c>
      <c r="DP23" s="18">
        <v>0.75</v>
      </c>
      <c r="DQ23" s="18">
        <v>0</v>
      </c>
      <c r="DR23" s="18">
        <v>0</v>
      </c>
      <c r="DS23" s="18">
        <v>1.355</v>
      </c>
      <c r="DT23" s="18">
        <v>1.1319999999999999</v>
      </c>
      <c r="DU23" s="18">
        <v>0.72099999999999997</v>
      </c>
      <c r="DV23" s="18">
        <v>0</v>
      </c>
    </row>
    <row r="24" spans="1:126" x14ac:dyDescent="0.25">
      <c r="A24" s="8">
        <v>20</v>
      </c>
      <c r="B24" s="8">
        <v>9.5</v>
      </c>
      <c r="C24" s="18">
        <v>0</v>
      </c>
      <c r="D24" s="18">
        <v>0</v>
      </c>
      <c r="E24" s="18">
        <v>0</v>
      </c>
      <c r="F24" s="18">
        <v>1.0309999999999999</v>
      </c>
      <c r="G24" s="18">
        <v>0</v>
      </c>
      <c r="H24" s="18">
        <v>0</v>
      </c>
      <c r="I24" s="18">
        <v>0</v>
      </c>
      <c r="J24" s="18">
        <v>0</v>
      </c>
      <c r="K24" s="18">
        <v>1.2849999999999999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1.093</v>
      </c>
      <c r="R24" s="18">
        <v>0.75</v>
      </c>
      <c r="S24" s="18">
        <v>1.371</v>
      </c>
      <c r="T24" s="18">
        <v>0.43</v>
      </c>
      <c r="U24" s="18">
        <v>0</v>
      </c>
      <c r="V24" s="18">
        <v>0</v>
      </c>
      <c r="W24" s="18">
        <v>1.1020000000000001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1.296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1.046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0.995</v>
      </c>
      <c r="BE24" s="18">
        <v>0</v>
      </c>
      <c r="BF24" s="18">
        <v>0</v>
      </c>
      <c r="BG24" s="18">
        <v>1.0840000000000001</v>
      </c>
      <c r="BH24" s="18">
        <v>0.78</v>
      </c>
      <c r="BI24" s="18">
        <v>0</v>
      </c>
      <c r="BJ24" s="18">
        <v>0</v>
      </c>
      <c r="BK24" s="18">
        <v>0</v>
      </c>
      <c r="BL24" s="18">
        <v>0</v>
      </c>
      <c r="BM24" s="18">
        <v>0.77800000000000002</v>
      </c>
      <c r="BN24" s="18">
        <v>0.98799999999999999</v>
      </c>
      <c r="BO24" s="18">
        <v>0</v>
      </c>
      <c r="BP24" s="18">
        <v>0</v>
      </c>
      <c r="BQ24" s="18">
        <v>0</v>
      </c>
      <c r="BR24" s="18">
        <v>0</v>
      </c>
      <c r="BS24" s="18">
        <v>1.2809999999999999</v>
      </c>
      <c r="BT24" s="18">
        <v>0</v>
      </c>
      <c r="BU24" s="18">
        <v>0</v>
      </c>
      <c r="BV24" s="18">
        <v>0</v>
      </c>
      <c r="BW24" s="18">
        <v>0</v>
      </c>
      <c r="BX24" s="18">
        <v>0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18">
        <v>0</v>
      </c>
      <c r="CH24" s="18">
        <v>0</v>
      </c>
      <c r="CI24" s="18">
        <v>0</v>
      </c>
      <c r="CJ24" s="18">
        <v>0</v>
      </c>
      <c r="CK24" s="18">
        <v>0</v>
      </c>
      <c r="CL24" s="18">
        <v>0</v>
      </c>
      <c r="CM24" s="18">
        <v>0</v>
      </c>
      <c r="CN24" s="18">
        <v>1.044</v>
      </c>
      <c r="CO24" s="18">
        <v>0</v>
      </c>
      <c r="CP24" s="18">
        <v>0</v>
      </c>
      <c r="CQ24" s="18">
        <v>1.31</v>
      </c>
      <c r="CR24" s="18">
        <v>1.0169999999999999</v>
      </c>
      <c r="CS24" s="18">
        <v>0</v>
      </c>
      <c r="CT24" s="18">
        <v>0</v>
      </c>
      <c r="CU24" s="18">
        <v>0</v>
      </c>
      <c r="CV24" s="18">
        <v>0</v>
      </c>
      <c r="CW24" s="18">
        <v>1.0720000000000001</v>
      </c>
      <c r="CX24" s="18">
        <v>0.78100000000000003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18">
        <v>0.38900000000000001</v>
      </c>
      <c r="DF24" s="18">
        <v>0</v>
      </c>
      <c r="DG24" s="18">
        <v>0</v>
      </c>
      <c r="DH24" s="18">
        <v>0</v>
      </c>
      <c r="DI24" s="18">
        <v>0</v>
      </c>
      <c r="DJ24" s="18">
        <v>0</v>
      </c>
      <c r="DK24" s="18">
        <v>0</v>
      </c>
      <c r="DL24" s="18">
        <v>0</v>
      </c>
      <c r="DM24" s="18">
        <v>0</v>
      </c>
      <c r="DN24" s="18">
        <v>0</v>
      </c>
      <c r="DO24" s="18">
        <v>0</v>
      </c>
      <c r="DP24" s="18">
        <v>0</v>
      </c>
      <c r="DQ24" s="18">
        <v>0</v>
      </c>
      <c r="DR24" s="18">
        <v>0</v>
      </c>
      <c r="DS24" s="18">
        <v>1.2030000000000001</v>
      </c>
      <c r="DT24" s="18">
        <v>1.1140000000000001</v>
      </c>
      <c r="DU24" s="18">
        <v>0.50900000000000001</v>
      </c>
      <c r="DV24" s="18">
        <v>0.39800000000000002</v>
      </c>
    </row>
    <row r="25" spans="1:126" x14ac:dyDescent="0.25">
      <c r="A25" s="8">
        <v>21</v>
      </c>
      <c r="B25" s="8">
        <v>10</v>
      </c>
      <c r="C25" s="18">
        <v>0</v>
      </c>
      <c r="D25" s="18">
        <v>0</v>
      </c>
      <c r="E25" s="18">
        <v>0</v>
      </c>
      <c r="F25" s="18">
        <v>0.44900000000000001</v>
      </c>
      <c r="G25" s="18">
        <v>0</v>
      </c>
      <c r="H25" s="18">
        <v>0</v>
      </c>
      <c r="I25" s="18">
        <v>0</v>
      </c>
      <c r="J25" s="18">
        <v>0</v>
      </c>
      <c r="K25" s="18">
        <v>0.19700000000000001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1.4750000000000001</v>
      </c>
      <c r="R25" s="18">
        <v>0.61199999999999999</v>
      </c>
      <c r="S25" s="18">
        <v>0</v>
      </c>
      <c r="T25" s="18">
        <v>0.35299999999999998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1.0860000000000001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0.85399999999999998</v>
      </c>
      <c r="BE25" s="18">
        <v>0</v>
      </c>
      <c r="BF25" s="18">
        <v>0</v>
      </c>
      <c r="BG25" s="18">
        <v>0.95199999999999996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1.0469999999999999</v>
      </c>
      <c r="BO25" s="18">
        <v>0</v>
      </c>
      <c r="BP25" s="18">
        <v>0</v>
      </c>
      <c r="BQ25" s="18">
        <v>0</v>
      </c>
      <c r="BR25" s="18">
        <v>0</v>
      </c>
      <c r="BS25" s="18">
        <v>1.111</v>
      </c>
      <c r="BT25" s="18">
        <v>0</v>
      </c>
      <c r="BU25" s="18">
        <v>0</v>
      </c>
      <c r="BV25" s="18">
        <v>0</v>
      </c>
      <c r="BW25" s="18">
        <v>0</v>
      </c>
      <c r="BX25" s="18">
        <v>0</v>
      </c>
      <c r="BY25" s="18">
        <v>0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  <c r="CE25" s="18">
        <v>0</v>
      </c>
      <c r="CF25" s="18">
        <v>0</v>
      </c>
      <c r="CG25" s="18">
        <v>0</v>
      </c>
      <c r="CH25" s="18">
        <v>0</v>
      </c>
      <c r="CI25" s="18">
        <v>0.77500000000000002</v>
      </c>
      <c r="CJ25" s="18">
        <v>0</v>
      </c>
      <c r="CK25" s="18">
        <v>0</v>
      </c>
      <c r="CL25" s="18">
        <v>0</v>
      </c>
      <c r="CM25" s="18">
        <v>0</v>
      </c>
      <c r="CN25" s="18">
        <v>0</v>
      </c>
      <c r="CO25" s="18">
        <v>0</v>
      </c>
      <c r="CP25" s="18">
        <v>0</v>
      </c>
      <c r="CQ25" s="18">
        <v>0.28899999999999998</v>
      </c>
      <c r="CR25" s="18">
        <v>1.0289999999999999</v>
      </c>
      <c r="CS25" s="18">
        <v>0</v>
      </c>
      <c r="CT25" s="18">
        <v>0</v>
      </c>
      <c r="CU25" s="18">
        <v>0</v>
      </c>
      <c r="CV25" s="18">
        <v>0</v>
      </c>
      <c r="CW25" s="18">
        <v>0.48199999999999998</v>
      </c>
      <c r="CX25" s="18">
        <v>0.97899999999999998</v>
      </c>
      <c r="CY25" s="18">
        <v>0</v>
      </c>
      <c r="CZ25" s="18">
        <v>0</v>
      </c>
      <c r="DA25" s="18">
        <v>0</v>
      </c>
      <c r="DB25" s="18">
        <v>0</v>
      </c>
      <c r="DC25" s="18">
        <v>0.80700000000000005</v>
      </c>
      <c r="DD25" s="18">
        <v>0</v>
      </c>
      <c r="DE25" s="18">
        <v>1.514</v>
      </c>
      <c r="DF25" s="18">
        <v>0</v>
      </c>
      <c r="DG25" s="18">
        <v>0</v>
      </c>
      <c r="DH25" s="18">
        <v>0</v>
      </c>
      <c r="DI25" s="18">
        <v>0</v>
      </c>
      <c r="DJ25" s="18">
        <v>0</v>
      </c>
      <c r="DK25" s="18">
        <v>0</v>
      </c>
      <c r="DL25" s="18">
        <v>0</v>
      </c>
      <c r="DM25" s="18">
        <v>0</v>
      </c>
      <c r="DN25" s="18">
        <v>0</v>
      </c>
      <c r="DO25" s="18">
        <v>0</v>
      </c>
      <c r="DP25" s="18">
        <v>0</v>
      </c>
      <c r="DQ25" s="18">
        <v>0</v>
      </c>
      <c r="DR25" s="18">
        <v>0</v>
      </c>
      <c r="DS25" s="18">
        <v>0</v>
      </c>
      <c r="DT25" s="18">
        <v>7.4999999999999997E-2</v>
      </c>
      <c r="DU25" s="18">
        <v>0</v>
      </c>
      <c r="DV25" s="18">
        <v>0.35799999999999998</v>
      </c>
    </row>
    <row r="26" spans="1:126" x14ac:dyDescent="0.25">
      <c r="A26" s="8">
        <v>22</v>
      </c>
      <c r="B26" s="8">
        <v>10.5</v>
      </c>
      <c r="C26" s="18">
        <v>0</v>
      </c>
      <c r="D26" s="18">
        <v>0</v>
      </c>
      <c r="E26" s="18">
        <v>0</v>
      </c>
      <c r="F26" s="18">
        <v>0.16300000000000001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0.39300000000000002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0.3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1.0129999999999999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0.27300000000000002</v>
      </c>
      <c r="BO26" s="18">
        <v>0</v>
      </c>
      <c r="BP26" s="18">
        <v>0</v>
      </c>
      <c r="BQ26" s="18">
        <v>0</v>
      </c>
      <c r="BR26" s="18">
        <v>0</v>
      </c>
      <c r="BS26" s="18">
        <v>0.56599999999999995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18">
        <v>0</v>
      </c>
      <c r="CH26" s="18">
        <v>0</v>
      </c>
      <c r="CI26" s="18">
        <v>0.86799999999999999</v>
      </c>
      <c r="CJ26" s="18">
        <v>0</v>
      </c>
      <c r="CK26" s="18">
        <v>0</v>
      </c>
      <c r="CL26" s="18">
        <v>0</v>
      </c>
      <c r="CM26" s="18">
        <v>0</v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18">
        <v>0</v>
      </c>
      <c r="CX26" s="18">
        <v>0.94099999999999995</v>
      </c>
      <c r="CY26" s="18">
        <v>0</v>
      </c>
      <c r="CZ26" s="18">
        <v>0</v>
      </c>
      <c r="DA26" s="18">
        <v>0</v>
      </c>
      <c r="DB26" s="18">
        <v>0</v>
      </c>
      <c r="DC26" s="18">
        <v>0.94499999999999995</v>
      </c>
      <c r="DD26" s="18">
        <v>0</v>
      </c>
      <c r="DE26" s="18">
        <v>1.421</v>
      </c>
      <c r="DF26" s="18">
        <v>0</v>
      </c>
      <c r="DG26" s="18">
        <v>0</v>
      </c>
      <c r="DH26" s="18">
        <v>0</v>
      </c>
      <c r="DI26" s="18">
        <v>0</v>
      </c>
      <c r="DJ26" s="18">
        <v>0</v>
      </c>
      <c r="DK26" s="18">
        <v>0</v>
      </c>
      <c r="DL26" s="18">
        <v>0</v>
      </c>
      <c r="DM26" s="18">
        <v>0</v>
      </c>
      <c r="DN26" s="18">
        <v>0</v>
      </c>
      <c r="DO26" s="18">
        <v>0</v>
      </c>
      <c r="DP26" s="18">
        <v>0</v>
      </c>
      <c r="DQ26" s="18">
        <v>0</v>
      </c>
      <c r="DR26" s="18">
        <v>0</v>
      </c>
      <c r="DS26" s="18">
        <v>0</v>
      </c>
      <c r="DT26" s="18">
        <v>1.423</v>
      </c>
      <c r="DU26" s="18">
        <v>0</v>
      </c>
      <c r="DV26" s="18">
        <v>0.28299999999999997</v>
      </c>
    </row>
    <row r="27" spans="1:126" x14ac:dyDescent="0.25">
      <c r="A27" s="8">
        <v>23</v>
      </c>
      <c r="B27" s="8">
        <v>11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1.0049999999999999</v>
      </c>
      <c r="S27" s="18">
        <v>0</v>
      </c>
      <c r="T27" s="18">
        <v>0.39800000000000002</v>
      </c>
      <c r="U27" s="18">
        <v>0</v>
      </c>
      <c r="V27" s="18">
        <v>0</v>
      </c>
      <c r="W27" s="18">
        <v>1.22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0.83299999999999996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0.223</v>
      </c>
      <c r="BE27" s="18">
        <v>0</v>
      </c>
      <c r="BF27" s="18">
        <v>0</v>
      </c>
      <c r="BG27" s="18">
        <v>0.75600000000000001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0</v>
      </c>
      <c r="CG27" s="18">
        <v>0</v>
      </c>
      <c r="CH27" s="18">
        <v>0</v>
      </c>
      <c r="CI27" s="18">
        <v>1.014</v>
      </c>
      <c r="CJ27" s="18">
        <v>0</v>
      </c>
      <c r="CK27" s="18">
        <v>0</v>
      </c>
      <c r="CL27" s="18">
        <v>0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18">
        <v>0</v>
      </c>
      <c r="CX27" s="18">
        <v>0.72499999999999998</v>
      </c>
      <c r="CY27" s="18">
        <v>0</v>
      </c>
      <c r="CZ27" s="18">
        <v>0</v>
      </c>
      <c r="DA27" s="18">
        <v>0</v>
      </c>
      <c r="DB27" s="18">
        <v>0</v>
      </c>
      <c r="DC27" s="18">
        <v>0.93700000000000006</v>
      </c>
      <c r="DD27" s="18">
        <v>0</v>
      </c>
      <c r="DE27" s="18">
        <v>1.575</v>
      </c>
      <c r="DF27" s="18">
        <v>0</v>
      </c>
      <c r="DG27" s="18">
        <v>0</v>
      </c>
      <c r="DH27" s="18">
        <v>0</v>
      </c>
      <c r="DI27" s="18">
        <v>0</v>
      </c>
      <c r="DJ27" s="18">
        <v>0</v>
      </c>
      <c r="DK27" s="18">
        <v>0</v>
      </c>
      <c r="DL27" s="18">
        <v>0</v>
      </c>
      <c r="DM27" s="18">
        <v>0</v>
      </c>
      <c r="DN27" s="18">
        <v>0</v>
      </c>
      <c r="DO27" s="18">
        <v>0</v>
      </c>
      <c r="DP27" s="18">
        <v>0</v>
      </c>
      <c r="DQ27" s="18">
        <v>0</v>
      </c>
      <c r="DR27" s="18">
        <v>0</v>
      </c>
      <c r="DS27" s="18">
        <v>0</v>
      </c>
      <c r="DT27" s="18">
        <v>0.67500000000000004</v>
      </c>
      <c r="DU27" s="18">
        <v>0</v>
      </c>
      <c r="DV27" s="18">
        <v>0.37</v>
      </c>
    </row>
    <row r="28" spans="1:126" x14ac:dyDescent="0.25">
      <c r="A28" s="8">
        <v>24</v>
      </c>
      <c r="B28" s="8">
        <v>11.5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0.78</v>
      </c>
      <c r="U28" s="18">
        <v>0</v>
      </c>
      <c r="V28" s="18">
        <v>0</v>
      </c>
      <c r="W28" s="18">
        <v>1.3959999999999999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9.6000000000000002E-2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0.63400000000000001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4.9000000000000002E-2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18">
        <v>0</v>
      </c>
      <c r="CI28" s="18">
        <v>0.97099999999999997</v>
      </c>
      <c r="CJ28" s="18">
        <v>0</v>
      </c>
      <c r="CK28" s="18">
        <v>0</v>
      </c>
      <c r="CL28" s="18">
        <v>0</v>
      </c>
      <c r="CM28" s="18">
        <v>0</v>
      </c>
      <c r="CN28" s="18">
        <v>0.245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18">
        <v>0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1.0660000000000001</v>
      </c>
      <c r="DD28" s="18">
        <v>0</v>
      </c>
      <c r="DE28" s="18">
        <v>8.6999999999999994E-2</v>
      </c>
      <c r="DF28" s="18">
        <v>0</v>
      </c>
      <c r="DG28" s="18">
        <v>0</v>
      </c>
      <c r="DH28" s="18">
        <v>0</v>
      </c>
      <c r="DI28" s="18">
        <v>0</v>
      </c>
      <c r="DJ28" s="18">
        <v>0</v>
      </c>
      <c r="DK28" s="18">
        <v>0</v>
      </c>
      <c r="DL28" s="18">
        <v>0</v>
      </c>
      <c r="DM28" s="18">
        <v>0</v>
      </c>
      <c r="DN28" s="18">
        <v>0</v>
      </c>
      <c r="DO28" s="18">
        <v>0</v>
      </c>
      <c r="DP28" s="18">
        <v>0</v>
      </c>
      <c r="DQ28" s="18">
        <v>0</v>
      </c>
      <c r="DR28" s="18">
        <v>0</v>
      </c>
      <c r="DS28" s="18">
        <v>0</v>
      </c>
      <c r="DT28" s="18">
        <v>0</v>
      </c>
      <c r="DU28" s="18">
        <v>0</v>
      </c>
      <c r="DV28" s="18">
        <v>0.218</v>
      </c>
    </row>
    <row r="29" spans="1:126" x14ac:dyDescent="0.25">
      <c r="A29" s="8">
        <v>25</v>
      </c>
      <c r="B29" s="8">
        <v>12</v>
      </c>
      <c r="C29" s="18">
        <v>0</v>
      </c>
      <c r="D29" s="18">
        <v>0</v>
      </c>
      <c r="E29" s="18">
        <v>0</v>
      </c>
      <c r="F29" s="18">
        <v>1.165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0.92500000000000004</v>
      </c>
      <c r="S29" s="18">
        <v>0</v>
      </c>
      <c r="T29" s="18">
        <v>0.56200000000000006</v>
      </c>
      <c r="U29" s="18">
        <v>0</v>
      </c>
      <c r="V29" s="18">
        <v>0</v>
      </c>
      <c r="W29" s="18">
        <v>0.32600000000000001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1.075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  <c r="BR29" s="18">
        <v>0</v>
      </c>
      <c r="BS29" s="18">
        <v>0</v>
      </c>
      <c r="BT29" s="18">
        <v>0</v>
      </c>
      <c r="BU29" s="18">
        <v>0</v>
      </c>
      <c r="BV29" s="18">
        <v>0</v>
      </c>
      <c r="BW29" s="18">
        <v>0</v>
      </c>
      <c r="BX29" s="18">
        <v>0</v>
      </c>
      <c r="BY29" s="18">
        <v>0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  <c r="CE29" s="18">
        <v>0</v>
      </c>
      <c r="CF29" s="18">
        <v>0</v>
      </c>
      <c r="CG29" s="18">
        <v>0</v>
      </c>
      <c r="CH29" s="18">
        <v>0</v>
      </c>
      <c r="CI29" s="18">
        <v>1.173</v>
      </c>
      <c r="CJ29" s="18">
        <v>0</v>
      </c>
      <c r="CK29" s="18">
        <v>0</v>
      </c>
      <c r="CL29" s="18">
        <v>0</v>
      </c>
      <c r="CM29" s="18">
        <v>0</v>
      </c>
      <c r="CN29" s="18">
        <v>0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  <c r="CT29" s="18">
        <v>0</v>
      </c>
      <c r="CU29" s="18">
        <v>0</v>
      </c>
      <c r="CV29" s="18">
        <v>0</v>
      </c>
      <c r="CW29" s="18">
        <v>0</v>
      </c>
      <c r="CX29" s="18">
        <v>0</v>
      </c>
      <c r="CY29" s="18">
        <v>0</v>
      </c>
      <c r="CZ29" s="18">
        <v>0</v>
      </c>
      <c r="DA29" s="18">
        <v>0</v>
      </c>
      <c r="DB29" s="18">
        <v>0</v>
      </c>
      <c r="DC29" s="18">
        <v>0.99</v>
      </c>
      <c r="DD29" s="18">
        <v>0</v>
      </c>
      <c r="DE29" s="18">
        <v>0</v>
      </c>
      <c r="DF29" s="18">
        <v>0</v>
      </c>
      <c r="DG29" s="18">
        <v>0.219</v>
      </c>
      <c r="DH29" s="18">
        <v>0</v>
      </c>
      <c r="DI29" s="18">
        <v>0</v>
      </c>
      <c r="DJ29" s="18">
        <v>0</v>
      </c>
      <c r="DK29" s="18">
        <v>0</v>
      </c>
      <c r="DL29" s="18">
        <v>0</v>
      </c>
      <c r="DM29" s="18">
        <v>0</v>
      </c>
      <c r="DN29" s="18">
        <v>0</v>
      </c>
      <c r="DO29" s="18">
        <v>0</v>
      </c>
      <c r="DP29" s="18">
        <v>0</v>
      </c>
      <c r="DQ29" s="18">
        <v>0</v>
      </c>
      <c r="DR29" s="18">
        <v>0</v>
      </c>
      <c r="DS29" s="18">
        <v>0</v>
      </c>
      <c r="DT29" s="18">
        <v>0.185</v>
      </c>
      <c r="DU29" s="18">
        <v>0</v>
      </c>
      <c r="DV29" s="18">
        <v>0</v>
      </c>
    </row>
    <row r="30" spans="1:126" x14ac:dyDescent="0.25">
      <c r="A30" s="8">
        <v>26</v>
      </c>
      <c r="B30" s="8">
        <v>12.5</v>
      </c>
      <c r="C30" s="18">
        <v>0</v>
      </c>
      <c r="D30" s="18">
        <v>0</v>
      </c>
      <c r="E30" s="18">
        <v>0</v>
      </c>
      <c r="F30" s="18">
        <v>1.65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0.75700000000000001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4.2000000000000003E-2</v>
      </c>
      <c r="BE30" s="18">
        <v>0</v>
      </c>
      <c r="BF30" s="18">
        <v>0</v>
      </c>
      <c r="BG30" s="18">
        <v>6.0999999999999999E-2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1.0549999999999999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2.3E-2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0.67100000000000004</v>
      </c>
      <c r="DH30" s="18">
        <v>0</v>
      </c>
      <c r="DI30" s="18">
        <v>0</v>
      </c>
      <c r="DJ30" s="18">
        <v>0</v>
      </c>
      <c r="DK30" s="18">
        <v>0</v>
      </c>
      <c r="DL30" s="18">
        <v>0</v>
      </c>
      <c r="DM30" s="18">
        <v>0</v>
      </c>
      <c r="DN30" s="18">
        <v>0</v>
      </c>
      <c r="DO30" s="18">
        <v>0</v>
      </c>
      <c r="DP30" s="18">
        <v>1.7999999999999999E-2</v>
      </c>
      <c r="DQ30" s="18">
        <v>0</v>
      </c>
      <c r="DR30" s="18">
        <v>0</v>
      </c>
      <c r="DS30" s="18">
        <v>0</v>
      </c>
      <c r="DT30" s="18">
        <v>0</v>
      </c>
      <c r="DU30" s="18">
        <v>0</v>
      </c>
      <c r="DV30" s="18">
        <v>0.43099999999999999</v>
      </c>
    </row>
    <row r="31" spans="1:126" x14ac:dyDescent="0.25">
      <c r="A31" s="8">
        <v>27</v>
      </c>
      <c r="B31" s="8">
        <v>13</v>
      </c>
      <c r="C31" s="18">
        <v>0</v>
      </c>
      <c r="D31" s="18">
        <v>0</v>
      </c>
      <c r="E31" s="18">
        <v>0</v>
      </c>
      <c r="F31" s="18">
        <v>0.85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0.77600000000000002</v>
      </c>
      <c r="S31" s="18">
        <v>0</v>
      </c>
      <c r="T31" s="18">
        <v>0.78100000000000003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0.28899999999999998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1.1419999999999999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0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0</v>
      </c>
      <c r="CH31" s="18">
        <v>0</v>
      </c>
      <c r="CI31" s="18">
        <v>0</v>
      </c>
      <c r="CJ31" s="18">
        <v>0</v>
      </c>
      <c r="CK31" s="18">
        <v>0</v>
      </c>
      <c r="CL31" s="18">
        <v>0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18">
        <v>0</v>
      </c>
      <c r="CX31" s="18">
        <v>0</v>
      </c>
      <c r="CY31" s="18">
        <v>0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18">
        <v>0</v>
      </c>
      <c r="DF31" s="18">
        <v>0</v>
      </c>
      <c r="DG31" s="18">
        <v>0</v>
      </c>
      <c r="DH31" s="18">
        <v>0</v>
      </c>
      <c r="DI31" s="18">
        <v>0</v>
      </c>
      <c r="DJ31" s="18">
        <v>0</v>
      </c>
      <c r="DK31" s="18">
        <v>0</v>
      </c>
      <c r="DL31" s="18">
        <v>0</v>
      </c>
      <c r="DM31" s="18">
        <v>0</v>
      </c>
      <c r="DN31" s="18">
        <v>0</v>
      </c>
      <c r="DO31" s="18">
        <v>0</v>
      </c>
      <c r="DP31" s="18">
        <v>0</v>
      </c>
      <c r="DQ31" s="18">
        <v>0</v>
      </c>
      <c r="DR31" s="18">
        <v>0</v>
      </c>
      <c r="DS31" s="18">
        <v>0</v>
      </c>
      <c r="DT31" s="18">
        <v>0</v>
      </c>
      <c r="DU31" s="18">
        <v>0</v>
      </c>
      <c r="DV31" s="18">
        <v>0.72299999999999998</v>
      </c>
    </row>
    <row r="32" spans="1:126" x14ac:dyDescent="0.25">
      <c r="A32" s="8">
        <v>28</v>
      </c>
      <c r="B32" s="8">
        <v>13.5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0.71599999999999997</v>
      </c>
      <c r="S32" s="18">
        <v>0</v>
      </c>
      <c r="T32" s="18">
        <v>0.48799999999999999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0.36299999999999999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0</v>
      </c>
      <c r="CH32" s="18">
        <v>0</v>
      </c>
      <c r="CI32" s="18">
        <v>0</v>
      </c>
      <c r="CJ32" s="18">
        <v>0</v>
      </c>
      <c r="CK32" s="18">
        <v>0</v>
      </c>
      <c r="CL32" s="18">
        <v>0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0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18">
        <v>0</v>
      </c>
      <c r="DF32" s="18">
        <v>0</v>
      </c>
      <c r="DG32" s="18">
        <v>0</v>
      </c>
      <c r="DH32" s="18">
        <v>0</v>
      </c>
      <c r="DI32" s="18">
        <v>0</v>
      </c>
      <c r="DJ32" s="18">
        <v>0</v>
      </c>
      <c r="DK32" s="18">
        <v>0</v>
      </c>
      <c r="DL32" s="18">
        <v>0</v>
      </c>
      <c r="DM32" s="18">
        <v>0</v>
      </c>
      <c r="DN32" s="18">
        <v>0</v>
      </c>
      <c r="DO32" s="18">
        <v>0</v>
      </c>
      <c r="DP32" s="18">
        <v>0</v>
      </c>
      <c r="DQ32" s="18">
        <v>0</v>
      </c>
      <c r="DR32" s="18">
        <v>0</v>
      </c>
      <c r="DS32" s="18">
        <v>0</v>
      </c>
      <c r="DT32" s="18">
        <v>0</v>
      </c>
      <c r="DU32" s="18">
        <v>0</v>
      </c>
      <c r="DV32" s="18">
        <v>0.27700000000000002</v>
      </c>
    </row>
    <row r="33" spans="1:126" x14ac:dyDescent="0.25">
      <c r="A33" s="8">
        <v>29</v>
      </c>
      <c r="B33" s="8">
        <v>14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0.60799999999999998</v>
      </c>
      <c r="S33" s="18">
        <v>0</v>
      </c>
      <c r="T33" s="18">
        <v>0.66200000000000003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8">
        <v>0</v>
      </c>
      <c r="DH33" s="18">
        <v>0</v>
      </c>
      <c r="DI33" s="18">
        <v>0</v>
      </c>
      <c r="DJ33" s="18">
        <v>0</v>
      </c>
      <c r="DK33" s="18">
        <v>0</v>
      </c>
      <c r="DL33" s="18">
        <v>0</v>
      </c>
      <c r="DM33" s="18">
        <v>0</v>
      </c>
      <c r="DN33" s="18">
        <v>0</v>
      </c>
      <c r="DO33" s="18">
        <v>0</v>
      </c>
      <c r="DP33" s="18">
        <v>0</v>
      </c>
      <c r="DQ33" s="18">
        <v>0</v>
      </c>
      <c r="DR33" s="18">
        <v>0</v>
      </c>
      <c r="DS33" s="18">
        <v>0</v>
      </c>
      <c r="DT33" s="18">
        <v>0</v>
      </c>
      <c r="DU33" s="18">
        <v>0</v>
      </c>
      <c r="DV33" s="18">
        <v>0.65800000000000003</v>
      </c>
    </row>
    <row r="34" spans="1:126" x14ac:dyDescent="0.25">
      <c r="A34" s="8">
        <v>30</v>
      </c>
      <c r="B34" s="8">
        <v>14.5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0.85399999999999998</v>
      </c>
      <c r="S34" s="18">
        <v>0</v>
      </c>
      <c r="T34" s="18">
        <v>0.58799999999999997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0.83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1.2410000000000001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8">
        <v>0</v>
      </c>
      <c r="DK34" s="18">
        <v>0</v>
      </c>
      <c r="DL34" s="18">
        <v>0</v>
      </c>
      <c r="DM34" s="18">
        <v>0</v>
      </c>
      <c r="DN34" s="18">
        <v>0</v>
      </c>
      <c r="DO34" s="18">
        <v>0</v>
      </c>
      <c r="DP34" s="18">
        <v>0</v>
      </c>
      <c r="DQ34" s="18">
        <v>0</v>
      </c>
      <c r="DR34" s="18">
        <v>0</v>
      </c>
      <c r="DS34" s="18">
        <v>0</v>
      </c>
      <c r="DT34" s="18">
        <v>0</v>
      </c>
      <c r="DU34" s="18">
        <v>0</v>
      </c>
      <c r="DV34" s="18">
        <v>0.36299999999999999</v>
      </c>
    </row>
    <row r="35" spans="1:126" x14ac:dyDescent="0.25">
      <c r="A35" s="8">
        <v>31</v>
      </c>
      <c r="B35" s="8">
        <v>15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0.39700000000000002</v>
      </c>
      <c r="R35" s="18">
        <v>0.60599999999999998</v>
      </c>
      <c r="S35" s="18">
        <v>0</v>
      </c>
      <c r="T35" s="18">
        <v>0.374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0</v>
      </c>
      <c r="CI35" s="18">
        <v>0.437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0</v>
      </c>
      <c r="CX35" s="18">
        <v>0</v>
      </c>
      <c r="CY35" s="18">
        <v>0</v>
      </c>
      <c r="CZ35" s="18">
        <v>0</v>
      </c>
      <c r="DA35" s="18">
        <v>0</v>
      </c>
      <c r="DB35" s="18">
        <v>0</v>
      </c>
      <c r="DC35" s="18">
        <v>0</v>
      </c>
      <c r="DD35" s="18">
        <v>0</v>
      </c>
      <c r="DE35" s="18">
        <v>0</v>
      </c>
      <c r="DF35" s="18">
        <v>0</v>
      </c>
      <c r="DG35" s="18">
        <v>0</v>
      </c>
      <c r="DH35" s="18">
        <v>0</v>
      </c>
      <c r="DI35" s="18">
        <v>0</v>
      </c>
      <c r="DJ35" s="18">
        <v>0</v>
      </c>
      <c r="DK35" s="18">
        <v>0</v>
      </c>
      <c r="DL35" s="18">
        <v>0</v>
      </c>
      <c r="DM35" s="18">
        <v>0</v>
      </c>
      <c r="DN35" s="18">
        <v>0</v>
      </c>
      <c r="DO35" s="18">
        <v>0</v>
      </c>
      <c r="DP35" s="18">
        <v>0</v>
      </c>
      <c r="DQ35" s="18">
        <v>0</v>
      </c>
      <c r="DR35" s="18">
        <v>0</v>
      </c>
      <c r="DS35" s="18">
        <v>0</v>
      </c>
      <c r="DT35" s="18">
        <v>0</v>
      </c>
      <c r="DU35" s="18">
        <v>0</v>
      </c>
      <c r="DV35" s="18">
        <v>0.32100000000000001</v>
      </c>
    </row>
    <row r="36" spans="1:126" x14ac:dyDescent="0.25">
      <c r="A36" s="8">
        <v>32</v>
      </c>
      <c r="B36" s="8">
        <v>15.5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0.56999999999999995</v>
      </c>
      <c r="S36" s="18">
        <v>0</v>
      </c>
      <c r="T36" s="18">
        <v>0.56399999999999995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0.98399999999999999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0.10299999999999999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6.4000000000000001E-2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1.234</v>
      </c>
      <c r="DG36" s="18">
        <v>0</v>
      </c>
      <c r="DH36" s="18">
        <v>0</v>
      </c>
      <c r="DI36" s="18">
        <v>0</v>
      </c>
      <c r="DJ36" s="18">
        <v>0</v>
      </c>
      <c r="DK36" s="18">
        <v>0</v>
      </c>
      <c r="DL36" s="18">
        <v>0</v>
      </c>
      <c r="DM36" s="18">
        <v>0</v>
      </c>
      <c r="DN36" s="18">
        <v>0</v>
      </c>
      <c r="DO36" s="18">
        <v>0</v>
      </c>
      <c r="DP36" s="18">
        <v>0.79600000000000004</v>
      </c>
      <c r="DQ36" s="18">
        <v>0</v>
      </c>
      <c r="DR36" s="18">
        <v>0</v>
      </c>
      <c r="DS36" s="18">
        <v>0</v>
      </c>
      <c r="DT36" s="18">
        <v>6.7000000000000004E-2</v>
      </c>
      <c r="DU36" s="18">
        <v>0</v>
      </c>
      <c r="DV36" s="18">
        <v>3.1E-2</v>
      </c>
    </row>
    <row r="37" spans="1:126" x14ac:dyDescent="0.25">
      <c r="A37" s="8">
        <v>33</v>
      </c>
      <c r="B37" s="8">
        <v>16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0.497</v>
      </c>
      <c r="S37" s="18">
        <v>0</v>
      </c>
      <c r="T37" s="18">
        <v>7.1999999999999995E-2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0.49099999999999999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0.215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0</v>
      </c>
      <c r="DF37" s="18">
        <v>0</v>
      </c>
      <c r="DG37" s="18">
        <v>0</v>
      </c>
      <c r="DH37" s="18">
        <v>0</v>
      </c>
      <c r="DI37" s="18">
        <v>0</v>
      </c>
      <c r="DJ37" s="18">
        <v>0</v>
      </c>
      <c r="DK37" s="18">
        <v>0</v>
      </c>
      <c r="DL37" s="18">
        <v>0</v>
      </c>
      <c r="DM37" s="18">
        <v>0</v>
      </c>
      <c r="DN37" s="18">
        <v>0</v>
      </c>
      <c r="DO37" s="18">
        <v>0</v>
      </c>
      <c r="DP37" s="18">
        <v>2.1999999999999999E-2</v>
      </c>
      <c r="DQ37" s="18">
        <v>0</v>
      </c>
      <c r="DR37" s="18">
        <v>0</v>
      </c>
      <c r="DS37" s="18">
        <v>0</v>
      </c>
      <c r="DT37" s="18">
        <v>0</v>
      </c>
      <c r="DU37" s="18">
        <v>0</v>
      </c>
      <c r="DV37" s="18">
        <v>6.0999999999999999E-2</v>
      </c>
    </row>
    <row r="38" spans="1:126" x14ac:dyDescent="0.25">
      <c r="A38" s="8">
        <v>34</v>
      </c>
      <c r="B38" s="8">
        <v>16.5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0.28899999999999998</v>
      </c>
      <c r="S38" s="18">
        <v>0</v>
      </c>
      <c r="T38" s="18">
        <v>0.28199999999999997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0.38300000000000001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0.45800000000000002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0.25900000000000001</v>
      </c>
      <c r="DF38" s="18">
        <v>0</v>
      </c>
      <c r="DG38" s="18">
        <v>0</v>
      </c>
      <c r="DH38" s="18">
        <v>0</v>
      </c>
      <c r="DI38" s="18">
        <v>0</v>
      </c>
      <c r="DJ38" s="18">
        <v>0</v>
      </c>
      <c r="DK38" s="18">
        <v>0</v>
      </c>
      <c r="DL38" s="18">
        <v>0</v>
      </c>
      <c r="DM38" s="18">
        <v>0</v>
      </c>
      <c r="DN38" s="18">
        <v>0</v>
      </c>
      <c r="DO38" s="18">
        <v>0</v>
      </c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>
        <v>0.753</v>
      </c>
      <c r="DV38" s="18">
        <v>0</v>
      </c>
    </row>
    <row r="39" spans="1:126" x14ac:dyDescent="0.25">
      <c r="A39" s="8">
        <v>35</v>
      </c>
      <c r="B39" s="8">
        <v>17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1.4999999999999999E-2</v>
      </c>
      <c r="S39" s="18">
        <v>0</v>
      </c>
      <c r="T39" s="18">
        <v>1.2E-2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0.84099999999999997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  <c r="CF39" s="18">
        <v>0</v>
      </c>
      <c r="CG39" s="18">
        <v>0</v>
      </c>
      <c r="CH39" s="18">
        <v>0</v>
      </c>
      <c r="CI39" s="18">
        <v>0</v>
      </c>
      <c r="CJ39" s="18">
        <v>0</v>
      </c>
      <c r="CK39" s="18">
        <v>0</v>
      </c>
      <c r="CL39" s="18">
        <v>0</v>
      </c>
      <c r="CM39" s="18">
        <v>0</v>
      </c>
      <c r="CN39" s="18">
        <v>0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  <c r="CT39" s="18">
        <v>0</v>
      </c>
      <c r="CU39" s="18">
        <v>0</v>
      </c>
      <c r="CV39" s="18">
        <v>9.0999999999999998E-2</v>
      </c>
      <c r="CW39" s="18">
        <v>0</v>
      </c>
      <c r="CX39" s="18">
        <v>0</v>
      </c>
      <c r="CY39" s="18">
        <v>0</v>
      </c>
      <c r="CZ39" s="18">
        <v>0</v>
      </c>
      <c r="DA39" s="18">
        <v>0</v>
      </c>
      <c r="DB39" s="18">
        <v>0</v>
      </c>
      <c r="DC39" s="18">
        <v>0</v>
      </c>
      <c r="DD39" s="18">
        <v>0</v>
      </c>
      <c r="DE39" s="18">
        <v>0.36699999999999999</v>
      </c>
      <c r="DF39" s="18">
        <v>0</v>
      </c>
      <c r="DG39" s="18">
        <v>0</v>
      </c>
      <c r="DH39" s="18">
        <v>0</v>
      </c>
      <c r="DI39" s="18">
        <v>0</v>
      </c>
      <c r="DJ39" s="18">
        <v>0</v>
      </c>
      <c r="DK39" s="18">
        <v>0</v>
      </c>
      <c r="DL39" s="18">
        <v>0</v>
      </c>
      <c r="DM39" s="18">
        <v>0</v>
      </c>
      <c r="DN39" s="18">
        <v>0</v>
      </c>
      <c r="DO39" s="18">
        <v>0</v>
      </c>
      <c r="DP39" s="18">
        <v>0</v>
      </c>
      <c r="DQ39" s="18">
        <v>0</v>
      </c>
      <c r="DR39" s="18">
        <v>0</v>
      </c>
      <c r="DS39" s="18">
        <v>0</v>
      </c>
      <c r="DT39" s="18">
        <v>0</v>
      </c>
      <c r="DU39" s="18">
        <v>0.71499999999999997</v>
      </c>
      <c r="DV39" s="18">
        <v>0</v>
      </c>
    </row>
    <row r="40" spans="1:126" x14ac:dyDescent="0.25">
      <c r="A40" s="8">
        <v>36</v>
      </c>
      <c r="B40" s="8">
        <v>17.5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3.6999999999999998E-2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0.222</v>
      </c>
      <c r="DF40" s="18">
        <v>0</v>
      </c>
      <c r="DG40" s="18">
        <v>0</v>
      </c>
      <c r="DH40" s="18">
        <v>0</v>
      </c>
      <c r="DI40" s="18">
        <v>0</v>
      </c>
      <c r="DJ40" s="18">
        <v>0</v>
      </c>
      <c r="DK40" s="18">
        <v>0</v>
      </c>
      <c r="DL40" s="18">
        <v>0</v>
      </c>
      <c r="DM40" s="18">
        <v>0</v>
      </c>
      <c r="DN40" s="18">
        <v>0</v>
      </c>
      <c r="DO40" s="18">
        <v>0</v>
      </c>
      <c r="DP40" s="18">
        <v>0</v>
      </c>
      <c r="DQ40" s="18">
        <v>0</v>
      </c>
      <c r="DR40" s="18">
        <v>0</v>
      </c>
      <c r="DS40" s="18">
        <v>0</v>
      </c>
      <c r="DT40" s="18">
        <v>0</v>
      </c>
      <c r="DU40" s="18">
        <v>0.55800000000000005</v>
      </c>
      <c r="DV40" s="18">
        <v>0</v>
      </c>
    </row>
    <row r="41" spans="1:126" x14ac:dyDescent="0.25">
      <c r="A41" s="8">
        <v>37</v>
      </c>
      <c r="B41" s="8">
        <v>18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0.54200000000000004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1.4E-2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0.311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0.114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0.03</v>
      </c>
      <c r="DF41" s="18">
        <v>0</v>
      </c>
      <c r="DG41" s="18">
        <v>0</v>
      </c>
      <c r="DH41" s="18">
        <v>0</v>
      </c>
      <c r="DI41" s="18">
        <v>0</v>
      </c>
      <c r="DJ41" s="18">
        <v>0</v>
      </c>
      <c r="DK41" s="18">
        <v>0</v>
      </c>
      <c r="DL41" s="18">
        <v>0</v>
      </c>
      <c r="DM41" s="18">
        <v>0</v>
      </c>
      <c r="DN41" s="18">
        <v>0</v>
      </c>
      <c r="DO41" s="18">
        <v>0</v>
      </c>
      <c r="DP41" s="18">
        <v>0</v>
      </c>
      <c r="DQ41" s="18">
        <v>0</v>
      </c>
      <c r="DR41" s="18">
        <v>0</v>
      </c>
      <c r="DS41" s="18">
        <v>0</v>
      </c>
      <c r="DT41" s="18">
        <v>0</v>
      </c>
      <c r="DU41" s="18">
        <v>0.32500000000000001</v>
      </c>
      <c r="DV41" s="18">
        <v>0.157</v>
      </c>
    </row>
    <row r="42" spans="1:126" x14ac:dyDescent="0.25">
      <c r="A42" s="8">
        <v>38</v>
      </c>
      <c r="B42" s="8">
        <v>18.5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1.7000000000000001E-2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0.14499999999999999</v>
      </c>
      <c r="BZ42" s="18">
        <v>0</v>
      </c>
      <c r="CA42" s="18">
        <v>0</v>
      </c>
      <c r="CB42" s="18">
        <v>0</v>
      </c>
      <c r="CC42" s="18">
        <v>0</v>
      </c>
      <c r="CD42" s="18">
        <v>0.17599999999999999</v>
      </c>
      <c r="CE42" s="18">
        <v>0</v>
      </c>
      <c r="CF42" s="18">
        <v>0</v>
      </c>
      <c r="CG42" s="18">
        <v>0</v>
      </c>
      <c r="CH42" s="18">
        <v>0</v>
      </c>
      <c r="CI42" s="18">
        <v>0</v>
      </c>
      <c r="CJ42" s="18">
        <v>0</v>
      </c>
      <c r="CK42" s="18">
        <v>0</v>
      </c>
      <c r="CL42" s="18">
        <v>0</v>
      </c>
      <c r="CM42" s="18">
        <v>0</v>
      </c>
      <c r="CN42" s="18">
        <v>0</v>
      </c>
      <c r="CO42" s="18">
        <v>0</v>
      </c>
      <c r="CP42" s="18">
        <v>0</v>
      </c>
      <c r="CQ42" s="18">
        <v>0</v>
      </c>
      <c r="CR42" s="18">
        <v>6.8000000000000005E-2</v>
      </c>
      <c r="CS42" s="18">
        <v>0</v>
      </c>
      <c r="CT42" s="18">
        <v>3.4000000000000002E-2</v>
      </c>
      <c r="CU42" s="18">
        <v>0</v>
      </c>
      <c r="CV42" s="18">
        <v>0</v>
      </c>
      <c r="CW42" s="18">
        <v>0</v>
      </c>
      <c r="CX42" s="18">
        <v>0</v>
      </c>
      <c r="CY42" s="18">
        <v>0.436</v>
      </c>
      <c r="CZ42" s="18">
        <v>0.21</v>
      </c>
      <c r="DA42" s="18">
        <v>0</v>
      </c>
      <c r="DB42" s="18">
        <v>0</v>
      </c>
      <c r="DC42" s="18">
        <v>0</v>
      </c>
      <c r="DD42" s="18">
        <v>0</v>
      </c>
      <c r="DE42" s="18">
        <v>0</v>
      </c>
      <c r="DF42" s="18">
        <v>0</v>
      </c>
      <c r="DG42" s="18">
        <v>0</v>
      </c>
      <c r="DH42" s="18">
        <v>0</v>
      </c>
      <c r="DI42" s="18">
        <v>0</v>
      </c>
      <c r="DJ42" s="18">
        <v>0</v>
      </c>
      <c r="DK42" s="18">
        <v>0</v>
      </c>
      <c r="DL42" s="18">
        <v>0</v>
      </c>
      <c r="DM42" s="18">
        <v>0</v>
      </c>
      <c r="DN42" s="18">
        <v>0</v>
      </c>
      <c r="DO42" s="18">
        <v>0</v>
      </c>
      <c r="DP42" s="18">
        <v>0</v>
      </c>
      <c r="DQ42" s="18">
        <v>0</v>
      </c>
      <c r="DR42" s="18">
        <v>0</v>
      </c>
      <c r="DS42" s="18">
        <v>0</v>
      </c>
      <c r="DT42" s="18">
        <v>0</v>
      </c>
      <c r="DU42" s="18">
        <v>0.217</v>
      </c>
      <c r="DV42" s="18">
        <v>0</v>
      </c>
    </row>
    <row r="43" spans="1:126" x14ac:dyDescent="0.25">
      <c r="A43" s="8">
        <v>39</v>
      </c>
      <c r="B43" s="8">
        <v>19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1.6E-2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8.3000000000000004E-2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0</v>
      </c>
      <c r="BV43" s="18">
        <v>0</v>
      </c>
      <c r="BW43" s="18">
        <v>0</v>
      </c>
      <c r="BX43" s="18">
        <v>0</v>
      </c>
      <c r="BY43" s="18">
        <v>0</v>
      </c>
      <c r="BZ43" s="18">
        <v>0</v>
      </c>
      <c r="CA43" s="18">
        <v>0</v>
      </c>
      <c r="CB43" s="18">
        <v>0</v>
      </c>
      <c r="CC43" s="18">
        <v>0</v>
      </c>
      <c r="CD43" s="18">
        <v>0</v>
      </c>
      <c r="CE43" s="18">
        <v>0</v>
      </c>
      <c r="CF43" s="18">
        <v>0</v>
      </c>
      <c r="CG43" s="18">
        <v>0</v>
      </c>
      <c r="CH43" s="18">
        <v>0</v>
      </c>
      <c r="CI43" s="18">
        <v>0</v>
      </c>
      <c r="CJ43" s="18">
        <v>0</v>
      </c>
      <c r="CK43" s="18">
        <v>0.13900000000000001</v>
      </c>
      <c r="CL43" s="18">
        <v>0</v>
      </c>
      <c r="CM43" s="18">
        <v>0</v>
      </c>
      <c r="CN43" s="18">
        <v>2.8000000000000001E-2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  <c r="CT43" s="18">
        <v>0</v>
      </c>
      <c r="CU43" s="18">
        <v>0</v>
      </c>
      <c r="CV43" s="18">
        <v>0</v>
      </c>
      <c r="CW43" s="18">
        <v>2.5000000000000001E-2</v>
      </c>
      <c r="CX43" s="18">
        <v>0</v>
      </c>
      <c r="CY43" s="18">
        <v>0</v>
      </c>
      <c r="CZ43" s="18">
        <v>8.1000000000000003E-2</v>
      </c>
      <c r="DA43" s="18">
        <v>0</v>
      </c>
      <c r="DB43" s="18">
        <v>0</v>
      </c>
      <c r="DC43" s="18">
        <v>0</v>
      </c>
      <c r="DD43" s="18">
        <v>0.14199999999999999</v>
      </c>
      <c r="DE43" s="18">
        <v>0</v>
      </c>
      <c r="DF43" s="18">
        <v>0</v>
      </c>
      <c r="DG43" s="18">
        <v>0</v>
      </c>
      <c r="DH43" s="18">
        <v>0</v>
      </c>
      <c r="DI43" s="18">
        <v>0</v>
      </c>
      <c r="DJ43" s="18">
        <v>0</v>
      </c>
      <c r="DK43" s="18">
        <v>0</v>
      </c>
      <c r="DL43" s="18">
        <v>0</v>
      </c>
      <c r="DM43" s="18">
        <v>0</v>
      </c>
      <c r="DN43" s="18">
        <v>0</v>
      </c>
      <c r="DO43" s="18">
        <v>0</v>
      </c>
      <c r="DP43" s="18">
        <v>0</v>
      </c>
      <c r="DQ43" s="18">
        <v>0</v>
      </c>
      <c r="DR43" s="18">
        <v>0</v>
      </c>
      <c r="DS43" s="18">
        <v>0</v>
      </c>
      <c r="DT43" s="18">
        <v>0</v>
      </c>
      <c r="DU43" s="18">
        <v>0.129</v>
      </c>
      <c r="DV43" s="18">
        <v>0</v>
      </c>
    </row>
    <row r="44" spans="1:126" x14ac:dyDescent="0.25">
      <c r="A44" s="8">
        <v>40</v>
      </c>
      <c r="B44" s="8">
        <v>19.5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2.8000000000000001E-2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1.2E-2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1.2E-2</v>
      </c>
      <c r="DQ44" s="18">
        <v>0</v>
      </c>
      <c r="DR44" s="18">
        <v>0</v>
      </c>
      <c r="DS44" s="18">
        <v>0</v>
      </c>
      <c r="DT44" s="18">
        <v>0</v>
      </c>
      <c r="DU44" s="18">
        <v>0</v>
      </c>
      <c r="DV44" s="18">
        <v>0</v>
      </c>
    </row>
    <row r="45" spans="1:126" x14ac:dyDescent="0.25">
      <c r="A45" s="8">
        <v>41</v>
      </c>
      <c r="B45" s="8">
        <v>20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0</v>
      </c>
      <c r="BV45" s="18">
        <v>0</v>
      </c>
      <c r="BW45" s="18">
        <v>0</v>
      </c>
      <c r="BX45" s="18">
        <v>0</v>
      </c>
      <c r="BY45" s="18">
        <v>0</v>
      </c>
      <c r="BZ45" s="18">
        <v>0</v>
      </c>
      <c r="CA45" s="18">
        <v>0</v>
      </c>
      <c r="CB45" s="18">
        <v>0</v>
      </c>
      <c r="CC45" s="18">
        <v>0</v>
      </c>
      <c r="CD45" s="18">
        <v>0</v>
      </c>
      <c r="CE45" s="18">
        <v>0</v>
      </c>
      <c r="CF45" s="18">
        <v>0</v>
      </c>
      <c r="CG45" s="18">
        <v>0</v>
      </c>
      <c r="CH45" s="18">
        <v>0</v>
      </c>
      <c r="CI45" s="18">
        <v>0</v>
      </c>
      <c r="CJ45" s="18">
        <v>0</v>
      </c>
      <c r="CK45" s="18">
        <v>0</v>
      </c>
      <c r="CL45" s="18">
        <v>0</v>
      </c>
      <c r="CM45" s="18">
        <v>0</v>
      </c>
      <c r="CN45" s="18">
        <v>0</v>
      </c>
      <c r="CO45" s="18">
        <v>0</v>
      </c>
      <c r="CP45" s="18">
        <v>0</v>
      </c>
      <c r="CQ45" s="18">
        <v>0</v>
      </c>
      <c r="CR45" s="18">
        <v>0</v>
      </c>
      <c r="CS45" s="18">
        <v>0</v>
      </c>
      <c r="CT45" s="18">
        <v>0</v>
      </c>
      <c r="CU45" s="18">
        <v>0</v>
      </c>
      <c r="CV45" s="18">
        <v>0</v>
      </c>
      <c r="CW45" s="18">
        <v>0</v>
      </c>
      <c r="CX45" s="18">
        <v>0</v>
      </c>
      <c r="CY45" s="18">
        <v>0</v>
      </c>
      <c r="CZ45" s="18">
        <v>0</v>
      </c>
      <c r="DA45" s="18">
        <v>0</v>
      </c>
      <c r="DB45" s="18">
        <v>0</v>
      </c>
      <c r="DC45" s="18">
        <v>0</v>
      </c>
      <c r="DD45" s="18">
        <v>0</v>
      </c>
      <c r="DE45" s="18">
        <v>0</v>
      </c>
      <c r="DF45" s="18">
        <v>0</v>
      </c>
      <c r="DG45" s="18">
        <v>0</v>
      </c>
      <c r="DH45" s="18">
        <v>0</v>
      </c>
      <c r="DI45" s="18">
        <v>0</v>
      </c>
      <c r="DJ45" s="18">
        <v>0</v>
      </c>
      <c r="DK45" s="18">
        <v>0</v>
      </c>
      <c r="DL45" s="18">
        <v>0</v>
      </c>
      <c r="DM45" s="18">
        <v>0</v>
      </c>
      <c r="DN45" s="18">
        <v>0</v>
      </c>
      <c r="DO45" s="18">
        <v>0</v>
      </c>
      <c r="DP45" s="18">
        <v>0</v>
      </c>
      <c r="DQ45" s="18">
        <v>0</v>
      </c>
      <c r="DR45" s="18">
        <v>0</v>
      </c>
      <c r="DS45" s="18">
        <v>0</v>
      </c>
      <c r="DT45" s="18">
        <v>0</v>
      </c>
      <c r="DU45" s="18">
        <v>0</v>
      </c>
      <c r="DV45" s="18">
        <v>0</v>
      </c>
    </row>
    <row r="46" spans="1:126" x14ac:dyDescent="0.25">
      <c r="A46" s="8">
        <v>42</v>
      </c>
      <c r="B46" s="8">
        <v>20.5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8">
        <v>0</v>
      </c>
      <c r="DI46" s="18">
        <v>0</v>
      </c>
      <c r="DJ46" s="18">
        <v>0</v>
      </c>
      <c r="DK46" s="18">
        <v>0</v>
      </c>
      <c r="DL46" s="18">
        <v>0</v>
      </c>
      <c r="DM46" s="18">
        <v>0</v>
      </c>
      <c r="DN46" s="18">
        <v>0</v>
      </c>
      <c r="DO46" s="18">
        <v>0</v>
      </c>
      <c r="DP46" s="18">
        <v>0</v>
      </c>
      <c r="DQ46" s="18">
        <v>0</v>
      </c>
      <c r="DR46" s="18">
        <v>0</v>
      </c>
      <c r="DS46" s="18">
        <v>0</v>
      </c>
      <c r="DT46" s="18">
        <v>0</v>
      </c>
      <c r="DU46" s="18">
        <v>0</v>
      </c>
      <c r="DV46" s="18">
        <v>0</v>
      </c>
    </row>
    <row r="47" spans="1:126" x14ac:dyDescent="0.25">
      <c r="A47" s="8">
        <v>43</v>
      </c>
      <c r="B47" s="8">
        <v>21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0</v>
      </c>
      <c r="DF47" s="18">
        <v>0</v>
      </c>
      <c r="DG47" s="18">
        <v>0</v>
      </c>
      <c r="DH47" s="18">
        <v>0</v>
      </c>
      <c r="DI47" s="18">
        <v>0</v>
      </c>
      <c r="DJ47" s="18">
        <v>0</v>
      </c>
      <c r="DK47" s="18">
        <v>0</v>
      </c>
      <c r="DL47" s="18">
        <v>0</v>
      </c>
      <c r="DM47" s="18">
        <v>0</v>
      </c>
      <c r="DN47" s="18">
        <v>0</v>
      </c>
      <c r="DO47" s="18">
        <v>0</v>
      </c>
      <c r="DP47" s="18">
        <v>0</v>
      </c>
      <c r="DQ47" s="18">
        <v>0</v>
      </c>
      <c r="DR47" s="18">
        <v>0</v>
      </c>
      <c r="DS47" s="18">
        <v>0</v>
      </c>
      <c r="DT47" s="18">
        <v>0</v>
      </c>
      <c r="DU47" s="18">
        <v>0</v>
      </c>
      <c r="DV47" s="18">
        <v>0</v>
      </c>
    </row>
    <row r="48" spans="1:126" x14ac:dyDescent="0.25">
      <c r="A48" s="8">
        <v>44</v>
      </c>
      <c r="B48" s="8">
        <v>21.5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>
        <v>0</v>
      </c>
      <c r="BX48" s="18">
        <v>0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18">
        <v>0</v>
      </c>
      <c r="CH48" s="18">
        <v>0</v>
      </c>
      <c r="CI48" s="18">
        <v>0</v>
      </c>
      <c r="CJ48" s="18">
        <v>0</v>
      </c>
      <c r="CK48" s="18">
        <v>0</v>
      </c>
      <c r="CL48" s="18">
        <v>0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0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0</v>
      </c>
      <c r="DF48" s="18">
        <v>0</v>
      </c>
      <c r="DG48" s="18">
        <v>0</v>
      </c>
      <c r="DH48" s="18">
        <v>0</v>
      </c>
      <c r="DI48" s="18">
        <v>0</v>
      </c>
      <c r="DJ48" s="18">
        <v>0</v>
      </c>
      <c r="DK48" s="18">
        <v>0</v>
      </c>
      <c r="DL48" s="18">
        <v>0</v>
      </c>
      <c r="DM48" s="18">
        <v>0</v>
      </c>
      <c r="DN48" s="18">
        <v>0</v>
      </c>
      <c r="DO48" s="18">
        <v>0</v>
      </c>
      <c r="DP48" s="18">
        <v>0</v>
      </c>
      <c r="DQ48" s="18">
        <v>0</v>
      </c>
      <c r="DR48" s="18">
        <v>0</v>
      </c>
      <c r="DS48" s="18">
        <v>0</v>
      </c>
      <c r="DT48" s="18">
        <v>0</v>
      </c>
      <c r="DU48" s="18">
        <v>0</v>
      </c>
      <c r="DV48" s="18">
        <v>0</v>
      </c>
    </row>
    <row r="49" spans="1:126" x14ac:dyDescent="0.25">
      <c r="A49" s="8">
        <v>45</v>
      </c>
      <c r="B49" s="8">
        <v>22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0</v>
      </c>
      <c r="BV49" s="18">
        <v>0</v>
      </c>
      <c r="BW49" s="18">
        <v>0</v>
      </c>
      <c r="BX49" s="18">
        <v>0</v>
      </c>
      <c r="BY49" s="18">
        <v>0</v>
      </c>
      <c r="BZ49" s="18">
        <v>0</v>
      </c>
      <c r="CA49" s="18">
        <v>0</v>
      </c>
      <c r="CB49" s="18">
        <v>0</v>
      </c>
      <c r="CC49" s="18">
        <v>0</v>
      </c>
      <c r="CD49" s="18">
        <v>0</v>
      </c>
      <c r="CE49" s="18">
        <v>0</v>
      </c>
      <c r="CF49" s="18">
        <v>0</v>
      </c>
      <c r="CG49" s="18">
        <v>0</v>
      </c>
      <c r="CH49" s="18">
        <v>0</v>
      </c>
      <c r="CI49" s="18">
        <v>0</v>
      </c>
      <c r="CJ49" s="18">
        <v>0</v>
      </c>
      <c r="CK49" s="18">
        <v>0</v>
      </c>
      <c r="CL49" s="18">
        <v>0</v>
      </c>
      <c r="CM49" s="18">
        <v>0</v>
      </c>
      <c r="CN49" s="18">
        <v>0</v>
      </c>
      <c r="CO49" s="18">
        <v>0</v>
      </c>
      <c r="CP49" s="18">
        <v>0</v>
      </c>
      <c r="CQ49" s="18">
        <v>0</v>
      </c>
      <c r="CR49" s="18">
        <v>0</v>
      </c>
      <c r="CS49" s="18">
        <v>0</v>
      </c>
      <c r="CT49" s="18">
        <v>0</v>
      </c>
      <c r="CU49" s="18">
        <v>0</v>
      </c>
      <c r="CV49" s="18">
        <v>0</v>
      </c>
      <c r="CW49" s="18">
        <v>0</v>
      </c>
      <c r="CX49" s="18">
        <v>0</v>
      </c>
      <c r="CY49" s="18">
        <v>0</v>
      </c>
      <c r="CZ49" s="18">
        <v>0</v>
      </c>
      <c r="DA49" s="18">
        <v>0</v>
      </c>
      <c r="DB49" s="18">
        <v>0</v>
      </c>
      <c r="DC49" s="18">
        <v>0</v>
      </c>
      <c r="DD49" s="18">
        <v>0</v>
      </c>
      <c r="DE49" s="18">
        <v>0</v>
      </c>
      <c r="DF49" s="18">
        <v>0</v>
      </c>
      <c r="DG49" s="18">
        <v>0</v>
      </c>
      <c r="DH49" s="18">
        <v>0</v>
      </c>
      <c r="DI49" s="18">
        <v>0</v>
      </c>
      <c r="DJ49" s="18">
        <v>0</v>
      </c>
      <c r="DK49" s="18">
        <v>0</v>
      </c>
      <c r="DL49" s="18">
        <v>0</v>
      </c>
      <c r="DM49" s="18">
        <v>0</v>
      </c>
      <c r="DN49" s="18">
        <v>0</v>
      </c>
      <c r="DO49" s="18">
        <v>0</v>
      </c>
      <c r="DP49" s="18">
        <v>0</v>
      </c>
      <c r="DQ49" s="18">
        <v>0</v>
      </c>
      <c r="DR49" s="18">
        <v>0</v>
      </c>
      <c r="DS49" s="18">
        <v>0</v>
      </c>
      <c r="DT49" s="18">
        <v>0</v>
      </c>
      <c r="DU49" s="18">
        <v>0</v>
      </c>
      <c r="DV49" s="18">
        <v>0</v>
      </c>
    </row>
    <row r="50" spans="1:126" x14ac:dyDescent="0.25">
      <c r="A50" s="8">
        <v>46</v>
      </c>
      <c r="B50" s="8">
        <v>22.5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</row>
    <row r="51" spans="1:126" x14ac:dyDescent="0.25">
      <c r="A51" s="8">
        <v>47</v>
      </c>
      <c r="B51" s="8">
        <v>23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>
        <v>0</v>
      </c>
      <c r="CA51" s="18">
        <v>0</v>
      </c>
      <c r="CB51" s="18">
        <v>0</v>
      </c>
      <c r="CC51" s="18">
        <v>0</v>
      </c>
      <c r="CD51" s="18">
        <v>0</v>
      </c>
      <c r="CE51" s="18">
        <v>0</v>
      </c>
      <c r="CF51" s="18">
        <v>0</v>
      </c>
      <c r="CG51" s="18">
        <v>0</v>
      </c>
      <c r="CH51" s="18">
        <v>0</v>
      </c>
      <c r="CI51" s="18">
        <v>0</v>
      </c>
      <c r="CJ51" s="18">
        <v>0</v>
      </c>
      <c r="CK51" s="18">
        <v>0</v>
      </c>
      <c r="CL51" s="18">
        <v>0</v>
      </c>
      <c r="CM51" s="18">
        <v>0</v>
      </c>
      <c r="CN51" s="18">
        <v>0</v>
      </c>
      <c r="CO51" s="18">
        <v>0</v>
      </c>
      <c r="CP51" s="18">
        <v>0</v>
      </c>
      <c r="CQ51" s="18">
        <v>0</v>
      </c>
      <c r="CR51" s="18">
        <v>0</v>
      </c>
      <c r="CS51" s="18">
        <v>0</v>
      </c>
      <c r="CT51" s="18">
        <v>0</v>
      </c>
      <c r="CU51" s="18">
        <v>0</v>
      </c>
      <c r="CV51" s="18">
        <v>0</v>
      </c>
      <c r="CW51" s="18">
        <v>0</v>
      </c>
      <c r="CX51" s="18">
        <v>0</v>
      </c>
      <c r="CY51" s="18">
        <v>0</v>
      </c>
      <c r="CZ51" s="18">
        <v>0</v>
      </c>
      <c r="DA51" s="18">
        <v>0</v>
      </c>
      <c r="DB51" s="18">
        <v>0</v>
      </c>
      <c r="DC51" s="18">
        <v>0</v>
      </c>
      <c r="DD51" s="18">
        <v>0</v>
      </c>
      <c r="DE51" s="18">
        <v>0</v>
      </c>
      <c r="DF51" s="18">
        <v>0</v>
      </c>
      <c r="DG51" s="18">
        <v>0</v>
      </c>
      <c r="DH51" s="18">
        <v>0</v>
      </c>
      <c r="DI51" s="18">
        <v>0</v>
      </c>
      <c r="DJ51" s="18">
        <v>0</v>
      </c>
      <c r="DK51" s="18">
        <v>0</v>
      </c>
      <c r="DL51" s="18">
        <v>0</v>
      </c>
      <c r="DM51" s="18">
        <v>0</v>
      </c>
      <c r="DN51" s="18">
        <v>0</v>
      </c>
      <c r="DO51" s="18">
        <v>0</v>
      </c>
      <c r="DP51" s="18">
        <v>0</v>
      </c>
      <c r="DQ51" s="18">
        <v>0</v>
      </c>
      <c r="DR51" s="18">
        <v>0</v>
      </c>
      <c r="DS51" s="18">
        <v>0</v>
      </c>
      <c r="DT51" s="18">
        <v>0</v>
      </c>
      <c r="DU51" s="18">
        <v>0</v>
      </c>
      <c r="DV51" s="18">
        <v>0</v>
      </c>
    </row>
    <row r="52" spans="1:126" x14ac:dyDescent="0.25">
      <c r="A52" s="8">
        <v>48</v>
      </c>
      <c r="B52" s="8">
        <v>23.5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18">
        <v>0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  <c r="BZ52" s="18">
        <v>0</v>
      </c>
      <c r="CA52" s="18">
        <v>0</v>
      </c>
      <c r="CB52" s="18">
        <v>0</v>
      </c>
      <c r="CC52" s="18">
        <v>0</v>
      </c>
      <c r="CD52" s="18">
        <v>0</v>
      </c>
      <c r="CE52" s="18">
        <v>0</v>
      </c>
      <c r="CF52" s="18">
        <v>0</v>
      </c>
      <c r="CG52" s="18">
        <v>0</v>
      </c>
      <c r="CH52" s="18">
        <v>0</v>
      </c>
      <c r="CI52" s="18">
        <v>0</v>
      </c>
      <c r="CJ52" s="18">
        <v>0</v>
      </c>
      <c r="CK52" s="18">
        <v>0</v>
      </c>
      <c r="CL52" s="18">
        <v>0</v>
      </c>
      <c r="CM52" s="18">
        <v>0</v>
      </c>
      <c r="CN52" s="18">
        <v>0</v>
      </c>
      <c r="CO52" s="18">
        <v>0</v>
      </c>
      <c r="CP52" s="18">
        <v>0</v>
      </c>
      <c r="CQ52" s="18">
        <v>0</v>
      </c>
      <c r="CR52" s="18">
        <v>0</v>
      </c>
      <c r="CS52" s="18">
        <v>0</v>
      </c>
      <c r="CT52" s="18">
        <v>0</v>
      </c>
      <c r="CU52" s="18">
        <v>0</v>
      </c>
      <c r="CV52" s="18">
        <v>0</v>
      </c>
      <c r="CW52" s="18">
        <v>0</v>
      </c>
      <c r="CX52" s="18">
        <v>0</v>
      </c>
      <c r="CY52" s="18">
        <v>0</v>
      </c>
      <c r="CZ52" s="18">
        <v>0</v>
      </c>
      <c r="DA52" s="18">
        <v>0</v>
      </c>
      <c r="DB52" s="18">
        <v>0</v>
      </c>
      <c r="DC52" s="18">
        <v>0</v>
      </c>
      <c r="DD52" s="18">
        <v>0</v>
      </c>
      <c r="DE52" s="18">
        <v>0</v>
      </c>
      <c r="DF52" s="18">
        <v>0</v>
      </c>
      <c r="DG52" s="18">
        <v>0</v>
      </c>
      <c r="DH52" s="18">
        <v>0</v>
      </c>
      <c r="DI52" s="18">
        <v>0</v>
      </c>
      <c r="DJ52" s="18">
        <v>0</v>
      </c>
      <c r="DK52" s="18">
        <v>0</v>
      </c>
      <c r="DL52" s="18">
        <v>0</v>
      </c>
      <c r="DM52" s="18">
        <v>0</v>
      </c>
      <c r="DN52" s="18">
        <v>0</v>
      </c>
      <c r="DO52" s="18">
        <v>0</v>
      </c>
      <c r="DP52" s="18">
        <v>0</v>
      </c>
      <c r="DQ52" s="18">
        <v>0</v>
      </c>
      <c r="DR52" s="18">
        <v>0</v>
      </c>
      <c r="DS52" s="18">
        <v>0</v>
      </c>
      <c r="DT52" s="18">
        <v>0</v>
      </c>
      <c r="DU52" s="18">
        <v>0</v>
      </c>
      <c r="DV52" s="18">
        <v>0</v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V5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6" customWidth="1"/>
    <col min="3" max="126" width="13" customWidth="1"/>
  </cols>
  <sheetData>
    <row r="1" spans="1:126" ht="19.5" x14ac:dyDescent="0.3">
      <c r="A1" s="1" t="s">
        <v>837</v>
      </c>
    </row>
    <row r="2" spans="1:126" x14ac:dyDescent="0.25">
      <c r="A2" s="29" t="s">
        <v>838</v>
      </c>
      <c r="B2" s="27"/>
      <c r="C2" s="27"/>
      <c r="D2" s="27"/>
      <c r="E2" s="27"/>
      <c r="F2" s="27"/>
      <c r="G2" s="27"/>
      <c r="H2" s="27"/>
    </row>
    <row r="4" spans="1:126" ht="25.5" x14ac:dyDescent="0.25">
      <c r="A4" s="5" t="s">
        <v>711</v>
      </c>
      <c r="B4" s="5" t="s">
        <v>712</v>
      </c>
      <c r="C4" s="5" t="s">
        <v>713</v>
      </c>
      <c r="D4" s="5" t="s">
        <v>714</v>
      </c>
      <c r="E4" s="5" t="s">
        <v>715</v>
      </c>
      <c r="F4" s="5" t="s">
        <v>716</v>
      </c>
      <c r="G4" s="5" t="s">
        <v>717</v>
      </c>
      <c r="H4" s="5" t="s">
        <v>718</v>
      </c>
      <c r="I4" s="5" t="s">
        <v>719</v>
      </c>
      <c r="J4" s="5" t="s">
        <v>720</v>
      </c>
      <c r="K4" s="5" t="s">
        <v>721</v>
      </c>
      <c r="L4" s="5" t="s">
        <v>722</v>
      </c>
      <c r="M4" s="5" t="s">
        <v>723</v>
      </c>
      <c r="N4" s="5" t="s">
        <v>724</v>
      </c>
      <c r="O4" s="5" t="s">
        <v>725</v>
      </c>
      <c r="P4" s="5" t="s">
        <v>726</v>
      </c>
      <c r="Q4" s="5" t="s">
        <v>727</v>
      </c>
      <c r="R4" s="5" t="s">
        <v>728</v>
      </c>
      <c r="S4" s="5" t="s">
        <v>729</v>
      </c>
      <c r="T4" s="5" t="s">
        <v>730</v>
      </c>
      <c r="U4" s="5" t="s">
        <v>731</v>
      </c>
      <c r="V4" s="5" t="s">
        <v>732</v>
      </c>
      <c r="W4" s="5" t="s">
        <v>733</v>
      </c>
      <c r="X4" s="5" t="s">
        <v>734</v>
      </c>
      <c r="Y4" s="5" t="s">
        <v>735</v>
      </c>
      <c r="Z4" s="5" t="s">
        <v>736</v>
      </c>
      <c r="AA4" s="5" t="s">
        <v>737</v>
      </c>
      <c r="AB4" s="5" t="s">
        <v>738</v>
      </c>
      <c r="AC4" s="5" t="s">
        <v>739</v>
      </c>
      <c r="AD4" s="5" t="s">
        <v>740</v>
      </c>
      <c r="AE4" s="5" t="s">
        <v>741</v>
      </c>
      <c r="AF4" s="5" t="s">
        <v>742</v>
      </c>
      <c r="AG4" s="5" t="s">
        <v>743</v>
      </c>
      <c r="AH4" s="5" t="s">
        <v>744</v>
      </c>
      <c r="AI4" s="5" t="s">
        <v>745</v>
      </c>
      <c r="AJ4" s="5" t="s">
        <v>746</v>
      </c>
      <c r="AK4" s="5" t="s">
        <v>747</v>
      </c>
      <c r="AL4" s="5" t="s">
        <v>748</v>
      </c>
      <c r="AM4" s="5" t="s">
        <v>749</v>
      </c>
      <c r="AN4" s="5" t="s">
        <v>750</v>
      </c>
      <c r="AO4" s="5" t="s">
        <v>751</v>
      </c>
      <c r="AP4" s="5" t="s">
        <v>752</v>
      </c>
      <c r="AQ4" s="5" t="s">
        <v>753</v>
      </c>
      <c r="AR4" s="5" t="s">
        <v>754</v>
      </c>
      <c r="AS4" s="5" t="s">
        <v>755</v>
      </c>
      <c r="AT4" s="5" t="s">
        <v>756</v>
      </c>
      <c r="AU4" s="5" t="s">
        <v>757</v>
      </c>
      <c r="AV4" s="5" t="s">
        <v>758</v>
      </c>
      <c r="AW4" s="5" t="s">
        <v>759</v>
      </c>
      <c r="AX4" s="5" t="s">
        <v>760</v>
      </c>
      <c r="AY4" s="5" t="s">
        <v>761</v>
      </c>
      <c r="AZ4" s="5" t="s">
        <v>762</v>
      </c>
      <c r="BA4" s="5" t="s">
        <v>763</v>
      </c>
      <c r="BB4" s="5" t="s">
        <v>764</v>
      </c>
      <c r="BC4" s="5" t="s">
        <v>765</v>
      </c>
      <c r="BD4" s="5" t="s">
        <v>766</v>
      </c>
      <c r="BE4" s="5" t="s">
        <v>767</v>
      </c>
      <c r="BF4" s="5" t="s">
        <v>768</v>
      </c>
      <c r="BG4" s="5" t="s">
        <v>769</v>
      </c>
      <c r="BH4" s="5" t="s">
        <v>770</v>
      </c>
      <c r="BI4" s="5" t="s">
        <v>771</v>
      </c>
      <c r="BJ4" s="5" t="s">
        <v>772</v>
      </c>
      <c r="BK4" s="5" t="s">
        <v>773</v>
      </c>
      <c r="BL4" s="5" t="s">
        <v>774</v>
      </c>
      <c r="BM4" s="5" t="s">
        <v>775</v>
      </c>
      <c r="BN4" s="5" t="s">
        <v>776</v>
      </c>
      <c r="BO4" s="5" t="s">
        <v>777</v>
      </c>
      <c r="BP4" s="5" t="s">
        <v>778</v>
      </c>
      <c r="BQ4" s="5" t="s">
        <v>779</v>
      </c>
      <c r="BR4" s="5" t="s">
        <v>780</v>
      </c>
      <c r="BS4" s="5" t="s">
        <v>781</v>
      </c>
      <c r="BT4" s="5" t="s">
        <v>782</v>
      </c>
      <c r="BU4" s="5" t="s">
        <v>783</v>
      </c>
      <c r="BV4" s="5" t="s">
        <v>784</v>
      </c>
      <c r="BW4" s="5" t="s">
        <v>785</v>
      </c>
      <c r="BX4" s="5" t="s">
        <v>786</v>
      </c>
      <c r="BY4" s="5" t="s">
        <v>787</v>
      </c>
      <c r="BZ4" s="5" t="s">
        <v>788</v>
      </c>
      <c r="CA4" s="5" t="s">
        <v>789</v>
      </c>
      <c r="CB4" s="5" t="s">
        <v>790</v>
      </c>
      <c r="CC4" s="5" t="s">
        <v>791</v>
      </c>
      <c r="CD4" s="5" t="s">
        <v>792</v>
      </c>
      <c r="CE4" s="5" t="s">
        <v>793</v>
      </c>
      <c r="CF4" s="5" t="s">
        <v>794</v>
      </c>
      <c r="CG4" s="5" t="s">
        <v>795</v>
      </c>
      <c r="CH4" s="5" t="s">
        <v>796</v>
      </c>
      <c r="CI4" s="5" t="s">
        <v>797</v>
      </c>
      <c r="CJ4" s="5" t="s">
        <v>798</v>
      </c>
      <c r="CK4" s="5" t="s">
        <v>799</v>
      </c>
      <c r="CL4" s="5" t="s">
        <v>800</v>
      </c>
      <c r="CM4" s="5" t="s">
        <v>801</v>
      </c>
      <c r="CN4" s="5" t="s">
        <v>802</v>
      </c>
      <c r="CO4" s="5" t="s">
        <v>803</v>
      </c>
      <c r="CP4" s="5" t="s">
        <v>804</v>
      </c>
      <c r="CQ4" s="5" t="s">
        <v>805</v>
      </c>
      <c r="CR4" s="5" t="s">
        <v>806</v>
      </c>
      <c r="CS4" s="5" t="s">
        <v>807</v>
      </c>
      <c r="CT4" s="5" t="s">
        <v>808</v>
      </c>
      <c r="CU4" s="5" t="s">
        <v>809</v>
      </c>
      <c r="CV4" s="5" t="s">
        <v>810</v>
      </c>
      <c r="CW4" s="5" t="s">
        <v>811</v>
      </c>
      <c r="CX4" s="5" t="s">
        <v>812</v>
      </c>
      <c r="CY4" s="5" t="s">
        <v>813</v>
      </c>
      <c r="CZ4" s="5" t="s">
        <v>814</v>
      </c>
      <c r="DA4" s="5" t="s">
        <v>815</v>
      </c>
      <c r="DB4" s="5" t="s">
        <v>816</v>
      </c>
      <c r="DC4" s="5" t="s">
        <v>817</v>
      </c>
      <c r="DD4" s="5" t="s">
        <v>818</v>
      </c>
      <c r="DE4" s="5" t="s">
        <v>819</v>
      </c>
      <c r="DF4" s="5" t="s">
        <v>820</v>
      </c>
      <c r="DG4" s="5" t="s">
        <v>821</v>
      </c>
      <c r="DH4" s="5" t="s">
        <v>822</v>
      </c>
      <c r="DI4" s="5" t="s">
        <v>823</v>
      </c>
      <c r="DJ4" s="5" t="s">
        <v>824</v>
      </c>
      <c r="DK4" s="5" t="s">
        <v>825</v>
      </c>
      <c r="DL4" s="5" t="s">
        <v>826</v>
      </c>
      <c r="DM4" s="5" t="s">
        <v>827</v>
      </c>
      <c r="DN4" s="5" t="s">
        <v>828</v>
      </c>
      <c r="DO4" s="5" t="s">
        <v>829</v>
      </c>
      <c r="DP4" s="5" t="s">
        <v>830</v>
      </c>
      <c r="DQ4" s="5" t="s">
        <v>831</v>
      </c>
      <c r="DR4" s="5" t="s">
        <v>832</v>
      </c>
      <c r="DS4" s="5" t="s">
        <v>833</v>
      </c>
      <c r="DT4" s="5" t="s">
        <v>834</v>
      </c>
      <c r="DU4" s="5" t="s">
        <v>835</v>
      </c>
      <c r="DV4" s="5" t="s">
        <v>836</v>
      </c>
    </row>
    <row r="5" spans="1:126" x14ac:dyDescent="0.25">
      <c r="A5" s="8">
        <v>1</v>
      </c>
      <c r="B5" s="8">
        <v>0</v>
      </c>
      <c r="C5" s="18">
        <v>9.8000000000000004E-2</v>
      </c>
      <c r="D5" s="18">
        <v>4.9000000000000002E-2</v>
      </c>
      <c r="E5" s="18">
        <v>5.5E-2</v>
      </c>
      <c r="F5" s="18">
        <v>5.8999999999999997E-2</v>
      </c>
      <c r="G5" s="18">
        <v>4.7E-2</v>
      </c>
      <c r="H5" s="18">
        <v>0.15</v>
      </c>
      <c r="I5" s="18">
        <v>0.13200000000000001</v>
      </c>
      <c r="J5" s="18">
        <v>0.255</v>
      </c>
      <c r="K5" s="18">
        <v>0.17799999999999999</v>
      </c>
      <c r="L5" s="18">
        <v>0.159</v>
      </c>
      <c r="M5" s="18">
        <v>0.16600000000000001</v>
      </c>
      <c r="N5" s="18">
        <v>0.223</v>
      </c>
      <c r="O5" s="18">
        <v>0.53</v>
      </c>
      <c r="P5" s="18">
        <v>0.18</v>
      </c>
      <c r="Q5" s="18">
        <v>7.4999999999999997E-2</v>
      </c>
      <c r="R5" s="18">
        <v>0.59299999999999997</v>
      </c>
      <c r="S5" s="18">
        <v>0.96099999999999997</v>
      </c>
      <c r="T5" s="18">
        <v>0.183</v>
      </c>
      <c r="U5" s="18">
        <v>7.2999999999999995E-2</v>
      </c>
      <c r="V5" s="18">
        <v>0.23400000000000001</v>
      </c>
      <c r="W5" s="18">
        <v>0.22800000000000001</v>
      </c>
      <c r="X5" s="18">
        <v>5.7000000000000002E-2</v>
      </c>
      <c r="Y5" s="18">
        <v>3.1E-2</v>
      </c>
      <c r="Z5" s="18">
        <v>5.5E-2</v>
      </c>
      <c r="AA5" s="18">
        <v>6.4000000000000001E-2</v>
      </c>
      <c r="AB5" s="18">
        <v>0.192</v>
      </c>
      <c r="AC5" s="18">
        <v>0.186</v>
      </c>
      <c r="AD5" s="18">
        <v>0.25600000000000001</v>
      </c>
      <c r="AE5" s="18">
        <v>0.56000000000000005</v>
      </c>
      <c r="AF5" s="18">
        <v>0.221</v>
      </c>
      <c r="AG5" s="18">
        <v>0.378</v>
      </c>
      <c r="AH5" s="18">
        <v>0.48399999999999999</v>
      </c>
      <c r="AI5" s="18">
        <v>0.06</v>
      </c>
      <c r="AJ5" s="18">
        <v>0.183</v>
      </c>
      <c r="AK5" s="18">
        <v>0.13</v>
      </c>
      <c r="AL5" s="18">
        <v>4.4999999999999998E-2</v>
      </c>
      <c r="AM5" s="18">
        <v>7.9000000000000001E-2</v>
      </c>
      <c r="AN5" s="18">
        <v>0.107</v>
      </c>
      <c r="AO5" s="18">
        <v>0.1</v>
      </c>
      <c r="AP5" s="18">
        <v>4.5999999999999999E-2</v>
      </c>
      <c r="AQ5" s="18">
        <v>0.129</v>
      </c>
      <c r="AR5" s="18">
        <v>2.391</v>
      </c>
      <c r="AS5" s="18">
        <v>9.5000000000000001E-2</v>
      </c>
      <c r="AT5" s="18">
        <v>0.04</v>
      </c>
      <c r="AU5" s="18">
        <v>0.13300000000000001</v>
      </c>
      <c r="AV5" s="18">
        <v>0.19700000000000001</v>
      </c>
      <c r="AW5" s="18">
        <v>0.06</v>
      </c>
      <c r="AX5" s="18">
        <v>5.8999999999999997E-2</v>
      </c>
      <c r="AY5" s="18">
        <v>0.112</v>
      </c>
      <c r="AZ5" s="18">
        <v>0.52600000000000002</v>
      </c>
      <c r="BA5" s="18">
        <v>0.36499999999999999</v>
      </c>
      <c r="BB5" s="18">
        <v>0.218</v>
      </c>
      <c r="BC5" s="18">
        <v>0.03</v>
      </c>
      <c r="BD5" s="18">
        <v>0.29299999999999998</v>
      </c>
      <c r="BE5" s="18">
        <v>0.124</v>
      </c>
      <c r="BF5" s="18">
        <v>0.55300000000000005</v>
      </c>
      <c r="BG5" s="18">
        <v>0.26300000000000001</v>
      </c>
      <c r="BH5" s="18">
        <v>0.17899999999999999</v>
      </c>
      <c r="BI5" s="18">
        <v>0.22700000000000001</v>
      </c>
      <c r="BJ5" s="18">
        <v>8.8999999999999996E-2</v>
      </c>
      <c r="BK5" s="18">
        <v>0.123</v>
      </c>
      <c r="BL5" s="18">
        <v>7.8E-2</v>
      </c>
      <c r="BM5" s="18">
        <v>0.153</v>
      </c>
      <c r="BN5" s="18">
        <v>0.184</v>
      </c>
      <c r="BO5" s="18">
        <v>1.946</v>
      </c>
      <c r="BP5" s="18">
        <v>0.05</v>
      </c>
      <c r="BQ5" s="18">
        <v>0.36299999999999999</v>
      </c>
      <c r="BR5" s="18">
        <v>6.7000000000000004E-2</v>
      </c>
      <c r="BS5" s="18">
        <v>0.42599999999999999</v>
      </c>
      <c r="BT5" s="18">
        <v>0.22600000000000001</v>
      </c>
      <c r="BU5" s="18">
        <v>0.16800000000000001</v>
      </c>
      <c r="BV5" s="18">
        <v>4.8000000000000001E-2</v>
      </c>
      <c r="BW5" s="18">
        <v>0.115</v>
      </c>
      <c r="BX5" s="18">
        <v>0.126</v>
      </c>
      <c r="BY5" s="18">
        <v>0.27100000000000002</v>
      </c>
      <c r="BZ5" s="18">
        <v>4.2999999999999997E-2</v>
      </c>
      <c r="CA5" s="18">
        <v>5.7000000000000002E-2</v>
      </c>
      <c r="CB5" s="18">
        <v>0.16200000000000001</v>
      </c>
      <c r="CC5" s="18">
        <v>0.20499999999999999</v>
      </c>
      <c r="CD5" s="18">
        <v>0.11899999999999999</v>
      </c>
      <c r="CE5" s="18">
        <v>4.5999999999999999E-2</v>
      </c>
      <c r="CF5" s="18">
        <v>0.67800000000000005</v>
      </c>
      <c r="CG5" s="18">
        <v>0.21299999999999999</v>
      </c>
      <c r="CH5" s="18">
        <v>0.19</v>
      </c>
      <c r="CI5" s="18">
        <v>0.11799999999999999</v>
      </c>
      <c r="CJ5" s="18">
        <v>0.307</v>
      </c>
      <c r="CK5" s="18">
        <v>0.217</v>
      </c>
      <c r="CL5" s="18">
        <v>0.05</v>
      </c>
      <c r="CM5" s="18">
        <v>0.05</v>
      </c>
      <c r="CN5" s="18">
        <v>0.14899999999999999</v>
      </c>
      <c r="CO5" s="18">
        <v>0.19500000000000001</v>
      </c>
      <c r="CP5" s="18">
        <v>4.9000000000000002E-2</v>
      </c>
      <c r="CQ5" s="18">
        <v>1.5649999999999999</v>
      </c>
      <c r="CR5" s="18">
        <v>4.1000000000000002E-2</v>
      </c>
      <c r="CS5" s="18">
        <v>0.45100000000000001</v>
      </c>
      <c r="CT5" s="18">
        <v>0.155</v>
      </c>
      <c r="CU5" s="18">
        <v>1.492</v>
      </c>
      <c r="CV5" s="18">
        <v>5.3999999999999999E-2</v>
      </c>
      <c r="CW5" s="18">
        <v>0.04</v>
      </c>
      <c r="CX5" s="18">
        <v>5.8000000000000003E-2</v>
      </c>
      <c r="CY5" s="18">
        <v>0.09</v>
      </c>
      <c r="CZ5" s="18">
        <v>0.125</v>
      </c>
      <c r="DA5" s="18">
        <v>5.7000000000000002E-2</v>
      </c>
      <c r="DB5" s="18">
        <v>0.1</v>
      </c>
      <c r="DC5" s="18">
        <v>0.315</v>
      </c>
      <c r="DD5" s="18">
        <v>4.2000000000000003E-2</v>
      </c>
      <c r="DE5" s="18">
        <v>0.155</v>
      </c>
      <c r="DF5" s="18">
        <v>0.71899999999999997</v>
      </c>
      <c r="DG5" s="18">
        <v>5.8000000000000003E-2</v>
      </c>
      <c r="DH5" s="18">
        <v>0.05</v>
      </c>
      <c r="DI5" s="18">
        <v>0.23499999999999999</v>
      </c>
      <c r="DJ5" s="18">
        <v>0.27300000000000002</v>
      </c>
      <c r="DK5" s="18">
        <v>0.156</v>
      </c>
      <c r="DL5" s="18">
        <v>0.16700000000000001</v>
      </c>
      <c r="DM5" s="18">
        <v>0.16700000000000001</v>
      </c>
      <c r="DN5" s="18">
        <v>3.4000000000000002E-2</v>
      </c>
      <c r="DO5" s="18">
        <v>3.7999999999999999E-2</v>
      </c>
      <c r="DP5" s="18">
        <v>0.17799999999999999</v>
      </c>
      <c r="DQ5" s="18">
        <v>0.14499999999999999</v>
      </c>
      <c r="DR5" s="18">
        <v>0.36699999999999999</v>
      </c>
      <c r="DS5" s="18">
        <v>0.75700000000000001</v>
      </c>
      <c r="DT5" s="18">
        <v>0.17799999999999999</v>
      </c>
      <c r="DU5" s="18">
        <v>0.16700000000000001</v>
      </c>
      <c r="DV5" s="18">
        <v>0.09</v>
      </c>
    </row>
    <row r="6" spans="1:126" x14ac:dyDescent="0.25">
      <c r="A6" s="8">
        <v>2</v>
      </c>
      <c r="B6" s="8">
        <v>0.5</v>
      </c>
      <c r="C6" s="18">
        <v>4.2999999999999997E-2</v>
      </c>
      <c r="D6" s="18">
        <v>0.23899999999999999</v>
      </c>
      <c r="E6" s="18">
        <v>0.126</v>
      </c>
      <c r="F6" s="18">
        <v>5.8999999999999997E-2</v>
      </c>
      <c r="G6" s="18">
        <v>4.7E-2</v>
      </c>
      <c r="H6" s="18">
        <v>0.108</v>
      </c>
      <c r="I6" s="18">
        <v>0.24399999999999999</v>
      </c>
      <c r="J6" s="18">
        <v>3.1E-2</v>
      </c>
      <c r="K6" s="18">
        <v>0.17699999999999999</v>
      </c>
      <c r="L6" s="18">
        <v>5.0999999999999997E-2</v>
      </c>
      <c r="M6" s="18">
        <v>4.8000000000000001E-2</v>
      </c>
      <c r="N6" s="18">
        <v>0.185</v>
      </c>
      <c r="O6" s="18">
        <v>0.72699999999999998</v>
      </c>
      <c r="P6" s="18">
        <v>4.4999999999999998E-2</v>
      </c>
      <c r="Q6" s="18">
        <v>0.13100000000000001</v>
      </c>
      <c r="R6" s="18">
        <v>0.38300000000000001</v>
      </c>
      <c r="S6" s="18">
        <v>0.81899999999999995</v>
      </c>
      <c r="T6" s="18">
        <v>0.24</v>
      </c>
      <c r="U6" s="18">
        <v>0.12</v>
      </c>
      <c r="V6" s="18">
        <v>0.13600000000000001</v>
      </c>
      <c r="W6" s="18">
        <v>4.8000000000000001E-2</v>
      </c>
      <c r="X6" s="18">
        <v>5.7000000000000002E-2</v>
      </c>
      <c r="Y6" s="18">
        <v>0.127</v>
      </c>
      <c r="Z6" s="18">
        <v>5.5E-2</v>
      </c>
      <c r="AA6" s="18">
        <v>0.155</v>
      </c>
      <c r="AB6" s="18">
        <v>0.218</v>
      </c>
      <c r="AC6" s="18">
        <v>0.127</v>
      </c>
      <c r="AD6" s="18">
        <v>9.5000000000000001E-2</v>
      </c>
      <c r="AE6" s="18">
        <v>0.53400000000000003</v>
      </c>
      <c r="AF6" s="18">
        <v>0.05</v>
      </c>
      <c r="AG6" s="18">
        <v>0.38200000000000001</v>
      </c>
      <c r="AH6" s="18">
        <v>0.50600000000000001</v>
      </c>
      <c r="AI6" s="18">
        <v>0.30299999999999999</v>
      </c>
      <c r="AJ6" s="18">
        <v>5.0999999999999997E-2</v>
      </c>
      <c r="AK6" s="18">
        <v>0.13</v>
      </c>
      <c r="AL6" s="18">
        <v>4.4999999999999998E-2</v>
      </c>
      <c r="AM6" s="18">
        <v>0.28799999999999998</v>
      </c>
      <c r="AN6" s="18">
        <v>4.7E-2</v>
      </c>
      <c r="AO6" s="18">
        <v>0.33100000000000002</v>
      </c>
      <c r="AP6" s="18">
        <v>4.5999999999999999E-2</v>
      </c>
      <c r="AQ6" s="18">
        <v>5.2999999999999999E-2</v>
      </c>
      <c r="AR6" s="18">
        <v>0</v>
      </c>
      <c r="AS6" s="18">
        <v>0.104</v>
      </c>
      <c r="AT6" s="18">
        <v>0.109</v>
      </c>
      <c r="AU6" s="18">
        <v>0.05</v>
      </c>
      <c r="AV6" s="18">
        <v>5.5E-2</v>
      </c>
      <c r="AW6" s="18">
        <v>0.06</v>
      </c>
      <c r="AX6" s="18">
        <v>0.17299999999999999</v>
      </c>
      <c r="AY6" s="18">
        <v>8.2000000000000003E-2</v>
      </c>
      <c r="AZ6" s="18">
        <v>0.44700000000000001</v>
      </c>
      <c r="BA6" s="18">
        <v>3.9E-2</v>
      </c>
      <c r="BB6" s="18">
        <v>8.1000000000000003E-2</v>
      </c>
      <c r="BC6" s="18">
        <v>0.161</v>
      </c>
      <c r="BD6" s="18">
        <v>8.7999999999999995E-2</v>
      </c>
      <c r="BE6" s="18">
        <v>0.14000000000000001</v>
      </c>
      <c r="BF6" s="18">
        <v>0.13500000000000001</v>
      </c>
      <c r="BG6" s="18">
        <v>5.5E-2</v>
      </c>
      <c r="BH6" s="18">
        <v>7.9000000000000001E-2</v>
      </c>
      <c r="BI6" s="18">
        <v>7.0000000000000007E-2</v>
      </c>
      <c r="BJ6" s="18">
        <v>0.08</v>
      </c>
      <c r="BK6" s="18">
        <v>0.23200000000000001</v>
      </c>
      <c r="BL6" s="18">
        <v>0.123</v>
      </c>
      <c r="BM6" s="18">
        <v>0.16800000000000001</v>
      </c>
      <c r="BN6" s="18">
        <v>6.8000000000000005E-2</v>
      </c>
      <c r="BO6" s="18">
        <v>0.44500000000000001</v>
      </c>
      <c r="BP6" s="18">
        <v>0.05</v>
      </c>
      <c r="BQ6" s="18">
        <v>3.6999999999999998E-2</v>
      </c>
      <c r="BR6" s="18">
        <v>0.29199999999999998</v>
      </c>
      <c r="BS6" s="18">
        <v>5.8999999999999997E-2</v>
      </c>
      <c r="BT6" s="18">
        <v>5.2999999999999999E-2</v>
      </c>
      <c r="BU6" s="18">
        <v>5.6000000000000001E-2</v>
      </c>
      <c r="BV6" s="18">
        <v>4.8000000000000001E-2</v>
      </c>
      <c r="BW6" s="18">
        <v>0.05</v>
      </c>
      <c r="BX6" s="18">
        <v>5.0999999999999997E-2</v>
      </c>
      <c r="BY6" s="18">
        <v>8.4000000000000005E-2</v>
      </c>
      <c r="BZ6" s="18">
        <v>0.21099999999999999</v>
      </c>
      <c r="CA6" s="18">
        <v>5.7000000000000002E-2</v>
      </c>
      <c r="CB6" s="18">
        <v>0.14000000000000001</v>
      </c>
      <c r="CC6" s="18">
        <v>5.1999999999999998E-2</v>
      </c>
      <c r="CD6" s="18">
        <v>5.2999999999999999E-2</v>
      </c>
      <c r="CE6" s="18">
        <v>4.5999999999999999E-2</v>
      </c>
      <c r="CF6" s="18">
        <v>0.29699999999999999</v>
      </c>
      <c r="CG6" s="18">
        <v>0.28399999999999997</v>
      </c>
      <c r="CH6" s="18">
        <v>4.7E-2</v>
      </c>
      <c r="CI6" s="18">
        <v>0.22700000000000001</v>
      </c>
      <c r="CJ6" s="18">
        <v>4.9000000000000002E-2</v>
      </c>
      <c r="CK6" s="18">
        <v>0.189</v>
      </c>
      <c r="CL6" s="18">
        <v>0.05</v>
      </c>
      <c r="CM6" s="18">
        <v>0.129</v>
      </c>
      <c r="CN6" s="18">
        <v>0.14299999999999999</v>
      </c>
      <c r="CO6" s="18">
        <v>0.155</v>
      </c>
      <c r="CP6" s="18">
        <v>0.11</v>
      </c>
      <c r="CQ6" s="18">
        <v>5.8000000000000003E-2</v>
      </c>
      <c r="CR6" s="18">
        <v>0.22900000000000001</v>
      </c>
      <c r="CS6" s="18">
        <v>0.32300000000000001</v>
      </c>
      <c r="CT6" s="18">
        <v>4.7E-2</v>
      </c>
      <c r="CU6" s="18">
        <v>0.19800000000000001</v>
      </c>
      <c r="CV6" s="18">
        <v>0.188</v>
      </c>
      <c r="CW6" s="18">
        <v>9.6000000000000002E-2</v>
      </c>
      <c r="CX6" s="18">
        <v>0.30299999999999999</v>
      </c>
      <c r="CY6" s="18">
        <v>3.4000000000000002E-2</v>
      </c>
      <c r="CZ6" s="18">
        <v>5.1999999999999998E-2</v>
      </c>
      <c r="DA6" s="18">
        <v>5.7000000000000002E-2</v>
      </c>
      <c r="DB6" s="18">
        <v>3.9E-2</v>
      </c>
      <c r="DC6" s="18">
        <v>9.2999999999999999E-2</v>
      </c>
      <c r="DD6" s="18">
        <v>0.115</v>
      </c>
      <c r="DE6" s="18">
        <v>0.183</v>
      </c>
      <c r="DF6" s="18">
        <v>0.50800000000000001</v>
      </c>
      <c r="DG6" s="18">
        <v>5.8000000000000003E-2</v>
      </c>
      <c r="DH6" s="18">
        <v>0.121</v>
      </c>
      <c r="DI6" s="18">
        <v>0.20300000000000001</v>
      </c>
      <c r="DJ6" s="18">
        <v>0.25</v>
      </c>
      <c r="DK6" s="18">
        <v>5.3999999999999999E-2</v>
      </c>
      <c r="DL6" s="18">
        <v>0.26200000000000001</v>
      </c>
      <c r="DM6" s="18">
        <v>0.129</v>
      </c>
      <c r="DN6" s="18">
        <v>3.4000000000000002E-2</v>
      </c>
      <c r="DO6" s="18">
        <v>0.13800000000000001</v>
      </c>
      <c r="DP6" s="18">
        <v>0.10100000000000001</v>
      </c>
      <c r="DQ6" s="18">
        <v>4.7E-2</v>
      </c>
      <c r="DR6" s="18">
        <v>0.44700000000000001</v>
      </c>
      <c r="DS6" s="18">
        <v>1.6339999999999999</v>
      </c>
      <c r="DT6" s="18">
        <v>5.1999999999999998E-2</v>
      </c>
      <c r="DU6" s="18">
        <v>6.7000000000000004E-2</v>
      </c>
      <c r="DV6" s="18">
        <v>4.9000000000000002E-2</v>
      </c>
    </row>
    <row r="7" spans="1:126" x14ac:dyDescent="0.25">
      <c r="A7" s="8">
        <v>3</v>
      </c>
      <c r="B7" s="8">
        <v>1</v>
      </c>
      <c r="C7" s="18">
        <v>0.18</v>
      </c>
      <c r="D7" s="18">
        <v>4.9000000000000002E-2</v>
      </c>
      <c r="E7" s="18">
        <v>6.3E-2</v>
      </c>
      <c r="F7" s="18">
        <v>5.8999999999999997E-2</v>
      </c>
      <c r="G7" s="18">
        <v>4.7E-2</v>
      </c>
      <c r="H7" s="18">
        <v>9.8000000000000004E-2</v>
      </c>
      <c r="I7" s="18">
        <v>5.2999999999999999E-2</v>
      </c>
      <c r="J7" s="18">
        <v>3.1E-2</v>
      </c>
      <c r="K7" s="18">
        <v>8.1000000000000003E-2</v>
      </c>
      <c r="L7" s="18">
        <v>0.17799999999999999</v>
      </c>
      <c r="M7" s="18">
        <v>0.16600000000000001</v>
      </c>
      <c r="N7" s="18">
        <v>4.7E-2</v>
      </c>
      <c r="O7" s="18">
        <v>0.129</v>
      </c>
      <c r="P7" s="18">
        <v>0.22</v>
      </c>
      <c r="Q7" s="18">
        <v>0.17399999999999999</v>
      </c>
      <c r="R7" s="18">
        <v>0.55900000000000005</v>
      </c>
      <c r="S7" s="18">
        <v>0.61099999999999999</v>
      </c>
      <c r="T7" s="18">
        <v>0.152</v>
      </c>
      <c r="U7" s="18">
        <v>9.0999999999999998E-2</v>
      </c>
      <c r="V7" s="18">
        <v>5.8999999999999997E-2</v>
      </c>
      <c r="W7" s="18">
        <v>0.22700000000000001</v>
      </c>
      <c r="X7" s="18">
        <v>5.7000000000000002E-2</v>
      </c>
      <c r="Y7" s="18">
        <v>4.8000000000000001E-2</v>
      </c>
      <c r="Z7" s="18">
        <v>0.214</v>
      </c>
      <c r="AA7" s="18">
        <v>5.2999999999999999E-2</v>
      </c>
      <c r="AB7" s="18">
        <v>0.08</v>
      </c>
      <c r="AC7" s="18">
        <v>0.05</v>
      </c>
      <c r="AD7" s="18">
        <v>5.0999999999999997E-2</v>
      </c>
      <c r="AE7" s="18">
        <v>5.5E-2</v>
      </c>
      <c r="AF7" s="18">
        <v>0.21299999999999999</v>
      </c>
      <c r="AG7" s="18">
        <v>6.0999999999999999E-2</v>
      </c>
      <c r="AH7" s="18">
        <v>0.38400000000000001</v>
      </c>
      <c r="AI7" s="18">
        <v>0.10100000000000001</v>
      </c>
      <c r="AJ7" s="18">
        <v>6.7000000000000004E-2</v>
      </c>
      <c r="AK7" s="18">
        <v>0.112</v>
      </c>
      <c r="AL7" s="18">
        <v>0.06</v>
      </c>
      <c r="AM7" s="18">
        <v>0.05</v>
      </c>
      <c r="AN7" s="18">
        <v>0.16</v>
      </c>
      <c r="AO7" s="18">
        <v>5.8000000000000003E-2</v>
      </c>
      <c r="AP7" s="18">
        <v>4.5999999999999999E-2</v>
      </c>
      <c r="AQ7" s="18">
        <v>0.12</v>
      </c>
      <c r="AR7" s="18">
        <v>0</v>
      </c>
      <c r="AS7" s="18">
        <v>5.8000000000000003E-2</v>
      </c>
      <c r="AT7" s="18">
        <v>0.16500000000000001</v>
      </c>
      <c r="AU7" s="18">
        <v>8.5999999999999993E-2</v>
      </c>
      <c r="AV7" s="18">
        <v>0.38800000000000001</v>
      </c>
      <c r="AW7" s="18">
        <v>0.06</v>
      </c>
      <c r="AX7" s="18">
        <v>0.16600000000000001</v>
      </c>
      <c r="AY7" s="18">
        <v>4.8000000000000001E-2</v>
      </c>
      <c r="AZ7" s="18">
        <v>5.1999999999999998E-2</v>
      </c>
      <c r="BA7" s="18">
        <v>3.9E-2</v>
      </c>
      <c r="BB7" s="18">
        <v>0.128</v>
      </c>
      <c r="BC7" s="18">
        <v>0.03</v>
      </c>
      <c r="BD7" s="18">
        <v>0.19800000000000001</v>
      </c>
      <c r="BE7" s="18">
        <v>0.18</v>
      </c>
      <c r="BF7" s="18">
        <v>0.18</v>
      </c>
      <c r="BG7" s="18">
        <v>0.245</v>
      </c>
      <c r="BH7" s="18">
        <v>5.7000000000000002E-2</v>
      </c>
      <c r="BI7" s="18">
        <v>0.14799999999999999</v>
      </c>
      <c r="BJ7" s="18">
        <v>0.08</v>
      </c>
      <c r="BK7" s="18">
        <v>5.6000000000000001E-2</v>
      </c>
      <c r="BL7" s="18">
        <v>5.0999999999999997E-2</v>
      </c>
      <c r="BM7" s="18">
        <v>8.5000000000000006E-2</v>
      </c>
      <c r="BN7" s="18">
        <v>0.24399999999999999</v>
      </c>
      <c r="BO7" s="18">
        <v>0</v>
      </c>
      <c r="BP7" s="18">
        <v>0.05</v>
      </c>
      <c r="BQ7" s="18">
        <v>3.6999999999999998E-2</v>
      </c>
      <c r="BR7" s="18">
        <v>5.2999999999999999E-2</v>
      </c>
      <c r="BS7" s="18">
        <v>0.219</v>
      </c>
      <c r="BT7" s="18">
        <v>0.123</v>
      </c>
      <c r="BU7" s="18">
        <v>5.6000000000000001E-2</v>
      </c>
      <c r="BV7" s="18">
        <v>4.8000000000000001E-2</v>
      </c>
      <c r="BW7" s="18">
        <v>0.33200000000000002</v>
      </c>
      <c r="BX7" s="18">
        <v>5.5E-2</v>
      </c>
      <c r="BY7" s="18">
        <v>0.184</v>
      </c>
      <c r="BZ7" s="18">
        <v>4.2999999999999997E-2</v>
      </c>
      <c r="CA7" s="18">
        <v>5.7000000000000002E-2</v>
      </c>
      <c r="CB7" s="18">
        <v>0.193</v>
      </c>
      <c r="CC7" s="18">
        <v>0.19800000000000001</v>
      </c>
      <c r="CD7" s="18">
        <v>0.30599999999999999</v>
      </c>
      <c r="CE7" s="18">
        <v>4.5999999999999999E-2</v>
      </c>
      <c r="CF7" s="18">
        <v>0.13300000000000001</v>
      </c>
      <c r="CG7" s="18">
        <v>0.13500000000000001</v>
      </c>
      <c r="CH7" s="18">
        <v>0.17699999999999999</v>
      </c>
      <c r="CI7" s="18">
        <v>5.0999999999999997E-2</v>
      </c>
      <c r="CJ7" s="18">
        <v>0.182</v>
      </c>
      <c r="CK7" s="18">
        <v>4.9000000000000002E-2</v>
      </c>
      <c r="CL7" s="18">
        <v>0.05</v>
      </c>
      <c r="CM7" s="18">
        <v>0.19500000000000001</v>
      </c>
      <c r="CN7" s="18">
        <v>4.1000000000000002E-2</v>
      </c>
      <c r="CO7" s="18">
        <v>5.1999999999999998E-2</v>
      </c>
      <c r="CP7" s="18">
        <v>4.9000000000000002E-2</v>
      </c>
      <c r="CQ7" s="18">
        <v>0.10100000000000001</v>
      </c>
      <c r="CR7" s="18">
        <v>7.2999999999999995E-2</v>
      </c>
      <c r="CS7" s="18">
        <v>0.27300000000000002</v>
      </c>
      <c r="CT7" s="18">
        <v>4.7E-2</v>
      </c>
      <c r="CU7" s="18">
        <v>5.3999999999999999E-2</v>
      </c>
      <c r="CV7" s="18">
        <v>5.3999999999999999E-2</v>
      </c>
      <c r="CW7" s="18">
        <v>0.159</v>
      </c>
      <c r="CX7" s="18">
        <v>0.1</v>
      </c>
      <c r="CY7" s="18">
        <v>3.4000000000000002E-2</v>
      </c>
      <c r="CZ7" s="18">
        <v>0.125</v>
      </c>
      <c r="DA7" s="18">
        <v>5.7000000000000002E-2</v>
      </c>
      <c r="DB7" s="18">
        <v>0.161</v>
      </c>
      <c r="DC7" s="18">
        <v>9.2999999999999999E-2</v>
      </c>
      <c r="DD7" s="18">
        <v>4.2000000000000003E-2</v>
      </c>
      <c r="DE7" s="18">
        <v>5.6000000000000001E-2</v>
      </c>
      <c r="DF7" s="18">
        <v>0.50600000000000001</v>
      </c>
      <c r="DG7" s="18">
        <v>0.161</v>
      </c>
      <c r="DH7" s="18">
        <v>0.10299999999999999</v>
      </c>
      <c r="DI7" s="18">
        <v>0.1</v>
      </c>
      <c r="DJ7" s="18">
        <v>0.16700000000000001</v>
      </c>
      <c r="DK7" s="18">
        <v>5.3999999999999999E-2</v>
      </c>
      <c r="DL7" s="18">
        <v>0.188</v>
      </c>
      <c r="DM7" s="18">
        <v>0.05</v>
      </c>
      <c r="DN7" s="18">
        <v>0.151</v>
      </c>
      <c r="DO7" s="18">
        <v>8.4000000000000005E-2</v>
      </c>
      <c r="DP7" s="18">
        <v>0.128</v>
      </c>
      <c r="DQ7" s="18">
        <v>0.114</v>
      </c>
      <c r="DR7" s="18">
        <v>0.17199999999999999</v>
      </c>
      <c r="DS7" s="18">
        <v>0</v>
      </c>
      <c r="DT7" s="18">
        <v>0.20599999999999999</v>
      </c>
      <c r="DU7" s="18">
        <v>5.5E-2</v>
      </c>
      <c r="DV7" s="18">
        <v>0.221</v>
      </c>
    </row>
    <row r="8" spans="1:126" x14ac:dyDescent="0.25">
      <c r="A8" s="8">
        <v>4</v>
      </c>
      <c r="B8" s="8">
        <v>1.5</v>
      </c>
      <c r="C8" s="18">
        <v>4.2999999999999997E-2</v>
      </c>
      <c r="D8" s="18">
        <v>0.20399999999999999</v>
      </c>
      <c r="E8" s="18">
        <v>5.0999999999999997E-2</v>
      </c>
      <c r="F8" s="18">
        <v>5.8999999999999997E-2</v>
      </c>
      <c r="G8" s="18">
        <v>4.7E-2</v>
      </c>
      <c r="H8" s="18">
        <v>0.108</v>
      </c>
      <c r="I8" s="18">
        <v>0.18099999999999999</v>
      </c>
      <c r="J8" s="18">
        <v>0.16800000000000001</v>
      </c>
      <c r="K8" s="18">
        <v>0.17799999999999999</v>
      </c>
      <c r="L8" s="18">
        <v>5.0999999999999997E-2</v>
      </c>
      <c r="M8" s="18">
        <v>4.8000000000000001E-2</v>
      </c>
      <c r="N8" s="18">
        <v>9.2999999999999999E-2</v>
      </c>
      <c r="O8" s="18">
        <v>0.152</v>
      </c>
      <c r="P8" s="18">
        <v>0.121</v>
      </c>
      <c r="Q8" s="18">
        <v>0.13</v>
      </c>
      <c r="R8" s="18">
        <v>0.26200000000000001</v>
      </c>
      <c r="S8" s="18">
        <v>0</v>
      </c>
      <c r="T8" s="18">
        <v>0.223</v>
      </c>
      <c r="U8" s="18">
        <v>0.16800000000000001</v>
      </c>
      <c r="V8" s="18">
        <v>0.2</v>
      </c>
      <c r="W8" s="18">
        <v>0.17</v>
      </c>
      <c r="X8" s="18">
        <v>0.17499999999999999</v>
      </c>
      <c r="Y8" s="18">
        <v>8.2000000000000003E-2</v>
      </c>
      <c r="Z8" s="18">
        <v>5.5E-2</v>
      </c>
      <c r="AA8" s="18">
        <v>5.2999999999999999E-2</v>
      </c>
      <c r="AB8" s="18">
        <v>0.30599999999999999</v>
      </c>
      <c r="AC8" s="18">
        <v>0.14899999999999999</v>
      </c>
      <c r="AD8" s="18">
        <v>0.3</v>
      </c>
      <c r="AE8" s="18">
        <v>5.5E-2</v>
      </c>
      <c r="AF8" s="18">
        <v>5.8000000000000003E-2</v>
      </c>
      <c r="AG8" s="18">
        <v>0.22500000000000001</v>
      </c>
      <c r="AH8" s="18">
        <v>0.16700000000000001</v>
      </c>
      <c r="AI8" s="18">
        <v>0.126</v>
      </c>
      <c r="AJ8" s="18">
        <v>0.20699999999999999</v>
      </c>
      <c r="AK8" s="18">
        <v>0.107</v>
      </c>
      <c r="AL8" s="18">
        <v>0.19600000000000001</v>
      </c>
      <c r="AM8" s="18">
        <v>0.05</v>
      </c>
      <c r="AN8" s="18">
        <v>0.1</v>
      </c>
      <c r="AO8" s="18">
        <v>0.22600000000000001</v>
      </c>
      <c r="AP8" s="18">
        <v>4.5999999999999999E-2</v>
      </c>
      <c r="AQ8" s="18">
        <v>6.0999999999999999E-2</v>
      </c>
      <c r="AR8" s="18">
        <v>0</v>
      </c>
      <c r="AS8" s="18">
        <v>0.13200000000000001</v>
      </c>
      <c r="AT8" s="18">
        <v>6.3E-2</v>
      </c>
      <c r="AU8" s="18">
        <v>0.11700000000000001</v>
      </c>
      <c r="AV8" s="18">
        <v>7.0000000000000007E-2</v>
      </c>
      <c r="AW8" s="18">
        <v>0.06</v>
      </c>
      <c r="AX8" s="18">
        <v>0.17299999999999999</v>
      </c>
      <c r="AY8" s="18">
        <v>0.11899999999999999</v>
      </c>
      <c r="AZ8" s="18">
        <v>5.1999999999999998E-2</v>
      </c>
      <c r="BA8" s="18">
        <v>3.9E-2</v>
      </c>
      <c r="BB8" s="18">
        <v>0.17399999999999999</v>
      </c>
      <c r="BC8" s="18">
        <v>0.161</v>
      </c>
      <c r="BD8" s="18">
        <v>5.8000000000000003E-2</v>
      </c>
      <c r="BE8" s="18">
        <v>0.14000000000000001</v>
      </c>
      <c r="BF8" s="18">
        <v>0.18099999999999999</v>
      </c>
      <c r="BG8" s="18">
        <v>6.5000000000000002E-2</v>
      </c>
      <c r="BH8" s="18">
        <v>0.20100000000000001</v>
      </c>
      <c r="BI8" s="18">
        <v>0.14799999999999999</v>
      </c>
      <c r="BJ8" s="18">
        <v>0.10100000000000001</v>
      </c>
      <c r="BK8" s="18">
        <v>0.113</v>
      </c>
      <c r="BL8" s="18">
        <v>0.23100000000000001</v>
      </c>
      <c r="BM8" s="18">
        <v>0.29499999999999998</v>
      </c>
      <c r="BN8" s="18">
        <v>5.5E-2</v>
      </c>
      <c r="BO8" s="18">
        <v>0</v>
      </c>
      <c r="BP8" s="18">
        <v>0.05</v>
      </c>
      <c r="BQ8" s="18">
        <v>0.20699999999999999</v>
      </c>
      <c r="BR8" s="18">
        <v>5.2999999999999999E-2</v>
      </c>
      <c r="BS8" s="18">
        <v>0.316</v>
      </c>
      <c r="BT8" s="18">
        <v>0.153</v>
      </c>
      <c r="BU8" s="18">
        <v>0.16800000000000001</v>
      </c>
      <c r="BV8" s="18">
        <v>4.8000000000000001E-2</v>
      </c>
      <c r="BW8" s="18">
        <v>7.4999999999999997E-2</v>
      </c>
      <c r="BX8" s="18">
        <v>0.121</v>
      </c>
      <c r="BY8" s="18">
        <v>5.5E-2</v>
      </c>
      <c r="BZ8" s="18">
        <v>0.16600000000000001</v>
      </c>
      <c r="CA8" s="18">
        <v>5.7000000000000002E-2</v>
      </c>
      <c r="CB8" s="18">
        <v>0.156</v>
      </c>
      <c r="CC8" s="18">
        <v>0.121</v>
      </c>
      <c r="CD8" s="18">
        <v>5.2999999999999999E-2</v>
      </c>
      <c r="CE8" s="18">
        <v>4.5999999999999999E-2</v>
      </c>
      <c r="CF8" s="18">
        <v>0.20300000000000001</v>
      </c>
      <c r="CG8" s="18">
        <v>4.1000000000000002E-2</v>
      </c>
      <c r="CH8" s="18">
        <v>0.06</v>
      </c>
      <c r="CI8" s="18">
        <v>0.11799999999999999</v>
      </c>
      <c r="CJ8" s="18">
        <v>4.9000000000000002E-2</v>
      </c>
      <c r="CK8" s="18">
        <v>8.7999999999999995E-2</v>
      </c>
      <c r="CL8" s="18">
        <v>0.05</v>
      </c>
      <c r="CM8" s="18">
        <v>0.104</v>
      </c>
      <c r="CN8" s="18">
        <v>8.2000000000000003E-2</v>
      </c>
      <c r="CO8" s="18">
        <v>0.29799999999999999</v>
      </c>
      <c r="CP8" s="18">
        <v>0.11</v>
      </c>
      <c r="CQ8" s="18">
        <v>0.17299999999999999</v>
      </c>
      <c r="CR8" s="18">
        <v>0.104</v>
      </c>
      <c r="CS8" s="18">
        <v>0.13600000000000001</v>
      </c>
      <c r="CT8" s="18">
        <v>0.155</v>
      </c>
      <c r="CU8" s="18">
        <v>0.26900000000000002</v>
      </c>
      <c r="CV8" s="18">
        <v>0.188</v>
      </c>
      <c r="CW8" s="18">
        <v>0.04</v>
      </c>
      <c r="CX8" s="18">
        <v>0.219</v>
      </c>
      <c r="CY8" s="18">
        <v>9.8000000000000004E-2</v>
      </c>
      <c r="CZ8" s="18">
        <v>5.1999999999999998E-2</v>
      </c>
      <c r="DA8" s="18">
        <v>5.7000000000000002E-2</v>
      </c>
      <c r="DB8" s="18">
        <v>3.9E-2</v>
      </c>
      <c r="DC8" s="18">
        <v>0.24299999999999999</v>
      </c>
      <c r="DD8" s="18">
        <v>4.2000000000000003E-2</v>
      </c>
      <c r="DE8" s="18">
        <v>5.6000000000000001E-2</v>
      </c>
      <c r="DF8" s="18">
        <v>0.48299999999999998</v>
      </c>
      <c r="DG8" s="18">
        <v>0.106</v>
      </c>
      <c r="DH8" s="18">
        <v>8.5999999999999993E-2</v>
      </c>
      <c r="DI8" s="18">
        <v>0.20300000000000001</v>
      </c>
      <c r="DJ8" s="18">
        <v>7.5999999999999998E-2</v>
      </c>
      <c r="DK8" s="18">
        <v>0.16400000000000001</v>
      </c>
      <c r="DL8" s="18">
        <v>0.23699999999999999</v>
      </c>
      <c r="DM8" s="18">
        <v>0.109</v>
      </c>
      <c r="DN8" s="18">
        <v>8.8999999999999996E-2</v>
      </c>
      <c r="DO8" s="18">
        <v>0.26100000000000001</v>
      </c>
      <c r="DP8" s="18">
        <v>0.22500000000000001</v>
      </c>
      <c r="DQ8" s="18">
        <v>0.183</v>
      </c>
      <c r="DR8" s="18">
        <v>0.54400000000000004</v>
      </c>
      <c r="DS8" s="18">
        <v>0</v>
      </c>
      <c r="DT8" s="18">
        <v>5.1999999999999998E-2</v>
      </c>
      <c r="DU8" s="18">
        <v>5.5E-2</v>
      </c>
      <c r="DV8" s="18">
        <v>0.154</v>
      </c>
    </row>
    <row r="9" spans="1:126" x14ac:dyDescent="0.25">
      <c r="A9" s="8">
        <v>5</v>
      </c>
      <c r="B9" s="8">
        <v>2</v>
      </c>
      <c r="C9" s="18">
        <v>0.05</v>
      </c>
      <c r="D9" s="18">
        <v>8.3000000000000004E-2</v>
      </c>
      <c r="E9" s="18">
        <v>5.0999999999999997E-2</v>
      </c>
      <c r="F9" s="18">
        <v>5.8999999999999997E-2</v>
      </c>
      <c r="G9" s="18">
        <v>4.7E-2</v>
      </c>
      <c r="H9" s="18">
        <v>0.156</v>
      </c>
      <c r="I9" s="18">
        <v>0.19400000000000001</v>
      </c>
      <c r="J9" s="18">
        <v>0.14199999999999999</v>
      </c>
      <c r="K9" s="18">
        <v>5.3999999999999999E-2</v>
      </c>
      <c r="L9" s="18">
        <v>7.5999999999999998E-2</v>
      </c>
      <c r="M9" s="18">
        <v>4.8000000000000001E-2</v>
      </c>
      <c r="N9" s="18">
        <v>0.16900000000000001</v>
      </c>
      <c r="O9" s="18">
        <v>0.19800000000000001</v>
      </c>
      <c r="P9" s="18">
        <v>4.4999999999999998E-2</v>
      </c>
      <c r="Q9" s="18">
        <v>0.16700000000000001</v>
      </c>
      <c r="R9" s="18">
        <v>9.4E-2</v>
      </c>
      <c r="S9" s="18">
        <v>0</v>
      </c>
      <c r="T9" s="18">
        <v>0.14099999999999999</v>
      </c>
      <c r="U9" s="18">
        <v>0.152</v>
      </c>
      <c r="V9" s="18">
        <v>5.8999999999999997E-2</v>
      </c>
      <c r="W9" s="18">
        <v>0.17</v>
      </c>
      <c r="X9" s="18">
        <v>5.7000000000000002E-2</v>
      </c>
      <c r="Y9" s="18">
        <v>9.2999999999999999E-2</v>
      </c>
      <c r="Z9" s="18">
        <v>0.16400000000000001</v>
      </c>
      <c r="AA9" s="18">
        <v>0.16600000000000001</v>
      </c>
      <c r="AB9" s="18">
        <v>0.151</v>
      </c>
      <c r="AC9" s="18">
        <v>0.104</v>
      </c>
      <c r="AD9" s="18">
        <v>5.0999999999999997E-2</v>
      </c>
      <c r="AE9" s="18">
        <v>5.5E-2</v>
      </c>
      <c r="AF9" s="18">
        <v>8.8999999999999996E-2</v>
      </c>
      <c r="AG9" s="18">
        <v>6.0999999999999999E-2</v>
      </c>
      <c r="AH9" s="18">
        <v>4.5999999999999999E-2</v>
      </c>
      <c r="AI9" s="18">
        <v>0.3</v>
      </c>
      <c r="AJ9" s="18">
        <v>5.0999999999999997E-2</v>
      </c>
      <c r="AK9" s="18">
        <v>0.152</v>
      </c>
      <c r="AL9" s="18">
        <v>4.4999999999999998E-2</v>
      </c>
      <c r="AM9" s="18">
        <v>0.29499999999999998</v>
      </c>
      <c r="AN9" s="18">
        <v>5.0999999999999997E-2</v>
      </c>
      <c r="AO9" s="18">
        <v>0.155</v>
      </c>
      <c r="AP9" s="18">
        <v>4.5999999999999999E-2</v>
      </c>
      <c r="AQ9" s="18">
        <v>9.5000000000000001E-2</v>
      </c>
      <c r="AR9" s="18">
        <v>0</v>
      </c>
      <c r="AS9" s="18">
        <v>6.7000000000000004E-2</v>
      </c>
      <c r="AT9" s="18">
        <v>0.11700000000000001</v>
      </c>
      <c r="AU9" s="18">
        <v>0.05</v>
      </c>
      <c r="AV9" s="18">
        <v>0.107</v>
      </c>
      <c r="AW9" s="18">
        <v>0.06</v>
      </c>
      <c r="AX9" s="18">
        <v>5.8999999999999997E-2</v>
      </c>
      <c r="AY9" s="18">
        <v>4.8000000000000001E-2</v>
      </c>
      <c r="AZ9" s="18">
        <v>5.1999999999999998E-2</v>
      </c>
      <c r="BA9" s="18">
        <v>3.9E-2</v>
      </c>
      <c r="BB9" s="18">
        <v>6.8000000000000005E-2</v>
      </c>
      <c r="BC9" s="18">
        <v>0.03</v>
      </c>
      <c r="BD9" s="18">
        <v>9.0999999999999998E-2</v>
      </c>
      <c r="BE9" s="18">
        <v>0.18</v>
      </c>
      <c r="BF9" s="18">
        <v>5.7000000000000002E-2</v>
      </c>
      <c r="BG9" s="18">
        <v>0.16900000000000001</v>
      </c>
      <c r="BH9" s="18">
        <v>0.05</v>
      </c>
      <c r="BI9" s="18">
        <v>6.2E-2</v>
      </c>
      <c r="BJ9" s="18">
        <v>0.06</v>
      </c>
      <c r="BK9" s="18">
        <v>4.8000000000000001E-2</v>
      </c>
      <c r="BL9" s="18">
        <v>8.8999999999999996E-2</v>
      </c>
      <c r="BM9" s="18">
        <v>6.5000000000000002E-2</v>
      </c>
      <c r="BN9" s="18">
        <v>0.17100000000000001</v>
      </c>
      <c r="BO9" s="18">
        <v>0</v>
      </c>
      <c r="BP9" s="18">
        <v>0.05</v>
      </c>
      <c r="BQ9" s="18">
        <v>3.6999999999999998E-2</v>
      </c>
      <c r="BR9" s="18">
        <v>0.246</v>
      </c>
      <c r="BS9" s="18">
        <v>5.8999999999999997E-2</v>
      </c>
      <c r="BT9" s="18">
        <v>0.214</v>
      </c>
      <c r="BU9" s="18">
        <v>5.6000000000000001E-2</v>
      </c>
      <c r="BV9" s="18">
        <v>4.8000000000000001E-2</v>
      </c>
      <c r="BW9" s="18">
        <v>0.20899999999999999</v>
      </c>
      <c r="BX9" s="18">
        <v>5.0999999999999997E-2</v>
      </c>
      <c r="BY9" s="18">
        <v>0.14099999999999999</v>
      </c>
      <c r="BZ9" s="18">
        <v>8.8999999999999996E-2</v>
      </c>
      <c r="CA9" s="18">
        <v>5.7000000000000002E-2</v>
      </c>
      <c r="CB9" s="18">
        <v>0.125</v>
      </c>
      <c r="CC9" s="18">
        <v>0.13300000000000001</v>
      </c>
      <c r="CD9" s="18">
        <v>5.2999999999999999E-2</v>
      </c>
      <c r="CE9" s="18">
        <v>4.5999999999999999E-2</v>
      </c>
      <c r="CF9" s="18">
        <v>3.9E-2</v>
      </c>
      <c r="CG9" s="18">
        <v>0.25900000000000001</v>
      </c>
      <c r="CH9" s="18">
        <v>0.13800000000000001</v>
      </c>
      <c r="CI9" s="18">
        <v>7.4999999999999997E-2</v>
      </c>
      <c r="CJ9" s="18">
        <v>0.13300000000000001</v>
      </c>
      <c r="CK9" s="18">
        <v>0.17199999999999999</v>
      </c>
      <c r="CL9" s="18">
        <v>0.05</v>
      </c>
      <c r="CM9" s="18">
        <v>9.8000000000000004E-2</v>
      </c>
      <c r="CN9" s="18">
        <v>0.15</v>
      </c>
      <c r="CO9" s="18">
        <v>5.1999999999999998E-2</v>
      </c>
      <c r="CP9" s="18">
        <v>4.9000000000000002E-2</v>
      </c>
      <c r="CQ9" s="18">
        <v>5.8000000000000003E-2</v>
      </c>
      <c r="CR9" s="18">
        <v>0.19800000000000001</v>
      </c>
      <c r="CS9" s="18">
        <v>5.7000000000000002E-2</v>
      </c>
      <c r="CT9" s="18">
        <v>6.6000000000000003E-2</v>
      </c>
      <c r="CU9" s="18">
        <v>0.187</v>
      </c>
      <c r="CV9" s="18">
        <v>5.3999999999999999E-2</v>
      </c>
      <c r="CW9" s="18">
        <v>0.17499999999999999</v>
      </c>
      <c r="CX9" s="18">
        <v>0.19900000000000001</v>
      </c>
      <c r="CY9" s="18">
        <v>4.7E-2</v>
      </c>
      <c r="CZ9" s="18">
        <v>0.125</v>
      </c>
      <c r="DA9" s="18">
        <v>5.7000000000000002E-2</v>
      </c>
      <c r="DB9" s="18">
        <v>3.9E-2</v>
      </c>
      <c r="DC9" s="18">
        <v>0.14399999999999999</v>
      </c>
      <c r="DD9" s="18">
        <v>4.2000000000000003E-2</v>
      </c>
      <c r="DE9" s="18">
        <v>0.25900000000000001</v>
      </c>
      <c r="DF9" s="18">
        <v>0.14299999999999999</v>
      </c>
      <c r="DG9" s="18">
        <v>9.1999999999999998E-2</v>
      </c>
      <c r="DH9" s="18">
        <v>8.5999999999999993E-2</v>
      </c>
      <c r="DI9" s="18">
        <v>0.27100000000000002</v>
      </c>
      <c r="DJ9" s="18">
        <v>0.39200000000000002</v>
      </c>
      <c r="DK9" s="18">
        <v>5.3999999999999999E-2</v>
      </c>
      <c r="DL9" s="18">
        <v>0.06</v>
      </c>
      <c r="DM9" s="18">
        <v>0.188</v>
      </c>
      <c r="DN9" s="18">
        <v>3.4000000000000002E-2</v>
      </c>
      <c r="DO9" s="18">
        <v>3.7999999999999999E-2</v>
      </c>
      <c r="DP9" s="18">
        <v>6.3E-2</v>
      </c>
      <c r="DQ9" s="18">
        <v>8.3000000000000004E-2</v>
      </c>
      <c r="DR9" s="18">
        <v>0.23100000000000001</v>
      </c>
      <c r="DS9" s="18">
        <v>0</v>
      </c>
      <c r="DT9" s="18">
        <v>0.108</v>
      </c>
      <c r="DU9" s="18">
        <v>0.18</v>
      </c>
      <c r="DV9" s="18">
        <v>9.4E-2</v>
      </c>
    </row>
    <row r="10" spans="1:126" x14ac:dyDescent="0.25">
      <c r="A10" s="8">
        <v>6</v>
      </c>
      <c r="B10" s="8">
        <v>2.5</v>
      </c>
      <c r="C10" s="18">
        <v>0.17299999999999999</v>
      </c>
      <c r="D10" s="18">
        <v>4.9000000000000002E-2</v>
      </c>
      <c r="E10" s="18">
        <v>5.0999999999999997E-2</v>
      </c>
      <c r="F10" s="18">
        <v>5.8999999999999997E-2</v>
      </c>
      <c r="G10" s="18">
        <v>4.7E-2</v>
      </c>
      <c r="H10" s="18">
        <v>0.20599999999999999</v>
      </c>
      <c r="I10" s="18">
        <v>5.7000000000000002E-2</v>
      </c>
      <c r="J10" s="18">
        <v>0.106</v>
      </c>
      <c r="K10" s="18">
        <v>0.29099999999999998</v>
      </c>
      <c r="L10" s="18">
        <v>0.153</v>
      </c>
      <c r="M10" s="18">
        <v>4.8000000000000001E-2</v>
      </c>
      <c r="N10" s="18">
        <v>4.7E-2</v>
      </c>
      <c r="O10" s="18">
        <v>0.129</v>
      </c>
      <c r="P10" s="18">
        <v>0.14799999999999999</v>
      </c>
      <c r="Q10" s="18">
        <v>0.13300000000000001</v>
      </c>
      <c r="R10" s="18">
        <v>0.24399999999999999</v>
      </c>
      <c r="S10" s="18">
        <v>0</v>
      </c>
      <c r="T10" s="18">
        <v>0.14799999999999999</v>
      </c>
      <c r="U10" s="18">
        <v>0.13800000000000001</v>
      </c>
      <c r="V10" s="18">
        <v>0.11</v>
      </c>
      <c r="W10" s="18">
        <v>0.22800000000000001</v>
      </c>
      <c r="X10" s="18">
        <v>0.17499999999999999</v>
      </c>
      <c r="Y10" s="18">
        <v>3.1E-2</v>
      </c>
      <c r="Z10" s="18">
        <v>0.106</v>
      </c>
      <c r="AA10" s="18">
        <v>5.2999999999999999E-2</v>
      </c>
      <c r="AB10" s="18">
        <v>0.14899999999999999</v>
      </c>
      <c r="AC10" s="18">
        <v>0.17199999999999999</v>
      </c>
      <c r="AD10" s="18">
        <v>0.10199999999999999</v>
      </c>
      <c r="AE10" s="18">
        <v>5.5E-2</v>
      </c>
      <c r="AF10" s="18">
        <v>0.182</v>
      </c>
      <c r="AG10" s="18">
        <v>6.0999999999999999E-2</v>
      </c>
      <c r="AH10" s="18">
        <v>4.5999999999999999E-2</v>
      </c>
      <c r="AI10" s="18">
        <v>3.7999999999999999E-2</v>
      </c>
      <c r="AJ10" s="18">
        <v>0.20699999999999999</v>
      </c>
      <c r="AK10" s="18">
        <v>4.8000000000000001E-2</v>
      </c>
      <c r="AL10" s="18">
        <v>7.4999999999999997E-2</v>
      </c>
      <c r="AM10" s="18">
        <v>7.1999999999999995E-2</v>
      </c>
      <c r="AN10" s="18">
        <v>0.19400000000000001</v>
      </c>
      <c r="AO10" s="18">
        <v>0.17399999999999999</v>
      </c>
      <c r="AP10" s="18">
        <v>4.5999999999999999E-2</v>
      </c>
      <c r="AQ10" s="18">
        <v>8.6999999999999994E-2</v>
      </c>
      <c r="AR10" s="18">
        <v>0</v>
      </c>
      <c r="AS10" s="18">
        <v>0.1</v>
      </c>
      <c r="AT10" s="18">
        <v>0.14099999999999999</v>
      </c>
      <c r="AU10" s="18">
        <v>0.154</v>
      </c>
      <c r="AV10" s="18">
        <v>0.23400000000000001</v>
      </c>
      <c r="AW10" s="18">
        <v>0.06</v>
      </c>
      <c r="AX10" s="18">
        <v>0.26800000000000002</v>
      </c>
      <c r="AY10" s="18">
        <v>0.11899999999999999</v>
      </c>
      <c r="AZ10" s="18">
        <v>5.1999999999999998E-2</v>
      </c>
      <c r="BA10" s="18">
        <v>3.9E-2</v>
      </c>
      <c r="BB10" s="18">
        <v>0.11799999999999999</v>
      </c>
      <c r="BC10" s="18">
        <v>0.115</v>
      </c>
      <c r="BD10" s="18">
        <v>0.33900000000000002</v>
      </c>
      <c r="BE10" s="18">
        <v>0.112</v>
      </c>
      <c r="BF10" s="18">
        <v>0.26600000000000001</v>
      </c>
      <c r="BG10" s="18">
        <v>0.157</v>
      </c>
      <c r="BH10" s="18">
        <v>0.13600000000000001</v>
      </c>
      <c r="BI10" s="18">
        <v>0.11700000000000001</v>
      </c>
      <c r="BJ10" s="18">
        <v>4.2999999999999997E-2</v>
      </c>
      <c r="BK10" s="18">
        <v>0.25900000000000001</v>
      </c>
      <c r="BL10" s="18">
        <v>5.0999999999999997E-2</v>
      </c>
      <c r="BM10" s="18">
        <v>0.17699999999999999</v>
      </c>
      <c r="BN10" s="18">
        <v>0.14099999999999999</v>
      </c>
      <c r="BO10" s="18">
        <v>0</v>
      </c>
      <c r="BP10" s="18">
        <v>0.05</v>
      </c>
      <c r="BQ10" s="18">
        <v>0.13</v>
      </c>
      <c r="BR10" s="18">
        <v>0.114</v>
      </c>
      <c r="BS10" s="18">
        <v>5.8999999999999997E-2</v>
      </c>
      <c r="BT10" s="18">
        <v>6.2E-2</v>
      </c>
      <c r="BU10" s="18">
        <v>0.16800000000000001</v>
      </c>
      <c r="BV10" s="18">
        <v>4.8000000000000001E-2</v>
      </c>
      <c r="BW10" s="18">
        <v>0.19700000000000001</v>
      </c>
      <c r="BX10" s="18">
        <v>5.0999999999999997E-2</v>
      </c>
      <c r="BY10" s="18">
        <v>0.127</v>
      </c>
      <c r="BZ10" s="18">
        <v>5.8000000000000003E-2</v>
      </c>
      <c r="CA10" s="18">
        <v>5.7000000000000002E-2</v>
      </c>
      <c r="CB10" s="18">
        <v>0.17599999999999999</v>
      </c>
      <c r="CC10" s="18">
        <v>0.187</v>
      </c>
      <c r="CD10" s="18">
        <v>0.30599999999999999</v>
      </c>
      <c r="CE10" s="18">
        <v>4.5999999999999999E-2</v>
      </c>
      <c r="CF10" s="18">
        <v>0.152</v>
      </c>
      <c r="CG10" s="18">
        <v>4.1000000000000002E-2</v>
      </c>
      <c r="CH10" s="18">
        <v>9.9000000000000005E-2</v>
      </c>
      <c r="CI10" s="18">
        <v>0.27</v>
      </c>
      <c r="CJ10" s="18">
        <v>9.7000000000000003E-2</v>
      </c>
      <c r="CK10" s="18">
        <v>0.26500000000000001</v>
      </c>
      <c r="CL10" s="18">
        <v>0.05</v>
      </c>
      <c r="CM10" s="18">
        <v>0.28000000000000003</v>
      </c>
      <c r="CN10" s="18">
        <v>4.1000000000000002E-2</v>
      </c>
      <c r="CO10" s="18">
        <v>0.24399999999999999</v>
      </c>
      <c r="CP10" s="18">
        <v>8.5999999999999993E-2</v>
      </c>
      <c r="CQ10" s="18">
        <v>0.217</v>
      </c>
      <c r="CR10" s="18">
        <v>4.1000000000000002E-2</v>
      </c>
      <c r="CS10" s="18">
        <v>0.13600000000000001</v>
      </c>
      <c r="CT10" s="18">
        <v>7.9000000000000001E-2</v>
      </c>
      <c r="CU10" s="18">
        <v>5.3999999999999999E-2</v>
      </c>
      <c r="CV10" s="18">
        <v>0.155</v>
      </c>
      <c r="CW10" s="18">
        <v>0.08</v>
      </c>
      <c r="CX10" s="18">
        <v>0.14099999999999999</v>
      </c>
      <c r="CY10" s="18">
        <v>8.2000000000000003E-2</v>
      </c>
      <c r="CZ10" s="18">
        <v>5.1999999999999998E-2</v>
      </c>
      <c r="DA10" s="18">
        <v>5.7000000000000002E-2</v>
      </c>
      <c r="DB10" s="18">
        <v>3.9E-2</v>
      </c>
      <c r="DC10" s="18">
        <v>0.27800000000000002</v>
      </c>
      <c r="DD10" s="18">
        <v>0.111</v>
      </c>
      <c r="DE10" s="18">
        <v>7.9000000000000001E-2</v>
      </c>
      <c r="DF10" s="18">
        <v>3.1E-2</v>
      </c>
      <c r="DG10" s="18">
        <v>0.17399999999999999</v>
      </c>
      <c r="DH10" s="18">
        <v>0.05</v>
      </c>
      <c r="DI10" s="18">
        <v>0.248</v>
      </c>
      <c r="DJ10" s="18">
        <v>0.13</v>
      </c>
      <c r="DK10" s="18">
        <v>0.16400000000000001</v>
      </c>
      <c r="DL10" s="18">
        <v>0.06</v>
      </c>
      <c r="DM10" s="18">
        <v>6.5000000000000002E-2</v>
      </c>
      <c r="DN10" s="18">
        <v>3.4000000000000002E-2</v>
      </c>
      <c r="DO10" s="18">
        <v>0.20699999999999999</v>
      </c>
      <c r="DP10" s="18">
        <v>0.12</v>
      </c>
      <c r="DQ10" s="18">
        <v>0.214</v>
      </c>
      <c r="DR10" s="18">
        <v>0.33300000000000002</v>
      </c>
      <c r="DS10" s="18">
        <v>0</v>
      </c>
      <c r="DT10" s="18">
        <v>0.15</v>
      </c>
      <c r="DU10" s="18">
        <v>5.5E-2</v>
      </c>
      <c r="DV10" s="18">
        <v>0.28100000000000003</v>
      </c>
    </row>
    <row r="11" spans="1:126" x14ac:dyDescent="0.25">
      <c r="A11" s="8">
        <v>7</v>
      </c>
      <c r="B11" s="8">
        <v>3</v>
      </c>
      <c r="C11" s="18">
        <v>4.2999999999999997E-2</v>
      </c>
      <c r="D11" s="18">
        <v>0.13500000000000001</v>
      </c>
      <c r="E11" s="18">
        <v>5.0999999999999997E-2</v>
      </c>
      <c r="F11" s="18">
        <v>5.8999999999999997E-2</v>
      </c>
      <c r="G11" s="18">
        <v>4.7E-2</v>
      </c>
      <c r="H11" s="18">
        <v>5.0999999999999997E-2</v>
      </c>
      <c r="I11" s="18">
        <v>0.11899999999999999</v>
      </c>
      <c r="J11" s="18">
        <v>0.125</v>
      </c>
      <c r="K11" s="18">
        <v>9.1999999999999998E-2</v>
      </c>
      <c r="L11" s="18">
        <v>5.7000000000000002E-2</v>
      </c>
      <c r="M11" s="18">
        <v>0.16600000000000001</v>
      </c>
      <c r="N11" s="18">
        <v>4.7E-2</v>
      </c>
      <c r="O11" s="18">
        <v>0.373</v>
      </c>
      <c r="P11" s="18">
        <v>0.11600000000000001</v>
      </c>
      <c r="Q11" s="18">
        <v>0.08</v>
      </c>
      <c r="R11" s="18">
        <v>4.5999999999999999E-2</v>
      </c>
      <c r="S11" s="18">
        <v>0</v>
      </c>
      <c r="T11" s="18">
        <v>0.27900000000000003</v>
      </c>
      <c r="U11" s="18">
        <v>0.20399999999999999</v>
      </c>
      <c r="V11" s="18">
        <v>0.14899999999999999</v>
      </c>
      <c r="W11" s="18">
        <v>4.8000000000000001E-2</v>
      </c>
      <c r="X11" s="18">
        <v>5.7000000000000002E-2</v>
      </c>
      <c r="Y11" s="18">
        <v>3.1E-2</v>
      </c>
      <c r="Z11" s="18">
        <v>7.6999999999999999E-2</v>
      </c>
      <c r="AA11" s="18">
        <v>0.104</v>
      </c>
      <c r="AB11" s="18">
        <v>0.315</v>
      </c>
      <c r="AC11" s="18">
        <v>0.14099999999999999</v>
      </c>
      <c r="AD11" s="18">
        <v>0.249</v>
      </c>
      <c r="AE11" s="18">
        <v>5.5E-2</v>
      </c>
      <c r="AF11" s="18">
        <v>0.05</v>
      </c>
      <c r="AG11" s="18">
        <v>0.21</v>
      </c>
      <c r="AH11" s="18">
        <v>4.5999999999999999E-2</v>
      </c>
      <c r="AI11" s="18">
        <v>0.30099999999999999</v>
      </c>
      <c r="AJ11" s="18">
        <v>6.7000000000000004E-2</v>
      </c>
      <c r="AK11" s="18">
        <v>6.3E-2</v>
      </c>
      <c r="AL11" s="18">
        <v>0.18099999999999999</v>
      </c>
      <c r="AM11" s="18">
        <v>0.127</v>
      </c>
      <c r="AN11" s="18">
        <v>0.16</v>
      </c>
      <c r="AO11" s="18">
        <v>0.20899999999999999</v>
      </c>
      <c r="AP11" s="18">
        <v>4.5999999999999999E-2</v>
      </c>
      <c r="AQ11" s="18">
        <v>5.2999999999999999E-2</v>
      </c>
      <c r="AR11" s="18">
        <v>0</v>
      </c>
      <c r="AS11" s="18">
        <v>0.1</v>
      </c>
      <c r="AT11" s="18">
        <v>0.12</v>
      </c>
      <c r="AU11" s="18">
        <v>0.05</v>
      </c>
      <c r="AV11" s="18">
        <v>0.1</v>
      </c>
      <c r="AW11" s="18">
        <v>0.06</v>
      </c>
      <c r="AX11" s="18">
        <v>7.0000000000000007E-2</v>
      </c>
      <c r="AY11" s="18">
        <v>0.14599999999999999</v>
      </c>
      <c r="AZ11" s="18">
        <v>5.1999999999999998E-2</v>
      </c>
      <c r="BA11" s="18">
        <v>3.9E-2</v>
      </c>
      <c r="BB11" s="18">
        <v>0.156</v>
      </c>
      <c r="BC11" s="18">
        <v>7.5999999999999998E-2</v>
      </c>
      <c r="BD11" s="18">
        <v>4.1000000000000002E-2</v>
      </c>
      <c r="BE11" s="18">
        <v>8.4000000000000005E-2</v>
      </c>
      <c r="BF11" s="18">
        <v>0.108</v>
      </c>
      <c r="BG11" s="18">
        <v>0.182</v>
      </c>
      <c r="BH11" s="18">
        <v>0.122</v>
      </c>
      <c r="BI11" s="18">
        <v>0.18</v>
      </c>
      <c r="BJ11" s="18">
        <v>4.2999999999999997E-2</v>
      </c>
      <c r="BK11" s="18">
        <v>0.105</v>
      </c>
      <c r="BL11" s="18">
        <v>0.19</v>
      </c>
      <c r="BM11" s="18">
        <v>0.21199999999999999</v>
      </c>
      <c r="BN11" s="18">
        <v>0.112</v>
      </c>
      <c r="BO11" s="18">
        <v>0</v>
      </c>
      <c r="BP11" s="18">
        <v>0.05</v>
      </c>
      <c r="BQ11" s="18">
        <v>0.114</v>
      </c>
      <c r="BR11" s="18">
        <v>5.2999999999999999E-2</v>
      </c>
      <c r="BS11" s="18">
        <v>0.23400000000000001</v>
      </c>
      <c r="BT11" s="18">
        <v>0.186</v>
      </c>
      <c r="BU11" s="18">
        <v>5.6000000000000001E-2</v>
      </c>
      <c r="BV11" s="18">
        <v>4.8000000000000001E-2</v>
      </c>
      <c r="BW11" s="18">
        <v>0.05</v>
      </c>
      <c r="BX11" s="18">
        <v>9.7000000000000003E-2</v>
      </c>
      <c r="BY11" s="18">
        <v>5.5E-2</v>
      </c>
      <c r="BZ11" s="18">
        <v>0.19600000000000001</v>
      </c>
      <c r="CA11" s="18">
        <v>5.7000000000000002E-2</v>
      </c>
      <c r="CB11" s="18">
        <v>0.105</v>
      </c>
      <c r="CC11" s="18">
        <v>5.1999999999999998E-2</v>
      </c>
      <c r="CD11" s="18">
        <v>5.2999999999999999E-2</v>
      </c>
      <c r="CE11" s="18">
        <v>4.5999999999999999E-2</v>
      </c>
      <c r="CF11" s="18">
        <v>3.9E-2</v>
      </c>
      <c r="CG11" s="18">
        <v>4.1000000000000002E-2</v>
      </c>
      <c r="CH11" s="18">
        <v>4.7E-2</v>
      </c>
      <c r="CI11" s="18">
        <v>5.0999999999999997E-2</v>
      </c>
      <c r="CJ11" s="18">
        <v>8.5000000000000006E-2</v>
      </c>
      <c r="CK11" s="18">
        <v>0.123</v>
      </c>
      <c r="CL11" s="18">
        <v>0.05</v>
      </c>
      <c r="CM11" s="18">
        <v>0.05</v>
      </c>
      <c r="CN11" s="18">
        <v>0.191</v>
      </c>
      <c r="CO11" s="18">
        <v>0.106</v>
      </c>
      <c r="CP11" s="18">
        <v>7.2999999999999995E-2</v>
      </c>
      <c r="CQ11" s="18">
        <v>5.8000000000000003E-2</v>
      </c>
      <c r="CR11" s="18">
        <v>5.3999999999999999E-2</v>
      </c>
      <c r="CS11" s="18">
        <v>5.7000000000000002E-2</v>
      </c>
      <c r="CT11" s="18">
        <v>0.14199999999999999</v>
      </c>
      <c r="CU11" s="18">
        <v>0.13700000000000001</v>
      </c>
      <c r="CV11" s="18">
        <v>8.7999999999999995E-2</v>
      </c>
      <c r="CW11" s="18">
        <v>0.04</v>
      </c>
      <c r="CX11" s="18">
        <v>0.24399999999999999</v>
      </c>
      <c r="CY11" s="18">
        <v>6.8000000000000005E-2</v>
      </c>
      <c r="CZ11" s="18">
        <v>7.1999999999999995E-2</v>
      </c>
      <c r="DA11" s="18">
        <v>5.7000000000000002E-2</v>
      </c>
      <c r="DB11" s="18">
        <v>0.161</v>
      </c>
      <c r="DC11" s="18">
        <v>0.11899999999999999</v>
      </c>
      <c r="DD11" s="18">
        <v>4.5999999999999999E-2</v>
      </c>
      <c r="DE11" s="18">
        <v>7.0000000000000007E-2</v>
      </c>
      <c r="DF11" s="18">
        <v>0</v>
      </c>
      <c r="DG11" s="18">
        <v>5.8000000000000003E-2</v>
      </c>
      <c r="DH11" s="18">
        <v>0.121</v>
      </c>
      <c r="DI11" s="18">
        <v>6.2E-2</v>
      </c>
      <c r="DJ11" s="18">
        <v>0.123</v>
      </c>
      <c r="DK11" s="18">
        <v>5.3999999999999999E-2</v>
      </c>
      <c r="DL11" s="18">
        <v>0.06</v>
      </c>
      <c r="DM11" s="18">
        <v>0.11899999999999999</v>
      </c>
      <c r="DN11" s="18">
        <v>3.4000000000000002E-2</v>
      </c>
      <c r="DO11" s="18">
        <v>0.13800000000000001</v>
      </c>
      <c r="DP11" s="18">
        <v>0.245</v>
      </c>
      <c r="DQ11" s="18">
        <v>4.7E-2</v>
      </c>
      <c r="DR11" s="18">
        <v>0.29499999999999998</v>
      </c>
      <c r="DS11" s="18">
        <v>0</v>
      </c>
      <c r="DT11" s="18">
        <v>5.1999999999999998E-2</v>
      </c>
      <c r="DU11" s="18">
        <v>0.17399999999999999</v>
      </c>
      <c r="DV11" s="18">
        <v>4.9000000000000002E-2</v>
      </c>
    </row>
    <row r="12" spans="1:126" x14ac:dyDescent="0.25">
      <c r="A12" s="8">
        <v>8</v>
      </c>
      <c r="B12" s="8">
        <v>3.5</v>
      </c>
      <c r="C12" s="18">
        <v>0.11700000000000001</v>
      </c>
      <c r="D12" s="18">
        <v>0.15</v>
      </c>
      <c r="E12" s="18">
        <v>4.9000000000000002E-2</v>
      </c>
      <c r="F12" s="18">
        <v>5.7000000000000002E-2</v>
      </c>
      <c r="G12" s="18">
        <v>1.33</v>
      </c>
      <c r="H12" s="18">
        <v>0.307</v>
      </c>
      <c r="I12" s="18">
        <v>0.249</v>
      </c>
      <c r="J12" s="18">
        <v>0.108</v>
      </c>
      <c r="K12" s="18">
        <v>0.19800000000000001</v>
      </c>
      <c r="L12" s="18">
        <v>0.16900000000000001</v>
      </c>
      <c r="M12" s="18">
        <v>4.4999999999999998E-2</v>
      </c>
      <c r="N12" s="18">
        <v>9.2999999999999999E-2</v>
      </c>
      <c r="O12" s="18">
        <v>0.154</v>
      </c>
      <c r="P12" s="18">
        <v>0.14899999999999999</v>
      </c>
      <c r="Q12" s="18">
        <v>0.187</v>
      </c>
      <c r="R12" s="18">
        <v>0.21</v>
      </c>
      <c r="S12" s="18">
        <v>0</v>
      </c>
      <c r="T12" s="18">
        <v>4.4999999999999998E-2</v>
      </c>
      <c r="U12" s="18">
        <v>0.13100000000000001</v>
      </c>
      <c r="V12" s="18">
        <v>5.6000000000000001E-2</v>
      </c>
      <c r="W12" s="18">
        <v>0.307</v>
      </c>
      <c r="X12" s="18">
        <v>0.161</v>
      </c>
      <c r="Y12" s="18">
        <v>7.9000000000000001E-2</v>
      </c>
      <c r="Z12" s="18">
        <v>0.189</v>
      </c>
      <c r="AA12" s="18">
        <v>0.112</v>
      </c>
      <c r="AB12" s="18">
        <v>9.1999999999999998E-2</v>
      </c>
      <c r="AC12" s="18">
        <v>0.107</v>
      </c>
      <c r="AD12" s="18">
        <v>9.1999999999999998E-2</v>
      </c>
      <c r="AE12" s="18">
        <v>5.1999999999999998E-2</v>
      </c>
      <c r="AF12" s="18">
        <v>0.218</v>
      </c>
      <c r="AG12" s="18">
        <v>7.3999999999999996E-2</v>
      </c>
      <c r="AH12" s="18">
        <v>4.2999999999999997E-2</v>
      </c>
      <c r="AI12" s="18">
        <v>8.5999999999999993E-2</v>
      </c>
      <c r="AJ12" s="18">
        <v>4.8000000000000001E-2</v>
      </c>
      <c r="AK12" s="18">
        <v>0.19400000000000001</v>
      </c>
      <c r="AL12" s="18">
        <v>4.2999999999999997E-2</v>
      </c>
      <c r="AM12" s="18">
        <v>0.223</v>
      </c>
      <c r="AN12" s="18">
        <v>4.3999999999999997E-2</v>
      </c>
      <c r="AO12" s="18">
        <v>0.24399999999999999</v>
      </c>
      <c r="AP12" s="18">
        <v>4.2999999999999997E-2</v>
      </c>
      <c r="AQ12" s="18">
        <v>0.126</v>
      </c>
      <c r="AR12" s="18">
        <v>0</v>
      </c>
      <c r="AS12" s="18">
        <v>5.5E-2</v>
      </c>
      <c r="AT12" s="18">
        <v>0.14399999999999999</v>
      </c>
      <c r="AU12" s="18">
        <v>4.7E-2</v>
      </c>
      <c r="AV12" s="18">
        <v>0.16400000000000001</v>
      </c>
      <c r="AW12" s="18">
        <v>5.7000000000000002E-2</v>
      </c>
      <c r="AX12" s="18">
        <v>0.08</v>
      </c>
      <c r="AY12" s="18">
        <v>4.9000000000000002E-2</v>
      </c>
      <c r="AZ12" s="18">
        <v>4.9000000000000002E-2</v>
      </c>
      <c r="BA12" s="18">
        <v>3.5999999999999997E-2</v>
      </c>
      <c r="BB12" s="18">
        <v>9.4E-2</v>
      </c>
      <c r="BC12" s="18">
        <v>7.9000000000000001E-2</v>
      </c>
      <c r="BD12" s="18">
        <v>0.22</v>
      </c>
      <c r="BE12" s="18">
        <v>0.13300000000000001</v>
      </c>
      <c r="BF12" s="18">
        <v>0.12</v>
      </c>
      <c r="BG12" s="18">
        <v>7.6999999999999999E-2</v>
      </c>
      <c r="BH12" s="18">
        <v>7.6999999999999999E-2</v>
      </c>
      <c r="BI12" s="18">
        <v>5.8999999999999997E-2</v>
      </c>
      <c r="BJ12" s="18">
        <v>0.11600000000000001</v>
      </c>
      <c r="BK12" s="18">
        <v>6.6000000000000003E-2</v>
      </c>
      <c r="BL12" s="18">
        <v>0.127</v>
      </c>
      <c r="BM12" s="18">
        <v>7.8E-2</v>
      </c>
      <c r="BN12" s="18">
        <v>0.153</v>
      </c>
      <c r="BO12" s="18">
        <v>0</v>
      </c>
      <c r="BP12" s="18">
        <v>4.7E-2</v>
      </c>
      <c r="BQ12" s="18">
        <v>3.4000000000000002E-2</v>
      </c>
      <c r="BR12" s="18">
        <v>0.30299999999999999</v>
      </c>
      <c r="BS12" s="18">
        <v>0.3</v>
      </c>
      <c r="BT12" s="18">
        <v>0.17399999999999999</v>
      </c>
      <c r="BU12" s="18">
        <v>5.2999999999999999E-2</v>
      </c>
      <c r="BV12" s="18">
        <v>4.4999999999999998E-2</v>
      </c>
      <c r="BW12" s="18">
        <v>0.35299999999999998</v>
      </c>
      <c r="BX12" s="18">
        <v>7.6999999999999999E-2</v>
      </c>
      <c r="BY12" s="18">
        <v>0.13</v>
      </c>
      <c r="BZ12" s="18">
        <v>0.04</v>
      </c>
      <c r="CA12" s="18">
        <v>5.3999999999999999E-2</v>
      </c>
      <c r="CB12" s="18">
        <v>0.17699999999999999</v>
      </c>
      <c r="CC12" s="18">
        <v>4.9000000000000002E-2</v>
      </c>
      <c r="CD12" s="18">
        <v>0.20699999999999999</v>
      </c>
      <c r="CE12" s="18">
        <v>4.3999999999999997E-2</v>
      </c>
      <c r="CF12" s="18">
        <v>0.17499999999999999</v>
      </c>
      <c r="CG12" s="18">
        <v>3.7999999999999999E-2</v>
      </c>
      <c r="CH12" s="18">
        <v>0.187</v>
      </c>
      <c r="CI12" s="18">
        <v>0.24199999999999999</v>
      </c>
      <c r="CJ12" s="18">
        <v>0.14299999999999999</v>
      </c>
      <c r="CK12" s="18">
        <v>4.7E-2</v>
      </c>
      <c r="CL12" s="18">
        <v>4.7E-2</v>
      </c>
      <c r="CM12" s="18">
        <v>0.192</v>
      </c>
      <c r="CN12" s="18">
        <v>3.9E-2</v>
      </c>
      <c r="CO12" s="18">
        <v>0.105</v>
      </c>
      <c r="CP12" s="18">
        <v>4.5999999999999999E-2</v>
      </c>
      <c r="CQ12" s="18">
        <v>0.16</v>
      </c>
      <c r="CR12" s="18">
        <v>0.18</v>
      </c>
      <c r="CS12" s="18">
        <v>5.3999999999999999E-2</v>
      </c>
      <c r="CT12" s="18">
        <v>4.3999999999999997E-2</v>
      </c>
      <c r="CU12" s="18">
        <v>0</v>
      </c>
      <c r="CV12" s="18">
        <v>0.105</v>
      </c>
      <c r="CW12" s="18">
        <v>0.10199999999999999</v>
      </c>
      <c r="CX12" s="18">
        <v>0.20699999999999999</v>
      </c>
      <c r="CY12" s="18">
        <v>7.2999999999999995E-2</v>
      </c>
      <c r="CZ12" s="18">
        <v>0.10299999999999999</v>
      </c>
      <c r="DA12" s="18">
        <v>5.3999999999999999E-2</v>
      </c>
      <c r="DB12" s="18">
        <v>3.6999999999999998E-2</v>
      </c>
      <c r="DC12" s="18">
        <v>0.14699999999999999</v>
      </c>
      <c r="DD12" s="18">
        <v>0.04</v>
      </c>
      <c r="DE12" s="18">
        <v>0.26600000000000001</v>
      </c>
      <c r="DF12" s="18">
        <v>0</v>
      </c>
      <c r="DG12" s="18">
        <v>0.19800000000000001</v>
      </c>
      <c r="DH12" s="18">
        <v>5.3999999999999999E-2</v>
      </c>
      <c r="DI12" s="18">
        <v>0.32400000000000001</v>
      </c>
      <c r="DJ12" s="18">
        <v>0.26700000000000002</v>
      </c>
      <c r="DK12" s="18">
        <v>5.0999999999999997E-2</v>
      </c>
      <c r="DL12" s="18">
        <v>5.7000000000000002E-2</v>
      </c>
      <c r="DM12" s="18">
        <v>0.109</v>
      </c>
      <c r="DN12" s="18">
        <v>0.17899999999999999</v>
      </c>
      <c r="DO12" s="18">
        <v>0.17299999999999999</v>
      </c>
      <c r="DP12" s="18">
        <v>0.105</v>
      </c>
      <c r="DQ12" s="18">
        <v>0.1</v>
      </c>
      <c r="DR12" s="18">
        <v>0</v>
      </c>
      <c r="DS12" s="18">
        <v>0</v>
      </c>
      <c r="DT12" s="18">
        <v>0.05</v>
      </c>
      <c r="DU12" s="18">
        <v>0.06</v>
      </c>
      <c r="DV12" s="18">
        <v>0.29099999999999998</v>
      </c>
    </row>
    <row r="13" spans="1:126" x14ac:dyDescent="0.25">
      <c r="A13" s="8">
        <v>9</v>
      </c>
      <c r="B13" s="8">
        <v>4</v>
      </c>
      <c r="C13" s="18">
        <v>0.08</v>
      </c>
      <c r="D13" s="18">
        <v>1.7999999999999999E-2</v>
      </c>
      <c r="E13" s="18">
        <v>0.02</v>
      </c>
      <c r="F13" s="18">
        <v>3.4000000000000002E-2</v>
      </c>
      <c r="G13" s="18">
        <v>0</v>
      </c>
      <c r="H13" s="18">
        <v>1E-3</v>
      </c>
      <c r="I13" s="18">
        <v>3.0000000000000001E-3</v>
      </c>
      <c r="J13" s="18">
        <v>6.8000000000000005E-2</v>
      </c>
      <c r="K13" s="18">
        <v>0.158</v>
      </c>
      <c r="L13" s="18">
        <v>1.4E-2</v>
      </c>
      <c r="M13" s="18">
        <v>0</v>
      </c>
      <c r="N13" s="18">
        <v>0.127</v>
      </c>
      <c r="O13" s="18">
        <v>0</v>
      </c>
      <c r="P13" s="18">
        <v>0.14499999999999999</v>
      </c>
      <c r="Q13" s="18">
        <v>0.11899999999999999</v>
      </c>
      <c r="R13" s="18">
        <v>0</v>
      </c>
      <c r="S13" s="18">
        <v>0</v>
      </c>
      <c r="T13" s="18">
        <v>0.13200000000000001</v>
      </c>
      <c r="U13" s="18">
        <v>0.121</v>
      </c>
      <c r="V13" s="18">
        <v>0.151</v>
      </c>
      <c r="W13" s="18">
        <v>6.4000000000000001E-2</v>
      </c>
      <c r="X13" s="18">
        <v>3.7999999999999999E-2</v>
      </c>
      <c r="Y13" s="18">
        <v>5.6000000000000001E-2</v>
      </c>
      <c r="Z13" s="18">
        <v>5.0000000000000001E-3</v>
      </c>
      <c r="AA13" s="18">
        <v>8.9999999999999993E-3</v>
      </c>
      <c r="AB13" s="18">
        <v>0.17599999999999999</v>
      </c>
      <c r="AC13" s="18">
        <v>0.13600000000000001</v>
      </c>
      <c r="AD13" s="18">
        <v>0.18</v>
      </c>
      <c r="AE13" s="18">
        <v>5.0000000000000001E-3</v>
      </c>
      <c r="AF13" s="18">
        <v>0.30199999999999999</v>
      </c>
      <c r="AG13" s="18">
        <v>0.03</v>
      </c>
      <c r="AH13" s="18">
        <v>0</v>
      </c>
      <c r="AI13" s="18">
        <v>2.9000000000000001E-2</v>
      </c>
      <c r="AJ13" s="18">
        <v>0.17899999999999999</v>
      </c>
      <c r="AK13" s="18">
        <v>1.0999999999999999E-2</v>
      </c>
      <c r="AL13" s="18">
        <v>0.18</v>
      </c>
      <c r="AM13" s="18">
        <v>0.04</v>
      </c>
      <c r="AN13" s="18">
        <v>0.16200000000000001</v>
      </c>
      <c r="AO13" s="18">
        <v>0.13400000000000001</v>
      </c>
      <c r="AP13" s="18">
        <v>2E-3</v>
      </c>
      <c r="AQ13" s="18">
        <v>8.9999999999999993E-3</v>
      </c>
      <c r="AR13" s="18">
        <v>0</v>
      </c>
      <c r="AS13" s="18">
        <v>9.1999999999999998E-2</v>
      </c>
      <c r="AT13" s="18">
        <v>8.3000000000000004E-2</v>
      </c>
      <c r="AU13" s="18">
        <v>2.9999999999999997E-4</v>
      </c>
      <c r="AV13" s="18">
        <v>0.14199999999999999</v>
      </c>
      <c r="AW13" s="18">
        <v>0.01</v>
      </c>
      <c r="AX13" s="18">
        <v>0.11899999999999999</v>
      </c>
      <c r="AY13" s="18">
        <v>0.16300000000000001</v>
      </c>
      <c r="AZ13" s="18">
        <v>1.4999999999999999E-2</v>
      </c>
      <c r="BA13" s="18">
        <v>2E-3</v>
      </c>
      <c r="BB13" s="18">
        <v>4.5999999999999999E-2</v>
      </c>
      <c r="BC13" s="18">
        <v>5.8999999999999997E-2</v>
      </c>
      <c r="BD13" s="18">
        <v>0.16900000000000001</v>
      </c>
      <c r="BE13" s="18">
        <v>0.05</v>
      </c>
      <c r="BF13" s="18">
        <v>0.11799999999999999</v>
      </c>
      <c r="BG13" s="18">
        <v>9.9000000000000005E-2</v>
      </c>
      <c r="BH13" s="18">
        <v>0.154</v>
      </c>
      <c r="BI13" s="18">
        <v>0.16900000000000001</v>
      </c>
      <c r="BJ13" s="18">
        <v>1.7999999999999999E-2</v>
      </c>
      <c r="BK13" s="18">
        <v>0.16600000000000001</v>
      </c>
      <c r="BL13" s="18">
        <v>4.2000000000000003E-2</v>
      </c>
      <c r="BM13" s="18">
        <v>9.4E-2</v>
      </c>
      <c r="BN13" s="18">
        <v>8.3000000000000004E-2</v>
      </c>
      <c r="BO13" s="18">
        <v>0</v>
      </c>
      <c r="BP13" s="18">
        <v>1.2999999999999999E-2</v>
      </c>
      <c r="BQ13" s="18">
        <v>0.158</v>
      </c>
      <c r="BR13" s="18">
        <v>8.9999999999999993E-3</v>
      </c>
      <c r="BS13" s="18">
        <v>3.4000000000000002E-2</v>
      </c>
      <c r="BT13" s="18">
        <v>5.6000000000000001E-2</v>
      </c>
      <c r="BU13" s="18">
        <v>6.0000000000000001E-3</v>
      </c>
      <c r="BV13" s="18">
        <v>1.0999999999999999E-2</v>
      </c>
      <c r="BW13" s="18">
        <v>2.9999999999999997E-4</v>
      </c>
      <c r="BX13" s="18">
        <v>7.0000000000000001E-3</v>
      </c>
      <c r="BY13" s="18">
        <v>8.4000000000000005E-2</v>
      </c>
      <c r="BZ13" s="18">
        <v>0.17399999999999999</v>
      </c>
      <c r="CA13" s="18">
        <v>7.0000000000000001E-3</v>
      </c>
      <c r="CB13" s="18">
        <v>0.03</v>
      </c>
      <c r="CC13" s="18">
        <v>0.111</v>
      </c>
      <c r="CD13" s="18">
        <v>0.112</v>
      </c>
      <c r="CE13" s="18">
        <v>1.4999999999999999E-2</v>
      </c>
      <c r="CF13" s="18">
        <v>0.10299999999999999</v>
      </c>
      <c r="CG13" s="18">
        <v>8.5000000000000006E-2</v>
      </c>
      <c r="CH13" s="18">
        <v>0</v>
      </c>
      <c r="CI13" s="18">
        <v>8.3000000000000004E-2</v>
      </c>
      <c r="CJ13" s="18">
        <v>5.0000000000000001E-3</v>
      </c>
      <c r="CK13" s="18">
        <v>0.23200000000000001</v>
      </c>
      <c r="CL13" s="18">
        <v>1.2999999999999999E-2</v>
      </c>
      <c r="CM13" s="18">
        <v>0.14599999999999999</v>
      </c>
      <c r="CN13" s="18">
        <v>0.14499999999999999</v>
      </c>
      <c r="CO13" s="18">
        <v>0.152</v>
      </c>
      <c r="CP13" s="18">
        <v>0</v>
      </c>
      <c r="CQ13" s="18">
        <v>0</v>
      </c>
      <c r="CR13" s="18">
        <v>8.8999999999999996E-2</v>
      </c>
      <c r="CS13" s="18">
        <v>1.6E-2</v>
      </c>
      <c r="CT13" s="18">
        <v>4.1000000000000002E-2</v>
      </c>
      <c r="CU13" s="18">
        <v>0</v>
      </c>
      <c r="CV13" s="18">
        <v>9.0999999999999998E-2</v>
      </c>
      <c r="CW13" s="18">
        <v>0.13300000000000001</v>
      </c>
      <c r="CX13" s="18">
        <v>0.113</v>
      </c>
      <c r="CY13" s="18">
        <v>0</v>
      </c>
      <c r="CZ13" s="18">
        <v>2.7E-2</v>
      </c>
      <c r="DA13" s="18">
        <v>7.0000000000000001E-3</v>
      </c>
      <c r="DB13" s="18">
        <v>8.0000000000000002E-3</v>
      </c>
      <c r="DC13" s="18">
        <v>0.125</v>
      </c>
      <c r="DD13" s="18">
        <v>1.7000000000000001E-2</v>
      </c>
      <c r="DE13" s="18">
        <v>3.1E-2</v>
      </c>
      <c r="DF13" s="18">
        <v>0</v>
      </c>
      <c r="DG13" s="18">
        <v>1.4999999999999999E-2</v>
      </c>
      <c r="DH13" s="18">
        <v>6.4000000000000001E-2</v>
      </c>
      <c r="DI13" s="18">
        <v>0.122</v>
      </c>
      <c r="DJ13" s="18">
        <v>0.13700000000000001</v>
      </c>
      <c r="DK13" s="18">
        <v>6.5000000000000002E-2</v>
      </c>
      <c r="DL13" s="18">
        <v>2.3E-2</v>
      </c>
      <c r="DM13" s="18">
        <v>0</v>
      </c>
      <c r="DN13" s="18">
        <v>8.0000000000000002E-3</v>
      </c>
      <c r="DO13" s="18">
        <v>9.8000000000000004E-2</v>
      </c>
      <c r="DP13" s="18">
        <v>0.20699999999999999</v>
      </c>
      <c r="DQ13" s="18">
        <v>0.16400000000000001</v>
      </c>
      <c r="DR13" s="18">
        <v>0</v>
      </c>
      <c r="DS13" s="18">
        <v>0</v>
      </c>
      <c r="DT13" s="18">
        <v>9.7000000000000003E-2</v>
      </c>
      <c r="DU13" s="18">
        <v>0.03</v>
      </c>
      <c r="DV13" s="18">
        <v>7.0999999999999994E-2</v>
      </c>
    </row>
    <row r="14" spans="1:126" x14ac:dyDescent="0.25">
      <c r="A14" s="8">
        <v>10</v>
      </c>
      <c r="B14" s="8">
        <v>4.5</v>
      </c>
      <c r="C14" s="18">
        <v>0</v>
      </c>
      <c r="D14" s="18">
        <v>9.2999999999999999E-2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0.03</v>
      </c>
      <c r="K14" s="18">
        <v>0</v>
      </c>
      <c r="L14" s="18">
        <v>4.0000000000000001E-3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0.155</v>
      </c>
      <c r="U14" s="18">
        <v>0</v>
      </c>
      <c r="V14" s="18">
        <v>0</v>
      </c>
      <c r="W14" s="18">
        <v>0</v>
      </c>
      <c r="X14" s="18">
        <v>1.7999999999999999E-2</v>
      </c>
      <c r="Y14" s="18">
        <v>0</v>
      </c>
      <c r="Z14" s="18">
        <v>0</v>
      </c>
      <c r="AA14" s="18">
        <v>0</v>
      </c>
      <c r="AB14" s="18">
        <v>7.0000000000000007E-2</v>
      </c>
      <c r="AC14" s="18">
        <v>0</v>
      </c>
      <c r="AD14" s="18">
        <v>0</v>
      </c>
      <c r="AE14" s="18">
        <v>0</v>
      </c>
      <c r="AF14" s="18">
        <v>8.0000000000000002E-3</v>
      </c>
      <c r="AG14" s="18">
        <v>0.08</v>
      </c>
      <c r="AH14" s="18">
        <v>0</v>
      </c>
      <c r="AI14" s="18">
        <v>3.1E-2</v>
      </c>
      <c r="AJ14" s="18">
        <v>0</v>
      </c>
      <c r="AK14" s="18">
        <v>2.1999999999999999E-2</v>
      </c>
      <c r="AL14" s="18">
        <v>0</v>
      </c>
      <c r="AM14" s="18">
        <v>4.2000000000000003E-2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4.9000000000000002E-2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0.755</v>
      </c>
      <c r="BD14" s="18">
        <v>0</v>
      </c>
      <c r="BE14" s="18">
        <v>0</v>
      </c>
      <c r="BF14" s="18">
        <v>0</v>
      </c>
      <c r="BG14" s="18">
        <v>8.1000000000000003E-2</v>
      </c>
      <c r="BH14" s="18">
        <v>0</v>
      </c>
      <c r="BI14" s="18">
        <v>0</v>
      </c>
      <c r="BJ14" s="18">
        <v>0</v>
      </c>
      <c r="BK14" s="18">
        <v>0</v>
      </c>
      <c r="BL14" s="18">
        <v>3.1E-2</v>
      </c>
      <c r="BM14" s="18">
        <v>0</v>
      </c>
      <c r="BN14" s="18">
        <v>2.7E-2</v>
      </c>
      <c r="BO14" s="18">
        <v>0</v>
      </c>
      <c r="BP14" s="18">
        <v>0</v>
      </c>
      <c r="BQ14" s="18">
        <v>0</v>
      </c>
      <c r="BR14" s="18">
        <v>0</v>
      </c>
      <c r="BS14" s="18">
        <v>0.17</v>
      </c>
      <c r="BT14" s="18">
        <v>9.4E-2</v>
      </c>
      <c r="BU14" s="18">
        <v>0</v>
      </c>
      <c r="BV14" s="18">
        <v>0</v>
      </c>
      <c r="BW14" s="18">
        <v>4.2000000000000003E-2</v>
      </c>
      <c r="BX14" s="18">
        <v>0</v>
      </c>
      <c r="BY14" s="18">
        <v>0</v>
      </c>
      <c r="BZ14" s="18">
        <v>0</v>
      </c>
      <c r="CA14" s="18">
        <v>0</v>
      </c>
      <c r="CB14" s="18">
        <v>0.107</v>
      </c>
      <c r="CC14" s="18">
        <v>0</v>
      </c>
      <c r="CD14" s="18">
        <v>0</v>
      </c>
      <c r="CE14" s="18">
        <v>0</v>
      </c>
      <c r="CF14" s="18">
        <v>0</v>
      </c>
      <c r="CG14" s="18">
        <v>0</v>
      </c>
      <c r="CH14" s="18">
        <v>0</v>
      </c>
      <c r="CI14" s="18">
        <v>0</v>
      </c>
      <c r="CJ14" s="18">
        <v>0</v>
      </c>
      <c r="CK14" s="18">
        <v>0</v>
      </c>
      <c r="CL14" s="18">
        <v>0</v>
      </c>
      <c r="CM14" s="18">
        <v>0</v>
      </c>
      <c r="CN14" s="18">
        <v>0</v>
      </c>
      <c r="CO14" s="18">
        <v>0</v>
      </c>
      <c r="CP14" s="18">
        <v>0</v>
      </c>
      <c r="CQ14" s="18">
        <v>0</v>
      </c>
      <c r="CR14" s="18">
        <v>3.6999999999999998E-2</v>
      </c>
      <c r="CS14" s="18">
        <v>0</v>
      </c>
      <c r="CT14" s="18">
        <v>0</v>
      </c>
      <c r="CU14" s="18">
        <v>0</v>
      </c>
      <c r="CV14" s="18">
        <v>0</v>
      </c>
      <c r="CW14" s="18">
        <v>0</v>
      </c>
      <c r="CX14" s="18">
        <v>0.22</v>
      </c>
      <c r="CY14" s="18">
        <v>0</v>
      </c>
      <c r="CZ14" s="18">
        <v>0</v>
      </c>
      <c r="DA14" s="18">
        <v>0</v>
      </c>
      <c r="DB14" s="18">
        <v>1.6E-2</v>
      </c>
      <c r="DC14" s="18">
        <v>0.115</v>
      </c>
      <c r="DD14" s="18">
        <v>0</v>
      </c>
      <c r="DE14" s="18">
        <v>0</v>
      </c>
      <c r="DF14" s="18">
        <v>0</v>
      </c>
      <c r="DG14" s="18">
        <v>0</v>
      </c>
      <c r="DH14" s="18">
        <v>0</v>
      </c>
      <c r="DI14" s="18">
        <v>4.1000000000000002E-2</v>
      </c>
      <c r="DJ14" s="18">
        <v>4.1000000000000002E-2</v>
      </c>
      <c r="DK14" s="18">
        <v>0</v>
      </c>
      <c r="DL14" s="18">
        <v>0</v>
      </c>
      <c r="DM14" s="18">
        <v>0</v>
      </c>
      <c r="DN14" s="18">
        <v>0</v>
      </c>
      <c r="DO14" s="18">
        <v>0</v>
      </c>
      <c r="DP14" s="18">
        <v>0</v>
      </c>
      <c r="DQ14" s="18">
        <v>0</v>
      </c>
      <c r="DR14" s="18">
        <v>0</v>
      </c>
      <c r="DS14" s="18">
        <v>0</v>
      </c>
      <c r="DT14" s="18">
        <v>0.02</v>
      </c>
      <c r="DU14" s="18">
        <v>0</v>
      </c>
      <c r="DV14" s="18">
        <v>0.17100000000000001</v>
      </c>
    </row>
    <row r="15" spans="1:126" x14ac:dyDescent="0.25">
      <c r="A15" s="8">
        <v>11</v>
      </c>
      <c r="B15" s="8">
        <v>5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9.8000000000000004E-2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0.04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5.3999999999999999E-2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0.10199999999999999</v>
      </c>
      <c r="BN15" s="18">
        <v>2.5000000000000001E-2</v>
      </c>
      <c r="BO15" s="18">
        <v>0</v>
      </c>
      <c r="BP15" s="18">
        <v>0</v>
      </c>
      <c r="BQ15" s="18">
        <v>0</v>
      </c>
      <c r="BR15" s="18">
        <v>0</v>
      </c>
      <c r="BS15" s="18">
        <v>1.7999999999999999E-2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18">
        <v>0</v>
      </c>
      <c r="CI15" s="18">
        <v>0.121</v>
      </c>
      <c r="CJ15" s="18">
        <v>0</v>
      </c>
      <c r="CK15" s="18">
        <v>0</v>
      </c>
      <c r="CL15" s="18">
        <v>0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18">
        <v>0</v>
      </c>
      <c r="CX15" s="18">
        <v>0</v>
      </c>
      <c r="CY15" s="18">
        <v>0</v>
      </c>
      <c r="CZ15" s="18">
        <v>0</v>
      </c>
      <c r="DA15" s="18">
        <v>0</v>
      </c>
      <c r="DB15" s="18">
        <v>0</v>
      </c>
      <c r="DC15" s="18">
        <v>0.06</v>
      </c>
      <c r="DD15" s="18">
        <v>0</v>
      </c>
      <c r="DE15" s="18">
        <v>0</v>
      </c>
      <c r="DF15" s="18">
        <v>0</v>
      </c>
      <c r="DG15" s="18">
        <v>0</v>
      </c>
      <c r="DH15" s="18">
        <v>0</v>
      </c>
      <c r="DI15" s="18">
        <v>0</v>
      </c>
      <c r="DJ15" s="18">
        <v>0</v>
      </c>
      <c r="DK15" s="18">
        <v>0</v>
      </c>
      <c r="DL15" s="18">
        <v>0</v>
      </c>
      <c r="DM15" s="18">
        <v>0</v>
      </c>
      <c r="DN15" s="18">
        <v>0</v>
      </c>
      <c r="DO15" s="18">
        <v>0</v>
      </c>
      <c r="DP15" s="18">
        <v>0</v>
      </c>
      <c r="DQ15" s="18">
        <v>0</v>
      </c>
      <c r="DR15" s="18">
        <v>0</v>
      </c>
      <c r="DS15" s="18">
        <v>0</v>
      </c>
      <c r="DT15" s="18">
        <v>0</v>
      </c>
      <c r="DU15" s="18">
        <v>0</v>
      </c>
      <c r="DV15" s="18">
        <v>0.03</v>
      </c>
    </row>
    <row r="16" spans="1:126" x14ac:dyDescent="0.25">
      <c r="A16" s="8">
        <v>12</v>
      </c>
      <c r="B16" s="8">
        <v>5.5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9.7000000000000003E-2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2.4E-2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</row>
    <row r="17" spans="1:126" x14ac:dyDescent="0.25">
      <c r="A17" s="8">
        <v>13</v>
      </c>
      <c r="B17" s="8">
        <v>6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0.16300000000000001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18">
        <v>0</v>
      </c>
      <c r="CI17" s="18">
        <v>0</v>
      </c>
      <c r="CJ17" s="18">
        <v>0</v>
      </c>
      <c r="CK17" s="18">
        <v>0</v>
      </c>
      <c r="CL17" s="18">
        <v>0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18">
        <v>0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18">
        <v>0</v>
      </c>
      <c r="DF17" s="18">
        <v>0</v>
      </c>
      <c r="DG17" s="18">
        <v>0</v>
      </c>
      <c r="DH17" s="18">
        <v>0</v>
      </c>
      <c r="DI17" s="18">
        <v>0</v>
      </c>
      <c r="DJ17" s="18">
        <v>0</v>
      </c>
      <c r="DK17" s="18">
        <v>0</v>
      </c>
      <c r="DL17" s="18">
        <v>0</v>
      </c>
      <c r="DM17" s="18">
        <v>0</v>
      </c>
      <c r="DN17" s="18">
        <v>0</v>
      </c>
      <c r="DO17" s="18">
        <v>0</v>
      </c>
      <c r="DP17" s="18">
        <v>0</v>
      </c>
      <c r="DQ17" s="18">
        <v>0</v>
      </c>
      <c r="DR17" s="18">
        <v>0</v>
      </c>
      <c r="DS17" s="18">
        <v>0</v>
      </c>
      <c r="DT17" s="18">
        <v>0</v>
      </c>
      <c r="DU17" s="18">
        <v>0</v>
      </c>
      <c r="DV17" s="18">
        <v>0</v>
      </c>
    </row>
    <row r="18" spans="1:126" x14ac:dyDescent="0.25">
      <c r="A18" s="8">
        <v>14</v>
      </c>
      <c r="B18" s="8">
        <v>6.5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0</v>
      </c>
      <c r="BQ18" s="18">
        <v>0</v>
      </c>
      <c r="BR18" s="18">
        <v>0</v>
      </c>
      <c r="BS18" s="18">
        <v>0</v>
      </c>
      <c r="BT18" s="18">
        <v>0</v>
      </c>
      <c r="BU18" s="18">
        <v>0</v>
      </c>
      <c r="BV18" s="18">
        <v>0</v>
      </c>
      <c r="BW18" s="18">
        <v>0</v>
      </c>
      <c r="BX18" s="18">
        <v>0</v>
      </c>
      <c r="BY18" s="18">
        <v>0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  <c r="CF18" s="18">
        <v>0</v>
      </c>
      <c r="CG18" s="18">
        <v>0</v>
      </c>
      <c r="CH18" s="18">
        <v>0</v>
      </c>
      <c r="CI18" s="18">
        <v>0</v>
      </c>
      <c r="CJ18" s="18">
        <v>0</v>
      </c>
      <c r="CK18" s="18">
        <v>0</v>
      </c>
      <c r="CL18" s="18">
        <v>0</v>
      </c>
      <c r="CM18" s="18">
        <v>0</v>
      </c>
      <c r="CN18" s="18">
        <v>0</v>
      </c>
      <c r="CO18" s="18">
        <v>0</v>
      </c>
      <c r="CP18" s="18">
        <v>0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18">
        <v>0</v>
      </c>
      <c r="CX18" s="18">
        <v>0</v>
      </c>
      <c r="CY18" s="18">
        <v>0</v>
      </c>
      <c r="CZ18" s="18">
        <v>0</v>
      </c>
      <c r="DA18" s="18">
        <v>0</v>
      </c>
      <c r="DB18" s="18">
        <v>0</v>
      </c>
      <c r="DC18" s="18">
        <v>0</v>
      </c>
      <c r="DD18" s="18">
        <v>0</v>
      </c>
      <c r="DE18" s="18">
        <v>0</v>
      </c>
      <c r="DF18" s="18">
        <v>0</v>
      </c>
      <c r="DG18" s="18">
        <v>0</v>
      </c>
      <c r="DH18" s="18">
        <v>0</v>
      </c>
      <c r="DI18" s="18">
        <v>0</v>
      </c>
      <c r="DJ18" s="18">
        <v>0</v>
      </c>
      <c r="DK18" s="18">
        <v>0</v>
      </c>
      <c r="DL18" s="18">
        <v>0</v>
      </c>
      <c r="DM18" s="18">
        <v>0</v>
      </c>
      <c r="DN18" s="18">
        <v>0</v>
      </c>
      <c r="DO18" s="18">
        <v>0</v>
      </c>
      <c r="DP18" s="18">
        <v>0</v>
      </c>
      <c r="DQ18" s="18">
        <v>0</v>
      </c>
      <c r="DR18" s="18">
        <v>0</v>
      </c>
      <c r="DS18" s="18">
        <v>0</v>
      </c>
      <c r="DT18" s="18">
        <v>0.751</v>
      </c>
      <c r="DU18" s="18">
        <v>0</v>
      </c>
      <c r="DV18" s="18">
        <v>0</v>
      </c>
    </row>
    <row r="19" spans="1:126" x14ac:dyDescent="0.25">
      <c r="A19" s="8">
        <v>15</v>
      </c>
      <c r="B19" s="8">
        <v>7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0.45100000000000001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  <c r="CF19" s="18">
        <v>0</v>
      </c>
      <c r="CG19" s="18">
        <v>0</v>
      </c>
      <c r="CH19" s="18">
        <v>0</v>
      </c>
      <c r="CI19" s="18">
        <v>0</v>
      </c>
      <c r="CJ19" s="18">
        <v>0</v>
      </c>
      <c r="CK19" s="18">
        <v>0</v>
      </c>
      <c r="CL19" s="18">
        <v>0</v>
      </c>
      <c r="CM19" s="18">
        <v>0</v>
      </c>
      <c r="CN19" s="18">
        <v>0</v>
      </c>
      <c r="CO19" s="18">
        <v>0</v>
      </c>
      <c r="CP19" s="18">
        <v>0</v>
      </c>
      <c r="CQ19" s="18">
        <v>0</v>
      </c>
      <c r="CR19" s="18">
        <v>0</v>
      </c>
      <c r="CS19" s="18">
        <v>0</v>
      </c>
      <c r="CT19" s="18">
        <v>0</v>
      </c>
      <c r="CU19" s="18">
        <v>0</v>
      </c>
      <c r="CV19" s="18">
        <v>0</v>
      </c>
      <c r="CW19" s="18">
        <v>0</v>
      </c>
      <c r="CX19" s="18">
        <v>0</v>
      </c>
      <c r="CY19" s="18">
        <v>0</v>
      </c>
      <c r="CZ19" s="18">
        <v>0</v>
      </c>
      <c r="DA19" s="18">
        <v>0</v>
      </c>
      <c r="DB19" s="18">
        <v>0</v>
      </c>
      <c r="DC19" s="18">
        <v>0</v>
      </c>
      <c r="DD19" s="18">
        <v>0</v>
      </c>
      <c r="DE19" s="18">
        <v>0</v>
      </c>
      <c r="DF19" s="18">
        <v>0</v>
      </c>
      <c r="DG19" s="18">
        <v>0</v>
      </c>
      <c r="DH19" s="18">
        <v>0</v>
      </c>
      <c r="DI19" s="18">
        <v>0</v>
      </c>
      <c r="DJ19" s="18">
        <v>0</v>
      </c>
      <c r="DK19" s="18">
        <v>0</v>
      </c>
      <c r="DL19" s="18">
        <v>0</v>
      </c>
      <c r="DM19" s="18">
        <v>0</v>
      </c>
      <c r="DN19" s="18">
        <v>0</v>
      </c>
      <c r="DO19" s="18">
        <v>0</v>
      </c>
      <c r="DP19" s="18">
        <v>0</v>
      </c>
      <c r="DQ19" s="18">
        <v>0</v>
      </c>
      <c r="DR19" s="18">
        <v>0</v>
      </c>
      <c r="DS19" s="18">
        <v>0</v>
      </c>
      <c r="DT19" s="18">
        <v>0</v>
      </c>
      <c r="DU19" s="18">
        <v>0</v>
      </c>
      <c r="DV19" s="18">
        <v>0</v>
      </c>
    </row>
    <row r="20" spans="1:126" x14ac:dyDescent="0.25">
      <c r="A20" s="8">
        <v>16</v>
      </c>
      <c r="B20" s="8">
        <v>7.5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0.217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</row>
    <row r="21" spans="1:126" x14ac:dyDescent="0.25">
      <c r="A21" s="8">
        <v>17</v>
      </c>
      <c r="B21" s="8">
        <v>8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0.114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0.23</v>
      </c>
      <c r="R21" s="18">
        <v>0.73499999999999999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  <c r="BQ21" s="18">
        <v>0</v>
      </c>
      <c r="BR21" s="18">
        <v>0</v>
      </c>
      <c r="BS21" s="18">
        <v>0</v>
      </c>
      <c r="BT21" s="18">
        <v>0</v>
      </c>
      <c r="BU21" s="18">
        <v>0</v>
      </c>
      <c r="BV21" s="18">
        <v>0</v>
      </c>
      <c r="BW21" s="18">
        <v>0</v>
      </c>
      <c r="BX21" s="18">
        <v>0</v>
      </c>
      <c r="BY21" s="18">
        <v>0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18">
        <v>0</v>
      </c>
      <c r="CI21" s="18">
        <v>0</v>
      </c>
      <c r="CJ21" s="18">
        <v>0</v>
      </c>
      <c r="CK21" s="18">
        <v>0</v>
      </c>
      <c r="CL21" s="18">
        <v>0</v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18">
        <v>0</v>
      </c>
      <c r="CX21" s="18">
        <v>0</v>
      </c>
      <c r="CY21" s="18">
        <v>0</v>
      </c>
      <c r="CZ21" s="18">
        <v>0</v>
      </c>
      <c r="DA21" s="18">
        <v>0</v>
      </c>
      <c r="DB21" s="18">
        <v>0</v>
      </c>
      <c r="DC21" s="18">
        <v>0</v>
      </c>
      <c r="DD21" s="18">
        <v>0</v>
      </c>
      <c r="DE21" s="18">
        <v>0</v>
      </c>
      <c r="DF21" s="18">
        <v>0</v>
      </c>
      <c r="DG21" s="18">
        <v>0</v>
      </c>
      <c r="DH21" s="18">
        <v>0</v>
      </c>
      <c r="DI21" s="18">
        <v>0</v>
      </c>
      <c r="DJ21" s="18">
        <v>0</v>
      </c>
      <c r="DK21" s="18">
        <v>0</v>
      </c>
      <c r="DL21" s="18">
        <v>0</v>
      </c>
      <c r="DM21" s="18">
        <v>0</v>
      </c>
      <c r="DN21" s="18">
        <v>0</v>
      </c>
      <c r="DO21" s="18">
        <v>0</v>
      </c>
      <c r="DP21" s="18">
        <v>0</v>
      </c>
      <c r="DQ21" s="18">
        <v>0</v>
      </c>
      <c r="DR21" s="18">
        <v>0</v>
      </c>
      <c r="DS21" s="18">
        <v>0</v>
      </c>
      <c r="DT21" s="18">
        <v>0</v>
      </c>
      <c r="DU21" s="18">
        <v>0</v>
      </c>
      <c r="DV21" s="18">
        <v>0</v>
      </c>
    </row>
    <row r="22" spans="1:126" x14ac:dyDescent="0.25">
      <c r="A22" s="8">
        <v>18</v>
      </c>
      <c r="B22" s="8">
        <v>8.5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0.48899999999999999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0.1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18">
        <v>0</v>
      </c>
      <c r="CI22" s="18">
        <v>0</v>
      </c>
      <c r="CJ22" s="18">
        <v>0</v>
      </c>
      <c r="CK22" s="18">
        <v>0</v>
      </c>
      <c r="CL22" s="18">
        <v>0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0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18">
        <v>0.377</v>
      </c>
      <c r="DF22" s="18">
        <v>0</v>
      </c>
      <c r="DG22" s="18">
        <v>0</v>
      </c>
      <c r="DH22" s="18">
        <v>0</v>
      </c>
      <c r="DI22" s="18">
        <v>0</v>
      </c>
      <c r="DJ22" s="18">
        <v>0</v>
      </c>
      <c r="DK22" s="18">
        <v>0</v>
      </c>
      <c r="DL22" s="18">
        <v>0</v>
      </c>
      <c r="DM22" s="18">
        <v>0</v>
      </c>
      <c r="DN22" s="18">
        <v>0</v>
      </c>
      <c r="DO22" s="18">
        <v>0</v>
      </c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>
        <v>0</v>
      </c>
      <c r="DV22" s="18">
        <v>0</v>
      </c>
    </row>
    <row r="23" spans="1:126" x14ac:dyDescent="0.25">
      <c r="A23" s="8">
        <v>19</v>
      </c>
      <c r="B23" s="8">
        <v>9</v>
      </c>
      <c r="C23" s="18">
        <v>0</v>
      </c>
      <c r="D23" s="18">
        <v>0</v>
      </c>
      <c r="E23" s="18">
        <v>0</v>
      </c>
      <c r="F23" s="18">
        <v>0.34100000000000003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2.1000000000000001E-2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18">
        <v>0</v>
      </c>
      <c r="CI23" s="18">
        <v>0</v>
      </c>
      <c r="CJ23" s="18">
        <v>0</v>
      </c>
      <c r="CK23" s="18">
        <v>0</v>
      </c>
      <c r="CL23" s="18">
        <v>0</v>
      </c>
      <c r="CM23" s="18">
        <v>0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18">
        <v>0</v>
      </c>
      <c r="CX23" s="18">
        <v>0</v>
      </c>
      <c r="CY23" s="18">
        <v>0</v>
      </c>
      <c r="CZ23" s="18">
        <v>0</v>
      </c>
      <c r="DA23" s="18">
        <v>0</v>
      </c>
      <c r="DB23" s="18">
        <v>0</v>
      </c>
      <c r="DC23" s="18">
        <v>0</v>
      </c>
      <c r="DD23" s="18">
        <v>0</v>
      </c>
      <c r="DE23" s="18">
        <v>1.3779999999999999</v>
      </c>
      <c r="DF23" s="18">
        <v>0</v>
      </c>
      <c r="DG23" s="18">
        <v>0</v>
      </c>
      <c r="DH23" s="18">
        <v>0</v>
      </c>
      <c r="DI23" s="18">
        <v>0</v>
      </c>
      <c r="DJ23" s="18">
        <v>0</v>
      </c>
      <c r="DK23" s="18">
        <v>0</v>
      </c>
      <c r="DL23" s="18">
        <v>0</v>
      </c>
      <c r="DM23" s="18">
        <v>0</v>
      </c>
      <c r="DN23" s="18">
        <v>0</v>
      </c>
      <c r="DO23" s="18">
        <v>0</v>
      </c>
      <c r="DP23" s="18">
        <v>0</v>
      </c>
      <c r="DQ23" s="18">
        <v>0</v>
      </c>
      <c r="DR23" s="18">
        <v>0</v>
      </c>
      <c r="DS23" s="18">
        <v>0</v>
      </c>
      <c r="DT23" s="18">
        <v>0</v>
      </c>
      <c r="DU23" s="18">
        <v>0</v>
      </c>
      <c r="DV23" s="18">
        <v>7.9000000000000001E-2</v>
      </c>
    </row>
    <row r="24" spans="1:126" x14ac:dyDescent="0.25">
      <c r="A24" s="8">
        <v>20</v>
      </c>
      <c r="B24" s="8">
        <v>9.5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0.27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18">
        <v>0</v>
      </c>
      <c r="BU24" s="18">
        <v>0</v>
      </c>
      <c r="BV24" s="18">
        <v>0</v>
      </c>
      <c r="BW24" s="18">
        <v>0</v>
      </c>
      <c r="BX24" s="18">
        <v>0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18">
        <v>0</v>
      </c>
      <c r="CH24" s="18">
        <v>0</v>
      </c>
      <c r="CI24" s="18">
        <v>1.756</v>
      </c>
      <c r="CJ24" s="18">
        <v>0</v>
      </c>
      <c r="CK24" s="18">
        <v>0</v>
      </c>
      <c r="CL24" s="18">
        <v>0</v>
      </c>
      <c r="CM24" s="18">
        <v>0</v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18">
        <v>0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1.091</v>
      </c>
      <c r="DD24" s="18">
        <v>0</v>
      </c>
      <c r="DE24" s="18">
        <v>0</v>
      </c>
      <c r="DF24" s="18">
        <v>0</v>
      </c>
      <c r="DG24" s="18">
        <v>0</v>
      </c>
      <c r="DH24" s="18">
        <v>0</v>
      </c>
      <c r="DI24" s="18">
        <v>0</v>
      </c>
      <c r="DJ24" s="18">
        <v>0</v>
      </c>
      <c r="DK24" s="18">
        <v>0</v>
      </c>
      <c r="DL24" s="18">
        <v>0</v>
      </c>
      <c r="DM24" s="18">
        <v>0</v>
      </c>
      <c r="DN24" s="18">
        <v>0</v>
      </c>
      <c r="DO24" s="18">
        <v>0</v>
      </c>
      <c r="DP24" s="18">
        <v>0</v>
      </c>
      <c r="DQ24" s="18">
        <v>0</v>
      </c>
      <c r="DR24" s="18">
        <v>0</v>
      </c>
      <c r="DS24" s="18">
        <v>0</v>
      </c>
      <c r="DT24" s="18">
        <v>0</v>
      </c>
      <c r="DU24" s="18">
        <v>0</v>
      </c>
      <c r="DV24" s="18">
        <v>0</v>
      </c>
    </row>
    <row r="25" spans="1:126" x14ac:dyDescent="0.25">
      <c r="A25" s="8">
        <v>21</v>
      </c>
      <c r="B25" s="8">
        <v>10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1.3540000000000001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0.13100000000000001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8">
        <v>0</v>
      </c>
      <c r="BU25" s="18">
        <v>0</v>
      </c>
      <c r="BV25" s="18">
        <v>0</v>
      </c>
      <c r="BW25" s="18">
        <v>0</v>
      </c>
      <c r="BX25" s="18">
        <v>0</v>
      </c>
      <c r="BY25" s="18">
        <v>0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  <c r="CE25" s="18">
        <v>0</v>
      </c>
      <c r="CF25" s="18">
        <v>0</v>
      </c>
      <c r="CG25" s="18">
        <v>0</v>
      </c>
      <c r="CH25" s="18">
        <v>0</v>
      </c>
      <c r="CI25" s="18">
        <v>0</v>
      </c>
      <c r="CJ25" s="18">
        <v>0</v>
      </c>
      <c r="CK25" s="18">
        <v>0</v>
      </c>
      <c r="CL25" s="18">
        <v>0</v>
      </c>
      <c r="CM25" s="18">
        <v>0</v>
      </c>
      <c r="CN25" s="18">
        <v>0</v>
      </c>
      <c r="CO25" s="18">
        <v>0</v>
      </c>
      <c r="CP25" s="18">
        <v>0</v>
      </c>
      <c r="CQ25" s="18">
        <v>0</v>
      </c>
      <c r="CR25" s="18">
        <v>0</v>
      </c>
      <c r="CS25" s="18">
        <v>0</v>
      </c>
      <c r="CT25" s="18">
        <v>0</v>
      </c>
      <c r="CU25" s="18">
        <v>0</v>
      </c>
      <c r="CV25" s="18">
        <v>0</v>
      </c>
      <c r="CW25" s="18">
        <v>0</v>
      </c>
      <c r="CX25" s="18">
        <v>0</v>
      </c>
      <c r="CY25" s="18">
        <v>0</v>
      </c>
      <c r="CZ25" s="18">
        <v>0</v>
      </c>
      <c r="DA25" s="18">
        <v>0</v>
      </c>
      <c r="DB25" s="18">
        <v>0</v>
      </c>
      <c r="DC25" s="18">
        <v>0</v>
      </c>
      <c r="DD25" s="18">
        <v>0</v>
      </c>
      <c r="DE25" s="18">
        <v>0</v>
      </c>
      <c r="DF25" s="18">
        <v>0</v>
      </c>
      <c r="DG25" s="18">
        <v>0</v>
      </c>
      <c r="DH25" s="18">
        <v>0</v>
      </c>
      <c r="DI25" s="18">
        <v>0</v>
      </c>
      <c r="DJ25" s="18">
        <v>0</v>
      </c>
      <c r="DK25" s="18">
        <v>0</v>
      </c>
      <c r="DL25" s="18">
        <v>0</v>
      </c>
      <c r="DM25" s="18">
        <v>0</v>
      </c>
      <c r="DN25" s="18">
        <v>0</v>
      </c>
      <c r="DO25" s="18">
        <v>0</v>
      </c>
      <c r="DP25" s="18">
        <v>0</v>
      </c>
      <c r="DQ25" s="18">
        <v>0</v>
      </c>
      <c r="DR25" s="18">
        <v>0</v>
      </c>
      <c r="DS25" s="18">
        <v>0</v>
      </c>
      <c r="DT25" s="18">
        <v>0</v>
      </c>
      <c r="DU25" s="18">
        <v>0</v>
      </c>
      <c r="DV25" s="18">
        <v>0</v>
      </c>
    </row>
    <row r="26" spans="1:126" x14ac:dyDescent="0.25">
      <c r="A26" s="8">
        <v>22</v>
      </c>
      <c r="B26" s="8">
        <v>10.5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0.93500000000000005</v>
      </c>
      <c r="S26" s="18">
        <v>0</v>
      </c>
      <c r="T26" s="18">
        <v>0.32</v>
      </c>
      <c r="U26" s="18">
        <v>0</v>
      </c>
      <c r="V26" s="18">
        <v>0</v>
      </c>
      <c r="W26" s="18">
        <v>1.2929999999999999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0.40400000000000003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0.81299999999999994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18">
        <v>0</v>
      </c>
      <c r="CH26" s="18">
        <v>0</v>
      </c>
      <c r="CI26" s="18">
        <v>0</v>
      </c>
      <c r="CJ26" s="18">
        <v>0</v>
      </c>
      <c r="CK26" s="18">
        <v>0</v>
      </c>
      <c r="CL26" s="18">
        <v>0</v>
      </c>
      <c r="CM26" s="18">
        <v>0</v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18">
        <v>0</v>
      </c>
      <c r="CX26" s="18">
        <v>0</v>
      </c>
      <c r="CY26" s="18">
        <v>0</v>
      </c>
      <c r="CZ26" s="18">
        <v>0</v>
      </c>
      <c r="DA26" s="18">
        <v>0</v>
      </c>
      <c r="DB26" s="18">
        <v>0</v>
      </c>
      <c r="DC26" s="18">
        <v>0</v>
      </c>
      <c r="DD26" s="18">
        <v>0</v>
      </c>
      <c r="DE26" s="18">
        <v>0</v>
      </c>
      <c r="DF26" s="18">
        <v>0</v>
      </c>
      <c r="DG26" s="18">
        <v>0</v>
      </c>
      <c r="DH26" s="18">
        <v>0</v>
      </c>
      <c r="DI26" s="18">
        <v>0</v>
      </c>
      <c r="DJ26" s="18">
        <v>0</v>
      </c>
      <c r="DK26" s="18">
        <v>0</v>
      </c>
      <c r="DL26" s="18">
        <v>0</v>
      </c>
      <c r="DM26" s="18">
        <v>0</v>
      </c>
      <c r="DN26" s="18">
        <v>0</v>
      </c>
      <c r="DO26" s="18">
        <v>0</v>
      </c>
      <c r="DP26" s="18">
        <v>0</v>
      </c>
      <c r="DQ26" s="18">
        <v>0</v>
      </c>
      <c r="DR26" s="18">
        <v>0</v>
      </c>
      <c r="DS26" s="18">
        <v>0</v>
      </c>
      <c r="DT26" s="18">
        <v>0</v>
      </c>
      <c r="DU26" s="18">
        <v>0</v>
      </c>
      <c r="DV26" s="18">
        <v>0</v>
      </c>
    </row>
    <row r="27" spans="1:126" x14ac:dyDescent="0.25">
      <c r="A27" s="8">
        <v>23</v>
      </c>
      <c r="B27" s="8">
        <v>11</v>
      </c>
      <c r="C27" s="18">
        <v>0</v>
      </c>
      <c r="D27" s="18">
        <v>0</v>
      </c>
      <c r="E27" s="18">
        <v>0</v>
      </c>
      <c r="F27" s="18">
        <v>0.373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0.42199999999999999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4.3999999999999997E-2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0</v>
      </c>
      <c r="CG27" s="18">
        <v>0</v>
      </c>
      <c r="CH27" s="18">
        <v>0</v>
      </c>
      <c r="CI27" s="18">
        <v>0</v>
      </c>
      <c r="CJ27" s="18">
        <v>0</v>
      </c>
      <c r="CK27" s="18">
        <v>0</v>
      </c>
      <c r="CL27" s="18">
        <v>0</v>
      </c>
      <c r="CM27" s="18">
        <v>0</v>
      </c>
      <c r="CN27" s="18">
        <v>0.221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18">
        <v>0</v>
      </c>
      <c r="CX27" s="18">
        <v>0</v>
      </c>
      <c r="CY27" s="18">
        <v>0</v>
      </c>
      <c r="CZ27" s="18">
        <v>0</v>
      </c>
      <c r="DA27" s="18">
        <v>0</v>
      </c>
      <c r="DB27" s="18">
        <v>0</v>
      </c>
      <c r="DC27" s="18">
        <v>0</v>
      </c>
      <c r="DD27" s="18">
        <v>0</v>
      </c>
      <c r="DE27" s="18">
        <v>0</v>
      </c>
      <c r="DF27" s="18">
        <v>0</v>
      </c>
      <c r="DG27" s="18">
        <v>0</v>
      </c>
      <c r="DH27" s="18">
        <v>0</v>
      </c>
      <c r="DI27" s="18">
        <v>0</v>
      </c>
      <c r="DJ27" s="18">
        <v>0</v>
      </c>
      <c r="DK27" s="18">
        <v>0</v>
      </c>
      <c r="DL27" s="18">
        <v>0</v>
      </c>
      <c r="DM27" s="18">
        <v>0</v>
      </c>
      <c r="DN27" s="18">
        <v>0</v>
      </c>
      <c r="DO27" s="18">
        <v>0</v>
      </c>
      <c r="DP27" s="18">
        <v>0</v>
      </c>
      <c r="DQ27" s="18">
        <v>0</v>
      </c>
      <c r="DR27" s="18">
        <v>0</v>
      </c>
      <c r="DS27" s="18">
        <v>0</v>
      </c>
      <c r="DT27" s="18">
        <v>0</v>
      </c>
      <c r="DU27" s="18">
        <v>0</v>
      </c>
      <c r="DV27" s="18">
        <v>0</v>
      </c>
    </row>
    <row r="28" spans="1:126" x14ac:dyDescent="0.25">
      <c r="A28" s="8">
        <v>24</v>
      </c>
      <c r="B28" s="8">
        <v>11.5</v>
      </c>
      <c r="C28" s="18">
        <v>0</v>
      </c>
      <c r="D28" s="18">
        <v>0</v>
      </c>
      <c r="E28" s="18">
        <v>0</v>
      </c>
      <c r="F28" s="18">
        <v>2.9260000000000002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0.39200000000000002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1.0569999999999999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18">
        <v>0</v>
      </c>
      <c r="CI28" s="18">
        <v>0</v>
      </c>
      <c r="CJ28" s="18">
        <v>0</v>
      </c>
      <c r="CK28" s="18">
        <v>0</v>
      </c>
      <c r="CL28" s="18">
        <v>0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18">
        <v>0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18">
        <v>0</v>
      </c>
      <c r="DF28" s="18">
        <v>0</v>
      </c>
      <c r="DG28" s="18">
        <v>0.80100000000000005</v>
      </c>
      <c r="DH28" s="18">
        <v>0</v>
      </c>
      <c r="DI28" s="18">
        <v>0</v>
      </c>
      <c r="DJ28" s="18">
        <v>0</v>
      </c>
      <c r="DK28" s="18">
        <v>0</v>
      </c>
      <c r="DL28" s="18">
        <v>0</v>
      </c>
      <c r="DM28" s="18">
        <v>0</v>
      </c>
      <c r="DN28" s="18">
        <v>0</v>
      </c>
      <c r="DO28" s="18">
        <v>0</v>
      </c>
      <c r="DP28" s="18">
        <v>0</v>
      </c>
      <c r="DQ28" s="18">
        <v>0</v>
      </c>
      <c r="DR28" s="18">
        <v>0</v>
      </c>
      <c r="DS28" s="18">
        <v>0</v>
      </c>
      <c r="DT28" s="18">
        <v>0.16600000000000001</v>
      </c>
      <c r="DU28" s="18">
        <v>0</v>
      </c>
      <c r="DV28" s="18">
        <v>0</v>
      </c>
    </row>
    <row r="29" spans="1:126" x14ac:dyDescent="0.25">
      <c r="A29" s="8">
        <v>25</v>
      </c>
      <c r="B29" s="8">
        <v>12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3.7999999999999999E-2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0.92</v>
      </c>
      <c r="BN29" s="18">
        <v>0</v>
      </c>
      <c r="BO29" s="18">
        <v>0</v>
      </c>
      <c r="BP29" s="18">
        <v>0</v>
      </c>
      <c r="BQ29" s="18">
        <v>0</v>
      </c>
      <c r="BR29" s="18">
        <v>0</v>
      </c>
      <c r="BS29" s="18">
        <v>0</v>
      </c>
      <c r="BT29" s="18">
        <v>0</v>
      </c>
      <c r="BU29" s="18">
        <v>0</v>
      </c>
      <c r="BV29" s="18">
        <v>0</v>
      </c>
      <c r="BW29" s="18">
        <v>0</v>
      </c>
      <c r="BX29" s="18">
        <v>0</v>
      </c>
      <c r="BY29" s="18">
        <v>0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  <c r="CE29" s="18">
        <v>0</v>
      </c>
      <c r="CF29" s="18">
        <v>0</v>
      </c>
      <c r="CG29" s="18">
        <v>0</v>
      </c>
      <c r="CH29" s="18">
        <v>0</v>
      </c>
      <c r="CI29" s="18">
        <v>0</v>
      </c>
      <c r="CJ29" s="18">
        <v>0</v>
      </c>
      <c r="CK29" s="18">
        <v>0</v>
      </c>
      <c r="CL29" s="18">
        <v>0</v>
      </c>
      <c r="CM29" s="18">
        <v>0</v>
      </c>
      <c r="CN29" s="18">
        <v>0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  <c r="CT29" s="18">
        <v>0</v>
      </c>
      <c r="CU29" s="18">
        <v>0</v>
      </c>
      <c r="CV29" s="18">
        <v>0</v>
      </c>
      <c r="CW29" s="18">
        <v>0</v>
      </c>
      <c r="CX29" s="18">
        <v>0</v>
      </c>
      <c r="CY29" s="18">
        <v>0</v>
      </c>
      <c r="CZ29" s="18">
        <v>0</v>
      </c>
      <c r="DA29" s="18">
        <v>0</v>
      </c>
      <c r="DB29" s="18">
        <v>0</v>
      </c>
      <c r="DC29" s="18">
        <v>0</v>
      </c>
      <c r="DD29" s="18">
        <v>0</v>
      </c>
      <c r="DE29" s="18">
        <v>0</v>
      </c>
      <c r="DF29" s="18">
        <v>0</v>
      </c>
      <c r="DG29" s="18">
        <v>0</v>
      </c>
      <c r="DH29" s="18">
        <v>0</v>
      </c>
      <c r="DI29" s="18">
        <v>0</v>
      </c>
      <c r="DJ29" s="18">
        <v>0</v>
      </c>
      <c r="DK29" s="18">
        <v>0</v>
      </c>
      <c r="DL29" s="18">
        <v>0</v>
      </c>
      <c r="DM29" s="18">
        <v>0</v>
      </c>
      <c r="DN29" s="18">
        <v>0</v>
      </c>
      <c r="DO29" s="18">
        <v>0</v>
      </c>
      <c r="DP29" s="18">
        <v>1.6E-2</v>
      </c>
      <c r="DQ29" s="18">
        <v>0</v>
      </c>
      <c r="DR29" s="18">
        <v>0</v>
      </c>
      <c r="DS29" s="18">
        <v>0</v>
      </c>
      <c r="DT29" s="18">
        <v>0</v>
      </c>
      <c r="DU29" s="18">
        <v>0</v>
      </c>
      <c r="DV29" s="18">
        <v>1.2869999999999999</v>
      </c>
    </row>
    <row r="30" spans="1:126" x14ac:dyDescent="0.25">
      <c r="A30" s="8">
        <v>26</v>
      </c>
      <c r="B30" s="8">
        <v>12.5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0.47499999999999998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0.13700000000000001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8">
        <v>0</v>
      </c>
      <c r="DI30" s="18">
        <v>0</v>
      </c>
      <c r="DJ30" s="18">
        <v>0</v>
      </c>
      <c r="DK30" s="18">
        <v>0</v>
      </c>
      <c r="DL30" s="18">
        <v>0</v>
      </c>
      <c r="DM30" s="18">
        <v>0</v>
      </c>
      <c r="DN30" s="18">
        <v>0</v>
      </c>
      <c r="DO30" s="18">
        <v>0</v>
      </c>
      <c r="DP30" s="18">
        <v>0</v>
      </c>
      <c r="DQ30" s="18">
        <v>0</v>
      </c>
      <c r="DR30" s="18">
        <v>0</v>
      </c>
      <c r="DS30" s="18">
        <v>0</v>
      </c>
      <c r="DT30" s="18">
        <v>0</v>
      </c>
      <c r="DU30" s="18">
        <v>0</v>
      </c>
      <c r="DV30" s="18">
        <v>0</v>
      </c>
    </row>
    <row r="31" spans="1:126" x14ac:dyDescent="0.25">
      <c r="A31" s="8">
        <v>27</v>
      </c>
      <c r="B31" s="8">
        <v>13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0.32600000000000001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0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0</v>
      </c>
      <c r="CH31" s="18">
        <v>0</v>
      </c>
      <c r="CI31" s="18">
        <v>0</v>
      </c>
      <c r="CJ31" s="18">
        <v>0</v>
      </c>
      <c r="CK31" s="18">
        <v>0</v>
      </c>
      <c r="CL31" s="18">
        <v>0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18">
        <v>0</v>
      </c>
      <c r="CX31" s="18">
        <v>0</v>
      </c>
      <c r="CY31" s="18">
        <v>0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18">
        <v>0</v>
      </c>
      <c r="DF31" s="18">
        <v>0</v>
      </c>
      <c r="DG31" s="18">
        <v>0</v>
      </c>
      <c r="DH31" s="18">
        <v>0</v>
      </c>
      <c r="DI31" s="18">
        <v>0</v>
      </c>
      <c r="DJ31" s="18">
        <v>0</v>
      </c>
      <c r="DK31" s="18">
        <v>0</v>
      </c>
      <c r="DL31" s="18">
        <v>0</v>
      </c>
      <c r="DM31" s="18">
        <v>0</v>
      </c>
      <c r="DN31" s="18">
        <v>0</v>
      </c>
      <c r="DO31" s="18">
        <v>0</v>
      </c>
      <c r="DP31" s="18">
        <v>0</v>
      </c>
      <c r="DQ31" s="18">
        <v>0</v>
      </c>
      <c r="DR31" s="18">
        <v>0</v>
      </c>
      <c r="DS31" s="18">
        <v>0</v>
      </c>
      <c r="DT31" s="18">
        <v>0</v>
      </c>
      <c r="DU31" s="18">
        <v>0</v>
      </c>
      <c r="DV31" s="18">
        <v>0</v>
      </c>
    </row>
    <row r="32" spans="1:126" x14ac:dyDescent="0.25">
      <c r="A32" s="8">
        <v>28</v>
      </c>
      <c r="B32" s="8">
        <v>13.5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0.38600000000000001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0</v>
      </c>
      <c r="CH32" s="18">
        <v>0</v>
      </c>
      <c r="CI32" s="18">
        <v>0</v>
      </c>
      <c r="CJ32" s="18">
        <v>0</v>
      </c>
      <c r="CK32" s="18">
        <v>0</v>
      </c>
      <c r="CL32" s="18">
        <v>0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0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18">
        <v>0</v>
      </c>
      <c r="DF32" s="18">
        <v>0</v>
      </c>
      <c r="DG32" s="18">
        <v>0</v>
      </c>
      <c r="DH32" s="18">
        <v>0</v>
      </c>
      <c r="DI32" s="18">
        <v>0</v>
      </c>
      <c r="DJ32" s="18">
        <v>0</v>
      </c>
      <c r="DK32" s="18">
        <v>0</v>
      </c>
      <c r="DL32" s="18">
        <v>0</v>
      </c>
      <c r="DM32" s="18">
        <v>0</v>
      </c>
      <c r="DN32" s="18">
        <v>0</v>
      </c>
      <c r="DO32" s="18">
        <v>0</v>
      </c>
      <c r="DP32" s="18">
        <v>0</v>
      </c>
      <c r="DQ32" s="18">
        <v>0</v>
      </c>
      <c r="DR32" s="18">
        <v>0</v>
      </c>
      <c r="DS32" s="18">
        <v>0</v>
      </c>
      <c r="DT32" s="18">
        <v>0</v>
      </c>
      <c r="DU32" s="18">
        <v>0</v>
      </c>
      <c r="DV32" s="18">
        <v>0</v>
      </c>
    </row>
    <row r="33" spans="1:126" x14ac:dyDescent="0.25">
      <c r="A33" s="8">
        <v>29</v>
      </c>
      <c r="B33" s="8">
        <v>14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0.747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0.73099999999999998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8">
        <v>0</v>
      </c>
      <c r="DH33" s="18">
        <v>0</v>
      </c>
      <c r="DI33" s="18">
        <v>0</v>
      </c>
      <c r="DJ33" s="18">
        <v>0</v>
      </c>
      <c r="DK33" s="18">
        <v>0</v>
      </c>
      <c r="DL33" s="18">
        <v>0</v>
      </c>
      <c r="DM33" s="18">
        <v>0</v>
      </c>
      <c r="DN33" s="18">
        <v>0</v>
      </c>
      <c r="DO33" s="18">
        <v>0</v>
      </c>
      <c r="DP33" s="18">
        <v>0</v>
      </c>
      <c r="DQ33" s="18">
        <v>0</v>
      </c>
      <c r="DR33" s="18">
        <v>0</v>
      </c>
      <c r="DS33" s="18">
        <v>0</v>
      </c>
      <c r="DT33" s="18">
        <v>0</v>
      </c>
      <c r="DU33" s="18">
        <v>0</v>
      </c>
      <c r="DV33" s="18">
        <v>0</v>
      </c>
    </row>
    <row r="34" spans="1:126" x14ac:dyDescent="0.25">
      <c r="A34" s="8">
        <v>30</v>
      </c>
      <c r="B34" s="8">
        <v>14.5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0.35699999999999998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0.71699999999999997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1.0429999999999999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0.39300000000000002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0.50800000000000001</v>
      </c>
      <c r="DG34" s="18">
        <v>0</v>
      </c>
      <c r="DH34" s="18">
        <v>0</v>
      </c>
      <c r="DI34" s="18">
        <v>0</v>
      </c>
      <c r="DJ34" s="18">
        <v>0</v>
      </c>
      <c r="DK34" s="18">
        <v>0</v>
      </c>
      <c r="DL34" s="18">
        <v>0</v>
      </c>
      <c r="DM34" s="18">
        <v>0</v>
      </c>
      <c r="DN34" s="18">
        <v>0</v>
      </c>
      <c r="DO34" s="18">
        <v>0</v>
      </c>
      <c r="DP34" s="18">
        <v>0.58099999999999996</v>
      </c>
      <c r="DQ34" s="18">
        <v>0</v>
      </c>
      <c r="DR34" s="18">
        <v>0</v>
      </c>
      <c r="DS34" s="18">
        <v>0</v>
      </c>
      <c r="DT34" s="18">
        <v>0</v>
      </c>
      <c r="DU34" s="18">
        <v>0</v>
      </c>
      <c r="DV34" s="18">
        <v>0</v>
      </c>
    </row>
    <row r="35" spans="1:126" x14ac:dyDescent="0.25">
      <c r="A35" s="8">
        <v>31</v>
      </c>
      <c r="B35" s="8">
        <v>15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0.312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0.28599999999999998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1.393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0</v>
      </c>
      <c r="CI35" s="18">
        <v>0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0</v>
      </c>
      <c r="CX35" s="18">
        <v>0</v>
      </c>
      <c r="CY35" s="18">
        <v>0</v>
      </c>
      <c r="CZ35" s="18">
        <v>0</v>
      </c>
      <c r="DA35" s="18">
        <v>0</v>
      </c>
      <c r="DB35" s="18">
        <v>0</v>
      </c>
      <c r="DC35" s="18">
        <v>0</v>
      </c>
      <c r="DD35" s="18">
        <v>0</v>
      </c>
      <c r="DE35" s="18">
        <v>0</v>
      </c>
      <c r="DF35" s="18">
        <v>0.60299999999999998</v>
      </c>
      <c r="DG35" s="18">
        <v>0</v>
      </c>
      <c r="DH35" s="18">
        <v>0</v>
      </c>
      <c r="DI35" s="18">
        <v>0</v>
      </c>
      <c r="DJ35" s="18">
        <v>0</v>
      </c>
      <c r="DK35" s="18">
        <v>0</v>
      </c>
      <c r="DL35" s="18">
        <v>0</v>
      </c>
      <c r="DM35" s="18">
        <v>0</v>
      </c>
      <c r="DN35" s="18">
        <v>0</v>
      </c>
      <c r="DO35" s="18">
        <v>0</v>
      </c>
      <c r="DP35" s="18">
        <v>0.155</v>
      </c>
      <c r="DQ35" s="18">
        <v>0</v>
      </c>
      <c r="DR35" s="18">
        <v>0</v>
      </c>
      <c r="DS35" s="18">
        <v>0</v>
      </c>
      <c r="DT35" s="18">
        <v>0.06</v>
      </c>
      <c r="DU35" s="18">
        <v>0</v>
      </c>
      <c r="DV35" s="18">
        <v>0</v>
      </c>
    </row>
    <row r="36" spans="1:126" x14ac:dyDescent="0.25">
      <c r="A36" s="8">
        <v>32</v>
      </c>
      <c r="B36" s="8">
        <v>15.5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8">
        <v>0</v>
      </c>
      <c r="DI36" s="18">
        <v>0</v>
      </c>
      <c r="DJ36" s="18">
        <v>0</v>
      </c>
      <c r="DK36" s="18">
        <v>0</v>
      </c>
      <c r="DL36" s="18">
        <v>0</v>
      </c>
      <c r="DM36" s="18">
        <v>0</v>
      </c>
      <c r="DN36" s="18">
        <v>0</v>
      </c>
      <c r="DO36" s="18">
        <v>0</v>
      </c>
      <c r="DP36" s="18">
        <v>0</v>
      </c>
      <c r="DQ36" s="18">
        <v>0</v>
      </c>
      <c r="DR36" s="18">
        <v>0</v>
      </c>
      <c r="DS36" s="18">
        <v>0</v>
      </c>
      <c r="DT36" s="18">
        <v>0</v>
      </c>
      <c r="DU36" s="18">
        <v>1.5169999999999999</v>
      </c>
      <c r="DV36" s="18">
        <v>0</v>
      </c>
    </row>
    <row r="37" spans="1:126" x14ac:dyDescent="0.25">
      <c r="A37" s="8">
        <v>33</v>
      </c>
      <c r="B37" s="8">
        <v>16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0.34499999999999997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1.002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0.32400000000000001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0.79100000000000004</v>
      </c>
      <c r="DF37" s="18">
        <v>0</v>
      </c>
      <c r="DG37" s="18">
        <v>0</v>
      </c>
      <c r="DH37" s="18">
        <v>0</v>
      </c>
      <c r="DI37" s="18">
        <v>0</v>
      </c>
      <c r="DJ37" s="18">
        <v>0</v>
      </c>
      <c r="DK37" s="18">
        <v>0</v>
      </c>
      <c r="DL37" s="18">
        <v>0</v>
      </c>
      <c r="DM37" s="18">
        <v>0</v>
      </c>
      <c r="DN37" s="18">
        <v>0</v>
      </c>
      <c r="DO37" s="18">
        <v>0</v>
      </c>
      <c r="DP37" s="18">
        <v>0</v>
      </c>
      <c r="DQ37" s="18">
        <v>0</v>
      </c>
      <c r="DR37" s="18">
        <v>0</v>
      </c>
      <c r="DS37" s="18">
        <v>0</v>
      </c>
      <c r="DT37" s="18">
        <v>0</v>
      </c>
      <c r="DU37" s="18">
        <v>1.5629999999999999</v>
      </c>
      <c r="DV37" s="18">
        <v>0</v>
      </c>
    </row>
    <row r="38" spans="1:126" x14ac:dyDescent="0.25">
      <c r="A38" s="8">
        <v>34</v>
      </c>
      <c r="B38" s="8">
        <v>16.5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1.224</v>
      </c>
      <c r="BQ38" s="18">
        <v>0</v>
      </c>
      <c r="BR38" s="18">
        <v>0</v>
      </c>
      <c r="BS38" s="18">
        <v>0.26200000000000001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8.2000000000000003E-2</v>
      </c>
      <c r="CW38" s="18">
        <v>0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0</v>
      </c>
      <c r="DF38" s="18">
        <v>0</v>
      </c>
      <c r="DG38" s="18">
        <v>0</v>
      </c>
      <c r="DH38" s="18">
        <v>0</v>
      </c>
      <c r="DI38" s="18">
        <v>0</v>
      </c>
      <c r="DJ38" s="18">
        <v>0</v>
      </c>
      <c r="DK38" s="18">
        <v>0</v>
      </c>
      <c r="DL38" s="18">
        <v>0</v>
      </c>
      <c r="DM38" s="18">
        <v>0</v>
      </c>
      <c r="DN38" s="18">
        <v>0</v>
      </c>
      <c r="DO38" s="18">
        <v>0</v>
      </c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>
        <v>0</v>
      </c>
      <c r="DV38" s="18">
        <v>1.016</v>
      </c>
    </row>
    <row r="39" spans="1:126" x14ac:dyDescent="0.25">
      <c r="A39" s="8">
        <v>35</v>
      </c>
      <c r="B39" s="8">
        <v>17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1.08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0.58599999999999997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0.14599999999999999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1.135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  <c r="CF39" s="18">
        <v>0</v>
      </c>
      <c r="CG39" s="18">
        <v>0</v>
      </c>
      <c r="CH39" s="18">
        <v>0</v>
      </c>
      <c r="CI39" s="18">
        <v>0</v>
      </c>
      <c r="CJ39" s="18">
        <v>0</v>
      </c>
      <c r="CK39" s="18">
        <v>0</v>
      </c>
      <c r="CL39" s="18">
        <v>0</v>
      </c>
      <c r="CM39" s="18">
        <v>0</v>
      </c>
      <c r="CN39" s="18">
        <v>0</v>
      </c>
      <c r="CO39" s="18">
        <v>0</v>
      </c>
      <c r="CP39" s="18">
        <v>0</v>
      </c>
      <c r="CQ39" s="18">
        <v>0</v>
      </c>
      <c r="CR39" s="18">
        <v>9.8000000000000004E-2</v>
      </c>
      <c r="CS39" s="18">
        <v>0</v>
      </c>
      <c r="CT39" s="18">
        <v>0</v>
      </c>
      <c r="CU39" s="18">
        <v>0</v>
      </c>
      <c r="CV39" s="18">
        <v>0</v>
      </c>
      <c r="CW39" s="18">
        <v>0</v>
      </c>
      <c r="CX39" s="18">
        <v>0</v>
      </c>
      <c r="CY39" s="18">
        <v>0</v>
      </c>
      <c r="CZ39" s="18">
        <v>0</v>
      </c>
      <c r="DA39" s="18">
        <v>0</v>
      </c>
      <c r="DB39" s="18">
        <v>0</v>
      </c>
      <c r="DC39" s="18">
        <v>0</v>
      </c>
      <c r="DD39" s="18">
        <v>0</v>
      </c>
      <c r="DE39" s="18">
        <v>0</v>
      </c>
      <c r="DF39" s="18">
        <v>0</v>
      </c>
      <c r="DG39" s="18">
        <v>0</v>
      </c>
      <c r="DH39" s="18">
        <v>0</v>
      </c>
      <c r="DI39" s="18">
        <v>0</v>
      </c>
      <c r="DJ39" s="18">
        <v>0</v>
      </c>
      <c r="DK39" s="18">
        <v>0</v>
      </c>
      <c r="DL39" s="18">
        <v>0</v>
      </c>
      <c r="DM39" s="18">
        <v>0</v>
      </c>
      <c r="DN39" s="18">
        <v>0</v>
      </c>
      <c r="DO39" s="18">
        <v>0</v>
      </c>
      <c r="DP39" s="18">
        <v>0</v>
      </c>
      <c r="DQ39" s="18">
        <v>0</v>
      </c>
      <c r="DR39" s="18">
        <v>0</v>
      </c>
      <c r="DS39" s="18">
        <v>0</v>
      </c>
      <c r="DT39" s="18">
        <v>0</v>
      </c>
      <c r="DU39" s="18">
        <v>0</v>
      </c>
      <c r="DV39" s="18">
        <v>0.60299999999999998</v>
      </c>
    </row>
    <row r="40" spans="1:126" x14ac:dyDescent="0.25">
      <c r="A40" s="8">
        <v>36</v>
      </c>
      <c r="B40" s="8">
        <v>17.5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0.48799999999999999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6.7000000000000004E-2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1.599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0.51900000000000002</v>
      </c>
      <c r="BN40" s="18">
        <v>0</v>
      </c>
      <c r="BO40" s="18">
        <v>0</v>
      </c>
      <c r="BP40" s="18">
        <v>0.84099999999999997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0.48099999999999998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0.70199999999999996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7.8E-2</v>
      </c>
      <c r="CY40" s="18">
        <v>0.56399999999999995</v>
      </c>
      <c r="CZ40" s="18">
        <v>2.8000000000000001E-2</v>
      </c>
      <c r="DA40" s="18">
        <v>0</v>
      </c>
      <c r="DB40" s="18">
        <v>0</v>
      </c>
      <c r="DC40" s="18">
        <v>1.0189999999999999</v>
      </c>
      <c r="DD40" s="18">
        <v>0</v>
      </c>
      <c r="DE40" s="18">
        <v>0</v>
      </c>
      <c r="DF40" s="18">
        <v>0</v>
      </c>
      <c r="DG40" s="18">
        <v>0</v>
      </c>
      <c r="DH40" s="18">
        <v>0</v>
      </c>
      <c r="DI40" s="18">
        <v>0</v>
      </c>
      <c r="DJ40" s="18">
        <v>0</v>
      </c>
      <c r="DK40" s="18">
        <v>0</v>
      </c>
      <c r="DL40" s="18">
        <v>0</v>
      </c>
      <c r="DM40" s="18">
        <v>0</v>
      </c>
      <c r="DN40" s="18">
        <v>6.9000000000000006E-2</v>
      </c>
      <c r="DO40" s="18">
        <v>0</v>
      </c>
      <c r="DP40" s="18">
        <v>0</v>
      </c>
      <c r="DQ40" s="18">
        <v>0</v>
      </c>
      <c r="DR40" s="18">
        <v>0</v>
      </c>
      <c r="DS40" s="18">
        <v>0</v>
      </c>
      <c r="DT40" s="18">
        <v>0</v>
      </c>
      <c r="DU40" s="18">
        <v>0</v>
      </c>
      <c r="DV40" s="18">
        <v>0.123</v>
      </c>
    </row>
    <row r="41" spans="1:126" x14ac:dyDescent="0.25">
      <c r="A41" s="8">
        <v>37</v>
      </c>
      <c r="B41" s="8">
        <v>18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5.1999999999999998E-2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1.792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0.216</v>
      </c>
      <c r="BE41" s="18">
        <v>0</v>
      </c>
      <c r="BF41" s="18">
        <v>0.44700000000000001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0.38400000000000001</v>
      </c>
      <c r="BN41" s="18">
        <v>0</v>
      </c>
      <c r="BO41" s="18">
        <v>0</v>
      </c>
      <c r="BP41" s="18">
        <v>3.3410000000000002</v>
      </c>
      <c r="BQ41" s="18">
        <v>0</v>
      </c>
      <c r="BR41" s="18">
        <v>0</v>
      </c>
      <c r="BS41" s="18">
        <v>0.183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0.13100000000000001</v>
      </c>
      <c r="BZ41" s="18">
        <v>0</v>
      </c>
      <c r="CA41" s="18">
        <v>0</v>
      </c>
      <c r="CB41" s="18">
        <v>0</v>
      </c>
      <c r="CC41" s="18">
        <v>0</v>
      </c>
      <c r="CD41" s="18">
        <v>0.439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3.1E-2</v>
      </c>
      <c r="CU41" s="18">
        <v>0</v>
      </c>
      <c r="CV41" s="18">
        <v>0</v>
      </c>
      <c r="CW41" s="18">
        <v>0</v>
      </c>
      <c r="CX41" s="18">
        <v>0.86</v>
      </c>
      <c r="CY41" s="18">
        <v>0.182</v>
      </c>
      <c r="CZ41" s="18">
        <v>1.1399999999999999</v>
      </c>
      <c r="DA41" s="18">
        <v>0</v>
      </c>
      <c r="DB41" s="18">
        <v>0</v>
      </c>
      <c r="DC41" s="18">
        <v>0.312</v>
      </c>
      <c r="DD41" s="18">
        <v>0</v>
      </c>
      <c r="DE41" s="18">
        <v>0</v>
      </c>
      <c r="DF41" s="18">
        <v>0</v>
      </c>
      <c r="DG41" s="18">
        <v>0</v>
      </c>
      <c r="DH41" s="18">
        <v>0</v>
      </c>
      <c r="DI41" s="18">
        <v>0</v>
      </c>
      <c r="DJ41" s="18">
        <v>0</v>
      </c>
      <c r="DK41" s="18">
        <v>0</v>
      </c>
      <c r="DL41" s="18">
        <v>0</v>
      </c>
      <c r="DM41" s="18">
        <v>0</v>
      </c>
      <c r="DN41" s="18">
        <v>5.1999999999999998E-2</v>
      </c>
      <c r="DO41" s="18">
        <v>0</v>
      </c>
      <c r="DP41" s="18">
        <v>0</v>
      </c>
      <c r="DQ41" s="18">
        <v>0</v>
      </c>
      <c r="DR41" s="18">
        <v>0</v>
      </c>
      <c r="DS41" s="18">
        <v>0.29299999999999998</v>
      </c>
      <c r="DT41" s="18">
        <v>0.17799999999999999</v>
      </c>
      <c r="DU41" s="18">
        <v>0</v>
      </c>
      <c r="DV41" s="18">
        <v>0</v>
      </c>
    </row>
    <row r="42" spans="1:126" x14ac:dyDescent="0.25">
      <c r="A42" s="8">
        <v>38</v>
      </c>
      <c r="B42" s="8">
        <v>18.5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3.5000000000000003E-2</v>
      </c>
      <c r="M42" s="18">
        <v>0</v>
      </c>
      <c r="N42" s="18">
        <v>0</v>
      </c>
      <c r="O42" s="18">
        <v>0</v>
      </c>
      <c r="P42" s="18">
        <v>4.3999999999999997E-2</v>
      </c>
      <c r="Q42" s="18">
        <v>0</v>
      </c>
      <c r="R42" s="18">
        <v>0</v>
      </c>
      <c r="S42" s="18">
        <v>0</v>
      </c>
      <c r="T42" s="18">
        <v>3.9E-2</v>
      </c>
      <c r="U42" s="18">
        <v>0</v>
      </c>
      <c r="V42" s="18">
        <v>0.77900000000000003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9.6000000000000002E-2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0.33</v>
      </c>
      <c r="AM42" s="18">
        <v>3.2000000000000001E-2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1.1819999999999999</v>
      </c>
      <c r="AU42" s="18">
        <v>0</v>
      </c>
      <c r="AV42" s="18">
        <v>2.1000000000000001E-2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0.20499999999999999</v>
      </c>
      <c r="BE42" s="18">
        <v>0</v>
      </c>
      <c r="BF42" s="18">
        <v>0.56799999999999995</v>
      </c>
      <c r="BG42" s="18">
        <v>0</v>
      </c>
      <c r="BH42" s="18">
        <v>8.5000000000000006E-2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0.13100000000000001</v>
      </c>
      <c r="BO42" s="18">
        <v>0</v>
      </c>
      <c r="BP42" s="18">
        <v>2.3410000000000002</v>
      </c>
      <c r="BQ42" s="18">
        <v>0</v>
      </c>
      <c r="BR42" s="18">
        <v>0</v>
      </c>
      <c r="BS42" s="18">
        <v>0.215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  <c r="BZ42" s="18">
        <v>0</v>
      </c>
      <c r="CA42" s="18">
        <v>0</v>
      </c>
      <c r="CB42" s="18">
        <v>0</v>
      </c>
      <c r="CC42" s="18">
        <v>0</v>
      </c>
      <c r="CD42" s="18">
        <v>0</v>
      </c>
      <c r="CE42" s="18">
        <v>0</v>
      </c>
      <c r="CF42" s="18">
        <v>0.37</v>
      </c>
      <c r="CG42" s="18">
        <v>0</v>
      </c>
      <c r="CH42" s="18">
        <v>0</v>
      </c>
      <c r="CI42" s="18">
        <v>0</v>
      </c>
      <c r="CJ42" s="18">
        <v>0</v>
      </c>
      <c r="CK42" s="18">
        <v>0.73599999999999999</v>
      </c>
      <c r="CL42" s="18">
        <v>0</v>
      </c>
      <c r="CM42" s="18">
        <v>0</v>
      </c>
      <c r="CN42" s="18">
        <v>0.156</v>
      </c>
      <c r="CO42" s="18">
        <v>0</v>
      </c>
      <c r="CP42" s="18">
        <v>0</v>
      </c>
      <c r="CQ42" s="18">
        <v>0</v>
      </c>
      <c r="CR42" s="18">
        <v>0</v>
      </c>
      <c r="CS42" s="18">
        <v>0</v>
      </c>
      <c r="CT42" s="18">
        <v>0</v>
      </c>
      <c r="CU42" s="18">
        <v>0.18099999999999999</v>
      </c>
      <c r="CV42" s="18">
        <v>0</v>
      </c>
      <c r="CW42" s="18">
        <v>5.0999999999999997E-2</v>
      </c>
      <c r="CX42" s="18">
        <v>0.49199999999999999</v>
      </c>
      <c r="CY42" s="18">
        <v>0</v>
      </c>
      <c r="CZ42" s="18">
        <v>0</v>
      </c>
      <c r="DA42" s="18">
        <v>0</v>
      </c>
      <c r="DB42" s="18">
        <v>0</v>
      </c>
      <c r="DC42" s="18">
        <v>6.6000000000000003E-2</v>
      </c>
      <c r="DD42" s="18">
        <v>1.012</v>
      </c>
      <c r="DE42" s="18">
        <v>1.9E-2</v>
      </c>
      <c r="DF42" s="18">
        <v>1.5049999999999999</v>
      </c>
      <c r="DG42" s="18">
        <v>0</v>
      </c>
      <c r="DH42" s="18">
        <v>0</v>
      </c>
      <c r="DI42" s="18">
        <v>0</v>
      </c>
      <c r="DJ42" s="18">
        <v>0</v>
      </c>
      <c r="DK42" s="18">
        <v>1.1779999999999999</v>
      </c>
      <c r="DL42" s="18">
        <v>0</v>
      </c>
      <c r="DM42" s="18">
        <v>0</v>
      </c>
      <c r="DN42" s="18">
        <v>1.036</v>
      </c>
      <c r="DO42" s="18">
        <v>0</v>
      </c>
      <c r="DP42" s="18">
        <v>0</v>
      </c>
      <c r="DQ42" s="18">
        <v>0</v>
      </c>
      <c r="DR42" s="18">
        <v>0</v>
      </c>
      <c r="DS42" s="18">
        <v>0.27500000000000002</v>
      </c>
      <c r="DT42" s="18">
        <v>2.78</v>
      </c>
      <c r="DU42" s="18">
        <v>0</v>
      </c>
      <c r="DV42" s="18">
        <v>0.20599999999999999</v>
      </c>
    </row>
    <row r="43" spans="1:126" x14ac:dyDescent="0.25">
      <c r="A43" s="8">
        <v>39</v>
      </c>
      <c r="B43" s="8">
        <v>19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0.19500000000000001</v>
      </c>
      <c r="M43" s="18">
        <v>0</v>
      </c>
      <c r="N43" s="18">
        <v>0</v>
      </c>
      <c r="O43" s="18">
        <v>0.14899999999999999</v>
      </c>
      <c r="P43" s="18">
        <v>0.33800000000000002</v>
      </c>
      <c r="Q43" s="18">
        <v>0</v>
      </c>
      <c r="R43" s="18">
        <v>0.11600000000000001</v>
      </c>
      <c r="S43" s="18">
        <v>5.2999999999999999E-2</v>
      </c>
      <c r="T43" s="18">
        <v>0.16600000000000001</v>
      </c>
      <c r="U43" s="18">
        <v>0.51900000000000002</v>
      </c>
      <c r="V43" s="18">
        <v>0.214</v>
      </c>
      <c r="W43" s="18">
        <v>0</v>
      </c>
      <c r="X43" s="18">
        <v>0</v>
      </c>
      <c r="Y43" s="18">
        <v>4.8000000000000001E-2</v>
      </c>
      <c r="Z43" s="18">
        <v>0</v>
      </c>
      <c r="AA43" s="18">
        <v>0</v>
      </c>
      <c r="AB43" s="18">
        <v>0.189</v>
      </c>
      <c r="AC43" s="18">
        <v>3.1E-2</v>
      </c>
      <c r="AD43" s="18">
        <v>0</v>
      </c>
      <c r="AE43" s="18">
        <v>0</v>
      </c>
      <c r="AF43" s="18">
        <v>0</v>
      </c>
      <c r="AG43" s="18">
        <v>0.41899999999999998</v>
      </c>
      <c r="AH43" s="18">
        <v>0</v>
      </c>
      <c r="AI43" s="18">
        <v>0.184</v>
      </c>
      <c r="AJ43" s="18">
        <v>0</v>
      </c>
      <c r="AK43" s="18">
        <v>0.58699999999999997</v>
      </c>
      <c r="AL43" s="18">
        <v>0.251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0.11799999999999999</v>
      </c>
      <c r="AW43" s="18">
        <v>0</v>
      </c>
      <c r="AX43" s="18">
        <v>0</v>
      </c>
      <c r="AY43" s="18">
        <v>0</v>
      </c>
      <c r="AZ43" s="18">
        <v>0</v>
      </c>
      <c r="BA43" s="18">
        <v>0.14399999999999999</v>
      </c>
      <c r="BB43" s="18">
        <v>0</v>
      </c>
      <c r="BC43" s="18">
        <v>0</v>
      </c>
      <c r="BD43" s="18">
        <v>6.7000000000000004E-2</v>
      </c>
      <c r="BE43" s="18">
        <v>0</v>
      </c>
      <c r="BF43" s="18">
        <v>0.153</v>
      </c>
      <c r="BG43" s="18">
        <v>2.7E-2</v>
      </c>
      <c r="BH43" s="18">
        <v>8.1000000000000003E-2</v>
      </c>
      <c r="BI43" s="18">
        <v>0</v>
      </c>
      <c r="BJ43" s="18">
        <v>6.5000000000000002E-2</v>
      </c>
      <c r="BK43" s="18">
        <v>0</v>
      </c>
      <c r="BL43" s="18">
        <v>8.5000000000000006E-2</v>
      </c>
      <c r="BM43" s="18">
        <v>5.8999999999999997E-2</v>
      </c>
      <c r="BN43" s="18">
        <v>0.23200000000000001</v>
      </c>
      <c r="BO43" s="18">
        <v>0.64900000000000002</v>
      </c>
      <c r="BP43" s="18">
        <v>0.183</v>
      </c>
      <c r="BQ43" s="18">
        <v>0</v>
      </c>
      <c r="BR43" s="18">
        <v>0</v>
      </c>
      <c r="BS43" s="18">
        <v>0.35699999999999998</v>
      </c>
      <c r="BT43" s="18">
        <v>1.839</v>
      </c>
      <c r="BU43" s="18">
        <v>0</v>
      </c>
      <c r="BV43" s="18">
        <v>0.318</v>
      </c>
      <c r="BW43" s="18">
        <v>0</v>
      </c>
      <c r="BX43" s="18">
        <v>0</v>
      </c>
      <c r="BY43" s="18">
        <v>0</v>
      </c>
      <c r="BZ43" s="18">
        <v>0.22900000000000001</v>
      </c>
      <c r="CA43" s="18">
        <v>0</v>
      </c>
      <c r="CB43" s="18">
        <v>0.371</v>
      </c>
      <c r="CC43" s="18">
        <v>0</v>
      </c>
      <c r="CD43" s="18">
        <v>5.6000000000000001E-2</v>
      </c>
      <c r="CE43" s="18">
        <v>0</v>
      </c>
      <c r="CF43" s="18">
        <v>2.4350000000000001</v>
      </c>
      <c r="CG43" s="18">
        <v>0.106</v>
      </c>
      <c r="CH43" s="18">
        <v>0</v>
      </c>
      <c r="CI43" s="18">
        <v>0</v>
      </c>
      <c r="CJ43" s="18">
        <v>0</v>
      </c>
      <c r="CK43" s="18">
        <v>0</v>
      </c>
      <c r="CL43" s="18">
        <v>0</v>
      </c>
      <c r="CM43" s="18">
        <v>0</v>
      </c>
      <c r="CN43" s="18">
        <v>0</v>
      </c>
      <c r="CO43" s="18">
        <v>9.0999999999999998E-2</v>
      </c>
      <c r="CP43" s="18">
        <v>0</v>
      </c>
      <c r="CQ43" s="18">
        <v>0.20899999999999999</v>
      </c>
      <c r="CR43" s="18">
        <v>0.11</v>
      </c>
      <c r="CS43" s="18">
        <v>0.68400000000000005</v>
      </c>
      <c r="CT43" s="18">
        <v>0</v>
      </c>
      <c r="CU43" s="18">
        <v>1.4390000000000001</v>
      </c>
      <c r="CV43" s="18">
        <v>0</v>
      </c>
      <c r="CW43" s="18">
        <v>0</v>
      </c>
      <c r="CX43" s="18">
        <v>3.0070000000000001</v>
      </c>
      <c r="CY43" s="18">
        <v>0.65400000000000003</v>
      </c>
      <c r="CZ43" s="18">
        <v>0</v>
      </c>
      <c r="DA43" s="18">
        <v>8.2000000000000003E-2</v>
      </c>
      <c r="DB43" s="18">
        <v>0.26600000000000001</v>
      </c>
      <c r="DC43" s="18">
        <v>0.29399999999999998</v>
      </c>
      <c r="DD43" s="18">
        <v>0</v>
      </c>
      <c r="DE43" s="18">
        <v>0.189</v>
      </c>
      <c r="DF43" s="18">
        <v>1.4119999999999999</v>
      </c>
      <c r="DG43" s="18">
        <v>0</v>
      </c>
      <c r="DH43" s="18">
        <v>0</v>
      </c>
      <c r="DI43" s="18">
        <v>2.5999999999999999E-2</v>
      </c>
      <c r="DJ43" s="18">
        <v>0</v>
      </c>
      <c r="DK43" s="18">
        <v>1.9890000000000001</v>
      </c>
      <c r="DL43" s="18">
        <v>0</v>
      </c>
      <c r="DM43" s="18">
        <v>4.2000000000000003E-2</v>
      </c>
      <c r="DN43" s="18">
        <v>9.2999999999999999E-2</v>
      </c>
      <c r="DO43" s="18">
        <v>6.9000000000000006E-2</v>
      </c>
      <c r="DP43" s="18">
        <v>1.4999999999999999E-2</v>
      </c>
      <c r="DQ43" s="18">
        <v>2.5999999999999999E-2</v>
      </c>
      <c r="DR43" s="18">
        <v>0</v>
      </c>
      <c r="DS43" s="18">
        <v>0.254</v>
      </c>
      <c r="DT43" s="18">
        <v>3.5129999999999999</v>
      </c>
      <c r="DU43" s="18">
        <v>0</v>
      </c>
      <c r="DV43" s="18">
        <v>0.312</v>
      </c>
    </row>
    <row r="44" spans="1:126" x14ac:dyDescent="0.25">
      <c r="A44" s="8">
        <v>40</v>
      </c>
      <c r="B44" s="8">
        <v>19.5</v>
      </c>
      <c r="C44" s="18">
        <v>0</v>
      </c>
      <c r="D44" s="18">
        <v>0</v>
      </c>
      <c r="E44" s="18">
        <v>0</v>
      </c>
      <c r="F44" s="18">
        <v>0.17100000000000001</v>
      </c>
      <c r="G44" s="18">
        <v>0</v>
      </c>
      <c r="H44" s="18">
        <v>0.21199999999999999</v>
      </c>
      <c r="I44" s="18">
        <v>0.42799999999999999</v>
      </c>
      <c r="J44" s="18">
        <v>0.247</v>
      </c>
      <c r="K44" s="18">
        <v>0.48699999999999999</v>
      </c>
      <c r="L44" s="18">
        <v>0.64400000000000002</v>
      </c>
      <c r="M44" s="18">
        <v>0.25</v>
      </c>
      <c r="N44" s="18">
        <v>1.4419999999999999</v>
      </c>
      <c r="O44" s="18">
        <v>0.14000000000000001</v>
      </c>
      <c r="P44" s="18">
        <v>0.52700000000000002</v>
      </c>
      <c r="Q44" s="18">
        <v>0.28499999999999998</v>
      </c>
      <c r="R44" s="18">
        <v>0.38400000000000001</v>
      </c>
      <c r="S44" s="18">
        <v>0.4</v>
      </c>
      <c r="T44" s="18">
        <v>0.43099999999999999</v>
      </c>
      <c r="U44" s="18">
        <v>0.29499999999999998</v>
      </c>
      <c r="V44" s="18">
        <v>0.57499999999999996</v>
      </c>
      <c r="W44" s="18">
        <v>0.39100000000000001</v>
      </c>
      <c r="X44" s="18">
        <v>9.7000000000000003E-2</v>
      </c>
      <c r="Y44" s="18">
        <v>0.40699999999999997</v>
      </c>
      <c r="Z44" s="18">
        <v>5.6000000000000001E-2</v>
      </c>
      <c r="AA44" s="18">
        <v>0</v>
      </c>
      <c r="AB44" s="18">
        <v>0.65300000000000002</v>
      </c>
      <c r="AC44" s="18">
        <v>0.68700000000000006</v>
      </c>
      <c r="AD44" s="18">
        <v>0</v>
      </c>
      <c r="AE44" s="18">
        <v>0.11799999999999999</v>
      </c>
      <c r="AF44" s="18">
        <v>0</v>
      </c>
      <c r="AG44" s="18">
        <v>0.754</v>
      </c>
      <c r="AH44" s="18">
        <v>0.21</v>
      </c>
      <c r="AI44" s="18">
        <v>0.433</v>
      </c>
      <c r="AJ44" s="18">
        <v>0.2</v>
      </c>
      <c r="AK44" s="18">
        <v>0.84799999999999998</v>
      </c>
      <c r="AL44" s="18">
        <v>0.28899999999999998</v>
      </c>
      <c r="AM44" s="18">
        <v>0.36299999999999999</v>
      </c>
      <c r="AN44" s="18">
        <v>0.105</v>
      </c>
      <c r="AO44" s="18">
        <v>0.33800000000000002</v>
      </c>
      <c r="AP44" s="18">
        <v>0.34200000000000003</v>
      </c>
      <c r="AQ44" s="18">
        <v>0.34899999999999998</v>
      </c>
      <c r="AR44" s="18">
        <v>0</v>
      </c>
      <c r="AS44" s="18">
        <v>7.0000000000000001E-3</v>
      </c>
      <c r="AT44" s="18">
        <v>0.111</v>
      </c>
      <c r="AU44" s="18">
        <v>8.7999999999999995E-2</v>
      </c>
      <c r="AV44" s="18">
        <v>0.27600000000000002</v>
      </c>
      <c r="AW44" s="18">
        <v>0.19800000000000001</v>
      </c>
      <c r="AX44" s="18">
        <v>0.18099999999999999</v>
      </c>
      <c r="AY44" s="18">
        <v>0.42799999999999999</v>
      </c>
      <c r="AZ44" s="18">
        <v>8.1000000000000003E-2</v>
      </c>
      <c r="BA44" s="18">
        <v>0.53800000000000003</v>
      </c>
      <c r="BB44" s="18">
        <v>0.31</v>
      </c>
      <c r="BC44" s="18">
        <v>2.1000000000000001E-2</v>
      </c>
      <c r="BD44" s="18">
        <v>0.39900000000000002</v>
      </c>
      <c r="BE44" s="18">
        <v>0.49399999999999999</v>
      </c>
      <c r="BF44" s="18">
        <v>0.49</v>
      </c>
      <c r="BG44" s="18">
        <v>0.13400000000000001</v>
      </c>
      <c r="BH44" s="18">
        <v>0.45</v>
      </c>
      <c r="BI44" s="18">
        <v>0</v>
      </c>
      <c r="BJ44" s="18">
        <v>0.193</v>
      </c>
      <c r="BK44" s="18">
        <v>0.26800000000000002</v>
      </c>
      <c r="BL44" s="18">
        <v>0.21299999999999999</v>
      </c>
      <c r="BM44" s="18">
        <v>0.40300000000000002</v>
      </c>
      <c r="BN44" s="18">
        <v>0.67600000000000005</v>
      </c>
      <c r="BO44" s="18">
        <v>0.72399999999999998</v>
      </c>
      <c r="BP44" s="18">
        <v>0</v>
      </c>
      <c r="BQ44" s="18">
        <v>7.0000000000000001E-3</v>
      </c>
      <c r="BR44" s="18">
        <v>4.5999999999999999E-2</v>
      </c>
      <c r="BS44" s="18">
        <v>0.59199999999999997</v>
      </c>
      <c r="BT44" s="18">
        <v>2.4900000000000002</v>
      </c>
      <c r="BU44" s="18">
        <v>9.6000000000000002E-2</v>
      </c>
      <c r="BV44" s="18">
        <v>0.41099999999999998</v>
      </c>
      <c r="BW44" s="18">
        <v>5.5E-2</v>
      </c>
      <c r="BX44" s="18">
        <v>0</v>
      </c>
      <c r="BY44" s="18">
        <v>6.2E-2</v>
      </c>
      <c r="BZ44" s="18">
        <v>0.57399999999999995</v>
      </c>
      <c r="CA44" s="18">
        <v>0.31</v>
      </c>
      <c r="CB44" s="18">
        <v>0.95199999999999996</v>
      </c>
      <c r="CC44" s="18">
        <v>0.27700000000000002</v>
      </c>
      <c r="CD44" s="18">
        <v>0.40200000000000002</v>
      </c>
      <c r="CE44" s="18">
        <v>0</v>
      </c>
      <c r="CF44" s="18">
        <v>1.9179999999999999</v>
      </c>
      <c r="CG44" s="18">
        <v>0.21199999999999999</v>
      </c>
      <c r="CH44" s="18">
        <v>0.26600000000000001</v>
      </c>
      <c r="CI44" s="18">
        <v>7.8E-2</v>
      </c>
      <c r="CJ44" s="18">
        <v>0.32100000000000001</v>
      </c>
      <c r="CK44" s="18">
        <v>0.41899999999999998</v>
      </c>
      <c r="CL44" s="18">
        <v>8.3000000000000004E-2</v>
      </c>
      <c r="CM44" s="18">
        <v>0.35299999999999998</v>
      </c>
      <c r="CN44" s="18">
        <v>0.39400000000000002</v>
      </c>
      <c r="CO44" s="18">
        <v>0</v>
      </c>
      <c r="CP44" s="18">
        <v>0.315</v>
      </c>
      <c r="CQ44" s="18">
        <v>0.60499999999999998</v>
      </c>
      <c r="CR44" s="18">
        <v>0.48099999999999998</v>
      </c>
      <c r="CS44" s="18">
        <v>1.2390000000000001</v>
      </c>
      <c r="CT44" s="18">
        <v>0.08</v>
      </c>
      <c r="CU44" s="18">
        <v>0.34799999999999998</v>
      </c>
      <c r="CV44" s="18">
        <v>0.26900000000000002</v>
      </c>
      <c r="CW44" s="18">
        <v>9.6000000000000002E-2</v>
      </c>
      <c r="CX44" s="18">
        <v>2.7349999999999999</v>
      </c>
      <c r="CY44" s="18">
        <v>0.24099999999999999</v>
      </c>
      <c r="CZ44" s="18">
        <v>1.284</v>
      </c>
      <c r="DA44" s="18">
        <v>1.1950000000000001</v>
      </c>
      <c r="DB44" s="18">
        <v>0.51600000000000001</v>
      </c>
      <c r="DC44" s="18">
        <v>0.49099999999999999</v>
      </c>
      <c r="DD44" s="18">
        <v>0</v>
      </c>
      <c r="DE44" s="18">
        <v>0.57299999999999995</v>
      </c>
      <c r="DF44" s="18">
        <v>0.58899999999999997</v>
      </c>
      <c r="DG44" s="18">
        <v>0</v>
      </c>
      <c r="DH44" s="18">
        <v>6.0999999999999999E-2</v>
      </c>
      <c r="DI44" s="18">
        <v>0.69099999999999995</v>
      </c>
      <c r="DJ44" s="18">
        <v>0.13100000000000001</v>
      </c>
      <c r="DK44" s="18">
        <v>0.93799999999999994</v>
      </c>
      <c r="DL44" s="18">
        <v>0.29899999999999999</v>
      </c>
      <c r="DM44" s="18">
        <v>0.19800000000000001</v>
      </c>
      <c r="DN44" s="18">
        <v>0.153</v>
      </c>
      <c r="DO44" s="18">
        <v>0.45700000000000002</v>
      </c>
      <c r="DP44" s="18">
        <v>0</v>
      </c>
      <c r="DQ44" s="18">
        <v>0.34100000000000003</v>
      </c>
      <c r="DR44" s="18">
        <v>9.8000000000000004E-2</v>
      </c>
      <c r="DS44" s="18">
        <v>1.343</v>
      </c>
      <c r="DT44" s="18">
        <v>0.7</v>
      </c>
      <c r="DU44" s="18">
        <v>0.126</v>
      </c>
      <c r="DV44" s="18">
        <v>0.104</v>
      </c>
    </row>
    <row r="45" spans="1:126" x14ac:dyDescent="0.25">
      <c r="A45" s="8">
        <v>41</v>
      </c>
      <c r="B45" s="8">
        <v>20</v>
      </c>
      <c r="C45" s="18">
        <v>0.17</v>
      </c>
      <c r="D45" s="18">
        <v>0.218</v>
      </c>
      <c r="E45" s="18">
        <v>3.9E-2</v>
      </c>
      <c r="F45" s="18">
        <v>0.65300000000000002</v>
      </c>
      <c r="G45" s="18">
        <v>0.33700000000000002</v>
      </c>
      <c r="H45" s="18">
        <v>0.52800000000000002</v>
      </c>
      <c r="I45" s="18">
        <v>0.47199999999999998</v>
      </c>
      <c r="J45" s="18">
        <v>0.31900000000000001</v>
      </c>
      <c r="K45" s="18">
        <v>0.57999999999999996</v>
      </c>
      <c r="L45" s="18">
        <v>1.0880000000000001</v>
      </c>
      <c r="M45" s="18">
        <v>0.13400000000000001</v>
      </c>
      <c r="N45" s="18">
        <v>1.603</v>
      </c>
      <c r="O45" s="18">
        <v>0.52800000000000002</v>
      </c>
      <c r="P45" s="18">
        <v>0.48799999999999999</v>
      </c>
      <c r="Q45" s="18">
        <v>0.39300000000000002</v>
      </c>
      <c r="R45" s="18">
        <v>0.622</v>
      </c>
      <c r="S45" s="18">
        <v>1.319</v>
      </c>
      <c r="T45" s="18">
        <v>1</v>
      </c>
      <c r="U45" s="18">
        <v>0.47299999999999998</v>
      </c>
      <c r="V45" s="18">
        <v>0.433</v>
      </c>
      <c r="W45" s="18">
        <v>0.57599999999999996</v>
      </c>
      <c r="X45" s="18">
        <v>5.6000000000000001E-2</v>
      </c>
      <c r="Y45" s="18">
        <v>0.84099999999999997</v>
      </c>
      <c r="Z45" s="18">
        <v>3.5000000000000003E-2</v>
      </c>
      <c r="AA45" s="18">
        <v>3.5999999999999997E-2</v>
      </c>
      <c r="AB45" s="18">
        <v>0.76200000000000001</v>
      </c>
      <c r="AC45" s="18">
        <v>0.70199999999999996</v>
      </c>
      <c r="AD45" s="18">
        <v>0.26900000000000002</v>
      </c>
      <c r="AE45" s="18">
        <v>0.39900000000000002</v>
      </c>
      <c r="AF45" s="18">
        <v>3.5000000000000003E-2</v>
      </c>
      <c r="AG45" s="18">
        <v>1.421</v>
      </c>
      <c r="AH45" s="18">
        <v>0.28999999999999998</v>
      </c>
      <c r="AI45" s="18">
        <v>7.2999999999999995E-2</v>
      </c>
      <c r="AJ45" s="18">
        <v>0.43099999999999999</v>
      </c>
      <c r="AK45" s="18">
        <v>1.5309999999999999</v>
      </c>
      <c r="AL45" s="18">
        <v>0.47299999999999998</v>
      </c>
      <c r="AM45" s="18">
        <v>1.875</v>
      </c>
      <c r="AN45" s="18">
        <v>2.7E-2</v>
      </c>
      <c r="AO45" s="18">
        <v>0.59299999999999997</v>
      </c>
      <c r="AP45" s="18">
        <v>2.9000000000000001E-2</v>
      </c>
      <c r="AQ45" s="18">
        <v>0.57999999999999996</v>
      </c>
      <c r="AR45" s="18">
        <v>3.5000000000000003E-2</v>
      </c>
      <c r="AS45" s="18">
        <v>0.17</v>
      </c>
      <c r="AT45" s="18">
        <v>9.9000000000000005E-2</v>
      </c>
      <c r="AU45" s="18">
        <v>0.14699999999999999</v>
      </c>
      <c r="AV45" s="18">
        <v>0.65300000000000002</v>
      </c>
      <c r="AW45" s="18">
        <v>0.27700000000000002</v>
      </c>
      <c r="AX45" s="18">
        <v>0.56000000000000005</v>
      </c>
      <c r="AY45" s="18">
        <v>0.65800000000000003</v>
      </c>
      <c r="AZ45" s="18">
        <v>0.44</v>
      </c>
      <c r="BA45" s="18">
        <v>0.57299999999999995</v>
      </c>
      <c r="BB45" s="18">
        <v>6.8000000000000005E-2</v>
      </c>
      <c r="BC45" s="18">
        <v>2.3E-2</v>
      </c>
      <c r="BD45" s="18">
        <v>0.54400000000000004</v>
      </c>
      <c r="BE45" s="18">
        <v>0.54600000000000004</v>
      </c>
      <c r="BF45" s="18">
        <v>0.48899999999999999</v>
      </c>
      <c r="BG45" s="18">
        <v>7.8E-2</v>
      </c>
      <c r="BH45" s="18">
        <v>0.25</v>
      </c>
      <c r="BI45" s="18">
        <v>0.13600000000000001</v>
      </c>
      <c r="BJ45" s="18">
        <v>0.40200000000000002</v>
      </c>
      <c r="BK45" s="18">
        <v>1.6859999999999999</v>
      </c>
      <c r="BL45" s="18">
        <v>0.26400000000000001</v>
      </c>
      <c r="BM45" s="18">
        <v>0.4</v>
      </c>
      <c r="BN45" s="18">
        <v>0.60599999999999998</v>
      </c>
      <c r="BO45" s="18">
        <v>0.59</v>
      </c>
      <c r="BP45" s="18">
        <v>0</v>
      </c>
      <c r="BQ45" s="18">
        <v>0.11</v>
      </c>
      <c r="BR45" s="18">
        <v>3.5999999999999997E-2</v>
      </c>
      <c r="BS45" s="18">
        <v>0.60799999999999998</v>
      </c>
      <c r="BT45" s="18">
        <v>1.669</v>
      </c>
      <c r="BU45" s="18">
        <v>0.18099999999999999</v>
      </c>
      <c r="BV45" s="18">
        <v>0.53500000000000003</v>
      </c>
      <c r="BW45" s="18">
        <v>9.2999999999999999E-2</v>
      </c>
      <c r="BX45" s="18">
        <v>7.0999999999999994E-2</v>
      </c>
      <c r="BY45" s="18">
        <v>3.5000000000000003E-2</v>
      </c>
      <c r="BZ45" s="18">
        <v>1.056</v>
      </c>
      <c r="CA45" s="18">
        <v>0.23200000000000001</v>
      </c>
      <c r="CB45" s="18">
        <v>0.28899999999999998</v>
      </c>
      <c r="CC45" s="18">
        <v>0.34100000000000003</v>
      </c>
      <c r="CD45" s="18">
        <v>0.498</v>
      </c>
      <c r="CE45" s="18">
        <v>3.4000000000000002E-2</v>
      </c>
      <c r="CF45" s="18">
        <v>0.45600000000000002</v>
      </c>
      <c r="CG45" s="18">
        <v>0.105</v>
      </c>
      <c r="CH45" s="18">
        <v>0.52</v>
      </c>
      <c r="CI45" s="18">
        <v>0.22</v>
      </c>
      <c r="CJ45" s="18">
        <v>0.36699999999999999</v>
      </c>
      <c r="CK45" s="18">
        <v>0.14199999999999999</v>
      </c>
      <c r="CL45" s="18">
        <v>3.5000000000000003E-2</v>
      </c>
      <c r="CM45" s="18">
        <v>0.49</v>
      </c>
      <c r="CN45" s="18">
        <v>0.63600000000000001</v>
      </c>
      <c r="CO45" s="18">
        <v>0.152</v>
      </c>
      <c r="CP45" s="18">
        <v>0.73899999999999999</v>
      </c>
      <c r="CQ45" s="18">
        <v>0.54600000000000004</v>
      </c>
      <c r="CR45" s="18">
        <v>0.53100000000000003</v>
      </c>
      <c r="CS45" s="18">
        <v>1.359</v>
      </c>
      <c r="CT45" s="18">
        <v>0.03</v>
      </c>
      <c r="CU45" s="18">
        <v>0.41699999999999998</v>
      </c>
      <c r="CV45" s="18">
        <v>0.26600000000000001</v>
      </c>
      <c r="CW45" s="18">
        <v>0.32900000000000001</v>
      </c>
      <c r="CX45" s="18">
        <v>0</v>
      </c>
      <c r="CY45" s="18">
        <v>0.219</v>
      </c>
      <c r="CZ45" s="18">
        <v>0.85699999999999998</v>
      </c>
      <c r="DA45" s="18">
        <v>0.33800000000000002</v>
      </c>
      <c r="DB45" s="18">
        <v>0.82099999999999995</v>
      </c>
      <c r="DC45" s="18">
        <v>0.11899999999999999</v>
      </c>
      <c r="DD45" s="18">
        <v>0.105</v>
      </c>
      <c r="DE45" s="18">
        <v>0.71399999999999997</v>
      </c>
      <c r="DF45" s="18">
        <v>0.58099999999999996</v>
      </c>
      <c r="DG45" s="18">
        <v>0.14099999999999999</v>
      </c>
      <c r="DH45" s="18">
        <v>0.13700000000000001</v>
      </c>
      <c r="DI45" s="18">
        <v>0.9</v>
      </c>
      <c r="DJ45" s="18">
        <v>9.0999999999999998E-2</v>
      </c>
      <c r="DK45" s="18">
        <v>0.39200000000000002</v>
      </c>
      <c r="DL45" s="18">
        <v>0.48899999999999999</v>
      </c>
      <c r="DM45" s="18">
        <v>0.502</v>
      </c>
      <c r="DN45" s="18">
        <v>0.41399999999999998</v>
      </c>
      <c r="DO45" s="18">
        <v>0.35599999999999998</v>
      </c>
      <c r="DP45" s="18">
        <v>0.27</v>
      </c>
      <c r="DQ45" s="18">
        <v>0.57599999999999996</v>
      </c>
      <c r="DR45" s="18">
        <v>0.25800000000000001</v>
      </c>
      <c r="DS45" s="18">
        <v>0.62</v>
      </c>
      <c r="DT45" s="18">
        <v>0</v>
      </c>
      <c r="DU45" s="18">
        <v>0.52700000000000002</v>
      </c>
      <c r="DV45" s="18">
        <v>0.191</v>
      </c>
    </row>
    <row r="46" spans="1:126" x14ac:dyDescent="0.25">
      <c r="A46" s="8">
        <v>42</v>
      </c>
      <c r="B46" s="8">
        <v>20.5</v>
      </c>
      <c r="C46" s="18">
        <v>4.2999999999999997E-2</v>
      </c>
      <c r="D46" s="18">
        <v>4.9000000000000002E-2</v>
      </c>
      <c r="E46" s="18">
        <v>5.0999999999999997E-2</v>
      </c>
      <c r="F46" s="18">
        <v>0.621</v>
      </c>
      <c r="G46" s="18">
        <v>0.214</v>
      </c>
      <c r="H46" s="18">
        <v>2.0550000000000002</v>
      </c>
      <c r="I46" s="18">
        <v>2.5089999999999999</v>
      </c>
      <c r="J46" s="18">
        <v>0.24399999999999999</v>
      </c>
      <c r="K46" s="18">
        <v>0.80400000000000005</v>
      </c>
      <c r="L46" s="18">
        <v>0.72399999999999998</v>
      </c>
      <c r="M46" s="18">
        <v>0.127</v>
      </c>
      <c r="N46" s="18">
        <v>1.054</v>
      </c>
      <c r="O46" s="18">
        <v>0.66</v>
      </c>
      <c r="P46" s="18">
        <v>0.56399999999999995</v>
      </c>
      <c r="Q46" s="18">
        <v>0.161</v>
      </c>
      <c r="R46" s="18">
        <v>0.49399999999999999</v>
      </c>
      <c r="S46" s="18">
        <v>1.8640000000000001</v>
      </c>
      <c r="T46" s="18">
        <v>0.72699999999999998</v>
      </c>
      <c r="U46" s="18">
        <v>0.498</v>
      </c>
      <c r="V46" s="18">
        <v>0.32800000000000001</v>
      </c>
      <c r="W46" s="18">
        <v>0.33100000000000002</v>
      </c>
      <c r="X46" s="18">
        <v>9.2999999999999999E-2</v>
      </c>
      <c r="Y46" s="18">
        <v>0.72699999999999998</v>
      </c>
      <c r="Z46" s="18">
        <v>6.2E-2</v>
      </c>
      <c r="AA46" s="18">
        <v>0.127</v>
      </c>
      <c r="AB46" s="18">
        <v>1.2070000000000001</v>
      </c>
      <c r="AC46" s="18">
        <v>0.91300000000000003</v>
      </c>
      <c r="AD46" s="18">
        <v>6.2E-2</v>
      </c>
      <c r="AE46" s="18">
        <v>1.6850000000000001</v>
      </c>
      <c r="AF46" s="18">
        <v>0.12</v>
      </c>
      <c r="AG46" s="18">
        <v>0.98</v>
      </c>
      <c r="AH46" s="18">
        <v>0.47599999999999998</v>
      </c>
      <c r="AI46" s="18">
        <v>0.17399999999999999</v>
      </c>
      <c r="AJ46" s="18">
        <v>0.629</v>
      </c>
      <c r="AK46" s="18">
        <v>0.86399999999999999</v>
      </c>
      <c r="AL46" s="18">
        <v>1.657</v>
      </c>
      <c r="AM46" s="18">
        <v>0.60899999999999999</v>
      </c>
      <c r="AN46" s="18">
        <v>7.0999999999999994E-2</v>
      </c>
      <c r="AO46" s="18">
        <v>0.505</v>
      </c>
      <c r="AP46" s="18">
        <v>4.5999999999999999E-2</v>
      </c>
      <c r="AQ46" s="18">
        <v>1.8320000000000001</v>
      </c>
      <c r="AR46" s="18">
        <v>5.5E-2</v>
      </c>
      <c r="AS46" s="18">
        <v>1.7809999999999999</v>
      </c>
      <c r="AT46" s="18">
        <v>0.04</v>
      </c>
      <c r="AU46" s="18">
        <v>0.05</v>
      </c>
      <c r="AV46" s="18">
        <v>1.325</v>
      </c>
      <c r="AW46" s="18">
        <v>0.37</v>
      </c>
      <c r="AX46" s="18">
        <v>0.63600000000000001</v>
      </c>
      <c r="AY46" s="18">
        <v>1.0409999999999999</v>
      </c>
      <c r="AZ46" s="18">
        <v>0.437</v>
      </c>
      <c r="BA46" s="18">
        <v>0.74</v>
      </c>
      <c r="BB46" s="18">
        <v>0.224</v>
      </c>
      <c r="BC46" s="18">
        <v>0.32300000000000001</v>
      </c>
      <c r="BD46" s="18">
        <v>0.40400000000000003</v>
      </c>
      <c r="BE46" s="18">
        <v>0.55900000000000005</v>
      </c>
      <c r="BF46" s="18">
        <v>0.57699999999999996</v>
      </c>
      <c r="BG46" s="18">
        <v>0.40500000000000003</v>
      </c>
      <c r="BH46" s="18">
        <v>0.33800000000000002</v>
      </c>
      <c r="BI46" s="18">
        <v>0.14099999999999999</v>
      </c>
      <c r="BJ46" s="18">
        <v>0.40400000000000003</v>
      </c>
      <c r="BK46" s="18">
        <v>1.899</v>
      </c>
      <c r="BL46" s="18">
        <v>7.1999999999999995E-2</v>
      </c>
      <c r="BM46" s="18">
        <v>0.74099999999999999</v>
      </c>
      <c r="BN46" s="18">
        <v>0.39</v>
      </c>
      <c r="BO46" s="18">
        <v>0.48699999999999999</v>
      </c>
      <c r="BP46" s="18">
        <v>0</v>
      </c>
      <c r="BQ46" s="18">
        <v>3.6999999999999998E-2</v>
      </c>
      <c r="BR46" s="18">
        <v>0.22</v>
      </c>
      <c r="BS46" s="18">
        <v>0.70599999999999996</v>
      </c>
      <c r="BT46" s="18">
        <v>7.6999999999999999E-2</v>
      </c>
      <c r="BU46" s="18">
        <v>0.216</v>
      </c>
      <c r="BV46" s="18">
        <v>0.44</v>
      </c>
      <c r="BW46" s="18">
        <v>0.05</v>
      </c>
      <c r="BX46" s="18">
        <v>8.7999999999999995E-2</v>
      </c>
      <c r="BY46" s="18">
        <v>0.21199999999999999</v>
      </c>
      <c r="BZ46" s="18">
        <v>0.20100000000000001</v>
      </c>
      <c r="CA46" s="18">
        <v>0.187</v>
      </c>
      <c r="CB46" s="18">
        <v>0.52400000000000002</v>
      </c>
      <c r="CC46" s="18">
        <v>0.38</v>
      </c>
      <c r="CD46" s="18">
        <v>0.79700000000000004</v>
      </c>
      <c r="CE46" s="18">
        <v>4.5999999999999999E-2</v>
      </c>
      <c r="CF46" s="18">
        <v>1.446</v>
      </c>
      <c r="CG46" s="18">
        <v>0.29399999999999998</v>
      </c>
      <c r="CH46" s="18">
        <v>0.47799999999999998</v>
      </c>
      <c r="CI46" s="18">
        <v>5.0999999999999997E-2</v>
      </c>
      <c r="CJ46" s="18">
        <v>0.65800000000000003</v>
      </c>
      <c r="CK46" s="18">
        <v>0.114</v>
      </c>
      <c r="CL46" s="18">
        <v>0.05</v>
      </c>
      <c r="CM46" s="18">
        <v>0.48</v>
      </c>
      <c r="CN46" s="18">
        <v>0.74399999999999999</v>
      </c>
      <c r="CO46" s="18">
        <v>0.183</v>
      </c>
      <c r="CP46" s="18">
        <v>2.73</v>
      </c>
      <c r="CQ46" s="18">
        <v>0.73299999999999998</v>
      </c>
      <c r="CR46" s="18">
        <v>0.42399999999999999</v>
      </c>
      <c r="CS46" s="18">
        <v>0.35399999999999998</v>
      </c>
      <c r="CT46" s="18">
        <v>0.17399999999999999</v>
      </c>
      <c r="CU46" s="18">
        <v>0.51700000000000002</v>
      </c>
      <c r="CV46" s="18">
        <v>0.35199999999999998</v>
      </c>
      <c r="CW46" s="18">
        <v>0.34699999999999998</v>
      </c>
      <c r="CX46" s="18">
        <v>0</v>
      </c>
      <c r="CY46" s="18">
        <v>0.435</v>
      </c>
      <c r="CZ46" s="18">
        <v>0.58399999999999996</v>
      </c>
      <c r="DA46" s="18">
        <v>0.30299999999999999</v>
      </c>
      <c r="DB46" s="18">
        <v>0.74299999999999999</v>
      </c>
      <c r="DC46" s="18">
        <v>0.22900000000000001</v>
      </c>
      <c r="DD46" s="18">
        <v>4.2000000000000003E-2</v>
      </c>
      <c r="DE46" s="18">
        <v>0.63600000000000001</v>
      </c>
      <c r="DF46" s="18">
        <v>0.91900000000000004</v>
      </c>
      <c r="DG46" s="18">
        <v>0.106</v>
      </c>
      <c r="DH46" s="18">
        <v>0.31</v>
      </c>
      <c r="DI46" s="18">
        <v>0.63500000000000001</v>
      </c>
      <c r="DJ46" s="18">
        <v>0.40400000000000003</v>
      </c>
      <c r="DK46" s="18">
        <v>1.276</v>
      </c>
      <c r="DL46" s="18">
        <v>0.53900000000000003</v>
      </c>
      <c r="DM46" s="18">
        <v>0.70899999999999996</v>
      </c>
      <c r="DN46" s="18">
        <v>0.35499999999999998</v>
      </c>
      <c r="DO46" s="18">
        <v>0.246</v>
      </c>
      <c r="DP46" s="18">
        <v>7.0000000000000007E-2</v>
      </c>
      <c r="DQ46" s="18">
        <v>0.625</v>
      </c>
      <c r="DR46" s="18">
        <v>0.19600000000000001</v>
      </c>
      <c r="DS46" s="18">
        <v>0.29499999999999998</v>
      </c>
      <c r="DT46" s="18">
        <v>0</v>
      </c>
      <c r="DU46" s="18">
        <v>0.46</v>
      </c>
      <c r="DV46" s="18">
        <v>9.7000000000000003E-2</v>
      </c>
    </row>
    <row r="47" spans="1:126" x14ac:dyDescent="0.25">
      <c r="A47" s="8">
        <v>43</v>
      </c>
      <c r="B47" s="8">
        <v>21</v>
      </c>
      <c r="C47" s="18">
        <v>0.16700000000000001</v>
      </c>
      <c r="D47" s="18">
        <v>0.20399999999999999</v>
      </c>
      <c r="E47" s="18">
        <v>5.0999999999999997E-2</v>
      </c>
      <c r="F47" s="18">
        <v>0.58699999999999997</v>
      </c>
      <c r="G47" s="18">
        <v>0.35099999999999998</v>
      </c>
      <c r="H47" s="18">
        <v>0.30399999999999999</v>
      </c>
      <c r="I47" s="18">
        <v>0.84599999999999997</v>
      </c>
      <c r="J47" s="18">
        <v>0.65300000000000002</v>
      </c>
      <c r="K47" s="18">
        <v>0.59799999999999998</v>
      </c>
      <c r="L47" s="18">
        <v>0.64700000000000002</v>
      </c>
      <c r="M47" s="18">
        <v>0.25900000000000001</v>
      </c>
      <c r="N47" s="18">
        <v>0.66600000000000004</v>
      </c>
      <c r="O47" s="18">
        <v>0.21199999999999999</v>
      </c>
      <c r="P47" s="18">
        <v>0.40100000000000002</v>
      </c>
      <c r="Q47" s="18">
        <v>0.48399999999999999</v>
      </c>
      <c r="R47" s="18">
        <v>0.55700000000000005</v>
      </c>
      <c r="S47" s="18">
        <v>0.42499999999999999</v>
      </c>
      <c r="T47" s="18">
        <v>0.96899999999999997</v>
      </c>
      <c r="U47" s="18">
        <v>0.51600000000000001</v>
      </c>
      <c r="V47" s="18">
        <v>0.67300000000000004</v>
      </c>
      <c r="W47" s="18">
        <v>0.41899999999999998</v>
      </c>
      <c r="X47" s="18">
        <v>0.14000000000000001</v>
      </c>
      <c r="Y47" s="18">
        <v>0.68500000000000005</v>
      </c>
      <c r="Z47" s="18">
        <v>0.20699999999999999</v>
      </c>
      <c r="AA47" s="18">
        <v>9.2999999999999999E-2</v>
      </c>
      <c r="AB47" s="18">
        <v>1.081</v>
      </c>
      <c r="AC47" s="18">
        <v>0.39100000000000001</v>
      </c>
      <c r="AD47" s="18">
        <v>0.17499999999999999</v>
      </c>
      <c r="AE47" s="18">
        <v>0.60499999999999998</v>
      </c>
      <c r="AF47" s="18">
        <v>0.151</v>
      </c>
      <c r="AG47" s="18">
        <v>0.69599999999999995</v>
      </c>
      <c r="AH47" s="18">
        <v>0.438</v>
      </c>
      <c r="AI47" s="18">
        <v>0.16200000000000001</v>
      </c>
      <c r="AJ47" s="18">
        <v>0.56799999999999995</v>
      </c>
      <c r="AK47" s="18">
        <v>0.49299999999999999</v>
      </c>
      <c r="AL47" s="18">
        <v>1.1879999999999999</v>
      </c>
      <c r="AM47" s="18">
        <v>0.76300000000000001</v>
      </c>
      <c r="AN47" s="18">
        <v>0.21299999999999999</v>
      </c>
      <c r="AO47" s="18">
        <v>0.217</v>
      </c>
      <c r="AP47" s="18">
        <v>0.84599999999999997</v>
      </c>
      <c r="AQ47" s="18">
        <v>0.52500000000000002</v>
      </c>
      <c r="AR47" s="18">
        <v>5.5E-2</v>
      </c>
      <c r="AS47" s="18">
        <v>1.476</v>
      </c>
      <c r="AT47" s="18">
        <v>0.10199999999999999</v>
      </c>
      <c r="AU47" s="18">
        <v>0.05</v>
      </c>
      <c r="AV47" s="18">
        <v>3.07</v>
      </c>
      <c r="AW47" s="18">
        <v>0.52500000000000002</v>
      </c>
      <c r="AX47" s="18">
        <v>0.49399999999999999</v>
      </c>
      <c r="AY47" s="18">
        <v>1.153</v>
      </c>
      <c r="AZ47" s="18">
        <v>0.999</v>
      </c>
      <c r="BA47" s="18">
        <v>0.70099999999999996</v>
      </c>
      <c r="BB47" s="18">
        <v>0.35</v>
      </c>
      <c r="BC47" s="18">
        <v>0.30499999999999999</v>
      </c>
      <c r="BD47" s="18">
        <v>0.755</v>
      </c>
      <c r="BE47" s="18">
        <v>0.68</v>
      </c>
      <c r="BF47" s="18">
        <v>1.2949999999999999</v>
      </c>
      <c r="BG47" s="18">
        <v>0.48199999999999998</v>
      </c>
      <c r="BH47" s="18">
        <v>0.77</v>
      </c>
      <c r="BI47" s="18">
        <v>6.2E-2</v>
      </c>
      <c r="BJ47" s="18">
        <v>0.42099999999999999</v>
      </c>
      <c r="BK47" s="18">
        <v>0.88800000000000001</v>
      </c>
      <c r="BL47" s="18">
        <v>0.17</v>
      </c>
      <c r="BM47" s="18">
        <v>0.65200000000000002</v>
      </c>
      <c r="BN47" s="18">
        <v>0.45300000000000001</v>
      </c>
      <c r="BO47" s="18">
        <v>0.53700000000000003</v>
      </c>
      <c r="BP47" s="18">
        <v>0</v>
      </c>
      <c r="BQ47" s="18">
        <v>4.3999999999999997E-2</v>
      </c>
      <c r="BR47" s="18">
        <v>5.2999999999999999E-2</v>
      </c>
      <c r="BS47" s="18">
        <v>0.44500000000000001</v>
      </c>
      <c r="BT47" s="18">
        <v>0.183</v>
      </c>
      <c r="BU47" s="18">
        <v>0.28999999999999998</v>
      </c>
      <c r="BV47" s="18">
        <v>0.6</v>
      </c>
      <c r="BW47" s="18">
        <v>0.29299999999999998</v>
      </c>
      <c r="BX47" s="18">
        <v>5.0999999999999997E-2</v>
      </c>
      <c r="BY47" s="18">
        <v>5.5E-2</v>
      </c>
      <c r="BZ47" s="18">
        <v>0.34799999999999998</v>
      </c>
      <c r="CA47" s="18">
        <v>0.30199999999999999</v>
      </c>
      <c r="CB47" s="18">
        <v>1.496</v>
      </c>
      <c r="CC47" s="18">
        <v>0.47299999999999998</v>
      </c>
      <c r="CD47" s="18">
        <v>0.71699999999999997</v>
      </c>
      <c r="CE47" s="18">
        <v>4.5999999999999999E-2</v>
      </c>
      <c r="CF47" s="18">
        <v>9.5000000000000001E-2</v>
      </c>
      <c r="CG47" s="18">
        <v>0.17499999999999999</v>
      </c>
      <c r="CH47" s="18">
        <v>0.26100000000000001</v>
      </c>
      <c r="CI47" s="18">
        <v>0.13500000000000001</v>
      </c>
      <c r="CJ47" s="18">
        <v>1.4279999999999999</v>
      </c>
      <c r="CK47" s="18">
        <v>0.19800000000000001</v>
      </c>
      <c r="CL47" s="18">
        <v>0.05</v>
      </c>
      <c r="CM47" s="18">
        <v>0.60299999999999998</v>
      </c>
      <c r="CN47" s="18">
        <v>0.58499999999999996</v>
      </c>
      <c r="CO47" s="18">
        <v>0.106</v>
      </c>
      <c r="CP47" s="18">
        <v>2.956</v>
      </c>
      <c r="CQ47" s="18">
        <v>0.53100000000000003</v>
      </c>
      <c r="CR47" s="18">
        <v>0.81699999999999995</v>
      </c>
      <c r="CS47" s="18">
        <v>0.46300000000000002</v>
      </c>
      <c r="CT47" s="18">
        <v>4.7E-2</v>
      </c>
      <c r="CU47" s="18">
        <v>0.752</v>
      </c>
      <c r="CV47" s="18">
        <v>0.501</v>
      </c>
      <c r="CW47" s="18">
        <v>0.48699999999999999</v>
      </c>
      <c r="CX47" s="18">
        <v>0</v>
      </c>
      <c r="CY47" s="18">
        <v>0.28599999999999998</v>
      </c>
      <c r="CZ47" s="18">
        <v>0.435</v>
      </c>
      <c r="DA47" s="18">
        <v>0.38900000000000001</v>
      </c>
      <c r="DB47" s="18">
        <v>0.95899999999999996</v>
      </c>
      <c r="DC47" s="18">
        <v>0.51700000000000002</v>
      </c>
      <c r="DD47" s="18">
        <v>0.115</v>
      </c>
      <c r="DE47" s="18">
        <v>0.502</v>
      </c>
      <c r="DF47" s="18">
        <v>0.73699999999999999</v>
      </c>
      <c r="DG47" s="18">
        <v>1.0089999999999999</v>
      </c>
      <c r="DH47" s="18">
        <v>0.38300000000000001</v>
      </c>
      <c r="DI47" s="18">
        <v>0.878</v>
      </c>
      <c r="DJ47" s="18">
        <v>9.0999999999999998E-2</v>
      </c>
      <c r="DK47" s="18">
        <v>0.66400000000000003</v>
      </c>
      <c r="DL47" s="18">
        <v>0.73299999999999998</v>
      </c>
      <c r="DM47" s="18">
        <v>0.61299999999999999</v>
      </c>
      <c r="DN47" s="18">
        <v>0.55600000000000005</v>
      </c>
      <c r="DO47" s="18">
        <v>3.7999999999999999E-2</v>
      </c>
      <c r="DP47" s="18">
        <v>0.14099999999999999</v>
      </c>
      <c r="DQ47" s="18">
        <v>4.7E-2</v>
      </c>
      <c r="DR47" s="18">
        <v>0.36899999999999999</v>
      </c>
      <c r="DS47" s="18">
        <v>0.28399999999999997</v>
      </c>
      <c r="DT47" s="18">
        <v>0</v>
      </c>
      <c r="DU47" s="18">
        <v>0.44400000000000001</v>
      </c>
      <c r="DV47" s="18">
        <v>0.56799999999999995</v>
      </c>
    </row>
    <row r="48" spans="1:126" x14ac:dyDescent="0.25">
      <c r="A48" s="8">
        <v>44</v>
      </c>
      <c r="B48" s="8">
        <v>21.5</v>
      </c>
      <c r="C48" s="18">
        <v>5.7000000000000002E-2</v>
      </c>
      <c r="D48" s="18">
        <v>8.3000000000000004E-2</v>
      </c>
      <c r="E48" s="18">
        <v>0.10199999999999999</v>
      </c>
      <c r="F48" s="18">
        <v>0.55100000000000005</v>
      </c>
      <c r="G48" s="18">
        <v>0.53100000000000003</v>
      </c>
      <c r="H48" s="18">
        <v>0.34499999999999997</v>
      </c>
      <c r="I48" s="18">
        <v>0.46400000000000002</v>
      </c>
      <c r="J48" s="18">
        <v>0.58899999999999997</v>
      </c>
      <c r="K48" s="18">
        <v>0.70299999999999996</v>
      </c>
      <c r="L48" s="18">
        <v>0.501</v>
      </c>
      <c r="M48" s="18">
        <v>0.153</v>
      </c>
      <c r="N48" s="18">
        <v>0.43099999999999999</v>
      </c>
      <c r="O48" s="18">
        <v>0.31900000000000001</v>
      </c>
      <c r="P48" s="18">
        <v>0.54</v>
      </c>
      <c r="Q48" s="18">
        <v>0.38800000000000001</v>
      </c>
      <c r="R48" s="18">
        <v>0.68500000000000005</v>
      </c>
      <c r="S48" s="18">
        <v>0.375</v>
      </c>
      <c r="T48" s="18">
        <v>0.59599999999999997</v>
      </c>
      <c r="U48" s="18">
        <v>0.45600000000000002</v>
      </c>
      <c r="V48" s="18">
        <v>0.96799999999999997</v>
      </c>
      <c r="W48" s="18">
        <v>0.69599999999999995</v>
      </c>
      <c r="X48" s="18">
        <v>9.2999999999999999E-2</v>
      </c>
      <c r="Y48" s="18">
        <v>0.41399999999999998</v>
      </c>
      <c r="Z48" s="18">
        <v>5.5E-2</v>
      </c>
      <c r="AA48" s="18">
        <v>5.2999999999999999E-2</v>
      </c>
      <c r="AB48" s="18">
        <v>0.86099999999999999</v>
      </c>
      <c r="AC48" s="18">
        <v>0.42399999999999999</v>
      </c>
      <c r="AD48" s="18">
        <v>0.27700000000000002</v>
      </c>
      <c r="AE48" s="18">
        <v>0.73899999999999999</v>
      </c>
      <c r="AF48" s="18">
        <v>0.05</v>
      </c>
      <c r="AG48" s="18">
        <v>1.744</v>
      </c>
      <c r="AH48" s="18">
        <v>0.48799999999999999</v>
      </c>
      <c r="AI48" s="18">
        <v>7.4999999999999997E-2</v>
      </c>
      <c r="AJ48" s="18">
        <v>0.437</v>
      </c>
      <c r="AK48" s="18">
        <v>1.5620000000000001</v>
      </c>
      <c r="AL48" s="18">
        <v>0.86699999999999999</v>
      </c>
      <c r="AM48" s="18">
        <v>0.92900000000000005</v>
      </c>
      <c r="AN48" s="18">
        <v>0.47799999999999998</v>
      </c>
      <c r="AO48" s="18">
        <v>0.36099999999999999</v>
      </c>
      <c r="AP48" s="18">
        <v>4.5999999999999999E-2</v>
      </c>
      <c r="AQ48" s="18">
        <v>0.32100000000000001</v>
      </c>
      <c r="AR48" s="18">
        <v>0.30599999999999999</v>
      </c>
      <c r="AS48" s="18">
        <v>1.0189999999999999</v>
      </c>
      <c r="AT48" s="18">
        <v>0.10199999999999999</v>
      </c>
      <c r="AU48" s="18">
        <v>0.05</v>
      </c>
      <c r="AV48" s="18">
        <v>1.7090000000000001</v>
      </c>
      <c r="AW48" s="18">
        <v>0.44</v>
      </c>
      <c r="AX48" s="18">
        <v>0.60499999999999998</v>
      </c>
      <c r="AY48" s="18">
        <v>1.1739999999999999</v>
      </c>
      <c r="AZ48" s="18">
        <v>2.823</v>
      </c>
      <c r="BA48" s="18">
        <v>0.498</v>
      </c>
      <c r="BB48" s="18">
        <v>0.46700000000000003</v>
      </c>
      <c r="BC48" s="18">
        <v>0.43</v>
      </c>
      <c r="BD48" s="18">
        <v>0.66200000000000003</v>
      </c>
      <c r="BE48" s="18">
        <v>0.41199999999999998</v>
      </c>
      <c r="BF48" s="18">
        <v>1.2529999999999999</v>
      </c>
      <c r="BG48" s="18">
        <v>0.49199999999999999</v>
      </c>
      <c r="BH48" s="18">
        <v>0.41699999999999998</v>
      </c>
      <c r="BI48" s="18">
        <v>0.23499999999999999</v>
      </c>
      <c r="BJ48" s="18">
        <v>0.503</v>
      </c>
      <c r="BK48" s="18">
        <v>0.24</v>
      </c>
      <c r="BL48" s="18">
        <v>0.30499999999999999</v>
      </c>
      <c r="BM48" s="18">
        <v>0.68100000000000005</v>
      </c>
      <c r="BN48" s="18">
        <v>8.3000000000000004E-2</v>
      </c>
      <c r="BO48" s="18">
        <v>0.495</v>
      </c>
      <c r="BP48" s="18">
        <v>0</v>
      </c>
      <c r="BQ48" s="18">
        <v>0.14699999999999999</v>
      </c>
      <c r="BR48" s="18">
        <v>5.2999999999999999E-2</v>
      </c>
      <c r="BS48" s="18">
        <v>0</v>
      </c>
      <c r="BT48" s="18">
        <v>0.17899999999999999</v>
      </c>
      <c r="BU48" s="18">
        <v>0.24</v>
      </c>
      <c r="BV48" s="18">
        <v>0.38700000000000001</v>
      </c>
      <c r="BW48" s="18">
        <v>0.114</v>
      </c>
      <c r="BX48" s="18">
        <v>0.126</v>
      </c>
      <c r="BY48" s="18">
        <v>5.5E-2</v>
      </c>
      <c r="BZ48" s="18">
        <v>0.22</v>
      </c>
      <c r="CA48" s="18">
        <v>0.34499999999999997</v>
      </c>
      <c r="CB48" s="18">
        <v>0.19700000000000001</v>
      </c>
      <c r="CC48" s="18">
        <v>0.29799999999999999</v>
      </c>
      <c r="CD48" s="18">
        <v>0.11899999999999999</v>
      </c>
      <c r="CE48" s="18">
        <v>0.10100000000000001</v>
      </c>
      <c r="CF48" s="18">
        <v>0.20799999999999999</v>
      </c>
      <c r="CG48" s="18">
        <v>0.55400000000000005</v>
      </c>
      <c r="CH48" s="18">
        <v>4.7E-2</v>
      </c>
      <c r="CI48" s="18">
        <v>0.29499999999999998</v>
      </c>
      <c r="CJ48" s="18">
        <v>1.212</v>
      </c>
      <c r="CK48" s="18">
        <v>5.2999999999999999E-2</v>
      </c>
      <c r="CL48" s="18">
        <v>0.05</v>
      </c>
      <c r="CM48" s="18">
        <v>0.57599999999999996</v>
      </c>
      <c r="CN48" s="18">
        <v>0.67400000000000004</v>
      </c>
      <c r="CO48" s="18">
        <v>0.44500000000000001</v>
      </c>
      <c r="CP48" s="18">
        <v>0.432</v>
      </c>
      <c r="CQ48" s="18">
        <v>0.622</v>
      </c>
      <c r="CR48" s="18">
        <v>0.63900000000000001</v>
      </c>
      <c r="CS48" s="18">
        <v>0.83799999999999997</v>
      </c>
      <c r="CT48" s="18">
        <v>4.7E-2</v>
      </c>
      <c r="CU48" s="18">
        <v>0.51900000000000002</v>
      </c>
      <c r="CV48" s="18">
        <v>0.58599999999999997</v>
      </c>
      <c r="CW48" s="18">
        <v>0.28599999999999998</v>
      </c>
      <c r="CX48" s="18">
        <v>0</v>
      </c>
      <c r="CY48" s="18">
        <v>0.28499999999999998</v>
      </c>
      <c r="CZ48" s="18">
        <v>0.32400000000000001</v>
      </c>
      <c r="DA48" s="18">
        <v>0.61299999999999999</v>
      </c>
      <c r="DB48" s="18">
        <v>0.50700000000000001</v>
      </c>
      <c r="DC48" s="18">
        <v>0.32100000000000001</v>
      </c>
      <c r="DD48" s="18">
        <v>4.2000000000000003E-2</v>
      </c>
      <c r="DE48" s="18">
        <v>0.48699999999999999</v>
      </c>
      <c r="DF48" s="18">
        <v>0.64400000000000002</v>
      </c>
      <c r="DG48" s="18">
        <v>1.0620000000000001</v>
      </c>
      <c r="DH48" s="18">
        <v>0.46300000000000002</v>
      </c>
      <c r="DI48" s="18">
        <v>0.63200000000000001</v>
      </c>
      <c r="DJ48" s="18">
        <v>0.25900000000000001</v>
      </c>
      <c r="DK48" s="18">
        <v>0.68600000000000005</v>
      </c>
      <c r="DL48" s="18">
        <v>0.36899999999999999</v>
      </c>
      <c r="DM48" s="18">
        <v>0.13700000000000001</v>
      </c>
      <c r="DN48" s="18">
        <v>0.75900000000000001</v>
      </c>
      <c r="DO48" s="18">
        <v>6.7000000000000004E-2</v>
      </c>
      <c r="DP48" s="18">
        <v>0.21099999999999999</v>
      </c>
      <c r="DQ48" s="18">
        <v>0.11899999999999999</v>
      </c>
      <c r="DR48" s="18">
        <v>0.36699999999999999</v>
      </c>
      <c r="DS48" s="18">
        <v>0.35899999999999999</v>
      </c>
      <c r="DT48" s="18">
        <v>0</v>
      </c>
      <c r="DU48" s="18">
        <v>0.55400000000000005</v>
      </c>
      <c r="DV48" s="18">
        <v>0.73799999999999999</v>
      </c>
    </row>
    <row r="49" spans="1:126" x14ac:dyDescent="0.25">
      <c r="A49" s="8">
        <v>45</v>
      </c>
      <c r="B49" s="8">
        <v>22</v>
      </c>
      <c r="C49" s="18">
        <v>0.28299999999999997</v>
      </c>
      <c r="D49" s="18">
        <v>4.9000000000000002E-2</v>
      </c>
      <c r="E49" s="18">
        <v>5.0999999999999997E-2</v>
      </c>
      <c r="F49" s="18">
        <v>5.8999999999999997E-2</v>
      </c>
      <c r="G49" s="18">
        <v>0.35799999999999998</v>
      </c>
      <c r="H49" s="18">
        <v>0.23499999999999999</v>
      </c>
      <c r="I49" s="18">
        <v>0.56200000000000006</v>
      </c>
      <c r="J49" s="18">
        <v>0.41299999999999998</v>
      </c>
      <c r="K49" s="18">
        <v>0.5</v>
      </c>
      <c r="L49" s="18">
        <v>0.504</v>
      </c>
      <c r="M49" s="18">
        <v>0.193</v>
      </c>
      <c r="N49" s="18">
        <v>0.14599999999999999</v>
      </c>
      <c r="O49" s="18">
        <v>0.46899999999999997</v>
      </c>
      <c r="P49" s="18">
        <v>0.876</v>
      </c>
      <c r="Q49" s="18">
        <v>6.9000000000000006E-2</v>
      </c>
      <c r="R49" s="18">
        <v>0.73399999999999999</v>
      </c>
      <c r="S49" s="18">
        <v>0.56999999999999995</v>
      </c>
      <c r="T49" s="18">
        <v>1.7250000000000001</v>
      </c>
      <c r="U49" s="18">
        <v>0.77700000000000002</v>
      </c>
      <c r="V49" s="18">
        <v>0.17599999999999999</v>
      </c>
      <c r="W49" s="18">
        <v>0.29299999999999998</v>
      </c>
      <c r="X49" s="18">
        <v>0.14000000000000001</v>
      </c>
      <c r="Y49" s="18">
        <v>0.14399999999999999</v>
      </c>
      <c r="Z49" s="18">
        <v>0.214</v>
      </c>
      <c r="AA49" s="18">
        <v>5.2999999999999999E-2</v>
      </c>
      <c r="AB49" s="18">
        <v>0.53100000000000003</v>
      </c>
      <c r="AC49" s="18">
        <v>0.40699999999999997</v>
      </c>
      <c r="AD49" s="18">
        <v>8.2000000000000003E-2</v>
      </c>
      <c r="AE49" s="18">
        <v>0.77700000000000002</v>
      </c>
      <c r="AF49" s="18">
        <v>0.221</v>
      </c>
      <c r="AG49" s="18">
        <v>0.99</v>
      </c>
      <c r="AH49" s="18">
        <v>0.40500000000000003</v>
      </c>
      <c r="AI49" s="18">
        <v>0.20100000000000001</v>
      </c>
      <c r="AJ49" s="18">
        <v>0.46700000000000003</v>
      </c>
      <c r="AK49" s="18">
        <v>0.38500000000000001</v>
      </c>
      <c r="AL49" s="18">
        <v>0.9</v>
      </c>
      <c r="AM49" s="18">
        <v>0.73099999999999998</v>
      </c>
      <c r="AN49" s="18">
        <v>0.32600000000000001</v>
      </c>
      <c r="AO49" s="18">
        <v>5.8000000000000003E-2</v>
      </c>
      <c r="AP49" s="18">
        <v>4.5999999999999999E-2</v>
      </c>
      <c r="AQ49" s="18">
        <v>0.46200000000000002</v>
      </c>
      <c r="AR49" s="18">
        <v>0.36399999999999999</v>
      </c>
      <c r="AS49" s="18">
        <v>0.51</v>
      </c>
      <c r="AT49" s="18">
        <v>0.04</v>
      </c>
      <c r="AU49" s="18">
        <v>0.14899999999999999</v>
      </c>
      <c r="AV49" s="18">
        <v>0</v>
      </c>
      <c r="AW49" s="18">
        <v>0.45700000000000002</v>
      </c>
      <c r="AX49" s="18">
        <v>0.85499999999999998</v>
      </c>
      <c r="AY49" s="18">
        <v>1.0429999999999999</v>
      </c>
      <c r="AZ49" s="18">
        <v>2.3919999999999999</v>
      </c>
      <c r="BA49" s="18">
        <v>0.435</v>
      </c>
      <c r="BB49" s="18">
        <v>0.52300000000000002</v>
      </c>
      <c r="BC49" s="18">
        <v>0.41599999999999998</v>
      </c>
      <c r="BD49" s="18">
        <v>0.54200000000000004</v>
      </c>
      <c r="BE49" s="18">
        <v>0.51300000000000001</v>
      </c>
      <c r="BF49" s="18">
        <v>0.79800000000000004</v>
      </c>
      <c r="BG49" s="18">
        <v>1.2250000000000001</v>
      </c>
      <c r="BH49" s="18">
        <v>0.39900000000000002</v>
      </c>
      <c r="BI49" s="18">
        <v>6.2E-2</v>
      </c>
      <c r="BJ49" s="18">
        <v>0.65800000000000003</v>
      </c>
      <c r="BK49" s="18">
        <v>6.4000000000000001E-2</v>
      </c>
      <c r="BL49" s="18">
        <v>0.20399999999999999</v>
      </c>
      <c r="BM49" s="18">
        <v>7.4999999999999997E-2</v>
      </c>
      <c r="BN49" s="18">
        <v>0.14599999999999999</v>
      </c>
      <c r="BO49" s="18">
        <v>0.69099999999999995</v>
      </c>
      <c r="BP49" s="18">
        <v>0</v>
      </c>
      <c r="BQ49" s="18">
        <v>0.51200000000000001</v>
      </c>
      <c r="BR49" s="18">
        <v>0.16700000000000001</v>
      </c>
      <c r="BS49" s="18">
        <v>0</v>
      </c>
      <c r="BT49" s="18">
        <v>0.1</v>
      </c>
      <c r="BU49" s="18">
        <v>0.45</v>
      </c>
      <c r="BV49" s="18">
        <v>0.51300000000000001</v>
      </c>
      <c r="BW49" s="18">
        <v>0.16500000000000001</v>
      </c>
      <c r="BX49" s="18">
        <v>5.0999999999999997E-2</v>
      </c>
      <c r="BY49" s="18">
        <v>0.246</v>
      </c>
      <c r="BZ49" s="18">
        <v>0.42399999999999999</v>
      </c>
      <c r="CA49" s="18">
        <v>0.29899999999999999</v>
      </c>
      <c r="CB49" s="18">
        <v>0.193</v>
      </c>
      <c r="CC49" s="18">
        <v>0.27100000000000002</v>
      </c>
      <c r="CD49" s="18">
        <v>0.11899999999999999</v>
      </c>
      <c r="CE49" s="18">
        <v>0.23400000000000001</v>
      </c>
      <c r="CF49" s="18">
        <v>4.2999999999999997E-2</v>
      </c>
      <c r="CG49" s="18">
        <v>0.24399999999999999</v>
      </c>
      <c r="CH49" s="18">
        <v>9.2999999999999999E-2</v>
      </c>
      <c r="CI49" s="18">
        <v>0.19500000000000001</v>
      </c>
      <c r="CJ49" s="18">
        <v>0.63200000000000001</v>
      </c>
      <c r="CK49" s="18">
        <v>0.11899999999999999</v>
      </c>
      <c r="CL49" s="18">
        <v>0.05</v>
      </c>
      <c r="CM49" s="18">
        <v>0.49399999999999999</v>
      </c>
      <c r="CN49" s="18">
        <v>0.503</v>
      </c>
      <c r="CO49" s="18">
        <v>5.1999999999999998E-2</v>
      </c>
      <c r="CP49" s="18">
        <v>0</v>
      </c>
      <c r="CQ49" s="18">
        <v>0.433</v>
      </c>
      <c r="CR49" s="18">
        <v>0.70799999999999996</v>
      </c>
      <c r="CS49" s="18">
        <v>0.63800000000000001</v>
      </c>
      <c r="CT49" s="18">
        <v>0.104</v>
      </c>
      <c r="CU49" s="18">
        <v>0.88800000000000001</v>
      </c>
      <c r="CV49" s="18">
        <v>0.69599999999999995</v>
      </c>
      <c r="CW49" s="18">
        <v>0.434</v>
      </c>
      <c r="CX49" s="18">
        <v>0</v>
      </c>
      <c r="CY49" s="18">
        <v>3.4000000000000002E-2</v>
      </c>
      <c r="CZ49" s="18">
        <v>0.316</v>
      </c>
      <c r="DA49" s="18">
        <v>0.67900000000000005</v>
      </c>
      <c r="DB49" s="18">
        <v>0.622</v>
      </c>
      <c r="DC49" s="18">
        <v>0.57399999999999995</v>
      </c>
      <c r="DD49" s="18">
        <v>4.5999999999999999E-2</v>
      </c>
      <c r="DE49" s="18">
        <v>0.36299999999999999</v>
      </c>
      <c r="DF49" s="18">
        <v>0.73499999999999999</v>
      </c>
      <c r="DG49" s="18">
        <v>5.8000000000000003E-2</v>
      </c>
      <c r="DH49" s="18">
        <v>0.32900000000000001</v>
      </c>
      <c r="DI49" s="18">
        <v>0.69299999999999995</v>
      </c>
      <c r="DJ49" s="18">
        <v>0.23799999999999999</v>
      </c>
      <c r="DK49" s="18">
        <v>4.9000000000000002E-2</v>
      </c>
      <c r="DL49" s="18">
        <v>0.48799999999999999</v>
      </c>
      <c r="DM49" s="18">
        <v>0.106</v>
      </c>
      <c r="DN49" s="18">
        <v>0.501</v>
      </c>
      <c r="DO49" s="18">
        <v>0.24</v>
      </c>
      <c r="DP49" s="18">
        <v>5.5E-2</v>
      </c>
      <c r="DQ49" s="18">
        <v>8.7999999999999995E-2</v>
      </c>
      <c r="DR49" s="18">
        <v>0.44900000000000001</v>
      </c>
      <c r="DS49" s="18">
        <v>0.30599999999999999</v>
      </c>
      <c r="DT49" s="18">
        <v>0</v>
      </c>
      <c r="DU49" s="18">
        <v>1.4950000000000001</v>
      </c>
      <c r="DV49" s="18">
        <v>0.88100000000000001</v>
      </c>
    </row>
    <row r="50" spans="1:126" x14ac:dyDescent="0.25">
      <c r="A50" s="8">
        <v>46</v>
      </c>
      <c r="B50" s="8">
        <v>22.5</v>
      </c>
      <c r="C50" s="18">
        <v>1.8169999999999999</v>
      </c>
      <c r="D50" s="18">
        <v>4.9000000000000002E-2</v>
      </c>
      <c r="E50" s="18">
        <v>5.0999999999999997E-2</v>
      </c>
      <c r="F50" s="18">
        <v>5.8999999999999997E-2</v>
      </c>
      <c r="G50" s="18">
        <v>4.7E-2</v>
      </c>
      <c r="H50" s="18">
        <v>0.17599999999999999</v>
      </c>
      <c r="I50" s="18">
        <v>0.34100000000000003</v>
      </c>
      <c r="J50" s="18">
        <v>0.19700000000000001</v>
      </c>
      <c r="K50" s="18">
        <v>0.27700000000000002</v>
      </c>
      <c r="L50" s="18">
        <v>0.82</v>
      </c>
      <c r="M50" s="18">
        <v>0.22500000000000001</v>
      </c>
      <c r="N50" s="18">
        <v>4.7E-2</v>
      </c>
      <c r="O50" s="18">
        <v>0.152</v>
      </c>
      <c r="P50" s="18">
        <v>0.58499999999999996</v>
      </c>
      <c r="Q50" s="18">
        <v>0.26400000000000001</v>
      </c>
      <c r="R50" s="18">
        <v>0.9</v>
      </c>
      <c r="S50" s="18">
        <v>0.53700000000000003</v>
      </c>
      <c r="T50" s="18">
        <v>0.70799999999999996</v>
      </c>
      <c r="U50" s="18">
        <v>2.1800000000000002</v>
      </c>
      <c r="V50" s="18">
        <v>0.30399999999999999</v>
      </c>
      <c r="W50" s="18">
        <v>0.105</v>
      </c>
      <c r="X50" s="18">
        <v>5.7000000000000002E-2</v>
      </c>
      <c r="Y50" s="18">
        <v>3.1E-2</v>
      </c>
      <c r="Z50" s="18">
        <v>5.5E-2</v>
      </c>
      <c r="AA50" s="18">
        <v>9.2999999999999999E-2</v>
      </c>
      <c r="AB50" s="18">
        <v>0</v>
      </c>
      <c r="AC50" s="18">
        <v>0.47199999999999998</v>
      </c>
      <c r="AD50" s="18">
        <v>0.26900000000000002</v>
      </c>
      <c r="AE50" s="18">
        <v>0.54500000000000004</v>
      </c>
      <c r="AF50" s="18">
        <v>0.05</v>
      </c>
      <c r="AG50" s="18">
        <v>0.16900000000000001</v>
      </c>
      <c r="AH50" s="18">
        <v>0.32300000000000001</v>
      </c>
      <c r="AI50" s="18">
        <v>0.59</v>
      </c>
      <c r="AJ50" s="18">
        <v>0.76200000000000001</v>
      </c>
      <c r="AK50" s="18">
        <v>0.40100000000000002</v>
      </c>
      <c r="AL50" s="18">
        <v>8.3000000000000004E-2</v>
      </c>
      <c r="AM50" s="18">
        <v>0.55000000000000004</v>
      </c>
      <c r="AN50" s="18">
        <v>0.26600000000000001</v>
      </c>
      <c r="AO50" s="18">
        <v>0.30599999999999999</v>
      </c>
      <c r="AP50" s="18">
        <v>4.5999999999999999E-2</v>
      </c>
      <c r="AQ50" s="18">
        <v>0.68600000000000005</v>
      </c>
      <c r="AR50" s="18">
        <v>0.25900000000000001</v>
      </c>
      <c r="AS50" s="18">
        <v>0.31900000000000001</v>
      </c>
      <c r="AT50" s="18">
        <v>7.3999999999999996E-2</v>
      </c>
      <c r="AU50" s="18">
        <v>5.5E-2</v>
      </c>
      <c r="AV50" s="18">
        <v>0</v>
      </c>
      <c r="AW50" s="18">
        <v>1.7430000000000001</v>
      </c>
      <c r="AX50" s="18">
        <v>0.60499999999999998</v>
      </c>
      <c r="AY50" s="18">
        <v>1.2749999999999999</v>
      </c>
      <c r="AZ50" s="18">
        <v>0</v>
      </c>
      <c r="BA50" s="18">
        <v>0.55800000000000005</v>
      </c>
      <c r="BB50" s="18">
        <v>0.50700000000000001</v>
      </c>
      <c r="BC50" s="18">
        <v>0.03</v>
      </c>
      <c r="BD50" s="18">
        <v>0.41199999999999998</v>
      </c>
      <c r="BE50" s="18">
        <v>0.438</v>
      </c>
      <c r="BF50" s="18">
        <v>0.26600000000000001</v>
      </c>
      <c r="BG50" s="18">
        <v>0.28799999999999998</v>
      </c>
      <c r="BH50" s="18">
        <v>0.67</v>
      </c>
      <c r="BI50" s="18">
        <v>0.16400000000000001</v>
      </c>
      <c r="BJ50" s="18">
        <v>0.51200000000000001</v>
      </c>
      <c r="BK50" s="18">
        <v>0.55400000000000005</v>
      </c>
      <c r="BL50" s="18">
        <v>0.14299999999999999</v>
      </c>
      <c r="BM50" s="18">
        <v>0.52700000000000002</v>
      </c>
      <c r="BN50" s="18">
        <v>0.248</v>
      </c>
      <c r="BO50" s="18">
        <v>0.50900000000000001</v>
      </c>
      <c r="BP50" s="18">
        <v>0</v>
      </c>
      <c r="BQ50" s="18">
        <v>0.311</v>
      </c>
      <c r="BR50" s="18">
        <v>0.25800000000000001</v>
      </c>
      <c r="BS50" s="18">
        <v>0</v>
      </c>
      <c r="BT50" s="18">
        <v>0.17899999999999999</v>
      </c>
      <c r="BU50" s="18">
        <v>0.311</v>
      </c>
      <c r="BV50" s="18">
        <v>0.49399999999999999</v>
      </c>
      <c r="BW50" s="18">
        <v>0.24099999999999999</v>
      </c>
      <c r="BX50" s="18">
        <v>0.126</v>
      </c>
      <c r="BY50" s="18">
        <v>0.41199999999999998</v>
      </c>
      <c r="BZ50" s="18">
        <v>0.26300000000000001</v>
      </c>
      <c r="CA50" s="18">
        <v>0.32100000000000001</v>
      </c>
      <c r="CB50" s="18">
        <v>0.156</v>
      </c>
      <c r="CC50" s="18">
        <v>0.45100000000000001</v>
      </c>
      <c r="CD50" s="18">
        <v>0.16700000000000001</v>
      </c>
      <c r="CE50" s="18">
        <v>0.35199999999999998</v>
      </c>
      <c r="CF50" s="18">
        <v>0</v>
      </c>
      <c r="CG50" s="18">
        <v>0.52900000000000003</v>
      </c>
      <c r="CH50" s="18">
        <v>0.14499999999999999</v>
      </c>
      <c r="CI50" s="18">
        <v>5.5E-2</v>
      </c>
      <c r="CJ50" s="18">
        <v>0.40699999999999997</v>
      </c>
      <c r="CK50" s="18">
        <v>4.9000000000000002E-2</v>
      </c>
      <c r="CL50" s="18">
        <v>0.05</v>
      </c>
      <c r="CM50" s="18">
        <v>0.58599999999999997</v>
      </c>
      <c r="CN50" s="18">
        <v>1.885</v>
      </c>
      <c r="CO50" s="18">
        <v>0.14599999999999999</v>
      </c>
      <c r="CP50" s="18">
        <v>0</v>
      </c>
      <c r="CQ50" s="18">
        <v>0.14399999999999999</v>
      </c>
      <c r="CR50" s="18">
        <v>0.40799999999999997</v>
      </c>
      <c r="CS50" s="18">
        <v>0.56499999999999995</v>
      </c>
      <c r="CT50" s="18">
        <v>0.11700000000000001</v>
      </c>
      <c r="CU50" s="18">
        <v>0.42499999999999999</v>
      </c>
      <c r="CV50" s="18">
        <v>0.46100000000000002</v>
      </c>
      <c r="CW50" s="18">
        <v>0.76500000000000001</v>
      </c>
      <c r="CX50" s="18">
        <v>0</v>
      </c>
      <c r="CY50" s="18">
        <v>0.13600000000000001</v>
      </c>
      <c r="CZ50" s="18">
        <v>0.41299999999999998</v>
      </c>
      <c r="DA50" s="18">
        <v>0.48099999999999998</v>
      </c>
      <c r="DB50" s="18">
        <v>1.546</v>
      </c>
      <c r="DC50" s="18">
        <v>0.41399999999999998</v>
      </c>
      <c r="DD50" s="18">
        <v>0.111</v>
      </c>
      <c r="DE50" s="18">
        <v>0.94199999999999995</v>
      </c>
      <c r="DF50" s="18">
        <v>0.05</v>
      </c>
      <c r="DG50" s="18">
        <v>0.188</v>
      </c>
      <c r="DH50" s="18">
        <v>0.112</v>
      </c>
      <c r="DI50" s="18">
        <v>0.84299999999999997</v>
      </c>
      <c r="DJ50" s="18">
        <v>0.20899999999999999</v>
      </c>
      <c r="DK50" s="18">
        <v>0</v>
      </c>
      <c r="DL50" s="18">
        <v>0.59799999999999998</v>
      </c>
      <c r="DM50" s="18">
        <v>0.19</v>
      </c>
      <c r="DN50" s="18">
        <v>0.371</v>
      </c>
      <c r="DO50" s="18">
        <v>7.5999999999999998E-2</v>
      </c>
      <c r="DP50" s="18">
        <v>0.26100000000000001</v>
      </c>
      <c r="DQ50" s="18">
        <v>6.2E-2</v>
      </c>
      <c r="DR50" s="18">
        <v>0.439</v>
      </c>
      <c r="DS50" s="18">
        <v>0.38600000000000001</v>
      </c>
      <c r="DT50" s="18">
        <v>0</v>
      </c>
      <c r="DU50" s="18">
        <v>1.2290000000000001</v>
      </c>
      <c r="DV50" s="18">
        <v>0</v>
      </c>
    </row>
    <row r="51" spans="1:126" x14ac:dyDescent="0.25">
      <c r="A51" s="8">
        <v>47</v>
      </c>
      <c r="B51" s="8">
        <v>23</v>
      </c>
      <c r="C51" s="18">
        <v>0.56399999999999995</v>
      </c>
      <c r="D51" s="18">
        <v>0.23899999999999999</v>
      </c>
      <c r="E51" s="18">
        <v>5.0999999999999997E-2</v>
      </c>
      <c r="F51" s="18">
        <v>5.8999999999999997E-2</v>
      </c>
      <c r="G51" s="18">
        <v>4.7E-2</v>
      </c>
      <c r="H51" s="18">
        <v>0.108</v>
      </c>
      <c r="I51" s="18">
        <v>0.61199999999999999</v>
      </c>
      <c r="J51" s="18">
        <v>0.14299999999999999</v>
      </c>
      <c r="K51" s="18">
        <v>0.38800000000000001</v>
      </c>
      <c r="L51" s="18">
        <v>0.29399999999999998</v>
      </c>
      <c r="M51" s="18">
        <v>0.20799999999999999</v>
      </c>
      <c r="N51" s="18">
        <v>0.185</v>
      </c>
      <c r="O51" s="18">
        <v>0.24299999999999999</v>
      </c>
      <c r="P51" s="18">
        <v>0.29499999999999998</v>
      </c>
      <c r="Q51" s="18">
        <v>4.8000000000000001E-2</v>
      </c>
      <c r="R51" s="18">
        <v>0.77</v>
      </c>
      <c r="S51" s="18">
        <v>0.36099999999999999</v>
      </c>
      <c r="T51" s="18">
        <v>0.52600000000000002</v>
      </c>
      <c r="U51" s="18">
        <v>0.46</v>
      </c>
      <c r="V51" s="18">
        <v>8.5000000000000006E-2</v>
      </c>
      <c r="W51" s="18">
        <v>4.8000000000000001E-2</v>
      </c>
      <c r="X51" s="18">
        <v>5.7000000000000002E-2</v>
      </c>
      <c r="Y51" s="18">
        <v>3.1E-2</v>
      </c>
      <c r="Z51" s="18">
        <v>8.4000000000000005E-2</v>
      </c>
      <c r="AA51" s="18">
        <v>0.127</v>
      </c>
      <c r="AB51" s="18">
        <v>0</v>
      </c>
      <c r="AC51" s="18">
        <v>0.57799999999999996</v>
      </c>
      <c r="AD51" s="18">
        <v>5.0999999999999997E-2</v>
      </c>
      <c r="AE51" s="18">
        <v>0.219</v>
      </c>
      <c r="AF51" s="18">
        <v>0.12</v>
      </c>
      <c r="AG51" s="18">
        <v>0</v>
      </c>
      <c r="AH51" s="18">
        <v>0.59399999999999997</v>
      </c>
      <c r="AI51" s="18">
        <v>5.0999999999999997E-2</v>
      </c>
      <c r="AJ51" s="18">
        <v>0.317</v>
      </c>
      <c r="AK51" s="18">
        <v>0.502</v>
      </c>
      <c r="AL51" s="18">
        <v>0</v>
      </c>
      <c r="AM51" s="18">
        <v>0.442</v>
      </c>
      <c r="AN51" s="18">
        <v>0.36199999999999999</v>
      </c>
      <c r="AO51" s="18">
        <v>0.151</v>
      </c>
      <c r="AP51" s="18">
        <v>4.5999999999999999E-2</v>
      </c>
      <c r="AQ51" s="18">
        <v>0.68300000000000005</v>
      </c>
      <c r="AR51" s="18">
        <v>5.5E-2</v>
      </c>
      <c r="AS51" s="18">
        <v>0.14199999999999999</v>
      </c>
      <c r="AT51" s="18">
        <v>9.2999999999999999E-2</v>
      </c>
      <c r="AU51" s="18">
        <v>6.6000000000000003E-2</v>
      </c>
      <c r="AV51" s="18">
        <v>0</v>
      </c>
      <c r="AW51" s="18">
        <v>1.5249999999999999</v>
      </c>
      <c r="AX51" s="18">
        <v>0.151</v>
      </c>
      <c r="AY51" s="18">
        <v>0.4</v>
      </c>
      <c r="AZ51" s="18">
        <v>0</v>
      </c>
      <c r="BA51" s="18">
        <v>0.28299999999999997</v>
      </c>
      <c r="BB51" s="18">
        <v>0.155</v>
      </c>
      <c r="BC51" s="18">
        <v>0.03</v>
      </c>
      <c r="BD51" s="18">
        <v>5.8000000000000003E-2</v>
      </c>
      <c r="BE51" s="18">
        <v>0.17599999999999999</v>
      </c>
      <c r="BF51" s="18">
        <v>0.20300000000000001</v>
      </c>
      <c r="BG51" s="18">
        <v>0.46700000000000003</v>
      </c>
      <c r="BH51" s="18">
        <v>0.05</v>
      </c>
      <c r="BI51" s="18">
        <v>0.13300000000000001</v>
      </c>
      <c r="BJ51" s="18">
        <v>0.34499999999999997</v>
      </c>
      <c r="BK51" s="18">
        <v>0.23</v>
      </c>
      <c r="BL51" s="18">
        <v>0.17699999999999999</v>
      </c>
      <c r="BM51" s="18">
        <v>0.35599999999999998</v>
      </c>
      <c r="BN51" s="18">
        <v>5.5E-2</v>
      </c>
      <c r="BO51" s="18">
        <v>0.13</v>
      </c>
      <c r="BP51" s="18">
        <v>0</v>
      </c>
      <c r="BQ51" s="18">
        <v>0.88300000000000001</v>
      </c>
      <c r="BR51" s="18">
        <v>0.14499999999999999</v>
      </c>
      <c r="BS51" s="18">
        <v>0</v>
      </c>
      <c r="BT51" s="18">
        <v>0.13700000000000001</v>
      </c>
      <c r="BU51" s="18">
        <v>0.36799999999999999</v>
      </c>
      <c r="BV51" s="18">
        <v>0.67300000000000004</v>
      </c>
      <c r="BW51" s="18">
        <v>0.05</v>
      </c>
      <c r="BX51" s="18">
        <v>5.0999999999999997E-2</v>
      </c>
      <c r="BY51" s="18">
        <v>0.24099999999999999</v>
      </c>
      <c r="BZ51" s="18">
        <v>0.317</v>
      </c>
      <c r="CA51" s="18">
        <v>5.7000000000000002E-2</v>
      </c>
      <c r="CB51" s="18">
        <v>0.05</v>
      </c>
      <c r="CC51" s="18">
        <v>0.11</v>
      </c>
      <c r="CD51" s="18">
        <v>0.33500000000000002</v>
      </c>
      <c r="CE51" s="18">
        <v>0.13100000000000001</v>
      </c>
      <c r="CF51" s="18">
        <v>0</v>
      </c>
      <c r="CG51" s="18">
        <v>0.32600000000000001</v>
      </c>
      <c r="CH51" s="18">
        <v>4.7E-2</v>
      </c>
      <c r="CI51" s="18">
        <v>0.22600000000000001</v>
      </c>
      <c r="CJ51" s="18">
        <v>0.39300000000000002</v>
      </c>
      <c r="CK51" s="18">
        <v>4.9000000000000002E-2</v>
      </c>
      <c r="CL51" s="18">
        <v>0.05</v>
      </c>
      <c r="CM51" s="18">
        <v>0.495</v>
      </c>
      <c r="CN51" s="18">
        <v>0.184</v>
      </c>
      <c r="CO51" s="18">
        <v>5.8999999999999997E-2</v>
      </c>
      <c r="CP51" s="18">
        <v>0</v>
      </c>
      <c r="CQ51" s="18">
        <v>0.217</v>
      </c>
      <c r="CR51" s="18">
        <v>0.33200000000000002</v>
      </c>
      <c r="CS51" s="18">
        <v>0.44</v>
      </c>
      <c r="CT51" s="18">
        <v>0.50700000000000001</v>
      </c>
      <c r="CU51" s="18">
        <v>0.161</v>
      </c>
      <c r="CV51" s="18">
        <v>0.37</v>
      </c>
      <c r="CW51" s="18">
        <v>5.6000000000000001E-2</v>
      </c>
      <c r="CX51" s="18">
        <v>0</v>
      </c>
      <c r="CY51" s="18">
        <v>0.216</v>
      </c>
      <c r="CZ51" s="18">
        <v>1.4390000000000001</v>
      </c>
      <c r="DA51" s="18">
        <v>0.31</v>
      </c>
      <c r="DB51" s="18">
        <v>0.496</v>
      </c>
      <c r="DC51" s="18">
        <v>0.41199999999999998</v>
      </c>
      <c r="DD51" s="18">
        <v>7.0000000000000007E-2</v>
      </c>
      <c r="DE51" s="18">
        <v>0.41799999999999998</v>
      </c>
      <c r="DF51" s="18">
        <v>0</v>
      </c>
      <c r="DG51" s="18">
        <v>7.9000000000000001E-2</v>
      </c>
      <c r="DH51" s="18">
        <v>0.121</v>
      </c>
      <c r="DI51" s="18">
        <v>0.70099999999999996</v>
      </c>
      <c r="DJ51" s="18">
        <v>0.26500000000000001</v>
      </c>
      <c r="DK51" s="18">
        <v>0</v>
      </c>
      <c r="DL51" s="18">
        <v>0.55500000000000005</v>
      </c>
      <c r="DM51" s="18">
        <v>0.13300000000000001</v>
      </c>
      <c r="DN51" s="18">
        <v>0.38900000000000001</v>
      </c>
      <c r="DO51" s="18">
        <v>0.13800000000000001</v>
      </c>
      <c r="DP51" s="18">
        <v>9.0999999999999998E-2</v>
      </c>
      <c r="DQ51" s="18">
        <v>0.23499999999999999</v>
      </c>
      <c r="DR51" s="18">
        <v>0.44</v>
      </c>
      <c r="DS51" s="18">
        <v>0.27700000000000002</v>
      </c>
      <c r="DT51" s="18">
        <v>0</v>
      </c>
      <c r="DU51" s="18">
        <v>0.50800000000000001</v>
      </c>
      <c r="DV51" s="18">
        <v>0</v>
      </c>
    </row>
    <row r="52" spans="1:126" x14ac:dyDescent="0.25">
      <c r="A52" s="8">
        <v>48</v>
      </c>
      <c r="B52" s="8">
        <v>23.5</v>
      </c>
      <c r="C52" s="18">
        <v>0.69299999999999995</v>
      </c>
      <c r="D52" s="18">
        <v>4.9000000000000002E-2</v>
      </c>
      <c r="E52" s="18">
        <v>5.0999999999999997E-2</v>
      </c>
      <c r="F52" s="18">
        <v>5.8999999999999997E-2</v>
      </c>
      <c r="G52" s="18">
        <v>4.7E-2</v>
      </c>
      <c r="H52" s="18">
        <v>5.0999999999999997E-2</v>
      </c>
      <c r="I52" s="18">
        <v>0.191</v>
      </c>
      <c r="J52" s="18">
        <v>8.6999999999999994E-2</v>
      </c>
      <c r="K52" s="18">
        <v>0.50600000000000001</v>
      </c>
      <c r="L52" s="18">
        <v>0.153</v>
      </c>
      <c r="M52" s="18">
        <v>0.21199999999999999</v>
      </c>
      <c r="N52" s="18">
        <v>7.8E-2</v>
      </c>
      <c r="O52" s="18">
        <v>0.107</v>
      </c>
      <c r="P52" s="18">
        <v>4.4999999999999998E-2</v>
      </c>
      <c r="Q52" s="18">
        <v>0.20300000000000001</v>
      </c>
      <c r="R52" s="18">
        <v>0.16300000000000001</v>
      </c>
      <c r="S52" s="18">
        <v>0.17499999999999999</v>
      </c>
      <c r="T52" s="18">
        <v>0.23200000000000001</v>
      </c>
      <c r="U52" s="18">
        <v>0.13200000000000001</v>
      </c>
      <c r="V52" s="18">
        <v>0.17499999999999999</v>
      </c>
      <c r="W52" s="18">
        <v>0.111</v>
      </c>
      <c r="X52" s="18">
        <v>0.14000000000000001</v>
      </c>
      <c r="Y52" s="18">
        <v>0.14399999999999999</v>
      </c>
      <c r="Z52" s="18">
        <v>0.185</v>
      </c>
      <c r="AA52" s="18">
        <v>5.2999999999999999E-2</v>
      </c>
      <c r="AB52" s="18">
        <v>0</v>
      </c>
      <c r="AC52" s="18">
        <v>5.8999999999999997E-2</v>
      </c>
      <c r="AD52" s="18">
        <v>0.23100000000000001</v>
      </c>
      <c r="AE52" s="18">
        <v>5.5E-2</v>
      </c>
      <c r="AF52" s="18">
        <v>0.151</v>
      </c>
      <c r="AG52" s="18">
        <v>0</v>
      </c>
      <c r="AH52" s="18">
        <v>0.504</v>
      </c>
      <c r="AI52" s="18">
        <v>0.311</v>
      </c>
      <c r="AJ52" s="18">
        <v>0.434</v>
      </c>
      <c r="AK52" s="18">
        <v>0</v>
      </c>
      <c r="AL52" s="18">
        <v>0</v>
      </c>
      <c r="AM52" s="18">
        <v>0.61599999999999999</v>
      </c>
      <c r="AN52" s="18">
        <v>0.55700000000000005</v>
      </c>
      <c r="AO52" s="18">
        <v>6.2E-2</v>
      </c>
      <c r="AP52" s="18">
        <v>4.5999999999999999E-2</v>
      </c>
      <c r="AQ52" s="18">
        <v>0.33800000000000002</v>
      </c>
      <c r="AR52" s="18">
        <v>5.5E-2</v>
      </c>
      <c r="AS52" s="18">
        <v>5.8000000000000003E-2</v>
      </c>
      <c r="AT52" s="18">
        <v>0.17299999999999999</v>
      </c>
      <c r="AU52" s="18">
        <v>0.13800000000000001</v>
      </c>
      <c r="AV52" s="18">
        <v>0</v>
      </c>
      <c r="AW52" s="18">
        <v>1.103</v>
      </c>
      <c r="AX52" s="18">
        <v>0.16500000000000001</v>
      </c>
      <c r="AY52" s="18">
        <v>0</v>
      </c>
      <c r="AZ52" s="18">
        <v>0</v>
      </c>
      <c r="BA52" s="18">
        <v>0.27900000000000003</v>
      </c>
      <c r="BB52" s="18">
        <v>0.16200000000000001</v>
      </c>
      <c r="BC52" s="18">
        <v>0.03</v>
      </c>
      <c r="BD52" s="18">
        <v>0.13300000000000001</v>
      </c>
      <c r="BE52" s="18">
        <v>7.0000000000000007E-2</v>
      </c>
      <c r="BF52" s="18">
        <v>0.158</v>
      </c>
      <c r="BG52" s="18">
        <v>0.31</v>
      </c>
      <c r="BH52" s="18">
        <v>0.05</v>
      </c>
      <c r="BI52" s="18">
        <v>6.2E-2</v>
      </c>
      <c r="BJ52" s="18">
        <v>0.28899999999999998</v>
      </c>
      <c r="BK52" s="18">
        <v>0.29499999999999998</v>
      </c>
      <c r="BL52" s="18">
        <v>5.0999999999999997E-2</v>
      </c>
      <c r="BM52" s="18">
        <v>9.9000000000000005E-2</v>
      </c>
      <c r="BN52" s="18">
        <v>0.11799999999999999</v>
      </c>
      <c r="BO52" s="18">
        <v>9.5000000000000001E-2</v>
      </c>
      <c r="BP52" s="18">
        <v>0</v>
      </c>
      <c r="BQ52" s="18">
        <v>0.75700000000000001</v>
      </c>
      <c r="BR52" s="18">
        <v>0.26400000000000001</v>
      </c>
      <c r="BS52" s="18">
        <v>0</v>
      </c>
      <c r="BT52" s="18">
        <v>0.17899999999999999</v>
      </c>
      <c r="BU52" s="18">
        <v>0.624</v>
      </c>
      <c r="BV52" s="18">
        <v>0.51300000000000001</v>
      </c>
      <c r="BW52" s="18">
        <v>0.11</v>
      </c>
      <c r="BX52" s="18">
        <v>5.0999999999999997E-2</v>
      </c>
      <c r="BY52" s="18">
        <v>0.44700000000000001</v>
      </c>
      <c r="BZ52" s="18">
        <v>4.2999999999999997E-2</v>
      </c>
      <c r="CA52" s="18">
        <v>5.7000000000000002E-2</v>
      </c>
      <c r="CB52" s="18">
        <v>0.19400000000000001</v>
      </c>
      <c r="CC52" s="18">
        <v>5.1999999999999998E-2</v>
      </c>
      <c r="CD52" s="18">
        <v>0.128</v>
      </c>
      <c r="CE52" s="18">
        <v>8.1000000000000003E-2</v>
      </c>
      <c r="CF52" s="18">
        <v>0</v>
      </c>
      <c r="CG52" s="18">
        <v>4.1000000000000002E-2</v>
      </c>
      <c r="CH52" s="18">
        <v>4.7E-2</v>
      </c>
      <c r="CI52" s="18">
        <v>0.13700000000000001</v>
      </c>
      <c r="CJ52" s="18">
        <v>5.5E-2</v>
      </c>
      <c r="CK52" s="18">
        <v>0.18099999999999999</v>
      </c>
      <c r="CL52" s="18">
        <v>0.05</v>
      </c>
      <c r="CM52" s="18">
        <v>0.32800000000000001</v>
      </c>
      <c r="CN52" s="18">
        <v>4.1000000000000002E-2</v>
      </c>
      <c r="CO52" s="18">
        <v>0.24399999999999999</v>
      </c>
      <c r="CP52" s="18">
        <v>0</v>
      </c>
      <c r="CQ52" s="18">
        <v>5.8000000000000003E-2</v>
      </c>
      <c r="CR52" s="18">
        <v>0.29199999999999998</v>
      </c>
      <c r="CS52" s="18">
        <v>0.59199999999999997</v>
      </c>
      <c r="CT52" s="18">
        <v>0.53700000000000003</v>
      </c>
      <c r="CU52" s="18">
        <v>0.29499999999999998</v>
      </c>
      <c r="CV52" s="18">
        <v>0.192</v>
      </c>
      <c r="CW52" s="18">
        <v>0.19900000000000001</v>
      </c>
      <c r="CX52" s="18">
        <v>0</v>
      </c>
      <c r="CY52" s="18">
        <v>0.309</v>
      </c>
      <c r="CZ52" s="18">
        <v>0.61199999999999999</v>
      </c>
      <c r="DA52" s="18">
        <v>5.7000000000000002E-2</v>
      </c>
      <c r="DB52" s="18">
        <v>0.47499999999999998</v>
      </c>
      <c r="DC52" s="18">
        <v>0.63300000000000001</v>
      </c>
      <c r="DD52" s="18">
        <v>8.6999999999999994E-2</v>
      </c>
      <c r="DE52" s="18">
        <v>0.20799999999999999</v>
      </c>
      <c r="DF52" s="18">
        <v>0</v>
      </c>
      <c r="DG52" s="18">
        <v>5.8000000000000003E-2</v>
      </c>
      <c r="DH52" s="18">
        <v>5.8000000000000003E-2</v>
      </c>
      <c r="DI52" s="18">
        <v>0.68500000000000005</v>
      </c>
      <c r="DJ52" s="18">
        <v>0.21299999999999999</v>
      </c>
      <c r="DK52" s="18">
        <v>0</v>
      </c>
      <c r="DL52" s="18">
        <v>0.623</v>
      </c>
      <c r="DM52" s="18">
        <v>0.113</v>
      </c>
      <c r="DN52" s="18">
        <v>0.33700000000000002</v>
      </c>
      <c r="DO52" s="18">
        <v>0.20699999999999999</v>
      </c>
      <c r="DP52" s="18">
        <v>0.22</v>
      </c>
      <c r="DQ52" s="18">
        <v>4.7E-2</v>
      </c>
      <c r="DR52" s="18">
        <v>0.253</v>
      </c>
      <c r="DS52" s="18">
        <v>0.09</v>
      </c>
      <c r="DT52" s="18">
        <v>0</v>
      </c>
      <c r="DU52" s="18">
        <v>0.153</v>
      </c>
      <c r="DV52" s="18">
        <v>0</v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6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.85546875" customWidth="1"/>
    <col min="2" max="2" width="9.140625" bestFit="1" customWidth="1"/>
    <col min="3" max="3" width="9" customWidth="1"/>
    <col min="4" max="6" width="11" customWidth="1"/>
    <col min="7" max="7" width="12.42578125" bestFit="1" customWidth="1"/>
    <col min="8" max="13" width="11" customWidth="1"/>
  </cols>
  <sheetData>
    <row r="1" spans="1:13" ht="19.5" x14ac:dyDescent="0.3">
      <c r="A1" s="1" t="s">
        <v>839</v>
      </c>
    </row>
    <row r="2" spans="1:13" x14ac:dyDescent="0.25">
      <c r="A2" s="29" t="s">
        <v>840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4" spans="1:13" ht="30" customHeight="1" x14ac:dyDescent="0.25">
      <c r="A4" s="5" t="s">
        <v>711</v>
      </c>
      <c r="B4" s="5" t="s">
        <v>841</v>
      </c>
      <c r="C4" s="5" t="s">
        <v>842</v>
      </c>
      <c r="D4" s="5" t="s">
        <v>843</v>
      </c>
      <c r="E4" s="5" t="s">
        <v>844</v>
      </c>
      <c r="F4" s="5" t="s">
        <v>845</v>
      </c>
      <c r="G4" s="5" t="s">
        <v>846</v>
      </c>
      <c r="H4" s="5" t="s">
        <v>847</v>
      </c>
      <c r="I4" s="5" t="s">
        <v>848</v>
      </c>
      <c r="J4" s="5" t="s">
        <v>849</v>
      </c>
      <c r="K4" s="5" t="s">
        <v>850</v>
      </c>
      <c r="L4" s="5" t="s">
        <v>851</v>
      </c>
      <c r="M4" s="5" t="s">
        <v>852</v>
      </c>
    </row>
    <row r="5" spans="1:13" x14ac:dyDescent="0.25">
      <c r="A5" s="8">
        <v>1</v>
      </c>
      <c r="B5" s="19">
        <v>0</v>
      </c>
      <c r="C5" s="20">
        <f>SUM('3. Raw PV per load'!C5:C304)</f>
        <v>0</v>
      </c>
      <c r="D5" s="20">
        <f>SUMIF('4. Raw load per load'!$B$5:$B$304,"prosumer",'4. Raw load per load'!C5:C304)</f>
        <v>29.704699999999992</v>
      </c>
      <c r="E5" s="20">
        <f>SUMIF('4. Raw load per load'!$B$5:$B$304,"customer",'4. Raw load per load'!C5:C304)</f>
        <v>37.702799999999975</v>
      </c>
      <c r="F5" s="20">
        <f>SUM('5. Raw batt charge'!C5:DV5)</f>
        <v>0</v>
      </c>
      <c r="G5" s="20">
        <f>SUM('6. Raw batt discharge'!C5:DV5)</f>
        <v>29.656000000000002</v>
      </c>
      <c r="H5" s="21">
        <f t="shared" ref="H5:H52" si="0">F5-G5</f>
        <v>-29.656000000000002</v>
      </c>
      <c r="I5" s="21">
        <f t="shared" ref="I5:I52" si="1">MIN(C5,D5)</f>
        <v>0</v>
      </c>
      <c r="J5" s="21">
        <f t="shared" ref="J5:J52" si="2">MIN(C5-I5,MAX(0,H5))</f>
        <v>0</v>
      </c>
      <c r="K5" s="21">
        <f t="shared" ref="K5:K52" si="3">MIN(C5-I5-J5,E5)</f>
        <v>0</v>
      </c>
      <c r="L5" s="21">
        <f t="shared" ref="L5:L52" si="4">C5-I5-J5-K5</f>
        <v>0</v>
      </c>
      <c r="M5" s="21">
        <f t="shared" ref="M5:M52" si="5">E5-K5</f>
        <v>37.702799999999975</v>
      </c>
    </row>
    <row r="6" spans="1:13" x14ac:dyDescent="0.25">
      <c r="A6" s="8">
        <v>2</v>
      </c>
      <c r="B6" s="19">
        <v>0.5</v>
      </c>
      <c r="C6" s="20">
        <f>SUM('3. Raw PV per load'!D5:D304)</f>
        <v>0</v>
      </c>
      <c r="D6" s="20">
        <f>SUMIF('4. Raw load per load'!$B$5:$B$304,"prosumer",'4. Raw load per load'!D5:D304)</f>
        <v>20.095800000000001</v>
      </c>
      <c r="E6" s="20">
        <f>SUMIF('4. Raw load per load'!$B$5:$B$304,"customer",'4. Raw load per load'!D5:D304)</f>
        <v>32.515100000000004</v>
      </c>
      <c r="F6" s="20">
        <f>SUM('5. Raw batt charge'!C6:DV6)</f>
        <v>0</v>
      </c>
      <c r="G6" s="20">
        <f>SUM('6. Raw batt discharge'!C6:DV6)</f>
        <v>19.838999999999999</v>
      </c>
      <c r="H6" s="21">
        <f t="shared" si="0"/>
        <v>-19.838999999999999</v>
      </c>
      <c r="I6" s="21">
        <f t="shared" si="1"/>
        <v>0</v>
      </c>
      <c r="J6" s="21">
        <f t="shared" si="2"/>
        <v>0</v>
      </c>
      <c r="K6" s="21">
        <f t="shared" si="3"/>
        <v>0</v>
      </c>
      <c r="L6" s="21">
        <f t="shared" si="4"/>
        <v>0</v>
      </c>
      <c r="M6" s="21">
        <f t="shared" si="5"/>
        <v>32.515100000000004</v>
      </c>
    </row>
    <row r="7" spans="1:13" x14ac:dyDescent="0.25">
      <c r="A7" s="8">
        <v>3</v>
      </c>
      <c r="B7" s="19">
        <v>1</v>
      </c>
      <c r="C7" s="20">
        <f>SUM('3. Raw PV per load'!E5:E304)</f>
        <v>0</v>
      </c>
      <c r="D7" s="20">
        <f>SUMIF('4. Raw load per load'!$B$5:$B$304,"prosumer",'4. Raw load per load'!E5:E304)</f>
        <v>15.5121</v>
      </c>
      <c r="E7" s="20">
        <f>SUMIF('4. Raw load per load'!$B$5:$B$304,"customer",'4. Raw load per load'!E5:E304)</f>
        <v>25.195000000000004</v>
      </c>
      <c r="F7" s="20">
        <f>SUM('5. Raw batt charge'!C7:DV7)</f>
        <v>0</v>
      </c>
      <c r="G7" s="20">
        <f>SUM('6. Raw batt discharge'!C7:DV7)</f>
        <v>15.061000000000002</v>
      </c>
      <c r="H7" s="21">
        <f t="shared" si="0"/>
        <v>-15.061000000000002</v>
      </c>
      <c r="I7" s="21">
        <f t="shared" si="1"/>
        <v>0</v>
      </c>
      <c r="J7" s="21">
        <f t="shared" si="2"/>
        <v>0</v>
      </c>
      <c r="K7" s="21">
        <f t="shared" si="3"/>
        <v>0</v>
      </c>
      <c r="L7" s="21">
        <f t="shared" si="4"/>
        <v>0</v>
      </c>
      <c r="M7" s="21">
        <f t="shared" si="5"/>
        <v>25.195000000000004</v>
      </c>
    </row>
    <row r="8" spans="1:13" x14ac:dyDescent="0.25">
      <c r="A8" s="8">
        <v>4</v>
      </c>
      <c r="B8" s="19">
        <v>1.5</v>
      </c>
      <c r="C8" s="20">
        <f>SUM('3. Raw PV per load'!F5:F304)</f>
        <v>0</v>
      </c>
      <c r="D8" s="20">
        <f>SUMIF('4. Raw load per load'!$B$5:$B$304,"prosumer",'4. Raw load per load'!F5:F304)</f>
        <v>17.183399999999992</v>
      </c>
      <c r="E8" s="20">
        <f>SUMIF('4. Raw load per load'!$B$5:$B$304,"customer",'4. Raw load per load'!F5:F304)</f>
        <v>23.85380000000001</v>
      </c>
      <c r="F8" s="20">
        <f>SUM('5. Raw batt charge'!C8:DV8)</f>
        <v>0</v>
      </c>
      <c r="G8" s="20">
        <f>SUM('6. Raw batt discharge'!C8:DV8)</f>
        <v>16.094999999999999</v>
      </c>
      <c r="H8" s="21">
        <f t="shared" si="0"/>
        <v>-16.094999999999999</v>
      </c>
      <c r="I8" s="21">
        <f t="shared" si="1"/>
        <v>0</v>
      </c>
      <c r="J8" s="21">
        <f t="shared" si="2"/>
        <v>0</v>
      </c>
      <c r="K8" s="21">
        <f t="shared" si="3"/>
        <v>0</v>
      </c>
      <c r="L8" s="21">
        <f t="shared" si="4"/>
        <v>0</v>
      </c>
      <c r="M8" s="21">
        <f t="shared" si="5"/>
        <v>23.85380000000001</v>
      </c>
    </row>
    <row r="9" spans="1:13" x14ac:dyDescent="0.25">
      <c r="A9" s="8">
        <v>5</v>
      </c>
      <c r="B9" s="19">
        <v>2</v>
      </c>
      <c r="C9" s="20">
        <f>SUM('3. Raw PV per load'!G5:G304)</f>
        <v>0</v>
      </c>
      <c r="D9" s="20">
        <f>SUMIF('4. Raw load per load'!$B$5:$B$304,"prosumer",'4. Raw load per load'!G5:G304)</f>
        <v>13.808400000000004</v>
      </c>
      <c r="E9" s="20">
        <f>SUMIF('4. Raw load per load'!$B$5:$B$304,"customer",'4. Raw load per load'!G5:G304)</f>
        <v>22.682900000000004</v>
      </c>
      <c r="F9" s="20">
        <f>SUM('5. Raw batt charge'!C9:DV9)</f>
        <v>0</v>
      </c>
      <c r="G9" s="20">
        <f>SUM('6. Raw batt discharge'!C9:DV9)</f>
        <v>12.77400000000001</v>
      </c>
      <c r="H9" s="21">
        <f t="shared" si="0"/>
        <v>-12.77400000000001</v>
      </c>
      <c r="I9" s="21">
        <f t="shared" si="1"/>
        <v>0</v>
      </c>
      <c r="J9" s="21">
        <f t="shared" si="2"/>
        <v>0</v>
      </c>
      <c r="K9" s="21">
        <f t="shared" si="3"/>
        <v>0</v>
      </c>
      <c r="L9" s="21">
        <f t="shared" si="4"/>
        <v>0</v>
      </c>
      <c r="M9" s="21">
        <f t="shared" si="5"/>
        <v>22.682900000000004</v>
      </c>
    </row>
    <row r="10" spans="1:13" x14ac:dyDescent="0.25">
      <c r="A10" s="8">
        <v>6</v>
      </c>
      <c r="B10" s="19">
        <v>2.5</v>
      </c>
      <c r="C10" s="20">
        <f>SUM('3. Raw PV per load'!H5:H304)</f>
        <v>0</v>
      </c>
      <c r="D10" s="20">
        <f>SUMIF('4. Raw load per load'!$B$5:$B$304,"prosumer",'4. Raw load per load'!H5:H304)</f>
        <v>16.077400000000008</v>
      </c>
      <c r="E10" s="20">
        <f>SUMIF('4. Raw load per load'!$B$5:$B$304,"customer",'4. Raw load per load'!H5:H304)</f>
        <v>21.516300000000001</v>
      </c>
      <c r="F10" s="20">
        <f>SUM('5. Raw batt charge'!C10:DV10)</f>
        <v>0</v>
      </c>
      <c r="G10" s="20">
        <f>SUM('6. Raw batt discharge'!C10:DV10)</f>
        <v>15.214000000000002</v>
      </c>
      <c r="H10" s="21">
        <f t="shared" si="0"/>
        <v>-15.214000000000002</v>
      </c>
      <c r="I10" s="21">
        <f t="shared" si="1"/>
        <v>0</v>
      </c>
      <c r="J10" s="21">
        <f t="shared" si="2"/>
        <v>0</v>
      </c>
      <c r="K10" s="21">
        <f t="shared" si="3"/>
        <v>0</v>
      </c>
      <c r="L10" s="21">
        <f t="shared" si="4"/>
        <v>0</v>
      </c>
      <c r="M10" s="21">
        <f t="shared" si="5"/>
        <v>21.516300000000001</v>
      </c>
    </row>
    <row r="11" spans="1:13" x14ac:dyDescent="0.25">
      <c r="A11" s="8">
        <v>7</v>
      </c>
      <c r="B11" s="19">
        <v>3</v>
      </c>
      <c r="C11" s="20">
        <f>SUM('3. Raw PV per load'!I5:I304)</f>
        <v>0</v>
      </c>
      <c r="D11" s="20">
        <f>SUMIF('4. Raw load per load'!$B$5:$B$304,"prosumer",'4. Raw load per load'!I5:I304)</f>
        <v>13.549299999999993</v>
      </c>
      <c r="E11" s="20">
        <f>SUMIF('4. Raw load per load'!$B$5:$B$304,"customer",'4. Raw load per load'!I5:I304)</f>
        <v>23.904399999999999</v>
      </c>
      <c r="F11" s="20">
        <f>SUM('5. Raw batt charge'!C11:DV11)</f>
        <v>0</v>
      </c>
      <c r="G11" s="20">
        <f>SUM('6. Raw batt discharge'!C11:DV11)</f>
        <v>12.528999999999996</v>
      </c>
      <c r="H11" s="21">
        <f t="shared" si="0"/>
        <v>-12.528999999999996</v>
      </c>
      <c r="I11" s="21">
        <f t="shared" si="1"/>
        <v>0</v>
      </c>
      <c r="J11" s="21">
        <f t="shared" si="2"/>
        <v>0</v>
      </c>
      <c r="K11" s="21">
        <f t="shared" si="3"/>
        <v>0</v>
      </c>
      <c r="L11" s="21">
        <f t="shared" si="4"/>
        <v>0</v>
      </c>
      <c r="M11" s="21">
        <f t="shared" si="5"/>
        <v>23.904399999999999</v>
      </c>
    </row>
    <row r="12" spans="1:13" x14ac:dyDescent="0.25">
      <c r="A12" s="8">
        <v>8</v>
      </c>
      <c r="B12" s="19">
        <v>3.5</v>
      </c>
      <c r="C12" s="20">
        <f>SUM('3. Raw PV per load'!J5:J304)</f>
        <v>0.3268999999999998</v>
      </c>
      <c r="D12" s="20">
        <f>SUMIF('4. Raw load per load'!$B$5:$B$304,"prosumer",'4. Raw load per load'!J5:J304)</f>
        <v>17.844799999999996</v>
      </c>
      <c r="E12" s="20">
        <f>SUMIF('4. Raw load per load'!$B$5:$B$304,"customer",'4. Raw load per load'!J5:J304)</f>
        <v>20.660899999999994</v>
      </c>
      <c r="F12" s="20">
        <f>SUM('5. Raw batt charge'!C12:DV12)</f>
        <v>0</v>
      </c>
      <c r="G12" s="20">
        <f>SUM('6. Raw batt discharge'!C12:DV12)</f>
        <v>15.399000000000012</v>
      </c>
      <c r="H12" s="21">
        <f t="shared" si="0"/>
        <v>-15.399000000000012</v>
      </c>
      <c r="I12" s="21">
        <f t="shared" si="1"/>
        <v>0.3268999999999998</v>
      </c>
      <c r="J12" s="21">
        <f t="shared" si="2"/>
        <v>0</v>
      </c>
      <c r="K12" s="21">
        <f t="shared" si="3"/>
        <v>0</v>
      </c>
      <c r="L12" s="21">
        <f t="shared" si="4"/>
        <v>0</v>
      </c>
      <c r="M12" s="21">
        <f t="shared" si="5"/>
        <v>20.660899999999994</v>
      </c>
    </row>
    <row r="13" spans="1:13" x14ac:dyDescent="0.25">
      <c r="A13" s="8">
        <v>9</v>
      </c>
      <c r="B13" s="19">
        <v>4</v>
      </c>
      <c r="C13" s="20">
        <f>SUM('3. Raw PV per load'!K5:K304)</f>
        <v>4.742799999999999</v>
      </c>
      <c r="D13" s="20">
        <f>SUMIF('4. Raw load per load'!$B$5:$B$304,"prosumer",'4. Raw load per load'!K5:K304)</f>
        <v>13.982800000000001</v>
      </c>
      <c r="E13" s="20">
        <f>SUMIF('4. Raw load per load'!$B$5:$B$304,"customer",'4. Raw load per load'!K5:K304)</f>
        <v>21.513400000000008</v>
      </c>
      <c r="F13" s="20">
        <f>SUM('5. Raw batt charge'!C13:DV13)</f>
        <v>3.9000000000000007E-2</v>
      </c>
      <c r="G13" s="20">
        <f>SUM('6. Raw batt discharge'!C13:DV13)</f>
        <v>8.421599999999998</v>
      </c>
      <c r="H13" s="21">
        <f t="shared" si="0"/>
        <v>-8.3825999999999983</v>
      </c>
      <c r="I13" s="21">
        <f t="shared" si="1"/>
        <v>4.742799999999999</v>
      </c>
      <c r="J13" s="21">
        <f t="shared" si="2"/>
        <v>0</v>
      </c>
      <c r="K13" s="21">
        <f t="shared" si="3"/>
        <v>0</v>
      </c>
      <c r="L13" s="21">
        <f t="shared" si="4"/>
        <v>0</v>
      </c>
      <c r="M13" s="21">
        <f t="shared" si="5"/>
        <v>21.513400000000008</v>
      </c>
    </row>
    <row r="14" spans="1:13" x14ac:dyDescent="0.25">
      <c r="A14" s="8">
        <v>10</v>
      </c>
      <c r="B14" s="19">
        <v>4.5</v>
      </c>
      <c r="C14" s="20">
        <f>SUM('3. Raw PV per load'!L5:L304)</f>
        <v>22.182899999999986</v>
      </c>
      <c r="D14" s="20">
        <f>SUMIF('4. Raw load per load'!$B$5:$B$304,"prosumer",'4. Raw load per load'!L5:L304)</f>
        <v>14.435599999999997</v>
      </c>
      <c r="E14" s="20">
        <f>SUMIF('4. Raw load per load'!$B$5:$B$304,"customer",'4. Raw load per load'!L5:L304)</f>
        <v>20.983899999999984</v>
      </c>
      <c r="F14" s="20">
        <f>SUM('5. Raw batt charge'!C14:DV14)</f>
        <v>10.347999999999999</v>
      </c>
      <c r="G14" s="20">
        <f>SUM('6. Raw batt discharge'!C14:DV14)</f>
        <v>2.57</v>
      </c>
      <c r="H14" s="21">
        <f t="shared" si="0"/>
        <v>7.7779999999999987</v>
      </c>
      <c r="I14" s="21">
        <f t="shared" si="1"/>
        <v>14.435599999999997</v>
      </c>
      <c r="J14" s="21">
        <f t="shared" si="2"/>
        <v>7.7472999999999885</v>
      </c>
      <c r="K14" s="21">
        <f t="shared" si="3"/>
        <v>0</v>
      </c>
      <c r="L14" s="21">
        <f t="shared" si="4"/>
        <v>0</v>
      </c>
      <c r="M14" s="21">
        <f t="shared" si="5"/>
        <v>20.983899999999984</v>
      </c>
    </row>
    <row r="15" spans="1:13" x14ac:dyDescent="0.25">
      <c r="A15" s="8">
        <v>11</v>
      </c>
      <c r="B15" s="19">
        <v>5</v>
      </c>
      <c r="C15" s="20">
        <f>SUM('3. Raw PV per load'!M5:M304)</f>
        <v>43.999000000000017</v>
      </c>
      <c r="D15" s="20">
        <f>SUMIF('4. Raw load per load'!$B$5:$B$304,"prosumer",'4. Raw load per load'!M5:M304)</f>
        <v>14.085599999999999</v>
      </c>
      <c r="E15" s="20">
        <f>SUMIF('4. Raw load per load'!$B$5:$B$304,"customer",'4. Raw load per load'!M5:M304)</f>
        <v>19.519499999999994</v>
      </c>
      <c r="F15" s="20">
        <f>SUM('5. Raw batt charge'!C15:DV15)</f>
        <v>30.459999999999997</v>
      </c>
      <c r="G15" s="20">
        <f>SUM('6. Raw batt discharge'!C15:DV15)</f>
        <v>0.54800000000000004</v>
      </c>
      <c r="H15" s="21">
        <f t="shared" si="0"/>
        <v>29.911999999999999</v>
      </c>
      <c r="I15" s="21">
        <f t="shared" si="1"/>
        <v>14.085599999999999</v>
      </c>
      <c r="J15" s="21">
        <f t="shared" si="2"/>
        <v>29.911999999999999</v>
      </c>
      <c r="K15" s="21">
        <f t="shared" si="3"/>
        <v>1.4000000000180535E-3</v>
      </c>
      <c r="L15" s="21">
        <f t="shared" si="4"/>
        <v>0</v>
      </c>
      <c r="M15" s="21">
        <f t="shared" si="5"/>
        <v>19.518099999999976</v>
      </c>
    </row>
    <row r="16" spans="1:13" x14ac:dyDescent="0.25">
      <c r="A16" s="8">
        <v>12</v>
      </c>
      <c r="B16" s="19">
        <v>5.5</v>
      </c>
      <c r="C16" s="20">
        <f>SUM('3. Raw PV per load'!N5:N304)</f>
        <v>70.756200000000007</v>
      </c>
      <c r="D16" s="20">
        <f>SUMIF('4. Raw load per load'!$B$5:$B$304,"prosumer",'4. Raw load per load'!N5:N304)</f>
        <v>13.488800000000005</v>
      </c>
      <c r="E16" s="20">
        <f>SUMIF('4. Raw load per load'!$B$5:$B$304,"customer",'4. Raw load per load'!N5:N304)</f>
        <v>21.823</v>
      </c>
      <c r="F16" s="20">
        <f>SUM('5. Raw batt charge'!C16:DV16)</f>
        <v>57.384999999999991</v>
      </c>
      <c r="G16" s="20">
        <f>SUM('6. Raw batt discharge'!C16:DV16)</f>
        <v>0.121</v>
      </c>
      <c r="H16" s="21">
        <f t="shared" si="0"/>
        <v>57.263999999999989</v>
      </c>
      <c r="I16" s="21">
        <f t="shared" si="1"/>
        <v>13.488800000000005</v>
      </c>
      <c r="J16" s="21">
        <f t="shared" si="2"/>
        <v>57.263999999999989</v>
      </c>
      <c r="K16" s="21">
        <f t="shared" si="3"/>
        <v>3.4000000000133923E-3</v>
      </c>
      <c r="L16" s="21">
        <f t="shared" si="4"/>
        <v>0</v>
      </c>
      <c r="M16" s="21">
        <f t="shared" si="5"/>
        <v>21.819599999999987</v>
      </c>
    </row>
    <row r="17" spans="1:13" x14ac:dyDescent="0.25">
      <c r="A17" s="8">
        <v>13</v>
      </c>
      <c r="B17" s="19">
        <v>6</v>
      </c>
      <c r="C17" s="20">
        <f>SUM('3. Raw PV per load'!O5:O304)</f>
        <v>99.943699999999922</v>
      </c>
      <c r="D17" s="20">
        <f>SUMIF('4. Raw load per load'!$B$5:$B$304,"prosumer",'4. Raw load per load'!O5:O304)</f>
        <v>15.431100000000006</v>
      </c>
      <c r="E17" s="20">
        <f>SUMIF('4. Raw load per load'!$B$5:$B$304,"customer",'4. Raw load per load'!O5:O304)</f>
        <v>21.372099999999993</v>
      </c>
      <c r="F17" s="20">
        <f>SUM('5. Raw batt charge'!C17:DV17)</f>
        <v>85.610999999999962</v>
      </c>
      <c r="G17" s="20">
        <f>SUM('6. Raw batt discharge'!C17:DV17)</f>
        <v>0.16300000000000001</v>
      </c>
      <c r="H17" s="21">
        <f t="shared" si="0"/>
        <v>85.447999999999965</v>
      </c>
      <c r="I17" s="21">
        <f t="shared" si="1"/>
        <v>15.431100000000006</v>
      </c>
      <c r="J17" s="21">
        <f t="shared" si="2"/>
        <v>84.512599999999921</v>
      </c>
      <c r="K17" s="21">
        <f t="shared" si="3"/>
        <v>0</v>
      </c>
      <c r="L17" s="21">
        <f t="shared" si="4"/>
        <v>0</v>
      </c>
      <c r="M17" s="21">
        <f t="shared" si="5"/>
        <v>21.372099999999993</v>
      </c>
    </row>
    <row r="18" spans="1:13" x14ac:dyDescent="0.25">
      <c r="A18" s="8">
        <v>14</v>
      </c>
      <c r="B18" s="19">
        <v>6.5</v>
      </c>
      <c r="C18" s="20">
        <f>SUM('3. Raw PV per load'!P5:P304)</f>
        <v>129.49329999999995</v>
      </c>
      <c r="D18" s="20">
        <f>SUMIF('4. Raw load per load'!$B$5:$B$304,"prosumer",'4. Raw load per load'!P5:P304)</f>
        <v>18.157899999999998</v>
      </c>
      <c r="E18" s="20">
        <f>SUMIF('4. Raw load per load'!$B$5:$B$304,"customer",'4. Raw load per load'!P5:P304)</f>
        <v>28.543099999999981</v>
      </c>
      <c r="F18" s="20">
        <f>SUM('5. Raw batt charge'!C18:DV18)</f>
        <v>112.08900000000001</v>
      </c>
      <c r="G18" s="20">
        <f>SUM('6. Raw batt discharge'!C18:DV18)</f>
        <v>0.751</v>
      </c>
      <c r="H18" s="21">
        <f t="shared" si="0"/>
        <v>111.33800000000001</v>
      </c>
      <c r="I18" s="21">
        <f t="shared" si="1"/>
        <v>18.157899999999998</v>
      </c>
      <c r="J18" s="21">
        <f t="shared" si="2"/>
        <v>111.33539999999995</v>
      </c>
      <c r="K18" s="21">
        <f t="shared" si="3"/>
        <v>0</v>
      </c>
      <c r="L18" s="21">
        <f t="shared" si="4"/>
        <v>0</v>
      </c>
      <c r="M18" s="21">
        <f t="shared" si="5"/>
        <v>28.543099999999981</v>
      </c>
    </row>
    <row r="19" spans="1:13" x14ac:dyDescent="0.25">
      <c r="A19" s="8">
        <v>15</v>
      </c>
      <c r="B19" s="19">
        <v>7</v>
      </c>
      <c r="C19" s="20">
        <f>SUM('3. Raw PV per load'!Q5:Q304)</f>
        <v>158.89269999999988</v>
      </c>
      <c r="D19" s="20">
        <f>SUMIF('4. Raw load per load'!$B$5:$B$304,"prosumer",'4. Raw load per load'!Q5:Q304)</f>
        <v>18.778000000000002</v>
      </c>
      <c r="E19" s="20">
        <f>SUMIF('4. Raw load per load'!$B$5:$B$304,"customer",'4. Raw load per load'!Q5:Q304)</f>
        <v>34.613299999999988</v>
      </c>
      <c r="F19" s="20">
        <f>SUM('5. Raw batt charge'!C19:DV19)</f>
        <v>140.495</v>
      </c>
      <c r="G19" s="20">
        <f>SUM('6. Raw batt discharge'!C19:DV19)</f>
        <v>0.45100000000000001</v>
      </c>
      <c r="H19" s="21">
        <f t="shared" si="0"/>
        <v>140.04400000000001</v>
      </c>
      <c r="I19" s="21">
        <f t="shared" si="1"/>
        <v>18.778000000000002</v>
      </c>
      <c r="J19" s="21">
        <f t="shared" si="2"/>
        <v>140.04400000000001</v>
      </c>
      <c r="K19" s="21">
        <f t="shared" si="3"/>
        <v>7.0699999999874308E-2</v>
      </c>
      <c r="L19" s="21">
        <f t="shared" si="4"/>
        <v>0</v>
      </c>
      <c r="M19" s="21">
        <f t="shared" si="5"/>
        <v>34.542600000000114</v>
      </c>
    </row>
    <row r="20" spans="1:13" x14ac:dyDescent="0.25">
      <c r="A20" s="8">
        <v>16</v>
      </c>
      <c r="B20" s="19">
        <v>7.5</v>
      </c>
      <c r="C20" s="20">
        <f>SUM('3. Raw PV per load'!R5:R304)</f>
        <v>188.32880000000009</v>
      </c>
      <c r="D20" s="20">
        <f>SUMIF('4. Raw load per load'!$B$5:$B$304,"prosumer",'4. Raw load per load'!R5:R304)</f>
        <v>22.533599999999993</v>
      </c>
      <c r="E20" s="20">
        <f>SUMIF('4. Raw load per load'!$B$5:$B$304,"customer",'4. Raw load per load'!R5:R304)</f>
        <v>38.006399999999999</v>
      </c>
      <c r="F20" s="20">
        <f>SUM('5. Raw batt charge'!C20:DV20)</f>
        <v>153.07499999999999</v>
      </c>
      <c r="G20" s="20">
        <f>SUM('6. Raw batt discharge'!C20:DV20)</f>
        <v>0.217</v>
      </c>
      <c r="H20" s="21">
        <f t="shared" si="0"/>
        <v>152.85799999999998</v>
      </c>
      <c r="I20" s="21">
        <f t="shared" si="1"/>
        <v>22.533599999999993</v>
      </c>
      <c r="J20" s="21">
        <f t="shared" si="2"/>
        <v>152.85799999999998</v>
      </c>
      <c r="K20" s="21">
        <f t="shared" si="3"/>
        <v>12.937200000000104</v>
      </c>
      <c r="L20" s="21">
        <f t="shared" si="4"/>
        <v>0</v>
      </c>
      <c r="M20" s="21">
        <f t="shared" si="5"/>
        <v>25.069199999999896</v>
      </c>
    </row>
    <row r="21" spans="1:13" x14ac:dyDescent="0.25">
      <c r="A21" s="8">
        <v>17</v>
      </c>
      <c r="B21" s="19">
        <v>8</v>
      </c>
      <c r="C21" s="20">
        <f>SUM('3. Raw PV per load'!S5:S304)</f>
        <v>215.95899999999995</v>
      </c>
      <c r="D21" s="20">
        <f>SUMIF('4. Raw load per load'!$B$5:$B$304,"prosumer",'4. Raw load per load'!S5:S304)</f>
        <v>30.581</v>
      </c>
      <c r="E21" s="20">
        <f>SUMIF('4. Raw load per load'!$B$5:$B$304,"customer",'4. Raw load per load'!S5:S304)</f>
        <v>44.49210000000005</v>
      </c>
      <c r="F21" s="20">
        <f>SUM('5. Raw batt charge'!C21:DV21)</f>
        <v>89.268999999999991</v>
      </c>
      <c r="G21" s="20">
        <f>SUM('6. Raw batt discharge'!C21:DV21)</f>
        <v>1.079</v>
      </c>
      <c r="H21" s="21">
        <f t="shared" si="0"/>
        <v>88.19</v>
      </c>
      <c r="I21" s="21">
        <f t="shared" si="1"/>
        <v>30.581</v>
      </c>
      <c r="J21" s="21">
        <f t="shared" si="2"/>
        <v>88.19</v>
      </c>
      <c r="K21" s="21">
        <f t="shared" si="3"/>
        <v>44.49210000000005</v>
      </c>
      <c r="L21" s="21">
        <f t="shared" si="4"/>
        <v>52.695899999999909</v>
      </c>
      <c r="M21" s="21">
        <f t="shared" si="5"/>
        <v>0</v>
      </c>
    </row>
    <row r="22" spans="1:13" x14ac:dyDescent="0.25">
      <c r="A22" s="8">
        <v>18</v>
      </c>
      <c r="B22" s="19">
        <v>8.5</v>
      </c>
      <c r="C22" s="20">
        <f>SUM('3. Raw PV per load'!T5:T304)</f>
        <v>241.93510000000009</v>
      </c>
      <c r="D22" s="20">
        <f>SUMIF('4. Raw load per load'!$B$5:$B$304,"prosumer",'4. Raw load per load'!T5:T304)</f>
        <v>37.009400000000028</v>
      </c>
      <c r="E22" s="20">
        <f>SUMIF('4. Raw load per load'!$B$5:$B$304,"customer",'4. Raw load per load'!T5:T304)</f>
        <v>55.969399999999986</v>
      </c>
      <c r="F22" s="20">
        <f>SUM('5. Raw batt charge'!C22:DV22)</f>
        <v>47.803999999999988</v>
      </c>
      <c r="G22" s="20">
        <f>SUM('6. Raw batt discharge'!C22:DV22)</f>
        <v>0.96599999999999997</v>
      </c>
      <c r="H22" s="21">
        <f t="shared" si="0"/>
        <v>46.837999999999987</v>
      </c>
      <c r="I22" s="21">
        <f t="shared" si="1"/>
        <v>37.009400000000028</v>
      </c>
      <c r="J22" s="21">
        <f t="shared" si="2"/>
        <v>46.837999999999987</v>
      </c>
      <c r="K22" s="21">
        <f t="shared" si="3"/>
        <v>55.969399999999986</v>
      </c>
      <c r="L22" s="21">
        <f t="shared" si="4"/>
        <v>102.11830000000009</v>
      </c>
      <c r="M22" s="21">
        <f t="shared" si="5"/>
        <v>0</v>
      </c>
    </row>
    <row r="23" spans="1:13" x14ac:dyDescent="0.25">
      <c r="A23" s="8">
        <v>19</v>
      </c>
      <c r="B23" s="19">
        <v>9</v>
      </c>
      <c r="C23" s="20">
        <f>SUM('3. Raw PV per load'!U5:U304)</f>
        <v>264.05390000000006</v>
      </c>
      <c r="D23" s="20">
        <f>SUMIF('4. Raw load per load'!$B$5:$B$304,"prosumer",'4. Raw load per load'!U5:U304)</f>
        <v>40.685799999999993</v>
      </c>
      <c r="E23" s="20">
        <f>SUMIF('4. Raw load per load'!$B$5:$B$304,"customer",'4. Raw load per load'!U5:U304)</f>
        <v>60.65029999999998</v>
      </c>
      <c r="F23" s="20">
        <f>SUM('5. Raw batt charge'!C23:DV23)</f>
        <v>32.194000000000003</v>
      </c>
      <c r="G23" s="20">
        <f>SUM('6. Raw batt discharge'!C23:DV23)</f>
        <v>1.819</v>
      </c>
      <c r="H23" s="21">
        <f t="shared" si="0"/>
        <v>30.375000000000004</v>
      </c>
      <c r="I23" s="21">
        <f t="shared" si="1"/>
        <v>40.685799999999993</v>
      </c>
      <c r="J23" s="21">
        <f t="shared" si="2"/>
        <v>30.375000000000004</v>
      </c>
      <c r="K23" s="21">
        <f t="shared" si="3"/>
        <v>60.65029999999998</v>
      </c>
      <c r="L23" s="21">
        <f t="shared" si="4"/>
        <v>132.34280000000007</v>
      </c>
      <c r="M23" s="21">
        <f t="shared" si="5"/>
        <v>0</v>
      </c>
    </row>
    <row r="24" spans="1:13" x14ac:dyDescent="0.25">
      <c r="A24" s="8">
        <v>20</v>
      </c>
      <c r="B24" s="19">
        <v>9.5</v>
      </c>
      <c r="C24" s="20">
        <f>SUM('3. Raw PV per load'!V5:V304)</f>
        <v>282.92039999999997</v>
      </c>
      <c r="D24" s="20">
        <f>SUMIF('4. Raw load per load'!$B$5:$B$304,"prosumer",'4. Raw load per load'!V5:V304)</f>
        <v>41.66109999999999</v>
      </c>
      <c r="E24" s="20">
        <f>SUMIF('4. Raw load per load'!$B$5:$B$304,"customer",'4. Raw load per load'!V5:V304)</f>
        <v>63.152899999999995</v>
      </c>
      <c r="F24" s="20">
        <f>SUM('5. Raw batt charge'!C24:DV24)</f>
        <v>24.146999999999991</v>
      </c>
      <c r="G24" s="20">
        <f>SUM('6. Raw batt discharge'!C24:DV24)</f>
        <v>3.117</v>
      </c>
      <c r="H24" s="21">
        <f t="shared" si="0"/>
        <v>21.02999999999999</v>
      </c>
      <c r="I24" s="21">
        <f t="shared" si="1"/>
        <v>41.66109999999999</v>
      </c>
      <c r="J24" s="21">
        <f t="shared" si="2"/>
        <v>21.02999999999999</v>
      </c>
      <c r="K24" s="21">
        <f t="shared" si="3"/>
        <v>63.152899999999995</v>
      </c>
      <c r="L24" s="21">
        <f t="shared" si="4"/>
        <v>157.07640000000001</v>
      </c>
      <c r="M24" s="21">
        <f t="shared" si="5"/>
        <v>0</v>
      </c>
    </row>
    <row r="25" spans="1:13" x14ac:dyDescent="0.25">
      <c r="A25" s="8">
        <v>21</v>
      </c>
      <c r="B25" s="19">
        <v>10</v>
      </c>
      <c r="C25" s="20">
        <f>SUM('3. Raw PV per load'!W5:W304)</f>
        <v>299.47749999999968</v>
      </c>
      <c r="D25" s="20">
        <f>SUMIF('4. Raw load per load'!$B$5:$B$304,"prosumer",'4. Raw load per load'!W5:W304)</f>
        <v>44.838199999999972</v>
      </c>
      <c r="E25" s="20">
        <f>SUMIF('4. Raw load per load'!$B$5:$B$304,"customer",'4. Raw load per load'!W5:W304)</f>
        <v>65.641399999999976</v>
      </c>
      <c r="F25" s="20">
        <f>SUM('5. Raw batt charge'!C25:DV25)</f>
        <v>14.443999999999999</v>
      </c>
      <c r="G25" s="20">
        <f>SUM('6. Raw batt discharge'!C25:DV25)</f>
        <v>1.4850000000000001</v>
      </c>
      <c r="H25" s="21">
        <f t="shared" si="0"/>
        <v>12.959</v>
      </c>
      <c r="I25" s="21">
        <f t="shared" si="1"/>
        <v>44.838199999999972</v>
      </c>
      <c r="J25" s="21">
        <f t="shared" si="2"/>
        <v>12.959</v>
      </c>
      <c r="K25" s="21">
        <f t="shared" si="3"/>
        <v>65.641399999999976</v>
      </c>
      <c r="L25" s="21">
        <f t="shared" si="4"/>
        <v>176.03889999999973</v>
      </c>
      <c r="M25" s="21">
        <f t="shared" si="5"/>
        <v>0</v>
      </c>
    </row>
    <row r="26" spans="1:13" x14ac:dyDescent="0.25">
      <c r="A26" s="8">
        <v>22</v>
      </c>
      <c r="B26" s="19">
        <v>10.5</v>
      </c>
      <c r="C26" s="20">
        <f>SUM('3. Raw PV per load'!X5:X304)</f>
        <v>313.14649999999989</v>
      </c>
      <c r="D26" s="20">
        <f>SUMIF('4. Raw load per load'!$B$5:$B$304,"prosumer",'4. Raw load per load'!X5:X304)</f>
        <v>47.066500000000019</v>
      </c>
      <c r="E26" s="20">
        <f>SUMIF('4. Raw load per load'!$B$5:$B$304,"customer",'4. Raw load per load'!X5:X304)</f>
        <v>66.420200000000008</v>
      </c>
      <c r="F26" s="20">
        <f>SUM('5. Raw batt charge'!C26:DV26)</f>
        <v>8.5890000000000004</v>
      </c>
      <c r="G26" s="20">
        <f>SUM('6. Raw batt discharge'!C26:DV26)</f>
        <v>3.7649999999999997</v>
      </c>
      <c r="H26" s="21">
        <f t="shared" si="0"/>
        <v>4.8240000000000007</v>
      </c>
      <c r="I26" s="21">
        <f t="shared" si="1"/>
        <v>47.066500000000019</v>
      </c>
      <c r="J26" s="21">
        <f t="shared" si="2"/>
        <v>4.8240000000000007</v>
      </c>
      <c r="K26" s="21">
        <f t="shared" si="3"/>
        <v>66.420200000000008</v>
      </c>
      <c r="L26" s="21">
        <f t="shared" si="4"/>
        <v>194.83579999999984</v>
      </c>
      <c r="M26" s="21">
        <f t="shared" si="5"/>
        <v>0</v>
      </c>
    </row>
    <row r="27" spans="1:13" x14ac:dyDescent="0.25">
      <c r="A27" s="8">
        <v>23</v>
      </c>
      <c r="B27" s="19">
        <v>11</v>
      </c>
      <c r="C27" s="20">
        <f>SUM('3. Raw PV per load'!Y5:Y304)</f>
        <v>322.84379999999987</v>
      </c>
      <c r="D27" s="20">
        <f>SUMIF('4. Raw load per load'!$B$5:$B$304,"prosumer",'4. Raw load per load'!Y5:Y304)</f>
        <v>42.693399999999997</v>
      </c>
      <c r="E27" s="20">
        <f>SUMIF('4. Raw load per load'!$B$5:$B$304,"customer",'4. Raw load per load'!Y5:Y304)</f>
        <v>63.302400000000006</v>
      </c>
      <c r="F27" s="20">
        <f>SUM('5. Raw batt charge'!C27:DV27)</f>
        <v>9.7309999999999999</v>
      </c>
      <c r="G27" s="20">
        <f>SUM('6. Raw batt discharge'!C27:DV27)</f>
        <v>1.06</v>
      </c>
      <c r="H27" s="21">
        <f t="shared" si="0"/>
        <v>8.6709999999999994</v>
      </c>
      <c r="I27" s="21">
        <f t="shared" si="1"/>
        <v>42.693399999999997</v>
      </c>
      <c r="J27" s="21">
        <f t="shared" si="2"/>
        <v>8.6709999999999994</v>
      </c>
      <c r="K27" s="21">
        <f t="shared" si="3"/>
        <v>63.302400000000006</v>
      </c>
      <c r="L27" s="21">
        <f t="shared" si="4"/>
        <v>208.17699999999988</v>
      </c>
      <c r="M27" s="21">
        <f t="shared" si="5"/>
        <v>0</v>
      </c>
    </row>
    <row r="28" spans="1:13" x14ac:dyDescent="0.25">
      <c r="A28" s="8">
        <v>24</v>
      </c>
      <c r="B28" s="19">
        <v>11.5</v>
      </c>
      <c r="C28" s="20">
        <f>SUM('3. Raw PV per load'!Z5:Z304)</f>
        <v>327.09809999999999</v>
      </c>
      <c r="D28" s="20">
        <f>SUMIF('4. Raw load per load'!$B$5:$B$304,"prosumer",'4. Raw load per load'!Z5:Z304)</f>
        <v>54.352300000000007</v>
      </c>
      <c r="E28" s="20">
        <f>SUMIF('4. Raw load per load'!$B$5:$B$304,"customer",'4. Raw load per load'!Z5:Z304)</f>
        <v>64.408900000000003</v>
      </c>
      <c r="F28" s="20">
        <f>SUM('5. Raw batt charge'!C28:DV28)</f>
        <v>5.5419999999999998</v>
      </c>
      <c r="G28" s="20">
        <f>SUM('6. Raw batt discharge'!C28:DV28)</f>
        <v>5.3420000000000005</v>
      </c>
      <c r="H28" s="21">
        <f t="shared" si="0"/>
        <v>0.19999999999999929</v>
      </c>
      <c r="I28" s="21">
        <f t="shared" si="1"/>
        <v>54.352300000000007</v>
      </c>
      <c r="J28" s="21">
        <f t="shared" si="2"/>
        <v>0.19999999999999929</v>
      </c>
      <c r="K28" s="21">
        <f t="shared" si="3"/>
        <v>64.408900000000003</v>
      </c>
      <c r="L28" s="21">
        <f t="shared" si="4"/>
        <v>208.13689999999997</v>
      </c>
      <c r="M28" s="21">
        <f t="shared" si="5"/>
        <v>0</v>
      </c>
    </row>
    <row r="29" spans="1:13" x14ac:dyDescent="0.25">
      <c r="A29" s="8">
        <v>25</v>
      </c>
      <c r="B29" s="19">
        <v>12</v>
      </c>
      <c r="C29" s="20">
        <f>SUM('3. Raw PV per load'!AA5:AA304)</f>
        <v>328.32819999999992</v>
      </c>
      <c r="D29" s="20">
        <f>SUMIF('4. Raw load per load'!$B$5:$B$304,"prosumer",'4. Raw load per load'!AA5:AA304)</f>
        <v>50.733499999999985</v>
      </c>
      <c r="E29" s="20">
        <f>SUMIF('4. Raw load per load'!$B$5:$B$304,"customer",'4. Raw load per load'!AA5:AA304)</f>
        <v>65.238199999999978</v>
      </c>
      <c r="F29" s="20">
        <f>SUM('5. Raw batt charge'!C29:DV29)</f>
        <v>6.62</v>
      </c>
      <c r="G29" s="20">
        <f>SUM('6. Raw batt discharge'!C29:DV29)</f>
        <v>2.2610000000000001</v>
      </c>
      <c r="H29" s="21">
        <f t="shared" si="0"/>
        <v>4.359</v>
      </c>
      <c r="I29" s="21">
        <f t="shared" si="1"/>
        <v>50.733499999999985</v>
      </c>
      <c r="J29" s="21">
        <f t="shared" si="2"/>
        <v>4.359</v>
      </c>
      <c r="K29" s="21">
        <f t="shared" si="3"/>
        <v>65.238199999999978</v>
      </c>
      <c r="L29" s="21">
        <f t="shared" si="4"/>
        <v>207.99749999999997</v>
      </c>
      <c r="M29" s="21">
        <f t="shared" si="5"/>
        <v>0</v>
      </c>
    </row>
    <row r="30" spans="1:13" x14ac:dyDescent="0.25">
      <c r="A30" s="8">
        <v>26</v>
      </c>
      <c r="B30" s="19">
        <v>12.5</v>
      </c>
      <c r="C30" s="20">
        <f>SUM('3. Raw PV per load'!AB5:AB304)</f>
        <v>326.02190000000007</v>
      </c>
      <c r="D30" s="20">
        <f>SUMIF('4. Raw load per load'!$B$5:$B$304,"prosumer",'4. Raw load per load'!AB5:AB304)</f>
        <v>37.989999999999988</v>
      </c>
      <c r="E30" s="20">
        <f>SUMIF('4. Raw load per load'!$B$5:$B$304,"customer",'4. Raw load per load'!AB5:AB304)</f>
        <v>62.775099999999995</v>
      </c>
      <c r="F30" s="20">
        <f>SUM('5. Raw batt charge'!C30:DV30)</f>
        <v>4.7079999999999993</v>
      </c>
      <c r="G30" s="20">
        <f>SUM('6. Raw batt discharge'!C30:DV30)</f>
        <v>0.61199999999999999</v>
      </c>
      <c r="H30" s="21">
        <f t="shared" si="0"/>
        <v>4.0959999999999992</v>
      </c>
      <c r="I30" s="21">
        <f t="shared" si="1"/>
        <v>37.989999999999988</v>
      </c>
      <c r="J30" s="21">
        <f t="shared" si="2"/>
        <v>4.0959999999999992</v>
      </c>
      <c r="K30" s="21">
        <f t="shared" si="3"/>
        <v>62.775099999999995</v>
      </c>
      <c r="L30" s="21">
        <f t="shared" si="4"/>
        <v>221.16080000000005</v>
      </c>
      <c r="M30" s="21">
        <f t="shared" si="5"/>
        <v>0</v>
      </c>
    </row>
    <row r="31" spans="1:13" x14ac:dyDescent="0.25">
      <c r="A31" s="8">
        <v>27</v>
      </c>
      <c r="B31" s="19">
        <v>13</v>
      </c>
      <c r="C31" s="20">
        <f>SUM('3. Raw PV per load'!AC5:AC304)</f>
        <v>318.28339999999992</v>
      </c>
      <c r="D31" s="20">
        <f>SUMIF('4. Raw load per load'!$B$5:$B$304,"prosumer",'4. Raw load per load'!AC5:AC304)</f>
        <v>31.134799999999984</v>
      </c>
      <c r="E31" s="20">
        <f>SUMIF('4. Raw load per load'!$B$5:$B$304,"customer",'4. Raw load per load'!AC5:AC304)</f>
        <v>60.627799999999979</v>
      </c>
      <c r="F31" s="20">
        <f>SUM('5. Raw batt charge'!C31:DV31)</f>
        <v>4.5609999999999999</v>
      </c>
      <c r="G31" s="20">
        <f>SUM('6. Raw batt discharge'!C31:DV31)</f>
        <v>0.32600000000000001</v>
      </c>
      <c r="H31" s="21">
        <f t="shared" si="0"/>
        <v>4.2350000000000003</v>
      </c>
      <c r="I31" s="21">
        <f t="shared" si="1"/>
        <v>31.134799999999984</v>
      </c>
      <c r="J31" s="21">
        <f t="shared" si="2"/>
        <v>4.2350000000000003</v>
      </c>
      <c r="K31" s="21">
        <f t="shared" si="3"/>
        <v>60.627799999999979</v>
      </c>
      <c r="L31" s="21">
        <f t="shared" si="4"/>
        <v>222.28579999999994</v>
      </c>
      <c r="M31" s="21">
        <f t="shared" si="5"/>
        <v>0</v>
      </c>
    </row>
    <row r="32" spans="1:13" x14ac:dyDescent="0.25">
      <c r="A32" s="8">
        <v>28</v>
      </c>
      <c r="B32" s="19">
        <v>13.5</v>
      </c>
      <c r="C32" s="20">
        <f>SUM('3. Raw PV per load'!AD5:AD304)</f>
        <v>306.471</v>
      </c>
      <c r="D32" s="20">
        <f>SUMIF('4. Raw load per load'!$B$5:$B$304,"prosumer",'4. Raw load per load'!AD5:AD304)</f>
        <v>34.6372</v>
      </c>
      <c r="E32" s="20">
        <f>SUMIF('4. Raw load per load'!$B$5:$B$304,"customer",'4. Raw load per load'!AD5:AD304)</f>
        <v>55.69950000000005</v>
      </c>
      <c r="F32" s="20">
        <f>SUM('5. Raw batt charge'!C32:DV32)</f>
        <v>1.8439999999999999</v>
      </c>
      <c r="G32" s="20">
        <f>SUM('6. Raw batt discharge'!C32:DV32)</f>
        <v>0.38600000000000001</v>
      </c>
      <c r="H32" s="21">
        <f t="shared" si="0"/>
        <v>1.4579999999999997</v>
      </c>
      <c r="I32" s="21">
        <f t="shared" si="1"/>
        <v>34.6372</v>
      </c>
      <c r="J32" s="21">
        <f t="shared" si="2"/>
        <v>1.4579999999999997</v>
      </c>
      <c r="K32" s="21">
        <f t="shared" si="3"/>
        <v>55.69950000000005</v>
      </c>
      <c r="L32" s="21">
        <f t="shared" si="4"/>
        <v>214.67629999999991</v>
      </c>
      <c r="M32" s="21">
        <f t="shared" si="5"/>
        <v>0</v>
      </c>
    </row>
    <row r="33" spans="1:13" x14ac:dyDescent="0.25">
      <c r="A33" s="8">
        <v>29</v>
      </c>
      <c r="B33" s="19">
        <v>14</v>
      </c>
      <c r="C33" s="20">
        <f>SUM('3. Raw PV per load'!AE5:AE304)</f>
        <v>292.37229999999988</v>
      </c>
      <c r="D33" s="20">
        <f>SUMIF('4. Raw load per load'!$B$5:$B$304,"prosumer",'4. Raw load per load'!AE5:AE304)</f>
        <v>37.600799999999978</v>
      </c>
      <c r="E33" s="20">
        <f>SUMIF('4. Raw load per load'!$B$5:$B$304,"customer",'4. Raw load per load'!AE5:AE304)</f>
        <v>54.452700000000014</v>
      </c>
      <c r="F33" s="20">
        <f>SUM('5. Raw batt charge'!C33:DV33)</f>
        <v>1.9279999999999999</v>
      </c>
      <c r="G33" s="20">
        <f>SUM('6. Raw batt discharge'!C33:DV33)</f>
        <v>1.478</v>
      </c>
      <c r="H33" s="21">
        <f t="shared" si="0"/>
        <v>0.44999999999999996</v>
      </c>
      <c r="I33" s="21">
        <f t="shared" si="1"/>
        <v>37.600799999999978</v>
      </c>
      <c r="J33" s="21">
        <f t="shared" si="2"/>
        <v>0.44999999999999996</v>
      </c>
      <c r="K33" s="21">
        <f t="shared" si="3"/>
        <v>54.452700000000014</v>
      </c>
      <c r="L33" s="21">
        <f t="shared" si="4"/>
        <v>199.86879999999988</v>
      </c>
      <c r="M33" s="21">
        <f t="shared" si="5"/>
        <v>0</v>
      </c>
    </row>
    <row r="34" spans="1:13" x14ac:dyDescent="0.25">
      <c r="A34" s="8">
        <v>30</v>
      </c>
      <c r="B34" s="19">
        <v>14.5</v>
      </c>
      <c r="C34" s="20">
        <f>SUM('3. Raw PV per load'!AF5:AF304)</f>
        <v>274.50700000000006</v>
      </c>
      <c r="D34" s="20">
        <f>SUMIF('4. Raw load per load'!$B$5:$B$304,"prosumer",'4. Raw load per load'!AF5:AF304)</f>
        <v>38.684899999999992</v>
      </c>
      <c r="E34" s="20">
        <f>SUMIF('4. Raw load per load'!$B$5:$B$304,"customer",'4. Raw load per load'!AF5:AF304)</f>
        <v>57.159800000000004</v>
      </c>
      <c r="F34" s="20">
        <f>SUM('5. Raw batt charge'!C34:DV34)</f>
        <v>3.8759999999999999</v>
      </c>
      <c r="G34" s="20">
        <f>SUM('6. Raw batt discharge'!C34:DV34)</f>
        <v>3.5989999999999998</v>
      </c>
      <c r="H34" s="21">
        <f t="shared" si="0"/>
        <v>0.27700000000000014</v>
      </c>
      <c r="I34" s="21">
        <f t="shared" si="1"/>
        <v>38.684899999999992</v>
      </c>
      <c r="J34" s="21">
        <f t="shared" si="2"/>
        <v>0.27700000000000014</v>
      </c>
      <c r="K34" s="21">
        <f t="shared" si="3"/>
        <v>57.159800000000004</v>
      </c>
      <c r="L34" s="21">
        <f t="shared" si="4"/>
        <v>178.38530000000009</v>
      </c>
      <c r="M34" s="21">
        <f t="shared" si="5"/>
        <v>0</v>
      </c>
    </row>
    <row r="35" spans="1:13" x14ac:dyDescent="0.25">
      <c r="A35" s="8">
        <v>31</v>
      </c>
      <c r="B35" s="19">
        <v>15</v>
      </c>
      <c r="C35" s="20">
        <f>SUM('3. Raw PV per load'!AG5:AG304)</f>
        <v>255.52070000000009</v>
      </c>
      <c r="D35" s="20">
        <f>SUMIF('4. Raw load per load'!$B$5:$B$304,"prosumer",'4. Raw load per load'!AG5:AG304)</f>
        <v>36.497700000000009</v>
      </c>
      <c r="E35" s="20">
        <f>SUMIF('4. Raw load per load'!$B$5:$B$304,"customer",'4. Raw load per load'!AG5:AG304)</f>
        <v>60.923000000000016</v>
      </c>
      <c r="F35" s="20">
        <f>SUM('5. Raw batt charge'!C35:DV35)</f>
        <v>2.1350000000000002</v>
      </c>
      <c r="G35" s="20">
        <f>SUM('6. Raw batt discharge'!C35:DV35)</f>
        <v>2.8090000000000002</v>
      </c>
      <c r="H35" s="21">
        <f t="shared" si="0"/>
        <v>-0.67399999999999993</v>
      </c>
      <c r="I35" s="21">
        <f t="shared" si="1"/>
        <v>36.497700000000009</v>
      </c>
      <c r="J35" s="21">
        <f t="shared" si="2"/>
        <v>0</v>
      </c>
      <c r="K35" s="21">
        <f t="shared" si="3"/>
        <v>60.923000000000016</v>
      </c>
      <c r="L35" s="21">
        <f t="shared" si="4"/>
        <v>158.10000000000008</v>
      </c>
      <c r="M35" s="21">
        <f t="shared" si="5"/>
        <v>0</v>
      </c>
    </row>
    <row r="36" spans="1:13" x14ac:dyDescent="0.25">
      <c r="A36" s="8">
        <v>32</v>
      </c>
      <c r="B36" s="19">
        <v>15.5</v>
      </c>
      <c r="C36" s="20">
        <f>SUM('3. Raw PV per load'!AH5:AH304)</f>
        <v>232.67480000000035</v>
      </c>
      <c r="D36" s="20">
        <f>SUMIF('4. Raw load per load'!$B$5:$B$304,"prosumer",'4. Raw load per load'!AH5:AH304)</f>
        <v>35.767599999999995</v>
      </c>
      <c r="E36" s="20">
        <f>SUMIF('4. Raw load per load'!$B$5:$B$304,"customer",'4. Raw load per load'!AH5:AH304)</f>
        <v>61.753000000000014</v>
      </c>
      <c r="F36" s="20">
        <f>SUM('5. Raw batt charge'!C36:DV36)</f>
        <v>4.4130000000000003</v>
      </c>
      <c r="G36" s="20">
        <f>SUM('6. Raw batt discharge'!C36:DV36)</f>
        <v>1.5169999999999999</v>
      </c>
      <c r="H36" s="21">
        <f t="shared" si="0"/>
        <v>2.8960000000000004</v>
      </c>
      <c r="I36" s="21">
        <f t="shared" si="1"/>
        <v>35.767599999999995</v>
      </c>
      <c r="J36" s="21">
        <f t="shared" si="2"/>
        <v>2.8960000000000004</v>
      </c>
      <c r="K36" s="21">
        <f t="shared" si="3"/>
        <v>61.753000000000014</v>
      </c>
      <c r="L36" s="21">
        <f t="shared" si="4"/>
        <v>132.25820000000036</v>
      </c>
      <c r="M36" s="21">
        <f t="shared" si="5"/>
        <v>0</v>
      </c>
    </row>
    <row r="37" spans="1:13" x14ac:dyDescent="0.25">
      <c r="A37" s="8">
        <v>33</v>
      </c>
      <c r="B37" s="19">
        <v>16</v>
      </c>
      <c r="C37" s="20">
        <f>SUM('3. Raw PV per load'!AI5:AI304)</f>
        <v>206.94600000000005</v>
      </c>
      <c r="D37" s="20">
        <f>SUMIF('4. Raw load per load'!$B$5:$B$304,"prosumer",'4. Raw load per load'!AI5:AI304)</f>
        <v>40.627499999999976</v>
      </c>
      <c r="E37" s="20">
        <f>SUMIF('4. Raw load per load'!$B$5:$B$304,"customer",'4. Raw load per load'!AI5:AI304)</f>
        <v>54.932500000000005</v>
      </c>
      <c r="F37" s="20">
        <f>SUM('5. Raw batt charge'!C37:DV37)</f>
        <v>1.3580000000000001</v>
      </c>
      <c r="G37" s="20">
        <f>SUM('6. Raw batt discharge'!C37:DV37)</f>
        <v>4.0250000000000004</v>
      </c>
      <c r="H37" s="21">
        <f t="shared" si="0"/>
        <v>-2.6670000000000003</v>
      </c>
      <c r="I37" s="21">
        <f t="shared" si="1"/>
        <v>40.627499999999976</v>
      </c>
      <c r="J37" s="21">
        <f t="shared" si="2"/>
        <v>0</v>
      </c>
      <c r="K37" s="21">
        <f t="shared" si="3"/>
        <v>54.932500000000005</v>
      </c>
      <c r="L37" s="21">
        <f t="shared" si="4"/>
        <v>111.38600000000008</v>
      </c>
      <c r="M37" s="21">
        <f t="shared" si="5"/>
        <v>0</v>
      </c>
    </row>
    <row r="38" spans="1:13" x14ac:dyDescent="0.25">
      <c r="A38" s="8">
        <v>34</v>
      </c>
      <c r="B38" s="19">
        <v>16.5</v>
      </c>
      <c r="C38" s="20">
        <f>SUM('3. Raw PV per load'!AJ5:AJ304)</f>
        <v>175.87949999999989</v>
      </c>
      <c r="D38" s="20">
        <f>SUMIF('4. Raw load per load'!$B$5:$B$304,"prosumer",'4. Raw load per load'!AJ5:AJ304)</f>
        <v>42.356000000000002</v>
      </c>
      <c r="E38" s="20">
        <f>SUMIF('4. Raw load per load'!$B$5:$B$304,"customer",'4. Raw load per load'!AJ5:AJ304)</f>
        <v>54.139999999999986</v>
      </c>
      <c r="F38" s="20">
        <f>SUM('5. Raw batt charge'!C38:DV38)</f>
        <v>2.4239999999999999</v>
      </c>
      <c r="G38" s="20">
        <f>SUM('6. Raw batt discharge'!C38:DV38)</f>
        <v>2.5840000000000001</v>
      </c>
      <c r="H38" s="21">
        <f t="shared" si="0"/>
        <v>-0.16000000000000014</v>
      </c>
      <c r="I38" s="21">
        <f t="shared" si="1"/>
        <v>42.356000000000002</v>
      </c>
      <c r="J38" s="21">
        <f t="shared" si="2"/>
        <v>0</v>
      </c>
      <c r="K38" s="21">
        <f t="shared" si="3"/>
        <v>54.139999999999986</v>
      </c>
      <c r="L38" s="21">
        <f t="shared" si="4"/>
        <v>79.383499999999913</v>
      </c>
      <c r="M38" s="21">
        <f t="shared" si="5"/>
        <v>0</v>
      </c>
    </row>
    <row r="39" spans="1:13" x14ac:dyDescent="0.25">
      <c r="A39" s="8">
        <v>35</v>
      </c>
      <c r="B39" s="19">
        <v>17</v>
      </c>
      <c r="C39" s="20">
        <f>SUM('3. Raw PV per load'!AK5:AK304)</f>
        <v>146.80119999999991</v>
      </c>
      <c r="D39" s="20">
        <f>SUMIF('4. Raw load per load'!$B$5:$B$304,"prosumer",'4. Raw load per load'!AK5:AK304)</f>
        <v>33.781100000000009</v>
      </c>
      <c r="E39" s="20">
        <f>SUMIF('4. Raw load per load'!$B$5:$B$304,"customer",'4. Raw load per load'!AK5:AK304)</f>
        <v>66.996399999999937</v>
      </c>
      <c r="F39" s="20">
        <f>SUM('5. Raw batt charge'!C39:DV39)</f>
        <v>2.0409999999999999</v>
      </c>
      <c r="G39" s="20">
        <f>SUM('6. Raw batt discharge'!C39:DV39)</f>
        <v>3.6479999999999997</v>
      </c>
      <c r="H39" s="21">
        <f t="shared" si="0"/>
        <v>-1.6069999999999998</v>
      </c>
      <c r="I39" s="21">
        <f t="shared" si="1"/>
        <v>33.781100000000009</v>
      </c>
      <c r="J39" s="21">
        <f t="shared" si="2"/>
        <v>0</v>
      </c>
      <c r="K39" s="21">
        <f t="shared" si="3"/>
        <v>66.996399999999937</v>
      </c>
      <c r="L39" s="21">
        <f t="shared" si="4"/>
        <v>46.023699999999963</v>
      </c>
      <c r="M39" s="21">
        <f t="shared" si="5"/>
        <v>0</v>
      </c>
    </row>
    <row r="40" spans="1:13" x14ac:dyDescent="0.25">
      <c r="A40" s="8">
        <v>36</v>
      </c>
      <c r="B40" s="19">
        <v>17.5</v>
      </c>
      <c r="C40" s="20">
        <f>SUM('3. Raw PV per load'!AL5:AL304)</f>
        <v>116.92329999999987</v>
      </c>
      <c r="D40" s="20">
        <f>SUMIF('4. Raw load per load'!$B$5:$B$304,"prosumer",'4. Raw load per load'!AL5:AL304)</f>
        <v>41.850399999999993</v>
      </c>
      <c r="E40" s="20">
        <f>SUMIF('4. Raw load per load'!$B$5:$B$304,"customer",'4. Raw load per load'!AL5:AL304)</f>
        <v>73.513600000000011</v>
      </c>
      <c r="F40" s="20">
        <f>SUM('5. Raw batt charge'!C40:DV40)</f>
        <v>0.81700000000000006</v>
      </c>
      <c r="G40" s="20">
        <f>SUM('6. Raw batt discharge'!C40:DV40)</f>
        <v>6.5780000000000003</v>
      </c>
      <c r="H40" s="21">
        <f t="shared" si="0"/>
        <v>-5.7610000000000001</v>
      </c>
      <c r="I40" s="21">
        <f t="shared" si="1"/>
        <v>41.850399999999993</v>
      </c>
      <c r="J40" s="21">
        <f t="shared" si="2"/>
        <v>0</v>
      </c>
      <c r="K40" s="21">
        <f t="shared" si="3"/>
        <v>73.513600000000011</v>
      </c>
      <c r="L40" s="21">
        <f t="shared" si="4"/>
        <v>1.5592999999998653</v>
      </c>
      <c r="M40" s="21">
        <f t="shared" si="5"/>
        <v>0</v>
      </c>
    </row>
    <row r="41" spans="1:13" x14ac:dyDescent="0.25">
      <c r="A41" s="8">
        <v>37</v>
      </c>
      <c r="B41" s="19">
        <v>18</v>
      </c>
      <c r="C41" s="20">
        <f>SUM('3. Raw PV per load'!AM5:AM304)</f>
        <v>88.024099999999976</v>
      </c>
      <c r="D41" s="20">
        <f>SUMIF('4. Raw load per load'!$B$5:$B$304,"prosumer",'4. Raw load per load'!AM5:AM304)</f>
        <v>42.6297</v>
      </c>
      <c r="E41" s="20">
        <f>SUMIF('4. Raw load per load'!$B$5:$B$304,"customer",'4. Raw load per load'!AM5:AM304)</f>
        <v>71.434700000000049</v>
      </c>
      <c r="F41" s="20">
        <f>SUM('5. Raw batt charge'!C41:DV41)</f>
        <v>1.4929999999999999</v>
      </c>
      <c r="G41" s="20">
        <f>SUM('6. Raw batt discharge'!C41:DV41)</f>
        <v>10.032999999999999</v>
      </c>
      <c r="H41" s="21">
        <f t="shared" si="0"/>
        <v>-8.5399999999999991</v>
      </c>
      <c r="I41" s="21">
        <f t="shared" si="1"/>
        <v>42.6297</v>
      </c>
      <c r="J41" s="21">
        <f t="shared" si="2"/>
        <v>0</v>
      </c>
      <c r="K41" s="21">
        <f t="shared" si="3"/>
        <v>45.394399999999976</v>
      </c>
      <c r="L41" s="21">
        <f t="shared" si="4"/>
        <v>0</v>
      </c>
      <c r="M41" s="21">
        <f t="shared" si="5"/>
        <v>26.040300000000073</v>
      </c>
    </row>
    <row r="42" spans="1:13" x14ac:dyDescent="0.25">
      <c r="A42" s="8">
        <v>38</v>
      </c>
      <c r="B42" s="19">
        <v>18.5</v>
      </c>
      <c r="C42" s="20">
        <f>SUM('3. Raw PV per load'!AN5:AN304)</f>
        <v>60.160500000000035</v>
      </c>
      <c r="D42" s="20">
        <f>SUMIF('4. Raw load per load'!$B$5:$B$304,"prosumer",'4. Raw load per load'!AN5:AN304)</f>
        <v>46.9056</v>
      </c>
      <c r="E42" s="20">
        <f>SUMIF('4. Raw load per load'!$B$5:$B$304,"customer",'4. Raw load per load'!AN5:AN304)</f>
        <v>59.614999999999995</v>
      </c>
      <c r="F42" s="20">
        <f>SUM('5. Raw batt charge'!C42:DV42)</f>
        <v>1.3029999999999999</v>
      </c>
      <c r="G42" s="20">
        <f>SUM('6. Raw batt discharge'!C42:DV42)</f>
        <v>16.166</v>
      </c>
      <c r="H42" s="21">
        <f t="shared" si="0"/>
        <v>-14.863</v>
      </c>
      <c r="I42" s="21">
        <f t="shared" si="1"/>
        <v>46.9056</v>
      </c>
      <c r="J42" s="21">
        <f t="shared" si="2"/>
        <v>0</v>
      </c>
      <c r="K42" s="21">
        <f t="shared" si="3"/>
        <v>13.254900000000035</v>
      </c>
      <c r="L42" s="21">
        <f t="shared" si="4"/>
        <v>0</v>
      </c>
      <c r="M42" s="21">
        <f t="shared" si="5"/>
        <v>46.36009999999996</v>
      </c>
    </row>
    <row r="43" spans="1:13" x14ac:dyDescent="0.25">
      <c r="A43" s="8">
        <v>39</v>
      </c>
      <c r="B43" s="19">
        <v>19</v>
      </c>
      <c r="C43" s="20">
        <f>SUM('3. Raw PV per load'!AO5:AO304)</f>
        <v>35.128000000000007</v>
      </c>
      <c r="D43" s="20">
        <f>SUMIF('4. Raw load per load'!$B$5:$B$304,"prosumer",'4. Raw load per load'!AO5:AO304)</f>
        <v>50.4938</v>
      </c>
      <c r="E43" s="20">
        <f>SUMIF('4. Raw load per load'!$B$5:$B$304,"customer",'4. Raw load per load'!AO5:AO304)</f>
        <v>63.202899999999993</v>
      </c>
      <c r="F43" s="20">
        <f>SUM('5. Raw batt charge'!C43:DV43)</f>
        <v>0.64300000000000002</v>
      </c>
      <c r="G43" s="20">
        <f>SUM('6. Raw batt discharge'!C43:DV43)</f>
        <v>25.809000000000001</v>
      </c>
      <c r="H43" s="21">
        <f t="shared" si="0"/>
        <v>-25.166</v>
      </c>
      <c r="I43" s="21">
        <f t="shared" si="1"/>
        <v>35.128000000000007</v>
      </c>
      <c r="J43" s="21">
        <f t="shared" si="2"/>
        <v>0</v>
      </c>
      <c r="K43" s="21">
        <f t="shared" si="3"/>
        <v>0</v>
      </c>
      <c r="L43" s="21">
        <f t="shared" si="4"/>
        <v>0</v>
      </c>
      <c r="M43" s="21">
        <f t="shared" si="5"/>
        <v>63.202899999999993</v>
      </c>
    </row>
    <row r="44" spans="1:13" x14ac:dyDescent="0.25">
      <c r="A44" s="8">
        <v>40</v>
      </c>
      <c r="B44" s="19">
        <v>19.5</v>
      </c>
      <c r="C44" s="20">
        <f>SUM('3. Raw PV per load'!AP5:AP304)</f>
        <v>10.2242</v>
      </c>
      <c r="D44" s="20">
        <f>SUMIF('4. Raw load per load'!$B$5:$B$304,"prosumer",'4. Raw load per load'!AP5:AP304)</f>
        <v>57.690400000000025</v>
      </c>
      <c r="E44" s="20">
        <f>SUMIF('4. Raw load per load'!$B$5:$B$304,"customer",'4. Raw load per load'!AP5:AP304)</f>
        <v>81.869500000000031</v>
      </c>
      <c r="F44" s="20">
        <f>SUM('5. Raw batt charge'!C44:DV44)</f>
        <v>5.2000000000000005E-2</v>
      </c>
      <c r="G44" s="20">
        <f>SUM('6. Raw batt discharge'!C44:DV44)</f>
        <v>47.255999999999993</v>
      </c>
      <c r="H44" s="21">
        <f t="shared" si="0"/>
        <v>-47.203999999999994</v>
      </c>
      <c r="I44" s="21">
        <f t="shared" si="1"/>
        <v>10.2242</v>
      </c>
      <c r="J44" s="21">
        <f t="shared" si="2"/>
        <v>0</v>
      </c>
      <c r="K44" s="21">
        <f t="shared" si="3"/>
        <v>0</v>
      </c>
      <c r="L44" s="21">
        <f t="shared" si="4"/>
        <v>0</v>
      </c>
      <c r="M44" s="21">
        <f t="shared" si="5"/>
        <v>81.869500000000031</v>
      </c>
    </row>
    <row r="45" spans="1:13" x14ac:dyDescent="0.25">
      <c r="A45" s="8">
        <v>41</v>
      </c>
      <c r="B45" s="19">
        <v>20</v>
      </c>
      <c r="C45" s="20">
        <f>SUM('3. Raw PV per load'!AQ5:AQ304)</f>
        <v>1.8871000000000016</v>
      </c>
      <c r="D45" s="20">
        <f>SUMIF('4. Raw load per load'!$B$5:$B$304,"prosumer",'4. Raw load per load'!AQ5:AQ304)</f>
        <v>58.926399999999965</v>
      </c>
      <c r="E45" s="20">
        <f>SUMIF('4. Raw load per load'!$B$5:$B$304,"customer",'4. Raw load per load'!AQ5:AQ304)</f>
        <v>85.945300000000032</v>
      </c>
      <c r="F45" s="20">
        <f>SUM('5. Raw batt charge'!C45:DV45)</f>
        <v>0</v>
      </c>
      <c r="G45" s="20">
        <f>SUM('6. Raw batt discharge'!C45:DV45)</f>
        <v>54.870999999999995</v>
      </c>
      <c r="H45" s="21">
        <f t="shared" si="0"/>
        <v>-54.870999999999995</v>
      </c>
      <c r="I45" s="21">
        <f t="shared" si="1"/>
        <v>1.8871000000000016</v>
      </c>
      <c r="J45" s="21">
        <f t="shared" si="2"/>
        <v>0</v>
      </c>
      <c r="K45" s="21">
        <f t="shared" si="3"/>
        <v>0</v>
      </c>
      <c r="L45" s="21">
        <f t="shared" si="4"/>
        <v>0</v>
      </c>
      <c r="M45" s="21">
        <f t="shared" si="5"/>
        <v>85.945300000000032</v>
      </c>
    </row>
    <row r="46" spans="1:13" x14ac:dyDescent="0.25">
      <c r="A46" s="8">
        <v>42</v>
      </c>
      <c r="B46" s="19">
        <v>20.5</v>
      </c>
      <c r="C46" s="20">
        <f>SUM('3. Raw PV per load'!AR5:AR304)</f>
        <v>0</v>
      </c>
      <c r="D46" s="20">
        <f>SUMIF('4. Raw load per load'!$B$5:$B$304,"prosumer",'4. Raw load per load'!AR5:AR304)</f>
        <v>67.892700000000005</v>
      </c>
      <c r="E46" s="20">
        <f>SUMIF('4. Raw load per load'!$B$5:$B$304,"customer",'4. Raw load per load'!AR5:AR304)</f>
        <v>86.256700000000009</v>
      </c>
      <c r="F46" s="20">
        <f>SUM('5. Raw batt charge'!C46:DV46)</f>
        <v>0</v>
      </c>
      <c r="G46" s="20">
        <f>SUM('6. Raw batt discharge'!C46:DV46)</f>
        <v>64.923999999999992</v>
      </c>
      <c r="H46" s="21">
        <f t="shared" si="0"/>
        <v>-64.923999999999992</v>
      </c>
      <c r="I46" s="21">
        <f t="shared" si="1"/>
        <v>0</v>
      </c>
      <c r="J46" s="21">
        <f t="shared" si="2"/>
        <v>0</v>
      </c>
      <c r="K46" s="21">
        <f t="shared" si="3"/>
        <v>0</v>
      </c>
      <c r="L46" s="21">
        <f t="shared" si="4"/>
        <v>0</v>
      </c>
      <c r="M46" s="21">
        <f t="shared" si="5"/>
        <v>86.256700000000009</v>
      </c>
    </row>
    <row r="47" spans="1:13" x14ac:dyDescent="0.25">
      <c r="A47" s="8">
        <v>43</v>
      </c>
      <c r="B47" s="19">
        <v>21</v>
      </c>
      <c r="C47" s="20">
        <f>SUM('3. Raw PV per load'!AS5:AS304)</f>
        <v>0</v>
      </c>
      <c r="D47" s="20">
        <f>SUMIF('4. Raw load per load'!$B$5:$B$304,"prosumer",'4. Raw load per load'!AS5:AS304)</f>
        <v>67.554099999999977</v>
      </c>
      <c r="E47" s="20">
        <f>SUMIF('4. Raw load per load'!$B$5:$B$304,"customer",'4. Raw load per load'!AS5:AS304)</f>
        <v>85.402799999999985</v>
      </c>
      <c r="F47" s="20">
        <f>SUM('5. Raw batt charge'!C47:DV47)</f>
        <v>0</v>
      </c>
      <c r="G47" s="20">
        <f>SUM('6. Raw batt discharge'!C47:DV47)</f>
        <v>62.415000000000006</v>
      </c>
      <c r="H47" s="21">
        <f t="shared" si="0"/>
        <v>-62.415000000000006</v>
      </c>
      <c r="I47" s="21">
        <f t="shared" si="1"/>
        <v>0</v>
      </c>
      <c r="J47" s="21">
        <f t="shared" si="2"/>
        <v>0</v>
      </c>
      <c r="K47" s="21">
        <f t="shared" si="3"/>
        <v>0</v>
      </c>
      <c r="L47" s="21">
        <f t="shared" si="4"/>
        <v>0</v>
      </c>
      <c r="M47" s="21">
        <f t="shared" si="5"/>
        <v>85.402799999999985</v>
      </c>
    </row>
    <row r="48" spans="1:13" x14ac:dyDescent="0.25">
      <c r="A48" s="8">
        <v>44</v>
      </c>
      <c r="B48" s="19">
        <v>21.5</v>
      </c>
      <c r="C48" s="20">
        <f>SUM('3. Raw PV per load'!AT5:AT304)</f>
        <v>0</v>
      </c>
      <c r="D48" s="20">
        <f>SUMIF('4. Raw load per load'!$B$5:$B$304,"prosumer",'4. Raw load per load'!AT5:AT304)</f>
        <v>60.5991</v>
      </c>
      <c r="E48" s="20">
        <f>SUMIF('4. Raw load per load'!$B$5:$B$304,"customer",'4. Raw load per load'!AT5:AT304)</f>
        <v>77.406100000000009</v>
      </c>
      <c r="F48" s="20">
        <f>SUM('5. Raw batt charge'!C48:DV48)</f>
        <v>0</v>
      </c>
      <c r="G48" s="20">
        <f>SUM('6. Raw batt discharge'!C48:DV48)</f>
        <v>55.876999999999981</v>
      </c>
      <c r="H48" s="21">
        <f t="shared" si="0"/>
        <v>-55.876999999999981</v>
      </c>
      <c r="I48" s="21">
        <f t="shared" si="1"/>
        <v>0</v>
      </c>
      <c r="J48" s="21">
        <f t="shared" si="2"/>
        <v>0</v>
      </c>
      <c r="K48" s="21">
        <f t="shared" si="3"/>
        <v>0</v>
      </c>
      <c r="L48" s="21">
        <f t="shared" si="4"/>
        <v>0</v>
      </c>
      <c r="M48" s="21">
        <f t="shared" si="5"/>
        <v>77.406100000000009</v>
      </c>
    </row>
    <row r="49" spans="1:13" x14ac:dyDescent="0.25">
      <c r="A49" s="8">
        <v>45</v>
      </c>
      <c r="B49" s="19">
        <v>22</v>
      </c>
      <c r="C49" s="20">
        <f>SUM('3. Raw PV per load'!AU5:AU304)</f>
        <v>0</v>
      </c>
      <c r="D49" s="20">
        <f>SUMIF('4. Raw load per load'!$B$5:$B$304,"prosumer",'4. Raw load per load'!AU5:AU304)</f>
        <v>55.478600000000021</v>
      </c>
      <c r="E49" s="20">
        <f>SUMIF('4. Raw load per load'!$B$5:$B$304,"customer",'4. Raw load per load'!AU5:AU304)</f>
        <v>76.337899999999976</v>
      </c>
      <c r="F49" s="20">
        <f>SUM('5. Raw batt charge'!C49:DV49)</f>
        <v>0</v>
      </c>
      <c r="G49" s="20">
        <f>SUM('6. Raw batt discharge'!C49:DV49)</f>
        <v>48.557999999999993</v>
      </c>
      <c r="H49" s="21">
        <f t="shared" si="0"/>
        <v>-48.557999999999993</v>
      </c>
      <c r="I49" s="21">
        <f t="shared" si="1"/>
        <v>0</v>
      </c>
      <c r="J49" s="21">
        <f t="shared" si="2"/>
        <v>0</v>
      </c>
      <c r="K49" s="21">
        <f t="shared" si="3"/>
        <v>0</v>
      </c>
      <c r="L49" s="21">
        <f t="shared" si="4"/>
        <v>0</v>
      </c>
      <c r="M49" s="21">
        <f t="shared" si="5"/>
        <v>76.337899999999976</v>
      </c>
    </row>
    <row r="50" spans="1:13" x14ac:dyDescent="0.25">
      <c r="A50" s="8">
        <v>46</v>
      </c>
      <c r="B50" s="19">
        <v>22.5</v>
      </c>
      <c r="C50" s="20">
        <f>SUM('3. Raw PV per load'!AV5:AV304)</f>
        <v>0</v>
      </c>
      <c r="D50" s="20">
        <f>SUMIF('4. Raw load per load'!$B$5:$B$304,"prosumer",'4. Raw load per load'!AV5:AV304)</f>
        <v>52.654000000000003</v>
      </c>
      <c r="E50" s="20">
        <f>SUMIF('4. Raw load per load'!$B$5:$B$304,"customer",'4. Raw load per load'!AV5:AV304)</f>
        <v>70.380700000000019</v>
      </c>
      <c r="F50" s="20">
        <f>SUM('5. Raw batt charge'!C50:DV50)</f>
        <v>0</v>
      </c>
      <c r="G50" s="20">
        <f>SUM('6. Raw batt discharge'!C50:DV50)</f>
        <v>45.58700000000001</v>
      </c>
      <c r="H50" s="21">
        <f t="shared" si="0"/>
        <v>-45.58700000000001</v>
      </c>
      <c r="I50" s="21">
        <f t="shared" si="1"/>
        <v>0</v>
      </c>
      <c r="J50" s="21">
        <f t="shared" si="2"/>
        <v>0</v>
      </c>
      <c r="K50" s="21">
        <f t="shared" si="3"/>
        <v>0</v>
      </c>
      <c r="L50" s="21">
        <f t="shared" si="4"/>
        <v>0</v>
      </c>
      <c r="M50" s="21">
        <f t="shared" si="5"/>
        <v>70.380700000000019</v>
      </c>
    </row>
    <row r="51" spans="1:13" x14ac:dyDescent="0.25">
      <c r="A51" s="8">
        <v>47</v>
      </c>
      <c r="B51" s="19">
        <v>23</v>
      </c>
      <c r="C51" s="20">
        <f>SUM('3. Raw PV per load'!AW5:AW304)</f>
        <v>0</v>
      </c>
      <c r="D51" s="20">
        <f>SUMIF('4. Raw load per load'!$B$5:$B$304,"prosumer",'4. Raw load per load'!AW5:AW304)</f>
        <v>37.429100000000005</v>
      </c>
      <c r="E51" s="20">
        <f>SUMIF('4. Raw load per load'!$B$5:$B$304,"customer",'4. Raw load per load'!AW5:AW304)</f>
        <v>63.451799999999977</v>
      </c>
      <c r="F51" s="20">
        <f>SUM('5. Raw batt charge'!C51:DV51)</f>
        <v>0</v>
      </c>
      <c r="G51" s="20">
        <f>SUM('6. Raw batt discharge'!C51:DV51)</f>
        <v>30.182000000000006</v>
      </c>
      <c r="H51" s="21">
        <f t="shared" si="0"/>
        <v>-30.182000000000006</v>
      </c>
      <c r="I51" s="21">
        <f t="shared" si="1"/>
        <v>0</v>
      </c>
      <c r="J51" s="21">
        <f t="shared" si="2"/>
        <v>0</v>
      </c>
      <c r="K51" s="21">
        <f t="shared" si="3"/>
        <v>0</v>
      </c>
      <c r="L51" s="21">
        <f t="shared" si="4"/>
        <v>0</v>
      </c>
      <c r="M51" s="21">
        <f t="shared" si="5"/>
        <v>63.451799999999977</v>
      </c>
    </row>
    <row r="52" spans="1:13" x14ac:dyDescent="0.25">
      <c r="A52" s="8">
        <v>48</v>
      </c>
      <c r="B52" s="19">
        <v>23.5</v>
      </c>
      <c r="C52" s="20">
        <f>SUM('3. Raw PV per load'!AX5:AX304)</f>
        <v>0</v>
      </c>
      <c r="D52" s="20">
        <f>SUMIF('4. Raw load per load'!$B$5:$B$304,"prosumer",'4. Raw load per load'!AX5:AX304)</f>
        <v>28.876300000000001</v>
      </c>
      <c r="E52" s="20">
        <f>SUMIF('4. Raw load per load'!$B$5:$B$304,"customer",'4. Raw load per load'!AX5:AX304)</f>
        <v>47.881800000000013</v>
      </c>
      <c r="F52" s="20">
        <f>SUM('5. Raw batt charge'!C52:DV52)</f>
        <v>0</v>
      </c>
      <c r="G52" s="20">
        <f>SUM('6. Raw batt discharge'!C52:DV52)</f>
        <v>23.525999999999996</v>
      </c>
      <c r="H52" s="21">
        <f t="shared" si="0"/>
        <v>-23.525999999999996</v>
      </c>
      <c r="I52" s="21">
        <f t="shared" si="1"/>
        <v>0</v>
      </c>
      <c r="J52" s="21">
        <f t="shared" si="2"/>
        <v>0</v>
      </c>
      <c r="K52" s="21">
        <f t="shared" si="3"/>
        <v>0</v>
      </c>
      <c r="L52" s="21">
        <f t="shared" si="4"/>
        <v>0</v>
      </c>
      <c r="M52" s="21">
        <f t="shared" si="5"/>
        <v>47.881800000000013</v>
      </c>
    </row>
    <row r="53" spans="1:13" x14ac:dyDescent="0.25">
      <c r="A53" s="22" t="s">
        <v>853</v>
      </c>
      <c r="B53" s="22" t="s">
        <v>31</v>
      </c>
      <c r="C53" s="23">
        <f t="shared" ref="C53:M53" si="6">SUM(C5:C52)*0.5</f>
        <v>3081.1268999999993</v>
      </c>
      <c r="D53" s="23">
        <f t="shared" si="6"/>
        <v>851.17414999999983</v>
      </c>
      <c r="E53" s="23">
        <f t="shared" si="6"/>
        <v>1247.9201499999999</v>
      </c>
      <c r="F53" s="23">
        <f t="shared" si="6"/>
        <v>430.71900000000005</v>
      </c>
      <c r="G53" s="23">
        <f t="shared" si="6"/>
        <v>341.73479999999995</v>
      </c>
      <c r="H53" s="23">
        <f t="shared" si="6"/>
        <v>88.984200000000072</v>
      </c>
      <c r="I53" s="23">
        <f t="shared" si="6"/>
        <v>529.65205000000003</v>
      </c>
      <c r="J53" s="23">
        <f t="shared" si="6"/>
        <v>407.26564999999988</v>
      </c>
      <c r="K53" s="23">
        <f t="shared" si="6"/>
        <v>641.95560000000012</v>
      </c>
      <c r="L53" s="23">
        <f t="shared" si="6"/>
        <v>1502.2535999999996</v>
      </c>
      <c r="M53" s="23">
        <f t="shared" si="6"/>
        <v>605.96455000000003</v>
      </c>
    </row>
    <row r="55" spans="1:13" x14ac:dyDescent="0.25">
      <c r="A55" s="15" t="s">
        <v>854</v>
      </c>
    </row>
    <row r="56" spans="1:13" x14ac:dyDescent="0.25">
      <c r="A56" s="15" t="s">
        <v>855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5"/>
  <sheetViews>
    <sheetView showGridLines="0" workbookViewId="0">
      <selection activeCell="L17" sqref="L17"/>
    </sheetView>
  </sheetViews>
  <sheetFormatPr defaultRowHeight="15" x14ac:dyDescent="0.25"/>
  <cols>
    <col min="1" max="1" width="30" customWidth="1"/>
    <col min="2" max="3" width="13" customWidth="1"/>
    <col min="4" max="4" width="4" customWidth="1"/>
    <col min="5" max="5" width="26" customWidth="1"/>
    <col min="6" max="7" width="13" customWidth="1"/>
  </cols>
  <sheetData>
    <row r="1" spans="1:7" ht="19.5" x14ac:dyDescent="0.3">
      <c r="A1" s="1" t="s">
        <v>856</v>
      </c>
    </row>
    <row r="3" spans="1:7" x14ac:dyDescent="0.25">
      <c r="A3" s="2" t="s">
        <v>857</v>
      </c>
      <c r="E3" s="2" t="s">
        <v>858</v>
      </c>
    </row>
    <row r="4" spans="1:7" x14ac:dyDescent="0.25">
      <c r="A4" s="5" t="s">
        <v>859</v>
      </c>
      <c r="B4" s="5" t="s">
        <v>31</v>
      </c>
      <c r="C4" s="5" t="s">
        <v>37</v>
      </c>
      <c r="E4" s="5" t="s">
        <v>860</v>
      </c>
      <c r="F4" s="5" t="s">
        <v>31</v>
      </c>
      <c r="G4" s="5" t="s">
        <v>861</v>
      </c>
    </row>
    <row r="5" spans="1:7" x14ac:dyDescent="0.25">
      <c r="A5" s="8" t="s">
        <v>862</v>
      </c>
      <c r="B5" s="21">
        <f>'7. PV allocation (per period)'!I53</f>
        <v>529.65205000000003</v>
      </c>
      <c r="C5" s="24">
        <f>'7. PV allocation (per period)'!I53/'7. PV allocation (per period)'!C53</f>
        <v>0.17190205635477077</v>
      </c>
      <c r="E5" s="8" t="s">
        <v>863</v>
      </c>
      <c r="F5" s="21">
        <f>'7. PV allocation (per period)'!K53</f>
        <v>641.95560000000012</v>
      </c>
      <c r="G5" s="24">
        <f>'7. PV allocation (per period)'!K53/'7. PV allocation (per period)'!E53</f>
        <v>0.51442041383817716</v>
      </c>
    </row>
    <row r="6" spans="1:7" x14ac:dyDescent="0.25">
      <c r="A6" s="8" t="s">
        <v>33</v>
      </c>
      <c r="B6" s="21">
        <f>'7. PV allocation (per period)'!J53</f>
        <v>407.26564999999988</v>
      </c>
      <c r="C6" s="24">
        <f>'7. PV allocation (per period)'!J53/'7. PV allocation (per period)'!C53</f>
        <v>0.13218074529809207</v>
      </c>
      <c r="E6" s="8" t="s">
        <v>864</v>
      </c>
      <c r="F6" s="21">
        <f>'7. PV allocation (per period)'!M53</f>
        <v>605.96455000000003</v>
      </c>
      <c r="G6" s="24">
        <f>'7. PV allocation (per period)'!M53/'7. PV allocation (per period)'!E53</f>
        <v>0.48557958616182301</v>
      </c>
    </row>
    <row r="7" spans="1:7" x14ac:dyDescent="0.25">
      <c r="A7" s="8" t="s">
        <v>34</v>
      </c>
      <c r="B7" s="21">
        <f>'7. PV allocation (per period)'!K53</f>
        <v>641.95560000000012</v>
      </c>
      <c r="C7" s="24">
        <f>'7. PV allocation (per period)'!K53/'7. PV allocation (per period)'!C53</f>
        <v>0.20835091212893578</v>
      </c>
      <c r="E7" s="22" t="s">
        <v>865</v>
      </c>
      <c r="F7" s="23">
        <f>'7. PV allocation (per period)'!E53</f>
        <v>1247.9201499999999</v>
      </c>
      <c r="G7" s="25">
        <v>1</v>
      </c>
    </row>
    <row r="8" spans="1:7" x14ac:dyDescent="0.25">
      <c r="A8" s="8" t="s">
        <v>35</v>
      </c>
      <c r="B8" s="21">
        <f>'7. PV allocation (per period)'!L53</f>
        <v>1502.2535999999996</v>
      </c>
      <c r="C8" s="24">
        <f>'7. PV allocation (per period)'!L53/'7. PV allocation (per period)'!C53</f>
        <v>0.48756628621820147</v>
      </c>
    </row>
    <row r="9" spans="1:7" x14ac:dyDescent="0.25">
      <c r="A9" s="22" t="s">
        <v>866</v>
      </c>
      <c r="B9" s="23">
        <f>'7. PV allocation (per period)'!C53</f>
        <v>3081.1268999999993</v>
      </c>
      <c r="C9" s="25">
        <v>1</v>
      </c>
    </row>
    <row r="55" spans="1:1" x14ac:dyDescent="0.25">
      <c r="A55" s="15" t="s">
        <v>867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Overview</vt:lpstr>
      <vt:lpstr>2. Load classification</vt:lpstr>
      <vt:lpstr>3. Raw PV per load</vt:lpstr>
      <vt:lpstr>4. Raw load per load</vt:lpstr>
      <vt:lpstr>5. Raw batt charge</vt:lpstr>
      <vt:lpstr>6. Raw batt discharge</vt:lpstr>
      <vt:lpstr>7. PV allocation (per period)</vt:lpstr>
      <vt:lpstr>8. Results &amp;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Tulio</cp:lastModifiedBy>
  <dcterms:created xsi:type="dcterms:W3CDTF">2026-07-24T18:15:45Z</dcterms:created>
  <dcterms:modified xsi:type="dcterms:W3CDTF">2026-07-24T18:24:20Z</dcterms:modified>
</cp:coreProperties>
</file>