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hc22\SFU-Courses\Tese\Tese_Organization_July22_26\TR5_analysis\03_PV_ALLOCATION\"/>
    </mc:Choice>
  </mc:AlternateContent>
  <xr:revisionPtr revIDLastSave="0" documentId="8_{E863CA5C-1FC3-41A5-B322-857C40863420}" xr6:coauthVersionLast="47" xr6:coauthVersionMax="47" xr10:uidLastSave="{00000000-0000-0000-0000-000000000000}"/>
  <bookViews>
    <workbookView xWindow="-120" yWindow="-120" windowWidth="38640" windowHeight="21120" activeTab="6" xr2:uid="{00000000-000D-0000-FFFF-FFFF00000000}"/>
  </bookViews>
  <sheets>
    <sheet name="1. Overview" sheetId="1" r:id="rId1"/>
    <sheet name="2. Load classification" sheetId="2" r:id="rId2"/>
    <sheet name="3. Raw PV per load" sheetId="3" r:id="rId3"/>
    <sheet name="4. Raw load per load" sheetId="4" r:id="rId4"/>
    <sheet name="5. Raw batt charge" sheetId="5" r:id="rId5"/>
    <sheet name="6. Raw batt discharge" sheetId="6" r:id="rId6"/>
    <sheet name="7. PV allocation (per period)" sheetId="7" r:id="rId7"/>
    <sheet name="8. Results &amp; charts" sheetId="8" r:id="rId8"/>
  </sheets>
  <definedNames>
    <definedName name="_xlnm._FilterDatabase" localSheetId="1" hidden="1">'2. Load classification'!$A$4:$F$421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2" i="7" l="1"/>
  <c r="G52" i="7"/>
  <c r="H52" i="7" s="1"/>
  <c r="F52" i="7"/>
  <c r="E52" i="7"/>
  <c r="D52" i="7"/>
  <c r="C52" i="7"/>
  <c r="G51" i="7"/>
  <c r="F51" i="7"/>
  <c r="H51" i="7" s="1"/>
  <c r="E51" i="7"/>
  <c r="D51" i="7"/>
  <c r="C51" i="7"/>
  <c r="I50" i="7"/>
  <c r="G50" i="7"/>
  <c r="H50" i="7" s="1"/>
  <c r="F50" i="7"/>
  <c r="E50" i="7"/>
  <c r="D50" i="7"/>
  <c r="C50" i="7"/>
  <c r="I49" i="7"/>
  <c r="H49" i="7"/>
  <c r="G49" i="7"/>
  <c r="F49" i="7"/>
  <c r="E49" i="7"/>
  <c r="D49" i="7"/>
  <c r="C49" i="7"/>
  <c r="G48" i="7"/>
  <c r="F48" i="7"/>
  <c r="H48" i="7" s="1"/>
  <c r="E48" i="7"/>
  <c r="D48" i="7"/>
  <c r="C48" i="7"/>
  <c r="I47" i="7"/>
  <c r="H47" i="7"/>
  <c r="G47" i="7"/>
  <c r="F47" i="7"/>
  <c r="E47" i="7"/>
  <c r="D47" i="7"/>
  <c r="C47" i="7"/>
  <c r="I46" i="7"/>
  <c r="G46" i="7"/>
  <c r="F46" i="7"/>
  <c r="H46" i="7" s="1"/>
  <c r="E46" i="7"/>
  <c r="D46" i="7"/>
  <c r="C46" i="7"/>
  <c r="G45" i="7"/>
  <c r="F45" i="7"/>
  <c r="H45" i="7" s="1"/>
  <c r="E45" i="7"/>
  <c r="D45" i="7"/>
  <c r="C45" i="7"/>
  <c r="I44" i="7"/>
  <c r="G44" i="7"/>
  <c r="F44" i="7"/>
  <c r="H44" i="7" s="1"/>
  <c r="E44" i="7"/>
  <c r="D44" i="7"/>
  <c r="C44" i="7"/>
  <c r="G43" i="7"/>
  <c r="F43" i="7"/>
  <c r="H43" i="7" s="1"/>
  <c r="E43" i="7"/>
  <c r="D43" i="7"/>
  <c r="C43" i="7"/>
  <c r="I43" i="7" s="1"/>
  <c r="G42" i="7"/>
  <c r="F42" i="7"/>
  <c r="H42" i="7" s="1"/>
  <c r="E42" i="7"/>
  <c r="D42" i="7"/>
  <c r="C42" i="7"/>
  <c r="G41" i="7"/>
  <c r="F41" i="7"/>
  <c r="H41" i="7" s="1"/>
  <c r="E41" i="7"/>
  <c r="D41" i="7"/>
  <c r="C41" i="7"/>
  <c r="I41" i="7" s="1"/>
  <c r="G40" i="7"/>
  <c r="F40" i="7"/>
  <c r="H40" i="7" s="1"/>
  <c r="E40" i="7"/>
  <c r="D40" i="7"/>
  <c r="C40" i="7"/>
  <c r="G39" i="7"/>
  <c r="F39" i="7"/>
  <c r="H39" i="7" s="1"/>
  <c r="E39" i="7"/>
  <c r="D39" i="7"/>
  <c r="C39" i="7"/>
  <c r="G38" i="7"/>
  <c r="F38" i="7"/>
  <c r="H38" i="7" s="1"/>
  <c r="E38" i="7"/>
  <c r="D38" i="7"/>
  <c r="C38" i="7"/>
  <c r="G37" i="7"/>
  <c r="F37" i="7"/>
  <c r="H37" i="7" s="1"/>
  <c r="E37" i="7"/>
  <c r="D37" i="7"/>
  <c r="C37" i="7"/>
  <c r="G36" i="7"/>
  <c r="F36" i="7"/>
  <c r="H36" i="7" s="1"/>
  <c r="E36" i="7"/>
  <c r="D36" i="7"/>
  <c r="C36" i="7"/>
  <c r="I36" i="7" s="1"/>
  <c r="G35" i="7"/>
  <c r="F35" i="7"/>
  <c r="H35" i="7" s="1"/>
  <c r="E35" i="7"/>
  <c r="D35" i="7"/>
  <c r="C35" i="7"/>
  <c r="G34" i="7"/>
  <c r="F34" i="7"/>
  <c r="H34" i="7" s="1"/>
  <c r="E34" i="7"/>
  <c r="D34" i="7"/>
  <c r="I34" i="7" s="1"/>
  <c r="C34" i="7"/>
  <c r="G33" i="7"/>
  <c r="F33" i="7"/>
  <c r="H33" i="7" s="1"/>
  <c r="E33" i="7"/>
  <c r="D33" i="7"/>
  <c r="C33" i="7"/>
  <c r="G32" i="7"/>
  <c r="F32" i="7"/>
  <c r="H32" i="7" s="1"/>
  <c r="E32" i="7"/>
  <c r="D32" i="7"/>
  <c r="C32" i="7"/>
  <c r="I31" i="7"/>
  <c r="G31" i="7"/>
  <c r="F31" i="7"/>
  <c r="H31" i="7" s="1"/>
  <c r="E31" i="7"/>
  <c r="D31" i="7"/>
  <c r="C31" i="7"/>
  <c r="G30" i="7"/>
  <c r="F30" i="7"/>
  <c r="H30" i="7" s="1"/>
  <c r="E30" i="7"/>
  <c r="D30" i="7"/>
  <c r="C30" i="7"/>
  <c r="G29" i="7"/>
  <c r="F29" i="7"/>
  <c r="H29" i="7" s="1"/>
  <c r="E29" i="7"/>
  <c r="D29" i="7"/>
  <c r="I29" i="7" s="1"/>
  <c r="C29" i="7"/>
  <c r="I28" i="7"/>
  <c r="G28" i="7"/>
  <c r="F28" i="7"/>
  <c r="H28" i="7" s="1"/>
  <c r="E28" i="7"/>
  <c r="D28" i="7"/>
  <c r="C28" i="7"/>
  <c r="G27" i="7"/>
  <c r="F27" i="7"/>
  <c r="H27" i="7" s="1"/>
  <c r="E27" i="7"/>
  <c r="D27" i="7"/>
  <c r="I27" i="7" s="1"/>
  <c r="C27" i="7"/>
  <c r="I26" i="7"/>
  <c r="G26" i="7"/>
  <c r="F26" i="7"/>
  <c r="H26" i="7" s="1"/>
  <c r="E26" i="7"/>
  <c r="D26" i="7"/>
  <c r="C26" i="7"/>
  <c r="G25" i="7"/>
  <c r="H25" i="7" s="1"/>
  <c r="F25" i="7"/>
  <c r="E25" i="7"/>
  <c r="D25" i="7"/>
  <c r="C25" i="7"/>
  <c r="I24" i="7"/>
  <c r="G24" i="7"/>
  <c r="F24" i="7"/>
  <c r="H24" i="7" s="1"/>
  <c r="E24" i="7"/>
  <c r="D24" i="7"/>
  <c r="C24" i="7"/>
  <c r="I23" i="7"/>
  <c r="G23" i="7"/>
  <c r="F23" i="7"/>
  <c r="H23" i="7" s="1"/>
  <c r="E23" i="7"/>
  <c r="D23" i="7"/>
  <c r="C23" i="7"/>
  <c r="H22" i="7"/>
  <c r="G22" i="7"/>
  <c r="F22" i="7"/>
  <c r="E22" i="7"/>
  <c r="D22" i="7"/>
  <c r="C22" i="7"/>
  <c r="I21" i="7"/>
  <c r="G21" i="7"/>
  <c r="F21" i="7"/>
  <c r="H21" i="7" s="1"/>
  <c r="E21" i="7"/>
  <c r="D21" i="7"/>
  <c r="C21" i="7"/>
  <c r="I20" i="7"/>
  <c r="G20" i="7"/>
  <c r="H20" i="7" s="1"/>
  <c r="F20" i="7"/>
  <c r="E20" i="7"/>
  <c r="D20" i="7"/>
  <c r="C20" i="7"/>
  <c r="G19" i="7"/>
  <c r="F19" i="7"/>
  <c r="H19" i="7" s="1"/>
  <c r="E19" i="7"/>
  <c r="D19" i="7"/>
  <c r="C19" i="7"/>
  <c r="I18" i="7"/>
  <c r="G18" i="7"/>
  <c r="G53" i="7" s="1"/>
  <c r="F18" i="7"/>
  <c r="E18" i="7"/>
  <c r="D18" i="7"/>
  <c r="C18" i="7"/>
  <c r="I17" i="7"/>
  <c r="H17" i="7"/>
  <c r="G17" i="7"/>
  <c r="F17" i="7"/>
  <c r="E17" i="7"/>
  <c r="D17" i="7"/>
  <c r="C17" i="7"/>
  <c r="G16" i="7"/>
  <c r="F16" i="7"/>
  <c r="H16" i="7" s="1"/>
  <c r="E16" i="7"/>
  <c r="D16" i="7"/>
  <c r="C16" i="7"/>
  <c r="I15" i="7"/>
  <c r="J15" i="7" s="1"/>
  <c r="H15" i="7"/>
  <c r="G15" i="7"/>
  <c r="F15" i="7"/>
  <c r="E15" i="7"/>
  <c r="D15" i="7"/>
  <c r="C15" i="7"/>
  <c r="I14" i="7"/>
  <c r="G14" i="7"/>
  <c r="F14" i="7"/>
  <c r="H14" i="7" s="1"/>
  <c r="E14" i="7"/>
  <c r="D14" i="7"/>
  <c r="C14" i="7"/>
  <c r="G13" i="7"/>
  <c r="F13" i="7"/>
  <c r="H13" i="7" s="1"/>
  <c r="E13" i="7"/>
  <c r="D13" i="7"/>
  <c r="C13" i="7"/>
  <c r="I12" i="7"/>
  <c r="G12" i="7"/>
  <c r="F12" i="7"/>
  <c r="H12" i="7" s="1"/>
  <c r="E12" i="7"/>
  <c r="D12" i="7"/>
  <c r="C12" i="7"/>
  <c r="G11" i="7"/>
  <c r="F11" i="7"/>
  <c r="H11" i="7" s="1"/>
  <c r="E11" i="7"/>
  <c r="D11" i="7"/>
  <c r="C11" i="7"/>
  <c r="I11" i="7" s="1"/>
  <c r="G10" i="7"/>
  <c r="F10" i="7"/>
  <c r="H10" i="7" s="1"/>
  <c r="E10" i="7"/>
  <c r="D10" i="7"/>
  <c r="C10" i="7"/>
  <c r="G9" i="7"/>
  <c r="F9" i="7"/>
  <c r="H9" i="7" s="1"/>
  <c r="E9" i="7"/>
  <c r="D9" i="7"/>
  <c r="C9" i="7"/>
  <c r="I9" i="7" s="1"/>
  <c r="G8" i="7"/>
  <c r="F8" i="7"/>
  <c r="H8" i="7" s="1"/>
  <c r="E8" i="7"/>
  <c r="D8" i="7"/>
  <c r="C8" i="7"/>
  <c r="G7" i="7"/>
  <c r="F7" i="7"/>
  <c r="H7" i="7" s="1"/>
  <c r="E7" i="7"/>
  <c r="D7" i="7"/>
  <c r="C7" i="7"/>
  <c r="G6" i="7"/>
  <c r="F6" i="7"/>
  <c r="H6" i="7" s="1"/>
  <c r="E6" i="7"/>
  <c r="D6" i="7"/>
  <c r="C6" i="7"/>
  <c r="G5" i="7"/>
  <c r="F5" i="7"/>
  <c r="H5" i="7" s="1"/>
  <c r="E5" i="7"/>
  <c r="E53" i="7" s="1"/>
  <c r="F7" i="8" s="1"/>
  <c r="D5" i="7"/>
  <c r="D53" i="7" s="1"/>
  <c r="C5" i="7"/>
  <c r="J9" i="7" l="1"/>
  <c r="K9" i="7"/>
  <c r="M9" i="7" s="1"/>
  <c r="J31" i="7"/>
  <c r="K31" i="7" s="1"/>
  <c r="M31" i="7" s="1"/>
  <c r="L21" i="7"/>
  <c r="J11" i="7"/>
  <c r="K11" i="7"/>
  <c r="M11" i="7" s="1"/>
  <c r="J40" i="7"/>
  <c r="K12" i="7"/>
  <c r="M12" i="7" s="1"/>
  <c r="J23" i="7"/>
  <c r="L23" i="7" s="1"/>
  <c r="K47" i="7"/>
  <c r="M47" i="7" s="1"/>
  <c r="K30" i="7"/>
  <c r="L30" i="7" s="1"/>
  <c r="M24" i="7"/>
  <c r="J43" i="7"/>
  <c r="K43" i="7" s="1"/>
  <c r="J24" i="7"/>
  <c r="L26" i="7"/>
  <c r="J34" i="7"/>
  <c r="H53" i="7"/>
  <c r="J6" i="7"/>
  <c r="J28" i="7"/>
  <c r="K35" i="7"/>
  <c r="M35" i="7" s="1"/>
  <c r="J29" i="7"/>
  <c r="L29" i="7" s="1"/>
  <c r="K29" i="7"/>
  <c r="M29" i="7"/>
  <c r="L42" i="7"/>
  <c r="J8" i="7"/>
  <c r="L14" i="7"/>
  <c r="L32" i="7"/>
  <c r="L20" i="7"/>
  <c r="J27" i="7"/>
  <c r="J41" i="7"/>
  <c r="K41" i="7" s="1"/>
  <c r="J14" i="7"/>
  <c r="J46" i="7"/>
  <c r="L46" i="7" s="1"/>
  <c r="K14" i="7"/>
  <c r="M14" i="7" s="1"/>
  <c r="J17" i="7"/>
  <c r="L17" i="7" s="1"/>
  <c r="K46" i="7"/>
  <c r="M46" i="7" s="1"/>
  <c r="J49" i="7"/>
  <c r="L49" i="7" s="1"/>
  <c r="K17" i="7"/>
  <c r="M17" i="7" s="1"/>
  <c r="K49" i="7"/>
  <c r="M49" i="7" s="1"/>
  <c r="J52" i="7"/>
  <c r="L52" i="7" s="1"/>
  <c r="K20" i="7"/>
  <c r="M20" i="7" s="1"/>
  <c r="K52" i="7"/>
  <c r="M52" i="7" s="1"/>
  <c r="K23" i="7"/>
  <c r="M23" i="7" s="1"/>
  <c r="J26" i="7"/>
  <c r="I32" i="7"/>
  <c r="J20" i="7"/>
  <c r="K26" i="7"/>
  <c r="M26" i="7" s="1"/>
  <c r="J32" i="7"/>
  <c r="I35" i="7"/>
  <c r="C53" i="7"/>
  <c r="I6" i="7"/>
  <c r="K32" i="7"/>
  <c r="M32" i="7" s="1"/>
  <c r="J35" i="7"/>
  <c r="I38" i="7"/>
  <c r="F53" i="7"/>
  <c r="H18" i="7"/>
  <c r="J21" i="7"/>
  <c r="K21" i="7"/>
  <c r="M21" i="7" s="1"/>
  <c r="K24" i="7"/>
  <c r="I30" i="7"/>
  <c r="L24" i="7"/>
  <c r="J30" i="7"/>
  <c r="I33" i="7"/>
  <c r="J33" i="7" s="1"/>
  <c r="I7" i="7"/>
  <c r="K7" i="7" s="1"/>
  <c r="M7" i="7" s="1"/>
  <c r="J36" i="7"/>
  <c r="L36" i="7" s="1"/>
  <c r="I39" i="7"/>
  <c r="J39" i="7" s="1"/>
  <c r="J7" i="7"/>
  <c r="I10" i="7"/>
  <c r="K36" i="7"/>
  <c r="M36" i="7" s="1"/>
  <c r="I42" i="7"/>
  <c r="I13" i="7"/>
  <c r="L13" i="7" s="1"/>
  <c r="J42" i="7"/>
  <c r="I45" i="7"/>
  <c r="L45" i="7" s="1"/>
  <c r="J13" i="7"/>
  <c r="I16" i="7"/>
  <c r="J16" i="7" s="1"/>
  <c r="K42" i="7"/>
  <c r="M42" i="7" s="1"/>
  <c r="J45" i="7"/>
  <c r="I48" i="7"/>
  <c r="J12" i="7"/>
  <c r="K44" i="7"/>
  <c r="M44" i="7" s="1"/>
  <c r="J47" i="7"/>
  <c r="K15" i="7"/>
  <c r="M15" i="7" s="1"/>
  <c r="J18" i="7"/>
  <c r="J50" i="7"/>
  <c r="L50" i="7" s="1"/>
  <c r="K50" i="7"/>
  <c r="M50" i="7" s="1"/>
  <c r="K13" i="7"/>
  <c r="M13" i="7" s="1"/>
  <c r="I19" i="7"/>
  <c r="K45" i="7"/>
  <c r="M45" i="7" s="1"/>
  <c r="J48" i="7"/>
  <c r="K48" i="7" s="1"/>
  <c r="M48" i="7" s="1"/>
  <c r="I51" i="7"/>
  <c r="J19" i="7"/>
  <c r="I22" i="7"/>
  <c r="I5" i="7"/>
  <c r="I37" i="7"/>
  <c r="J44" i="7"/>
  <c r="L44" i="7" s="1"/>
  <c r="I25" i="7"/>
  <c r="J25" i="7" s="1"/>
  <c r="J5" i="7"/>
  <c r="I8" i="7"/>
  <c r="J37" i="7"/>
  <c r="K37" i="7" s="1"/>
  <c r="M37" i="7" s="1"/>
  <c r="I40" i="7"/>
  <c r="M41" i="7" l="1"/>
  <c r="L41" i="7"/>
  <c r="M43" i="7"/>
  <c r="L43" i="7"/>
  <c r="K33" i="7"/>
  <c r="M33" i="7" s="1"/>
  <c r="K16" i="7"/>
  <c r="M16" i="7" s="1"/>
  <c r="L16" i="7"/>
  <c r="K25" i="7"/>
  <c r="M25" i="7" s="1"/>
  <c r="L25" i="7"/>
  <c r="K10" i="7"/>
  <c r="M10" i="7" s="1"/>
  <c r="K18" i="7"/>
  <c r="M18" i="7" s="1"/>
  <c r="L15" i="7"/>
  <c r="K34" i="7"/>
  <c r="M34" i="7" s="1"/>
  <c r="K28" i="7"/>
  <c r="M28" i="7" s="1"/>
  <c r="J22" i="7"/>
  <c r="L31" i="7"/>
  <c r="K39" i="7"/>
  <c r="M39" i="7" s="1"/>
  <c r="M30" i="7"/>
  <c r="L39" i="7"/>
  <c r="L10" i="7"/>
  <c r="L48" i="7"/>
  <c r="L11" i="7"/>
  <c r="L12" i="7"/>
  <c r="J51" i="7"/>
  <c r="K51" i="7" s="1"/>
  <c r="M51" i="7" s="1"/>
  <c r="K40" i="7"/>
  <c r="M40" i="7" s="1"/>
  <c r="B9" i="8"/>
  <c r="C29" i="1"/>
  <c r="I53" i="7"/>
  <c r="J10" i="7"/>
  <c r="J38" i="7"/>
  <c r="L7" i="7"/>
  <c r="L47" i="7"/>
  <c r="K8" i="7"/>
  <c r="M8" i="7" s="1"/>
  <c r="L9" i="7"/>
  <c r="K5" i="7"/>
  <c r="L5" i="7" s="1"/>
  <c r="K6" i="7"/>
  <c r="M6" i="7" s="1"/>
  <c r="L6" i="7"/>
  <c r="K27" i="7"/>
  <c r="M27" i="7" s="1"/>
  <c r="L37" i="7"/>
  <c r="L35" i="7"/>
  <c r="K19" i="7"/>
  <c r="M19" i="7" s="1"/>
  <c r="L8" i="7" l="1"/>
  <c r="K22" i="7"/>
  <c r="M22" i="7" s="1"/>
  <c r="M5" i="7"/>
  <c r="J53" i="7"/>
  <c r="L19" i="7"/>
  <c r="L51" i="7"/>
  <c r="C30" i="1"/>
  <c r="C5" i="8"/>
  <c r="B5" i="8"/>
  <c r="K38" i="7"/>
  <c r="M38" i="7" s="1"/>
  <c r="L18" i="7"/>
  <c r="L27" i="7"/>
  <c r="L34" i="7"/>
  <c r="L33" i="7"/>
  <c r="L28" i="7"/>
  <c r="L40" i="7"/>
  <c r="M53" i="7" l="1"/>
  <c r="C31" i="1"/>
  <c r="C6" i="8"/>
  <c r="B6" i="8"/>
  <c r="K53" i="7"/>
  <c r="L22" i="7"/>
  <c r="L53" i="7" s="1"/>
  <c r="L38" i="7"/>
  <c r="C8" i="8" l="1"/>
  <c r="B8" i="8"/>
  <c r="C33" i="1"/>
  <c r="C7" i="8"/>
  <c r="B7" i="8"/>
  <c r="C32" i="1"/>
  <c r="G5" i="8"/>
  <c r="C35" i="1"/>
  <c r="F5" i="8"/>
  <c r="C34" i="1"/>
  <c r="G6" i="8"/>
  <c r="F6" i="8"/>
  <c r="C36" i="1"/>
</calcChain>
</file>

<file path=xl/sharedStrings.xml><?xml version="1.0" encoding="utf-8"?>
<sst xmlns="http://schemas.openxmlformats.org/spreadsheetml/2006/main" count="3557" uniqueCount="1192">
  <si>
    <t>TR5 — Where does the PV energy go?</t>
  </si>
  <si>
    <t>Prosumers vs. pure customers — every kWh traced from the raw model inputs</t>
  </si>
  <si>
    <t>Purpose</t>
  </si>
  <si>
    <t>This workbook accounts for every kWh of PV generated on transformer TR5 over one representative day, and it is fully auditable: nothing is hand-typed except the raw model outputs. Follow the data chain below — each step is a live formula, so changing any raw number updates everything.</t>
  </si>
  <si>
    <t>The data chain (how each number is built)</t>
  </si>
  <si>
    <t>Sheet 3 · Raw PV per load</t>
  </si>
  <si>
    <t>The PV profile of every connection, 48 half-hours. Copied verbatim from TR5_load_PV_48periods.xlsx (sheet PV_generation_kW). Customers = 0.</t>
  </si>
  <si>
    <t>Sheet 4 · Raw load per load</t>
  </si>
  <si>
    <t>The load profile of every connection, 48 half-hours, tagged prosumer / customer. Copied from TR5_load_PV_48periods.xlsx (sheet Load_P_kW).</t>
  </si>
  <si>
    <t>Sheet 5 · Raw batt charge</t>
  </si>
  <si>
    <t>Charging power of every battery, 48 half-hours. Copied from the rolling dispatch TR5_analysis_data.xlsx (sheet Charge_kW).</t>
  </si>
  <si>
    <t>Sheet 6 · Raw batt discharge</t>
  </si>
  <si>
    <t>Discharging power of every battery. Copied from the same run (Discharge_kW).</t>
  </si>
  <si>
    <t>Sheet 7 · PV allocation</t>
  </si>
  <si>
    <t>Per half-hour: the five blue inputs are AGGREGATED from sheets 3–6 by SUM / SUMIF; the amber columns then split the PV by the priority rule.</t>
  </si>
  <si>
    <t>Sheets 1 &amp; 8 · Results</t>
  </si>
  <si>
    <t>Daily totals (Σ×0.5 h) and shares. Every headline cell links to sheet 7.</t>
  </si>
  <si>
    <t>The aggregation formulas (sheet 7, per half-hour)</t>
  </si>
  <si>
    <t>PV (all)</t>
  </si>
  <si>
    <t>prosumer load</t>
  </si>
  <si>
    <t>customer load</t>
  </si>
  <si>
    <t>battery charge</t>
  </si>
  <si>
    <t>battery discharge</t>
  </si>
  <si>
    <t>Headline results (all linked live to sheet 7)</t>
  </si>
  <si>
    <t>Quantity</t>
  </si>
  <si>
    <t>Value</t>
  </si>
  <si>
    <t>Unit</t>
  </si>
  <si>
    <t>Prosumers (PV + battery)</t>
  </si>
  <si>
    <t>connections</t>
  </si>
  <si>
    <t>Pure customers (load only)</t>
  </si>
  <si>
    <t>PV generated</t>
  </si>
  <si>
    <t>kWh/day</t>
  </si>
  <si>
    <t>PV → prosumers' own load (direct)</t>
  </si>
  <si>
    <t>PV → battery storage</t>
  </si>
  <si>
    <t>PV → customers</t>
  </si>
  <si>
    <t>PV → export to grid</t>
  </si>
  <si>
    <t>PV share reaching customers</t>
  </si>
  <si>
    <t>% of PV</t>
  </si>
  <si>
    <t>Customer load covered by PV</t>
  </si>
  <si>
    <t>% of customer load</t>
  </si>
  <si>
    <t>Customer load covered by grid</t>
  </si>
  <si>
    <t>Colour key &amp; provenance</t>
  </si>
  <si>
    <t>• LIGHT-BLUE cell = data belonging to a prosumer (its rooftop PV, load, or battery).  WHITE = a pure customer (load only).  On sheet 7:  VIOLET = value aggregated live from the raw sheets (SUM/SUMIF);  AMBER = allocation formula;  GREEN = daily total (Σ × 0.5 h).</t>
  </si>
  <si>
    <t>• Per-load PV &amp; load profiles:  results/tables/TR5_load_PV_48periods.xlsx  (built from OpData.xls).</t>
  </si>
  <si>
    <t>• Per-battery charge/discharge:  TR5_analysis/01_DAILY_ROLLING_DISPATCH/TR5_analysis_data.xlsx (exact-QCP rolling dispatch, RunFOR_Rolling, CPLEX).</t>
  </si>
  <si>
    <t>• Load classification (PV size &gt; 0 = prosumer):  sheet 'Customers' of the load/PV workbook.</t>
  </si>
  <si>
    <t>• Method note: priority energy allocation per half-hour; downstream network + battery round-trip losses (~3–4% of PV) are not separated out in the per-period disposition.</t>
  </si>
  <si>
    <t>TR5 load classification — 417 connections</t>
  </si>
  <si>
    <t>214 prosumers (PV + battery)  ·  203 pure customers (load only)</t>
  </si>
  <si>
    <t>ID</t>
  </si>
  <si>
    <t>Load name</t>
  </si>
  <si>
    <t>Bus</t>
  </si>
  <si>
    <t>Phase</t>
  </si>
  <si>
    <t>PV size (kW)</t>
  </si>
  <si>
    <t>Type</t>
  </si>
  <si>
    <t>Load_TR5_F1_11</t>
  </si>
  <si>
    <t>TR5_one223</t>
  </si>
  <si>
    <t>customer</t>
  </si>
  <si>
    <t>Load_TR5_F1_11_dup</t>
  </si>
  <si>
    <t>TR5_one223_dup</t>
  </si>
  <si>
    <t>Load_TR5_F1_13</t>
  </si>
  <si>
    <t>TR5_one242</t>
  </si>
  <si>
    <t>Load_TR5_F1_15</t>
  </si>
  <si>
    <t>TR5_one260</t>
  </si>
  <si>
    <t>Load_TR5_F1_16_dup</t>
  </si>
  <si>
    <t>TR5_one280_dup</t>
  </si>
  <si>
    <t>Load_TR5_F1_17_dup</t>
  </si>
  <si>
    <t>TR5_one287_dup</t>
  </si>
  <si>
    <t>Load_TR5_F1_1_dup</t>
  </si>
  <si>
    <t>TR5_one38_dup</t>
  </si>
  <si>
    <t>Load_TR5_F1_20_dup</t>
  </si>
  <si>
    <t>TR5_one320_dup</t>
  </si>
  <si>
    <t>Load_TR5_F1_21_dup</t>
  </si>
  <si>
    <t>TR5_one321_dup</t>
  </si>
  <si>
    <t>Load_TR5_F1_22_dup</t>
  </si>
  <si>
    <t>TR5_one328_dup</t>
  </si>
  <si>
    <t>Load_TR5_F1_23</t>
  </si>
  <si>
    <t>TR5_one345</t>
  </si>
  <si>
    <t>Load_TR5_F1_24_dup</t>
  </si>
  <si>
    <t>TR5_one346_dup</t>
  </si>
  <si>
    <t>Load_TR5_F1_25</t>
  </si>
  <si>
    <t>TR5_one363</t>
  </si>
  <si>
    <t>Load_TR5_F1_25_dup</t>
  </si>
  <si>
    <t>TR5_one363_dup</t>
  </si>
  <si>
    <t>Load_TR5_F1_26</t>
  </si>
  <si>
    <t>TR5_one366</t>
  </si>
  <si>
    <t>Load_TR5_F1_27</t>
  </si>
  <si>
    <t>TR5_one371</t>
  </si>
  <si>
    <t>Load_TR5_F1_27_dup</t>
  </si>
  <si>
    <t>TR5_one371_dup</t>
  </si>
  <si>
    <t>Load_TR5_F1_2_dup</t>
  </si>
  <si>
    <t>TR5_one42_dup</t>
  </si>
  <si>
    <t>Load_TR5_F1_31</t>
  </si>
  <si>
    <t>TR5_one423</t>
  </si>
  <si>
    <t>Load_TR5_F1_32</t>
  </si>
  <si>
    <t>TR5_one446</t>
  </si>
  <si>
    <t>Load_TR5_F1_33_dup</t>
  </si>
  <si>
    <t>TR5_one469_dup</t>
  </si>
  <si>
    <t>Load_TR5_F1_36</t>
  </si>
  <si>
    <t>TR5_one482</t>
  </si>
  <si>
    <t>Load_TR5_F1_36_dup</t>
  </si>
  <si>
    <t>TR5_one482_dup</t>
  </si>
  <si>
    <t>Load_TR5_F1_37</t>
  </si>
  <si>
    <t>TR5_one521</t>
  </si>
  <si>
    <t>Load_TR5_F1_39</t>
  </si>
  <si>
    <t>TR5_one537</t>
  </si>
  <si>
    <t>Load_TR5_F1_39_dup</t>
  </si>
  <si>
    <t>TR5_one537_dup</t>
  </si>
  <si>
    <t>Load_TR5_F1_3_dup</t>
  </si>
  <si>
    <t>TR5_one50_dup</t>
  </si>
  <si>
    <t>Load_TR5_F1_4</t>
  </si>
  <si>
    <t>TR5_one61</t>
  </si>
  <si>
    <t>Load_TR5_F1_41</t>
  </si>
  <si>
    <t>TR5_one552</t>
  </si>
  <si>
    <t>Load_TR5_F1_41_dup</t>
  </si>
  <si>
    <t>TR5_one552_dup</t>
  </si>
  <si>
    <t>Load_TR5_F1_42_dup</t>
  </si>
  <si>
    <t>TR5_one559_dup</t>
  </si>
  <si>
    <t>Load_TR5_F1_43</t>
  </si>
  <si>
    <t>TR5_one560</t>
  </si>
  <si>
    <t>Load_TR5_F1_43_dup</t>
  </si>
  <si>
    <t>TR5_one560_dup</t>
  </si>
  <si>
    <t>Load_TR5_F1_44</t>
  </si>
  <si>
    <t>TR5_one570</t>
  </si>
  <si>
    <t>Load_TR5_F1_44_dup</t>
  </si>
  <si>
    <t>TR5_one570_dup</t>
  </si>
  <si>
    <t>Load_TR5_F1_45</t>
  </si>
  <si>
    <t>TR5_one585</t>
  </si>
  <si>
    <t>Load_TR5_F1_45_dup</t>
  </si>
  <si>
    <t>TR5_one585_dup</t>
  </si>
  <si>
    <t>Load_TR5_F1_48_dup</t>
  </si>
  <si>
    <t>TR5_one614_dup</t>
  </si>
  <si>
    <t>Load_TR5_F1_49</t>
  </si>
  <si>
    <t>TR5_one617</t>
  </si>
  <si>
    <t>Load_TR5_F1_6_dup</t>
  </si>
  <si>
    <t>TR5_one76_dup</t>
  </si>
  <si>
    <t>Load_TR5_F1_7_dup</t>
  </si>
  <si>
    <t>TR5_one133_dup</t>
  </si>
  <si>
    <t>Load_TR5_F1_8_dup</t>
  </si>
  <si>
    <t>TR5_one137_dup</t>
  </si>
  <si>
    <t>Load_TR5_F1_9_dup</t>
  </si>
  <si>
    <t>TR5_one176_dup</t>
  </si>
  <si>
    <t>Load_TR5_F4_1</t>
  </si>
  <si>
    <t>TR5_four50</t>
  </si>
  <si>
    <t>Load_TR5_F4_10</t>
  </si>
  <si>
    <t>TR5_four149</t>
  </si>
  <si>
    <t>Load_TR5_F4_11</t>
  </si>
  <si>
    <t>TR5_four163</t>
  </si>
  <si>
    <t>Load_TR5_F4_13</t>
  </si>
  <si>
    <t>TR5_four174</t>
  </si>
  <si>
    <t>Load_TR5_F4_19</t>
  </si>
  <si>
    <t>TR5_four265</t>
  </si>
  <si>
    <t>Load_TR5_F4_22</t>
  </si>
  <si>
    <t>TR5_four289</t>
  </si>
  <si>
    <t>Load_TR5_F4_23</t>
  </si>
  <si>
    <t>TR5_four292</t>
  </si>
  <si>
    <t>Load_TR5_F4_25</t>
  </si>
  <si>
    <t>TR5_four317</t>
  </si>
  <si>
    <t>Load_TR5_F4_3</t>
  </si>
  <si>
    <t>TR5_four65</t>
  </si>
  <si>
    <t>Load_TR5_F4_30</t>
  </si>
  <si>
    <t>TR5_four368</t>
  </si>
  <si>
    <t>Load_TR5_F4_31</t>
  </si>
  <si>
    <t>TR5_four372</t>
  </si>
  <si>
    <t>Load_TR5_F4_33</t>
  </si>
  <si>
    <t>TR5_four384</t>
  </si>
  <si>
    <t>Load_TR5_F4_37</t>
  </si>
  <si>
    <t>TR5_four437</t>
  </si>
  <si>
    <t>Load_TR5_F4_4</t>
  </si>
  <si>
    <t>TR5_four67</t>
  </si>
  <si>
    <t>Load_TR5_F4_40</t>
  </si>
  <si>
    <t>TR5_four455</t>
  </si>
  <si>
    <t>Load_TR5_F4_41</t>
  </si>
  <si>
    <t>TR5_four459</t>
  </si>
  <si>
    <t>Load_TR5_F4_42</t>
  </si>
  <si>
    <t>TR5_four466</t>
  </si>
  <si>
    <t>Load_TR5_F4_43</t>
  </si>
  <si>
    <t>TR5_four467</t>
  </si>
  <si>
    <t>Load_TR5_F4_44</t>
  </si>
  <si>
    <t>TR5_four480</t>
  </si>
  <si>
    <t>Load_TR5_F4_48</t>
  </si>
  <si>
    <t>TR5_four558</t>
  </si>
  <si>
    <t>Load_TR5_F4_50</t>
  </si>
  <si>
    <t>TR5_four573</t>
  </si>
  <si>
    <t>Load_TR5_F4_51</t>
  </si>
  <si>
    <t>TR5_four586</t>
  </si>
  <si>
    <t>Load_TR5_F4_52</t>
  </si>
  <si>
    <t>TR5_four590</t>
  </si>
  <si>
    <t>Load_TR5_F4_53</t>
  </si>
  <si>
    <t>TR5_four593</t>
  </si>
  <si>
    <t>Load_TR5_F4_54</t>
  </si>
  <si>
    <t>TR5_four604</t>
  </si>
  <si>
    <t>Load_TR5_F4_56</t>
  </si>
  <si>
    <t>TR5_four664</t>
  </si>
  <si>
    <t>Load_TR5_F4_6</t>
  </si>
  <si>
    <t>TR5_four78</t>
  </si>
  <si>
    <t>Load_TR5_F4_60</t>
  </si>
  <si>
    <t>TR5_four727</t>
  </si>
  <si>
    <t>Load_TR5_F4_61</t>
  </si>
  <si>
    <t>TR5_four732</t>
  </si>
  <si>
    <t>Load_TR5_F4_65</t>
  </si>
  <si>
    <t>TR5_four818</t>
  </si>
  <si>
    <t>Load_TR5_F4_66</t>
  </si>
  <si>
    <t>TR5_four821</t>
  </si>
  <si>
    <t>Load_TR5_F4_67</t>
  </si>
  <si>
    <t>TR5_four829</t>
  </si>
  <si>
    <t>Load_TR5_F4_68</t>
  </si>
  <si>
    <t>TR5_four832</t>
  </si>
  <si>
    <t>Load_TR5_F4_7</t>
  </si>
  <si>
    <t>TR5_four98</t>
  </si>
  <si>
    <t>Load_TR5_F4_70</t>
  </si>
  <si>
    <t>TR5_four846</t>
  </si>
  <si>
    <t>Load_TR5_F4_71</t>
  </si>
  <si>
    <t>TR5_four853</t>
  </si>
  <si>
    <t>Load_TR5_F4_74</t>
  </si>
  <si>
    <t>TR5_four936</t>
  </si>
  <si>
    <t>Load_TR5_F4_75</t>
  </si>
  <si>
    <t>TR5_four950</t>
  </si>
  <si>
    <t>Load_TR5_F4_76</t>
  </si>
  <si>
    <t>TR5_four957</t>
  </si>
  <si>
    <t>Load_TR5_F4_78</t>
  </si>
  <si>
    <t>TR5_four963</t>
  </si>
  <si>
    <t>Load_TR5_F4_79</t>
  </si>
  <si>
    <t>TR5_four978</t>
  </si>
  <si>
    <t>Load_TR5_F4_8</t>
  </si>
  <si>
    <t>TR5_four104</t>
  </si>
  <si>
    <t>Load_TR5_F4_80</t>
  </si>
  <si>
    <t>TR5_four988</t>
  </si>
  <si>
    <t>Load_TR5_F4_81</t>
  </si>
  <si>
    <t>TR5_four1013</t>
  </si>
  <si>
    <t>Load_TR5_F4_86</t>
  </si>
  <si>
    <t>TR5_four1108</t>
  </si>
  <si>
    <t>Load_TR5_F4_87</t>
  </si>
  <si>
    <t>TR5_four1123</t>
  </si>
  <si>
    <t>Load_TR5_F4_90</t>
  </si>
  <si>
    <t>TR5_four1152</t>
  </si>
  <si>
    <t>Load_TR5_F4_92</t>
  </si>
  <si>
    <t>TR5_four1193</t>
  </si>
  <si>
    <t>Load_TR5_F4_97</t>
  </si>
  <si>
    <t>TR5_four1230</t>
  </si>
  <si>
    <t>Load_TR5_F4_98</t>
  </si>
  <si>
    <t>TR5_four1241</t>
  </si>
  <si>
    <t>Load_TR5_F5_1</t>
  </si>
  <si>
    <t>TR5_five58</t>
  </si>
  <si>
    <t>Load_TR5_F5_10</t>
  </si>
  <si>
    <t>TR5_five147</t>
  </si>
  <si>
    <t>Load_TR5_F5_13_dup</t>
  </si>
  <si>
    <t>TR5_five168_dup</t>
  </si>
  <si>
    <t>Load_TR5_F5_14_dup</t>
  </si>
  <si>
    <t>TR5_five170_dup</t>
  </si>
  <si>
    <t>Load_TR5_F5_15_dup</t>
  </si>
  <si>
    <t>TR5_five177_dup</t>
  </si>
  <si>
    <t>Load_TR5_F5_16</t>
  </si>
  <si>
    <t>TR5_five186</t>
  </si>
  <si>
    <t>Load_TR5_F5_16_dup</t>
  </si>
  <si>
    <t>TR5_five186_dup</t>
  </si>
  <si>
    <t>Load_TR5_F5_18</t>
  </si>
  <si>
    <t>TR5_five199</t>
  </si>
  <si>
    <t>Load_TR5_F5_18_dup</t>
  </si>
  <si>
    <t>TR5_five199_dup</t>
  </si>
  <si>
    <t>Load_TR5_F5_2</t>
  </si>
  <si>
    <t>TR5_five67</t>
  </si>
  <si>
    <t>Load_TR5_F5_20</t>
  </si>
  <si>
    <t>TR5_five223</t>
  </si>
  <si>
    <t>Load_TR5_F5_21</t>
  </si>
  <si>
    <t>TR5_five242</t>
  </si>
  <si>
    <t>Load_TR5_F5_22</t>
  </si>
  <si>
    <t>TR5_five243</t>
  </si>
  <si>
    <t>Load_TR5_F5_24_dup</t>
  </si>
  <si>
    <t>TR5_five285_dup</t>
  </si>
  <si>
    <t>Load_TR5_F5_25</t>
  </si>
  <si>
    <t>TR5_five303</t>
  </si>
  <si>
    <t>Load_TR5_F5_25_dup</t>
  </si>
  <si>
    <t>TR5_five303_dup</t>
  </si>
  <si>
    <t>Load_TR5_F5_26_dup</t>
  </si>
  <si>
    <t>TR5_five309_dup</t>
  </si>
  <si>
    <t>Load_TR5_F5_27_dup</t>
  </si>
  <si>
    <t>TR5_five324_dup</t>
  </si>
  <si>
    <t>Load_TR5_F5_28_dup</t>
  </si>
  <si>
    <t>TR5_five345_dup</t>
  </si>
  <si>
    <t>Load_TR5_F5_29_dup</t>
  </si>
  <si>
    <t>TR5_five355_dup</t>
  </si>
  <si>
    <t>Load_TR5_F5_2_dup</t>
  </si>
  <si>
    <t>TR5_five67_dup</t>
  </si>
  <si>
    <t>Load_TR5_F5_3</t>
  </si>
  <si>
    <t>TR5_five78</t>
  </si>
  <si>
    <t>Load_TR5_F5_30_dup</t>
  </si>
  <si>
    <t>TR5_five394_dup</t>
  </si>
  <si>
    <t>Load_TR5_F5_32</t>
  </si>
  <si>
    <t>TR5_five445</t>
  </si>
  <si>
    <t>Load_TR5_F5_32_dup</t>
  </si>
  <si>
    <t>TR5_five445_dup</t>
  </si>
  <si>
    <t>Load_TR5_F5_33</t>
  </si>
  <si>
    <t>TR5_five451</t>
  </si>
  <si>
    <t>Load_TR5_F5_33_dup</t>
  </si>
  <si>
    <t>TR5_five451_dup</t>
  </si>
  <si>
    <t>Load_TR5_F5_35_dup</t>
  </si>
  <si>
    <t>TR5_five466_dup</t>
  </si>
  <si>
    <t>Load_TR5_F5_36</t>
  </si>
  <si>
    <t>TR5_five472</t>
  </si>
  <si>
    <t>Load_TR5_F5_38</t>
  </si>
  <si>
    <t>TR5_five494</t>
  </si>
  <si>
    <t>Load_TR5_F5_39</t>
  </si>
  <si>
    <t>TR5_five499</t>
  </si>
  <si>
    <t>Load_TR5_F5_39_dup</t>
  </si>
  <si>
    <t>TR5_five499_dup</t>
  </si>
  <si>
    <t>Load_TR5_F5_4</t>
  </si>
  <si>
    <t>TR5_five92</t>
  </si>
  <si>
    <t>Load_TR5_F5_40_dup</t>
  </si>
  <si>
    <t>TR5_five512_dup</t>
  </si>
  <si>
    <t>Load_TR5_F5_41</t>
  </si>
  <si>
    <t>TR5_five513</t>
  </si>
  <si>
    <t>Load_TR5_F5_42</t>
  </si>
  <si>
    <t>TR5_five520</t>
  </si>
  <si>
    <t>Load_TR5_F5_42_dup</t>
  </si>
  <si>
    <t>TR5_five520_dup</t>
  </si>
  <si>
    <t>Load_TR5_F5_44_dup</t>
  </si>
  <si>
    <t>TR5_five540_dup</t>
  </si>
  <si>
    <t>Load_TR5_F5_45</t>
  </si>
  <si>
    <t>TR5_five545</t>
  </si>
  <si>
    <t>Load_TR5_F5_46</t>
  </si>
  <si>
    <t>TR5_five551</t>
  </si>
  <si>
    <t>Load_TR5_F5_46_dup</t>
  </si>
  <si>
    <t>TR5_five551_dup</t>
  </si>
  <si>
    <t>Load_TR5_F5_47</t>
  </si>
  <si>
    <t>TR5_five585</t>
  </si>
  <si>
    <t>Load_TR5_F5_48</t>
  </si>
  <si>
    <t>TR5_five588</t>
  </si>
  <si>
    <t>Load_TR5_F5_49</t>
  </si>
  <si>
    <t>TR5_five631</t>
  </si>
  <si>
    <t>Load_TR5_F5_49_dup</t>
  </si>
  <si>
    <t>TR5_five631_dup</t>
  </si>
  <si>
    <t>Load_TR5_F5_4_dup</t>
  </si>
  <si>
    <t>TR5_five92_dup</t>
  </si>
  <si>
    <t>Load_TR5_F5_50</t>
  </si>
  <si>
    <t>TR5_five649</t>
  </si>
  <si>
    <t>Load_TR5_F5_50_dup</t>
  </si>
  <si>
    <t>TR5_five649_dup</t>
  </si>
  <si>
    <t>Load_TR5_F5_53</t>
  </si>
  <si>
    <t>TR5_five685</t>
  </si>
  <si>
    <t>Load_TR5_F5_54</t>
  </si>
  <si>
    <t>TR5_five695</t>
  </si>
  <si>
    <t>Load_TR5_F5_55</t>
  </si>
  <si>
    <t>TR5_five704</t>
  </si>
  <si>
    <t>Load_TR5_F5_57</t>
  </si>
  <si>
    <t>TR5_five733</t>
  </si>
  <si>
    <t>Load_TR5_F5_57_dup</t>
  </si>
  <si>
    <t>TR5_five733_dup</t>
  </si>
  <si>
    <t>Load_TR5_F5_58_dup</t>
  </si>
  <si>
    <t>TR5_five735_dup</t>
  </si>
  <si>
    <t>Load_TR5_F5_59</t>
  </si>
  <si>
    <t>TR5_five748</t>
  </si>
  <si>
    <t>Load_TR5_F5_6</t>
  </si>
  <si>
    <t>TR5_five117</t>
  </si>
  <si>
    <t>Load_TR5_F5_61</t>
  </si>
  <si>
    <t>TR5_five778</t>
  </si>
  <si>
    <t>Load_TR5_F5_63</t>
  </si>
  <si>
    <t>TR5_five799</t>
  </si>
  <si>
    <t>Load_TR5_F5_64</t>
  </si>
  <si>
    <t>TR5_five801</t>
  </si>
  <si>
    <t>Load_TR5_F5_65</t>
  </si>
  <si>
    <t>TR5_five809</t>
  </si>
  <si>
    <t>Load_TR5_F5_65_dup</t>
  </si>
  <si>
    <t>TR5_five809_dup</t>
  </si>
  <si>
    <t>Load_TR5_F5_66</t>
  </si>
  <si>
    <t>TR5_five831</t>
  </si>
  <si>
    <t>Load_TR5_F5_66_dup</t>
  </si>
  <si>
    <t>TR5_five831_dup</t>
  </si>
  <si>
    <t>Load_TR5_F5_67</t>
  </si>
  <si>
    <t>TR5_five881</t>
  </si>
  <si>
    <t>Load_TR5_F5_67_dup</t>
  </si>
  <si>
    <t>TR5_five881_dup</t>
  </si>
  <si>
    <t>Load_TR5_F5_68</t>
  </si>
  <si>
    <t>TR5_five905</t>
  </si>
  <si>
    <t>Load_TR5_F5_68_dup</t>
  </si>
  <si>
    <t>TR5_five905_dup</t>
  </si>
  <si>
    <t>Load_TR5_F5_7_dup</t>
  </si>
  <si>
    <t>TR5_five118_dup</t>
  </si>
  <si>
    <t>Load_TR5_F5_8</t>
  </si>
  <si>
    <t>TR5_five123</t>
  </si>
  <si>
    <t>Load_TR5_F5_8_dup</t>
  </si>
  <si>
    <t>TR5_five123_dup</t>
  </si>
  <si>
    <t>Load_TR5_F5_9</t>
  </si>
  <si>
    <t>TR5_five129</t>
  </si>
  <si>
    <t>Load_TR5_F5_9_dup</t>
  </si>
  <si>
    <t>TR5_five129_dup</t>
  </si>
  <si>
    <t>Load_TR5_F6_10</t>
  </si>
  <si>
    <t>TR5_six154</t>
  </si>
  <si>
    <t>Load_TR5_F6_13</t>
  </si>
  <si>
    <t>TR5_six191</t>
  </si>
  <si>
    <t>Load_TR5_F6_15</t>
  </si>
  <si>
    <t>TR5_six232</t>
  </si>
  <si>
    <t>Load_TR5_F6_19</t>
  </si>
  <si>
    <t>TR5_six269</t>
  </si>
  <si>
    <t>Load_TR5_F6_20</t>
  </si>
  <si>
    <t>TR5_six289</t>
  </si>
  <si>
    <t>Load_TR5_F6_23</t>
  </si>
  <si>
    <t>TR5_six329</t>
  </si>
  <si>
    <t>Load_TR5_F6_25</t>
  </si>
  <si>
    <t>TR5_six349</t>
  </si>
  <si>
    <t>Load_TR5_F6_27</t>
  </si>
  <si>
    <t>TR5_six362</t>
  </si>
  <si>
    <t>Load_TR5_F6_28</t>
  </si>
  <si>
    <t>TR5_six365</t>
  </si>
  <si>
    <t>Load_TR5_F6_29</t>
  </si>
  <si>
    <t>TR5_six378</t>
  </si>
  <si>
    <t>Load_TR5_F6_33</t>
  </si>
  <si>
    <t>TR5_six410</t>
  </si>
  <si>
    <t>Load_TR5_F6_36</t>
  </si>
  <si>
    <t>TR5_six484</t>
  </si>
  <si>
    <t>Load_TR5_F6_37</t>
  </si>
  <si>
    <t>TR5_six501</t>
  </si>
  <si>
    <t>Load_TR5_F6_4</t>
  </si>
  <si>
    <t>TR5_six82</t>
  </si>
  <si>
    <t>Load_TR5_F6_42</t>
  </si>
  <si>
    <t>TR5_six571</t>
  </si>
  <si>
    <t>Load_TR5_F6_43</t>
  </si>
  <si>
    <t>TR5_six583</t>
  </si>
  <si>
    <t>Load_TR5_F6_46</t>
  </si>
  <si>
    <t>TR5_six625</t>
  </si>
  <si>
    <t>Load_TR5_F6_50</t>
  </si>
  <si>
    <t>TR5_six652</t>
  </si>
  <si>
    <t>Load_TR5_F6_52</t>
  </si>
  <si>
    <t>TR5_six667</t>
  </si>
  <si>
    <t>Load_TR5_F6_53</t>
  </si>
  <si>
    <t>TR5_six699</t>
  </si>
  <si>
    <t>Load_TR5_F6_58</t>
  </si>
  <si>
    <t>TR5_six758</t>
  </si>
  <si>
    <t>Load_TR5_F6_59</t>
  </si>
  <si>
    <t>TR5_six784</t>
  </si>
  <si>
    <t>Load_TR5_F6_6</t>
  </si>
  <si>
    <t>TR5_six90</t>
  </si>
  <si>
    <t>Load_TR5_F6_61</t>
  </si>
  <si>
    <t>TR5_six801</t>
  </si>
  <si>
    <t>Load_TR5_F6_63</t>
  </si>
  <si>
    <t>TR5_six844</t>
  </si>
  <si>
    <t>Load_TR5_F6_66</t>
  </si>
  <si>
    <t>TR5_six869</t>
  </si>
  <si>
    <t>Load_TR5_F6_68</t>
  </si>
  <si>
    <t>TR5_six894</t>
  </si>
  <si>
    <t>Load_TR5_F6_7</t>
  </si>
  <si>
    <t>TR5_six105</t>
  </si>
  <si>
    <t>Load_TR5_F6_70</t>
  </si>
  <si>
    <t>TR5_six914</t>
  </si>
  <si>
    <t>Load_TR5_F6_73</t>
  </si>
  <si>
    <t>TR5_six938</t>
  </si>
  <si>
    <t>Load_TR5_F6_74</t>
  </si>
  <si>
    <t>TR5_six945</t>
  </si>
  <si>
    <t>Load_TR5_F6_77</t>
  </si>
  <si>
    <t>TR5_six974</t>
  </si>
  <si>
    <t>Load_TR5_F6_78</t>
  </si>
  <si>
    <t>TR5_six979</t>
  </si>
  <si>
    <t>Load_TR5_F6_79</t>
  </si>
  <si>
    <t>TR5_six990</t>
  </si>
  <si>
    <t>Load_TR5_F6_81</t>
  </si>
  <si>
    <t>TR5_six1020</t>
  </si>
  <si>
    <t>Load_TR5_F6_82</t>
  </si>
  <si>
    <t>TR5_six1025</t>
  </si>
  <si>
    <t>Load_TR5_F6_83</t>
  </si>
  <si>
    <t>TR5_six1064</t>
  </si>
  <si>
    <t>Load_TR5_F6_9</t>
  </si>
  <si>
    <t>TR5_six128</t>
  </si>
  <si>
    <t>Load_TR5_F1_1</t>
  </si>
  <si>
    <t>TR5_one38</t>
  </si>
  <si>
    <t>prosumer</t>
  </si>
  <si>
    <t>Load_TR5_F1_10</t>
  </si>
  <si>
    <t>TR5_one195</t>
  </si>
  <si>
    <t>Load_TR5_F1_10_dup</t>
  </si>
  <si>
    <t>TR5_one195_dup</t>
  </si>
  <si>
    <t>Load_TR5_F1_12</t>
  </si>
  <si>
    <t>TR5_one235</t>
  </si>
  <si>
    <t>Load_TR5_F1_12_dup</t>
  </si>
  <si>
    <t>TR5_one235_dup</t>
  </si>
  <si>
    <t>Load_TR5_F1_13_dup</t>
  </si>
  <si>
    <t>TR5_one242_dup</t>
  </si>
  <si>
    <t>Load_TR5_F1_14</t>
  </si>
  <si>
    <t>TR5_one252</t>
  </si>
  <si>
    <t>Load_TR5_F1_14_dup</t>
  </si>
  <si>
    <t>TR5_one252_dup</t>
  </si>
  <si>
    <t>Load_TR5_F1_15_dup</t>
  </si>
  <si>
    <t>TR5_one260_dup</t>
  </si>
  <si>
    <t>Load_TR5_F1_16</t>
  </si>
  <si>
    <t>TR5_one280</t>
  </si>
  <si>
    <t>Load_TR5_F1_17</t>
  </si>
  <si>
    <t>TR5_one287</t>
  </si>
  <si>
    <t>Load_TR5_F1_18</t>
  </si>
  <si>
    <t>TR5_one299</t>
  </si>
  <si>
    <t>Load_TR5_F1_18_dup</t>
  </si>
  <si>
    <t>TR5_one299_dup</t>
  </si>
  <si>
    <t>Load_TR5_F1_19</t>
  </si>
  <si>
    <t>TR5_one313</t>
  </si>
  <si>
    <t>Load_TR5_F1_19_dup</t>
  </si>
  <si>
    <t>TR5_one313_dup</t>
  </si>
  <si>
    <t>Load_TR5_F1_2</t>
  </si>
  <si>
    <t>TR5_one42</t>
  </si>
  <si>
    <t>Load_TR5_F1_20</t>
  </si>
  <si>
    <t>TR5_one320</t>
  </si>
  <si>
    <t>Load_TR5_F1_21</t>
  </si>
  <si>
    <t>TR5_one321</t>
  </si>
  <si>
    <t>Load_TR5_F1_22</t>
  </si>
  <si>
    <t>TR5_one328</t>
  </si>
  <si>
    <t>Load_TR5_F1_23_dup</t>
  </si>
  <si>
    <t>TR5_one345_dup</t>
  </si>
  <si>
    <t>Load_TR5_F1_24</t>
  </si>
  <si>
    <t>TR5_one346</t>
  </si>
  <si>
    <t>Load_TR5_F1_26_dup</t>
  </si>
  <si>
    <t>TR5_one366_dup</t>
  </si>
  <si>
    <t>Load_TR5_F1_28</t>
  </si>
  <si>
    <t>TR5_one375</t>
  </si>
  <si>
    <t>Load_TR5_F1_28_dup</t>
  </si>
  <si>
    <t>TR5_one375_dup</t>
  </si>
  <si>
    <t>Load_TR5_F1_29</t>
  </si>
  <si>
    <t>TR5_one410</t>
  </si>
  <si>
    <t>Load_TR5_F1_29_dup</t>
  </si>
  <si>
    <t>TR5_one410_dup</t>
  </si>
  <si>
    <t>Load_TR5_F1_3</t>
  </si>
  <si>
    <t>TR5_one50</t>
  </si>
  <si>
    <t>Load_TR5_F1_30</t>
  </si>
  <si>
    <t>TR5_one416</t>
  </si>
  <si>
    <t>Load_TR5_F1_30_dup</t>
  </si>
  <si>
    <t>TR5_one416_dup</t>
  </si>
  <si>
    <t>Load_TR5_F1_31_dup</t>
  </si>
  <si>
    <t>TR5_one423_dup</t>
  </si>
  <si>
    <t>Load_TR5_F1_32_dup</t>
  </si>
  <si>
    <t>TR5_one446_dup</t>
  </si>
  <si>
    <t>Load_TR5_F1_33</t>
  </si>
  <si>
    <t>TR5_one469</t>
  </si>
  <si>
    <t>Load_TR5_F1_34</t>
  </si>
  <si>
    <t>TR5_one477</t>
  </si>
  <si>
    <t>Load_TR5_F1_34_dup</t>
  </si>
  <si>
    <t>TR5_one477_dup</t>
  </si>
  <si>
    <t>Load_TR5_F1_35</t>
  </si>
  <si>
    <t>TR5_one480</t>
  </si>
  <si>
    <t>Load_TR5_F1_35_dup</t>
  </si>
  <si>
    <t>TR5_one480_dup</t>
  </si>
  <si>
    <t>Load_TR5_F1_37_dup</t>
  </si>
  <si>
    <t>TR5_one521_dup</t>
  </si>
  <si>
    <t>Load_TR5_F1_38</t>
  </si>
  <si>
    <t>TR5_one528</t>
  </si>
  <si>
    <t>Load_TR5_F1_38_dup</t>
  </si>
  <si>
    <t>TR5_one528_dup</t>
  </si>
  <si>
    <t>Load_TR5_F1_40</t>
  </si>
  <si>
    <t>TR5_one544</t>
  </si>
  <si>
    <t>Load_TR5_F1_40_dup</t>
  </si>
  <si>
    <t>TR5_one544_dup</t>
  </si>
  <si>
    <t>Load_TR5_F1_42</t>
  </si>
  <si>
    <t>TR5_one559</t>
  </si>
  <si>
    <t>Load_TR5_F1_46</t>
  </si>
  <si>
    <t>TR5_one590</t>
  </si>
  <si>
    <t>Load_TR5_F1_46_dup</t>
  </si>
  <si>
    <t>TR5_one590_dup</t>
  </si>
  <si>
    <t>Load_TR5_F1_47</t>
  </si>
  <si>
    <t>TR5_one605</t>
  </si>
  <si>
    <t>Load_TR5_F1_47_dup</t>
  </si>
  <si>
    <t>TR5_one605_dup</t>
  </si>
  <si>
    <t>Load_TR5_F1_48</t>
  </si>
  <si>
    <t>TR5_one614</t>
  </si>
  <si>
    <t>Load_TR5_F1_49_dup</t>
  </si>
  <si>
    <t>TR5_one617_dup</t>
  </si>
  <si>
    <t>Load_TR5_F1_4_dup</t>
  </si>
  <si>
    <t>TR5_one61_dup</t>
  </si>
  <si>
    <t>Load_TR5_F1_5</t>
  </si>
  <si>
    <t>TR5_one73</t>
  </si>
  <si>
    <t>Load_TR5_F1_5_dup</t>
  </si>
  <si>
    <t>TR5_one73_dup</t>
  </si>
  <si>
    <t>Load_TR5_F1_6</t>
  </si>
  <si>
    <t>TR5_one76</t>
  </si>
  <si>
    <t>Load_TR5_F1_7</t>
  </si>
  <si>
    <t>TR5_one133</t>
  </si>
  <si>
    <t>Load_TR5_F1_8</t>
  </si>
  <si>
    <t>TR5_one137</t>
  </si>
  <si>
    <t>Load_TR5_F1_9</t>
  </si>
  <si>
    <t>TR5_one176</t>
  </si>
  <si>
    <t>Load_TR5_F4_100</t>
  </si>
  <si>
    <t>TR5_four1252</t>
  </si>
  <si>
    <t>Load_TR5_F4_12</t>
  </si>
  <si>
    <t>TR5_four171</t>
  </si>
  <si>
    <t>Load_TR5_F4_14</t>
  </si>
  <si>
    <t>TR5_four180</t>
  </si>
  <si>
    <t>Load_TR5_F4_15</t>
  </si>
  <si>
    <t>TR5_four184</t>
  </si>
  <si>
    <t>Load_TR5_F4_16</t>
  </si>
  <si>
    <t>TR5_four200</t>
  </si>
  <si>
    <t>Load_TR5_F4_17</t>
  </si>
  <si>
    <t>TR5_four239</t>
  </si>
  <si>
    <t>Load_TR5_F4_18</t>
  </si>
  <si>
    <t>TR5_four259</t>
  </si>
  <si>
    <t>Load_TR5_F4_2</t>
  </si>
  <si>
    <t>TR5_four54</t>
  </si>
  <si>
    <t>Load_TR5_F4_20</t>
  </si>
  <si>
    <t>TR5_four279</t>
  </si>
  <si>
    <t>Load_TR5_F4_21</t>
  </si>
  <si>
    <t>TR5_four288</t>
  </si>
  <si>
    <t>Load_TR5_F4_24</t>
  </si>
  <si>
    <t>TR5_four301</t>
  </si>
  <si>
    <t>Load_TR5_F4_26</t>
  </si>
  <si>
    <t>TR5_four326</t>
  </si>
  <si>
    <t>Load_TR5_F4_27</t>
  </si>
  <si>
    <t>TR5_four352</t>
  </si>
  <si>
    <t>Load_TR5_F4_28</t>
  </si>
  <si>
    <t>TR5_four354</t>
  </si>
  <si>
    <t>Load_TR5_F4_29</t>
  </si>
  <si>
    <t>TR5_four358</t>
  </si>
  <si>
    <t>Load_TR5_F4_32</t>
  </si>
  <si>
    <t>TR5_four381</t>
  </si>
  <si>
    <t>Load_TR5_F4_34</t>
  </si>
  <si>
    <t>TR5_four385</t>
  </si>
  <si>
    <t>Load_TR5_F4_35</t>
  </si>
  <si>
    <t>TR5_four396</t>
  </si>
  <si>
    <t>Load_TR5_F4_36</t>
  </si>
  <si>
    <t>TR5_four423</t>
  </si>
  <si>
    <t>Load_TR5_F4_38</t>
  </si>
  <si>
    <t>TR5_four446</t>
  </si>
  <si>
    <t>Load_TR5_F4_39</t>
  </si>
  <si>
    <t>TR5_four451</t>
  </si>
  <si>
    <t>Load_TR5_F4_45</t>
  </si>
  <si>
    <t>TR5_four532</t>
  </si>
  <si>
    <t>Load_TR5_F4_46</t>
  </si>
  <si>
    <t>TR5_four548</t>
  </si>
  <si>
    <t>Load_TR5_F4_47</t>
  </si>
  <si>
    <t>TR5_four553</t>
  </si>
  <si>
    <t>Load_TR5_F4_49</t>
  </si>
  <si>
    <t>TR5_four562</t>
  </si>
  <si>
    <t>Load_TR5_F4_5</t>
  </si>
  <si>
    <t>TR5_four70</t>
  </si>
  <si>
    <t>Load_TR5_F4_55</t>
  </si>
  <si>
    <t>TR5_four659</t>
  </si>
  <si>
    <t>Load_TR5_F4_57</t>
  </si>
  <si>
    <t>TR5_four675</t>
  </si>
  <si>
    <t>Load_TR5_F4_58</t>
  </si>
  <si>
    <t>TR5_four704</t>
  </si>
  <si>
    <t>Load_TR5_F4_59</t>
  </si>
  <si>
    <t>TR5_four710</t>
  </si>
  <si>
    <t>Load_TR5_F4_62</t>
  </si>
  <si>
    <t>TR5_four734</t>
  </si>
  <si>
    <t>Load_TR5_F4_63</t>
  </si>
  <si>
    <t>TR5_four763</t>
  </si>
  <si>
    <t>Load_TR5_F4_64</t>
  </si>
  <si>
    <t>TR5_four797</t>
  </si>
  <si>
    <t>Load_TR5_F4_69</t>
  </si>
  <si>
    <t>TR5_four840</t>
  </si>
  <si>
    <t>Load_TR5_F4_72</t>
  </si>
  <si>
    <t>TR5_four854</t>
  </si>
  <si>
    <t>Load_TR5_F4_73</t>
  </si>
  <si>
    <t>TR5_four926</t>
  </si>
  <si>
    <t>Load_TR5_F4_77</t>
  </si>
  <si>
    <t>TR5_four958</t>
  </si>
  <si>
    <t>Load_TR5_F4_82</t>
  </si>
  <si>
    <t>TR5_four1027</t>
  </si>
  <si>
    <t>Load_TR5_F4_83</t>
  </si>
  <si>
    <t>TR5_four1063</t>
  </si>
  <si>
    <t>Load_TR5_F4_84</t>
  </si>
  <si>
    <t>TR5_four1091</t>
  </si>
  <si>
    <t>Load_TR5_F4_85</t>
  </si>
  <si>
    <t>TR5_four1103</t>
  </si>
  <si>
    <t>Load_TR5_F4_88</t>
  </si>
  <si>
    <t>TR5_four1132</t>
  </si>
  <si>
    <t>Load_TR5_F4_89</t>
  </si>
  <si>
    <t>TR5_four1140</t>
  </si>
  <si>
    <t>Load_TR5_F4_9</t>
  </si>
  <si>
    <t>TR5_four126</t>
  </si>
  <si>
    <t>Load_TR5_F4_91</t>
  </si>
  <si>
    <t>TR5_four1187</t>
  </si>
  <si>
    <t>Load_TR5_F4_93</t>
  </si>
  <si>
    <t>TR5_four1207</t>
  </si>
  <si>
    <t>Load_TR5_F4_94</t>
  </si>
  <si>
    <t>TR5_four1216</t>
  </si>
  <si>
    <t>Load_TR5_F4_95</t>
  </si>
  <si>
    <t>TR5_four1220</t>
  </si>
  <si>
    <t>Load_TR5_F4_96</t>
  </si>
  <si>
    <t>TR5_four1226</t>
  </si>
  <si>
    <t>Load_TR5_F4_99</t>
  </si>
  <si>
    <t>TR5_four1244</t>
  </si>
  <si>
    <t>Load_TR5_F5_10_dup</t>
  </si>
  <si>
    <t>TR5_five147_dup</t>
  </si>
  <si>
    <t>Load_TR5_F5_11</t>
  </si>
  <si>
    <t>TR5_five149</t>
  </si>
  <si>
    <t>Load_TR5_F5_11_dup</t>
  </si>
  <si>
    <t>TR5_five149_dup</t>
  </si>
  <si>
    <t>Load_TR5_F5_12</t>
  </si>
  <si>
    <t>TR5_five160</t>
  </si>
  <si>
    <t>Load_TR5_F5_12_dup</t>
  </si>
  <si>
    <t>TR5_five160_dup</t>
  </si>
  <si>
    <t>Load_TR5_F5_13</t>
  </si>
  <si>
    <t>TR5_five168</t>
  </si>
  <si>
    <t>Load_TR5_F5_14</t>
  </si>
  <si>
    <t>TR5_five170</t>
  </si>
  <si>
    <t>Load_TR5_F5_15</t>
  </si>
  <si>
    <t>TR5_five177</t>
  </si>
  <si>
    <t>Load_TR5_F5_17</t>
  </si>
  <si>
    <t>TR5_five194</t>
  </si>
  <si>
    <t>Load_TR5_F5_17_dup</t>
  </si>
  <si>
    <t>TR5_five194_dup</t>
  </si>
  <si>
    <t>Load_TR5_F5_19</t>
  </si>
  <si>
    <t>TR5_five220</t>
  </si>
  <si>
    <t>Load_TR5_F5_19_dup</t>
  </si>
  <si>
    <t>TR5_five220_dup</t>
  </si>
  <si>
    <t>Load_TR5_F5_1_dup</t>
  </si>
  <si>
    <t>TR5_five58_dup</t>
  </si>
  <si>
    <t>Load_TR5_F5_20_dup</t>
  </si>
  <si>
    <t>TR5_five223_dup</t>
  </si>
  <si>
    <t>Load_TR5_F5_21_dup</t>
  </si>
  <si>
    <t>TR5_five242_dup</t>
  </si>
  <si>
    <t>Load_TR5_F5_22_dup</t>
  </si>
  <si>
    <t>TR5_five243_dup</t>
  </si>
  <si>
    <t>Load_TR5_F5_23</t>
  </si>
  <si>
    <t>TR5_five284</t>
  </si>
  <si>
    <t>Load_TR5_F5_23_dup</t>
  </si>
  <si>
    <t>TR5_five284_dup</t>
  </si>
  <si>
    <t>Load_TR5_F5_24</t>
  </si>
  <si>
    <t>TR5_five285</t>
  </si>
  <si>
    <t>Load_TR5_F5_26</t>
  </si>
  <si>
    <t>TR5_five309</t>
  </si>
  <si>
    <t>Load_TR5_F5_27</t>
  </si>
  <si>
    <t>TR5_five324</t>
  </si>
  <si>
    <t>Load_TR5_F5_28</t>
  </si>
  <si>
    <t>TR5_five345</t>
  </si>
  <si>
    <t>Load_TR5_F5_29</t>
  </si>
  <si>
    <t>TR5_five355</t>
  </si>
  <si>
    <t>Load_TR5_F5_30</t>
  </si>
  <si>
    <t>TR5_five394</t>
  </si>
  <si>
    <t>Load_TR5_F5_31</t>
  </si>
  <si>
    <t>TR5_five421</t>
  </si>
  <si>
    <t>Load_TR5_F5_31_dup</t>
  </si>
  <si>
    <t>TR5_five421_dup</t>
  </si>
  <si>
    <t>Load_TR5_F5_34</t>
  </si>
  <si>
    <t>TR5_five457</t>
  </si>
  <si>
    <t>Load_TR5_F5_34_dup</t>
  </si>
  <si>
    <t>TR5_five457_dup</t>
  </si>
  <si>
    <t>Load_TR5_F5_35</t>
  </si>
  <si>
    <t>TR5_five466</t>
  </si>
  <si>
    <t>Load_TR5_F5_36_dup</t>
  </si>
  <si>
    <t>TR5_five472_dup</t>
  </si>
  <si>
    <t>Load_TR5_F5_37</t>
  </si>
  <si>
    <t>TR5_five488</t>
  </si>
  <si>
    <t>Load_TR5_F5_37_dup</t>
  </si>
  <si>
    <t>TR5_five488_dup</t>
  </si>
  <si>
    <t>Load_TR5_F5_38_dup</t>
  </si>
  <si>
    <t>TR5_five494_dup</t>
  </si>
  <si>
    <t>Load_TR5_F5_3_dup</t>
  </si>
  <si>
    <t>TR5_five78_dup</t>
  </si>
  <si>
    <t>Load_TR5_F5_40</t>
  </si>
  <si>
    <t>TR5_five512</t>
  </si>
  <si>
    <t>Load_TR5_F5_41_dup</t>
  </si>
  <si>
    <t>TR5_five513_dup</t>
  </si>
  <si>
    <t>Load_TR5_F5_43</t>
  </si>
  <si>
    <t>TR5_five537</t>
  </si>
  <si>
    <t>Load_TR5_F5_43_dup</t>
  </si>
  <si>
    <t>TR5_five537_dup</t>
  </si>
  <si>
    <t>Load_TR5_F5_44</t>
  </si>
  <si>
    <t>TR5_five540</t>
  </si>
  <si>
    <t>Load_TR5_F5_45_dup</t>
  </si>
  <si>
    <t>TR5_five545_dup</t>
  </si>
  <si>
    <t>Load_TR5_F5_47_dup</t>
  </si>
  <si>
    <t>TR5_five585_dup</t>
  </si>
  <si>
    <t>Load_TR5_F5_48_dup</t>
  </si>
  <si>
    <t>TR5_five588_dup</t>
  </si>
  <si>
    <t>Load_TR5_F5_5</t>
  </si>
  <si>
    <t>TR5_five108</t>
  </si>
  <si>
    <t>Load_TR5_F5_51</t>
  </si>
  <si>
    <t>TR5_five663</t>
  </si>
  <si>
    <t>Load_TR5_F5_51_dup</t>
  </si>
  <si>
    <t>TR5_five663_dup</t>
  </si>
  <si>
    <t>Load_TR5_F5_52</t>
  </si>
  <si>
    <t>TR5_five670</t>
  </si>
  <si>
    <t>Load_TR5_F5_52_dup</t>
  </si>
  <si>
    <t>TR5_five670_dup</t>
  </si>
  <si>
    <t>Load_TR5_F5_53_dup</t>
  </si>
  <si>
    <t>TR5_five685_dup</t>
  </si>
  <si>
    <t>Load_TR5_F5_54_dup</t>
  </si>
  <si>
    <t>TR5_five695_dup</t>
  </si>
  <si>
    <t>Load_TR5_F5_55_dup</t>
  </si>
  <si>
    <t>TR5_five704_dup</t>
  </si>
  <si>
    <t>Load_TR5_F5_56</t>
  </si>
  <si>
    <t>TR5_five719</t>
  </si>
  <si>
    <t>Load_TR5_F5_56_dup</t>
  </si>
  <si>
    <t>TR5_five719_dup</t>
  </si>
  <si>
    <t>Load_TR5_F5_58</t>
  </si>
  <si>
    <t>TR5_five735</t>
  </si>
  <si>
    <t>Load_TR5_F5_59_dup</t>
  </si>
  <si>
    <t>TR5_five748_dup</t>
  </si>
  <si>
    <t>Load_TR5_F5_5_dup</t>
  </si>
  <si>
    <t>TR5_five108_dup</t>
  </si>
  <si>
    <t>Load_TR5_F5_60</t>
  </si>
  <si>
    <t>TR5_five750</t>
  </si>
  <si>
    <t>Load_TR5_F5_60_dup</t>
  </si>
  <si>
    <t>TR5_five750_dup</t>
  </si>
  <si>
    <t>Load_TR5_F5_61_dup</t>
  </si>
  <si>
    <t>TR5_five778_dup</t>
  </si>
  <si>
    <t>Load_TR5_F5_62</t>
  </si>
  <si>
    <t>TR5_five793</t>
  </si>
  <si>
    <t>Load_TR5_F5_62_dup</t>
  </si>
  <si>
    <t>TR5_five793_dup</t>
  </si>
  <si>
    <t>Load_TR5_F5_63_dup</t>
  </si>
  <si>
    <t>TR5_five799_dup</t>
  </si>
  <si>
    <t>Load_TR5_F5_64_dup</t>
  </si>
  <si>
    <t>TR5_five801_dup</t>
  </si>
  <si>
    <t>Load_TR5_F5_6_dup</t>
  </si>
  <si>
    <t>TR5_five117_dup</t>
  </si>
  <si>
    <t>Load_TR5_F5_7</t>
  </si>
  <si>
    <t>TR5_five118</t>
  </si>
  <si>
    <t>Load_TR5_F6_1</t>
  </si>
  <si>
    <t>TR5_six64</t>
  </si>
  <si>
    <t>Load_TR5_F6_11</t>
  </si>
  <si>
    <t>TR5_six173</t>
  </si>
  <si>
    <t>Load_TR5_F6_12</t>
  </si>
  <si>
    <t>TR5_six186</t>
  </si>
  <si>
    <t>Load_TR5_F6_14</t>
  </si>
  <si>
    <t>TR5_six203</t>
  </si>
  <si>
    <t>Load_TR5_F6_16</t>
  </si>
  <si>
    <t>TR5_six238</t>
  </si>
  <si>
    <t>Load_TR5_F6_17</t>
  </si>
  <si>
    <t>TR5_six249</t>
  </si>
  <si>
    <t>Load_TR5_F6_18</t>
  </si>
  <si>
    <t>TR5_six254</t>
  </si>
  <si>
    <t>Load_TR5_F6_2</t>
  </si>
  <si>
    <t>TR5_six68</t>
  </si>
  <si>
    <t>Load_TR5_F6_21</t>
  </si>
  <si>
    <t>TR5_six317</t>
  </si>
  <si>
    <t>Load_TR5_F6_22</t>
  </si>
  <si>
    <t>TR5_six326</t>
  </si>
  <si>
    <t>Load_TR5_F6_24</t>
  </si>
  <si>
    <t>TR5_six342</t>
  </si>
  <si>
    <t>Load_TR5_F6_26</t>
  </si>
  <si>
    <t>TR5_six350</t>
  </si>
  <si>
    <t>Load_TR5_F6_3</t>
  </si>
  <si>
    <t>TR5_six75</t>
  </si>
  <si>
    <t>Load_TR5_F6_30</t>
  </si>
  <si>
    <t>TR5_six385</t>
  </si>
  <si>
    <t>Load_TR5_F6_31</t>
  </si>
  <si>
    <t>TR5_six387</t>
  </si>
  <si>
    <t>Load_TR5_F6_32</t>
  </si>
  <si>
    <t>TR5_six392</t>
  </si>
  <si>
    <t>Load_TR5_F6_34</t>
  </si>
  <si>
    <t>TR5_six431</t>
  </si>
  <si>
    <t>Load_TR5_F6_35</t>
  </si>
  <si>
    <t>TR5_six441</t>
  </si>
  <si>
    <t>Load_TR5_F6_38</t>
  </si>
  <si>
    <t>TR5_six512</t>
  </si>
  <si>
    <t>Load_TR5_F6_39</t>
  </si>
  <si>
    <t>TR5_six518</t>
  </si>
  <si>
    <t>Load_TR5_F6_40</t>
  </si>
  <si>
    <t>TR5_six523</t>
  </si>
  <si>
    <t>Load_TR5_F6_41</t>
  </si>
  <si>
    <t>TR5_six534</t>
  </si>
  <si>
    <t>Load_TR5_F6_44</t>
  </si>
  <si>
    <t>TR5_six591</t>
  </si>
  <si>
    <t>Load_TR5_F6_45</t>
  </si>
  <si>
    <t>TR5_six595</t>
  </si>
  <si>
    <t>Load_TR5_F6_47</t>
  </si>
  <si>
    <t>TR5_six643</t>
  </si>
  <si>
    <t>Load_TR5_F6_48</t>
  </si>
  <si>
    <t>TR5_six646</t>
  </si>
  <si>
    <t>Load_TR5_F6_49</t>
  </si>
  <si>
    <t>TR5_six651</t>
  </si>
  <si>
    <t>Load_TR5_F6_5</t>
  </si>
  <si>
    <t>TR5_six87</t>
  </si>
  <si>
    <t>Load_TR5_F6_51</t>
  </si>
  <si>
    <t>TR5_six665</t>
  </si>
  <si>
    <t>Load_TR5_F6_54</t>
  </si>
  <si>
    <t>TR5_six718</t>
  </si>
  <si>
    <t>Load_TR5_F6_55</t>
  </si>
  <si>
    <t>TR5_six721</t>
  </si>
  <si>
    <t>Load_TR5_F6_56</t>
  </si>
  <si>
    <t>TR5_six723</t>
  </si>
  <si>
    <t>Load_TR5_F6_57</t>
  </si>
  <si>
    <t>TR5_six740</t>
  </si>
  <si>
    <t>Load_TR5_F6_60</t>
  </si>
  <si>
    <t>TR5_six799</t>
  </si>
  <si>
    <t>Load_TR5_F6_62</t>
  </si>
  <si>
    <t>TR5_six807</t>
  </si>
  <si>
    <t>Load_TR5_F6_64</t>
  </si>
  <si>
    <t>TR5_six852</t>
  </si>
  <si>
    <t>Load_TR5_F6_65</t>
  </si>
  <si>
    <t>TR5_six860</t>
  </si>
  <si>
    <t>Load_TR5_F6_67</t>
  </si>
  <si>
    <t>TR5_six885</t>
  </si>
  <si>
    <t>Load_TR5_F6_69</t>
  </si>
  <si>
    <t>TR5_six909</t>
  </si>
  <si>
    <t>Load_TR5_F6_71</t>
  </si>
  <si>
    <t>TR5_six921</t>
  </si>
  <si>
    <t>Load_TR5_F6_72</t>
  </si>
  <si>
    <t>TR5_six929</t>
  </si>
  <si>
    <t>Load_TR5_F6_75</t>
  </si>
  <si>
    <t>TR5_six952</t>
  </si>
  <si>
    <t>Load_TR5_F6_76</t>
  </si>
  <si>
    <t>TR5_six967</t>
  </si>
  <si>
    <t>Load_TR5_F6_8</t>
  </si>
  <si>
    <t>TR5_six111</t>
  </si>
  <si>
    <t>Load_TR5_F6_80</t>
  </si>
  <si>
    <t>TR5_six1006</t>
  </si>
  <si>
    <t>Raw PV per load</t>
  </si>
  <si>
    <t>Verbatim copy of PV_generation_kW (TR5_load_PV_48periods.xlsx). One row per connection, 48 half-hours (kW).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</si>
  <si>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</si>
  <si>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</si>
  <si>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</si>
  <si>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</si>
  <si>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</si>
  <si>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</si>
  <si>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</si>
  <si>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</si>
  <si>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</si>
  <si>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</si>
  <si>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</si>
  <si>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</si>
  <si>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</si>
  <si>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</si>
  <si>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</si>
  <si>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</si>
  <si>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</si>
  <si>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</si>
  <si>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</si>
  <si>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</si>
  <si>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</si>
  <si>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</si>
  <si>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</si>
  <si>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</si>
  <si>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</si>
  <si>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</si>
  <si>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</si>
  <si>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</si>
  <si>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</si>
  <si>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</si>
  <si>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</si>
  <si>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</si>
  <si>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</si>
  <si>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</si>
  <si>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</si>
  <si>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</si>
  <si>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</si>
  <si>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</si>
  <si>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</si>
  <si>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</si>
  <si>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</si>
  <si>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</si>
  <si>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</si>
  <si>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</si>
  <si>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</si>
  <si>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</si>
  <si>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</si>
  <si>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</si>
  <si>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Raw load per load</t>
  </si>
  <si>
    <t>Verbatim copy of Load_P_kW (TR5_load_PV_48periods.xlsx), tagged by type. One row per connection, 48 half-hours (kW).</t>
  </si>
  <si>
    <t>Raw batt charge</t>
  </si>
  <si>
    <t>Verbatim copy of Charge_kW (TR5_analysis_data.xlsx). One row per half-hour, one column per battery (kW).</t>
  </si>
  <si>
    <t>period</t>
  </si>
  <si>
    <t>hour</t>
  </si>
  <si>
    <t>BES_TR5_one38_B</t>
  </si>
  <si>
    <t>BES_TR5_one195_C</t>
  </si>
  <si>
    <t>BES_TR5_one195_dup_C</t>
  </si>
  <si>
    <t>BES_TR5_one235_A</t>
  </si>
  <si>
    <t>BES_TR5_one235_dup_A</t>
  </si>
  <si>
    <t>BES_TR5_one242_dup_B</t>
  </si>
  <si>
    <t>BES_TR5_one252_C</t>
  </si>
  <si>
    <t>BES_TR5_one252_dup_C</t>
  </si>
  <si>
    <t>BES_TR5_one260_dup_C</t>
  </si>
  <si>
    <t>BES_TR5_one280_A</t>
  </si>
  <si>
    <t>BES_TR5_one287_B</t>
  </si>
  <si>
    <t>BES_TR5_one299_B</t>
  </si>
  <si>
    <t>BES_TR5_one299_dup_B</t>
  </si>
  <si>
    <t>BES_TR5_one313_A</t>
  </si>
  <si>
    <t>BES_TR5_one313_dup_A</t>
  </si>
  <si>
    <t>BES_TR5_one42_B</t>
  </si>
  <si>
    <t>BES_TR5_one320_B</t>
  </si>
  <si>
    <t>BES_TR5_one321_C</t>
  </si>
  <si>
    <t>BES_TR5_one328_A</t>
  </si>
  <si>
    <t>BES_TR5_one345_dup_A</t>
  </si>
  <si>
    <t>BES_TR5_one346_C</t>
  </si>
  <si>
    <t>BES_TR5_one366_dup_B</t>
  </si>
  <si>
    <t>BES_TR5_one375_C</t>
  </si>
  <si>
    <t>BES_TR5_one375_dup_C</t>
  </si>
  <si>
    <t>BES_TR5_one410_B</t>
  </si>
  <si>
    <t>BES_TR5_one410_dup_B</t>
  </si>
  <si>
    <t>BES_TR5_one50_A</t>
  </si>
  <si>
    <t>BES_TR5_one416_C</t>
  </si>
  <si>
    <t>BES_TR5_one416_dup_C</t>
  </si>
  <si>
    <t>BES_TR5_one423_dup_B</t>
  </si>
  <si>
    <t>BES_TR5_one446_dup_B</t>
  </si>
  <si>
    <t>BES_TR5_one469_A</t>
  </si>
  <si>
    <t>BES_TR5_one477_A</t>
  </si>
  <si>
    <t>BES_TR5_one477_dup_A</t>
  </si>
  <si>
    <t>BES_TR5_one480_A</t>
  </si>
  <si>
    <t>BES_TR5_one480_dup_A</t>
  </si>
  <si>
    <t>BES_TR5_one521_dup_C</t>
  </si>
  <si>
    <t>BES_TR5_one528_C</t>
  </si>
  <si>
    <t>BES_TR5_one528_dup_C</t>
  </si>
  <si>
    <t>BES_TR5_one61_dup_A</t>
  </si>
  <si>
    <t>BES_TR5_one544_A</t>
  </si>
  <si>
    <t>BES_TR5_one544_dup_A</t>
  </si>
  <si>
    <t>BES_TR5_one559_C</t>
  </si>
  <si>
    <t>BES_TR5_one590_A</t>
  </si>
  <si>
    <t>BES_TR5_one590_dup_A</t>
  </si>
  <si>
    <t>BES_TR5_one605_A</t>
  </si>
  <si>
    <t>BES_TR5_one605_dup_A</t>
  </si>
  <si>
    <t>BES_TR5_one614_B</t>
  </si>
  <si>
    <t>BES_TR5_one617_dup_A</t>
  </si>
  <si>
    <t>BES_TR5_one73_A</t>
  </si>
  <si>
    <t>BES_TR5_one73_dup_A</t>
  </si>
  <si>
    <t>BES_TR5_one76_A</t>
  </si>
  <si>
    <t>BES_TR5_one133_A</t>
  </si>
  <si>
    <t>BES_TR5_one137_A</t>
  </si>
  <si>
    <t>BES_TR5_one176_A</t>
  </si>
  <si>
    <t>BES_TR5_four1252_C</t>
  </si>
  <si>
    <t>BES_TR5_four171_A</t>
  </si>
  <si>
    <t>BES_TR5_four180_A</t>
  </si>
  <si>
    <t>BES_TR5_four184_B</t>
  </si>
  <si>
    <t>BES_TR5_four200_A</t>
  </si>
  <si>
    <t>BES_TR5_four239_A</t>
  </si>
  <si>
    <t>BES_TR5_four259_B</t>
  </si>
  <si>
    <t>BES_TR5_four54_C</t>
  </si>
  <si>
    <t>BES_TR5_four279_B</t>
  </si>
  <si>
    <t>BES_TR5_four288_B</t>
  </si>
  <si>
    <t>BES_TR5_four301_C</t>
  </si>
  <si>
    <t>BES_TR5_four326_A</t>
  </si>
  <si>
    <t>BES_TR5_four352_A</t>
  </si>
  <si>
    <t>BES_TR5_four354_B</t>
  </si>
  <si>
    <t>BES_TR5_four358_C</t>
  </si>
  <si>
    <t>BES_TR5_four381_A</t>
  </si>
  <si>
    <t>BES_TR5_four385_A</t>
  </si>
  <si>
    <t>BES_TR5_four396_B</t>
  </si>
  <si>
    <t>BES_TR5_four423_C</t>
  </si>
  <si>
    <t>BES_TR5_four446_B</t>
  </si>
  <si>
    <t>BES_TR5_four451_C</t>
  </si>
  <si>
    <t>BES_TR5_four532_A</t>
  </si>
  <si>
    <t>BES_TR5_four548_B</t>
  </si>
  <si>
    <t>BES_TR5_four553_B</t>
  </si>
  <si>
    <t>BES_TR5_four562_C</t>
  </si>
  <si>
    <t>BES_TR5_four70_B</t>
  </si>
  <si>
    <t>BES_TR5_four659_B</t>
  </si>
  <si>
    <t>BES_TR5_four675_C</t>
  </si>
  <si>
    <t>BES_TR5_four704_B</t>
  </si>
  <si>
    <t>BES_TR5_four710_C</t>
  </si>
  <si>
    <t>BES_TR5_four734_A</t>
  </si>
  <si>
    <t>BES_TR5_four763_A</t>
  </si>
  <si>
    <t>BES_TR5_four797_C</t>
  </si>
  <si>
    <t>BES_TR5_four840_A</t>
  </si>
  <si>
    <t>BES_TR5_four854_A</t>
  </si>
  <si>
    <t>BES_TR5_four926_B</t>
  </si>
  <si>
    <t>BES_TR5_four958_C</t>
  </si>
  <si>
    <t>BES_TR5_four1027_A</t>
  </si>
  <si>
    <t>BES_TR5_four1063_C</t>
  </si>
  <si>
    <t>BES_TR5_four1091_B</t>
  </si>
  <si>
    <t>BES_TR5_four1103_C</t>
  </si>
  <si>
    <t>BES_TR5_four1132_C</t>
  </si>
  <si>
    <t>BES_TR5_four1140_A</t>
  </si>
  <si>
    <t>BES_TR5_four126_A</t>
  </si>
  <si>
    <t>BES_TR5_four1187_A</t>
  </si>
  <si>
    <t>BES_TR5_four1207_B</t>
  </si>
  <si>
    <t>BES_TR5_four1216_C</t>
  </si>
  <si>
    <t>BES_TR5_four1220_C</t>
  </si>
  <si>
    <t>BES_TR5_four1226_A</t>
  </si>
  <si>
    <t>BES_TR5_four1244_B</t>
  </si>
  <si>
    <t>BES_TR5_five58_dup_C</t>
  </si>
  <si>
    <t>BES_TR5_five147_dup_C</t>
  </si>
  <si>
    <t>BES_TR5_five149_A</t>
  </si>
  <si>
    <t>BES_TR5_five149_dup_A</t>
  </si>
  <si>
    <t>BES_TR5_five160_C</t>
  </si>
  <si>
    <t>BES_TR5_five160_dup_C</t>
  </si>
  <si>
    <t>BES_TR5_five168_A</t>
  </si>
  <si>
    <t>BES_TR5_five170_A</t>
  </si>
  <si>
    <t>BES_TR5_five177_A</t>
  </si>
  <si>
    <t>BES_TR5_five194_C</t>
  </si>
  <si>
    <t>BES_TR5_five194_dup_C</t>
  </si>
  <si>
    <t>BES_TR5_five220_C</t>
  </si>
  <si>
    <t>BES_TR5_five220_dup_C</t>
  </si>
  <si>
    <t>BES_TR5_five223_dup_A</t>
  </si>
  <si>
    <t>BES_TR5_five242_dup_A</t>
  </si>
  <si>
    <t>BES_TR5_five243_dup_B</t>
  </si>
  <si>
    <t>BES_TR5_five284_C</t>
  </si>
  <si>
    <t>BES_TR5_five284_dup_C</t>
  </si>
  <si>
    <t>BES_TR5_five285_B</t>
  </si>
  <si>
    <t>BES_TR5_five309_C</t>
  </si>
  <si>
    <t>BES_TR5_five324_B</t>
  </si>
  <si>
    <t>BES_TR5_five345_A</t>
  </si>
  <si>
    <t>BES_TR5_five355_A</t>
  </si>
  <si>
    <t>BES_TR5_five78_dup_A</t>
  </si>
  <si>
    <t>BES_TR5_five394_C</t>
  </si>
  <si>
    <t>BES_TR5_five421_A</t>
  </si>
  <si>
    <t>BES_TR5_five421_dup_A</t>
  </si>
  <si>
    <t>BES_TR5_five457_B</t>
  </si>
  <si>
    <t>BES_TR5_five457_dup_B</t>
  </si>
  <si>
    <t>BES_TR5_five466_A</t>
  </si>
  <si>
    <t>BES_TR5_five472_dup_A</t>
  </si>
  <si>
    <t>BES_TR5_five488_B</t>
  </si>
  <si>
    <t>BES_TR5_five488_dup_B</t>
  </si>
  <si>
    <t>BES_TR5_five494_dup_B</t>
  </si>
  <si>
    <t>BES_TR5_five512_A</t>
  </si>
  <si>
    <t>BES_TR5_five513_dup_B</t>
  </si>
  <si>
    <t>BES_TR5_five537_C</t>
  </si>
  <si>
    <t>BES_TR5_five537_dup_C</t>
  </si>
  <si>
    <t>BES_TR5_five540_A</t>
  </si>
  <si>
    <t>BES_TR5_five545_dup_B</t>
  </si>
  <si>
    <t>BES_TR5_five585_dup_A</t>
  </si>
  <si>
    <t>BES_TR5_five588_dup_A</t>
  </si>
  <si>
    <t>BES_TR5_five108_B</t>
  </si>
  <si>
    <t>BES_TR5_five108_dup_B</t>
  </si>
  <si>
    <t>BES_TR5_five663_C</t>
  </si>
  <si>
    <t>BES_TR5_five663_dup_C</t>
  </si>
  <si>
    <t>BES_TR5_five670_C</t>
  </si>
  <si>
    <t>BES_TR5_five670_dup_C</t>
  </si>
  <si>
    <t>BES_TR5_five685_dup_B</t>
  </si>
  <si>
    <t>BES_TR5_five695_dup_A</t>
  </si>
  <si>
    <t>BES_TR5_five704_dup_A</t>
  </si>
  <si>
    <t>BES_TR5_five719_A</t>
  </si>
  <si>
    <t>BES_TR5_five719_dup_A</t>
  </si>
  <si>
    <t>BES_TR5_five735_A</t>
  </si>
  <si>
    <t>BES_TR5_five748_dup_B</t>
  </si>
  <si>
    <t>BES_TR5_five117_dup_B</t>
  </si>
  <si>
    <t>BES_TR5_five750_B</t>
  </si>
  <si>
    <t>BES_TR5_five750_dup_B</t>
  </si>
  <si>
    <t>BES_TR5_five778_dup_B</t>
  </si>
  <si>
    <t>BES_TR5_five793_A</t>
  </si>
  <si>
    <t>BES_TR5_five793_dup_A</t>
  </si>
  <si>
    <t>BES_TR5_five799_dup_C</t>
  </si>
  <si>
    <t>BES_TR5_five801_dup_C</t>
  </si>
  <si>
    <t>BES_TR5_five118_B</t>
  </si>
  <si>
    <t>BES_TR5_six64_A</t>
  </si>
  <si>
    <t>BES_TR5_six173_C</t>
  </si>
  <si>
    <t>BES_TR5_six186_A</t>
  </si>
  <si>
    <t>BES_TR5_six203_A</t>
  </si>
  <si>
    <t>BES_TR5_six238_A</t>
  </si>
  <si>
    <t>BES_TR5_six249_B</t>
  </si>
  <si>
    <t>BES_TR5_six254_B</t>
  </si>
  <si>
    <t>BES_TR5_six68_C</t>
  </si>
  <si>
    <t>BES_TR5_six317_C</t>
  </si>
  <si>
    <t>BES_TR5_six326_A</t>
  </si>
  <si>
    <t>BES_TR5_six342_A</t>
  </si>
  <si>
    <t>BES_TR5_six350_B</t>
  </si>
  <si>
    <t>BES_TR5_six75_A</t>
  </si>
  <si>
    <t>BES_TR5_six385_B</t>
  </si>
  <si>
    <t>BES_TR5_six387_A</t>
  </si>
  <si>
    <t>BES_TR5_six392_C</t>
  </si>
  <si>
    <t>BES_TR5_six431_C</t>
  </si>
  <si>
    <t>BES_TR5_six441_A</t>
  </si>
  <si>
    <t>BES_TR5_six512_B</t>
  </si>
  <si>
    <t>BES_TR5_six518_B</t>
  </si>
  <si>
    <t>BES_TR5_six523_C</t>
  </si>
  <si>
    <t>BES_TR5_six534_B</t>
  </si>
  <si>
    <t>BES_TR5_six591_C</t>
  </si>
  <si>
    <t>BES_TR5_six595_B</t>
  </si>
  <si>
    <t>BES_TR5_six643_A</t>
  </si>
  <si>
    <t>BES_TR5_six646_B</t>
  </si>
  <si>
    <t>BES_TR5_six651_C</t>
  </si>
  <si>
    <t>BES_TR5_six87_A</t>
  </si>
  <si>
    <t>BES_TR5_six665_B</t>
  </si>
  <si>
    <t>BES_TR5_six718_C</t>
  </si>
  <si>
    <t>BES_TR5_six721_A</t>
  </si>
  <si>
    <t>BES_TR5_six723_B</t>
  </si>
  <si>
    <t>BES_TR5_six740_A</t>
  </si>
  <si>
    <t>BES_TR5_six799_B</t>
  </si>
  <si>
    <t>BES_TR5_six807_A</t>
  </si>
  <si>
    <t>BES_TR5_six852_B</t>
  </si>
  <si>
    <t>BES_TR5_six860_C</t>
  </si>
  <si>
    <t>BES_TR5_six885_A</t>
  </si>
  <si>
    <t>BES_TR5_six909_C</t>
  </si>
  <si>
    <t>BES_TR5_six921_B</t>
  </si>
  <si>
    <t>BES_TR5_six929_A</t>
  </si>
  <si>
    <t>BES_TR5_six952_A</t>
  </si>
  <si>
    <t>BES_TR5_six967_B</t>
  </si>
  <si>
    <t>BES_TR5_six111_C</t>
  </si>
  <si>
    <t>BES_TR5_six1006_C</t>
  </si>
  <si>
    <t>Raw batt discharge</t>
  </si>
  <si>
    <t>Verbatim copy of Discharge_kW (TR5_analysis_data.xlsx). One row per half-hour, one column per battery (kW).</t>
  </si>
  <si>
    <t>TR5 PV allocation — per half-hour</t>
  </si>
  <si>
    <t>VIOLET = aggregated live from the raw sheets 3–6 (SUM / SUMIF).  AMBER = priority split (MIN formulas): PV → prosumer load → battery → customer load → export.</t>
  </si>
  <si>
    <t>hour
(h)</t>
  </si>
  <si>
    <t>PV
(kW)</t>
  </si>
  <si>
    <t>prosumer
load (kW)</t>
  </si>
  <si>
    <t>customer
load (kW)</t>
  </si>
  <si>
    <t>batt
charge (kW)</t>
  </si>
  <si>
    <t>batt
discharge (kW)</t>
  </si>
  <si>
    <t>batt net
=chg−dis</t>
  </si>
  <si>
    <t>PV→
prosumer</t>
  </si>
  <si>
    <t>PV→
battery</t>
  </si>
  <si>
    <t>PV→
customer</t>
  </si>
  <si>
    <t>PV→
export</t>
  </si>
  <si>
    <t>customer
←grid</t>
  </si>
  <si>
    <t>TOTAL</t>
  </si>
  <si>
    <t>Each half-hour is 0.5 h, so daily energy (kWh) = Σ(power in kW) × 0.5.</t>
  </si>
  <si>
    <t>Trace any input: e.g. cell C5 = SUM of column C on sheet 3 (PV of all 417 connections at 00:00). Click it to see the formula.</t>
  </si>
  <si>
    <t>TR5 PV allocation — results</t>
  </si>
  <si>
    <t>Where the day's PV goes</t>
  </si>
  <si>
    <t>How the customers (203) are supplied</t>
  </si>
  <si>
    <t>Destination</t>
  </si>
  <si>
    <t>Source</t>
  </si>
  <si>
    <t>% of cust. load</t>
  </si>
  <si>
    <t>PV → prosumers' own load</t>
  </si>
  <si>
    <t>From prosumer PV (day)</t>
  </si>
  <si>
    <t>From grid import (night)</t>
  </si>
  <si>
    <t>TOTAL customer load</t>
  </si>
  <si>
    <t>TOTAL (= PV)</t>
  </si>
  <si>
    <t>Charts read live from sheet 7, which reads live from raw sheets 3–6.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</si>
</sst>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5"/>
      <color rgb="FF1F3864"/>
      <name val="Calibri"/>
    </font>
    <font>
      <b/>
      <sz val="11"/>
      <color rgb="FF2E5496"/>
      <name val="Calibri"/>
    </font>
    <font>
      <b/>
      <sz val="11"/>
      <name val="Calibri"/>
    </font>
    <font>
      <sz val="9"/>
      <name val="Consolas"/>
    </font>
    <font>
      <b/>
      <sz val="10"/>
      <color rgb="FFFFFFFF"/>
      <name val="Calibri"/>
    </font>
    <font>
      <i/>
      <sz val="9"/>
      <color rgb="FF666666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4DFEC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3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 wrapText="1"/>
    </xf>
    <xf numFmtId="0" fontId="0" fillId="0" borderId="1" xfId="0" applyBorder="1"/>
    <xf numFmtId="164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5" fontId="0" fillId="4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/>
    </xf>
    <xf numFmtId="0" fontId="6" fillId="0" borderId="0" xfId="0" applyFont="1"/>
    <xf numFmtId="0" fontId="0" fillId="5" borderId="1" xfId="0" applyFill="1" applyBorder="1"/>
    <xf numFmtId="166" fontId="0" fillId="5" borderId="0" xfId="0" applyNumberFormat="1" applyFill="1"/>
    <xf numFmtId="166" fontId="0" fillId="0" borderId="0" xfId="0" applyNumberFormat="1"/>
    <xf numFmtId="164" fontId="0" fillId="0" borderId="1" xfId="0" applyNumberFormat="1" applyBorder="1"/>
    <xf numFmtId="164" fontId="0" fillId="6" borderId="1" xfId="0" applyNumberFormat="1" applyFill="1" applyBorder="1"/>
    <xf numFmtId="164" fontId="0" fillId="4" borderId="1" xfId="0" applyNumberFormat="1" applyFill="1" applyBorder="1"/>
    <xf numFmtId="0" fontId="3" fillId="7" borderId="1" xfId="0" applyFont="1" applyFill="1" applyBorder="1"/>
    <xf numFmtId="164" fontId="3" fillId="7" borderId="1" xfId="0" applyNumberFormat="1" applyFont="1" applyFill="1" applyBorder="1"/>
    <xf numFmtId="165" fontId="0" fillId="4" borderId="1" xfId="0" applyNumberFormat="1" applyFill="1" applyBorder="1"/>
    <xf numFmtId="165" fontId="3" fillId="7" borderId="1" xfId="0" applyNumberFormat="1" applyFont="1" applyFill="1" applyBorder="1"/>
    <xf numFmtId="0" fontId="0" fillId="0" borderId="0" xfId="0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Where the PV goes across the day (stacked, kW)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'7. PV allocation (per period)'!$I$4</c:f>
              <c:strCache>
                <c:ptCount val="1"/>
                <c:pt idx="0">
                  <c:v>PV→
prosumer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period)'!$I$5:$I$52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0.54229999999999945</c:v>
                </c:pt>
                <c:pt idx="8">
                  <c:v>7.8518999999999943</c:v>
                </c:pt>
                <c:pt idx="9">
                  <c:v>27.693899999999989</c:v>
                </c:pt>
                <c:pt idx="10">
                  <c:v>25.194800000000004</c:v>
                </c:pt>
                <c:pt idx="11">
                  <c:v>27.214300000000005</c:v>
                </c:pt>
                <c:pt idx="12">
                  <c:v>29.766400000000012</c:v>
                </c:pt>
                <c:pt idx="13">
                  <c:v>31.998900000000006</c:v>
                </c:pt>
                <c:pt idx="14">
                  <c:v>39.402100000000033</c:v>
                </c:pt>
                <c:pt idx="15">
                  <c:v>49.435199999999995</c:v>
                </c:pt>
                <c:pt idx="16">
                  <c:v>71.473099999999988</c:v>
                </c:pt>
                <c:pt idx="17">
                  <c:v>89.568200000000004</c:v>
                </c:pt>
                <c:pt idx="18">
                  <c:v>88.041800000000023</c:v>
                </c:pt>
                <c:pt idx="19">
                  <c:v>88.382799999999961</c:v>
                </c:pt>
                <c:pt idx="20">
                  <c:v>87.603299999999976</c:v>
                </c:pt>
                <c:pt idx="21">
                  <c:v>74.046799999999962</c:v>
                </c:pt>
                <c:pt idx="22">
                  <c:v>75.056600000000017</c:v>
                </c:pt>
                <c:pt idx="23">
                  <c:v>71.260199999999983</c:v>
                </c:pt>
                <c:pt idx="24">
                  <c:v>90.710799999999992</c:v>
                </c:pt>
                <c:pt idx="25">
                  <c:v>88.396299999999997</c:v>
                </c:pt>
                <c:pt idx="26">
                  <c:v>97.796199999999985</c:v>
                </c:pt>
                <c:pt idx="27">
                  <c:v>82.074599999999975</c:v>
                </c:pt>
                <c:pt idx="28">
                  <c:v>74.228200000000044</c:v>
                </c:pt>
                <c:pt idx="29">
                  <c:v>64.054800000000014</c:v>
                </c:pt>
                <c:pt idx="30">
                  <c:v>57.194899999999961</c:v>
                </c:pt>
                <c:pt idx="31">
                  <c:v>60.061099999999961</c:v>
                </c:pt>
                <c:pt idx="32">
                  <c:v>77.40949999999998</c:v>
                </c:pt>
                <c:pt idx="33">
                  <c:v>83.352499999999992</c:v>
                </c:pt>
                <c:pt idx="34">
                  <c:v>85.108699999999914</c:v>
                </c:pt>
                <c:pt idx="35">
                  <c:v>105.47680000000004</c:v>
                </c:pt>
                <c:pt idx="36">
                  <c:v>86.186099999999968</c:v>
                </c:pt>
                <c:pt idx="37">
                  <c:v>83.495800000000074</c:v>
                </c:pt>
                <c:pt idx="38">
                  <c:v>58.147100000000037</c:v>
                </c:pt>
                <c:pt idx="39">
                  <c:v>16.924199999999995</c:v>
                </c:pt>
                <c:pt idx="40">
                  <c:v>3.1239000000000052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B5-4128-AACF-3D9D06DF02E0}"/>
            </c:ext>
          </c:extLst>
        </c:ser>
        <c:ser>
          <c:idx val="1"/>
          <c:order val="1"/>
          <c:tx>
            <c:strRef>
              <c:f>'7. PV allocation (per period)'!$J$4</c:f>
              <c:strCache>
                <c:ptCount val="1"/>
                <c:pt idx="0">
                  <c:v>PV→
battery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period)'!$J$5:$J$52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9.0257999999999576</c:v>
                </c:pt>
                <c:pt idx="10">
                  <c:v>47.636599999999959</c:v>
                </c:pt>
                <c:pt idx="11">
                  <c:v>89.909500000000122</c:v>
                </c:pt>
                <c:pt idx="12">
                  <c:v>135.67089999999982</c:v>
                </c:pt>
                <c:pt idx="13">
                  <c:v>182.35349999999994</c:v>
                </c:pt>
                <c:pt idx="14">
                  <c:v>223.61369999999994</c:v>
                </c:pt>
                <c:pt idx="15">
                  <c:v>244.01900000000006</c:v>
                </c:pt>
                <c:pt idx="16">
                  <c:v>171.87399999999991</c:v>
                </c:pt>
                <c:pt idx="17">
                  <c:v>93.978999999999985</c:v>
                </c:pt>
                <c:pt idx="18">
                  <c:v>63.881</c:v>
                </c:pt>
                <c:pt idx="19">
                  <c:v>44.598999999999997</c:v>
                </c:pt>
                <c:pt idx="20">
                  <c:v>22.698999999999998</c:v>
                </c:pt>
                <c:pt idx="21">
                  <c:v>24.192999999999998</c:v>
                </c:pt>
                <c:pt idx="22">
                  <c:v>22.931000000000004</c:v>
                </c:pt>
                <c:pt idx="23">
                  <c:v>15.821000000000002</c:v>
                </c:pt>
                <c:pt idx="24">
                  <c:v>7.0490000000000013</c:v>
                </c:pt>
                <c:pt idx="25">
                  <c:v>3.1780000000000008</c:v>
                </c:pt>
                <c:pt idx="26">
                  <c:v>2.5939999999999994</c:v>
                </c:pt>
                <c:pt idx="27">
                  <c:v>2.7490000000000001</c:v>
                </c:pt>
                <c:pt idx="28">
                  <c:v>0.38700000000000045</c:v>
                </c:pt>
                <c:pt idx="29">
                  <c:v>3.5709999999999997</c:v>
                </c:pt>
                <c:pt idx="30">
                  <c:v>4.5870000000000006</c:v>
                </c:pt>
                <c:pt idx="31">
                  <c:v>3.4129999999999998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B5-4128-AACF-3D9D06DF02E0}"/>
            </c:ext>
          </c:extLst>
        </c:ser>
        <c:ser>
          <c:idx val="2"/>
          <c:order val="2"/>
          <c:tx>
            <c:strRef>
              <c:f>'7. PV allocation (per period)'!$K$4</c:f>
              <c:strCache>
                <c:ptCount val="1"/>
                <c:pt idx="0">
                  <c:v>PV→
customer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period)'!$K$5:$K$52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18.287800000000402</c:v>
                </c:pt>
                <c:pt idx="16">
                  <c:v>56.198800000000006</c:v>
                </c:pt>
                <c:pt idx="17">
                  <c:v>56.679400000000015</c:v>
                </c:pt>
                <c:pt idx="18">
                  <c:v>62.827599999999983</c:v>
                </c:pt>
                <c:pt idx="19">
                  <c:v>72.577199999999991</c:v>
                </c:pt>
                <c:pt idx="20">
                  <c:v>67.148599999999988</c:v>
                </c:pt>
                <c:pt idx="21">
                  <c:v>73.821900000000014</c:v>
                </c:pt>
                <c:pt idx="22">
                  <c:v>80.773900000000054</c:v>
                </c:pt>
                <c:pt idx="23">
                  <c:v>81.938299999999998</c:v>
                </c:pt>
                <c:pt idx="24">
                  <c:v>72.580500000000072</c:v>
                </c:pt>
                <c:pt idx="25">
                  <c:v>59.020599999999988</c:v>
                </c:pt>
                <c:pt idx="26">
                  <c:v>62.915299999999966</c:v>
                </c:pt>
                <c:pt idx="27">
                  <c:v>64.310400000000001</c:v>
                </c:pt>
                <c:pt idx="28">
                  <c:v>66.010799999999975</c:v>
                </c:pt>
                <c:pt idx="29">
                  <c:v>60.871799999999993</c:v>
                </c:pt>
                <c:pt idx="30">
                  <c:v>61.791600000000003</c:v>
                </c:pt>
                <c:pt idx="31">
                  <c:v>62.214900000000007</c:v>
                </c:pt>
                <c:pt idx="32">
                  <c:v>61.364500000000014</c:v>
                </c:pt>
                <c:pt idx="33">
                  <c:v>72.170700000000039</c:v>
                </c:pt>
                <c:pt idx="34">
                  <c:v>74.872699999999995</c:v>
                </c:pt>
                <c:pt idx="35">
                  <c:v>86.347599999999971</c:v>
                </c:pt>
                <c:pt idx="36">
                  <c:v>59.520400000000123</c:v>
                </c:pt>
                <c:pt idx="37">
                  <c:v>16.087799999999831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9B5-4128-AACF-3D9D06DF02E0}"/>
            </c:ext>
          </c:extLst>
        </c:ser>
        <c:ser>
          <c:idx val="3"/>
          <c:order val="3"/>
          <c:tx>
            <c:strRef>
              <c:f>'7. PV allocation (per period)'!$L$4</c:f>
              <c:strCache>
                <c:ptCount val="1"/>
                <c:pt idx="0">
                  <c:v>PV→
export</c:v>
                </c:pt>
              </c:strCache>
            </c:strRef>
          </c:tx>
          <c:spPr>
            <a:ln>
              <a:prstDash val="solid"/>
            </a:ln>
          </c:spPr>
          <c:cat>
            <c:numRef>
              <c:f>'7. PV allocation (per period)'!$B$5:$B$52</c:f>
              <c:numCache>
                <c:formatCode>0.0</c:formatCode>
                <c:ptCount val="48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</c:numCache>
            </c:numRef>
          </c:cat>
          <c:val>
            <c:numRef>
              <c:f>'7. PV allocation (per period)'!$L$5:$L$52</c:f>
              <c:numCache>
                <c:formatCode>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57.932200000000194</c:v>
                </c:pt>
                <c:pt idx="17">
                  <c:v>160.24939999999961</c:v>
                </c:pt>
                <c:pt idx="18">
                  <c:v>222.34029999999902</c:v>
                </c:pt>
                <c:pt idx="19">
                  <c:v>262.76140000000049</c:v>
                </c:pt>
                <c:pt idx="20">
                  <c:v>318.27659999999923</c:v>
                </c:pt>
                <c:pt idx="21">
                  <c:v>346.29249999999968</c:v>
                </c:pt>
                <c:pt idx="22">
                  <c:v>355.64379999999903</c:v>
                </c:pt>
                <c:pt idx="23">
                  <c:v>372.4286000000003</c:v>
                </c:pt>
                <c:pt idx="24">
                  <c:v>373.14429999999993</c:v>
                </c:pt>
                <c:pt idx="25">
                  <c:v>389.07280000000009</c:v>
                </c:pt>
                <c:pt idx="26">
                  <c:v>363.55100000000004</c:v>
                </c:pt>
                <c:pt idx="27">
                  <c:v>358.16940000000062</c:v>
                </c:pt>
                <c:pt idx="28">
                  <c:v>343.33990000000051</c:v>
                </c:pt>
                <c:pt idx="29">
                  <c:v>325.89619999999923</c:v>
                </c:pt>
                <c:pt idx="30">
                  <c:v>299.393000000001</c:v>
                </c:pt>
                <c:pt idx="31">
                  <c:v>259.45890000000037</c:v>
                </c:pt>
                <c:pt idx="32">
                  <c:v>203.78520000000077</c:v>
                </c:pt>
                <c:pt idx="33">
                  <c:v>135.61050000000029</c:v>
                </c:pt>
                <c:pt idx="34">
                  <c:v>83.01979999999979</c:v>
                </c:pt>
                <c:pt idx="35">
                  <c:v>1.7197999999996654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9B5-4128-AACF-3D9D06DF0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000" b="1" i="0" baseline="0">
                    <a:effectLst/>
                  </a:rPr>
                  <a:t>hour of day</a:t>
                </a:r>
                <a:endParaRPr lang="en-US" sz="400">
                  <a:effectLst/>
                </a:endParaRPr>
              </a:p>
            </c:rich>
          </c:tx>
          <c:overlay val="0"/>
        </c:title>
        <c:numFmt formatCode="0" sourceLinked="0"/>
        <c:majorTickMark val="cross"/>
        <c:minorTickMark val="none"/>
        <c:tickLblPos val="nextTo"/>
        <c:spPr>
          <a:ln/>
        </c:spPr>
        <c:crossAx val="100"/>
        <c:crosses val="autoZero"/>
        <c:auto val="1"/>
        <c:lblAlgn val="ctr"/>
        <c:lblOffset val="100"/>
        <c:tickLblSkip val="2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kW</a:t>
                </a: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Daily PV destination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charts'!$A$5:$A$8</c:f>
              <c:strCache>
                <c:ptCount val="4"/>
                <c:pt idx="0">
                  <c:v>PV → prosumers' own load</c:v>
                </c:pt>
                <c:pt idx="1">
                  <c:v>PV → battery storage</c:v>
                </c:pt>
                <c:pt idx="2">
                  <c:v>PV → customers</c:v>
                </c:pt>
                <c:pt idx="3">
                  <c:v>PV → export to grid</c:v>
                </c:pt>
              </c:strCache>
            </c:strRef>
          </c:cat>
          <c:val>
            <c:numRef>
              <c:f>'8. Results &amp; charts'!$B$5:$B$8</c:f>
              <c:numCache>
                <c:formatCode>0.0</c:formatCode>
                <c:ptCount val="4"/>
                <c:pt idx="0">
                  <c:v>1049.1370499999998</c:v>
                </c:pt>
                <c:pt idx="1">
                  <c:v>709.86699999999985</c:v>
                </c:pt>
                <c:pt idx="2">
                  <c:v>725.16655000000014</c:v>
                </c:pt>
                <c:pt idx="3">
                  <c:v>2616.0428000000002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23-4B1F-96C2-F7B6D159E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kWh/day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200" b="1" i="0" baseline="0">
                <a:effectLst/>
              </a:rPr>
              <a:t>Customer load: PV vs grid (kWh)</a:t>
            </a:r>
            <a:endParaRPr lang="en-US" sz="700">
              <a:effectLst/>
            </a:endParaRP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dLbl>
              <c:idx val="0"/>
              <c:layout>
                <c:manualLayout>
                  <c:x val="-5.8795617084310512E-17"/>
                  <c:y val="-1.32291666666666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0FF-4C7F-BEF5-BACB9B53F7C4}"/>
                </c:ext>
              </c:extLst>
            </c:dLbl>
            <c:dLbl>
              <c:idx val="1"/>
              <c:layout>
                <c:manualLayout>
                  <c:x val="0"/>
                  <c:y val="-3.96875000000000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FF-4C7F-BEF5-BACB9B53F7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'8. Results &amp; charts'!$E$5:$E$6</c:f>
              <c:strCache>
                <c:ptCount val="2"/>
                <c:pt idx="0">
                  <c:v>From prosumer PV (day)</c:v>
                </c:pt>
                <c:pt idx="1">
                  <c:v>From grid import (night)</c:v>
                </c:pt>
              </c:strCache>
            </c:strRef>
          </c:cat>
          <c:val>
            <c:numRef>
              <c:f>'8. Results &amp; charts'!$F$5:$F$6</c:f>
              <c:numCache>
                <c:formatCode>0.0</c:formatCode>
                <c:ptCount val="2"/>
                <c:pt idx="0">
                  <c:v>725.16655000000014</c:v>
                </c:pt>
                <c:pt idx="1">
                  <c:v>714.60074999999983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FF-4C7F-BEF5-BACB9B53F7C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050" b="1" i="0" baseline="0">
                    <a:effectLst/>
                  </a:rPr>
                  <a:t>kWh/day</a:t>
                </a:r>
                <a:endParaRPr lang="en-US" sz="500">
                  <a:effectLst/>
                </a:endParaRPr>
              </a:p>
            </c:rich>
          </c:tx>
          <c:overlay val="0"/>
        </c:title>
        <c:numFmt formatCode="0.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0</xdr:rowOff>
    </xdr:from>
    <xdr:ext cx="7962900" cy="38671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32</xdr:row>
      <xdr:rowOff>0</xdr:rowOff>
    </xdr:from>
    <xdr:ext cx="39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4</xdr:col>
      <xdr:colOff>0</xdr:colOff>
      <xdr:row>32</xdr:row>
      <xdr:rowOff>9525</xdr:rowOff>
    </xdr:from>
    <xdr:ext cx="3960000" cy="288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44"/>
  <sheetViews>
    <sheetView showGridLines="0" workbookViewId="0"/>
  </sheetViews>
  <sheetFormatPr defaultRowHeight="15" x14ac:dyDescent="0.25"/>
  <cols>
    <col min="1" max="1" width="2" customWidth="1"/>
    <col min="2" max="2" width="32" customWidth="1"/>
    <col min="3" max="3" width="16" customWidth="1"/>
    <col min="4" max="4" width="20.5703125" customWidth="1"/>
    <col min="5" max="5" width="40" customWidth="1"/>
  </cols>
  <sheetData>
    <row r="2" spans="2:5" ht="19.5" x14ac:dyDescent="0.3">
      <c r="B2" s="1" t="s">
        <v>0</v>
      </c>
    </row>
    <row r="3" spans="2:5" x14ac:dyDescent="0.25">
      <c r="B3" s="2" t="s">
        <v>1</v>
      </c>
    </row>
    <row r="5" spans="2:5" x14ac:dyDescent="0.25">
      <c r="B5" s="2" t="s">
        <v>2</v>
      </c>
    </row>
    <row r="6" spans="2:5" x14ac:dyDescent="0.25">
      <c r="B6" s="26" t="s">
        <v>3</v>
      </c>
      <c r="C6" s="27"/>
      <c r="D6" s="27"/>
      <c r="E6" s="27"/>
    </row>
    <row r="7" spans="2:5" x14ac:dyDescent="0.25">
      <c r="B7" s="27"/>
      <c r="C7" s="27"/>
      <c r="D7" s="27"/>
      <c r="E7" s="27"/>
    </row>
    <row r="8" spans="2:5" x14ac:dyDescent="0.25">
      <c r="B8" s="27"/>
      <c r="C8" s="27"/>
      <c r="D8" s="27"/>
      <c r="E8" s="27"/>
    </row>
    <row r="10" spans="2:5" x14ac:dyDescent="0.25">
      <c r="B10" s="2" t="s">
        <v>4</v>
      </c>
    </row>
    <row r="11" spans="2:5" ht="39.950000000000003" customHeight="1" x14ac:dyDescent="0.25">
      <c r="B11" s="3" t="s">
        <v>5</v>
      </c>
      <c r="C11" s="26" t="s">
        <v>6</v>
      </c>
      <c r="D11" s="27"/>
      <c r="E11" s="27"/>
    </row>
    <row r="12" spans="2:5" ht="39.950000000000003" customHeight="1" x14ac:dyDescent="0.25">
      <c r="B12" s="3" t="s">
        <v>7</v>
      </c>
      <c r="C12" s="26" t="s">
        <v>8</v>
      </c>
      <c r="D12" s="27"/>
      <c r="E12" s="27"/>
    </row>
    <row r="13" spans="2:5" ht="39.950000000000003" customHeight="1" x14ac:dyDescent="0.25">
      <c r="B13" s="3" t="s">
        <v>9</v>
      </c>
      <c r="C13" s="26" t="s">
        <v>10</v>
      </c>
      <c r="D13" s="27"/>
      <c r="E13" s="27"/>
    </row>
    <row r="14" spans="2:5" ht="39.950000000000003" customHeight="1" x14ac:dyDescent="0.25">
      <c r="B14" s="3" t="s">
        <v>11</v>
      </c>
      <c r="C14" s="26" t="s">
        <v>12</v>
      </c>
      <c r="D14" s="27"/>
      <c r="E14" s="27"/>
    </row>
    <row r="15" spans="2:5" ht="39.950000000000003" customHeight="1" x14ac:dyDescent="0.25">
      <c r="B15" s="3" t="s">
        <v>13</v>
      </c>
      <c r="C15" s="26" t="s">
        <v>14</v>
      </c>
      <c r="D15" s="27"/>
      <c r="E15" s="27"/>
    </row>
    <row r="16" spans="2:5" ht="39.950000000000003" customHeight="1" x14ac:dyDescent="0.25">
      <c r="B16" s="3" t="s">
        <v>15</v>
      </c>
      <c r="C16" s="26" t="s">
        <v>16</v>
      </c>
      <c r="D16" s="27"/>
      <c r="E16" s="27"/>
    </row>
    <row r="18" spans="2:5" x14ac:dyDescent="0.25">
      <c r="B18" s="2" t="s">
        <v>17</v>
      </c>
    </row>
    <row r="19" spans="2:5" x14ac:dyDescent="0.25">
      <c r="B19" s="4" t="s">
        <v>18</v>
      </c>
      <c r="C19" s="28"/>
      <c r="D19" s="27"/>
      <c r="E19" s="27"/>
    </row>
    <row r="20" spans="2:5" x14ac:dyDescent="0.25">
      <c r="B20" s="4" t="s">
        <v>19</v>
      </c>
      <c r="C20" s="28"/>
      <c r="D20" s="27"/>
      <c r="E20" s="27"/>
    </row>
    <row r="21" spans="2:5" x14ac:dyDescent="0.25">
      <c r="B21" s="4" t="s">
        <v>20</v>
      </c>
      <c r="C21" s="28"/>
      <c r="D21" s="27"/>
      <c r="E21" s="27"/>
    </row>
    <row r="22" spans="2:5" x14ac:dyDescent="0.25">
      <c r="B22" s="4" t="s">
        <v>21</v>
      </c>
      <c r="C22" s="28"/>
      <c r="D22" s="27"/>
      <c r="E22" s="27"/>
    </row>
    <row r="23" spans="2:5" x14ac:dyDescent="0.25">
      <c r="B23" s="4" t="s">
        <v>22</v>
      </c>
      <c r="C23" s="28"/>
      <c r="D23" s="27"/>
      <c r="E23" s="27"/>
    </row>
    <row r="25" spans="2:5" x14ac:dyDescent="0.25">
      <c r="B25" s="2" t="s">
        <v>23</v>
      </c>
    </row>
    <row r="26" spans="2:5" x14ac:dyDescent="0.25">
      <c r="B26" s="5" t="s">
        <v>24</v>
      </c>
      <c r="C26" s="5" t="s">
        <v>25</v>
      </c>
      <c r="D26" s="5" t="s">
        <v>26</v>
      </c>
    </row>
    <row r="27" spans="2:5" x14ac:dyDescent="0.25">
      <c r="B27" s="6" t="s">
        <v>27</v>
      </c>
      <c r="C27" s="7">
        <v>214</v>
      </c>
      <c r="D27" s="7" t="s">
        <v>28</v>
      </c>
    </row>
    <row r="28" spans="2:5" x14ac:dyDescent="0.25">
      <c r="B28" s="6" t="s">
        <v>29</v>
      </c>
      <c r="C28" s="7">
        <v>203</v>
      </c>
      <c r="D28" s="7" t="s">
        <v>28</v>
      </c>
    </row>
    <row r="29" spans="2:5" x14ac:dyDescent="0.25">
      <c r="B29" s="8" t="s">
        <v>30</v>
      </c>
      <c r="C29" s="9">
        <f>'7. PV allocation (per period)'!C53</f>
        <v>5100.2134000000005</v>
      </c>
      <c r="D29" s="10" t="s">
        <v>31</v>
      </c>
    </row>
    <row r="30" spans="2:5" x14ac:dyDescent="0.25">
      <c r="B30" s="8" t="s">
        <v>32</v>
      </c>
      <c r="C30" s="9">
        <f>'7. PV allocation (per period)'!I53</f>
        <v>1049.1370499999998</v>
      </c>
      <c r="D30" s="10" t="s">
        <v>31</v>
      </c>
    </row>
    <row r="31" spans="2:5" x14ac:dyDescent="0.25">
      <c r="B31" s="8" t="s">
        <v>33</v>
      </c>
      <c r="C31" s="9">
        <f>'7. PV allocation (per period)'!J53</f>
        <v>709.86699999999985</v>
      </c>
      <c r="D31" s="10" t="s">
        <v>31</v>
      </c>
    </row>
    <row r="32" spans="2:5" x14ac:dyDescent="0.25">
      <c r="B32" s="8" t="s">
        <v>34</v>
      </c>
      <c r="C32" s="9">
        <f>'7. PV allocation (per period)'!K53</f>
        <v>725.16655000000014</v>
      </c>
      <c r="D32" s="10" t="s">
        <v>31</v>
      </c>
    </row>
    <row r="33" spans="2:5" x14ac:dyDescent="0.25">
      <c r="B33" s="8" t="s">
        <v>35</v>
      </c>
      <c r="C33" s="9">
        <f>'7. PV allocation (per period)'!L53</f>
        <v>2616.0428000000002</v>
      </c>
      <c r="D33" s="10" t="s">
        <v>31</v>
      </c>
    </row>
    <row r="34" spans="2:5" x14ac:dyDescent="0.25">
      <c r="B34" s="8" t="s">
        <v>36</v>
      </c>
      <c r="C34" s="11">
        <f>'7. PV allocation (per period)'!K53/'7. PV allocation (per period)'!C53</f>
        <v>0.14218357020119982</v>
      </c>
      <c r="D34" s="10" t="s">
        <v>37</v>
      </c>
    </row>
    <row r="35" spans="2:5" x14ac:dyDescent="0.25">
      <c r="B35" s="8" t="s">
        <v>38</v>
      </c>
      <c r="C35" s="11">
        <f>'7. PV allocation (per period)'!K53/'7. PV allocation (per period)'!E53</f>
        <v>0.50366927349996082</v>
      </c>
      <c r="D35" s="10" t="s">
        <v>39</v>
      </c>
    </row>
    <row r="36" spans="2:5" x14ac:dyDescent="0.25">
      <c r="B36" s="8" t="s">
        <v>40</v>
      </c>
      <c r="C36" s="11">
        <f>'7. PV allocation (per period)'!M53/'7. PV allocation (per period)'!E53</f>
        <v>0.49633072650003918</v>
      </c>
      <c r="D36" s="10" t="s">
        <v>39</v>
      </c>
    </row>
    <row r="39" spans="2:5" x14ac:dyDescent="0.25">
      <c r="B39" s="2" t="s">
        <v>41</v>
      </c>
    </row>
    <row r="40" spans="2:5" x14ac:dyDescent="0.25">
      <c r="B40" s="26" t="s">
        <v>42</v>
      </c>
      <c r="C40" s="27"/>
      <c r="D40" s="27"/>
      <c r="E40" s="27"/>
    </row>
    <row r="41" spans="2:5" x14ac:dyDescent="0.25">
      <c r="B41" s="26" t="s">
        <v>43</v>
      </c>
      <c r="C41" s="27"/>
      <c r="D41" s="27"/>
      <c r="E41" s="27"/>
    </row>
    <row r="42" spans="2:5" x14ac:dyDescent="0.25">
      <c r="B42" s="26" t="s">
        <v>44</v>
      </c>
      <c r="C42" s="27"/>
      <c r="D42" s="27"/>
      <c r="E42" s="27"/>
    </row>
    <row r="43" spans="2:5" x14ac:dyDescent="0.25">
      <c r="B43" s="26" t="s">
        <v>45</v>
      </c>
      <c r="C43" s="27"/>
      <c r="D43" s="27"/>
      <c r="E43" s="27"/>
    </row>
    <row r="44" spans="2:5" x14ac:dyDescent="0.25">
      <c r="B44" s="26" t="s">
        <v>46</v>
      </c>
      <c r="C44" s="27"/>
      <c r="D44" s="27"/>
      <c r="E44" s="27"/>
    </row>
  </sheetData>
  <mergeCells count="17">
    <mergeCell ref="B44:E44"/>
    <mergeCell ref="C21:E21"/>
    <mergeCell ref="C20:E20"/>
    <mergeCell ref="C12:E12"/>
    <mergeCell ref="B43:E43"/>
    <mergeCell ref="C23:E23"/>
    <mergeCell ref="B42:E42"/>
    <mergeCell ref="C15:E15"/>
    <mergeCell ref="C22:E22"/>
    <mergeCell ref="C16:E16"/>
    <mergeCell ref="B6:E8"/>
    <mergeCell ref="B40:E40"/>
    <mergeCell ref="B41:E41"/>
    <mergeCell ref="C14:E14"/>
    <mergeCell ref="C11:E11"/>
    <mergeCell ref="C13:E13"/>
    <mergeCell ref="C19:E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21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7" customWidth="1"/>
    <col min="2" max="2" width="26" customWidth="1"/>
    <col min="3" max="3" width="16" customWidth="1"/>
    <col min="4" max="4" width="7" customWidth="1"/>
    <col min="5" max="6" width="13" customWidth="1"/>
  </cols>
  <sheetData>
    <row r="1" spans="1:6" ht="19.5" x14ac:dyDescent="0.3">
      <c r="A1" s="1" t="s">
        <v>47</v>
      </c>
    </row>
    <row r="2" spans="1:6" x14ac:dyDescent="0.25">
      <c r="A2" s="2" t="s">
        <v>48</v>
      </c>
    </row>
    <row r="4" spans="1:6" x14ac:dyDescent="0.25">
      <c r="A4" s="5" t="s">
        <v>49</v>
      </c>
      <c r="B4" s="5" t="s">
        <v>50</v>
      </c>
      <c r="C4" s="5" t="s">
        <v>51</v>
      </c>
      <c r="D4" s="5" t="s">
        <v>52</v>
      </c>
      <c r="E4" s="5" t="s">
        <v>53</v>
      </c>
      <c r="F4" s="5" t="s">
        <v>54</v>
      </c>
    </row>
    <row r="5" spans="1:6" x14ac:dyDescent="0.25">
      <c r="A5" s="10">
        <v>459</v>
      </c>
      <c r="B5" s="12" t="s">
        <v>55</v>
      </c>
      <c r="C5" s="10" t="s">
        <v>56</v>
      </c>
      <c r="D5" s="10">
        <v>2</v>
      </c>
      <c r="E5" s="10">
        <v>0</v>
      </c>
      <c r="F5" s="10" t="s">
        <v>57</v>
      </c>
    </row>
    <row r="6" spans="1:6" ht="30" x14ac:dyDescent="0.25">
      <c r="A6" s="10">
        <v>460</v>
      </c>
      <c r="B6" s="12" t="s">
        <v>58</v>
      </c>
      <c r="C6" s="10" t="s">
        <v>59</v>
      </c>
      <c r="D6" s="10">
        <v>2</v>
      </c>
      <c r="E6" s="10">
        <v>0</v>
      </c>
      <c r="F6" s="10" t="s">
        <v>57</v>
      </c>
    </row>
    <row r="7" spans="1:6" x14ac:dyDescent="0.25">
      <c r="A7" s="10">
        <v>463</v>
      </c>
      <c r="B7" s="12" t="s">
        <v>60</v>
      </c>
      <c r="C7" s="10" t="s">
        <v>61</v>
      </c>
      <c r="D7" s="10">
        <v>2</v>
      </c>
      <c r="E7" s="10">
        <v>0</v>
      </c>
      <c r="F7" s="10" t="s">
        <v>57</v>
      </c>
    </row>
    <row r="8" spans="1:6" x14ac:dyDescent="0.25">
      <c r="A8" s="10">
        <v>467</v>
      </c>
      <c r="B8" s="12" t="s">
        <v>62</v>
      </c>
      <c r="C8" s="10" t="s">
        <v>63</v>
      </c>
      <c r="D8" s="10">
        <v>3</v>
      </c>
      <c r="E8" s="10">
        <v>0</v>
      </c>
      <c r="F8" s="10" t="s">
        <v>57</v>
      </c>
    </row>
    <row r="9" spans="1:6" ht="30" x14ac:dyDescent="0.25">
      <c r="A9" s="10">
        <v>470</v>
      </c>
      <c r="B9" s="12" t="s">
        <v>64</v>
      </c>
      <c r="C9" s="10" t="s">
        <v>65</v>
      </c>
      <c r="D9" s="10">
        <v>1</v>
      </c>
      <c r="E9" s="10">
        <v>0</v>
      </c>
      <c r="F9" s="10" t="s">
        <v>57</v>
      </c>
    </row>
    <row r="10" spans="1:6" ht="30" x14ac:dyDescent="0.25">
      <c r="A10" s="10">
        <v>472</v>
      </c>
      <c r="B10" s="12" t="s">
        <v>66</v>
      </c>
      <c r="C10" s="10" t="s">
        <v>67</v>
      </c>
      <c r="D10" s="10">
        <v>2</v>
      </c>
      <c r="E10" s="10">
        <v>0</v>
      </c>
      <c r="F10" s="10" t="s">
        <v>57</v>
      </c>
    </row>
    <row r="11" spans="1:6" x14ac:dyDescent="0.25">
      <c r="A11" s="10">
        <v>456</v>
      </c>
      <c r="B11" s="12" t="s">
        <v>68</v>
      </c>
      <c r="C11" s="10" t="s">
        <v>69</v>
      </c>
      <c r="D11" s="10">
        <v>2</v>
      </c>
      <c r="E11" s="10">
        <v>0</v>
      </c>
      <c r="F11" s="10" t="s">
        <v>57</v>
      </c>
    </row>
    <row r="12" spans="1:6" ht="30" x14ac:dyDescent="0.25">
      <c r="A12" s="10">
        <v>480</v>
      </c>
      <c r="B12" s="12" t="s">
        <v>70</v>
      </c>
      <c r="C12" s="10" t="s">
        <v>71</v>
      </c>
      <c r="D12" s="10">
        <v>2</v>
      </c>
      <c r="E12" s="10">
        <v>0</v>
      </c>
      <c r="F12" s="10" t="s">
        <v>57</v>
      </c>
    </row>
    <row r="13" spans="1:6" ht="30" x14ac:dyDescent="0.25">
      <c r="A13" s="10">
        <v>482</v>
      </c>
      <c r="B13" s="12" t="s">
        <v>72</v>
      </c>
      <c r="C13" s="10" t="s">
        <v>73</v>
      </c>
      <c r="D13" s="10">
        <v>3</v>
      </c>
      <c r="E13" s="10">
        <v>0</v>
      </c>
      <c r="F13" s="10" t="s">
        <v>57</v>
      </c>
    </row>
    <row r="14" spans="1:6" ht="30" x14ac:dyDescent="0.25">
      <c r="A14" s="10">
        <v>484</v>
      </c>
      <c r="B14" s="12" t="s">
        <v>74</v>
      </c>
      <c r="C14" s="10" t="s">
        <v>75</v>
      </c>
      <c r="D14" s="10">
        <v>1</v>
      </c>
      <c r="E14" s="10">
        <v>0</v>
      </c>
      <c r="F14" s="10" t="s">
        <v>57</v>
      </c>
    </row>
    <row r="15" spans="1:6" x14ac:dyDescent="0.25">
      <c r="A15" s="10">
        <v>485</v>
      </c>
      <c r="B15" s="12" t="s">
        <v>76</v>
      </c>
      <c r="C15" s="10" t="s">
        <v>77</v>
      </c>
      <c r="D15" s="10">
        <v>1</v>
      </c>
      <c r="E15" s="10">
        <v>0</v>
      </c>
      <c r="F15" s="10" t="s">
        <v>57</v>
      </c>
    </row>
    <row r="16" spans="1:6" ht="30" x14ac:dyDescent="0.25">
      <c r="A16" s="10">
        <v>488</v>
      </c>
      <c r="B16" s="12" t="s">
        <v>78</v>
      </c>
      <c r="C16" s="10" t="s">
        <v>79</v>
      </c>
      <c r="D16" s="10">
        <v>3</v>
      </c>
      <c r="E16" s="10">
        <v>0</v>
      </c>
      <c r="F16" s="10" t="s">
        <v>57</v>
      </c>
    </row>
    <row r="17" spans="1:6" x14ac:dyDescent="0.25">
      <c r="A17" s="10">
        <v>489</v>
      </c>
      <c r="B17" s="12" t="s">
        <v>80</v>
      </c>
      <c r="C17" s="10" t="s">
        <v>81</v>
      </c>
      <c r="D17" s="10">
        <v>3</v>
      </c>
      <c r="E17" s="10">
        <v>0</v>
      </c>
      <c r="F17" s="10" t="s">
        <v>57</v>
      </c>
    </row>
    <row r="18" spans="1:6" ht="30" x14ac:dyDescent="0.25">
      <c r="A18" s="10">
        <v>490</v>
      </c>
      <c r="B18" s="12" t="s">
        <v>82</v>
      </c>
      <c r="C18" s="10" t="s">
        <v>83</v>
      </c>
      <c r="D18" s="10">
        <v>3</v>
      </c>
      <c r="E18" s="10">
        <v>0</v>
      </c>
      <c r="F18" s="10" t="s">
        <v>57</v>
      </c>
    </row>
    <row r="19" spans="1:6" x14ac:dyDescent="0.25">
      <c r="A19" s="10">
        <v>491</v>
      </c>
      <c r="B19" s="12" t="s">
        <v>84</v>
      </c>
      <c r="C19" s="10" t="s">
        <v>85</v>
      </c>
      <c r="D19" s="10">
        <v>2</v>
      </c>
      <c r="E19" s="10">
        <v>0</v>
      </c>
      <c r="F19" s="10" t="s">
        <v>57</v>
      </c>
    </row>
    <row r="20" spans="1:6" x14ac:dyDescent="0.25">
      <c r="A20" s="10">
        <v>493</v>
      </c>
      <c r="B20" s="12" t="s">
        <v>86</v>
      </c>
      <c r="C20" s="10" t="s">
        <v>87</v>
      </c>
      <c r="D20" s="10">
        <v>3</v>
      </c>
      <c r="E20" s="10">
        <v>0</v>
      </c>
      <c r="F20" s="10" t="s">
        <v>57</v>
      </c>
    </row>
    <row r="21" spans="1:6" ht="30" x14ac:dyDescent="0.25">
      <c r="A21" s="10">
        <v>494</v>
      </c>
      <c r="B21" s="12" t="s">
        <v>88</v>
      </c>
      <c r="C21" s="10" t="s">
        <v>89</v>
      </c>
      <c r="D21" s="10">
        <v>3</v>
      </c>
      <c r="E21" s="10">
        <v>0</v>
      </c>
      <c r="F21" s="10" t="s">
        <v>57</v>
      </c>
    </row>
    <row r="22" spans="1:6" x14ac:dyDescent="0.25">
      <c r="A22" s="10">
        <v>478</v>
      </c>
      <c r="B22" s="12" t="s">
        <v>90</v>
      </c>
      <c r="C22" s="10" t="s">
        <v>91</v>
      </c>
      <c r="D22" s="10">
        <v>2</v>
      </c>
      <c r="E22" s="10">
        <v>0</v>
      </c>
      <c r="F22" s="10" t="s">
        <v>57</v>
      </c>
    </row>
    <row r="23" spans="1:6" x14ac:dyDescent="0.25">
      <c r="A23" s="10">
        <v>503</v>
      </c>
      <c r="B23" s="12" t="s">
        <v>92</v>
      </c>
      <c r="C23" s="10" t="s">
        <v>93</v>
      </c>
      <c r="D23" s="10">
        <v>2</v>
      </c>
      <c r="E23" s="10">
        <v>0</v>
      </c>
      <c r="F23" s="10" t="s">
        <v>57</v>
      </c>
    </row>
    <row r="24" spans="1:6" x14ac:dyDescent="0.25">
      <c r="A24" s="10">
        <v>505</v>
      </c>
      <c r="B24" s="12" t="s">
        <v>94</v>
      </c>
      <c r="C24" s="10" t="s">
        <v>95</v>
      </c>
      <c r="D24" s="10">
        <v>2</v>
      </c>
      <c r="E24" s="10">
        <v>0</v>
      </c>
      <c r="F24" s="10" t="s">
        <v>57</v>
      </c>
    </row>
    <row r="25" spans="1:6" ht="30" x14ac:dyDescent="0.25">
      <c r="A25" s="10">
        <v>508</v>
      </c>
      <c r="B25" s="12" t="s">
        <v>96</v>
      </c>
      <c r="C25" s="10" t="s">
        <v>97</v>
      </c>
      <c r="D25" s="10">
        <v>1</v>
      </c>
      <c r="E25" s="10">
        <v>0</v>
      </c>
      <c r="F25" s="10" t="s">
        <v>57</v>
      </c>
    </row>
    <row r="26" spans="1:6" x14ac:dyDescent="0.25">
      <c r="A26" s="10">
        <v>513</v>
      </c>
      <c r="B26" s="12" t="s">
        <v>98</v>
      </c>
      <c r="C26" s="10" t="s">
        <v>99</v>
      </c>
      <c r="D26" s="10">
        <v>2</v>
      </c>
      <c r="E26" s="10">
        <v>0</v>
      </c>
      <c r="F26" s="10" t="s">
        <v>57</v>
      </c>
    </row>
    <row r="27" spans="1:6" ht="30" x14ac:dyDescent="0.25">
      <c r="A27" s="10">
        <v>514</v>
      </c>
      <c r="B27" s="12" t="s">
        <v>100</v>
      </c>
      <c r="C27" s="10" t="s">
        <v>101</v>
      </c>
      <c r="D27" s="10">
        <v>2</v>
      </c>
      <c r="E27" s="10">
        <v>0</v>
      </c>
      <c r="F27" s="10" t="s">
        <v>57</v>
      </c>
    </row>
    <row r="28" spans="1:6" x14ac:dyDescent="0.25">
      <c r="A28" s="10">
        <v>515</v>
      </c>
      <c r="B28" s="12" t="s">
        <v>102</v>
      </c>
      <c r="C28" s="10" t="s">
        <v>103</v>
      </c>
      <c r="D28" s="10">
        <v>3</v>
      </c>
      <c r="E28" s="10">
        <v>0</v>
      </c>
      <c r="F28" s="10" t="s">
        <v>57</v>
      </c>
    </row>
    <row r="29" spans="1:6" x14ac:dyDescent="0.25">
      <c r="A29" s="10">
        <v>519</v>
      </c>
      <c r="B29" s="12" t="s">
        <v>104</v>
      </c>
      <c r="C29" s="10" t="s">
        <v>105</v>
      </c>
      <c r="D29" s="10">
        <v>1</v>
      </c>
      <c r="E29" s="10">
        <v>0</v>
      </c>
      <c r="F29" s="10" t="s">
        <v>57</v>
      </c>
    </row>
    <row r="30" spans="1:6" ht="30" x14ac:dyDescent="0.25">
      <c r="A30" s="10">
        <v>520</v>
      </c>
      <c r="B30" s="12" t="s">
        <v>106</v>
      </c>
      <c r="C30" s="10" t="s">
        <v>107</v>
      </c>
      <c r="D30" s="10">
        <v>1</v>
      </c>
      <c r="E30" s="10">
        <v>0</v>
      </c>
      <c r="F30" s="10" t="s">
        <v>57</v>
      </c>
    </row>
    <row r="31" spans="1:6" x14ac:dyDescent="0.25">
      <c r="A31" s="10">
        <v>500</v>
      </c>
      <c r="B31" s="12" t="s">
        <v>108</v>
      </c>
      <c r="C31" s="10" t="s">
        <v>109</v>
      </c>
      <c r="D31" s="10">
        <v>1</v>
      </c>
      <c r="E31" s="10">
        <v>0</v>
      </c>
      <c r="F31" s="10" t="s">
        <v>57</v>
      </c>
    </row>
    <row r="32" spans="1:6" x14ac:dyDescent="0.25">
      <c r="A32" s="10">
        <v>521</v>
      </c>
      <c r="B32" s="12" t="s">
        <v>110</v>
      </c>
      <c r="C32" s="10" t="s">
        <v>111</v>
      </c>
      <c r="D32" s="10">
        <v>1</v>
      </c>
      <c r="E32" s="10">
        <v>0</v>
      </c>
      <c r="F32" s="10" t="s">
        <v>57</v>
      </c>
    </row>
    <row r="33" spans="1:6" x14ac:dyDescent="0.25">
      <c r="A33" s="10">
        <v>525</v>
      </c>
      <c r="B33" s="12" t="s">
        <v>112</v>
      </c>
      <c r="C33" s="10" t="s">
        <v>113</v>
      </c>
      <c r="D33" s="10">
        <v>2</v>
      </c>
      <c r="E33" s="10">
        <v>0</v>
      </c>
      <c r="F33" s="10" t="s">
        <v>57</v>
      </c>
    </row>
    <row r="34" spans="1:6" ht="30" x14ac:dyDescent="0.25">
      <c r="A34" s="10">
        <v>526</v>
      </c>
      <c r="B34" s="12" t="s">
        <v>114</v>
      </c>
      <c r="C34" s="10" t="s">
        <v>115</v>
      </c>
      <c r="D34" s="10">
        <v>2</v>
      </c>
      <c r="E34" s="10">
        <v>0</v>
      </c>
      <c r="F34" s="10" t="s">
        <v>57</v>
      </c>
    </row>
    <row r="35" spans="1:6" ht="30" x14ac:dyDescent="0.25">
      <c r="A35" s="10">
        <v>528</v>
      </c>
      <c r="B35" s="12" t="s">
        <v>116</v>
      </c>
      <c r="C35" s="10" t="s">
        <v>117</v>
      </c>
      <c r="D35" s="10">
        <v>3</v>
      </c>
      <c r="E35" s="10">
        <v>0</v>
      </c>
      <c r="F35" s="10" t="s">
        <v>57</v>
      </c>
    </row>
    <row r="36" spans="1:6" x14ac:dyDescent="0.25">
      <c r="A36" s="10">
        <v>529</v>
      </c>
      <c r="B36" s="12" t="s">
        <v>118</v>
      </c>
      <c r="C36" s="10" t="s">
        <v>119</v>
      </c>
      <c r="D36" s="10">
        <v>3</v>
      </c>
      <c r="E36" s="10">
        <v>0</v>
      </c>
      <c r="F36" s="10" t="s">
        <v>57</v>
      </c>
    </row>
    <row r="37" spans="1:6" ht="30" x14ac:dyDescent="0.25">
      <c r="A37" s="10">
        <v>530</v>
      </c>
      <c r="B37" s="12" t="s">
        <v>120</v>
      </c>
      <c r="C37" s="10" t="s">
        <v>121</v>
      </c>
      <c r="D37" s="10">
        <v>3</v>
      </c>
      <c r="E37" s="10">
        <v>0</v>
      </c>
      <c r="F37" s="10" t="s">
        <v>57</v>
      </c>
    </row>
    <row r="38" spans="1:6" x14ac:dyDescent="0.25">
      <c r="A38" s="10">
        <v>531</v>
      </c>
      <c r="B38" s="12" t="s">
        <v>122</v>
      </c>
      <c r="C38" s="10" t="s">
        <v>123</v>
      </c>
      <c r="D38" s="10">
        <v>2</v>
      </c>
      <c r="E38" s="10">
        <v>0</v>
      </c>
      <c r="F38" s="10" t="s">
        <v>57</v>
      </c>
    </row>
    <row r="39" spans="1:6" ht="30" x14ac:dyDescent="0.25">
      <c r="A39" s="10">
        <v>532</v>
      </c>
      <c r="B39" s="12" t="s">
        <v>124</v>
      </c>
      <c r="C39" s="10" t="s">
        <v>125</v>
      </c>
      <c r="D39" s="10">
        <v>2</v>
      </c>
      <c r="E39" s="10">
        <v>0</v>
      </c>
      <c r="F39" s="10" t="s">
        <v>57</v>
      </c>
    </row>
    <row r="40" spans="1:6" x14ac:dyDescent="0.25">
      <c r="A40" s="10">
        <v>533</v>
      </c>
      <c r="B40" s="12" t="s">
        <v>126</v>
      </c>
      <c r="C40" s="10" t="s">
        <v>127</v>
      </c>
      <c r="D40" s="10">
        <v>1</v>
      </c>
      <c r="E40" s="10">
        <v>0</v>
      </c>
      <c r="F40" s="10" t="s">
        <v>57</v>
      </c>
    </row>
    <row r="41" spans="1:6" ht="30" x14ac:dyDescent="0.25">
      <c r="A41" s="10">
        <v>534</v>
      </c>
      <c r="B41" s="12" t="s">
        <v>128</v>
      </c>
      <c r="C41" s="10" t="s">
        <v>129</v>
      </c>
      <c r="D41" s="10">
        <v>1</v>
      </c>
      <c r="E41" s="10">
        <v>0</v>
      </c>
      <c r="F41" s="10" t="s">
        <v>57</v>
      </c>
    </row>
    <row r="42" spans="1:6" ht="30" x14ac:dyDescent="0.25">
      <c r="A42" s="10">
        <v>540</v>
      </c>
      <c r="B42" s="12" t="s">
        <v>130</v>
      </c>
      <c r="C42" s="10" t="s">
        <v>131</v>
      </c>
      <c r="D42" s="10">
        <v>2</v>
      </c>
      <c r="E42" s="10">
        <v>0</v>
      </c>
      <c r="F42" s="10" t="s">
        <v>57</v>
      </c>
    </row>
    <row r="43" spans="1:6" x14ac:dyDescent="0.25">
      <c r="A43" s="10">
        <v>541</v>
      </c>
      <c r="B43" s="12" t="s">
        <v>132</v>
      </c>
      <c r="C43" s="10" t="s">
        <v>133</v>
      </c>
      <c r="D43" s="10">
        <v>1</v>
      </c>
      <c r="E43" s="10">
        <v>0</v>
      </c>
      <c r="F43" s="10" t="s">
        <v>57</v>
      </c>
    </row>
    <row r="44" spans="1:6" x14ac:dyDescent="0.25">
      <c r="A44" s="10">
        <v>546</v>
      </c>
      <c r="B44" s="12" t="s">
        <v>134</v>
      </c>
      <c r="C44" s="10" t="s">
        <v>135</v>
      </c>
      <c r="D44" s="10">
        <v>1</v>
      </c>
      <c r="E44" s="10">
        <v>0</v>
      </c>
      <c r="F44" s="10" t="s">
        <v>57</v>
      </c>
    </row>
    <row r="45" spans="1:6" ht="30" x14ac:dyDescent="0.25">
      <c r="A45" s="10">
        <v>548</v>
      </c>
      <c r="B45" s="12" t="s">
        <v>136</v>
      </c>
      <c r="C45" s="10" t="s">
        <v>137</v>
      </c>
      <c r="D45" s="10">
        <v>1</v>
      </c>
      <c r="E45" s="10">
        <v>0</v>
      </c>
      <c r="F45" s="10" t="s">
        <v>57</v>
      </c>
    </row>
    <row r="46" spans="1:6" ht="30" x14ac:dyDescent="0.25">
      <c r="A46" s="10">
        <v>550</v>
      </c>
      <c r="B46" s="12" t="s">
        <v>138</v>
      </c>
      <c r="C46" s="10" t="s">
        <v>139</v>
      </c>
      <c r="D46" s="10">
        <v>1</v>
      </c>
      <c r="E46" s="10">
        <v>0</v>
      </c>
      <c r="F46" s="10" t="s">
        <v>57</v>
      </c>
    </row>
    <row r="47" spans="1:6" ht="30" x14ac:dyDescent="0.25">
      <c r="A47" s="10">
        <v>552</v>
      </c>
      <c r="B47" s="12" t="s">
        <v>140</v>
      </c>
      <c r="C47" s="10" t="s">
        <v>141</v>
      </c>
      <c r="D47" s="10">
        <v>1</v>
      </c>
      <c r="E47" s="10">
        <v>0</v>
      </c>
      <c r="F47" s="10" t="s">
        <v>57</v>
      </c>
    </row>
    <row r="48" spans="1:6" x14ac:dyDescent="0.25">
      <c r="A48" s="10">
        <v>553</v>
      </c>
      <c r="B48" s="12" t="s">
        <v>142</v>
      </c>
      <c r="C48" s="10" t="s">
        <v>143</v>
      </c>
      <c r="D48" s="10">
        <v>3</v>
      </c>
      <c r="E48" s="10">
        <v>0</v>
      </c>
      <c r="F48" s="10" t="s">
        <v>57</v>
      </c>
    </row>
    <row r="49" spans="1:6" x14ac:dyDescent="0.25">
      <c r="A49" s="10">
        <v>554</v>
      </c>
      <c r="B49" s="12" t="s">
        <v>144</v>
      </c>
      <c r="C49" s="10" t="s">
        <v>145</v>
      </c>
      <c r="D49" s="10">
        <v>2</v>
      </c>
      <c r="E49" s="10">
        <v>0</v>
      </c>
      <c r="F49" s="10" t="s">
        <v>57</v>
      </c>
    </row>
    <row r="50" spans="1:6" x14ac:dyDescent="0.25">
      <c r="A50" s="10">
        <v>556</v>
      </c>
      <c r="B50" s="12" t="s">
        <v>146</v>
      </c>
      <c r="C50" s="10" t="s">
        <v>147</v>
      </c>
      <c r="D50" s="10">
        <v>3</v>
      </c>
      <c r="E50" s="10">
        <v>0</v>
      </c>
      <c r="F50" s="10" t="s">
        <v>57</v>
      </c>
    </row>
    <row r="51" spans="1:6" x14ac:dyDescent="0.25">
      <c r="A51" s="10">
        <v>558</v>
      </c>
      <c r="B51" s="12" t="s">
        <v>148</v>
      </c>
      <c r="C51" s="10" t="s">
        <v>149</v>
      </c>
      <c r="D51" s="10">
        <v>3</v>
      </c>
      <c r="E51" s="10">
        <v>0</v>
      </c>
      <c r="F51" s="10" t="s">
        <v>57</v>
      </c>
    </row>
    <row r="52" spans="1:6" x14ac:dyDescent="0.25">
      <c r="A52" s="10">
        <v>564</v>
      </c>
      <c r="B52" s="12" t="s">
        <v>150</v>
      </c>
      <c r="C52" s="10" t="s">
        <v>151</v>
      </c>
      <c r="D52" s="10">
        <v>3</v>
      </c>
      <c r="E52" s="10">
        <v>0</v>
      </c>
      <c r="F52" s="10" t="s">
        <v>57</v>
      </c>
    </row>
    <row r="53" spans="1:6" x14ac:dyDescent="0.25">
      <c r="A53" s="10">
        <v>568</v>
      </c>
      <c r="B53" s="12" t="s">
        <v>152</v>
      </c>
      <c r="C53" s="10" t="s">
        <v>153</v>
      </c>
      <c r="D53" s="10">
        <v>2</v>
      </c>
      <c r="E53" s="10">
        <v>0</v>
      </c>
      <c r="F53" s="10" t="s">
        <v>57</v>
      </c>
    </row>
    <row r="54" spans="1:6" x14ac:dyDescent="0.25">
      <c r="A54" s="10">
        <v>569</v>
      </c>
      <c r="B54" s="12" t="s">
        <v>154</v>
      </c>
      <c r="C54" s="10" t="s">
        <v>155</v>
      </c>
      <c r="D54" s="10">
        <v>3</v>
      </c>
      <c r="E54" s="10">
        <v>0</v>
      </c>
      <c r="F54" s="10" t="s">
        <v>57</v>
      </c>
    </row>
    <row r="55" spans="1:6" x14ac:dyDescent="0.25">
      <c r="A55" s="10">
        <v>571</v>
      </c>
      <c r="B55" s="12" t="s">
        <v>156</v>
      </c>
      <c r="C55" s="10" t="s">
        <v>157</v>
      </c>
      <c r="D55" s="10">
        <v>2</v>
      </c>
      <c r="E55" s="10">
        <v>0</v>
      </c>
      <c r="F55" s="10" t="s">
        <v>57</v>
      </c>
    </row>
    <row r="56" spans="1:6" x14ac:dyDescent="0.25">
      <c r="A56" s="10">
        <v>576</v>
      </c>
      <c r="B56" s="12" t="s">
        <v>158</v>
      </c>
      <c r="C56" s="10" t="s">
        <v>159</v>
      </c>
      <c r="D56" s="10">
        <v>2</v>
      </c>
      <c r="E56" s="10">
        <v>0</v>
      </c>
      <c r="F56" s="10" t="s">
        <v>57</v>
      </c>
    </row>
    <row r="57" spans="1:6" x14ac:dyDescent="0.25">
      <c r="A57" s="10">
        <v>577</v>
      </c>
      <c r="B57" s="12" t="s">
        <v>160</v>
      </c>
      <c r="C57" s="10" t="s">
        <v>161</v>
      </c>
      <c r="D57" s="10">
        <v>3</v>
      </c>
      <c r="E57" s="10">
        <v>0</v>
      </c>
      <c r="F57" s="10" t="s">
        <v>57</v>
      </c>
    </row>
    <row r="58" spans="1:6" x14ac:dyDescent="0.25">
      <c r="A58" s="10">
        <v>578</v>
      </c>
      <c r="B58" s="12" t="s">
        <v>162</v>
      </c>
      <c r="C58" s="10" t="s">
        <v>163</v>
      </c>
      <c r="D58" s="10">
        <v>3</v>
      </c>
      <c r="E58" s="10">
        <v>0</v>
      </c>
      <c r="F58" s="10" t="s">
        <v>57</v>
      </c>
    </row>
    <row r="59" spans="1:6" x14ac:dyDescent="0.25">
      <c r="A59" s="10">
        <v>580</v>
      </c>
      <c r="B59" s="12" t="s">
        <v>164</v>
      </c>
      <c r="C59" s="10" t="s">
        <v>165</v>
      </c>
      <c r="D59" s="10">
        <v>2</v>
      </c>
      <c r="E59" s="10">
        <v>0</v>
      </c>
      <c r="F59" s="10" t="s">
        <v>57</v>
      </c>
    </row>
    <row r="60" spans="1:6" x14ac:dyDescent="0.25">
      <c r="A60" s="10">
        <v>584</v>
      </c>
      <c r="B60" s="12" t="s">
        <v>166</v>
      </c>
      <c r="C60" s="10" t="s">
        <v>167</v>
      </c>
      <c r="D60" s="10">
        <v>1</v>
      </c>
      <c r="E60" s="10">
        <v>0</v>
      </c>
      <c r="F60" s="10" t="s">
        <v>57</v>
      </c>
    </row>
    <row r="61" spans="1:6" x14ac:dyDescent="0.25">
      <c r="A61" s="10">
        <v>587</v>
      </c>
      <c r="B61" s="12" t="s">
        <v>168</v>
      </c>
      <c r="C61" s="10" t="s">
        <v>169</v>
      </c>
      <c r="D61" s="10">
        <v>1</v>
      </c>
      <c r="E61" s="10">
        <v>0</v>
      </c>
      <c r="F61" s="10" t="s">
        <v>57</v>
      </c>
    </row>
    <row r="62" spans="1:6" x14ac:dyDescent="0.25">
      <c r="A62" s="10">
        <v>588</v>
      </c>
      <c r="B62" s="12" t="s">
        <v>170</v>
      </c>
      <c r="C62" s="10" t="s">
        <v>171</v>
      </c>
      <c r="D62" s="10">
        <v>1</v>
      </c>
      <c r="E62" s="10">
        <v>0</v>
      </c>
      <c r="F62" s="10" t="s">
        <v>57</v>
      </c>
    </row>
    <row r="63" spans="1:6" x14ac:dyDescent="0.25">
      <c r="A63" s="10">
        <v>589</v>
      </c>
      <c r="B63" s="12" t="s">
        <v>172</v>
      </c>
      <c r="C63" s="10" t="s">
        <v>173</v>
      </c>
      <c r="D63" s="10">
        <v>2</v>
      </c>
      <c r="E63" s="10">
        <v>0</v>
      </c>
      <c r="F63" s="10" t="s">
        <v>57</v>
      </c>
    </row>
    <row r="64" spans="1:6" x14ac:dyDescent="0.25">
      <c r="A64" s="10">
        <v>590</v>
      </c>
      <c r="B64" s="12" t="s">
        <v>174</v>
      </c>
      <c r="C64" s="10" t="s">
        <v>175</v>
      </c>
      <c r="D64" s="10">
        <v>3</v>
      </c>
      <c r="E64" s="10">
        <v>0</v>
      </c>
      <c r="F64" s="10" t="s">
        <v>57</v>
      </c>
    </row>
    <row r="65" spans="1:6" x14ac:dyDescent="0.25">
      <c r="A65" s="10">
        <v>591</v>
      </c>
      <c r="B65" s="12" t="s">
        <v>176</v>
      </c>
      <c r="C65" s="10" t="s">
        <v>177</v>
      </c>
      <c r="D65" s="10">
        <v>3</v>
      </c>
      <c r="E65" s="10">
        <v>0</v>
      </c>
      <c r="F65" s="10" t="s">
        <v>57</v>
      </c>
    </row>
    <row r="66" spans="1:6" x14ac:dyDescent="0.25">
      <c r="A66" s="10">
        <v>592</v>
      </c>
      <c r="B66" s="12" t="s">
        <v>178</v>
      </c>
      <c r="C66" s="10" t="s">
        <v>179</v>
      </c>
      <c r="D66" s="10">
        <v>1</v>
      </c>
      <c r="E66" s="10">
        <v>0</v>
      </c>
      <c r="F66" s="10" t="s">
        <v>57</v>
      </c>
    </row>
    <row r="67" spans="1:6" x14ac:dyDescent="0.25">
      <c r="A67" s="10">
        <v>596</v>
      </c>
      <c r="B67" s="12" t="s">
        <v>180</v>
      </c>
      <c r="C67" s="10" t="s">
        <v>181</v>
      </c>
      <c r="D67" s="10">
        <v>3</v>
      </c>
      <c r="E67" s="10">
        <v>0</v>
      </c>
      <c r="F67" s="10" t="s">
        <v>57</v>
      </c>
    </row>
    <row r="68" spans="1:6" x14ac:dyDescent="0.25">
      <c r="A68" s="10">
        <v>599</v>
      </c>
      <c r="B68" s="12" t="s">
        <v>182</v>
      </c>
      <c r="C68" s="10" t="s">
        <v>183</v>
      </c>
      <c r="D68" s="10">
        <v>1</v>
      </c>
      <c r="E68" s="10">
        <v>0</v>
      </c>
      <c r="F68" s="10" t="s">
        <v>57</v>
      </c>
    </row>
    <row r="69" spans="1:6" x14ac:dyDescent="0.25">
      <c r="A69" s="10">
        <v>600</v>
      </c>
      <c r="B69" s="12" t="s">
        <v>184</v>
      </c>
      <c r="C69" s="10" t="s">
        <v>185</v>
      </c>
      <c r="D69" s="10">
        <v>2</v>
      </c>
      <c r="E69" s="10">
        <v>0</v>
      </c>
      <c r="F69" s="10" t="s">
        <v>57</v>
      </c>
    </row>
    <row r="70" spans="1:6" x14ac:dyDescent="0.25">
      <c r="A70" s="10">
        <v>601</v>
      </c>
      <c r="B70" s="12" t="s">
        <v>186</v>
      </c>
      <c r="C70" s="10" t="s">
        <v>187</v>
      </c>
      <c r="D70" s="10">
        <v>1</v>
      </c>
      <c r="E70" s="10">
        <v>0</v>
      </c>
      <c r="F70" s="10" t="s">
        <v>57</v>
      </c>
    </row>
    <row r="71" spans="1:6" x14ac:dyDescent="0.25">
      <c r="A71" s="10">
        <v>602</v>
      </c>
      <c r="B71" s="12" t="s">
        <v>188</v>
      </c>
      <c r="C71" s="10" t="s">
        <v>189</v>
      </c>
      <c r="D71" s="10">
        <v>3</v>
      </c>
      <c r="E71" s="10">
        <v>0</v>
      </c>
      <c r="F71" s="10" t="s">
        <v>57</v>
      </c>
    </row>
    <row r="72" spans="1:6" x14ac:dyDescent="0.25">
      <c r="A72" s="10">
        <v>603</v>
      </c>
      <c r="B72" s="12" t="s">
        <v>190</v>
      </c>
      <c r="C72" s="10" t="s">
        <v>191</v>
      </c>
      <c r="D72" s="10">
        <v>1</v>
      </c>
      <c r="E72" s="10">
        <v>0</v>
      </c>
      <c r="F72" s="10" t="s">
        <v>57</v>
      </c>
    </row>
    <row r="73" spans="1:6" x14ac:dyDescent="0.25">
      <c r="A73" s="10">
        <v>605</v>
      </c>
      <c r="B73" s="12" t="s">
        <v>192</v>
      </c>
      <c r="C73" s="10" t="s">
        <v>193</v>
      </c>
      <c r="D73" s="10">
        <v>1</v>
      </c>
      <c r="E73" s="10">
        <v>0</v>
      </c>
      <c r="F73" s="10" t="s">
        <v>57</v>
      </c>
    </row>
    <row r="74" spans="1:6" x14ac:dyDescent="0.25">
      <c r="A74" s="10">
        <v>609</v>
      </c>
      <c r="B74" s="12" t="s">
        <v>194</v>
      </c>
      <c r="C74" s="10" t="s">
        <v>195</v>
      </c>
      <c r="D74" s="10">
        <v>2</v>
      </c>
      <c r="E74" s="10">
        <v>0</v>
      </c>
      <c r="F74" s="10" t="s">
        <v>57</v>
      </c>
    </row>
    <row r="75" spans="1:6" x14ac:dyDescent="0.25">
      <c r="A75" s="10">
        <v>610</v>
      </c>
      <c r="B75" s="12" t="s">
        <v>196</v>
      </c>
      <c r="C75" s="10" t="s">
        <v>197</v>
      </c>
      <c r="D75" s="10">
        <v>2</v>
      </c>
      <c r="E75" s="10">
        <v>0</v>
      </c>
      <c r="F75" s="10" t="s">
        <v>57</v>
      </c>
    </row>
    <row r="76" spans="1:6" x14ac:dyDescent="0.25">
      <c r="A76" s="10">
        <v>611</v>
      </c>
      <c r="B76" s="12" t="s">
        <v>198</v>
      </c>
      <c r="C76" s="10" t="s">
        <v>199</v>
      </c>
      <c r="D76" s="10">
        <v>2</v>
      </c>
      <c r="E76" s="10">
        <v>0</v>
      </c>
      <c r="F76" s="10" t="s">
        <v>57</v>
      </c>
    </row>
    <row r="77" spans="1:6" x14ac:dyDescent="0.25">
      <c r="A77" s="10">
        <v>615</v>
      </c>
      <c r="B77" s="12" t="s">
        <v>200</v>
      </c>
      <c r="C77" s="10" t="s">
        <v>201</v>
      </c>
      <c r="D77" s="10">
        <v>2</v>
      </c>
      <c r="E77" s="10">
        <v>0</v>
      </c>
      <c r="F77" s="10" t="s">
        <v>57</v>
      </c>
    </row>
    <row r="78" spans="1:6" x14ac:dyDescent="0.25">
      <c r="A78" s="10">
        <v>616</v>
      </c>
      <c r="B78" s="12" t="s">
        <v>202</v>
      </c>
      <c r="C78" s="10" t="s">
        <v>203</v>
      </c>
      <c r="D78" s="10">
        <v>1</v>
      </c>
      <c r="E78" s="10">
        <v>0</v>
      </c>
      <c r="F78" s="10" t="s">
        <v>57</v>
      </c>
    </row>
    <row r="79" spans="1:6" x14ac:dyDescent="0.25">
      <c r="A79" s="10">
        <v>617</v>
      </c>
      <c r="B79" s="12" t="s">
        <v>204</v>
      </c>
      <c r="C79" s="10" t="s">
        <v>205</v>
      </c>
      <c r="D79" s="10">
        <v>2</v>
      </c>
      <c r="E79" s="10">
        <v>0</v>
      </c>
      <c r="F79" s="10" t="s">
        <v>57</v>
      </c>
    </row>
    <row r="80" spans="1:6" x14ac:dyDescent="0.25">
      <c r="A80" s="10">
        <v>618</v>
      </c>
      <c r="B80" s="12" t="s">
        <v>206</v>
      </c>
      <c r="C80" s="10" t="s">
        <v>207</v>
      </c>
      <c r="D80" s="10">
        <v>1</v>
      </c>
      <c r="E80" s="10">
        <v>0</v>
      </c>
      <c r="F80" s="10" t="s">
        <v>57</v>
      </c>
    </row>
    <row r="81" spans="1:6" x14ac:dyDescent="0.25">
      <c r="A81" s="10">
        <v>620</v>
      </c>
      <c r="B81" s="12" t="s">
        <v>208</v>
      </c>
      <c r="C81" s="10" t="s">
        <v>209</v>
      </c>
      <c r="D81" s="10">
        <v>3</v>
      </c>
      <c r="E81" s="10">
        <v>0</v>
      </c>
      <c r="F81" s="10" t="s">
        <v>57</v>
      </c>
    </row>
    <row r="82" spans="1:6" x14ac:dyDescent="0.25">
      <c r="A82" s="10">
        <v>621</v>
      </c>
      <c r="B82" s="12" t="s">
        <v>210</v>
      </c>
      <c r="C82" s="10" t="s">
        <v>211</v>
      </c>
      <c r="D82" s="10">
        <v>3</v>
      </c>
      <c r="E82" s="10">
        <v>0</v>
      </c>
      <c r="F82" s="10" t="s">
        <v>57</v>
      </c>
    </row>
    <row r="83" spans="1:6" x14ac:dyDescent="0.25">
      <c r="A83" s="10">
        <v>622</v>
      </c>
      <c r="B83" s="12" t="s">
        <v>212</v>
      </c>
      <c r="C83" s="10" t="s">
        <v>213</v>
      </c>
      <c r="D83" s="10">
        <v>3</v>
      </c>
      <c r="E83" s="10">
        <v>0</v>
      </c>
      <c r="F83" s="10" t="s">
        <v>57</v>
      </c>
    </row>
    <row r="84" spans="1:6" x14ac:dyDescent="0.25">
      <c r="A84" s="10">
        <v>625</v>
      </c>
      <c r="B84" s="12" t="s">
        <v>214</v>
      </c>
      <c r="C84" s="10" t="s">
        <v>215</v>
      </c>
      <c r="D84" s="10">
        <v>3</v>
      </c>
      <c r="E84" s="10">
        <v>0</v>
      </c>
      <c r="F84" s="10" t="s">
        <v>57</v>
      </c>
    </row>
    <row r="85" spans="1:6" x14ac:dyDescent="0.25">
      <c r="A85" s="10">
        <v>626</v>
      </c>
      <c r="B85" s="12" t="s">
        <v>216</v>
      </c>
      <c r="C85" s="10" t="s">
        <v>217</v>
      </c>
      <c r="D85" s="10">
        <v>2</v>
      </c>
      <c r="E85" s="10">
        <v>0</v>
      </c>
      <c r="F85" s="10" t="s">
        <v>57</v>
      </c>
    </row>
    <row r="86" spans="1:6" x14ac:dyDescent="0.25">
      <c r="A86" s="10">
        <v>627</v>
      </c>
      <c r="B86" s="12" t="s">
        <v>218</v>
      </c>
      <c r="C86" s="10" t="s">
        <v>219</v>
      </c>
      <c r="D86" s="10">
        <v>1</v>
      </c>
      <c r="E86" s="10">
        <v>0</v>
      </c>
      <c r="F86" s="10" t="s">
        <v>57</v>
      </c>
    </row>
    <row r="87" spans="1:6" x14ac:dyDescent="0.25">
      <c r="A87" s="10">
        <v>629</v>
      </c>
      <c r="B87" s="12" t="s">
        <v>220</v>
      </c>
      <c r="C87" s="10" t="s">
        <v>221</v>
      </c>
      <c r="D87" s="10">
        <v>3</v>
      </c>
      <c r="E87" s="10">
        <v>0</v>
      </c>
      <c r="F87" s="10" t="s">
        <v>57</v>
      </c>
    </row>
    <row r="88" spans="1:6" x14ac:dyDescent="0.25">
      <c r="A88" s="10">
        <v>630</v>
      </c>
      <c r="B88" s="12" t="s">
        <v>222</v>
      </c>
      <c r="C88" s="10" t="s">
        <v>223</v>
      </c>
      <c r="D88" s="10">
        <v>1</v>
      </c>
      <c r="E88" s="10">
        <v>0</v>
      </c>
      <c r="F88" s="10" t="s">
        <v>57</v>
      </c>
    </row>
    <row r="89" spans="1:6" x14ac:dyDescent="0.25">
      <c r="A89" s="10">
        <v>631</v>
      </c>
      <c r="B89" s="12" t="s">
        <v>224</v>
      </c>
      <c r="C89" s="10" t="s">
        <v>225</v>
      </c>
      <c r="D89" s="10">
        <v>1</v>
      </c>
      <c r="E89" s="10">
        <v>0</v>
      </c>
      <c r="F89" s="10" t="s">
        <v>57</v>
      </c>
    </row>
    <row r="90" spans="1:6" x14ac:dyDescent="0.25">
      <c r="A90" s="10">
        <v>632</v>
      </c>
      <c r="B90" s="12" t="s">
        <v>226</v>
      </c>
      <c r="C90" s="10" t="s">
        <v>227</v>
      </c>
      <c r="D90" s="10">
        <v>1</v>
      </c>
      <c r="E90" s="10">
        <v>0</v>
      </c>
      <c r="F90" s="10" t="s">
        <v>57</v>
      </c>
    </row>
    <row r="91" spans="1:6" x14ac:dyDescent="0.25">
      <c r="A91" s="10">
        <v>633</v>
      </c>
      <c r="B91" s="12" t="s">
        <v>228</v>
      </c>
      <c r="C91" s="10" t="s">
        <v>229</v>
      </c>
      <c r="D91" s="10">
        <v>2</v>
      </c>
      <c r="E91" s="10">
        <v>0</v>
      </c>
      <c r="F91" s="10" t="s">
        <v>57</v>
      </c>
    </row>
    <row r="92" spans="1:6" x14ac:dyDescent="0.25">
      <c r="A92" s="10">
        <v>638</v>
      </c>
      <c r="B92" s="12" t="s">
        <v>230</v>
      </c>
      <c r="C92" s="10" t="s">
        <v>231</v>
      </c>
      <c r="D92" s="10">
        <v>3</v>
      </c>
      <c r="E92" s="10">
        <v>0</v>
      </c>
      <c r="F92" s="10" t="s">
        <v>57</v>
      </c>
    </row>
    <row r="93" spans="1:6" x14ac:dyDescent="0.25">
      <c r="A93" s="10">
        <v>639</v>
      </c>
      <c r="B93" s="12" t="s">
        <v>232</v>
      </c>
      <c r="C93" s="10" t="s">
        <v>233</v>
      </c>
      <c r="D93" s="10">
        <v>3</v>
      </c>
      <c r="E93" s="10">
        <v>0</v>
      </c>
      <c r="F93" s="10" t="s">
        <v>57</v>
      </c>
    </row>
    <row r="94" spans="1:6" x14ac:dyDescent="0.25">
      <c r="A94" s="10">
        <v>643</v>
      </c>
      <c r="B94" s="12" t="s">
        <v>234</v>
      </c>
      <c r="C94" s="10" t="s">
        <v>235</v>
      </c>
      <c r="D94" s="10">
        <v>2</v>
      </c>
      <c r="E94" s="10">
        <v>0</v>
      </c>
      <c r="F94" s="10" t="s">
        <v>57</v>
      </c>
    </row>
    <row r="95" spans="1:6" x14ac:dyDescent="0.25">
      <c r="A95" s="10">
        <v>645</v>
      </c>
      <c r="B95" s="12" t="s">
        <v>236</v>
      </c>
      <c r="C95" s="10" t="s">
        <v>237</v>
      </c>
      <c r="D95" s="10">
        <v>3</v>
      </c>
      <c r="E95" s="10">
        <v>0</v>
      </c>
      <c r="F95" s="10" t="s">
        <v>57</v>
      </c>
    </row>
    <row r="96" spans="1:6" x14ac:dyDescent="0.25">
      <c r="A96" s="10">
        <v>650</v>
      </c>
      <c r="B96" s="12" t="s">
        <v>238</v>
      </c>
      <c r="C96" s="10" t="s">
        <v>239</v>
      </c>
      <c r="D96" s="10">
        <v>3</v>
      </c>
      <c r="E96" s="10">
        <v>0</v>
      </c>
      <c r="F96" s="10" t="s">
        <v>57</v>
      </c>
    </row>
    <row r="97" spans="1:6" x14ac:dyDescent="0.25">
      <c r="A97" s="10">
        <v>651</v>
      </c>
      <c r="B97" s="12" t="s">
        <v>240</v>
      </c>
      <c r="C97" s="10" t="s">
        <v>241</v>
      </c>
      <c r="D97" s="10">
        <v>3</v>
      </c>
      <c r="E97" s="10">
        <v>0</v>
      </c>
      <c r="F97" s="10" t="s">
        <v>57</v>
      </c>
    </row>
    <row r="98" spans="1:6" x14ac:dyDescent="0.25">
      <c r="A98" s="10">
        <v>653</v>
      </c>
      <c r="B98" s="12" t="s">
        <v>242</v>
      </c>
      <c r="C98" s="10" t="s">
        <v>243</v>
      </c>
      <c r="D98" s="10">
        <v>3</v>
      </c>
      <c r="E98" s="10">
        <v>0</v>
      </c>
      <c r="F98" s="10" t="s">
        <v>57</v>
      </c>
    </row>
    <row r="99" spans="1:6" x14ac:dyDescent="0.25">
      <c r="A99" s="10">
        <v>655</v>
      </c>
      <c r="B99" s="12" t="s">
        <v>244</v>
      </c>
      <c r="C99" s="10" t="s">
        <v>245</v>
      </c>
      <c r="D99" s="10">
        <v>3</v>
      </c>
      <c r="E99" s="10">
        <v>0</v>
      </c>
      <c r="F99" s="10" t="s">
        <v>57</v>
      </c>
    </row>
    <row r="100" spans="1:6" ht="30" x14ac:dyDescent="0.25">
      <c r="A100" s="10">
        <v>662</v>
      </c>
      <c r="B100" s="12" t="s">
        <v>246</v>
      </c>
      <c r="C100" s="10" t="s">
        <v>247</v>
      </c>
      <c r="D100" s="10">
        <v>1</v>
      </c>
      <c r="E100" s="10">
        <v>0</v>
      </c>
      <c r="F100" s="10" t="s">
        <v>57</v>
      </c>
    </row>
    <row r="101" spans="1:6" ht="30" x14ac:dyDescent="0.25">
      <c r="A101" s="10">
        <v>664</v>
      </c>
      <c r="B101" s="12" t="s">
        <v>248</v>
      </c>
      <c r="C101" s="10" t="s">
        <v>249</v>
      </c>
      <c r="D101" s="10">
        <v>1</v>
      </c>
      <c r="E101" s="10">
        <v>0</v>
      </c>
      <c r="F101" s="10" t="s">
        <v>57</v>
      </c>
    </row>
    <row r="102" spans="1:6" ht="30" x14ac:dyDescent="0.25">
      <c r="A102" s="10">
        <v>666</v>
      </c>
      <c r="B102" s="12" t="s">
        <v>250</v>
      </c>
      <c r="C102" s="10" t="s">
        <v>251</v>
      </c>
      <c r="D102" s="10">
        <v>1</v>
      </c>
      <c r="E102" s="10">
        <v>0</v>
      </c>
      <c r="F102" s="10" t="s">
        <v>57</v>
      </c>
    </row>
    <row r="103" spans="1:6" x14ac:dyDescent="0.25">
      <c r="A103" s="10">
        <v>667</v>
      </c>
      <c r="B103" s="12" t="s">
        <v>252</v>
      </c>
      <c r="C103" s="10" t="s">
        <v>253</v>
      </c>
      <c r="D103" s="10">
        <v>3</v>
      </c>
      <c r="E103" s="10">
        <v>0</v>
      </c>
      <c r="F103" s="10" t="s">
        <v>57</v>
      </c>
    </row>
    <row r="104" spans="1:6" ht="30" x14ac:dyDescent="0.25">
      <c r="A104" s="10">
        <v>668</v>
      </c>
      <c r="B104" s="12" t="s">
        <v>254</v>
      </c>
      <c r="C104" s="10" t="s">
        <v>255</v>
      </c>
      <c r="D104" s="10">
        <v>3</v>
      </c>
      <c r="E104" s="10">
        <v>0</v>
      </c>
      <c r="F104" s="10" t="s">
        <v>57</v>
      </c>
    </row>
    <row r="105" spans="1:6" x14ac:dyDescent="0.25">
      <c r="A105" s="10">
        <v>671</v>
      </c>
      <c r="B105" s="12" t="s">
        <v>256</v>
      </c>
      <c r="C105" s="10" t="s">
        <v>257</v>
      </c>
      <c r="D105" s="10">
        <v>3</v>
      </c>
      <c r="E105" s="10">
        <v>0</v>
      </c>
      <c r="F105" s="10" t="s">
        <v>57</v>
      </c>
    </row>
    <row r="106" spans="1:6" ht="30" x14ac:dyDescent="0.25">
      <c r="A106" s="10">
        <v>672</v>
      </c>
      <c r="B106" s="12" t="s">
        <v>258</v>
      </c>
      <c r="C106" s="10" t="s">
        <v>259</v>
      </c>
      <c r="D106" s="10">
        <v>3</v>
      </c>
      <c r="E106" s="10">
        <v>0</v>
      </c>
      <c r="F106" s="10" t="s">
        <v>57</v>
      </c>
    </row>
    <row r="107" spans="1:6" x14ac:dyDescent="0.25">
      <c r="A107" s="10">
        <v>675</v>
      </c>
      <c r="B107" s="12" t="s">
        <v>260</v>
      </c>
      <c r="C107" s="10" t="s">
        <v>261</v>
      </c>
      <c r="D107" s="10">
        <v>3</v>
      </c>
      <c r="E107" s="10">
        <v>0</v>
      </c>
      <c r="F107" s="10" t="s">
        <v>57</v>
      </c>
    </row>
    <row r="108" spans="1:6" x14ac:dyDescent="0.25">
      <c r="A108" s="10">
        <v>677</v>
      </c>
      <c r="B108" s="12" t="s">
        <v>262</v>
      </c>
      <c r="C108" s="10" t="s">
        <v>263</v>
      </c>
      <c r="D108" s="10">
        <v>1</v>
      </c>
      <c r="E108" s="10">
        <v>0</v>
      </c>
      <c r="F108" s="10" t="s">
        <v>57</v>
      </c>
    </row>
    <row r="109" spans="1:6" x14ac:dyDescent="0.25">
      <c r="A109" s="10">
        <v>679</v>
      </c>
      <c r="B109" s="12" t="s">
        <v>264</v>
      </c>
      <c r="C109" s="10" t="s">
        <v>265</v>
      </c>
      <c r="D109" s="10">
        <v>1</v>
      </c>
      <c r="E109" s="10">
        <v>0</v>
      </c>
      <c r="F109" s="10" t="s">
        <v>57</v>
      </c>
    </row>
    <row r="110" spans="1:6" x14ac:dyDescent="0.25">
      <c r="A110" s="10">
        <v>681</v>
      </c>
      <c r="B110" s="12" t="s">
        <v>266</v>
      </c>
      <c r="C110" s="10" t="s">
        <v>267</v>
      </c>
      <c r="D110" s="10">
        <v>2</v>
      </c>
      <c r="E110" s="10">
        <v>0</v>
      </c>
      <c r="F110" s="10" t="s">
        <v>57</v>
      </c>
    </row>
    <row r="111" spans="1:6" ht="30" x14ac:dyDescent="0.25">
      <c r="A111" s="10">
        <v>686</v>
      </c>
      <c r="B111" s="12" t="s">
        <v>268</v>
      </c>
      <c r="C111" s="10" t="s">
        <v>269</v>
      </c>
      <c r="D111" s="10">
        <v>2</v>
      </c>
      <c r="E111" s="10">
        <v>0</v>
      </c>
      <c r="F111" s="10" t="s">
        <v>57</v>
      </c>
    </row>
    <row r="112" spans="1:6" x14ac:dyDescent="0.25">
      <c r="A112" s="10">
        <v>687</v>
      </c>
      <c r="B112" s="12" t="s">
        <v>270</v>
      </c>
      <c r="C112" s="10" t="s">
        <v>271</v>
      </c>
      <c r="D112" s="10">
        <v>2</v>
      </c>
      <c r="E112" s="10">
        <v>0</v>
      </c>
      <c r="F112" s="10" t="s">
        <v>57</v>
      </c>
    </row>
    <row r="113" spans="1:6" ht="30" x14ac:dyDescent="0.25">
      <c r="A113" s="10">
        <v>688</v>
      </c>
      <c r="B113" s="12" t="s">
        <v>272</v>
      </c>
      <c r="C113" s="10" t="s">
        <v>273</v>
      </c>
      <c r="D113" s="10">
        <v>2</v>
      </c>
      <c r="E113" s="10">
        <v>0</v>
      </c>
      <c r="F113" s="10" t="s">
        <v>57</v>
      </c>
    </row>
    <row r="114" spans="1:6" ht="30" x14ac:dyDescent="0.25">
      <c r="A114" s="10">
        <v>690</v>
      </c>
      <c r="B114" s="12" t="s">
        <v>274</v>
      </c>
      <c r="C114" s="10" t="s">
        <v>275</v>
      </c>
      <c r="D114" s="10">
        <v>3</v>
      </c>
      <c r="E114" s="10">
        <v>0</v>
      </c>
      <c r="F114" s="10" t="s">
        <v>57</v>
      </c>
    </row>
    <row r="115" spans="1:6" ht="30" x14ac:dyDescent="0.25">
      <c r="A115" s="10">
        <v>692</v>
      </c>
      <c r="B115" s="12" t="s">
        <v>276</v>
      </c>
      <c r="C115" s="10" t="s">
        <v>277</v>
      </c>
      <c r="D115" s="10">
        <v>2</v>
      </c>
      <c r="E115" s="10">
        <v>0</v>
      </c>
      <c r="F115" s="10" t="s">
        <v>57</v>
      </c>
    </row>
    <row r="116" spans="1:6" ht="30" x14ac:dyDescent="0.25">
      <c r="A116" s="10">
        <v>694</v>
      </c>
      <c r="B116" s="12" t="s">
        <v>278</v>
      </c>
      <c r="C116" s="10" t="s">
        <v>279</v>
      </c>
      <c r="D116" s="10">
        <v>1</v>
      </c>
      <c r="E116" s="10">
        <v>0</v>
      </c>
      <c r="F116" s="10" t="s">
        <v>57</v>
      </c>
    </row>
    <row r="117" spans="1:6" ht="30" x14ac:dyDescent="0.25">
      <c r="A117" s="10">
        <v>696</v>
      </c>
      <c r="B117" s="12" t="s">
        <v>280</v>
      </c>
      <c r="C117" s="10" t="s">
        <v>281</v>
      </c>
      <c r="D117" s="10">
        <v>1</v>
      </c>
      <c r="E117" s="10">
        <v>0</v>
      </c>
      <c r="F117" s="10" t="s">
        <v>57</v>
      </c>
    </row>
    <row r="118" spans="1:6" x14ac:dyDescent="0.25">
      <c r="A118" s="10">
        <v>676</v>
      </c>
      <c r="B118" s="12" t="s">
        <v>282</v>
      </c>
      <c r="C118" s="10" t="s">
        <v>283</v>
      </c>
      <c r="D118" s="10">
        <v>3</v>
      </c>
      <c r="E118" s="10">
        <v>0</v>
      </c>
      <c r="F118" s="10" t="s">
        <v>57</v>
      </c>
    </row>
    <row r="119" spans="1:6" x14ac:dyDescent="0.25">
      <c r="A119" s="10">
        <v>697</v>
      </c>
      <c r="B119" s="12" t="s">
        <v>284</v>
      </c>
      <c r="C119" s="10" t="s">
        <v>285</v>
      </c>
      <c r="D119" s="10">
        <v>1</v>
      </c>
      <c r="E119" s="10">
        <v>0</v>
      </c>
      <c r="F119" s="10" t="s">
        <v>57</v>
      </c>
    </row>
    <row r="120" spans="1:6" ht="30" x14ac:dyDescent="0.25">
      <c r="A120" s="10">
        <v>700</v>
      </c>
      <c r="B120" s="12" t="s">
        <v>286</v>
      </c>
      <c r="C120" s="10" t="s">
        <v>287</v>
      </c>
      <c r="D120" s="10">
        <v>3</v>
      </c>
      <c r="E120" s="10">
        <v>0</v>
      </c>
      <c r="F120" s="10" t="s">
        <v>57</v>
      </c>
    </row>
    <row r="121" spans="1:6" x14ac:dyDescent="0.25">
      <c r="A121" s="10">
        <v>703</v>
      </c>
      <c r="B121" s="12" t="s">
        <v>288</v>
      </c>
      <c r="C121" s="10" t="s">
        <v>289</v>
      </c>
      <c r="D121" s="10">
        <v>3</v>
      </c>
      <c r="E121" s="10">
        <v>0</v>
      </c>
      <c r="F121" s="10" t="s">
        <v>57</v>
      </c>
    </row>
    <row r="122" spans="1:6" ht="30" x14ac:dyDescent="0.25">
      <c r="A122" s="10">
        <v>704</v>
      </c>
      <c r="B122" s="12" t="s">
        <v>290</v>
      </c>
      <c r="C122" s="10" t="s">
        <v>291</v>
      </c>
      <c r="D122" s="10">
        <v>3</v>
      </c>
      <c r="E122" s="10">
        <v>0</v>
      </c>
      <c r="F122" s="10" t="s">
        <v>57</v>
      </c>
    </row>
    <row r="123" spans="1:6" x14ac:dyDescent="0.25">
      <c r="A123" s="10">
        <v>705</v>
      </c>
      <c r="B123" s="12" t="s">
        <v>292</v>
      </c>
      <c r="C123" s="10" t="s">
        <v>293</v>
      </c>
      <c r="D123" s="10">
        <v>1</v>
      </c>
      <c r="E123" s="10">
        <v>0</v>
      </c>
      <c r="F123" s="10" t="s">
        <v>57</v>
      </c>
    </row>
    <row r="124" spans="1:6" ht="30" x14ac:dyDescent="0.25">
      <c r="A124" s="10">
        <v>706</v>
      </c>
      <c r="B124" s="12" t="s">
        <v>294</v>
      </c>
      <c r="C124" s="10" t="s">
        <v>295</v>
      </c>
      <c r="D124" s="10">
        <v>1</v>
      </c>
      <c r="E124" s="10">
        <v>0</v>
      </c>
      <c r="F124" s="10" t="s">
        <v>57</v>
      </c>
    </row>
    <row r="125" spans="1:6" ht="30" x14ac:dyDescent="0.25">
      <c r="A125" s="10">
        <v>710</v>
      </c>
      <c r="B125" s="12" t="s">
        <v>296</v>
      </c>
      <c r="C125" s="10" t="s">
        <v>297</v>
      </c>
      <c r="D125" s="10">
        <v>1</v>
      </c>
      <c r="E125" s="10">
        <v>0</v>
      </c>
      <c r="F125" s="10" t="s">
        <v>57</v>
      </c>
    </row>
    <row r="126" spans="1:6" x14ac:dyDescent="0.25">
      <c r="A126" s="10">
        <v>711</v>
      </c>
      <c r="B126" s="12" t="s">
        <v>298</v>
      </c>
      <c r="C126" s="10" t="s">
        <v>299</v>
      </c>
      <c r="D126" s="10">
        <v>1</v>
      </c>
      <c r="E126" s="10">
        <v>0</v>
      </c>
      <c r="F126" s="10" t="s">
        <v>57</v>
      </c>
    </row>
    <row r="127" spans="1:6" x14ac:dyDescent="0.25">
      <c r="A127" s="10">
        <v>715</v>
      </c>
      <c r="B127" s="12" t="s">
        <v>300</v>
      </c>
      <c r="C127" s="10" t="s">
        <v>301</v>
      </c>
      <c r="D127" s="10">
        <v>2</v>
      </c>
      <c r="E127" s="10">
        <v>0</v>
      </c>
      <c r="F127" s="10" t="s">
        <v>57</v>
      </c>
    </row>
    <row r="128" spans="1:6" x14ac:dyDescent="0.25">
      <c r="A128" s="10">
        <v>717</v>
      </c>
      <c r="B128" s="12" t="s">
        <v>302</v>
      </c>
      <c r="C128" s="10" t="s">
        <v>303</v>
      </c>
      <c r="D128" s="10">
        <v>2</v>
      </c>
      <c r="E128" s="10">
        <v>0</v>
      </c>
      <c r="F128" s="10" t="s">
        <v>57</v>
      </c>
    </row>
    <row r="129" spans="1:6" ht="30" x14ac:dyDescent="0.25">
      <c r="A129" s="10">
        <v>718</v>
      </c>
      <c r="B129" s="12" t="s">
        <v>304</v>
      </c>
      <c r="C129" s="10" t="s">
        <v>305</v>
      </c>
      <c r="D129" s="10">
        <v>2</v>
      </c>
      <c r="E129" s="10">
        <v>0</v>
      </c>
      <c r="F129" s="10" t="s">
        <v>57</v>
      </c>
    </row>
    <row r="130" spans="1:6" x14ac:dyDescent="0.25">
      <c r="A130" s="10">
        <v>719</v>
      </c>
      <c r="B130" s="12" t="s">
        <v>306</v>
      </c>
      <c r="C130" s="10" t="s">
        <v>307</v>
      </c>
      <c r="D130" s="10">
        <v>1</v>
      </c>
      <c r="E130" s="10">
        <v>0</v>
      </c>
      <c r="F130" s="10" t="s">
        <v>57</v>
      </c>
    </row>
    <row r="131" spans="1:6" ht="30" x14ac:dyDescent="0.25">
      <c r="A131" s="10">
        <v>722</v>
      </c>
      <c r="B131" s="12" t="s">
        <v>308</v>
      </c>
      <c r="C131" s="10" t="s">
        <v>309</v>
      </c>
      <c r="D131" s="10">
        <v>1</v>
      </c>
      <c r="E131" s="10">
        <v>0</v>
      </c>
      <c r="F131" s="10" t="s">
        <v>57</v>
      </c>
    </row>
    <row r="132" spans="1:6" x14ac:dyDescent="0.25">
      <c r="A132" s="10">
        <v>723</v>
      </c>
      <c r="B132" s="12" t="s">
        <v>310</v>
      </c>
      <c r="C132" s="10" t="s">
        <v>311</v>
      </c>
      <c r="D132" s="10">
        <v>2</v>
      </c>
      <c r="E132" s="10">
        <v>0</v>
      </c>
      <c r="F132" s="10" t="s">
        <v>57</v>
      </c>
    </row>
    <row r="133" spans="1:6" x14ac:dyDescent="0.25">
      <c r="A133" s="10">
        <v>725</v>
      </c>
      <c r="B133" s="12" t="s">
        <v>312</v>
      </c>
      <c r="C133" s="10" t="s">
        <v>313</v>
      </c>
      <c r="D133" s="10">
        <v>3</v>
      </c>
      <c r="E133" s="10">
        <v>0</v>
      </c>
      <c r="F133" s="10" t="s">
        <v>57</v>
      </c>
    </row>
    <row r="134" spans="1:6" ht="30" x14ac:dyDescent="0.25">
      <c r="A134" s="10">
        <v>726</v>
      </c>
      <c r="B134" s="12" t="s">
        <v>314</v>
      </c>
      <c r="C134" s="10" t="s">
        <v>315</v>
      </c>
      <c r="D134" s="10">
        <v>3</v>
      </c>
      <c r="E134" s="10">
        <v>0</v>
      </c>
      <c r="F134" s="10" t="s">
        <v>57</v>
      </c>
    </row>
    <row r="135" spans="1:6" ht="30" x14ac:dyDescent="0.25">
      <c r="A135" s="10">
        <v>730</v>
      </c>
      <c r="B135" s="12" t="s">
        <v>316</v>
      </c>
      <c r="C135" s="10" t="s">
        <v>317</v>
      </c>
      <c r="D135" s="10">
        <v>1</v>
      </c>
      <c r="E135" s="10">
        <v>0</v>
      </c>
      <c r="F135" s="10" t="s">
        <v>57</v>
      </c>
    </row>
    <row r="136" spans="1:6" x14ac:dyDescent="0.25">
      <c r="A136" s="10">
        <v>731</v>
      </c>
      <c r="B136" s="12" t="s">
        <v>318</v>
      </c>
      <c r="C136" s="10" t="s">
        <v>319</v>
      </c>
      <c r="D136" s="10">
        <v>2</v>
      </c>
      <c r="E136" s="10">
        <v>0</v>
      </c>
      <c r="F136" s="10" t="s">
        <v>57</v>
      </c>
    </row>
    <row r="137" spans="1:6" x14ac:dyDescent="0.25">
      <c r="A137" s="10">
        <v>733</v>
      </c>
      <c r="B137" s="12" t="s">
        <v>320</v>
      </c>
      <c r="C137" s="10" t="s">
        <v>321</v>
      </c>
      <c r="D137" s="10">
        <v>3</v>
      </c>
      <c r="E137" s="10">
        <v>0</v>
      </c>
      <c r="F137" s="10" t="s">
        <v>57</v>
      </c>
    </row>
    <row r="138" spans="1:6" ht="30" x14ac:dyDescent="0.25">
      <c r="A138" s="10">
        <v>734</v>
      </c>
      <c r="B138" s="12" t="s">
        <v>322</v>
      </c>
      <c r="C138" s="10" t="s">
        <v>323</v>
      </c>
      <c r="D138" s="10">
        <v>3</v>
      </c>
      <c r="E138" s="10">
        <v>0</v>
      </c>
      <c r="F138" s="10" t="s">
        <v>57</v>
      </c>
    </row>
    <row r="139" spans="1:6" x14ac:dyDescent="0.25">
      <c r="A139" s="10">
        <v>735</v>
      </c>
      <c r="B139" s="12" t="s">
        <v>324</v>
      </c>
      <c r="C139" s="10" t="s">
        <v>325</v>
      </c>
      <c r="D139" s="10">
        <v>1</v>
      </c>
      <c r="E139" s="10">
        <v>0</v>
      </c>
      <c r="F139" s="10" t="s">
        <v>57</v>
      </c>
    </row>
    <row r="140" spans="1:6" x14ac:dyDescent="0.25">
      <c r="A140" s="10">
        <v>737</v>
      </c>
      <c r="B140" s="12" t="s">
        <v>326</v>
      </c>
      <c r="C140" s="10" t="s">
        <v>327</v>
      </c>
      <c r="D140" s="10">
        <v>1</v>
      </c>
      <c r="E140" s="10">
        <v>0</v>
      </c>
      <c r="F140" s="10" t="s">
        <v>57</v>
      </c>
    </row>
    <row r="141" spans="1:6" x14ac:dyDescent="0.25">
      <c r="A141" s="10">
        <v>739</v>
      </c>
      <c r="B141" s="12" t="s">
        <v>328</v>
      </c>
      <c r="C141" s="10" t="s">
        <v>329</v>
      </c>
      <c r="D141" s="10">
        <v>2</v>
      </c>
      <c r="E141" s="10">
        <v>0</v>
      </c>
      <c r="F141" s="10" t="s">
        <v>57</v>
      </c>
    </row>
    <row r="142" spans="1:6" ht="30" x14ac:dyDescent="0.25">
      <c r="A142" s="10">
        <v>740</v>
      </c>
      <c r="B142" s="12" t="s">
        <v>330</v>
      </c>
      <c r="C142" s="10" t="s">
        <v>331</v>
      </c>
      <c r="D142" s="10">
        <v>2</v>
      </c>
      <c r="E142" s="10">
        <v>0</v>
      </c>
      <c r="F142" s="10" t="s">
        <v>57</v>
      </c>
    </row>
    <row r="143" spans="1:6" x14ac:dyDescent="0.25">
      <c r="A143" s="10">
        <v>720</v>
      </c>
      <c r="B143" s="12" t="s">
        <v>332</v>
      </c>
      <c r="C143" s="10" t="s">
        <v>333</v>
      </c>
      <c r="D143" s="10">
        <v>1</v>
      </c>
      <c r="E143" s="10">
        <v>0</v>
      </c>
      <c r="F143" s="10" t="s">
        <v>57</v>
      </c>
    </row>
    <row r="144" spans="1:6" x14ac:dyDescent="0.25">
      <c r="A144" s="10">
        <v>743</v>
      </c>
      <c r="B144" s="12" t="s">
        <v>334</v>
      </c>
      <c r="C144" s="10" t="s">
        <v>335</v>
      </c>
      <c r="D144" s="10">
        <v>1</v>
      </c>
      <c r="E144" s="10">
        <v>0</v>
      </c>
      <c r="F144" s="10" t="s">
        <v>57</v>
      </c>
    </row>
    <row r="145" spans="1:6" ht="30" x14ac:dyDescent="0.25">
      <c r="A145" s="10">
        <v>744</v>
      </c>
      <c r="B145" s="12" t="s">
        <v>336</v>
      </c>
      <c r="C145" s="10" t="s">
        <v>337</v>
      </c>
      <c r="D145" s="10">
        <v>1</v>
      </c>
      <c r="E145" s="10">
        <v>0</v>
      </c>
      <c r="F145" s="10" t="s">
        <v>57</v>
      </c>
    </row>
    <row r="146" spans="1:6" x14ac:dyDescent="0.25">
      <c r="A146" s="10">
        <v>749</v>
      </c>
      <c r="B146" s="12" t="s">
        <v>338</v>
      </c>
      <c r="C146" s="10" t="s">
        <v>339</v>
      </c>
      <c r="D146" s="10">
        <v>2</v>
      </c>
      <c r="E146" s="10">
        <v>0</v>
      </c>
      <c r="F146" s="10" t="s">
        <v>57</v>
      </c>
    </row>
    <row r="147" spans="1:6" x14ac:dyDescent="0.25">
      <c r="A147" s="10">
        <v>751</v>
      </c>
      <c r="B147" s="12" t="s">
        <v>340</v>
      </c>
      <c r="C147" s="10" t="s">
        <v>341</v>
      </c>
      <c r="D147" s="10">
        <v>1</v>
      </c>
      <c r="E147" s="10">
        <v>0</v>
      </c>
      <c r="F147" s="10" t="s">
        <v>57</v>
      </c>
    </row>
    <row r="148" spans="1:6" x14ac:dyDescent="0.25">
      <c r="A148" s="10">
        <v>753</v>
      </c>
      <c r="B148" s="12" t="s">
        <v>342</v>
      </c>
      <c r="C148" s="10" t="s">
        <v>343</v>
      </c>
      <c r="D148" s="10">
        <v>1</v>
      </c>
      <c r="E148" s="10">
        <v>0</v>
      </c>
      <c r="F148" s="10" t="s">
        <v>57</v>
      </c>
    </row>
    <row r="149" spans="1:6" x14ac:dyDescent="0.25">
      <c r="A149" s="10">
        <v>757</v>
      </c>
      <c r="B149" s="12" t="s">
        <v>344</v>
      </c>
      <c r="C149" s="10" t="s">
        <v>345</v>
      </c>
      <c r="D149" s="10">
        <v>3</v>
      </c>
      <c r="E149" s="10">
        <v>0</v>
      </c>
      <c r="F149" s="10" t="s">
        <v>57</v>
      </c>
    </row>
    <row r="150" spans="1:6" ht="30" x14ac:dyDescent="0.25">
      <c r="A150" s="10">
        <v>758</v>
      </c>
      <c r="B150" s="12" t="s">
        <v>346</v>
      </c>
      <c r="C150" s="10" t="s">
        <v>347</v>
      </c>
      <c r="D150" s="10">
        <v>3</v>
      </c>
      <c r="E150" s="10">
        <v>0</v>
      </c>
      <c r="F150" s="10" t="s">
        <v>57</v>
      </c>
    </row>
    <row r="151" spans="1:6" ht="30" x14ac:dyDescent="0.25">
      <c r="A151" s="10">
        <v>760</v>
      </c>
      <c r="B151" s="12" t="s">
        <v>348</v>
      </c>
      <c r="C151" s="10" t="s">
        <v>349</v>
      </c>
      <c r="D151" s="10">
        <v>1</v>
      </c>
      <c r="E151" s="10">
        <v>0</v>
      </c>
      <c r="F151" s="10" t="s">
        <v>57</v>
      </c>
    </row>
    <row r="152" spans="1:6" x14ac:dyDescent="0.25">
      <c r="A152" s="10">
        <v>761</v>
      </c>
      <c r="B152" s="12" t="s">
        <v>350</v>
      </c>
      <c r="C152" s="10" t="s">
        <v>351</v>
      </c>
      <c r="D152" s="10">
        <v>2</v>
      </c>
      <c r="E152" s="10">
        <v>0</v>
      </c>
      <c r="F152" s="10" t="s">
        <v>57</v>
      </c>
    </row>
    <row r="153" spans="1:6" x14ac:dyDescent="0.25">
      <c r="A153" s="10">
        <v>763</v>
      </c>
      <c r="B153" s="12" t="s">
        <v>352</v>
      </c>
      <c r="C153" s="10" t="s">
        <v>353</v>
      </c>
      <c r="D153" s="10">
        <v>2</v>
      </c>
      <c r="E153" s="10">
        <v>0</v>
      </c>
      <c r="F153" s="10" t="s">
        <v>57</v>
      </c>
    </row>
    <row r="154" spans="1:6" x14ac:dyDescent="0.25">
      <c r="A154" s="10">
        <v>767</v>
      </c>
      <c r="B154" s="12" t="s">
        <v>354</v>
      </c>
      <c r="C154" s="10" t="s">
        <v>355</v>
      </c>
      <c r="D154" s="10">
        <v>2</v>
      </c>
      <c r="E154" s="10">
        <v>0</v>
      </c>
      <c r="F154" s="10" t="s">
        <v>57</v>
      </c>
    </row>
    <row r="155" spans="1:6" x14ac:dyDescent="0.25">
      <c r="A155" s="10">
        <v>771</v>
      </c>
      <c r="B155" s="12" t="s">
        <v>356</v>
      </c>
      <c r="C155" s="10" t="s">
        <v>357</v>
      </c>
      <c r="D155" s="10">
        <v>3</v>
      </c>
      <c r="E155" s="10">
        <v>0</v>
      </c>
      <c r="F155" s="10" t="s">
        <v>57</v>
      </c>
    </row>
    <row r="156" spans="1:6" x14ac:dyDescent="0.25">
      <c r="A156" s="10">
        <v>773</v>
      </c>
      <c r="B156" s="12" t="s">
        <v>358</v>
      </c>
      <c r="C156" s="10" t="s">
        <v>359</v>
      </c>
      <c r="D156" s="10">
        <v>3</v>
      </c>
      <c r="E156" s="10">
        <v>0</v>
      </c>
      <c r="F156" s="10" t="s">
        <v>57</v>
      </c>
    </row>
    <row r="157" spans="1:6" x14ac:dyDescent="0.25">
      <c r="A157" s="10">
        <v>775</v>
      </c>
      <c r="B157" s="12" t="s">
        <v>360</v>
      </c>
      <c r="C157" s="10" t="s">
        <v>361</v>
      </c>
      <c r="D157" s="10">
        <v>2</v>
      </c>
      <c r="E157" s="10">
        <v>0</v>
      </c>
      <c r="F157" s="10" t="s">
        <v>57</v>
      </c>
    </row>
    <row r="158" spans="1:6" ht="30" x14ac:dyDescent="0.25">
      <c r="A158" s="10">
        <v>776</v>
      </c>
      <c r="B158" s="12" t="s">
        <v>362</v>
      </c>
      <c r="C158" s="10" t="s">
        <v>363</v>
      </c>
      <c r="D158" s="10">
        <v>2</v>
      </c>
      <c r="E158" s="10">
        <v>0</v>
      </c>
      <c r="F158" s="10" t="s">
        <v>57</v>
      </c>
    </row>
    <row r="159" spans="1:6" x14ac:dyDescent="0.25">
      <c r="A159" s="10">
        <v>777</v>
      </c>
      <c r="B159" s="12" t="s">
        <v>364</v>
      </c>
      <c r="C159" s="10" t="s">
        <v>365</v>
      </c>
      <c r="D159" s="10">
        <v>3</v>
      </c>
      <c r="E159" s="10">
        <v>0</v>
      </c>
      <c r="F159" s="10" t="s">
        <v>57</v>
      </c>
    </row>
    <row r="160" spans="1:6" ht="30" x14ac:dyDescent="0.25">
      <c r="A160" s="10">
        <v>778</v>
      </c>
      <c r="B160" s="12" t="s">
        <v>366</v>
      </c>
      <c r="C160" s="10" t="s">
        <v>367</v>
      </c>
      <c r="D160" s="10">
        <v>3</v>
      </c>
      <c r="E160" s="10">
        <v>0</v>
      </c>
      <c r="F160" s="10" t="s">
        <v>57</v>
      </c>
    </row>
    <row r="161" spans="1:6" x14ac:dyDescent="0.25">
      <c r="A161" s="10">
        <v>779</v>
      </c>
      <c r="B161" s="12" t="s">
        <v>368</v>
      </c>
      <c r="C161" s="10" t="s">
        <v>369</v>
      </c>
      <c r="D161" s="10">
        <v>3</v>
      </c>
      <c r="E161" s="10">
        <v>0</v>
      </c>
      <c r="F161" s="10" t="s">
        <v>57</v>
      </c>
    </row>
    <row r="162" spans="1:6" ht="30" x14ac:dyDescent="0.25">
      <c r="A162" s="10">
        <v>780</v>
      </c>
      <c r="B162" s="12" t="s">
        <v>370</v>
      </c>
      <c r="C162" s="10" t="s">
        <v>371</v>
      </c>
      <c r="D162" s="10">
        <v>3</v>
      </c>
      <c r="E162" s="10">
        <v>0</v>
      </c>
      <c r="F162" s="10" t="s">
        <v>57</v>
      </c>
    </row>
    <row r="163" spans="1:6" x14ac:dyDescent="0.25">
      <c r="A163" s="10">
        <v>781</v>
      </c>
      <c r="B163" s="12" t="s">
        <v>372</v>
      </c>
      <c r="C163" s="10" t="s">
        <v>373</v>
      </c>
      <c r="D163" s="10">
        <v>2</v>
      </c>
      <c r="E163" s="10">
        <v>0</v>
      </c>
      <c r="F163" s="10" t="s">
        <v>57</v>
      </c>
    </row>
    <row r="164" spans="1:6" ht="30" x14ac:dyDescent="0.25">
      <c r="A164" s="10">
        <v>782</v>
      </c>
      <c r="B164" s="12" t="s">
        <v>374</v>
      </c>
      <c r="C164" s="10" t="s">
        <v>375</v>
      </c>
      <c r="D164" s="10">
        <v>2</v>
      </c>
      <c r="E164" s="10">
        <v>0</v>
      </c>
      <c r="F164" s="10" t="s">
        <v>57</v>
      </c>
    </row>
    <row r="165" spans="1:6" ht="30" x14ac:dyDescent="0.25">
      <c r="A165" s="10">
        <v>784</v>
      </c>
      <c r="B165" s="12" t="s">
        <v>376</v>
      </c>
      <c r="C165" s="10" t="s">
        <v>377</v>
      </c>
      <c r="D165" s="10">
        <v>2</v>
      </c>
      <c r="E165" s="10">
        <v>0</v>
      </c>
      <c r="F165" s="10" t="s">
        <v>57</v>
      </c>
    </row>
    <row r="166" spans="1:6" x14ac:dyDescent="0.25">
      <c r="A166" s="10">
        <v>785</v>
      </c>
      <c r="B166" s="12" t="s">
        <v>378</v>
      </c>
      <c r="C166" s="10" t="s">
        <v>379</v>
      </c>
      <c r="D166" s="10">
        <v>2</v>
      </c>
      <c r="E166" s="10">
        <v>0</v>
      </c>
      <c r="F166" s="10" t="s">
        <v>57</v>
      </c>
    </row>
    <row r="167" spans="1:6" ht="30" x14ac:dyDescent="0.25">
      <c r="A167" s="10">
        <v>786</v>
      </c>
      <c r="B167" s="12" t="s">
        <v>380</v>
      </c>
      <c r="C167" s="10" t="s">
        <v>381</v>
      </c>
      <c r="D167" s="10">
        <v>2</v>
      </c>
      <c r="E167" s="10">
        <v>0</v>
      </c>
      <c r="F167" s="10" t="s">
        <v>57</v>
      </c>
    </row>
    <row r="168" spans="1:6" x14ac:dyDescent="0.25">
      <c r="A168" s="10">
        <v>787</v>
      </c>
      <c r="B168" s="12" t="s">
        <v>382</v>
      </c>
      <c r="C168" s="10" t="s">
        <v>383</v>
      </c>
      <c r="D168" s="10">
        <v>3</v>
      </c>
      <c r="E168" s="10">
        <v>0</v>
      </c>
      <c r="F168" s="10" t="s">
        <v>57</v>
      </c>
    </row>
    <row r="169" spans="1:6" ht="30" x14ac:dyDescent="0.25">
      <c r="A169" s="10">
        <v>788</v>
      </c>
      <c r="B169" s="12" t="s">
        <v>384</v>
      </c>
      <c r="C169" s="10" t="s">
        <v>385</v>
      </c>
      <c r="D169" s="10">
        <v>3</v>
      </c>
      <c r="E169" s="10">
        <v>0</v>
      </c>
      <c r="F169" s="10" t="s">
        <v>57</v>
      </c>
    </row>
    <row r="170" spans="1:6" x14ac:dyDescent="0.25">
      <c r="A170" s="10">
        <v>790</v>
      </c>
      <c r="B170" s="12" t="s">
        <v>386</v>
      </c>
      <c r="C170" s="10" t="s">
        <v>387</v>
      </c>
      <c r="D170" s="10">
        <v>3</v>
      </c>
      <c r="E170" s="10">
        <v>0</v>
      </c>
      <c r="F170" s="10" t="s">
        <v>57</v>
      </c>
    </row>
    <row r="171" spans="1:6" x14ac:dyDescent="0.25">
      <c r="A171" s="10">
        <v>793</v>
      </c>
      <c r="B171" s="12" t="s">
        <v>388</v>
      </c>
      <c r="C171" s="10" t="s">
        <v>389</v>
      </c>
      <c r="D171" s="10">
        <v>2</v>
      </c>
      <c r="E171" s="10">
        <v>0</v>
      </c>
      <c r="F171" s="10" t="s">
        <v>57</v>
      </c>
    </row>
    <row r="172" spans="1:6" x14ac:dyDescent="0.25">
      <c r="A172" s="10">
        <v>795</v>
      </c>
      <c r="B172" s="12" t="s">
        <v>390</v>
      </c>
      <c r="C172" s="10" t="s">
        <v>391</v>
      </c>
      <c r="D172" s="10">
        <v>3</v>
      </c>
      <c r="E172" s="10">
        <v>0</v>
      </c>
      <c r="F172" s="10" t="s">
        <v>57</v>
      </c>
    </row>
    <row r="173" spans="1:6" x14ac:dyDescent="0.25">
      <c r="A173" s="10">
        <v>799</v>
      </c>
      <c r="B173" s="12" t="s">
        <v>392</v>
      </c>
      <c r="C173" s="10" t="s">
        <v>393</v>
      </c>
      <c r="D173" s="10">
        <v>3</v>
      </c>
      <c r="E173" s="10">
        <v>0</v>
      </c>
      <c r="F173" s="10" t="s">
        <v>57</v>
      </c>
    </row>
    <row r="174" spans="1:6" x14ac:dyDescent="0.25">
      <c r="A174" s="10">
        <v>801</v>
      </c>
      <c r="B174" s="12" t="s">
        <v>394</v>
      </c>
      <c r="C174" s="10" t="s">
        <v>395</v>
      </c>
      <c r="D174" s="10">
        <v>3</v>
      </c>
      <c r="E174" s="10">
        <v>0</v>
      </c>
      <c r="F174" s="10" t="s">
        <v>57</v>
      </c>
    </row>
    <row r="175" spans="1:6" x14ac:dyDescent="0.25">
      <c r="A175" s="10">
        <v>804</v>
      </c>
      <c r="B175" s="12" t="s">
        <v>396</v>
      </c>
      <c r="C175" s="10" t="s">
        <v>397</v>
      </c>
      <c r="D175" s="10">
        <v>1</v>
      </c>
      <c r="E175" s="10">
        <v>0</v>
      </c>
      <c r="F175" s="10" t="s">
        <v>57</v>
      </c>
    </row>
    <row r="176" spans="1:6" x14ac:dyDescent="0.25">
      <c r="A176" s="10">
        <v>806</v>
      </c>
      <c r="B176" s="12" t="s">
        <v>398</v>
      </c>
      <c r="C176" s="10" t="s">
        <v>399</v>
      </c>
      <c r="D176" s="10">
        <v>1</v>
      </c>
      <c r="E176" s="10">
        <v>0</v>
      </c>
      <c r="F176" s="10" t="s">
        <v>57</v>
      </c>
    </row>
    <row r="177" spans="1:6" x14ac:dyDescent="0.25">
      <c r="A177" s="10">
        <v>808</v>
      </c>
      <c r="B177" s="12" t="s">
        <v>400</v>
      </c>
      <c r="C177" s="10" t="s">
        <v>401</v>
      </c>
      <c r="D177" s="10">
        <v>3</v>
      </c>
      <c r="E177" s="10">
        <v>0</v>
      </c>
      <c r="F177" s="10" t="s">
        <v>57</v>
      </c>
    </row>
    <row r="178" spans="1:6" x14ac:dyDescent="0.25">
      <c r="A178" s="10">
        <v>809</v>
      </c>
      <c r="B178" s="12" t="s">
        <v>402</v>
      </c>
      <c r="C178" s="10" t="s">
        <v>403</v>
      </c>
      <c r="D178" s="10">
        <v>3</v>
      </c>
      <c r="E178" s="10">
        <v>0</v>
      </c>
      <c r="F178" s="10" t="s">
        <v>57</v>
      </c>
    </row>
    <row r="179" spans="1:6" x14ac:dyDescent="0.25">
      <c r="A179" s="10">
        <v>810</v>
      </c>
      <c r="B179" s="12" t="s">
        <v>404</v>
      </c>
      <c r="C179" s="10" t="s">
        <v>405</v>
      </c>
      <c r="D179" s="10">
        <v>1</v>
      </c>
      <c r="E179" s="10">
        <v>0</v>
      </c>
      <c r="F179" s="10" t="s">
        <v>57</v>
      </c>
    </row>
    <row r="180" spans="1:6" x14ac:dyDescent="0.25">
      <c r="A180" s="10">
        <v>815</v>
      </c>
      <c r="B180" s="12" t="s">
        <v>406</v>
      </c>
      <c r="C180" s="10" t="s">
        <v>407</v>
      </c>
      <c r="D180" s="10">
        <v>1</v>
      </c>
      <c r="E180" s="10">
        <v>0</v>
      </c>
      <c r="F180" s="10" t="s">
        <v>57</v>
      </c>
    </row>
    <row r="181" spans="1:6" x14ac:dyDescent="0.25">
      <c r="A181" s="10">
        <v>818</v>
      </c>
      <c r="B181" s="12" t="s">
        <v>408</v>
      </c>
      <c r="C181" s="10" t="s">
        <v>409</v>
      </c>
      <c r="D181" s="10">
        <v>2</v>
      </c>
      <c r="E181" s="10">
        <v>0</v>
      </c>
      <c r="F181" s="10" t="s">
        <v>57</v>
      </c>
    </row>
    <row r="182" spans="1:6" x14ac:dyDescent="0.25">
      <c r="A182" s="10">
        <v>819</v>
      </c>
      <c r="B182" s="12" t="s">
        <v>410</v>
      </c>
      <c r="C182" s="10" t="s">
        <v>411</v>
      </c>
      <c r="D182" s="10">
        <v>1</v>
      </c>
      <c r="E182" s="10">
        <v>0</v>
      </c>
      <c r="F182" s="10" t="s">
        <v>57</v>
      </c>
    </row>
    <row r="183" spans="1:6" x14ac:dyDescent="0.25">
      <c r="A183" s="10">
        <v>822</v>
      </c>
      <c r="B183" s="12" t="s">
        <v>412</v>
      </c>
      <c r="C183" s="10" t="s">
        <v>413</v>
      </c>
      <c r="D183" s="10">
        <v>1</v>
      </c>
      <c r="E183" s="10">
        <v>0</v>
      </c>
      <c r="F183" s="10" t="s">
        <v>57</v>
      </c>
    </row>
    <row r="184" spans="1:6" x14ac:dyDescent="0.25">
      <c r="A184" s="10">
        <v>825</v>
      </c>
      <c r="B184" s="12" t="s">
        <v>414</v>
      </c>
      <c r="C184" s="10" t="s">
        <v>415</v>
      </c>
      <c r="D184" s="10">
        <v>3</v>
      </c>
      <c r="E184" s="10">
        <v>0</v>
      </c>
      <c r="F184" s="10" t="s">
        <v>57</v>
      </c>
    </row>
    <row r="185" spans="1:6" x14ac:dyDescent="0.25">
      <c r="A185" s="10">
        <v>826</v>
      </c>
      <c r="B185" s="12" t="s">
        <v>416</v>
      </c>
      <c r="C185" s="10" t="s">
        <v>417</v>
      </c>
      <c r="D185" s="10">
        <v>1</v>
      </c>
      <c r="E185" s="10">
        <v>0</v>
      </c>
      <c r="F185" s="10" t="s">
        <v>57</v>
      </c>
    </row>
    <row r="186" spans="1:6" x14ac:dyDescent="0.25">
      <c r="A186" s="10">
        <v>829</v>
      </c>
      <c r="B186" s="12" t="s">
        <v>418</v>
      </c>
      <c r="C186" s="10" t="s">
        <v>419</v>
      </c>
      <c r="D186" s="10">
        <v>1</v>
      </c>
      <c r="E186" s="10">
        <v>0</v>
      </c>
      <c r="F186" s="10" t="s">
        <v>57</v>
      </c>
    </row>
    <row r="187" spans="1:6" x14ac:dyDescent="0.25">
      <c r="A187" s="10">
        <v>834</v>
      </c>
      <c r="B187" s="12" t="s">
        <v>420</v>
      </c>
      <c r="C187" s="10" t="s">
        <v>421</v>
      </c>
      <c r="D187" s="10">
        <v>1</v>
      </c>
      <c r="E187" s="10">
        <v>0</v>
      </c>
      <c r="F187" s="10" t="s">
        <v>57</v>
      </c>
    </row>
    <row r="188" spans="1:6" x14ac:dyDescent="0.25">
      <c r="A188" s="10">
        <v>836</v>
      </c>
      <c r="B188" s="12" t="s">
        <v>422</v>
      </c>
      <c r="C188" s="10" t="s">
        <v>423</v>
      </c>
      <c r="D188" s="10">
        <v>1</v>
      </c>
      <c r="E188" s="10">
        <v>0</v>
      </c>
      <c r="F188" s="10" t="s">
        <v>57</v>
      </c>
    </row>
    <row r="189" spans="1:6" x14ac:dyDescent="0.25">
      <c r="A189" s="10">
        <v>837</v>
      </c>
      <c r="B189" s="12" t="s">
        <v>424</v>
      </c>
      <c r="C189" s="10" t="s">
        <v>425</v>
      </c>
      <c r="D189" s="10">
        <v>3</v>
      </c>
      <c r="E189" s="10">
        <v>0</v>
      </c>
      <c r="F189" s="10" t="s">
        <v>57</v>
      </c>
    </row>
    <row r="190" spans="1:6" x14ac:dyDescent="0.25">
      <c r="A190" s="10">
        <v>842</v>
      </c>
      <c r="B190" s="12" t="s">
        <v>426</v>
      </c>
      <c r="C190" s="10" t="s">
        <v>427</v>
      </c>
      <c r="D190" s="10">
        <v>2</v>
      </c>
      <c r="E190" s="10">
        <v>0</v>
      </c>
      <c r="F190" s="10" t="s">
        <v>57</v>
      </c>
    </row>
    <row r="191" spans="1:6" x14ac:dyDescent="0.25">
      <c r="A191" s="10">
        <v>843</v>
      </c>
      <c r="B191" s="12" t="s">
        <v>428</v>
      </c>
      <c r="C191" s="10" t="s">
        <v>429</v>
      </c>
      <c r="D191" s="10">
        <v>2</v>
      </c>
      <c r="E191" s="10">
        <v>0</v>
      </c>
      <c r="F191" s="10" t="s">
        <v>57</v>
      </c>
    </row>
    <row r="192" spans="1:6" x14ac:dyDescent="0.25">
      <c r="A192" s="10">
        <v>844</v>
      </c>
      <c r="B192" s="12" t="s">
        <v>430</v>
      </c>
      <c r="C192" s="10" t="s">
        <v>431</v>
      </c>
      <c r="D192" s="10">
        <v>2</v>
      </c>
      <c r="E192" s="10">
        <v>0</v>
      </c>
      <c r="F192" s="10" t="s">
        <v>57</v>
      </c>
    </row>
    <row r="193" spans="1:6" x14ac:dyDescent="0.25">
      <c r="A193" s="10">
        <v>846</v>
      </c>
      <c r="B193" s="12" t="s">
        <v>432</v>
      </c>
      <c r="C193" s="10" t="s">
        <v>433</v>
      </c>
      <c r="D193" s="10">
        <v>3</v>
      </c>
      <c r="E193" s="10">
        <v>0</v>
      </c>
      <c r="F193" s="10" t="s">
        <v>57</v>
      </c>
    </row>
    <row r="194" spans="1:6" x14ac:dyDescent="0.25">
      <c r="A194" s="10">
        <v>848</v>
      </c>
      <c r="B194" s="12" t="s">
        <v>434</v>
      </c>
      <c r="C194" s="10" t="s">
        <v>435</v>
      </c>
      <c r="D194" s="10">
        <v>3</v>
      </c>
      <c r="E194" s="10">
        <v>0</v>
      </c>
      <c r="F194" s="10" t="s">
        <v>57</v>
      </c>
    </row>
    <row r="195" spans="1:6" x14ac:dyDescent="0.25">
      <c r="A195" s="10">
        <v>851</v>
      </c>
      <c r="B195" s="12" t="s">
        <v>436</v>
      </c>
      <c r="C195" s="10" t="s">
        <v>437</v>
      </c>
      <c r="D195" s="10">
        <v>3</v>
      </c>
      <c r="E195" s="10">
        <v>0</v>
      </c>
      <c r="F195" s="10" t="s">
        <v>57</v>
      </c>
    </row>
    <row r="196" spans="1:6" x14ac:dyDescent="0.25">
      <c r="A196" s="10">
        <v>853</v>
      </c>
      <c r="B196" s="12" t="s">
        <v>438</v>
      </c>
      <c r="C196" s="10" t="s">
        <v>439</v>
      </c>
      <c r="D196" s="10">
        <v>2</v>
      </c>
      <c r="E196" s="10">
        <v>0</v>
      </c>
      <c r="F196" s="10" t="s">
        <v>57</v>
      </c>
    </row>
    <row r="197" spans="1:6" x14ac:dyDescent="0.25">
      <c r="A197" s="10">
        <v>855</v>
      </c>
      <c r="B197" s="12" t="s">
        <v>440</v>
      </c>
      <c r="C197" s="10" t="s">
        <v>441</v>
      </c>
      <c r="D197" s="10">
        <v>1</v>
      </c>
      <c r="E197" s="10">
        <v>0</v>
      </c>
      <c r="F197" s="10" t="s">
        <v>57</v>
      </c>
    </row>
    <row r="198" spans="1:6" x14ac:dyDescent="0.25">
      <c r="A198" s="10">
        <v>856</v>
      </c>
      <c r="B198" s="12" t="s">
        <v>442</v>
      </c>
      <c r="C198" s="10" t="s">
        <v>443</v>
      </c>
      <c r="D198" s="10">
        <v>1</v>
      </c>
      <c r="E198" s="10">
        <v>0</v>
      </c>
      <c r="F198" s="10" t="s">
        <v>57</v>
      </c>
    </row>
    <row r="199" spans="1:6" x14ac:dyDescent="0.25">
      <c r="A199" s="10">
        <v>859</v>
      </c>
      <c r="B199" s="12" t="s">
        <v>444</v>
      </c>
      <c r="C199" s="10" t="s">
        <v>445</v>
      </c>
      <c r="D199" s="10">
        <v>1</v>
      </c>
      <c r="E199" s="10">
        <v>0</v>
      </c>
      <c r="F199" s="10" t="s">
        <v>57</v>
      </c>
    </row>
    <row r="200" spans="1:6" x14ac:dyDescent="0.25">
      <c r="A200" s="10">
        <v>860</v>
      </c>
      <c r="B200" s="12" t="s">
        <v>446</v>
      </c>
      <c r="C200" s="10" t="s">
        <v>447</v>
      </c>
      <c r="D200" s="10">
        <v>3</v>
      </c>
      <c r="E200" s="10">
        <v>0</v>
      </c>
      <c r="F200" s="10" t="s">
        <v>57</v>
      </c>
    </row>
    <row r="201" spans="1:6" x14ac:dyDescent="0.25">
      <c r="A201" s="10">
        <v>863</v>
      </c>
      <c r="B201" s="12" t="s">
        <v>448</v>
      </c>
      <c r="C201" s="10" t="s">
        <v>449</v>
      </c>
      <c r="D201" s="10">
        <v>3</v>
      </c>
      <c r="E201" s="10">
        <v>0</v>
      </c>
      <c r="F201" s="10" t="s">
        <v>57</v>
      </c>
    </row>
    <row r="202" spans="1:6" x14ac:dyDescent="0.25">
      <c r="A202" s="10">
        <v>864</v>
      </c>
      <c r="B202" s="12" t="s">
        <v>450</v>
      </c>
      <c r="C202" s="10" t="s">
        <v>451</v>
      </c>
      <c r="D202" s="10">
        <v>1</v>
      </c>
      <c r="E202" s="10">
        <v>0</v>
      </c>
      <c r="F202" s="10" t="s">
        <v>57</v>
      </c>
    </row>
    <row r="203" spans="1:6" x14ac:dyDescent="0.25">
      <c r="A203" s="10">
        <v>865</v>
      </c>
      <c r="B203" s="12" t="s">
        <v>452</v>
      </c>
      <c r="C203" s="10" t="s">
        <v>453</v>
      </c>
      <c r="D203" s="10">
        <v>2</v>
      </c>
      <c r="E203" s="10">
        <v>0</v>
      </c>
      <c r="F203" s="10" t="s">
        <v>57</v>
      </c>
    </row>
    <row r="204" spans="1:6" x14ac:dyDescent="0.25">
      <c r="A204" s="10">
        <v>868</v>
      </c>
      <c r="B204" s="12" t="s">
        <v>454</v>
      </c>
      <c r="C204" s="10" t="s">
        <v>455</v>
      </c>
      <c r="D204" s="10">
        <v>1</v>
      </c>
      <c r="E204" s="10">
        <v>0</v>
      </c>
      <c r="F204" s="10" t="s">
        <v>57</v>
      </c>
    </row>
    <row r="205" spans="1:6" x14ac:dyDescent="0.25">
      <c r="A205" s="10">
        <v>869</v>
      </c>
      <c r="B205" s="12" t="s">
        <v>456</v>
      </c>
      <c r="C205" s="10" t="s">
        <v>457</v>
      </c>
      <c r="D205" s="10">
        <v>2</v>
      </c>
      <c r="E205" s="10">
        <v>0</v>
      </c>
      <c r="F205" s="10" t="s">
        <v>57</v>
      </c>
    </row>
    <row r="206" spans="1:6" x14ac:dyDescent="0.25">
      <c r="A206" s="10">
        <v>870</v>
      </c>
      <c r="B206" s="12" t="s">
        <v>458</v>
      </c>
      <c r="C206" s="10" t="s">
        <v>459</v>
      </c>
      <c r="D206" s="10">
        <v>3</v>
      </c>
      <c r="E206" s="10">
        <v>0</v>
      </c>
      <c r="F206" s="10" t="s">
        <v>57</v>
      </c>
    </row>
    <row r="207" spans="1:6" x14ac:dyDescent="0.25">
      <c r="A207" s="10">
        <v>871</v>
      </c>
      <c r="B207" s="12" t="s">
        <v>460</v>
      </c>
      <c r="C207" s="10" t="s">
        <v>461</v>
      </c>
      <c r="D207" s="10">
        <v>2</v>
      </c>
      <c r="E207" s="10">
        <v>0</v>
      </c>
      <c r="F207" s="10" t="s">
        <v>57</v>
      </c>
    </row>
    <row r="208" spans="1:6" x14ac:dyDescent="0.25">
      <c r="A208" s="13">
        <v>455</v>
      </c>
      <c r="B208" s="14" t="s">
        <v>462</v>
      </c>
      <c r="C208" s="13" t="s">
        <v>463</v>
      </c>
      <c r="D208" s="13">
        <v>2</v>
      </c>
      <c r="E208" s="13">
        <v>2.5</v>
      </c>
      <c r="F208" s="13" t="s">
        <v>464</v>
      </c>
    </row>
    <row r="209" spans="1:6" x14ac:dyDescent="0.25">
      <c r="A209" s="13">
        <v>457</v>
      </c>
      <c r="B209" s="14" t="s">
        <v>465</v>
      </c>
      <c r="C209" s="13" t="s">
        <v>466</v>
      </c>
      <c r="D209" s="13">
        <v>3</v>
      </c>
      <c r="E209" s="13">
        <v>4</v>
      </c>
      <c r="F209" s="13" t="s">
        <v>464</v>
      </c>
    </row>
    <row r="210" spans="1:6" ht="30" x14ac:dyDescent="0.25">
      <c r="A210" s="13">
        <v>458</v>
      </c>
      <c r="B210" s="14" t="s">
        <v>467</v>
      </c>
      <c r="C210" s="13" t="s">
        <v>468</v>
      </c>
      <c r="D210" s="13">
        <v>3</v>
      </c>
      <c r="E210" s="13">
        <v>4</v>
      </c>
      <c r="F210" s="13" t="s">
        <v>464</v>
      </c>
    </row>
    <row r="211" spans="1:6" x14ac:dyDescent="0.25">
      <c r="A211" s="13">
        <v>461</v>
      </c>
      <c r="B211" s="14" t="s">
        <v>469</v>
      </c>
      <c r="C211" s="13" t="s">
        <v>470</v>
      </c>
      <c r="D211" s="13">
        <v>1</v>
      </c>
      <c r="E211" s="13">
        <v>2.5</v>
      </c>
      <c r="F211" s="13" t="s">
        <v>464</v>
      </c>
    </row>
    <row r="212" spans="1:6" ht="30" x14ac:dyDescent="0.25">
      <c r="A212" s="13">
        <v>462</v>
      </c>
      <c r="B212" s="14" t="s">
        <v>471</v>
      </c>
      <c r="C212" s="13" t="s">
        <v>472</v>
      </c>
      <c r="D212" s="13">
        <v>1</v>
      </c>
      <c r="E212" s="13">
        <v>2</v>
      </c>
      <c r="F212" s="13" t="s">
        <v>464</v>
      </c>
    </row>
    <row r="213" spans="1:6" ht="30" x14ac:dyDescent="0.25">
      <c r="A213" s="13">
        <v>464</v>
      </c>
      <c r="B213" s="14" t="s">
        <v>473</v>
      </c>
      <c r="C213" s="13" t="s">
        <v>474</v>
      </c>
      <c r="D213" s="13">
        <v>2</v>
      </c>
      <c r="E213" s="13">
        <v>1.5</v>
      </c>
      <c r="F213" s="13" t="s">
        <v>464</v>
      </c>
    </row>
    <row r="214" spans="1:6" x14ac:dyDescent="0.25">
      <c r="A214" s="13">
        <v>465</v>
      </c>
      <c r="B214" s="14" t="s">
        <v>475</v>
      </c>
      <c r="C214" s="13" t="s">
        <v>476</v>
      </c>
      <c r="D214" s="13">
        <v>3</v>
      </c>
      <c r="E214" s="13">
        <v>3</v>
      </c>
      <c r="F214" s="13" t="s">
        <v>464</v>
      </c>
    </row>
    <row r="215" spans="1:6" ht="30" x14ac:dyDescent="0.25">
      <c r="A215" s="13">
        <v>466</v>
      </c>
      <c r="B215" s="14" t="s">
        <v>477</v>
      </c>
      <c r="C215" s="13" t="s">
        <v>478</v>
      </c>
      <c r="D215" s="13">
        <v>3</v>
      </c>
      <c r="E215" s="13">
        <v>2</v>
      </c>
      <c r="F215" s="13" t="s">
        <v>464</v>
      </c>
    </row>
    <row r="216" spans="1:6" ht="30" x14ac:dyDescent="0.25">
      <c r="A216" s="13">
        <v>468</v>
      </c>
      <c r="B216" s="14" t="s">
        <v>479</v>
      </c>
      <c r="C216" s="13" t="s">
        <v>480</v>
      </c>
      <c r="D216" s="13">
        <v>3</v>
      </c>
      <c r="E216" s="13">
        <v>1</v>
      </c>
      <c r="F216" s="13" t="s">
        <v>464</v>
      </c>
    </row>
    <row r="217" spans="1:6" x14ac:dyDescent="0.25">
      <c r="A217" s="13">
        <v>469</v>
      </c>
      <c r="B217" s="14" t="s">
        <v>481</v>
      </c>
      <c r="C217" s="13" t="s">
        <v>482</v>
      </c>
      <c r="D217" s="13">
        <v>1</v>
      </c>
      <c r="E217" s="13">
        <v>4</v>
      </c>
      <c r="F217" s="13" t="s">
        <v>464</v>
      </c>
    </row>
    <row r="218" spans="1:6" x14ac:dyDescent="0.25">
      <c r="A218" s="13">
        <v>471</v>
      </c>
      <c r="B218" s="14" t="s">
        <v>483</v>
      </c>
      <c r="C218" s="13" t="s">
        <v>484</v>
      </c>
      <c r="D218" s="13">
        <v>2</v>
      </c>
      <c r="E218" s="13">
        <v>3.5</v>
      </c>
      <c r="F218" s="13" t="s">
        <v>464</v>
      </c>
    </row>
    <row r="219" spans="1:6" x14ac:dyDescent="0.25">
      <c r="A219" s="13">
        <v>473</v>
      </c>
      <c r="B219" s="14" t="s">
        <v>485</v>
      </c>
      <c r="C219" s="13" t="s">
        <v>486</v>
      </c>
      <c r="D219" s="13">
        <v>2</v>
      </c>
      <c r="E219" s="13">
        <v>3</v>
      </c>
      <c r="F219" s="13" t="s">
        <v>464</v>
      </c>
    </row>
    <row r="220" spans="1:6" ht="30" x14ac:dyDescent="0.25">
      <c r="A220" s="13">
        <v>474</v>
      </c>
      <c r="B220" s="14" t="s">
        <v>487</v>
      </c>
      <c r="C220" s="13" t="s">
        <v>488</v>
      </c>
      <c r="D220" s="13">
        <v>2</v>
      </c>
      <c r="E220" s="13">
        <v>1.5</v>
      </c>
      <c r="F220" s="13" t="s">
        <v>464</v>
      </c>
    </row>
    <row r="221" spans="1:6" x14ac:dyDescent="0.25">
      <c r="A221" s="13">
        <v>475</v>
      </c>
      <c r="B221" s="14" t="s">
        <v>489</v>
      </c>
      <c r="C221" s="13" t="s">
        <v>490</v>
      </c>
      <c r="D221" s="13">
        <v>1</v>
      </c>
      <c r="E221" s="13">
        <v>4</v>
      </c>
      <c r="F221" s="13" t="s">
        <v>464</v>
      </c>
    </row>
    <row r="222" spans="1:6" ht="30" x14ac:dyDescent="0.25">
      <c r="A222" s="13">
        <v>476</v>
      </c>
      <c r="B222" s="14" t="s">
        <v>491</v>
      </c>
      <c r="C222" s="13" t="s">
        <v>492</v>
      </c>
      <c r="D222" s="13">
        <v>1</v>
      </c>
      <c r="E222" s="13">
        <v>1.5</v>
      </c>
      <c r="F222" s="13" t="s">
        <v>464</v>
      </c>
    </row>
    <row r="223" spans="1:6" x14ac:dyDescent="0.25">
      <c r="A223" s="13">
        <v>477</v>
      </c>
      <c r="B223" s="14" t="s">
        <v>493</v>
      </c>
      <c r="C223" s="13" t="s">
        <v>494</v>
      </c>
      <c r="D223" s="13">
        <v>2</v>
      </c>
      <c r="E223" s="13">
        <v>4</v>
      </c>
      <c r="F223" s="13" t="s">
        <v>464</v>
      </c>
    </row>
    <row r="224" spans="1:6" x14ac:dyDescent="0.25">
      <c r="A224" s="13">
        <v>479</v>
      </c>
      <c r="B224" s="14" t="s">
        <v>495</v>
      </c>
      <c r="C224" s="13" t="s">
        <v>496</v>
      </c>
      <c r="D224" s="13">
        <v>2</v>
      </c>
      <c r="E224" s="13">
        <v>4</v>
      </c>
      <c r="F224" s="13" t="s">
        <v>464</v>
      </c>
    </row>
    <row r="225" spans="1:6" x14ac:dyDescent="0.25">
      <c r="A225" s="13">
        <v>481</v>
      </c>
      <c r="B225" s="14" t="s">
        <v>497</v>
      </c>
      <c r="C225" s="13" t="s">
        <v>498</v>
      </c>
      <c r="D225" s="13">
        <v>3</v>
      </c>
      <c r="E225" s="13">
        <v>2</v>
      </c>
      <c r="F225" s="13" t="s">
        <v>464</v>
      </c>
    </row>
    <row r="226" spans="1:6" x14ac:dyDescent="0.25">
      <c r="A226" s="13">
        <v>483</v>
      </c>
      <c r="B226" s="14" t="s">
        <v>499</v>
      </c>
      <c r="C226" s="13" t="s">
        <v>500</v>
      </c>
      <c r="D226" s="13">
        <v>1</v>
      </c>
      <c r="E226" s="13">
        <v>2.5</v>
      </c>
      <c r="F226" s="13" t="s">
        <v>464</v>
      </c>
    </row>
    <row r="227" spans="1:6" ht="30" x14ac:dyDescent="0.25">
      <c r="A227" s="13">
        <v>486</v>
      </c>
      <c r="B227" s="14" t="s">
        <v>501</v>
      </c>
      <c r="C227" s="13" t="s">
        <v>502</v>
      </c>
      <c r="D227" s="13">
        <v>1</v>
      </c>
      <c r="E227" s="13">
        <v>3</v>
      </c>
      <c r="F227" s="13" t="s">
        <v>464</v>
      </c>
    </row>
    <row r="228" spans="1:6" x14ac:dyDescent="0.25">
      <c r="A228" s="13">
        <v>487</v>
      </c>
      <c r="B228" s="14" t="s">
        <v>503</v>
      </c>
      <c r="C228" s="13" t="s">
        <v>504</v>
      </c>
      <c r="D228" s="13">
        <v>3</v>
      </c>
      <c r="E228" s="13">
        <v>2.5</v>
      </c>
      <c r="F228" s="13" t="s">
        <v>464</v>
      </c>
    </row>
    <row r="229" spans="1:6" ht="30" x14ac:dyDescent="0.25">
      <c r="A229" s="13">
        <v>492</v>
      </c>
      <c r="B229" s="14" t="s">
        <v>505</v>
      </c>
      <c r="C229" s="13" t="s">
        <v>506</v>
      </c>
      <c r="D229" s="13">
        <v>2</v>
      </c>
      <c r="E229" s="13">
        <v>2</v>
      </c>
      <c r="F229" s="13" t="s">
        <v>464</v>
      </c>
    </row>
    <row r="230" spans="1:6" x14ac:dyDescent="0.25">
      <c r="A230" s="13">
        <v>495</v>
      </c>
      <c r="B230" s="14" t="s">
        <v>507</v>
      </c>
      <c r="C230" s="13" t="s">
        <v>508</v>
      </c>
      <c r="D230" s="13">
        <v>3</v>
      </c>
      <c r="E230" s="13">
        <v>3</v>
      </c>
      <c r="F230" s="13" t="s">
        <v>464</v>
      </c>
    </row>
    <row r="231" spans="1:6" ht="30" x14ac:dyDescent="0.25">
      <c r="A231" s="13">
        <v>496</v>
      </c>
      <c r="B231" s="14" t="s">
        <v>509</v>
      </c>
      <c r="C231" s="13" t="s">
        <v>510</v>
      </c>
      <c r="D231" s="13">
        <v>3</v>
      </c>
      <c r="E231" s="13">
        <v>3.5</v>
      </c>
      <c r="F231" s="13" t="s">
        <v>464</v>
      </c>
    </row>
    <row r="232" spans="1:6" x14ac:dyDescent="0.25">
      <c r="A232" s="13">
        <v>497</v>
      </c>
      <c r="B232" s="14" t="s">
        <v>511</v>
      </c>
      <c r="C232" s="13" t="s">
        <v>512</v>
      </c>
      <c r="D232" s="13">
        <v>2</v>
      </c>
      <c r="E232" s="13">
        <v>3.5</v>
      </c>
      <c r="F232" s="13" t="s">
        <v>464</v>
      </c>
    </row>
    <row r="233" spans="1:6" ht="30" x14ac:dyDescent="0.25">
      <c r="A233" s="13">
        <v>498</v>
      </c>
      <c r="B233" s="14" t="s">
        <v>513</v>
      </c>
      <c r="C233" s="13" t="s">
        <v>514</v>
      </c>
      <c r="D233" s="13">
        <v>2</v>
      </c>
      <c r="E233" s="13">
        <v>1.5</v>
      </c>
      <c r="F233" s="13" t="s">
        <v>464</v>
      </c>
    </row>
    <row r="234" spans="1:6" x14ac:dyDescent="0.25">
      <c r="A234" s="13">
        <v>499</v>
      </c>
      <c r="B234" s="14" t="s">
        <v>515</v>
      </c>
      <c r="C234" s="13" t="s">
        <v>516</v>
      </c>
      <c r="D234" s="13">
        <v>1</v>
      </c>
      <c r="E234" s="13">
        <v>2.5</v>
      </c>
      <c r="F234" s="13" t="s">
        <v>464</v>
      </c>
    </row>
    <row r="235" spans="1:6" x14ac:dyDescent="0.25">
      <c r="A235" s="13">
        <v>501</v>
      </c>
      <c r="B235" s="14" t="s">
        <v>517</v>
      </c>
      <c r="C235" s="13" t="s">
        <v>518</v>
      </c>
      <c r="D235" s="13">
        <v>3</v>
      </c>
      <c r="E235" s="13">
        <v>2</v>
      </c>
      <c r="F235" s="13" t="s">
        <v>464</v>
      </c>
    </row>
    <row r="236" spans="1:6" ht="30" x14ac:dyDescent="0.25">
      <c r="A236" s="13">
        <v>502</v>
      </c>
      <c r="B236" s="14" t="s">
        <v>519</v>
      </c>
      <c r="C236" s="13" t="s">
        <v>520</v>
      </c>
      <c r="D236" s="13">
        <v>3</v>
      </c>
      <c r="E236" s="13">
        <v>4</v>
      </c>
      <c r="F236" s="13" t="s">
        <v>464</v>
      </c>
    </row>
    <row r="237" spans="1:6" ht="30" x14ac:dyDescent="0.25">
      <c r="A237" s="13">
        <v>504</v>
      </c>
      <c r="B237" s="14" t="s">
        <v>521</v>
      </c>
      <c r="C237" s="13" t="s">
        <v>522</v>
      </c>
      <c r="D237" s="13">
        <v>2</v>
      </c>
      <c r="E237" s="13">
        <v>3.5</v>
      </c>
      <c r="F237" s="13" t="s">
        <v>464</v>
      </c>
    </row>
    <row r="238" spans="1:6" ht="30" x14ac:dyDescent="0.25">
      <c r="A238" s="13">
        <v>506</v>
      </c>
      <c r="B238" s="14" t="s">
        <v>523</v>
      </c>
      <c r="C238" s="13" t="s">
        <v>524</v>
      </c>
      <c r="D238" s="13">
        <v>2</v>
      </c>
      <c r="E238" s="13">
        <v>4</v>
      </c>
      <c r="F238" s="13" t="s">
        <v>464</v>
      </c>
    </row>
    <row r="239" spans="1:6" x14ac:dyDescent="0.25">
      <c r="A239" s="13">
        <v>507</v>
      </c>
      <c r="B239" s="14" t="s">
        <v>525</v>
      </c>
      <c r="C239" s="13" t="s">
        <v>526</v>
      </c>
      <c r="D239" s="13">
        <v>1</v>
      </c>
      <c r="E239" s="13">
        <v>3</v>
      </c>
      <c r="F239" s="13" t="s">
        <v>464</v>
      </c>
    </row>
    <row r="240" spans="1:6" x14ac:dyDescent="0.25">
      <c r="A240" s="13">
        <v>509</v>
      </c>
      <c r="B240" s="14" t="s">
        <v>527</v>
      </c>
      <c r="C240" s="13" t="s">
        <v>528</v>
      </c>
      <c r="D240" s="13">
        <v>1</v>
      </c>
      <c r="E240" s="13">
        <v>3.5</v>
      </c>
      <c r="F240" s="13" t="s">
        <v>464</v>
      </c>
    </row>
    <row r="241" spans="1:6" ht="30" x14ac:dyDescent="0.25">
      <c r="A241" s="13">
        <v>510</v>
      </c>
      <c r="B241" s="14" t="s">
        <v>529</v>
      </c>
      <c r="C241" s="13" t="s">
        <v>530</v>
      </c>
      <c r="D241" s="13">
        <v>1</v>
      </c>
      <c r="E241" s="13">
        <v>4</v>
      </c>
      <c r="F241" s="13" t="s">
        <v>464</v>
      </c>
    </row>
    <row r="242" spans="1:6" x14ac:dyDescent="0.25">
      <c r="A242" s="13">
        <v>511</v>
      </c>
      <c r="B242" s="14" t="s">
        <v>531</v>
      </c>
      <c r="C242" s="13" t="s">
        <v>532</v>
      </c>
      <c r="D242" s="13">
        <v>1</v>
      </c>
      <c r="E242" s="13">
        <v>2</v>
      </c>
      <c r="F242" s="13" t="s">
        <v>464</v>
      </c>
    </row>
    <row r="243" spans="1:6" ht="30" x14ac:dyDescent="0.25">
      <c r="A243" s="13">
        <v>512</v>
      </c>
      <c r="B243" s="14" t="s">
        <v>533</v>
      </c>
      <c r="C243" s="13" t="s">
        <v>534</v>
      </c>
      <c r="D243" s="13">
        <v>1</v>
      </c>
      <c r="E243" s="13">
        <v>4</v>
      </c>
      <c r="F243" s="13" t="s">
        <v>464</v>
      </c>
    </row>
    <row r="244" spans="1:6" ht="30" x14ac:dyDescent="0.25">
      <c r="A244" s="13">
        <v>516</v>
      </c>
      <c r="B244" s="14" t="s">
        <v>535</v>
      </c>
      <c r="C244" s="13" t="s">
        <v>536</v>
      </c>
      <c r="D244" s="13">
        <v>3</v>
      </c>
      <c r="E244" s="13">
        <v>4</v>
      </c>
      <c r="F244" s="13" t="s">
        <v>464</v>
      </c>
    </row>
    <row r="245" spans="1:6" x14ac:dyDescent="0.25">
      <c r="A245" s="13">
        <v>517</v>
      </c>
      <c r="B245" s="14" t="s">
        <v>537</v>
      </c>
      <c r="C245" s="13" t="s">
        <v>538</v>
      </c>
      <c r="D245" s="13">
        <v>3</v>
      </c>
      <c r="E245" s="13">
        <v>4</v>
      </c>
      <c r="F245" s="13" t="s">
        <v>464</v>
      </c>
    </row>
    <row r="246" spans="1:6" ht="30" x14ac:dyDescent="0.25">
      <c r="A246" s="13">
        <v>518</v>
      </c>
      <c r="B246" s="14" t="s">
        <v>539</v>
      </c>
      <c r="C246" s="13" t="s">
        <v>540</v>
      </c>
      <c r="D246" s="13">
        <v>3</v>
      </c>
      <c r="E246" s="13">
        <v>2.5</v>
      </c>
      <c r="F246" s="13" t="s">
        <v>464</v>
      </c>
    </row>
    <row r="247" spans="1:6" x14ac:dyDescent="0.25">
      <c r="A247" s="13">
        <v>523</v>
      </c>
      <c r="B247" s="14" t="s">
        <v>541</v>
      </c>
      <c r="C247" s="13" t="s">
        <v>542</v>
      </c>
      <c r="D247" s="13">
        <v>1</v>
      </c>
      <c r="E247" s="13">
        <v>4</v>
      </c>
      <c r="F247" s="13" t="s">
        <v>464</v>
      </c>
    </row>
    <row r="248" spans="1:6" ht="30" x14ac:dyDescent="0.25">
      <c r="A248" s="13">
        <v>524</v>
      </c>
      <c r="B248" s="14" t="s">
        <v>543</v>
      </c>
      <c r="C248" s="13" t="s">
        <v>544</v>
      </c>
      <c r="D248" s="13">
        <v>1</v>
      </c>
      <c r="E248" s="13">
        <v>2.5</v>
      </c>
      <c r="F248" s="13" t="s">
        <v>464</v>
      </c>
    </row>
    <row r="249" spans="1:6" x14ac:dyDescent="0.25">
      <c r="A249" s="13">
        <v>527</v>
      </c>
      <c r="B249" s="14" t="s">
        <v>545</v>
      </c>
      <c r="C249" s="13" t="s">
        <v>546</v>
      </c>
      <c r="D249" s="13">
        <v>3</v>
      </c>
      <c r="E249" s="13">
        <v>2</v>
      </c>
      <c r="F249" s="13" t="s">
        <v>464</v>
      </c>
    </row>
    <row r="250" spans="1:6" x14ac:dyDescent="0.25">
      <c r="A250" s="13">
        <v>535</v>
      </c>
      <c r="B250" s="14" t="s">
        <v>547</v>
      </c>
      <c r="C250" s="13" t="s">
        <v>548</v>
      </c>
      <c r="D250" s="13">
        <v>1</v>
      </c>
      <c r="E250" s="13">
        <v>4</v>
      </c>
      <c r="F250" s="13" t="s">
        <v>464</v>
      </c>
    </row>
    <row r="251" spans="1:6" ht="30" x14ac:dyDescent="0.25">
      <c r="A251" s="13">
        <v>536</v>
      </c>
      <c r="B251" s="14" t="s">
        <v>549</v>
      </c>
      <c r="C251" s="13" t="s">
        <v>550</v>
      </c>
      <c r="D251" s="13">
        <v>1</v>
      </c>
      <c r="E251" s="13">
        <v>3.5</v>
      </c>
      <c r="F251" s="13" t="s">
        <v>464</v>
      </c>
    </row>
    <row r="252" spans="1:6" x14ac:dyDescent="0.25">
      <c r="A252" s="13">
        <v>537</v>
      </c>
      <c r="B252" s="14" t="s">
        <v>551</v>
      </c>
      <c r="C252" s="13" t="s">
        <v>552</v>
      </c>
      <c r="D252" s="13">
        <v>1</v>
      </c>
      <c r="E252" s="13">
        <v>4</v>
      </c>
      <c r="F252" s="13" t="s">
        <v>464</v>
      </c>
    </row>
    <row r="253" spans="1:6" ht="30" x14ac:dyDescent="0.25">
      <c r="A253" s="13">
        <v>538</v>
      </c>
      <c r="B253" s="14" t="s">
        <v>553</v>
      </c>
      <c r="C253" s="13" t="s">
        <v>554</v>
      </c>
      <c r="D253" s="13">
        <v>1</v>
      </c>
      <c r="E253" s="13">
        <v>3</v>
      </c>
      <c r="F253" s="13" t="s">
        <v>464</v>
      </c>
    </row>
    <row r="254" spans="1:6" x14ac:dyDescent="0.25">
      <c r="A254" s="13">
        <v>539</v>
      </c>
      <c r="B254" s="14" t="s">
        <v>555</v>
      </c>
      <c r="C254" s="13" t="s">
        <v>556</v>
      </c>
      <c r="D254" s="13">
        <v>2</v>
      </c>
      <c r="E254" s="13">
        <v>2</v>
      </c>
      <c r="F254" s="13" t="s">
        <v>464</v>
      </c>
    </row>
    <row r="255" spans="1:6" ht="30" x14ac:dyDescent="0.25">
      <c r="A255" s="13">
        <v>542</v>
      </c>
      <c r="B255" s="14" t="s">
        <v>557</v>
      </c>
      <c r="C255" s="13" t="s">
        <v>558</v>
      </c>
      <c r="D255" s="13">
        <v>1</v>
      </c>
      <c r="E255" s="13">
        <v>2</v>
      </c>
      <c r="F255" s="13" t="s">
        <v>464</v>
      </c>
    </row>
    <row r="256" spans="1:6" x14ac:dyDescent="0.25">
      <c r="A256" s="13">
        <v>522</v>
      </c>
      <c r="B256" s="14" t="s">
        <v>559</v>
      </c>
      <c r="C256" s="13" t="s">
        <v>560</v>
      </c>
      <c r="D256" s="13">
        <v>1</v>
      </c>
      <c r="E256" s="13">
        <v>1.5</v>
      </c>
      <c r="F256" s="13" t="s">
        <v>464</v>
      </c>
    </row>
    <row r="257" spans="1:6" x14ac:dyDescent="0.25">
      <c r="A257" s="13">
        <v>543</v>
      </c>
      <c r="B257" s="14" t="s">
        <v>561</v>
      </c>
      <c r="C257" s="13" t="s">
        <v>562</v>
      </c>
      <c r="D257" s="13">
        <v>1</v>
      </c>
      <c r="E257" s="13">
        <v>2.5</v>
      </c>
      <c r="F257" s="13" t="s">
        <v>464</v>
      </c>
    </row>
    <row r="258" spans="1:6" x14ac:dyDescent="0.25">
      <c r="A258" s="13">
        <v>544</v>
      </c>
      <c r="B258" s="14" t="s">
        <v>563</v>
      </c>
      <c r="C258" s="13" t="s">
        <v>564</v>
      </c>
      <c r="D258" s="13">
        <v>1</v>
      </c>
      <c r="E258" s="13">
        <v>3.5</v>
      </c>
      <c r="F258" s="13" t="s">
        <v>464</v>
      </c>
    </row>
    <row r="259" spans="1:6" x14ac:dyDescent="0.25">
      <c r="A259" s="13">
        <v>545</v>
      </c>
      <c r="B259" s="14" t="s">
        <v>565</v>
      </c>
      <c r="C259" s="13" t="s">
        <v>566</v>
      </c>
      <c r="D259" s="13">
        <v>1</v>
      </c>
      <c r="E259" s="13">
        <v>2</v>
      </c>
      <c r="F259" s="13" t="s">
        <v>464</v>
      </c>
    </row>
    <row r="260" spans="1:6" x14ac:dyDescent="0.25">
      <c r="A260" s="13">
        <v>547</v>
      </c>
      <c r="B260" s="14" t="s">
        <v>567</v>
      </c>
      <c r="C260" s="13" t="s">
        <v>568</v>
      </c>
      <c r="D260" s="13">
        <v>1</v>
      </c>
      <c r="E260" s="13">
        <v>2</v>
      </c>
      <c r="F260" s="13" t="s">
        <v>464</v>
      </c>
    </row>
    <row r="261" spans="1:6" x14ac:dyDescent="0.25">
      <c r="A261" s="13">
        <v>549</v>
      </c>
      <c r="B261" s="14" t="s">
        <v>569</v>
      </c>
      <c r="C261" s="13" t="s">
        <v>570</v>
      </c>
      <c r="D261" s="13">
        <v>1</v>
      </c>
      <c r="E261" s="13">
        <v>3.5</v>
      </c>
      <c r="F261" s="13" t="s">
        <v>464</v>
      </c>
    </row>
    <row r="262" spans="1:6" x14ac:dyDescent="0.25">
      <c r="A262" s="13">
        <v>551</v>
      </c>
      <c r="B262" s="14" t="s">
        <v>571</v>
      </c>
      <c r="C262" s="13" t="s">
        <v>572</v>
      </c>
      <c r="D262" s="13">
        <v>1</v>
      </c>
      <c r="E262" s="13">
        <v>4</v>
      </c>
      <c r="F262" s="13" t="s">
        <v>464</v>
      </c>
    </row>
    <row r="263" spans="1:6" x14ac:dyDescent="0.25">
      <c r="A263" s="13">
        <v>555</v>
      </c>
      <c r="B263" s="14" t="s">
        <v>573</v>
      </c>
      <c r="C263" s="13" t="s">
        <v>574</v>
      </c>
      <c r="D263" s="13">
        <v>3</v>
      </c>
      <c r="E263" s="13">
        <v>4</v>
      </c>
      <c r="F263" s="13" t="s">
        <v>464</v>
      </c>
    </row>
    <row r="264" spans="1:6" x14ac:dyDescent="0.25">
      <c r="A264" s="13">
        <v>557</v>
      </c>
      <c r="B264" s="14" t="s">
        <v>575</v>
      </c>
      <c r="C264" s="13" t="s">
        <v>576</v>
      </c>
      <c r="D264" s="13">
        <v>1</v>
      </c>
      <c r="E264" s="13">
        <v>4</v>
      </c>
      <c r="F264" s="13" t="s">
        <v>464</v>
      </c>
    </row>
    <row r="265" spans="1:6" x14ac:dyDescent="0.25">
      <c r="A265" s="13">
        <v>559</v>
      </c>
      <c r="B265" s="14" t="s">
        <v>577</v>
      </c>
      <c r="C265" s="13" t="s">
        <v>578</v>
      </c>
      <c r="D265" s="13">
        <v>1</v>
      </c>
      <c r="E265" s="13">
        <v>4</v>
      </c>
      <c r="F265" s="13" t="s">
        <v>464</v>
      </c>
    </row>
    <row r="266" spans="1:6" x14ac:dyDescent="0.25">
      <c r="A266" s="13">
        <v>560</v>
      </c>
      <c r="B266" s="14" t="s">
        <v>579</v>
      </c>
      <c r="C266" s="13" t="s">
        <v>580</v>
      </c>
      <c r="D266" s="13">
        <v>2</v>
      </c>
      <c r="E266" s="13">
        <v>3</v>
      </c>
      <c r="F266" s="13" t="s">
        <v>464</v>
      </c>
    </row>
    <row r="267" spans="1:6" x14ac:dyDescent="0.25">
      <c r="A267" s="13">
        <v>561</v>
      </c>
      <c r="B267" s="14" t="s">
        <v>581</v>
      </c>
      <c r="C267" s="13" t="s">
        <v>582</v>
      </c>
      <c r="D267" s="13">
        <v>1</v>
      </c>
      <c r="E267" s="13">
        <v>2.5</v>
      </c>
      <c r="F267" s="13" t="s">
        <v>464</v>
      </c>
    </row>
    <row r="268" spans="1:6" x14ac:dyDescent="0.25">
      <c r="A268" s="13">
        <v>562</v>
      </c>
      <c r="B268" s="14" t="s">
        <v>583</v>
      </c>
      <c r="C268" s="13" t="s">
        <v>584</v>
      </c>
      <c r="D268" s="13">
        <v>1</v>
      </c>
      <c r="E268" s="13">
        <v>2</v>
      </c>
      <c r="F268" s="13" t="s">
        <v>464</v>
      </c>
    </row>
    <row r="269" spans="1:6" x14ac:dyDescent="0.25">
      <c r="A269" s="13">
        <v>563</v>
      </c>
      <c r="B269" s="14" t="s">
        <v>585</v>
      </c>
      <c r="C269" s="13" t="s">
        <v>586</v>
      </c>
      <c r="D269" s="13">
        <v>2</v>
      </c>
      <c r="E269" s="13">
        <v>2.5</v>
      </c>
      <c r="F269" s="13" t="s">
        <v>464</v>
      </c>
    </row>
    <row r="270" spans="1:6" x14ac:dyDescent="0.25">
      <c r="A270" s="13">
        <v>565</v>
      </c>
      <c r="B270" s="14" t="s">
        <v>587</v>
      </c>
      <c r="C270" s="13" t="s">
        <v>588</v>
      </c>
      <c r="D270" s="13">
        <v>3</v>
      </c>
      <c r="E270" s="13">
        <v>4</v>
      </c>
      <c r="F270" s="13" t="s">
        <v>464</v>
      </c>
    </row>
    <row r="271" spans="1:6" x14ac:dyDescent="0.25">
      <c r="A271" s="13">
        <v>566</v>
      </c>
      <c r="B271" s="14" t="s">
        <v>589</v>
      </c>
      <c r="C271" s="13" t="s">
        <v>590</v>
      </c>
      <c r="D271" s="13">
        <v>2</v>
      </c>
      <c r="E271" s="13">
        <v>1.5</v>
      </c>
      <c r="F271" s="13" t="s">
        <v>464</v>
      </c>
    </row>
    <row r="272" spans="1:6" x14ac:dyDescent="0.25">
      <c r="A272" s="13">
        <v>567</v>
      </c>
      <c r="B272" s="14" t="s">
        <v>591</v>
      </c>
      <c r="C272" s="13" t="s">
        <v>592</v>
      </c>
      <c r="D272" s="13">
        <v>2</v>
      </c>
      <c r="E272" s="13">
        <v>1.5</v>
      </c>
      <c r="F272" s="13" t="s">
        <v>464</v>
      </c>
    </row>
    <row r="273" spans="1:6" x14ac:dyDescent="0.25">
      <c r="A273" s="13">
        <v>570</v>
      </c>
      <c r="B273" s="14" t="s">
        <v>593</v>
      </c>
      <c r="C273" s="13" t="s">
        <v>594</v>
      </c>
      <c r="D273" s="13">
        <v>3</v>
      </c>
      <c r="E273" s="13">
        <v>1.5</v>
      </c>
      <c r="F273" s="13" t="s">
        <v>464</v>
      </c>
    </row>
    <row r="274" spans="1:6" x14ac:dyDescent="0.25">
      <c r="A274" s="13">
        <v>572</v>
      </c>
      <c r="B274" s="14" t="s">
        <v>595</v>
      </c>
      <c r="C274" s="13" t="s">
        <v>596</v>
      </c>
      <c r="D274" s="13">
        <v>1</v>
      </c>
      <c r="E274" s="13">
        <v>4</v>
      </c>
      <c r="F274" s="13" t="s">
        <v>464</v>
      </c>
    </row>
    <row r="275" spans="1:6" x14ac:dyDescent="0.25">
      <c r="A275" s="13">
        <v>573</v>
      </c>
      <c r="B275" s="14" t="s">
        <v>597</v>
      </c>
      <c r="C275" s="13" t="s">
        <v>598</v>
      </c>
      <c r="D275" s="13">
        <v>1</v>
      </c>
      <c r="E275" s="13">
        <v>4</v>
      </c>
      <c r="F275" s="13" t="s">
        <v>464</v>
      </c>
    </row>
    <row r="276" spans="1:6" x14ac:dyDescent="0.25">
      <c r="A276" s="13">
        <v>574</v>
      </c>
      <c r="B276" s="14" t="s">
        <v>599</v>
      </c>
      <c r="C276" s="13" t="s">
        <v>600</v>
      </c>
      <c r="D276" s="13">
        <v>2</v>
      </c>
      <c r="E276" s="13">
        <v>2</v>
      </c>
      <c r="F276" s="13" t="s">
        <v>464</v>
      </c>
    </row>
    <row r="277" spans="1:6" x14ac:dyDescent="0.25">
      <c r="A277" s="13">
        <v>575</v>
      </c>
      <c r="B277" s="14" t="s">
        <v>601</v>
      </c>
      <c r="C277" s="13" t="s">
        <v>602</v>
      </c>
      <c r="D277" s="13">
        <v>3</v>
      </c>
      <c r="E277" s="13">
        <v>2.5</v>
      </c>
      <c r="F277" s="13" t="s">
        <v>464</v>
      </c>
    </row>
    <row r="278" spans="1:6" x14ac:dyDescent="0.25">
      <c r="A278" s="13">
        <v>579</v>
      </c>
      <c r="B278" s="14" t="s">
        <v>603</v>
      </c>
      <c r="C278" s="13" t="s">
        <v>604</v>
      </c>
      <c r="D278" s="13">
        <v>1</v>
      </c>
      <c r="E278" s="13">
        <v>1.5</v>
      </c>
      <c r="F278" s="13" t="s">
        <v>464</v>
      </c>
    </row>
    <row r="279" spans="1:6" x14ac:dyDescent="0.25">
      <c r="A279" s="13">
        <v>581</v>
      </c>
      <c r="B279" s="14" t="s">
        <v>605</v>
      </c>
      <c r="C279" s="13" t="s">
        <v>606</v>
      </c>
      <c r="D279" s="13">
        <v>1</v>
      </c>
      <c r="E279" s="13">
        <v>4</v>
      </c>
      <c r="F279" s="13" t="s">
        <v>464</v>
      </c>
    </row>
    <row r="280" spans="1:6" x14ac:dyDescent="0.25">
      <c r="A280" s="13">
        <v>582</v>
      </c>
      <c r="B280" s="14" t="s">
        <v>607</v>
      </c>
      <c r="C280" s="13" t="s">
        <v>608</v>
      </c>
      <c r="D280" s="13">
        <v>2</v>
      </c>
      <c r="E280" s="13">
        <v>2</v>
      </c>
      <c r="F280" s="13" t="s">
        <v>464</v>
      </c>
    </row>
    <row r="281" spans="1:6" x14ac:dyDescent="0.25">
      <c r="A281" s="13">
        <v>583</v>
      </c>
      <c r="B281" s="14" t="s">
        <v>609</v>
      </c>
      <c r="C281" s="13" t="s">
        <v>610</v>
      </c>
      <c r="D281" s="13">
        <v>3</v>
      </c>
      <c r="E281" s="13">
        <v>4</v>
      </c>
      <c r="F281" s="13" t="s">
        <v>464</v>
      </c>
    </row>
    <row r="282" spans="1:6" x14ac:dyDescent="0.25">
      <c r="A282" s="13">
        <v>585</v>
      </c>
      <c r="B282" s="14" t="s">
        <v>611</v>
      </c>
      <c r="C282" s="13" t="s">
        <v>612</v>
      </c>
      <c r="D282" s="13">
        <v>2</v>
      </c>
      <c r="E282" s="13">
        <v>1.5</v>
      </c>
      <c r="F282" s="13" t="s">
        <v>464</v>
      </c>
    </row>
    <row r="283" spans="1:6" x14ac:dyDescent="0.25">
      <c r="A283" s="13">
        <v>586</v>
      </c>
      <c r="B283" s="14" t="s">
        <v>613</v>
      </c>
      <c r="C283" s="13" t="s">
        <v>614</v>
      </c>
      <c r="D283" s="13">
        <v>3</v>
      </c>
      <c r="E283" s="13">
        <v>4</v>
      </c>
      <c r="F283" s="13" t="s">
        <v>464</v>
      </c>
    </row>
    <row r="284" spans="1:6" x14ac:dyDescent="0.25">
      <c r="A284" s="13">
        <v>593</v>
      </c>
      <c r="B284" s="14" t="s">
        <v>615</v>
      </c>
      <c r="C284" s="13" t="s">
        <v>616</v>
      </c>
      <c r="D284" s="13">
        <v>1</v>
      </c>
      <c r="E284" s="13">
        <v>2.5</v>
      </c>
      <c r="F284" s="13" t="s">
        <v>464</v>
      </c>
    </row>
    <row r="285" spans="1:6" x14ac:dyDescent="0.25">
      <c r="A285" s="13">
        <v>594</v>
      </c>
      <c r="B285" s="14" t="s">
        <v>617</v>
      </c>
      <c r="C285" s="13" t="s">
        <v>618</v>
      </c>
      <c r="D285" s="13">
        <v>2</v>
      </c>
      <c r="E285" s="13">
        <v>3</v>
      </c>
      <c r="F285" s="13" t="s">
        <v>464</v>
      </c>
    </row>
    <row r="286" spans="1:6" x14ac:dyDescent="0.25">
      <c r="A286" s="13">
        <v>595</v>
      </c>
      <c r="B286" s="14" t="s">
        <v>619</v>
      </c>
      <c r="C286" s="13" t="s">
        <v>620</v>
      </c>
      <c r="D286" s="13">
        <v>2</v>
      </c>
      <c r="E286" s="13">
        <v>4</v>
      </c>
      <c r="F286" s="13" t="s">
        <v>464</v>
      </c>
    </row>
    <row r="287" spans="1:6" x14ac:dyDescent="0.25">
      <c r="A287" s="13">
        <v>597</v>
      </c>
      <c r="B287" s="14" t="s">
        <v>621</v>
      </c>
      <c r="C287" s="13" t="s">
        <v>622</v>
      </c>
      <c r="D287" s="13">
        <v>3</v>
      </c>
      <c r="E287" s="13">
        <v>2</v>
      </c>
      <c r="F287" s="13" t="s">
        <v>464</v>
      </c>
    </row>
    <row r="288" spans="1:6" x14ac:dyDescent="0.25">
      <c r="A288" s="13">
        <v>598</v>
      </c>
      <c r="B288" s="14" t="s">
        <v>623</v>
      </c>
      <c r="C288" s="13" t="s">
        <v>624</v>
      </c>
      <c r="D288" s="13">
        <v>2</v>
      </c>
      <c r="E288" s="13">
        <v>2.5</v>
      </c>
      <c r="F288" s="13" t="s">
        <v>464</v>
      </c>
    </row>
    <row r="289" spans="1:6" x14ac:dyDescent="0.25">
      <c r="A289" s="13">
        <v>604</v>
      </c>
      <c r="B289" s="14" t="s">
        <v>625</v>
      </c>
      <c r="C289" s="13" t="s">
        <v>626</v>
      </c>
      <c r="D289" s="13">
        <v>2</v>
      </c>
      <c r="E289" s="13">
        <v>2</v>
      </c>
      <c r="F289" s="13" t="s">
        <v>464</v>
      </c>
    </row>
    <row r="290" spans="1:6" x14ac:dyDescent="0.25">
      <c r="A290" s="13">
        <v>606</v>
      </c>
      <c r="B290" s="14" t="s">
        <v>627</v>
      </c>
      <c r="C290" s="13" t="s">
        <v>628</v>
      </c>
      <c r="D290" s="13">
        <v>3</v>
      </c>
      <c r="E290" s="13">
        <v>4</v>
      </c>
      <c r="F290" s="13" t="s">
        <v>464</v>
      </c>
    </row>
    <row r="291" spans="1:6" x14ac:dyDescent="0.25">
      <c r="A291" s="13">
        <v>607</v>
      </c>
      <c r="B291" s="14" t="s">
        <v>629</v>
      </c>
      <c r="C291" s="13" t="s">
        <v>630</v>
      </c>
      <c r="D291" s="13">
        <v>2</v>
      </c>
      <c r="E291" s="13">
        <v>4</v>
      </c>
      <c r="F291" s="13" t="s">
        <v>464</v>
      </c>
    </row>
    <row r="292" spans="1:6" x14ac:dyDescent="0.25">
      <c r="A292" s="13">
        <v>608</v>
      </c>
      <c r="B292" s="14" t="s">
        <v>631</v>
      </c>
      <c r="C292" s="13" t="s">
        <v>632</v>
      </c>
      <c r="D292" s="13">
        <v>3</v>
      </c>
      <c r="E292" s="13">
        <v>3</v>
      </c>
      <c r="F292" s="13" t="s">
        <v>464</v>
      </c>
    </row>
    <row r="293" spans="1:6" x14ac:dyDescent="0.25">
      <c r="A293" s="13">
        <v>612</v>
      </c>
      <c r="B293" s="14" t="s">
        <v>633</v>
      </c>
      <c r="C293" s="13" t="s">
        <v>634</v>
      </c>
      <c r="D293" s="13">
        <v>1</v>
      </c>
      <c r="E293" s="13">
        <v>1.5</v>
      </c>
      <c r="F293" s="13" t="s">
        <v>464</v>
      </c>
    </row>
    <row r="294" spans="1:6" x14ac:dyDescent="0.25">
      <c r="A294" s="13">
        <v>613</v>
      </c>
      <c r="B294" s="14" t="s">
        <v>635</v>
      </c>
      <c r="C294" s="13" t="s">
        <v>636</v>
      </c>
      <c r="D294" s="13">
        <v>1</v>
      </c>
      <c r="E294" s="13">
        <v>3</v>
      </c>
      <c r="F294" s="13" t="s">
        <v>464</v>
      </c>
    </row>
    <row r="295" spans="1:6" x14ac:dyDescent="0.25">
      <c r="A295" s="13">
        <v>614</v>
      </c>
      <c r="B295" s="14" t="s">
        <v>637</v>
      </c>
      <c r="C295" s="13" t="s">
        <v>638</v>
      </c>
      <c r="D295" s="13">
        <v>3</v>
      </c>
      <c r="E295" s="13">
        <v>3</v>
      </c>
      <c r="F295" s="13" t="s">
        <v>464</v>
      </c>
    </row>
    <row r="296" spans="1:6" x14ac:dyDescent="0.25">
      <c r="A296" s="13">
        <v>619</v>
      </c>
      <c r="B296" s="14" t="s">
        <v>639</v>
      </c>
      <c r="C296" s="13" t="s">
        <v>640</v>
      </c>
      <c r="D296" s="13">
        <v>1</v>
      </c>
      <c r="E296" s="13">
        <v>2</v>
      </c>
      <c r="F296" s="13" t="s">
        <v>464</v>
      </c>
    </row>
    <row r="297" spans="1:6" x14ac:dyDescent="0.25">
      <c r="A297" s="13">
        <v>623</v>
      </c>
      <c r="B297" s="14" t="s">
        <v>641</v>
      </c>
      <c r="C297" s="13" t="s">
        <v>642</v>
      </c>
      <c r="D297" s="13">
        <v>1</v>
      </c>
      <c r="E297" s="13">
        <v>3.5</v>
      </c>
      <c r="F297" s="13" t="s">
        <v>464</v>
      </c>
    </row>
    <row r="298" spans="1:6" x14ac:dyDescent="0.25">
      <c r="A298" s="13">
        <v>624</v>
      </c>
      <c r="B298" s="14" t="s">
        <v>643</v>
      </c>
      <c r="C298" s="13" t="s">
        <v>644</v>
      </c>
      <c r="D298" s="13">
        <v>2</v>
      </c>
      <c r="E298" s="13">
        <v>1.5</v>
      </c>
      <c r="F298" s="13" t="s">
        <v>464</v>
      </c>
    </row>
    <row r="299" spans="1:6" x14ac:dyDescent="0.25">
      <c r="A299" s="13">
        <v>628</v>
      </c>
      <c r="B299" s="14" t="s">
        <v>645</v>
      </c>
      <c r="C299" s="13" t="s">
        <v>646</v>
      </c>
      <c r="D299" s="13">
        <v>3</v>
      </c>
      <c r="E299" s="13">
        <v>3</v>
      </c>
      <c r="F299" s="13" t="s">
        <v>464</v>
      </c>
    </row>
    <row r="300" spans="1:6" x14ac:dyDescent="0.25">
      <c r="A300" s="13">
        <v>634</v>
      </c>
      <c r="B300" s="14" t="s">
        <v>647</v>
      </c>
      <c r="C300" s="13" t="s">
        <v>648</v>
      </c>
      <c r="D300" s="13">
        <v>1</v>
      </c>
      <c r="E300" s="13">
        <v>3.5</v>
      </c>
      <c r="F300" s="13" t="s">
        <v>464</v>
      </c>
    </row>
    <row r="301" spans="1:6" x14ac:dyDescent="0.25">
      <c r="A301" s="13">
        <v>635</v>
      </c>
      <c r="B301" s="14" t="s">
        <v>649</v>
      </c>
      <c r="C301" s="13" t="s">
        <v>650</v>
      </c>
      <c r="D301" s="13">
        <v>3</v>
      </c>
      <c r="E301" s="13">
        <v>1.5</v>
      </c>
      <c r="F301" s="13" t="s">
        <v>464</v>
      </c>
    </row>
    <row r="302" spans="1:6" x14ac:dyDescent="0.25">
      <c r="A302" s="13">
        <v>636</v>
      </c>
      <c r="B302" s="14" t="s">
        <v>651</v>
      </c>
      <c r="C302" s="13" t="s">
        <v>652</v>
      </c>
      <c r="D302" s="13">
        <v>2</v>
      </c>
      <c r="E302" s="13">
        <v>4</v>
      </c>
      <c r="F302" s="13" t="s">
        <v>464</v>
      </c>
    </row>
    <row r="303" spans="1:6" x14ac:dyDescent="0.25">
      <c r="A303" s="13">
        <v>637</v>
      </c>
      <c r="B303" s="14" t="s">
        <v>653</v>
      </c>
      <c r="C303" s="13" t="s">
        <v>654</v>
      </c>
      <c r="D303" s="13">
        <v>3</v>
      </c>
      <c r="E303" s="13">
        <v>4</v>
      </c>
      <c r="F303" s="13" t="s">
        <v>464</v>
      </c>
    </row>
    <row r="304" spans="1:6" x14ac:dyDescent="0.25">
      <c r="A304" s="13">
        <v>640</v>
      </c>
      <c r="B304" s="14" t="s">
        <v>655</v>
      </c>
      <c r="C304" s="13" t="s">
        <v>656</v>
      </c>
      <c r="D304" s="13">
        <v>3</v>
      </c>
      <c r="E304" s="13">
        <v>4</v>
      </c>
      <c r="F304" s="13" t="s">
        <v>464</v>
      </c>
    </row>
    <row r="305" spans="1:6" x14ac:dyDescent="0.25">
      <c r="A305" s="13">
        <v>641</v>
      </c>
      <c r="B305" s="14" t="s">
        <v>657</v>
      </c>
      <c r="C305" s="13" t="s">
        <v>658</v>
      </c>
      <c r="D305" s="13">
        <v>1</v>
      </c>
      <c r="E305" s="13">
        <v>4</v>
      </c>
      <c r="F305" s="13" t="s">
        <v>464</v>
      </c>
    </row>
    <row r="306" spans="1:6" x14ac:dyDescent="0.25">
      <c r="A306" s="13">
        <v>642</v>
      </c>
      <c r="B306" s="14" t="s">
        <v>659</v>
      </c>
      <c r="C306" s="13" t="s">
        <v>660</v>
      </c>
      <c r="D306" s="13">
        <v>1</v>
      </c>
      <c r="E306" s="13">
        <v>1.5</v>
      </c>
      <c r="F306" s="13" t="s">
        <v>464</v>
      </c>
    </row>
    <row r="307" spans="1:6" x14ac:dyDescent="0.25">
      <c r="A307" s="13">
        <v>644</v>
      </c>
      <c r="B307" s="14" t="s">
        <v>661</v>
      </c>
      <c r="C307" s="13" t="s">
        <v>662</v>
      </c>
      <c r="D307" s="13">
        <v>1</v>
      </c>
      <c r="E307" s="13">
        <v>4</v>
      </c>
      <c r="F307" s="13" t="s">
        <v>464</v>
      </c>
    </row>
    <row r="308" spans="1:6" x14ac:dyDescent="0.25">
      <c r="A308" s="13">
        <v>646</v>
      </c>
      <c r="B308" s="14" t="s">
        <v>663</v>
      </c>
      <c r="C308" s="13" t="s">
        <v>664</v>
      </c>
      <c r="D308" s="13">
        <v>2</v>
      </c>
      <c r="E308" s="13">
        <v>3</v>
      </c>
      <c r="F308" s="13" t="s">
        <v>464</v>
      </c>
    </row>
    <row r="309" spans="1:6" x14ac:dyDescent="0.25">
      <c r="A309" s="13">
        <v>647</v>
      </c>
      <c r="B309" s="14" t="s">
        <v>665</v>
      </c>
      <c r="C309" s="13" t="s">
        <v>666</v>
      </c>
      <c r="D309" s="13">
        <v>3</v>
      </c>
      <c r="E309" s="13">
        <v>3.5</v>
      </c>
      <c r="F309" s="13" t="s">
        <v>464</v>
      </c>
    </row>
    <row r="310" spans="1:6" x14ac:dyDescent="0.25">
      <c r="A310" s="13">
        <v>648</v>
      </c>
      <c r="B310" s="14" t="s">
        <v>667</v>
      </c>
      <c r="C310" s="13" t="s">
        <v>668</v>
      </c>
      <c r="D310" s="13">
        <v>3</v>
      </c>
      <c r="E310" s="13">
        <v>3</v>
      </c>
      <c r="F310" s="13" t="s">
        <v>464</v>
      </c>
    </row>
    <row r="311" spans="1:6" x14ac:dyDescent="0.25">
      <c r="A311" s="13">
        <v>649</v>
      </c>
      <c r="B311" s="14" t="s">
        <v>669</v>
      </c>
      <c r="C311" s="13" t="s">
        <v>670</v>
      </c>
      <c r="D311" s="13">
        <v>1</v>
      </c>
      <c r="E311" s="13">
        <v>2.5</v>
      </c>
      <c r="F311" s="13" t="s">
        <v>464</v>
      </c>
    </row>
    <row r="312" spans="1:6" x14ac:dyDescent="0.25">
      <c r="A312" s="13">
        <v>652</v>
      </c>
      <c r="B312" s="14" t="s">
        <v>671</v>
      </c>
      <c r="C312" s="13" t="s">
        <v>672</v>
      </c>
      <c r="D312" s="13">
        <v>2</v>
      </c>
      <c r="E312" s="13">
        <v>4</v>
      </c>
      <c r="F312" s="13" t="s">
        <v>464</v>
      </c>
    </row>
    <row r="313" spans="1:6" ht="30" x14ac:dyDescent="0.25">
      <c r="A313" s="13">
        <v>656</v>
      </c>
      <c r="B313" s="14" t="s">
        <v>673</v>
      </c>
      <c r="C313" s="13" t="s">
        <v>674</v>
      </c>
      <c r="D313" s="13">
        <v>3</v>
      </c>
      <c r="E313" s="13">
        <v>4</v>
      </c>
      <c r="F313" s="13" t="s">
        <v>464</v>
      </c>
    </row>
    <row r="314" spans="1:6" x14ac:dyDescent="0.25">
      <c r="A314" s="13">
        <v>657</v>
      </c>
      <c r="B314" s="14" t="s">
        <v>675</v>
      </c>
      <c r="C314" s="13" t="s">
        <v>676</v>
      </c>
      <c r="D314" s="13">
        <v>1</v>
      </c>
      <c r="E314" s="13">
        <v>1.5</v>
      </c>
      <c r="F314" s="13" t="s">
        <v>464</v>
      </c>
    </row>
    <row r="315" spans="1:6" ht="30" x14ac:dyDescent="0.25">
      <c r="A315" s="13">
        <v>658</v>
      </c>
      <c r="B315" s="14" t="s">
        <v>677</v>
      </c>
      <c r="C315" s="13" t="s">
        <v>678</v>
      </c>
      <c r="D315" s="13">
        <v>1</v>
      </c>
      <c r="E315" s="13">
        <v>3.5</v>
      </c>
      <c r="F315" s="13" t="s">
        <v>464</v>
      </c>
    </row>
    <row r="316" spans="1:6" x14ac:dyDescent="0.25">
      <c r="A316" s="13">
        <v>659</v>
      </c>
      <c r="B316" s="14" t="s">
        <v>679</v>
      </c>
      <c r="C316" s="13" t="s">
        <v>680</v>
      </c>
      <c r="D316" s="13">
        <v>3</v>
      </c>
      <c r="E316" s="13">
        <v>4</v>
      </c>
      <c r="F316" s="13" t="s">
        <v>464</v>
      </c>
    </row>
    <row r="317" spans="1:6" ht="30" x14ac:dyDescent="0.25">
      <c r="A317" s="13">
        <v>660</v>
      </c>
      <c r="B317" s="14" t="s">
        <v>681</v>
      </c>
      <c r="C317" s="13" t="s">
        <v>682</v>
      </c>
      <c r="D317" s="13">
        <v>3</v>
      </c>
      <c r="E317" s="13">
        <v>3.5</v>
      </c>
      <c r="F317" s="13" t="s">
        <v>464</v>
      </c>
    </row>
    <row r="318" spans="1:6" x14ac:dyDescent="0.25">
      <c r="A318" s="13">
        <v>661</v>
      </c>
      <c r="B318" s="14" t="s">
        <v>683</v>
      </c>
      <c r="C318" s="13" t="s">
        <v>684</v>
      </c>
      <c r="D318" s="13">
        <v>1</v>
      </c>
      <c r="E318" s="13">
        <v>3</v>
      </c>
      <c r="F318" s="13" t="s">
        <v>464</v>
      </c>
    </row>
    <row r="319" spans="1:6" x14ac:dyDescent="0.25">
      <c r="A319" s="13">
        <v>663</v>
      </c>
      <c r="B319" s="14" t="s">
        <v>685</v>
      </c>
      <c r="C319" s="13" t="s">
        <v>686</v>
      </c>
      <c r="D319" s="13">
        <v>1</v>
      </c>
      <c r="E319" s="13">
        <v>3</v>
      </c>
      <c r="F319" s="13" t="s">
        <v>464</v>
      </c>
    </row>
    <row r="320" spans="1:6" x14ac:dyDescent="0.25">
      <c r="A320" s="13">
        <v>665</v>
      </c>
      <c r="B320" s="14" t="s">
        <v>687</v>
      </c>
      <c r="C320" s="13" t="s">
        <v>688</v>
      </c>
      <c r="D320" s="13">
        <v>1</v>
      </c>
      <c r="E320" s="13">
        <v>2.5</v>
      </c>
      <c r="F320" s="13" t="s">
        <v>464</v>
      </c>
    </row>
    <row r="321" spans="1:6" x14ac:dyDescent="0.25">
      <c r="A321" s="13">
        <v>669</v>
      </c>
      <c r="B321" s="14" t="s">
        <v>689</v>
      </c>
      <c r="C321" s="13" t="s">
        <v>690</v>
      </c>
      <c r="D321" s="13">
        <v>3</v>
      </c>
      <c r="E321" s="13">
        <v>4</v>
      </c>
      <c r="F321" s="13" t="s">
        <v>464</v>
      </c>
    </row>
    <row r="322" spans="1:6" ht="30" x14ac:dyDescent="0.25">
      <c r="A322" s="13">
        <v>670</v>
      </c>
      <c r="B322" s="14" t="s">
        <v>691</v>
      </c>
      <c r="C322" s="13" t="s">
        <v>692</v>
      </c>
      <c r="D322" s="13">
        <v>3</v>
      </c>
      <c r="E322" s="13">
        <v>2.5</v>
      </c>
      <c r="F322" s="13" t="s">
        <v>464</v>
      </c>
    </row>
    <row r="323" spans="1:6" x14ac:dyDescent="0.25">
      <c r="A323" s="13">
        <v>673</v>
      </c>
      <c r="B323" s="14" t="s">
        <v>693</v>
      </c>
      <c r="C323" s="13" t="s">
        <v>694</v>
      </c>
      <c r="D323" s="13">
        <v>3</v>
      </c>
      <c r="E323" s="13">
        <v>2.5</v>
      </c>
      <c r="F323" s="13" t="s">
        <v>464</v>
      </c>
    </row>
    <row r="324" spans="1:6" ht="30" x14ac:dyDescent="0.25">
      <c r="A324" s="13">
        <v>674</v>
      </c>
      <c r="B324" s="14" t="s">
        <v>695</v>
      </c>
      <c r="C324" s="13" t="s">
        <v>696</v>
      </c>
      <c r="D324" s="13">
        <v>3</v>
      </c>
      <c r="E324" s="13">
        <v>3</v>
      </c>
      <c r="F324" s="13" t="s">
        <v>464</v>
      </c>
    </row>
    <row r="325" spans="1:6" x14ac:dyDescent="0.25">
      <c r="A325" s="13">
        <v>654</v>
      </c>
      <c r="B325" s="14" t="s">
        <v>697</v>
      </c>
      <c r="C325" s="13" t="s">
        <v>698</v>
      </c>
      <c r="D325" s="13">
        <v>3</v>
      </c>
      <c r="E325" s="13">
        <v>2</v>
      </c>
      <c r="F325" s="13" t="s">
        <v>464</v>
      </c>
    </row>
    <row r="326" spans="1:6" ht="30" x14ac:dyDescent="0.25">
      <c r="A326" s="13">
        <v>678</v>
      </c>
      <c r="B326" s="14" t="s">
        <v>699</v>
      </c>
      <c r="C326" s="13" t="s">
        <v>700</v>
      </c>
      <c r="D326" s="13">
        <v>1</v>
      </c>
      <c r="E326" s="13">
        <v>3.5</v>
      </c>
      <c r="F326" s="13" t="s">
        <v>464</v>
      </c>
    </row>
    <row r="327" spans="1:6" ht="30" x14ac:dyDescent="0.25">
      <c r="A327" s="13">
        <v>680</v>
      </c>
      <c r="B327" s="14" t="s">
        <v>701</v>
      </c>
      <c r="C327" s="13" t="s">
        <v>702</v>
      </c>
      <c r="D327" s="13">
        <v>1</v>
      </c>
      <c r="E327" s="13">
        <v>2</v>
      </c>
      <c r="F327" s="13" t="s">
        <v>464</v>
      </c>
    </row>
    <row r="328" spans="1:6" ht="30" x14ac:dyDescent="0.25">
      <c r="A328" s="13">
        <v>682</v>
      </c>
      <c r="B328" s="14" t="s">
        <v>703</v>
      </c>
      <c r="C328" s="13" t="s">
        <v>704</v>
      </c>
      <c r="D328" s="13">
        <v>2</v>
      </c>
      <c r="E328" s="13">
        <v>3</v>
      </c>
      <c r="F328" s="13" t="s">
        <v>464</v>
      </c>
    </row>
    <row r="329" spans="1:6" x14ac:dyDescent="0.25">
      <c r="A329" s="13">
        <v>683</v>
      </c>
      <c r="B329" s="14" t="s">
        <v>705</v>
      </c>
      <c r="C329" s="13" t="s">
        <v>706</v>
      </c>
      <c r="D329" s="13">
        <v>3</v>
      </c>
      <c r="E329" s="13">
        <v>4</v>
      </c>
      <c r="F329" s="13" t="s">
        <v>464</v>
      </c>
    </row>
    <row r="330" spans="1:6" ht="30" x14ac:dyDescent="0.25">
      <c r="A330" s="13">
        <v>684</v>
      </c>
      <c r="B330" s="14" t="s">
        <v>707</v>
      </c>
      <c r="C330" s="13" t="s">
        <v>708</v>
      </c>
      <c r="D330" s="13">
        <v>3</v>
      </c>
      <c r="E330" s="13">
        <v>1.5</v>
      </c>
      <c r="F330" s="13" t="s">
        <v>464</v>
      </c>
    </row>
    <row r="331" spans="1:6" x14ac:dyDescent="0.25">
      <c r="A331" s="13">
        <v>685</v>
      </c>
      <c r="B331" s="14" t="s">
        <v>709</v>
      </c>
      <c r="C331" s="13" t="s">
        <v>710</v>
      </c>
      <c r="D331" s="13">
        <v>2</v>
      </c>
      <c r="E331" s="13">
        <v>1.5</v>
      </c>
      <c r="F331" s="13" t="s">
        <v>464</v>
      </c>
    </row>
    <row r="332" spans="1:6" x14ac:dyDescent="0.25">
      <c r="A332" s="13">
        <v>689</v>
      </c>
      <c r="B332" s="14" t="s">
        <v>711</v>
      </c>
      <c r="C332" s="13" t="s">
        <v>712</v>
      </c>
      <c r="D332" s="13">
        <v>3</v>
      </c>
      <c r="E332" s="13">
        <v>4</v>
      </c>
      <c r="F332" s="13" t="s">
        <v>464</v>
      </c>
    </row>
    <row r="333" spans="1:6" x14ac:dyDescent="0.25">
      <c r="A333" s="13">
        <v>691</v>
      </c>
      <c r="B333" s="14" t="s">
        <v>713</v>
      </c>
      <c r="C333" s="13" t="s">
        <v>714</v>
      </c>
      <c r="D333" s="13">
        <v>2</v>
      </c>
      <c r="E333" s="13">
        <v>2.5</v>
      </c>
      <c r="F333" s="13" t="s">
        <v>464</v>
      </c>
    </row>
    <row r="334" spans="1:6" x14ac:dyDescent="0.25">
      <c r="A334" s="13">
        <v>693</v>
      </c>
      <c r="B334" s="14" t="s">
        <v>715</v>
      </c>
      <c r="C334" s="13" t="s">
        <v>716</v>
      </c>
      <c r="D334" s="13">
        <v>1</v>
      </c>
      <c r="E334" s="13">
        <v>3.5</v>
      </c>
      <c r="F334" s="13" t="s">
        <v>464</v>
      </c>
    </row>
    <row r="335" spans="1:6" x14ac:dyDescent="0.25">
      <c r="A335" s="13">
        <v>695</v>
      </c>
      <c r="B335" s="14" t="s">
        <v>717</v>
      </c>
      <c r="C335" s="13" t="s">
        <v>718</v>
      </c>
      <c r="D335" s="13">
        <v>1</v>
      </c>
      <c r="E335" s="13">
        <v>1.5</v>
      </c>
      <c r="F335" s="13" t="s">
        <v>464</v>
      </c>
    </row>
    <row r="336" spans="1:6" x14ac:dyDescent="0.25">
      <c r="A336" s="13">
        <v>699</v>
      </c>
      <c r="B336" s="14" t="s">
        <v>719</v>
      </c>
      <c r="C336" s="13" t="s">
        <v>720</v>
      </c>
      <c r="D336" s="13">
        <v>3</v>
      </c>
      <c r="E336" s="13">
        <v>4</v>
      </c>
      <c r="F336" s="13" t="s">
        <v>464</v>
      </c>
    </row>
    <row r="337" spans="1:6" x14ac:dyDescent="0.25">
      <c r="A337" s="13">
        <v>701</v>
      </c>
      <c r="B337" s="14" t="s">
        <v>721</v>
      </c>
      <c r="C337" s="13" t="s">
        <v>722</v>
      </c>
      <c r="D337" s="13">
        <v>1</v>
      </c>
      <c r="E337" s="13">
        <v>3</v>
      </c>
      <c r="F337" s="13" t="s">
        <v>464</v>
      </c>
    </row>
    <row r="338" spans="1:6" ht="30" x14ac:dyDescent="0.25">
      <c r="A338" s="13">
        <v>702</v>
      </c>
      <c r="B338" s="14" t="s">
        <v>723</v>
      </c>
      <c r="C338" s="13" t="s">
        <v>724</v>
      </c>
      <c r="D338" s="13">
        <v>1</v>
      </c>
      <c r="E338" s="13">
        <v>3.5</v>
      </c>
      <c r="F338" s="13" t="s">
        <v>464</v>
      </c>
    </row>
    <row r="339" spans="1:6" x14ac:dyDescent="0.25">
      <c r="A339" s="13">
        <v>707</v>
      </c>
      <c r="B339" s="14" t="s">
        <v>725</v>
      </c>
      <c r="C339" s="13" t="s">
        <v>726</v>
      </c>
      <c r="D339" s="13">
        <v>2</v>
      </c>
      <c r="E339" s="13">
        <v>4</v>
      </c>
      <c r="F339" s="13" t="s">
        <v>464</v>
      </c>
    </row>
    <row r="340" spans="1:6" ht="30" x14ac:dyDescent="0.25">
      <c r="A340" s="13">
        <v>708</v>
      </c>
      <c r="B340" s="14" t="s">
        <v>727</v>
      </c>
      <c r="C340" s="13" t="s">
        <v>728</v>
      </c>
      <c r="D340" s="13">
        <v>2</v>
      </c>
      <c r="E340" s="13">
        <v>3.5</v>
      </c>
      <c r="F340" s="13" t="s">
        <v>464</v>
      </c>
    </row>
    <row r="341" spans="1:6" x14ac:dyDescent="0.25">
      <c r="A341" s="13">
        <v>709</v>
      </c>
      <c r="B341" s="14" t="s">
        <v>729</v>
      </c>
      <c r="C341" s="13" t="s">
        <v>730</v>
      </c>
      <c r="D341" s="13">
        <v>1</v>
      </c>
      <c r="E341" s="13">
        <v>4</v>
      </c>
      <c r="F341" s="13" t="s">
        <v>464</v>
      </c>
    </row>
    <row r="342" spans="1:6" ht="30" x14ac:dyDescent="0.25">
      <c r="A342" s="13">
        <v>712</v>
      </c>
      <c r="B342" s="14" t="s">
        <v>731</v>
      </c>
      <c r="C342" s="13" t="s">
        <v>732</v>
      </c>
      <c r="D342" s="13">
        <v>1</v>
      </c>
      <c r="E342" s="13">
        <v>4</v>
      </c>
      <c r="F342" s="13" t="s">
        <v>464</v>
      </c>
    </row>
    <row r="343" spans="1:6" x14ac:dyDescent="0.25">
      <c r="A343" s="13">
        <v>713</v>
      </c>
      <c r="B343" s="14" t="s">
        <v>733</v>
      </c>
      <c r="C343" s="13" t="s">
        <v>734</v>
      </c>
      <c r="D343" s="13">
        <v>2</v>
      </c>
      <c r="E343" s="13">
        <v>3</v>
      </c>
      <c r="F343" s="13" t="s">
        <v>464</v>
      </c>
    </row>
    <row r="344" spans="1:6" ht="30" x14ac:dyDescent="0.25">
      <c r="A344" s="13">
        <v>714</v>
      </c>
      <c r="B344" s="14" t="s">
        <v>735</v>
      </c>
      <c r="C344" s="13" t="s">
        <v>736</v>
      </c>
      <c r="D344" s="13">
        <v>2</v>
      </c>
      <c r="E344" s="13">
        <v>3.5</v>
      </c>
      <c r="F344" s="13" t="s">
        <v>464</v>
      </c>
    </row>
    <row r="345" spans="1:6" ht="30" x14ac:dyDescent="0.25">
      <c r="A345" s="13">
        <v>716</v>
      </c>
      <c r="B345" s="14" t="s">
        <v>737</v>
      </c>
      <c r="C345" s="13" t="s">
        <v>738</v>
      </c>
      <c r="D345" s="13">
        <v>2</v>
      </c>
      <c r="E345" s="13">
        <v>2</v>
      </c>
      <c r="F345" s="13" t="s">
        <v>464</v>
      </c>
    </row>
    <row r="346" spans="1:6" x14ac:dyDescent="0.25">
      <c r="A346" s="13">
        <v>698</v>
      </c>
      <c r="B346" s="14" t="s">
        <v>739</v>
      </c>
      <c r="C346" s="13" t="s">
        <v>740</v>
      </c>
      <c r="D346" s="13">
        <v>1</v>
      </c>
      <c r="E346" s="13">
        <v>3</v>
      </c>
      <c r="F346" s="13" t="s">
        <v>464</v>
      </c>
    </row>
    <row r="347" spans="1:6" x14ac:dyDescent="0.25">
      <c r="A347" s="13">
        <v>721</v>
      </c>
      <c r="B347" s="14" t="s">
        <v>741</v>
      </c>
      <c r="C347" s="13" t="s">
        <v>742</v>
      </c>
      <c r="D347" s="13">
        <v>1</v>
      </c>
      <c r="E347" s="13">
        <v>4</v>
      </c>
      <c r="F347" s="13" t="s">
        <v>464</v>
      </c>
    </row>
    <row r="348" spans="1:6" ht="30" x14ac:dyDescent="0.25">
      <c r="A348" s="13">
        <v>724</v>
      </c>
      <c r="B348" s="14" t="s">
        <v>743</v>
      </c>
      <c r="C348" s="13" t="s">
        <v>744</v>
      </c>
      <c r="D348" s="13">
        <v>2</v>
      </c>
      <c r="E348" s="13">
        <v>2.5</v>
      </c>
      <c r="F348" s="13" t="s">
        <v>464</v>
      </c>
    </row>
    <row r="349" spans="1:6" x14ac:dyDescent="0.25">
      <c r="A349" s="13">
        <v>727</v>
      </c>
      <c r="B349" s="14" t="s">
        <v>745</v>
      </c>
      <c r="C349" s="13" t="s">
        <v>746</v>
      </c>
      <c r="D349" s="13">
        <v>3</v>
      </c>
      <c r="E349" s="13">
        <v>2</v>
      </c>
      <c r="F349" s="13" t="s">
        <v>464</v>
      </c>
    </row>
    <row r="350" spans="1:6" ht="30" x14ac:dyDescent="0.25">
      <c r="A350" s="13">
        <v>728</v>
      </c>
      <c r="B350" s="14" t="s">
        <v>747</v>
      </c>
      <c r="C350" s="13" t="s">
        <v>748</v>
      </c>
      <c r="D350" s="13">
        <v>3</v>
      </c>
      <c r="E350" s="13">
        <v>4</v>
      </c>
      <c r="F350" s="13" t="s">
        <v>464</v>
      </c>
    </row>
    <row r="351" spans="1:6" x14ac:dyDescent="0.25">
      <c r="A351" s="13">
        <v>729</v>
      </c>
      <c r="B351" s="14" t="s">
        <v>749</v>
      </c>
      <c r="C351" s="13" t="s">
        <v>750</v>
      </c>
      <c r="D351" s="13">
        <v>1</v>
      </c>
      <c r="E351" s="13">
        <v>2</v>
      </c>
      <c r="F351" s="13" t="s">
        <v>464</v>
      </c>
    </row>
    <row r="352" spans="1:6" ht="30" x14ac:dyDescent="0.25">
      <c r="A352" s="13">
        <v>732</v>
      </c>
      <c r="B352" s="14" t="s">
        <v>751</v>
      </c>
      <c r="C352" s="13" t="s">
        <v>752</v>
      </c>
      <c r="D352" s="13">
        <v>2</v>
      </c>
      <c r="E352" s="13">
        <v>1.5</v>
      </c>
      <c r="F352" s="13" t="s">
        <v>464</v>
      </c>
    </row>
    <row r="353" spans="1:6" ht="30" x14ac:dyDescent="0.25">
      <c r="A353" s="13">
        <v>736</v>
      </c>
      <c r="B353" s="14" t="s">
        <v>753</v>
      </c>
      <c r="C353" s="13" t="s">
        <v>754</v>
      </c>
      <c r="D353" s="13">
        <v>1</v>
      </c>
      <c r="E353" s="13">
        <v>4</v>
      </c>
      <c r="F353" s="13" t="s">
        <v>464</v>
      </c>
    </row>
    <row r="354" spans="1:6" ht="30" x14ac:dyDescent="0.25">
      <c r="A354" s="13">
        <v>738</v>
      </c>
      <c r="B354" s="14" t="s">
        <v>755</v>
      </c>
      <c r="C354" s="13" t="s">
        <v>756</v>
      </c>
      <c r="D354" s="13">
        <v>1</v>
      </c>
      <c r="E354" s="13">
        <v>2</v>
      </c>
      <c r="F354" s="13" t="s">
        <v>464</v>
      </c>
    </row>
    <row r="355" spans="1:6" x14ac:dyDescent="0.25">
      <c r="A355" s="13">
        <v>741</v>
      </c>
      <c r="B355" s="14" t="s">
        <v>757</v>
      </c>
      <c r="C355" s="13" t="s">
        <v>758</v>
      </c>
      <c r="D355" s="13">
        <v>2</v>
      </c>
      <c r="E355" s="13">
        <v>4</v>
      </c>
      <c r="F355" s="13" t="s">
        <v>464</v>
      </c>
    </row>
    <row r="356" spans="1:6" x14ac:dyDescent="0.25">
      <c r="A356" s="13">
        <v>745</v>
      </c>
      <c r="B356" s="14" t="s">
        <v>759</v>
      </c>
      <c r="C356" s="13" t="s">
        <v>760</v>
      </c>
      <c r="D356" s="13">
        <v>3</v>
      </c>
      <c r="E356" s="13">
        <v>3</v>
      </c>
      <c r="F356" s="13" t="s">
        <v>464</v>
      </c>
    </row>
    <row r="357" spans="1:6" ht="30" x14ac:dyDescent="0.25">
      <c r="A357" s="13">
        <v>746</v>
      </c>
      <c r="B357" s="14" t="s">
        <v>761</v>
      </c>
      <c r="C357" s="13" t="s">
        <v>762</v>
      </c>
      <c r="D357" s="13">
        <v>3</v>
      </c>
      <c r="E357" s="13">
        <v>4</v>
      </c>
      <c r="F357" s="13" t="s">
        <v>464</v>
      </c>
    </row>
    <row r="358" spans="1:6" x14ac:dyDescent="0.25">
      <c r="A358" s="13">
        <v>747</v>
      </c>
      <c r="B358" s="14" t="s">
        <v>763</v>
      </c>
      <c r="C358" s="13" t="s">
        <v>764</v>
      </c>
      <c r="D358" s="13">
        <v>3</v>
      </c>
      <c r="E358" s="13">
        <v>2.5</v>
      </c>
      <c r="F358" s="13" t="s">
        <v>464</v>
      </c>
    </row>
    <row r="359" spans="1:6" ht="30" x14ac:dyDescent="0.25">
      <c r="A359" s="13">
        <v>748</v>
      </c>
      <c r="B359" s="14" t="s">
        <v>765</v>
      </c>
      <c r="C359" s="13" t="s">
        <v>766</v>
      </c>
      <c r="D359" s="13">
        <v>3</v>
      </c>
      <c r="E359" s="13">
        <v>2.5</v>
      </c>
      <c r="F359" s="13" t="s">
        <v>464</v>
      </c>
    </row>
    <row r="360" spans="1:6" ht="30" x14ac:dyDescent="0.25">
      <c r="A360" s="13">
        <v>750</v>
      </c>
      <c r="B360" s="14" t="s">
        <v>767</v>
      </c>
      <c r="C360" s="13" t="s">
        <v>768</v>
      </c>
      <c r="D360" s="13">
        <v>2</v>
      </c>
      <c r="E360" s="13">
        <v>3.5</v>
      </c>
      <c r="F360" s="13" t="s">
        <v>464</v>
      </c>
    </row>
    <row r="361" spans="1:6" ht="30" x14ac:dyDescent="0.25">
      <c r="A361" s="13">
        <v>752</v>
      </c>
      <c r="B361" s="14" t="s">
        <v>769</v>
      </c>
      <c r="C361" s="13" t="s">
        <v>770</v>
      </c>
      <c r="D361" s="13">
        <v>1</v>
      </c>
      <c r="E361" s="13">
        <v>2</v>
      </c>
      <c r="F361" s="13" t="s">
        <v>464</v>
      </c>
    </row>
    <row r="362" spans="1:6" ht="30" x14ac:dyDescent="0.25">
      <c r="A362" s="13">
        <v>754</v>
      </c>
      <c r="B362" s="14" t="s">
        <v>771</v>
      </c>
      <c r="C362" s="13" t="s">
        <v>772</v>
      </c>
      <c r="D362" s="13">
        <v>1</v>
      </c>
      <c r="E362" s="13">
        <v>2</v>
      </c>
      <c r="F362" s="13" t="s">
        <v>464</v>
      </c>
    </row>
    <row r="363" spans="1:6" x14ac:dyDescent="0.25">
      <c r="A363" s="13">
        <v>755</v>
      </c>
      <c r="B363" s="14" t="s">
        <v>773</v>
      </c>
      <c r="C363" s="13" t="s">
        <v>774</v>
      </c>
      <c r="D363" s="13">
        <v>1</v>
      </c>
      <c r="E363" s="13">
        <v>4</v>
      </c>
      <c r="F363" s="13" t="s">
        <v>464</v>
      </c>
    </row>
    <row r="364" spans="1:6" ht="30" x14ac:dyDescent="0.25">
      <c r="A364" s="13">
        <v>756</v>
      </c>
      <c r="B364" s="14" t="s">
        <v>775</v>
      </c>
      <c r="C364" s="13" t="s">
        <v>776</v>
      </c>
      <c r="D364" s="13">
        <v>1</v>
      </c>
      <c r="E364" s="13">
        <v>3</v>
      </c>
      <c r="F364" s="13" t="s">
        <v>464</v>
      </c>
    </row>
    <row r="365" spans="1:6" x14ac:dyDescent="0.25">
      <c r="A365" s="13">
        <v>759</v>
      </c>
      <c r="B365" s="14" t="s">
        <v>777</v>
      </c>
      <c r="C365" s="13" t="s">
        <v>778</v>
      </c>
      <c r="D365" s="13">
        <v>1</v>
      </c>
      <c r="E365" s="13">
        <v>4</v>
      </c>
      <c r="F365" s="13" t="s">
        <v>464</v>
      </c>
    </row>
    <row r="366" spans="1:6" ht="30" x14ac:dyDescent="0.25">
      <c r="A366" s="13">
        <v>762</v>
      </c>
      <c r="B366" s="14" t="s">
        <v>779</v>
      </c>
      <c r="C366" s="13" t="s">
        <v>780</v>
      </c>
      <c r="D366" s="13">
        <v>2</v>
      </c>
      <c r="E366" s="13">
        <v>2</v>
      </c>
      <c r="F366" s="13" t="s">
        <v>464</v>
      </c>
    </row>
    <row r="367" spans="1:6" ht="30" x14ac:dyDescent="0.25">
      <c r="A367" s="13">
        <v>742</v>
      </c>
      <c r="B367" s="14" t="s">
        <v>781</v>
      </c>
      <c r="C367" s="13" t="s">
        <v>782</v>
      </c>
      <c r="D367" s="13">
        <v>2</v>
      </c>
      <c r="E367" s="13">
        <v>3</v>
      </c>
      <c r="F367" s="13" t="s">
        <v>464</v>
      </c>
    </row>
    <row r="368" spans="1:6" x14ac:dyDescent="0.25">
      <c r="A368" s="13">
        <v>765</v>
      </c>
      <c r="B368" s="14" t="s">
        <v>783</v>
      </c>
      <c r="C368" s="13" t="s">
        <v>784</v>
      </c>
      <c r="D368" s="13">
        <v>2</v>
      </c>
      <c r="E368" s="13">
        <v>2</v>
      </c>
      <c r="F368" s="13" t="s">
        <v>464</v>
      </c>
    </row>
    <row r="369" spans="1:6" ht="30" x14ac:dyDescent="0.25">
      <c r="A369" s="13">
        <v>766</v>
      </c>
      <c r="B369" s="14" t="s">
        <v>785</v>
      </c>
      <c r="C369" s="13" t="s">
        <v>786</v>
      </c>
      <c r="D369" s="13">
        <v>2</v>
      </c>
      <c r="E369" s="13">
        <v>4</v>
      </c>
      <c r="F369" s="13" t="s">
        <v>464</v>
      </c>
    </row>
    <row r="370" spans="1:6" ht="30" x14ac:dyDescent="0.25">
      <c r="A370" s="13">
        <v>768</v>
      </c>
      <c r="B370" s="14" t="s">
        <v>787</v>
      </c>
      <c r="C370" s="13" t="s">
        <v>788</v>
      </c>
      <c r="D370" s="13">
        <v>2</v>
      </c>
      <c r="E370" s="13">
        <v>3</v>
      </c>
      <c r="F370" s="13" t="s">
        <v>464</v>
      </c>
    </row>
    <row r="371" spans="1:6" x14ac:dyDescent="0.25">
      <c r="A371" s="13">
        <v>769</v>
      </c>
      <c r="B371" s="14" t="s">
        <v>789</v>
      </c>
      <c r="C371" s="13" t="s">
        <v>790</v>
      </c>
      <c r="D371" s="13">
        <v>1</v>
      </c>
      <c r="E371" s="13">
        <v>3</v>
      </c>
      <c r="F371" s="13" t="s">
        <v>464</v>
      </c>
    </row>
    <row r="372" spans="1:6" ht="30" x14ac:dyDescent="0.25">
      <c r="A372" s="13">
        <v>770</v>
      </c>
      <c r="B372" s="14" t="s">
        <v>791</v>
      </c>
      <c r="C372" s="13" t="s">
        <v>792</v>
      </c>
      <c r="D372" s="13">
        <v>1</v>
      </c>
      <c r="E372" s="13">
        <v>2.5</v>
      </c>
      <c r="F372" s="13" t="s">
        <v>464</v>
      </c>
    </row>
    <row r="373" spans="1:6" ht="30" x14ac:dyDescent="0.25">
      <c r="A373" s="13">
        <v>772</v>
      </c>
      <c r="B373" s="14" t="s">
        <v>793</v>
      </c>
      <c r="C373" s="13" t="s">
        <v>794</v>
      </c>
      <c r="D373" s="13">
        <v>3</v>
      </c>
      <c r="E373" s="13">
        <v>2.5</v>
      </c>
      <c r="F373" s="13" t="s">
        <v>464</v>
      </c>
    </row>
    <row r="374" spans="1:6" ht="30" x14ac:dyDescent="0.25">
      <c r="A374" s="13">
        <v>774</v>
      </c>
      <c r="B374" s="14" t="s">
        <v>795</v>
      </c>
      <c r="C374" s="13" t="s">
        <v>796</v>
      </c>
      <c r="D374" s="13">
        <v>3</v>
      </c>
      <c r="E374" s="13">
        <v>3</v>
      </c>
      <c r="F374" s="13" t="s">
        <v>464</v>
      </c>
    </row>
    <row r="375" spans="1:6" ht="30" x14ac:dyDescent="0.25">
      <c r="A375" s="13">
        <v>764</v>
      </c>
      <c r="B375" s="14" t="s">
        <v>797</v>
      </c>
      <c r="C375" s="13" t="s">
        <v>798</v>
      </c>
      <c r="D375" s="13">
        <v>2</v>
      </c>
      <c r="E375" s="13">
        <v>4</v>
      </c>
      <c r="F375" s="13" t="s">
        <v>464</v>
      </c>
    </row>
    <row r="376" spans="1:6" x14ac:dyDescent="0.25">
      <c r="A376" s="13">
        <v>783</v>
      </c>
      <c r="B376" s="14" t="s">
        <v>799</v>
      </c>
      <c r="C376" s="13" t="s">
        <v>800</v>
      </c>
      <c r="D376" s="13">
        <v>2</v>
      </c>
      <c r="E376" s="13">
        <v>2</v>
      </c>
      <c r="F376" s="13" t="s">
        <v>464</v>
      </c>
    </row>
    <row r="377" spans="1:6" x14ac:dyDescent="0.25">
      <c r="A377" s="13">
        <v>789</v>
      </c>
      <c r="B377" s="14" t="s">
        <v>801</v>
      </c>
      <c r="C377" s="13" t="s">
        <v>802</v>
      </c>
      <c r="D377" s="13">
        <v>1</v>
      </c>
      <c r="E377" s="13">
        <v>2.5</v>
      </c>
      <c r="F377" s="13" t="s">
        <v>464</v>
      </c>
    </row>
    <row r="378" spans="1:6" x14ac:dyDescent="0.25">
      <c r="A378" s="13">
        <v>791</v>
      </c>
      <c r="B378" s="14" t="s">
        <v>803</v>
      </c>
      <c r="C378" s="13" t="s">
        <v>804</v>
      </c>
      <c r="D378" s="13">
        <v>3</v>
      </c>
      <c r="E378" s="13">
        <v>3</v>
      </c>
      <c r="F378" s="13" t="s">
        <v>464</v>
      </c>
    </row>
    <row r="379" spans="1:6" x14ac:dyDescent="0.25">
      <c r="A379" s="13">
        <v>792</v>
      </c>
      <c r="B379" s="14" t="s">
        <v>805</v>
      </c>
      <c r="C379" s="13" t="s">
        <v>806</v>
      </c>
      <c r="D379" s="13">
        <v>1</v>
      </c>
      <c r="E379" s="13">
        <v>2.5</v>
      </c>
      <c r="F379" s="13" t="s">
        <v>464</v>
      </c>
    </row>
    <row r="380" spans="1:6" x14ac:dyDescent="0.25">
      <c r="A380" s="13">
        <v>794</v>
      </c>
      <c r="B380" s="14" t="s">
        <v>807</v>
      </c>
      <c r="C380" s="13" t="s">
        <v>808</v>
      </c>
      <c r="D380" s="13">
        <v>1</v>
      </c>
      <c r="E380" s="13">
        <v>2.5</v>
      </c>
      <c r="F380" s="13" t="s">
        <v>464</v>
      </c>
    </row>
    <row r="381" spans="1:6" x14ac:dyDescent="0.25">
      <c r="A381" s="13">
        <v>796</v>
      </c>
      <c r="B381" s="14" t="s">
        <v>809</v>
      </c>
      <c r="C381" s="13" t="s">
        <v>810</v>
      </c>
      <c r="D381" s="13">
        <v>1</v>
      </c>
      <c r="E381" s="13">
        <v>2.5</v>
      </c>
      <c r="F381" s="13" t="s">
        <v>464</v>
      </c>
    </row>
    <row r="382" spans="1:6" x14ac:dyDescent="0.25">
      <c r="A382" s="13">
        <v>797</v>
      </c>
      <c r="B382" s="14" t="s">
        <v>811</v>
      </c>
      <c r="C382" s="13" t="s">
        <v>812</v>
      </c>
      <c r="D382" s="13">
        <v>2</v>
      </c>
      <c r="E382" s="13">
        <v>2.5</v>
      </c>
      <c r="F382" s="13" t="s">
        <v>464</v>
      </c>
    </row>
    <row r="383" spans="1:6" x14ac:dyDescent="0.25">
      <c r="A383" s="13">
        <v>798</v>
      </c>
      <c r="B383" s="14" t="s">
        <v>813</v>
      </c>
      <c r="C383" s="13" t="s">
        <v>814</v>
      </c>
      <c r="D383" s="13">
        <v>2</v>
      </c>
      <c r="E383" s="13">
        <v>1.5</v>
      </c>
      <c r="F383" s="13" t="s">
        <v>464</v>
      </c>
    </row>
    <row r="384" spans="1:6" x14ac:dyDescent="0.25">
      <c r="A384" s="13">
        <v>800</v>
      </c>
      <c r="B384" s="14" t="s">
        <v>815</v>
      </c>
      <c r="C384" s="13" t="s">
        <v>816</v>
      </c>
      <c r="D384" s="13">
        <v>3</v>
      </c>
      <c r="E384" s="13">
        <v>3</v>
      </c>
      <c r="F384" s="13" t="s">
        <v>464</v>
      </c>
    </row>
    <row r="385" spans="1:6" x14ac:dyDescent="0.25">
      <c r="A385" s="13">
        <v>802</v>
      </c>
      <c r="B385" s="14" t="s">
        <v>817</v>
      </c>
      <c r="C385" s="13" t="s">
        <v>818</v>
      </c>
      <c r="D385" s="13">
        <v>3</v>
      </c>
      <c r="E385" s="13">
        <v>4</v>
      </c>
      <c r="F385" s="13" t="s">
        <v>464</v>
      </c>
    </row>
    <row r="386" spans="1:6" x14ac:dyDescent="0.25">
      <c r="A386" s="13">
        <v>803</v>
      </c>
      <c r="B386" s="14" t="s">
        <v>819</v>
      </c>
      <c r="C386" s="13" t="s">
        <v>820</v>
      </c>
      <c r="D386" s="13">
        <v>1</v>
      </c>
      <c r="E386" s="13">
        <v>1.5</v>
      </c>
      <c r="F386" s="13" t="s">
        <v>464</v>
      </c>
    </row>
    <row r="387" spans="1:6" x14ac:dyDescent="0.25">
      <c r="A387" s="13">
        <v>805</v>
      </c>
      <c r="B387" s="14" t="s">
        <v>821</v>
      </c>
      <c r="C387" s="13" t="s">
        <v>822</v>
      </c>
      <c r="D387" s="13">
        <v>1</v>
      </c>
      <c r="E387" s="13">
        <v>4</v>
      </c>
      <c r="F387" s="13" t="s">
        <v>464</v>
      </c>
    </row>
    <row r="388" spans="1:6" x14ac:dyDescent="0.25">
      <c r="A388" s="13">
        <v>807</v>
      </c>
      <c r="B388" s="14" t="s">
        <v>823</v>
      </c>
      <c r="C388" s="13" t="s">
        <v>824</v>
      </c>
      <c r="D388" s="13">
        <v>2</v>
      </c>
      <c r="E388" s="13">
        <v>2.5</v>
      </c>
      <c r="F388" s="13" t="s">
        <v>464</v>
      </c>
    </row>
    <row r="389" spans="1:6" x14ac:dyDescent="0.25">
      <c r="A389" s="13">
        <v>811</v>
      </c>
      <c r="B389" s="14" t="s">
        <v>825</v>
      </c>
      <c r="C389" s="13" t="s">
        <v>826</v>
      </c>
      <c r="D389" s="13">
        <v>1</v>
      </c>
      <c r="E389" s="13">
        <v>4</v>
      </c>
      <c r="F389" s="13" t="s">
        <v>464</v>
      </c>
    </row>
    <row r="390" spans="1:6" x14ac:dyDescent="0.25">
      <c r="A390" s="13">
        <v>812</v>
      </c>
      <c r="B390" s="14" t="s">
        <v>827</v>
      </c>
      <c r="C390" s="13" t="s">
        <v>828</v>
      </c>
      <c r="D390" s="13">
        <v>2</v>
      </c>
      <c r="E390" s="13">
        <v>3.5</v>
      </c>
      <c r="F390" s="13" t="s">
        <v>464</v>
      </c>
    </row>
    <row r="391" spans="1:6" x14ac:dyDescent="0.25">
      <c r="A391" s="13">
        <v>813</v>
      </c>
      <c r="B391" s="14" t="s">
        <v>829</v>
      </c>
      <c r="C391" s="13" t="s">
        <v>830</v>
      </c>
      <c r="D391" s="13">
        <v>1</v>
      </c>
      <c r="E391" s="13">
        <v>2.5</v>
      </c>
      <c r="F391" s="13" t="s">
        <v>464</v>
      </c>
    </row>
    <row r="392" spans="1:6" x14ac:dyDescent="0.25">
      <c r="A392" s="13">
        <v>814</v>
      </c>
      <c r="B392" s="14" t="s">
        <v>831</v>
      </c>
      <c r="C392" s="13" t="s">
        <v>832</v>
      </c>
      <c r="D392" s="13">
        <v>3</v>
      </c>
      <c r="E392" s="13">
        <v>4</v>
      </c>
      <c r="F392" s="13" t="s">
        <v>464</v>
      </c>
    </row>
    <row r="393" spans="1:6" x14ac:dyDescent="0.25">
      <c r="A393" s="13">
        <v>816</v>
      </c>
      <c r="B393" s="14" t="s">
        <v>833</v>
      </c>
      <c r="C393" s="13" t="s">
        <v>834</v>
      </c>
      <c r="D393" s="13">
        <v>3</v>
      </c>
      <c r="E393" s="13">
        <v>1.5</v>
      </c>
      <c r="F393" s="13" t="s">
        <v>464</v>
      </c>
    </row>
    <row r="394" spans="1:6" x14ac:dyDescent="0.25">
      <c r="A394" s="13">
        <v>817</v>
      </c>
      <c r="B394" s="14" t="s">
        <v>835</v>
      </c>
      <c r="C394" s="13" t="s">
        <v>836</v>
      </c>
      <c r="D394" s="13">
        <v>1</v>
      </c>
      <c r="E394" s="13">
        <v>2</v>
      </c>
      <c r="F394" s="13" t="s">
        <v>464</v>
      </c>
    </row>
    <row r="395" spans="1:6" x14ac:dyDescent="0.25">
      <c r="A395" s="13">
        <v>820</v>
      </c>
      <c r="B395" s="14" t="s">
        <v>837</v>
      </c>
      <c r="C395" s="13" t="s">
        <v>838</v>
      </c>
      <c r="D395" s="13">
        <v>2</v>
      </c>
      <c r="E395" s="13">
        <v>2.5</v>
      </c>
      <c r="F395" s="13" t="s">
        <v>464</v>
      </c>
    </row>
    <row r="396" spans="1:6" x14ac:dyDescent="0.25">
      <c r="A396" s="13">
        <v>821</v>
      </c>
      <c r="B396" s="14" t="s">
        <v>839</v>
      </c>
      <c r="C396" s="13" t="s">
        <v>840</v>
      </c>
      <c r="D396" s="13">
        <v>2</v>
      </c>
      <c r="E396" s="13">
        <v>4</v>
      </c>
      <c r="F396" s="13" t="s">
        <v>464</v>
      </c>
    </row>
    <row r="397" spans="1:6" x14ac:dyDescent="0.25">
      <c r="A397" s="13">
        <v>823</v>
      </c>
      <c r="B397" s="14" t="s">
        <v>841</v>
      </c>
      <c r="C397" s="13" t="s">
        <v>842</v>
      </c>
      <c r="D397" s="13">
        <v>3</v>
      </c>
      <c r="E397" s="13">
        <v>2</v>
      </c>
      <c r="F397" s="13" t="s">
        <v>464</v>
      </c>
    </row>
    <row r="398" spans="1:6" x14ac:dyDescent="0.25">
      <c r="A398" s="13">
        <v>824</v>
      </c>
      <c r="B398" s="14" t="s">
        <v>843</v>
      </c>
      <c r="C398" s="13" t="s">
        <v>844</v>
      </c>
      <c r="D398" s="13">
        <v>2</v>
      </c>
      <c r="E398" s="13">
        <v>2</v>
      </c>
      <c r="F398" s="13" t="s">
        <v>464</v>
      </c>
    </row>
    <row r="399" spans="1:6" x14ac:dyDescent="0.25">
      <c r="A399" s="13">
        <v>827</v>
      </c>
      <c r="B399" s="14" t="s">
        <v>845</v>
      </c>
      <c r="C399" s="13" t="s">
        <v>846</v>
      </c>
      <c r="D399" s="13">
        <v>3</v>
      </c>
      <c r="E399" s="13">
        <v>2</v>
      </c>
      <c r="F399" s="13" t="s">
        <v>464</v>
      </c>
    </row>
    <row r="400" spans="1:6" x14ac:dyDescent="0.25">
      <c r="A400" s="13">
        <v>828</v>
      </c>
      <c r="B400" s="14" t="s">
        <v>847</v>
      </c>
      <c r="C400" s="13" t="s">
        <v>848</v>
      </c>
      <c r="D400" s="13">
        <v>2</v>
      </c>
      <c r="E400" s="13">
        <v>1.5</v>
      </c>
      <c r="F400" s="13" t="s">
        <v>464</v>
      </c>
    </row>
    <row r="401" spans="1:6" x14ac:dyDescent="0.25">
      <c r="A401" s="13">
        <v>830</v>
      </c>
      <c r="B401" s="14" t="s">
        <v>849</v>
      </c>
      <c r="C401" s="13" t="s">
        <v>850</v>
      </c>
      <c r="D401" s="13">
        <v>1</v>
      </c>
      <c r="E401" s="13">
        <v>4</v>
      </c>
      <c r="F401" s="13" t="s">
        <v>464</v>
      </c>
    </row>
    <row r="402" spans="1:6" x14ac:dyDescent="0.25">
      <c r="A402" s="13">
        <v>831</v>
      </c>
      <c r="B402" s="14" t="s">
        <v>851</v>
      </c>
      <c r="C402" s="13" t="s">
        <v>852</v>
      </c>
      <c r="D402" s="13">
        <v>2</v>
      </c>
      <c r="E402" s="13">
        <v>4</v>
      </c>
      <c r="F402" s="13" t="s">
        <v>464</v>
      </c>
    </row>
    <row r="403" spans="1:6" x14ac:dyDescent="0.25">
      <c r="A403" s="13">
        <v>832</v>
      </c>
      <c r="B403" s="14" t="s">
        <v>853</v>
      </c>
      <c r="C403" s="13" t="s">
        <v>854</v>
      </c>
      <c r="D403" s="13">
        <v>3</v>
      </c>
      <c r="E403" s="13">
        <v>4</v>
      </c>
      <c r="F403" s="13" t="s">
        <v>464</v>
      </c>
    </row>
    <row r="404" spans="1:6" x14ac:dyDescent="0.25">
      <c r="A404" s="13">
        <v>833</v>
      </c>
      <c r="B404" s="14" t="s">
        <v>855</v>
      </c>
      <c r="C404" s="13" t="s">
        <v>856</v>
      </c>
      <c r="D404" s="13">
        <v>1</v>
      </c>
      <c r="E404" s="13">
        <v>3</v>
      </c>
      <c r="F404" s="13" t="s">
        <v>464</v>
      </c>
    </row>
    <row r="405" spans="1:6" x14ac:dyDescent="0.25">
      <c r="A405" s="13">
        <v>835</v>
      </c>
      <c r="B405" s="14" t="s">
        <v>857</v>
      </c>
      <c r="C405" s="13" t="s">
        <v>858</v>
      </c>
      <c r="D405" s="13">
        <v>2</v>
      </c>
      <c r="E405" s="13">
        <v>4</v>
      </c>
      <c r="F405" s="13" t="s">
        <v>464</v>
      </c>
    </row>
    <row r="406" spans="1:6" x14ac:dyDescent="0.25">
      <c r="A406" s="13">
        <v>838</v>
      </c>
      <c r="B406" s="14" t="s">
        <v>859</v>
      </c>
      <c r="C406" s="13" t="s">
        <v>860</v>
      </c>
      <c r="D406" s="13">
        <v>3</v>
      </c>
      <c r="E406" s="13">
        <v>3.5</v>
      </c>
      <c r="F406" s="13" t="s">
        <v>464</v>
      </c>
    </row>
    <row r="407" spans="1:6" x14ac:dyDescent="0.25">
      <c r="A407" s="13">
        <v>839</v>
      </c>
      <c r="B407" s="14" t="s">
        <v>861</v>
      </c>
      <c r="C407" s="13" t="s">
        <v>862</v>
      </c>
      <c r="D407" s="13">
        <v>1</v>
      </c>
      <c r="E407" s="13">
        <v>2.5</v>
      </c>
      <c r="F407" s="13" t="s">
        <v>464</v>
      </c>
    </row>
    <row r="408" spans="1:6" x14ac:dyDescent="0.25">
      <c r="A408" s="13">
        <v>840</v>
      </c>
      <c r="B408" s="14" t="s">
        <v>863</v>
      </c>
      <c r="C408" s="13" t="s">
        <v>864</v>
      </c>
      <c r="D408" s="13">
        <v>2</v>
      </c>
      <c r="E408" s="13">
        <v>2.5</v>
      </c>
      <c r="F408" s="13" t="s">
        <v>464</v>
      </c>
    </row>
    <row r="409" spans="1:6" x14ac:dyDescent="0.25">
      <c r="A409" s="13">
        <v>841</v>
      </c>
      <c r="B409" s="14" t="s">
        <v>865</v>
      </c>
      <c r="C409" s="13" t="s">
        <v>866</v>
      </c>
      <c r="D409" s="13">
        <v>1</v>
      </c>
      <c r="E409" s="13">
        <v>2.5</v>
      </c>
      <c r="F409" s="13" t="s">
        <v>464</v>
      </c>
    </row>
    <row r="410" spans="1:6" x14ac:dyDescent="0.25">
      <c r="A410" s="13">
        <v>845</v>
      </c>
      <c r="B410" s="14" t="s">
        <v>867</v>
      </c>
      <c r="C410" s="13" t="s">
        <v>868</v>
      </c>
      <c r="D410" s="13">
        <v>2</v>
      </c>
      <c r="E410" s="13">
        <v>4</v>
      </c>
      <c r="F410" s="13" t="s">
        <v>464</v>
      </c>
    </row>
    <row r="411" spans="1:6" x14ac:dyDescent="0.25">
      <c r="A411" s="13">
        <v>847</v>
      </c>
      <c r="B411" s="14" t="s">
        <v>869</v>
      </c>
      <c r="C411" s="13" t="s">
        <v>870</v>
      </c>
      <c r="D411" s="13">
        <v>1</v>
      </c>
      <c r="E411" s="13">
        <v>3</v>
      </c>
      <c r="F411" s="13" t="s">
        <v>464</v>
      </c>
    </row>
    <row r="412" spans="1:6" x14ac:dyDescent="0.25">
      <c r="A412" s="13">
        <v>849</v>
      </c>
      <c r="B412" s="14" t="s">
        <v>871</v>
      </c>
      <c r="C412" s="13" t="s">
        <v>872</v>
      </c>
      <c r="D412" s="13">
        <v>2</v>
      </c>
      <c r="E412" s="13">
        <v>3</v>
      </c>
      <c r="F412" s="13" t="s">
        <v>464</v>
      </c>
    </row>
    <row r="413" spans="1:6" x14ac:dyDescent="0.25">
      <c r="A413" s="13">
        <v>850</v>
      </c>
      <c r="B413" s="14" t="s">
        <v>873</v>
      </c>
      <c r="C413" s="13" t="s">
        <v>874</v>
      </c>
      <c r="D413" s="13">
        <v>3</v>
      </c>
      <c r="E413" s="13">
        <v>4</v>
      </c>
      <c r="F413" s="13" t="s">
        <v>464</v>
      </c>
    </row>
    <row r="414" spans="1:6" x14ac:dyDescent="0.25">
      <c r="A414" s="13">
        <v>852</v>
      </c>
      <c r="B414" s="14" t="s">
        <v>875</v>
      </c>
      <c r="C414" s="13" t="s">
        <v>876</v>
      </c>
      <c r="D414" s="13">
        <v>1</v>
      </c>
      <c r="E414" s="13">
        <v>3</v>
      </c>
      <c r="F414" s="13" t="s">
        <v>464</v>
      </c>
    </row>
    <row r="415" spans="1:6" x14ac:dyDescent="0.25">
      <c r="A415" s="13">
        <v>854</v>
      </c>
      <c r="B415" s="14" t="s">
        <v>877</v>
      </c>
      <c r="C415" s="13" t="s">
        <v>878</v>
      </c>
      <c r="D415" s="13">
        <v>3</v>
      </c>
      <c r="E415" s="13">
        <v>3</v>
      </c>
      <c r="F415" s="13" t="s">
        <v>464</v>
      </c>
    </row>
    <row r="416" spans="1:6" x14ac:dyDescent="0.25">
      <c r="A416" s="13">
        <v>857</v>
      </c>
      <c r="B416" s="14" t="s">
        <v>879</v>
      </c>
      <c r="C416" s="13" t="s">
        <v>880</v>
      </c>
      <c r="D416" s="13">
        <v>2</v>
      </c>
      <c r="E416" s="13">
        <v>2</v>
      </c>
      <c r="F416" s="13" t="s">
        <v>464</v>
      </c>
    </row>
    <row r="417" spans="1:6" x14ac:dyDescent="0.25">
      <c r="A417" s="13">
        <v>858</v>
      </c>
      <c r="B417" s="14" t="s">
        <v>881</v>
      </c>
      <c r="C417" s="13" t="s">
        <v>882</v>
      </c>
      <c r="D417" s="13">
        <v>1</v>
      </c>
      <c r="E417" s="13">
        <v>4</v>
      </c>
      <c r="F417" s="13" t="s">
        <v>464</v>
      </c>
    </row>
    <row r="418" spans="1:6" x14ac:dyDescent="0.25">
      <c r="A418" s="13">
        <v>861</v>
      </c>
      <c r="B418" s="14" t="s">
        <v>883</v>
      </c>
      <c r="C418" s="13" t="s">
        <v>884</v>
      </c>
      <c r="D418" s="13">
        <v>1</v>
      </c>
      <c r="E418" s="13">
        <v>2.5</v>
      </c>
      <c r="F418" s="13" t="s">
        <v>464</v>
      </c>
    </row>
    <row r="419" spans="1:6" x14ac:dyDescent="0.25">
      <c r="A419" s="13">
        <v>862</v>
      </c>
      <c r="B419" s="14" t="s">
        <v>885</v>
      </c>
      <c r="C419" s="13" t="s">
        <v>886</v>
      </c>
      <c r="D419" s="13">
        <v>2</v>
      </c>
      <c r="E419" s="13">
        <v>4</v>
      </c>
      <c r="F419" s="13" t="s">
        <v>464</v>
      </c>
    </row>
    <row r="420" spans="1:6" x14ac:dyDescent="0.25">
      <c r="A420" s="13">
        <v>866</v>
      </c>
      <c r="B420" s="14" t="s">
        <v>887</v>
      </c>
      <c r="C420" s="13" t="s">
        <v>888</v>
      </c>
      <c r="D420" s="13">
        <v>3</v>
      </c>
      <c r="E420" s="13">
        <v>4</v>
      </c>
      <c r="F420" s="13" t="s">
        <v>464</v>
      </c>
    </row>
    <row r="421" spans="1:6" x14ac:dyDescent="0.25">
      <c r="A421" s="13">
        <v>867</v>
      </c>
      <c r="B421" s="14" t="s">
        <v>889</v>
      </c>
      <c r="C421" s="13" t="s">
        <v>890</v>
      </c>
      <c r="D421" s="13">
        <v>3</v>
      </c>
      <c r="E421" s="13">
        <v>3</v>
      </c>
      <c r="F421" s="13" t="s">
        <v>464</v>
      </c>
    </row>
  </sheetData>
  <autoFilter ref="A4:F421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421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891</v>
      </c>
    </row>
    <row r="2" spans="1:50" x14ac:dyDescent="0.25">
      <c r="A2" s="29" t="s">
        <v>892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893</v>
      </c>
      <c r="D4" s="5" t="s">
        <v>894</v>
      </c>
      <c r="E4" s="5" t="s">
        <v>895</v>
      </c>
      <c r="F4" s="5" t="s">
        <v>896</v>
      </c>
      <c r="G4" s="5" t="s">
        <v>897</v>
      </c>
      <c r="H4" s="5" t="s">
        <v>898</v>
      </c>
      <c r="I4" s="5" t="s">
        <v>899</v>
      </c>
      <c r="J4" s="5" t="s">
        <v>900</v>
      </c>
      <c r="K4" s="5" t="s">
        <v>901</v>
      </c>
      <c r="L4" s="5" t="s">
        <v>902</v>
      </c>
      <c r="M4" s="5" t="s">
        <v>903</v>
      </c>
      <c r="N4" s="5" t="s">
        <v>904</v>
      </c>
      <c r="O4" s="5" t="s">
        <v>905</v>
      </c>
      <c r="P4" s="5" t="s">
        <v>906</v>
      </c>
      <c r="Q4" s="5" t="s">
        <v>907</v>
      </c>
      <c r="R4" s="5" t="s">
        <v>908</v>
      </c>
      <c r="S4" s="5" t="s">
        <v>909</v>
      </c>
      <c r="T4" s="5" t="s">
        <v>910</v>
      </c>
      <c r="U4" s="5" t="s">
        <v>911</v>
      </c>
      <c r="V4" s="5" t="s">
        <v>912</v>
      </c>
      <c r="W4" s="5" t="s">
        <v>913</v>
      </c>
      <c r="X4" s="5" t="s">
        <v>914</v>
      </c>
      <c r="Y4" s="5" t="s">
        <v>915</v>
      </c>
      <c r="Z4" s="5" t="s">
        <v>916</v>
      </c>
      <c r="AA4" s="5" t="s">
        <v>917</v>
      </c>
      <c r="AB4" s="5" t="s">
        <v>918</v>
      </c>
      <c r="AC4" s="5" t="s">
        <v>919</v>
      </c>
      <c r="AD4" s="5" t="s">
        <v>920</v>
      </c>
      <c r="AE4" s="5" t="s">
        <v>921</v>
      </c>
      <c r="AF4" s="5" t="s">
        <v>922</v>
      </c>
      <c r="AG4" s="5" t="s">
        <v>923</v>
      </c>
      <c r="AH4" s="5" t="s">
        <v>924</v>
      </c>
      <c r="AI4" s="5" t="s">
        <v>925</v>
      </c>
      <c r="AJ4" s="5" t="s">
        <v>926</v>
      </c>
      <c r="AK4" s="5" t="s">
        <v>927</v>
      </c>
      <c r="AL4" s="5" t="s">
        <v>928</v>
      </c>
      <c r="AM4" s="5" t="s">
        <v>929</v>
      </c>
      <c r="AN4" s="5" t="s">
        <v>930</v>
      </c>
      <c r="AO4" s="5" t="s">
        <v>931</v>
      </c>
      <c r="AP4" s="5" t="s">
        <v>932</v>
      </c>
      <c r="AQ4" s="5" t="s">
        <v>933</v>
      </c>
      <c r="AR4" s="5" t="s">
        <v>934</v>
      </c>
      <c r="AS4" s="5" t="s">
        <v>935</v>
      </c>
      <c r="AT4" s="5" t="s">
        <v>936</v>
      </c>
      <c r="AU4" s="5" t="s">
        <v>937</v>
      </c>
      <c r="AV4" s="5" t="s">
        <v>938</v>
      </c>
      <c r="AW4" s="5" t="s">
        <v>939</v>
      </c>
      <c r="AX4" s="5" t="s">
        <v>940</v>
      </c>
    </row>
    <row r="5" spans="1:50" x14ac:dyDescent="0.25">
      <c r="A5" s="16" t="s">
        <v>462</v>
      </c>
      <c r="B5" s="13" t="s">
        <v>464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2.2000000000000001E-3</v>
      </c>
      <c r="K5" s="17">
        <v>3.1099999999999999E-2</v>
      </c>
      <c r="L5" s="17">
        <v>0.1454</v>
      </c>
      <c r="M5" s="17">
        <v>0.2883</v>
      </c>
      <c r="N5" s="17">
        <v>0.4637</v>
      </c>
      <c r="O5" s="17">
        <v>0.65490000000000004</v>
      </c>
      <c r="P5" s="17">
        <v>0.84860000000000002</v>
      </c>
      <c r="Q5" s="17">
        <v>1.0411999999999999</v>
      </c>
      <c r="R5" s="17">
        <v>1.2341</v>
      </c>
      <c r="S5" s="17">
        <v>1.4152</v>
      </c>
      <c r="T5" s="17">
        <v>1.5853999999999999</v>
      </c>
      <c r="U5" s="17">
        <v>1.7303999999999999</v>
      </c>
      <c r="V5" s="17">
        <v>1.8540000000000001</v>
      </c>
      <c r="W5" s="17">
        <v>1.9624999999999999</v>
      </c>
      <c r="X5" s="17">
        <v>2.0520999999999998</v>
      </c>
      <c r="Y5" s="17">
        <v>2.1156000000000001</v>
      </c>
      <c r="Z5" s="17">
        <v>2.1435</v>
      </c>
      <c r="AA5" s="17">
        <v>2.1516000000000002</v>
      </c>
      <c r="AB5" s="17">
        <v>2.1364999999999998</v>
      </c>
      <c r="AC5" s="17">
        <v>2.0857000000000001</v>
      </c>
      <c r="AD5" s="17">
        <v>2.0083000000000002</v>
      </c>
      <c r="AE5" s="17">
        <v>1.9158999999999999</v>
      </c>
      <c r="AF5" s="17">
        <v>1.7988999999999999</v>
      </c>
      <c r="AG5" s="17">
        <v>1.6745000000000001</v>
      </c>
      <c r="AH5" s="17">
        <v>1.5246999999999999</v>
      </c>
      <c r="AI5" s="17">
        <v>1.3561000000000001</v>
      </c>
      <c r="AJ5" s="17">
        <v>1.1525000000000001</v>
      </c>
      <c r="AK5" s="17">
        <v>0.96199999999999997</v>
      </c>
      <c r="AL5" s="17">
        <v>0.76619999999999999</v>
      </c>
      <c r="AM5" s="17">
        <v>0.57679999999999998</v>
      </c>
      <c r="AN5" s="17">
        <v>0.39419999999999999</v>
      </c>
      <c r="AO5" s="17">
        <v>0.23019999999999999</v>
      </c>
      <c r="AP5" s="17">
        <v>6.7000000000000004E-2</v>
      </c>
      <c r="AQ5" s="17">
        <v>1.24E-2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</row>
    <row r="6" spans="1:50" x14ac:dyDescent="0.25">
      <c r="A6" s="16" t="s">
        <v>465</v>
      </c>
      <c r="B6" s="13" t="s">
        <v>464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3.3999999999999998E-3</v>
      </c>
      <c r="K6" s="17">
        <v>4.9700000000000001E-2</v>
      </c>
      <c r="L6" s="17">
        <v>0.2326</v>
      </c>
      <c r="M6" s="17">
        <v>0.46129999999999999</v>
      </c>
      <c r="N6" s="17">
        <v>0.7419</v>
      </c>
      <c r="O6" s="17">
        <v>1.0479000000000001</v>
      </c>
      <c r="P6" s="17">
        <v>1.3576999999999999</v>
      </c>
      <c r="Q6" s="17">
        <v>1.6659999999999999</v>
      </c>
      <c r="R6" s="17">
        <v>1.9745999999999999</v>
      </c>
      <c r="S6" s="17">
        <v>2.2643</v>
      </c>
      <c r="T6" s="17">
        <v>2.5367000000000002</v>
      </c>
      <c r="U6" s="17">
        <v>2.7686000000000002</v>
      </c>
      <c r="V6" s="17">
        <v>2.9664000000000001</v>
      </c>
      <c r="W6" s="17">
        <v>3.14</v>
      </c>
      <c r="X6" s="17">
        <v>3.2833000000000001</v>
      </c>
      <c r="Y6" s="17">
        <v>3.3849999999999998</v>
      </c>
      <c r="Z6" s="17">
        <v>3.4296000000000002</v>
      </c>
      <c r="AA6" s="17">
        <v>3.4424999999999999</v>
      </c>
      <c r="AB6" s="17">
        <v>3.4182999999999999</v>
      </c>
      <c r="AC6" s="17">
        <v>3.3372000000000002</v>
      </c>
      <c r="AD6" s="17">
        <v>3.2132999999999998</v>
      </c>
      <c r="AE6" s="17">
        <v>3.0655000000000001</v>
      </c>
      <c r="AF6" s="17">
        <v>2.8782000000000001</v>
      </c>
      <c r="AG6" s="17">
        <v>2.6791</v>
      </c>
      <c r="AH6" s="17">
        <v>2.4396</v>
      </c>
      <c r="AI6" s="17">
        <v>2.1698</v>
      </c>
      <c r="AJ6" s="17">
        <v>1.8441000000000001</v>
      </c>
      <c r="AK6" s="17">
        <v>1.5391999999999999</v>
      </c>
      <c r="AL6" s="17">
        <v>1.2259</v>
      </c>
      <c r="AM6" s="17">
        <v>0.92290000000000005</v>
      </c>
      <c r="AN6" s="17">
        <v>0.63080000000000003</v>
      </c>
      <c r="AO6" s="17">
        <v>0.36830000000000002</v>
      </c>
      <c r="AP6" s="17">
        <v>0.1072</v>
      </c>
      <c r="AQ6" s="17">
        <v>1.9800000000000002E-2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</row>
    <row r="7" spans="1:50" x14ac:dyDescent="0.25">
      <c r="A7" s="16" t="s">
        <v>467</v>
      </c>
      <c r="B7" s="13" t="s">
        <v>464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3.3999999999999998E-3</v>
      </c>
      <c r="K7" s="17">
        <v>4.9700000000000001E-2</v>
      </c>
      <c r="L7" s="17">
        <v>0.2326</v>
      </c>
      <c r="M7" s="17">
        <v>0.46129999999999999</v>
      </c>
      <c r="N7" s="17">
        <v>0.7419</v>
      </c>
      <c r="O7" s="17">
        <v>1.0479000000000001</v>
      </c>
      <c r="P7" s="17">
        <v>1.3576999999999999</v>
      </c>
      <c r="Q7" s="17">
        <v>1.6659999999999999</v>
      </c>
      <c r="R7" s="17">
        <v>1.9745999999999999</v>
      </c>
      <c r="S7" s="17">
        <v>2.2643</v>
      </c>
      <c r="T7" s="17">
        <v>2.5367000000000002</v>
      </c>
      <c r="U7" s="17">
        <v>2.7686000000000002</v>
      </c>
      <c r="V7" s="17">
        <v>2.9664000000000001</v>
      </c>
      <c r="W7" s="17">
        <v>3.14</v>
      </c>
      <c r="X7" s="17">
        <v>3.2833000000000001</v>
      </c>
      <c r="Y7" s="17">
        <v>3.3849999999999998</v>
      </c>
      <c r="Z7" s="17">
        <v>3.4296000000000002</v>
      </c>
      <c r="AA7" s="17">
        <v>3.4424999999999999</v>
      </c>
      <c r="AB7" s="17">
        <v>3.4182999999999999</v>
      </c>
      <c r="AC7" s="17">
        <v>3.3372000000000002</v>
      </c>
      <c r="AD7" s="17">
        <v>3.2132999999999998</v>
      </c>
      <c r="AE7" s="17">
        <v>3.0655000000000001</v>
      </c>
      <c r="AF7" s="17">
        <v>2.8782000000000001</v>
      </c>
      <c r="AG7" s="17">
        <v>2.6791</v>
      </c>
      <c r="AH7" s="17">
        <v>2.4396</v>
      </c>
      <c r="AI7" s="17">
        <v>2.1698</v>
      </c>
      <c r="AJ7" s="17">
        <v>1.8441000000000001</v>
      </c>
      <c r="AK7" s="17">
        <v>1.5391999999999999</v>
      </c>
      <c r="AL7" s="17">
        <v>1.2259</v>
      </c>
      <c r="AM7" s="17">
        <v>0.92290000000000005</v>
      </c>
      <c r="AN7" s="17">
        <v>0.63080000000000003</v>
      </c>
      <c r="AO7" s="17">
        <v>0.36830000000000002</v>
      </c>
      <c r="AP7" s="17">
        <v>0.1072</v>
      </c>
      <c r="AQ7" s="17">
        <v>1.9800000000000002E-2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</row>
    <row r="8" spans="1:50" x14ac:dyDescent="0.25">
      <c r="A8" s="8" t="s">
        <v>55</v>
      </c>
      <c r="B8" s="10" t="s">
        <v>57</v>
      </c>
      <c r="C8" s="18">
        <v>0</v>
      </c>
      <c r="D8" s="18">
        <v>0</v>
      </c>
      <c r="E8" s="18">
        <v>0</v>
      </c>
      <c r="F8" s="18">
        <v>0</v>
      </c>
      <c r="G8" s="18">
        <v>0</v>
      </c>
      <c r="H8" s="18">
        <v>0</v>
      </c>
      <c r="I8" s="18">
        <v>0</v>
      </c>
      <c r="J8" s="18">
        <v>0</v>
      </c>
      <c r="K8" s="18">
        <v>0</v>
      </c>
      <c r="L8" s="18">
        <v>0</v>
      </c>
      <c r="M8" s="18">
        <v>0</v>
      </c>
      <c r="N8" s="18">
        <v>0</v>
      </c>
      <c r="O8" s="18">
        <v>0</v>
      </c>
      <c r="P8" s="18">
        <v>0</v>
      </c>
      <c r="Q8" s="18">
        <v>0</v>
      </c>
      <c r="R8" s="18">
        <v>0</v>
      </c>
      <c r="S8" s="18">
        <v>0</v>
      </c>
      <c r="T8" s="18">
        <v>0</v>
      </c>
      <c r="U8" s="18">
        <v>0</v>
      </c>
      <c r="V8" s="18">
        <v>0</v>
      </c>
      <c r="W8" s="18">
        <v>0</v>
      </c>
      <c r="X8" s="18">
        <v>0</v>
      </c>
      <c r="Y8" s="18">
        <v>0</v>
      </c>
      <c r="Z8" s="18">
        <v>0</v>
      </c>
      <c r="AA8" s="18">
        <v>0</v>
      </c>
      <c r="AB8" s="18">
        <v>0</v>
      </c>
      <c r="AC8" s="18">
        <v>0</v>
      </c>
      <c r="AD8" s="18">
        <v>0</v>
      </c>
      <c r="AE8" s="18">
        <v>0</v>
      </c>
      <c r="AF8" s="18">
        <v>0</v>
      </c>
      <c r="AG8" s="18">
        <v>0</v>
      </c>
      <c r="AH8" s="18">
        <v>0</v>
      </c>
      <c r="AI8" s="18">
        <v>0</v>
      </c>
      <c r="AJ8" s="18">
        <v>0</v>
      </c>
      <c r="AK8" s="18">
        <v>0</v>
      </c>
      <c r="AL8" s="18">
        <v>0</v>
      </c>
      <c r="AM8" s="18">
        <v>0</v>
      </c>
      <c r="AN8" s="18">
        <v>0</v>
      </c>
      <c r="AO8" s="18">
        <v>0</v>
      </c>
      <c r="AP8" s="18">
        <v>0</v>
      </c>
      <c r="AQ8" s="18">
        <v>0</v>
      </c>
      <c r="AR8" s="18">
        <v>0</v>
      </c>
      <c r="AS8" s="18">
        <v>0</v>
      </c>
      <c r="AT8" s="18">
        <v>0</v>
      </c>
      <c r="AU8" s="18">
        <v>0</v>
      </c>
      <c r="AV8" s="18">
        <v>0</v>
      </c>
      <c r="AW8" s="18">
        <v>0</v>
      </c>
      <c r="AX8" s="18">
        <v>0</v>
      </c>
    </row>
    <row r="9" spans="1:50" x14ac:dyDescent="0.25">
      <c r="A9" s="8" t="s">
        <v>58</v>
      </c>
      <c r="B9" s="10" t="s">
        <v>57</v>
      </c>
      <c r="C9" s="18">
        <v>0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>
        <v>0</v>
      </c>
      <c r="L9" s="18">
        <v>0</v>
      </c>
      <c r="M9" s="18">
        <v>0</v>
      </c>
      <c r="N9" s="18">
        <v>0</v>
      </c>
      <c r="O9" s="18">
        <v>0</v>
      </c>
      <c r="P9" s="18">
        <v>0</v>
      </c>
      <c r="Q9" s="18">
        <v>0</v>
      </c>
      <c r="R9" s="18">
        <v>0</v>
      </c>
      <c r="S9" s="18">
        <v>0</v>
      </c>
      <c r="T9" s="18">
        <v>0</v>
      </c>
      <c r="U9" s="18">
        <v>0</v>
      </c>
      <c r="V9" s="18">
        <v>0</v>
      </c>
      <c r="W9" s="18">
        <v>0</v>
      </c>
      <c r="X9" s="18">
        <v>0</v>
      </c>
      <c r="Y9" s="18">
        <v>0</v>
      </c>
      <c r="Z9" s="18">
        <v>0</v>
      </c>
      <c r="AA9" s="18">
        <v>0</v>
      </c>
      <c r="AB9" s="18">
        <v>0</v>
      </c>
      <c r="AC9" s="18">
        <v>0</v>
      </c>
      <c r="AD9" s="18">
        <v>0</v>
      </c>
      <c r="AE9" s="18">
        <v>0</v>
      </c>
      <c r="AF9" s="18">
        <v>0</v>
      </c>
      <c r="AG9" s="18">
        <v>0</v>
      </c>
      <c r="AH9" s="18">
        <v>0</v>
      </c>
      <c r="AI9" s="18">
        <v>0</v>
      </c>
      <c r="AJ9" s="18">
        <v>0</v>
      </c>
      <c r="AK9" s="18">
        <v>0</v>
      </c>
      <c r="AL9" s="18">
        <v>0</v>
      </c>
      <c r="AM9" s="18">
        <v>0</v>
      </c>
      <c r="AN9" s="18">
        <v>0</v>
      </c>
      <c r="AO9" s="18">
        <v>0</v>
      </c>
      <c r="AP9" s="18">
        <v>0</v>
      </c>
      <c r="AQ9" s="18">
        <v>0</v>
      </c>
      <c r="AR9" s="18">
        <v>0</v>
      </c>
      <c r="AS9" s="18">
        <v>0</v>
      </c>
      <c r="AT9" s="18">
        <v>0</v>
      </c>
      <c r="AU9" s="18">
        <v>0</v>
      </c>
      <c r="AV9" s="18">
        <v>0</v>
      </c>
      <c r="AW9" s="18">
        <v>0</v>
      </c>
      <c r="AX9" s="18">
        <v>0</v>
      </c>
    </row>
    <row r="10" spans="1:50" x14ac:dyDescent="0.25">
      <c r="A10" s="16" t="s">
        <v>469</v>
      </c>
      <c r="B10" s="13" t="s">
        <v>464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2.2000000000000001E-3</v>
      </c>
      <c r="K10" s="17">
        <v>3.1099999999999999E-2</v>
      </c>
      <c r="L10" s="17">
        <v>0.1454</v>
      </c>
      <c r="M10" s="17">
        <v>0.2883</v>
      </c>
      <c r="N10" s="17">
        <v>0.4637</v>
      </c>
      <c r="O10" s="17">
        <v>0.65490000000000004</v>
      </c>
      <c r="P10" s="17">
        <v>0.84860000000000002</v>
      </c>
      <c r="Q10" s="17">
        <v>1.0411999999999999</v>
      </c>
      <c r="R10" s="17">
        <v>1.2341</v>
      </c>
      <c r="S10" s="17">
        <v>1.4152</v>
      </c>
      <c r="T10" s="17">
        <v>1.5853999999999999</v>
      </c>
      <c r="U10" s="17">
        <v>1.7303999999999999</v>
      </c>
      <c r="V10" s="17">
        <v>1.8540000000000001</v>
      </c>
      <c r="W10" s="17">
        <v>1.9624999999999999</v>
      </c>
      <c r="X10" s="17">
        <v>2.0520999999999998</v>
      </c>
      <c r="Y10" s="17">
        <v>2.1156000000000001</v>
      </c>
      <c r="Z10" s="17">
        <v>2.1435</v>
      </c>
      <c r="AA10" s="17">
        <v>2.1516000000000002</v>
      </c>
      <c r="AB10" s="17">
        <v>2.1364999999999998</v>
      </c>
      <c r="AC10" s="17">
        <v>2.0857000000000001</v>
      </c>
      <c r="AD10" s="17">
        <v>2.0083000000000002</v>
      </c>
      <c r="AE10" s="17">
        <v>1.9158999999999999</v>
      </c>
      <c r="AF10" s="17">
        <v>1.7988999999999999</v>
      </c>
      <c r="AG10" s="17">
        <v>1.6745000000000001</v>
      </c>
      <c r="AH10" s="17">
        <v>1.5246999999999999</v>
      </c>
      <c r="AI10" s="17">
        <v>1.3561000000000001</v>
      </c>
      <c r="AJ10" s="17">
        <v>1.1525000000000001</v>
      </c>
      <c r="AK10" s="17">
        <v>0.96199999999999997</v>
      </c>
      <c r="AL10" s="17">
        <v>0.76619999999999999</v>
      </c>
      <c r="AM10" s="17">
        <v>0.57679999999999998</v>
      </c>
      <c r="AN10" s="17">
        <v>0.39419999999999999</v>
      </c>
      <c r="AO10" s="17">
        <v>0.23019999999999999</v>
      </c>
      <c r="AP10" s="17">
        <v>6.7000000000000004E-2</v>
      </c>
      <c r="AQ10" s="17">
        <v>1.24E-2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</row>
    <row r="11" spans="1:50" x14ac:dyDescent="0.25">
      <c r="A11" s="16" t="s">
        <v>471</v>
      </c>
      <c r="B11" s="13" t="s">
        <v>464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1.6999999999999999E-3</v>
      </c>
      <c r="K11" s="17">
        <v>2.4899999999999999E-2</v>
      </c>
      <c r="L11" s="17">
        <v>0.1163</v>
      </c>
      <c r="M11" s="17">
        <v>0.23069999999999999</v>
      </c>
      <c r="N11" s="17">
        <v>0.37090000000000001</v>
      </c>
      <c r="O11" s="17">
        <v>0.52400000000000002</v>
      </c>
      <c r="P11" s="17">
        <v>0.67889999999999995</v>
      </c>
      <c r="Q11" s="17">
        <v>0.83299999999999996</v>
      </c>
      <c r="R11" s="17">
        <v>0.98729999999999996</v>
      </c>
      <c r="S11" s="17">
        <v>1.1322000000000001</v>
      </c>
      <c r="T11" s="17">
        <v>1.2683</v>
      </c>
      <c r="U11" s="17">
        <v>1.3843000000000001</v>
      </c>
      <c r="V11" s="17">
        <v>1.4832000000000001</v>
      </c>
      <c r="W11" s="17">
        <v>1.57</v>
      </c>
      <c r="X11" s="17">
        <v>1.6416999999999999</v>
      </c>
      <c r="Y11" s="17">
        <v>1.6924999999999999</v>
      </c>
      <c r="Z11" s="17">
        <v>1.7148000000000001</v>
      </c>
      <c r="AA11" s="17">
        <v>1.7212000000000001</v>
      </c>
      <c r="AB11" s="17">
        <v>1.7092000000000001</v>
      </c>
      <c r="AC11" s="17">
        <v>1.6686000000000001</v>
      </c>
      <c r="AD11" s="17">
        <v>1.6067</v>
      </c>
      <c r="AE11" s="17">
        <v>1.5327999999999999</v>
      </c>
      <c r="AF11" s="17">
        <v>1.4391</v>
      </c>
      <c r="AG11" s="17">
        <v>1.3395999999999999</v>
      </c>
      <c r="AH11" s="17">
        <v>1.2198</v>
      </c>
      <c r="AI11" s="17">
        <v>1.0849</v>
      </c>
      <c r="AJ11" s="17">
        <v>0.92200000000000004</v>
      </c>
      <c r="AK11" s="17">
        <v>0.76959999999999995</v>
      </c>
      <c r="AL11" s="17">
        <v>0.61299999999999999</v>
      </c>
      <c r="AM11" s="17">
        <v>0.46150000000000002</v>
      </c>
      <c r="AN11" s="17">
        <v>0.31540000000000001</v>
      </c>
      <c r="AO11" s="17">
        <v>0.1842</v>
      </c>
      <c r="AP11" s="17">
        <v>5.3600000000000002E-2</v>
      </c>
      <c r="AQ11" s="17">
        <v>9.9000000000000008E-3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</row>
    <row r="12" spans="1:50" x14ac:dyDescent="0.25">
      <c r="A12" s="8" t="s">
        <v>60</v>
      </c>
      <c r="B12" s="10" t="s">
        <v>57</v>
      </c>
      <c r="C12" s="18">
        <v>0</v>
      </c>
      <c r="D12" s="18">
        <v>0</v>
      </c>
      <c r="E12" s="18">
        <v>0</v>
      </c>
      <c r="F12" s="18">
        <v>0</v>
      </c>
      <c r="G12" s="18">
        <v>0</v>
      </c>
      <c r="H12" s="18">
        <v>0</v>
      </c>
      <c r="I12" s="18">
        <v>0</v>
      </c>
      <c r="J12" s="18">
        <v>0</v>
      </c>
      <c r="K12" s="18">
        <v>0</v>
      </c>
      <c r="L12" s="18">
        <v>0</v>
      </c>
      <c r="M12" s="18">
        <v>0</v>
      </c>
      <c r="N12" s="18">
        <v>0</v>
      </c>
      <c r="O12" s="18">
        <v>0</v>
      </c>
      <c r="P12" s="18">
        <v>0</v>
      </c>
      <c r="Q12" s="18">
        <v>0</v>
      </c>
      <c r="R12" s="18">
        <v>0</v>
      </c>
      <c r="S12" s="18">
        <v>0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8">
        <v>0</v>
      </c>
      <c r="AD12" s="18">
        <v>0</v>
      </c>
      <c r="AE12" s="18">
        <v>0</v>
      </c>
      <c r="AF12" s="18">
        <v>0</v>
      </c>
      <c r="AG12" s="18">
        <v>0</v>
      </c>
      <c r="AH12" s="18">
        <v>0</v>
      </c>
      <c r="AI12" s="18">
        <v>0</v>
      </c>
      <c r="AJ12" s="18">
        <v>0</v>
      </c>
      <c r="AK12" s="18">
        <v>0</v>
      </c>
      <c r="AL12" s="18">
        <v>0</v>
      </c>
      <c r="AM12" s="18">
        <v>0</v>
      </c>
      <c r="AN12" s="18">
        <v>0</v>
      </c>
      <c r="AO12" s="18">
        <v>0</v>
      </c>
      <c r="AP12" s="18">
        <v>0</v>
      </c>
      <c r="AQ12" s="18">
        <v>0</v>
      </c>
      <c r="AR12" s="18">
        <v>0</v>
      </c>
      <c r="AS12" s="18">
        <v>0</v>
      </c>
      <c r="AT12" s="18">
        <v>0</v>
      </c>
      <c r="AU12" s="18">
        <v>0</v>
      </c>
      <c r="AV12" s="18">
        <v>0</v>
      </c>
      <c r="AW12" s="18">
        <v>0</v>
      </c>
      <c r="AX12" s="18">
        <v>0</v>
      </c>
    </row>
    <row r="13" spans="1:50" x14ac:dyDescent="0.25">
      <c r="A13" s="16" t="s">
        <v>473</v>
      </c>
      <c r="B13" s="13" t="s">
        <v>464</v>
      </c>
      <c r="C13" s="17">
        <v>0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1.2999999999999999E-3</v>
      </c>
      <c r="K13" s="17">
        <v>1.8700000000000001E-2</v>
      </c>
      <c r="L13" s="17">
        <v>8.72E-2</v>
      </c>
      <c r="M13" s="17">
        <v>0.17299999999999999</v>
      </c>
      <c r="N13" s="17">
        <v>0.2782</v>
      </c>
      <c r="O13" s="17">
        <v>0.39300000000000002</v>
      </c>
      <c r="P13" s="17">
        <v>0.50919999999999999</v>
      </c>
      <c r="Q13" s="17">
        <v>0.62470000000000003</v>
      </c>
      <c r="R13" s="17">
        <v>0.74050000000000005</v>
      </c>
      <c r="S13" s="17">
        <v>0.84909999999999997</v>
      </c>
      <c r="T13" s="17">
        <v>0.95120000000000005</v>
      </c>
      <c r="U13" s="17">
        <v>1.0382</v>
      </c>
      <c r="V13" s="17">
        <v>1.1124000000000001</v>
      </c>
      <c r="W13" s="17">
        <v>1.1775</v>
      </c>
      <c r="X13" s="17">
        <v>1.2312000000000001</v>
      </c>
      <c r="Y13" s="17">
        <v>1.2694000000000001</v>
      </c>
      <c r="Z13" s="17">
        <v>1.2861</v>
      </c>
      <c r="AA13" s="17">
        <v>1.2908999999999999</v>
      </c>
      <c r="AB13" s="17">
        <v>1.2819</v>
      </c>
      <c r="AC13" s="17">
        <v>1.2514000000000001</v>
      </c>
      <c r="AD13" s="17">
        <v>1.2050000000000001</v>
      </c>
      <c r="AE13" s="17">
        <v>1.1496</v>
      </c>
      <c r="AF13" s="17">
        <v>1.0792999999999999</v>
      </c>
      <c r="AG13" s="17">
        <v>1.0046999999999999</v>
      </c>
      <c r="AH13" s="17">
        <v>0.91479999999999995</v>
      </c>
      <c r="AI13" s="17">
        <v>0.81369999999999998</v>
      </c>
      <c r="AJ13" s="17">
        <v>0.6915</v>
      </c>
      <c r="AK13" s="17">
        <v>0.57720000000000005</v>
      </c>
      <c r="AL13" s="17">
        <v>0.4597</v>
      </c>
      <c r="AM13" s="17">
        <v>0.34610000000000002</v>
      </c>
      <c r="AN13" s="17">
        <v>0.23649999999999999</v>
      </c>
      <c r="AO13" s="17">
        <v>0.1381</v>
      </c>
      <c r="AP13" s="17">
        <v>4.02E-2</v>
      </c>
      <c r="AQ13" s="17">
        <v>7.4000000000000003E-3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</row>
    <row r="14" spans="1:50" x14ac:dyDescent="0.25">
      <c r="A14" s="16" t="s">
        <v>475</v>
      </c>
      <c r="B14" s="13" t="s">
        <v>464</v>
      </c>
      <c r="C14" s="17">
        <v>0</v>
      </c>
      <c r="D14" s="17">
        <v>0</v>
      </c>
      <c r="E14" s="17">
        <v>0</v>
      </c>
      <c r="F14" s="17">
        <v>0</v>
      </c>
      <c r="G14" s="17">
        <v>0</v>
      </c>
      <c r="H14" s="17">
        <v>0</v>
      </c>
      <c r="I14" s="17">
        <v>0</v>
      </c>
      <c r="J14" s="17">
        <v>2.5999999999999999E-3</v>
      </c>
      <c r="K14" s="17">
        <v>3.73E-2</v>
      </c>
      <c r="L14" s="17">
        <v>0.1744</v>
      </c>
      <c r="M14" s="17">
        <v>0.34599999999999997</v>
      </c>
      <c r="N14" s="17">
        <v>0.55640000000000001</v>
      </c>
      <c r="O14" s="17">
        <v>0.78590000000000004</v>
      </c>
      <c r="P14" s="17">
        <v>1.0183</v>
      </c>
      <c r="Q14" s="17">
        <v>1.2495000000000001</v>
      </c>
      <c r="R14" s="17">
        <v>1.4810000000000001</v>
      </c>
      <c r="S14" s="17">
        <v>1.6981999999999999</v>
      </c>
      <c r="T14" s="17">
        <v>1.9025000000000001</v>
      </c>
      <c r="U14" s="17">
        <v>2.0764</v>
      </c>
      <c r="V14" s="17">
        <v>2.2248000000000001</v>
      </c>
      <c r="W14" s="17">
        <v>2.355</v>
      </c>
      <c r="X14" s="17">
        <v>2.4624999999999999</v>
      </c>
      <c r="Y14" s="17">
        <v>2.5387</v>
      </c>
      <c r="Z14" s="17">
        <v>2.5722</v>
      </c>
      <c r="AA14" s="17">
        <v>2.5819000000000001</v>
      </c>
      <c r="AB14" s="17">
        <v>2.5636999999999999</v>
      </c>
      <c r="AC14" s="17">
        <v>2.5028999999999999</v>
      </c>
      <c r="AD14" s="17">
        <v>2.41</v>
      </c>
      <c r="AE14" s="17">
        <v>2.2991000000000001</v>
      </c>
      <c r="AF14" s="17">
        <v>2.1585999999999999</v>
      </c>
      <c r="AG14" s="17">
        <v>2.0093000000000001</v>
      </c>
      <c r="AH14" s="17">
        <v>1.8297000000000001</v>
      </c>
      <c r="AI14" s="17">
        <v>1.6274</v>
      </c>
      <c r="AJ14" s="17">
        <v>1.3831</v>
      </c>
      <c r="AK14" s="17">
        <v>1.1544000000000001</v>
      </c>
      <c r="AL14" s="17">
        <v>0.91949999999999998</v>
      </c>
      <c r="AM14" s="17">
        <v>0.69220000000000004</v>
      </c>
      <c r="AN14" s="17">
        <v>0.47310000000000002</v>
      </c>
      <c r="AO14" s="17">
        <v>0.2762</v>
      </c>
      <c r="AP14" s="17">
        <v>8.0399999999999999E-2</v>
      </c>
      <c r="AQ14" s="17">
        <v>1.4800000000000001E-2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7">
        <v>0</v>
      </c>
      <c r="AX14" s="17">
        <v>0</v>
      </c>
    </row>
    <row r="15" spans="1:50" x14ac:dyDescent="0.25">
      <c r="A15" s="16" t="s">
        <v>477</v>
      </c>
      <c r="B15" s="13" t="s">
        <v>464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1.6999999999999999E-3</v>
      </c>
      <c r="K15" s="17">
        <v>2.4899999999999999E-2</v>
      </c>
      <c r="L15" s="17">
        <v>0.1163</v>
      </c>
      <c r="M15" s="17">
        <v>0.23069999999999999</v>
      </c>
      <c r="N15" s="17">
        <v>0.37090000000000001</v>
      </c>
      <c r="O15" s="17">
        <v>0.52400000000000002</v>
      </c>
      <c r="P15" s="17">
        <v>0.67889999999999995</v>
      </c>
      <c r="Q15" s="17">
        <v>0.83299999999999996</v>
      </c>
      <c r="R15" s="17">
        <v>0.98729999999999996</v>
      </c>
      <c r="S15" s="17">
        <v>1.1322000000000001</v>
      </c>
      <c r="T15" s="17">
        <v>1.2683</v>
      </c>
      <c r="U15" s="17">
        <v>1.3843000000000001</v>
      </c>
      <c r="V15" s="17">
        <v>1.4832000000000001</v>
      </c>
      <c r="W15" s="17">
        <v>1.57</v>
      </c>
      <c r="X15" s="17">
        <v>1.6416999999999999</v>
      </c>
      <c r="Y15" s="17">
        <v>1.6924999999999999</v>
      </c>
      <c r="Z15" s="17">
        <v>1.7148000000000001</v>
      </c>
      <c r="AA15" s="17">
        <v>1.7212000000000001</v>
      </c>
      <c r="AB15" s="17">
        <v>1.7092000000000001</v>
      </c>
      <c r="AC15" s="17">
        <v>1.6686000000000001</v>
      </c>
      <c r="AD15" s="17">
        <v>1.6067</v>
      </c>
      <c r="AE15" s="17">
        <v>1.5327999999999999</v>
      </c>
      <c r="AF15" s="17">
        <v>1.4391</v>
      </c>
      <c r="AG15" s="17">
        <v>1.3395999999999999</v>
      </c>
      <c r="AH15" s="17">
        <v>1.2198</v>
      </c>
      <c r="AI15" s="17">
        <v>1.0849</v>
      </c>
      <c r="AJ15" s="17">
        <v>0.92200000000000004</v>
      </c>
      <c r="AK15" s="17">
        <v>0.76959999999999995</v>
      </c>
      <c r="AL15" s="17">
        <v>0.61299999999999999</v>
      </c>
      <c r="AM15" s="17">
        <v>0.46150000000000002</v>
      </c>
      <c r="AN15" s="17">
        <v>0.31540000000000001</v>
      </c>
      <c r="AO15" s="17">
        <v>0.1842</v>
      </c>
      <c r="AP15" s="17">
        <v>5.3600000000000002E-2</v>
      </c>
      <c r="AQ15" s="17">
        <v>9.9000000000000008E-3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</row>
    <row r="16" spans="1:50" x14ac:dyDescent="0.25">
      <c r="A16" s="8" t="s">
        <v>62</v>
      </c>
      <c r="B16" s="10" t="s">
        <v>57</v>
      </c>
      <c r="C16" s="18">
        <v>0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  <c r="Q16" s="18">
        <v>0</v>
      </c>
      <c r="R16" s="18">
        <v>0</v>
      </c>
      <c r="S16" s="18">
        <v>0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8">
        <v>0</v>
      </c>
      <c r="Z16" s="18">
        <v>0</v>
      </c>
      <c r="AA16" s="18">
        <v>0</v>
      </c>
      <c r="AB16" s="18">
        <v>0</v>
      </c>
      <c r="AC16" s="18">
        <v>0</v>
      </c>
      <c r="AD16" s="18">
        <v>0</v>
      </c>
      <c r="AE16" s="18">
        <v>0</v>
      </c>
      <c r="AF16" s="18">
        <v>0</v>
      </c>
      <c r="AG16" s="18">
        <v>0</v>
      </c>
      <c r="AH16" s="18">
        <v>0</v>
      </c>
      <c r="AI16" s="18">
        <v>0</v>
      </c>
      <c r="AJ16" s="18">
        <v>0</v>
      </c>
      <c r="AK16" s="18">
        <v>0</v>
      </c>
      <c r="AL16" s="18">
        <v>0</v>
      </c>
      <c r="AM16" s="18">
        <v>0</v>
      </c>
      <c r="AN16" s="18">
        <v>0</v>
      </c>
      <c r="AO16" s="18">
        <v>0</v>
      </c>
      <c r="AP16" s="18">
        <v>0</v>
      </c>
      <c r="AQ16" s="18">
        <v>0</v>
      </c>
      <c r="AR16" s="18">
        <v>0</v>
      </c>
      <c r="AS16" s="18">
        <v>0</v>
      </c>
      <c r="AT16" s="18">
        <v>0</v>
      </c>
      <c r="AU16" s="18">
        <v>0</v>
      </c>
      <c r="AV16" s="18">
        <v>0</v>
      </c>
      <c r="AW16" s="18">
        <v>0</v>
      </c>
      <c r="AX16" s="18">
        <v>0</v>
      </c>
    </row>
    <row r="17" spans="1:50" x14ac:dyDescent="0.25">
      <c r="A17" s="16" t="s">
        <v>479</v>
      </c>
      <c r="B17" s="13" t="s">
        <v>464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8.9999999999999998E-4</v>
      </c>
      <c r="K17" s="17">
        <v>1.24E-2</v>
      </c>
      <c r="L17" s="17">
        <v>5.8099999999999999E-2</v>
      </c>
      <c r="M17" s="17">
        <v>0.1153</v>
      </c>
      <c r="N17" s="17">
        <v>0.1855</v>
      </c>
      <c r="O17" s="17">
        <v>0.26200000000000001</v>
      </c>
      <c r="P17" s="17">
        <v>0.33939999999999998</v>
      </c>
      <c r="Q17" s="17">
        <v>0.41649999999999998</v>
      </c>
      <c r="R17" s="17">
        <v>0.49370000000000003</v>
      </c>
      <c r="S17" s="17">
        <v>0.56610000000000005</v>
      </c>
      <c r="T17" s="17">
        <v>0.63419999999999999</v>
      </c>
      <c r="U17" s="17">
        <v>0.69210000000000005</v>
      </c>
      <c r="V17" s="17">
        <v>0.74160000000000004</v>
      </c>
      <c r="W17" s="17">
        <v>0.78500000000000003</v>
      </c>
      <c r="X17" s="17">
        <v>0.82079999999999997</v>
      </c>
      <c r="Y17" s="17">
        <v>0.84619999999999995</v>
      </c>
      <c r="Z17" s="17">
        <v>0.85740000000000005</v>
      </c>
      <c r="AA17" s="17">
        <v>0.86060000000000003</v>
      </c>
      <c r="AB17" s="17">
        <v>0.85460000000000003</v>
      </c>
      <c r="AC17" s="17">
        <v>0.83430000000000004</v>
      </c>
      <c r="AD17" s="17">
        <v>0.80330000000000001</v>
      </c>
      <c r="AE17" s="17">
        <v>0.76639999999999997</v>
      </c>
      <c r="AF17" s="17">
        <v>0.71950000000000003</v>
      </c>
      <c r="AG17" s="17">
        <v>0.66979999999999995</v>
      </c>
      <c r="AH17" s="17">
        <v>0.6099</v>
      </c>
      <c r="AI17" s="17">
        <v>0.54249999999999998</v>
      </c>
      <c r="AJ17" s="17">
        <v>0.46100000000000002</v>
      </c>
      <c r="AK17" s="17">
        <v>0.38479999999999998</v>
      </c>
      <c r="AL17" s="17">
        <v>0.30649999999999999</v>
      </c>
      <c r="AM17" s="17">
        <v>0.23069999999999999</v>
      </c>
      <c r="AN17" s="17">
        <v>0.15770000000000001</v>
      </c>
      <c r="AO17" s="17">
        <v>9.2100000000000001E-2</v>
      </c>
      <c r="AP17" s="17">
        <v>2.6800000000000001E-2</v>
      </c>
      <c r="AQ17" s="17">
        <v>4.8999999999999998E-3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</row>
    <row r="18" spans="1:50" x14ac:dyDescent="0.25">
      <c r="A18" s="16" t="s">
        <v>481</v>
      </c>
      <c r="B18" s="13" t="s">
        <v>464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3.3999999999999998E-3</v>
      </c>
      <c r="K18" s="17">
        <v>4.9700000000000001E-2</v>
      </c>
      <c r="L18" s="17">
        <v>0.2326</v>
      </c>
      <c r="M18" s="17">
        <v>0.46129999999999999</v>
      </c>
      <c r="N18" s="17">
        <v>0.7419</v>
      </c>
      <c r="O18" s="17">
        <v>1.0479000000000001</v>
      </c>
      <c r="P18" s="17">
        <v>1.3576999999999999</v>
      </c>
      <c r="Q18" s="17">
        <v>1.6659999999999999</v>
      </c>
      <c r="R18" s="17">
        <v>1.9745999999999999</v>
      </c>
      <c r="S18" s="17">
        <v>2.2643</v>
      </c>
      <c r="T18" s="17">
        <v>2.5367000000000002</v>
      </c>
      <c r="U18" s="17">
        <v>2.7686000000000002</v>
      </c>
      <c r="V18" s="17">
        <v>2.9664000000000001</v>
      </c>
      <c r="W18" s="17">
        <v>3.14</v>
      </c>
      <c r="X18" s="17">
        <v>3.2833000000000001</v>
      </c>
      <c r="Y18" s="17">
        <v>3.3849999999999998</v>
      </c>
      <c r="Z18" s="17">
        <v>3.4296000000000002</v>
      </c>
      <c r="AA18" s="17">
        <v>3.4424999999999999</v>
      </c>
      <c r="AB18" s="17">
        <v>3.4182999999999999</v>
      </c>
      <c r="AC18" s="17">
        <v>3.3372000000000002</v>
      </c>
      <c r="AD18" s="17">
        <v>3.2132999999999998</v>
      </c>
      <c r="AE18" s="17">
        <v>3.0655000000000001</v>
      </c>
      <c r="AF18" s="17">
        <v>2.8782000000000001</v>
      </c>
      <c r="AG18" s="17">
        <v>2.6791</v>
      </c>
      <c r="AH18" s="17">
        <v>2.4396</v>
      </c>
      <c r="AI18" s="17">
        <v>2.1698</v>
      </c>
      <c r="AJ18" s="17">
        <v>1.8441000000000001</v>
      </c>
      <c r="AK18" s="17">
        <v>1.5391999999999999</v>
      </c>
      <c r="AL18" s="17">
        <v>1.2259</v>
      </c>
      <c r="AM18" s="17">
        <v>0.92290000000000005</v>
      </c>
      <c r="AN18" s="17">
        <v>0.63080000000000003</v>
      </c>
      <c r="AO18" s="17">
        <v>0.36830000000000002</v>
      </c>
      <c r="AP18" s="17">
        <v>0.1072</v>
      </c>
      <c r="AQ18" s="17">
        <v>1.9800000000000002E-2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</row>
    <row r="19" spans="1:50" x14ac:dyDescent="0.25">
      <c r="A19" s="8" t="s">
        <v>64</v>
      </c>
      <c r="B19" s="10" t="s">
        <v>57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  <c r="Q19" s="18">
        <v>0</v>
      </c>
      <c r="R19" s="18">
        <v>0</v>
      </c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>
        <v>0</v>
      </c>
      <c r="AD19" s="18">
        <v>0</v>
      </c>
      <c r="AE19" s="18">
        <v>0</v>
      </c>
      <c r="AF19" s="18">
        <v>0</v>
      </c>
      <c r="AG19" s="18">
        <v>0</v>
      </c>
      <c r="AH19" s="18">
        <v>0</v>
      </c>
      <c r="AI19" s="18">
        <v>0</v>
      </c>
      <c r="AJ19" s="18">
        <v>0</v>
      </c>
      <c r="AK19" s="18">
        <v>0</v>
      </c>
      <c r="AL19" s="18">
        <v>0</v>
      </c>
      <c r="AM19" s="18">
        <v>0</v>
      </c>
      <c r="AN19" s="18">
        <v>0</v>
      </c>
      <c r="AO19" s="18">
        <v>0</v>
      </c>
      <c r="AP19" s="18">
        <v>0</v>
      </c>
      <c r="AQ19" s="18">
        <v>0</v>
      </c>
      <c r="AR19" s="18">
        <v>0</v>
      </c>
      <c r="AS19" s="18">
        <v>0</v>
      </c>
      <c r="AT19" s="18">
        <v>0</v>
      </c>
      <c r="AU19" s="18">
        <v>0</v>
      </c>
      <c r="AV19" s="18">
        <v>0</v>
      </c>
      <c r="AW19" s="18">
        <v>0</v>
      </c>
      <c r="AX19" s="18">
        <v>0</v>
      </c>
    </row>
    <row r="20" spans="1:50" x14ac:dyDescent="0.25">
      <c r="A20" s="16" t="s">
        <v>483</v>
      </c>
      <c r="B20" s="13" t="s">
        <v>464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3.0000000000000001E-3</v>
      </c>
      <c r="K20" s="17">
        <v>4.3499999999999997E-2</v>
      </c>
      <c r="L20" s="17">
        <v>0.20349999999999999</v>
      </c>
      <c r="M20" s="17">
        <v>0.4037</v>
      </c>
      <c r="N20" s="17">
        <v>0.64910000000000001</v>
      </c>
      <c r="O20" s="17">
        <v>0.91690000000000005</v>
      </c>
      <c r="P20" s="17">
        <v>1.1879999999999999</v>
      </c>
      <c r="Q20" s="17">
        <v>1.4577</v>
      </c>
      <c r="R20" s="17">
        <v>1.7278</v>
      </c>
      <c r="S20" s="17">
        <v>1.9813000000000001</v>
      </c>
      <c r="T20" s="17">
        <v>2.2195999999999998</v>
      </c>
      <c r="U20" s="17">
        <v>2.4224999999999999</v>
      </c>
      <c r="V20" s="17">
        <v>2.5956000000000001</v>
      </c>
      <c r="W20" s="17">
        <v>2.7475000000000001</v>
      </c>
      <c r="X20" s="17">
        <v>2.8729</v>
      </c>
      <c r="Y20" s="17">
        <v>2.9619</v>
      </c>
      <c r="Z20" s="17">
        <v>3.0009000000000001</v>
      </c>
      <c r="AA20" s="17">
        <v>3.0122</v>
      </c>
      <c r="AB20" s="17">
        <v>2.9910000000000001</v>
      </c>
      <c r="AC20" s="17">
        <v>2.92</v>
      </c>
      <c r="AD20" s="17">
        <v>2.8117000000000001</v>
      </c>
      <c r="AE20" s="17">
        <v>2.6823000000000001</v>
      </c>
      <c r="AF20" s="17">
        <v>2.5184000000000002</v>
      </c>
      <c r="AG20" s="17">
        <v>2.3441999999999998</v>
      </c>
      <c r="AH20" s="17">
        <v>2.1345999999999998</v>
      </c>
      <c r="AI20" s="17">
        <v>1.8986000000000001</v>
      </c>
      <c r="AJ20" s="17">
        <v>1.6135999999999999</v>
      </c>
      <c r="AK20" s="17">
        <v>1.3468</v>
      </c>
      <c r="AL20" s="17">
        <v>1.0727</v>
      </c>
      <c r="AM20" s="17">
        <v>0.80759999999999998</v>
      </c>
      <c r="AN20" s="17">
        <v>0.55189999999999995</v>
      </c>
      <c r="AO20" s="17">
        <v>0.32229999999999998</v>
      </c>
      <c r="AP20" s="17">
        <v>9.3799999999999994E-2</v>
      </c>
      <c r="AQ20" s="17">
        <v>1.7299999999999999E-2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</v>
      </c>
    </row>
    <row r="21" spans="1:50" x14ac:dyDescent="0.25">
      <c r="A21" s="8" t="s">
        <v>66</v>
      </c>
      <c r="B21" s="10" t="s">
        <v>57</v>
      </c>
      <c r="C21" s="18">
        <v>0</v>
      </c>
      <c r="D21" s="18">
        <v>0</v>
      </c>
      <c r="E21" s="18">
        <v>0</v>
      </c>
      <c r="F21" s="18">
        <v>0</v>
      </c>
      <c r="G21" s="18">
        <v>0</v>
      </c>
      <c r="H21" s="18">
        <v>0</v>
      </c>
      <c r="I21" s="18">
        <v>0</v>
      </c>
      <c r="J21" s="18">
        <v>0</v>
      </c>
      <c r="K21" s="18">
        <v>0</v>
      </c>
      <c r="L21" s="18">
        <v>0</v>
      </c>
      <c r="M21" s="18">
        <v>0</v>
      </c>
      <c r="N21" s="18">
        <v>0</v>
      </c>
      <c r="O21" s="18">
        <v>0</v>
      </c>
      <c r="P21" s="18">
        <v>0</v>
      </c>
      <c r="Q21" s="18">
        <v>0</v>
      </c>
      <c r="R21" s="18">
        <v>0</v>
      </c>
      <c r="S21" s="18">
        <v>0</v>
      </c>
      <c r="T21" s="18">
        <v>0</v>
      </c>
      <c r="U21" s="18">
        <v>0</v>
      </c>
      <c r="V21" s="18">
        <v>0</v>
      </c>
      <c r="W21" s="18">
        <v>0</v>
      </c>
      <c r="X21" s="18">
        <v>0</v>
      </c>
      <c r="Y21" s="18">
        <v>0</v>
      </c>
      <c r="Z21" s="18">
        <v>0</v>
      </c>
      <c r="AA21" s="18">
        <v>0</v>
      </c>
      <c r="AB21" s="18">
        <v>0</v>
      </c>
      <c r="AC21" s="18">
        <v>0</v>
      </c>
      <c r="AD21" s="18">
        <v>0</v>
      </c>
      <c r="AE21" s="18">
        <v>0</v>
      </c>
      <c r="AF21" s="18">
        <v>0</v>
      </c>
      <c r="AG21" s="18">
        <v>0</v>
      </c>
      <c r="AH21" s="18">
        <v>0</v>
      </c>
      <c r="AI21" s="18">
        <v>0</v>
      </c>
      <c r="AJ21" s="18">
        <v>0</v>
      </c>
      <c r="AK21" s="18">
        <v>0</v>
      </c>
      <c r="AL21" s="18">
        <v>0</v>
      </c>
      <c r="AM21" s="18">
        <v>0</v>
      </c>
      <c r="AN21" s="18">
        <v>0</v>
      </c>
      <c r="AO21" s="18">
        <v>0</v>
      </c>
      <c r="AP21" s="18">
        <v>0</v>
      </c>
      <c r="AQ21" s="18">
        <v>0</v>
      </c>
      <c r="AR21" s="18">
        <v>0</v>
      </c>
      <c r="AS21" s="18">
        <v>0</v>
      </c>
      <c r="AT21" s="18">
        <v>0</v>
      </c>
      <c r="AU21" s="18">
        <v>0</v>
      </c>
      <c r="AV21" s="18">
        <v>0</v>
      </c>
      <c r="AW21" s="18">
        <v>0</v>
      </c>
      <c r="AX21" s="18">
        <v>0</v>
      </c>
    </row>
    <row r="22" spans="1:50" x14ac:dyDescent="0.25">
      <c r="A22" s="16" t="s">
        <v>485</v>
      </c>
      <c r="B22" s="13" t="s">
        <v>464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2.5999999999999999E-3</v>
      </c>
      <c r="K22" s="17">
        <v>3.73E-2</v>
      </c>
      <c r="L22" s="17">
        <v>0.1744</v>
      </c>
      <c r="M22" s="17">
        <v>0.34599999999999997</v>
      </c>
      <c r="N22" s="17">
        <v>0.55640000000000001</v>
      </c>
      <c r="O22" s="17">
        <v>0.78590000000000004</v>
      </c>
      <c r="P22" s="17">
        <v>1.0183</v>
      </c>
      <c r="Q22" s="17">
        <v>1.2495000000000001</v>
      </c>
      <c r="R22" s="17">
        <v>1.4810000000000001</v>
      </c>
      <c r="S22" s="17">
        <v>1.6981999999999999</v>
      </c>
      <c r="T22" s="17">
        <v>1.9025000000000001</v>
      </c>
      <c r="U22" s="17">
        <v>2.0764</v>
      </c>
      <c r="V22" s="17">
        <v>2.2248000000000001</v>
      </c>
      <c r="W22" s="17">
        <v>2.355</v>
      </c>
      <c r="X22" s="17">
        <v>2.4624999999999999</v>
      </c>
      <c r="Y22" s="17">
        <v>2.5387</v>
      </c>
      <c r="Z22" s="17">
        <v>2.5722</v>
      </c>
      <c r="AA22" s="17">
        <v>2.5819000000000001</v>
      </c>
      <c r="AB22" s="17">
        <v>2.5636999999999999</v>
      </c>
      <c r="AC22" s="17">
        <v>2.5028999999999999</v>
      </c>
      <c r="AD22" s="17">
        <v>2.41</v>
      </c>
      <c r="AE22" s="17">
        <v>2.2991000000000001</v>
      </c>
      <c r="AF22" s="17">
        <v>2.1585999999999999</v>
      </c>
      <c r="AG22" s="17">
        <v>2.0093000000000001</v>
      </c>
      <c r="AH22" s="17">
        <v>1.8297000000000001</v>
      </c>
      <c r="AI22" s="17">
        <v>1.6274</v>
      </c>
      <c r="AJ22" s="17">
        <v>1.3831</v>
      </c>
      <c r="AK22" s="17">
        <v>1.1544000000000001</v>
      </c>
      <c r="AL22" s="17">
        <v>0.91949999999999998</v>
      </c>
      <c r="AM22" s="17">
        <v>0.69220000000000004</v>
      </c>
      <c r="AN22" s="17">
        <v>0.47310000000000002</v>
      </c>
      <c r="AO22" s="17">
        <v>0.2762</v>
      </c>
      <c r="AP22" s="17">
        <v>8.0399999999999999E-2</v>
      </c>
      <c r="AQ22" s="17">
        <v>1.4800000000000001E-2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</row>
    <row r="23" spans="1:50" x14ac:dyDescent="0.25">
      <c r="A23" s="16" t="s">
        <v>487</v>
      </c>
      <c r="B23" s="13" t="s">
        <v>464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1.2999999999999999E-3</v>
      </c>
      <c r="K23" s="17">
        <v>1.8700000000000001E-2</v>
      </c>
      <c r="L23" s="17">
        <v>8.72E-2</v>
      </c>
      <c r="M23" s="17">
        <v>0.17299999999999999</v>
      </c>
      <c r="N23" s="17">
        <v>0.2782</v>
      </c>
      <c r="O23" s="17">
        <v>0.39300000000000002</v>
      </c>
      <c r="P23" s="17">
        <v>0.50919999999999999</v>
      </c>
      <c r="Q23" s="17">
        <v>0.62470000000000003</v>
      </c>
      <c r="R23" s="17">
        <v>0.74050000000000005</v>
      </c>
      <c r="S23" s="17">
        <v>0.84909999999999997</v>
      </c>
      <c r="T23" s="17">
        <v>0.95120000000000005</v>
      </c>
      <c r="U23" s="17">
        <v>1.0382</v>
      </c>
      <c r="V23" s="17">
        <v>1.1124000000000001</v>
      </c>
      <c r="W23" s="17">
        <v>1.1775</v>
      </c>
      <c r="X23" s="17">
        <v>1.2312000000000001</v>
      </c>
      <c r="Y23" s="17">
        <v>1.2694000000000001</v>
      </c>
      <c r="Z23" s="17">
        <v>1.2861</v>
      </c>
      <c r="AA23" s="17">
        <v>1.2908999999999999</v>
      </c>
      <c r="AB23" s="17">
        <v>1.2819</v>
      </c>
      <c r="AC23" s="17">
        <v>1.2514000000000001</v>
      </c>
      <c r="AD23" s="17">
        <v>1.2050000000000001</v>
      </c>
      <c r="AE23" s="17">
        <v>1.1496</v>
      </c>
      <c r="AF23" s="17">
        <v>1.0792999999999999</v>
      </c>
      <c r="AG23" s="17">
        <v>1.0046999999999999</v>
      </c>
      <c r="AH23" s="17">
        <v>0.91479999999999995</v>
      </c>
      <c r="AI23" s="17">
        <v>0.81369999999999998</v>
      </c>
      <c r="AJ23" s="17">
        <v>0.6915</v>
      </c>
      <c r="AK23" s="17">
        <v>0.57720000000000005</v>
      </c>
      <c r="AL23" s="17">
        <v>0.4597</v>
      </c>
      <c r="AM23" s="17">
        <v>0.34610000000000002</v>
      </c>
      <c r="AN23" s="17">
        <v>0.23649999999999999</v>
      </c>
      <c r="AO23" s="17">
        <v>0.1381</v>
      </c>
      <c r="AP23" s="17">
        <v>4.02E-2</v>
      </c>
      <c r="AQ23" s="17">
        <v>7.4000000000000003E-3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</row>
    <row r="24" spans="1:50" x14ac:dyDescent="0.25">
      <c r="A24" s="16" t="s">
        <v>489</v>
      </c>
      <c r="B24" s="13" t="s">
        <v>464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3.3999999999999998E-3</v>
      </c>
      <c r="K24" s="17">
        <v>4.9700000000000001E-2</v>
      </c>
      <c r="L24" s="17">
        <v>0.2326</v>
      </c>
      <c r="M24" s="17">
        <v>0.46129999999999999</v>
      </c>
      <c r="N24" s="17">
        <v>0.7419</v>
      </c>
      <c r="O24" s="17">
        <v>1.0479000000000001</v>
      </c>
      <c r="P24" s="17">
        <v>1.3576999999999999</v>
      </c>
      <c r="Q24" s="17">
        <v>1.6659999999999999</v>
      </c>
      <c r="R24" s="17">
        <v>1.9745999999999999</v>
      </c>
      <c r="S24" s="17">
        <v>2.2643</v>
      </c>
      <c r="T24" s="17">
        <v>2.5367000000000002</v>
      </c>
      <c r="U24" s="17">
        <v>2.7686000000000002</v>
      </c>
      <c r="V24" s="17">
        <v>2.9664000000000001</v>
      </c>
      <c r="W24" s="17">
        <v>3.14</v>
      </c>
      <c r="X24" s="17">
        <v>3.2833000000000001</v>
      </c>
      <c r="Y24" s="17">
        <v>3.3849999999999998</v>
      </c>
      <c r="Z24" s="17">
        <v>3.4296000000000002</v>
      </c>
      <c r="AA24" s="17">
        <v>3.4424999999999999</v>
      </c>
      <c r="AB24" s="17">
        <v>3.4182999999999999</v>
      </c>
      <c r="AC24" s="17">
        <v>3.3372000000000002</v>
      </c>
      <c r="AD24" s="17">
        <v>3.2132999999999998</v>
      </c>
      <c r="AE24" s="17">
        <v>3.0655000000000001</v>
      </c>
      <c r="AF24" s="17">
        <v>2.8782000000000001</v>
      </c>
      <c r="AG24" s="17">
        <v>2.6791</v>
      </c>
      <c r="AH24" s="17">
        <v>2.4396</v>
      </c>
      <c r="AI24" s="17">
        <v>2.1698</v>
      </c>
      <c r="AJ24" s="17">
        <v>1.8441000000000001</v>
      </c>
      <c r="AK24" s="17">
        <v>1.5391999999999999</v>
      </c>
      <c r="AL24" s="17">
        <v>1.2259</v>
      </c>
      <c r="AM24" s="17">
        <v>0.92290000000000005</v>
      </c>
      <c r="AN24" s="17">
        <v>0.63080000000000003</v>
      </c>
      <c r="AO24" s="17">
        <v>0.36830000000000002</v>
      </c>
      <c r="AP24" s="17">
        <v>0.1072</v>
      </c>
      <c r="AQ24" s="17">
        <v>1.9800000000000002E-2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</row>
    <row r="25" spans="1:50" x14ac:dyDescent="0.25">
      <c r="A25" s="16" t="s">
        <v>491</v>
      </c>
      <c r="B25" s="13" t="s">
        <v>464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1.2999999999999999E-3</v>
      </c>
      <c r="K25" s="17">
        <v>1.8700000000000001E-2</v>
      </c>
      <c r="L25" s="17">
        <v>8.72E-2</v>
      </c>
      <c r="M25" s="17">
        <v>0.17299999999999999</v>
      </c>
      <c r="N25" s="17">
        <v>0.2782</v>
      </c>
      <c r="O25" s="17">
        <v>0.39300000000000002</v>
      </c>
      <c r="P25" s="17">
        <v>0.50919999999999999</v>
      </c>
      <c r="Q25" s="17">
        <v>0.62470000000000003</v>
      </c>
      <c r="R25" s="17">
        <v>0.74050000000000005</v>
      </c>
      <c r="S25" s="17">
        <v>0.84909999999999997</v>
      </c>
      <c r="T25" s="17">
        <v>0.95120000000000005</v>
      </c>
      <c r="U25" s="17">
        <v>1.0382</v>
      </c>
      <c r="V25" s="17">
        <v>1.1124000000000001</v>
      </c>
      <c r="W25" s="17">
        <v>1.1775</v>
      </c>
      <c r="X25" s="17">
        <v>1.2312000000000001</v>
      </c>
      <c r="Y25" s="17">
        <v>1.2694000000000001</v>
      </c>
      <c r="Z25" s="17">
        <v>1.2861</v>
      </c>
      <c r="AA25" s="17">
        <v>1.2908999999999999</v>
      </c>
      <c r="AB25" s="17">
        <v>1.2819</v>
      </c>
      <c r="AC25" s="17">
        <v>1.2514000000000001</v>
      </c>
      <c r="AD25" s="17">
        <v>1.2050000000000001</v>
      </c>
      <c r="AE25" s="17">
        <v>1.1496</v>
      </c>
      <c r="AF25" s="17">
        <v>1.0792999999999999</v>
      </c>
      <c r="AG25" s="17">
        <v>1.0046999999999999</v>
      </c>
      <c r="AH25" s="17">
        <v>0.91479999999999995</v>
      </c>
      <c r="AI25" s="17">
        <v>0.81369999999999998</v>
      </c>
      <c r="AJ25" s="17">
        <v>0.6915</v>
      </c>
      <c r="AK25" s="17">
        <v>0.57720000000000005</v>
      </c>
      <c r="AL25" s="17">
        <v>0.4597</v>
      </c>
      <c r="AM25" s="17">
        <v>0.34610000000000002</v>
      </c>
      <c r="AN25" s="17">
        <v>0.23649999999999999</v>
      </c>
      <c r="AO25" s="17">
        <v>0.1381</v>
      </c>
      <c r="AP25" s="17">
        <v>4.02E-2</v>
      </c>
      <c r="AQ25" s="17">
        <v>7.4000000000000003E-3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</row>
    <row r="26" spans="1:50" x14ac:dyDescent="0.25">
      <c r="A26" s="8" t="s">
        <v>68</v>
      </c>
      <c r="B26" s="10" t="s">
        <v>57</v>
      </c>
      <c r="C26" s="18">
        <v>0</v>
      </c>
      <c r="D26" s="18">
        <v>0</v>
      </c>
      <c r="E26" s="18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18"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18">
        <v>0</v>
      </c>
      <c r="AT26" s="18">
        <v>0</v>
      </c>
      <c r="AU26" s="18">
        <v>0</v>
      </c>
      <c r="AV26" s="18">
        <v>0</v>
      </c>
      <c r="AW26" s="18">
        <v>0</v>
      </c>
      <c r="AX26" s="18">
        <v>0</v>
      </c>
    </row>
    <row r="27" spans="1:50" x14ac:dyDescent="0.25">
      <c r="A27" s="16" t="s">
        <v>493</v>
      </c>
      <c r="B27" s="13" t="s">
        <v>464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3.3999999999999998E-3</v>
      </c>
      <c r="K27" s="17">
        <v>4.9700000000000001E-2</v>
      </c>
      <c r="L27" s="17">
        <v>0.2326</v>
      </c>
      <c r="M27" s="17">
        <v>0.46129999999999999</v>
      </c>
      <c r="N27" s="17">
        <v>0.7419</v>
      </c>
      <c r="O27" s="17">
        <v>1.0479000000000001</v>
      </c>
      <c r="P27" s="17">
        <v>1.3576999999999999</v>
      </c>
      <c r="Q27" s="17">
        <v>1.6659999999999999</v>
      </c>
      <c r="R27" s="17">
        <v>1.9745999999999999</v>
      </c>
      <c r="S27" s="17">
        <v>2.2643</v>
      </c>
      <c r="T27" s="17">
        <v>2.5367000000000002</v>
      </c>
      <c r="U27" s="17">
        <v>2.7686000000000002</v>
      </c>
      <c r="V27" s="17">
        <v>2.9664000000000001</v>
      </c>
      <c r="W27" s="17">
        <v>3.14</v>
      </c>
      <c r="X27" s="17">
        <v>3.2833000000000001</v>
      </c>
      <c r="Y27" s="17">
        <v>3.3849999999999998</v>
      </c>
      <c r="Z27" s="17">
        <v>3.4296000000000002</v>
      </c>
      <c r="AA27" s="17">
        <v>3.4424999999999999</v>
      </c>
      <c r="AB27" s="17">
        <v>3.4182999999999999</v>
      </c>
      <c r="AC27" s="17">
        <v>3.3372000000000002</v>
      </c>
      <c r="AD27" s="17">
        <v>3.2132999999999998</v>
      </c>
      <c r="AE27" s="17">
        <v>3.0655000000000001</v>
      </c>
      <c r="AF27" s="17">
        <v>2.8782000000000001</v>
      </c>
      <c r="AG27" s="17">
        <v>2.6791</v>
      </c>
      <c r="AH27" s="17">
        <v>2.4396</v>
      </c>
      <c r="AI27" s="17">
        <v>2.1698</v>
      </c>
      <c r="AJ27" s="17">
        <v>1.8441000000000001</v>
      </c>
      <c r="AK27" s="17">
        <v>1.5391999999999999</v>
      </c>
      <c r="AL27" s="17">
        <v>1.2259</v>
      </c>
      <c r="AM27" s="17">
        <v>0.92290000000000005</v>
      </c>
      <c r="AN27" s="17">
        <v>0.63080000000000003</v>
      </c>
      <c r="AO27" s="17">
        <v>0.36830000000000002</v>
      </c>
      <c r="AP27" s="17">
        <v>0.1072</v>
      </c>
      <c r="AQ27" s="17">
        <v>1.9800000000000002E-2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</row>
    <row r="28" spans="1:50" x14ac:dyDescent="0.25">
      <c r="A28" s="16" t="s">
        <v>495</v>
      </c>
      <c r="B28" s="13" t="s">
        <v>464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3.3999999999999998E-3</v>
      </c>
      <c r="K28" s="17">
        <v>4.9700000000000001E-2</v>
      </c>
      <c r="L28" s="17">
        <v>0.2326</v>
      </c>
      <c r="M28" s="17">
        <v>0.46129999999999999</v>
      </c>
      <c r="N28" s="17">
        <v>0.7419</v>
      </c>
      <c r="O28" s="17">
        <v>1.0479000000000001</v>
      </c>
      <c r="P28" s="17">
        <v>1.3576999999999999</v>
      </c>
      <c r="Q28" s="17">
        <v>1.6659999999999999</v>
      </c>
      <c r="R28" s="17">
        <v>1.9745999999999999</v>
      </c>
      <c r="S28" s="17">
        <v>2.2643</v>
      </c>
      <c r="T28" s="17">
        <v>2.5367000000000002</v>
      </c>
      <c r="U28" s="17">
        <v>2.7686000000000002</v>
      </c>
      <c r="V28" s="17">
        <v>2.9664000000000001</v>
      </c>
      <c r="W28" s="17">
        <v>3.14</v>
      </c>
      <c r="X28" s="17">
        <v>3.2833000000000001</v>
      </c>
      <c r="Y28" s="17">
        <v>3.3849999999999998</v>
      </c>
      <c r="Z28" s="17">
        <v>3.4296000000000002</v>
      </c>
      <c r="AA28" s="17">
        <v>3.4424999999999999</v>
      </c>
      <c r="AB28" s="17">
        <v>3.4182999999999999</v>
      </c>
      <c r="AC28" s="17">
        <v>3.3372000000000002</v>
      </c>
      <c r="AD28" s="17">
        <v>3.2132999999999998</v>
      </c>
      <c r="AE28" s="17">
        <v>3.0655000000000001</v>
      </c>
      <c r="AF28" s="17">
        <v>2.8782000000000001</v>
      </c>
      <c r="AG28" s="17">
        <v>2.6791</v>
      </c>
      <c r="AH28" s="17">
        <v>2.4396</v>
      </c>
      <c r="AI28" s="17">
        <v>2.1698</v>
      </c>
      <c r="AJ28" s="17">
        <v>1.8441000000000001</v>
      </c>
      <c r="AK28" s="17">
        <v>1.5391999999999999</v>
      </c>
      <c r="AL28" s="17">
        <v>1.2259</v>
      </c>
      <c r="AM28" s="17">
        <v>0.92290000000000005</v>
      </c>
      <c r="AN28" s="17">
        <v>0.63080000000000003</v>
      </c>
      <c r="AO28" s="17">
        <v>0.36830000000000002</v>
      </c>
      <c r="AP28" s="17">
        <v>0.1072</v>
      </c>
      <c r="AQ28" s="17">
        <v>1.9800000000000002E-2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</row>
    <row r="29" spans="1:50" x14ac:dyDescent="0.25">
      <c r="A29" s="8" t="s">
        <v>70</v>
      </c>
      <c r="B29" s="10" t="s">
        <v>57</v>
      </c>
      <c r="C29" s="18">
        <v>0</v>
      </c>
      <c r="D29" s="18">
        <v>0</v>
      </c>
      <c r="E29" s="18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18">
        <v>0</v>
      </c>
      <c r="AT29" s="18">
        <v>0</v>
      </c>
      <c r="AU29" s="18">
        <v>0</v>
      </c>
      <c r="AV29" s="18">
        <v>0</v>
      </c>
      <c r="AW29" s="18">
        <v>0</v>
      </c>
      <c r="AX29" s="18">
        <v>0</v>
      </c>
    </row>
    <row r="30" spans="1:50" x14ac:dyDescent="0.25">
      <c r="A30" s="16" t="s">
        <v>497</v>
      </c>
      <c r="B30" s="13" t="s">
        <v>464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1.6999999999999999E-3</v>
      </c>
      <c r="K30" s="17">
        <v>2.4899999999999999E-2</v>
      </c>
      <c r="L30" s="17">
        <v>0.1163</v>
      </c>
      <c r="M30" s="17">
        <v>0.23069999999999999</v>
      </c>
      <c r="N30" s="17">
        <v>0.37090000000000001</v>
      </c>
      <c r="O30" s="17">
        <v>0.52400000000000002</v>
      </c>
      <c r="P30" s="17">
        <v>0.67889999999999995</v>
      </c>
      <c r="Q30" s="17">
        <v>0.83299999999999996</v>
      </c>
      <c r="R30" s="17">
        <v>0.98729999999999996</v>
      </c>
      <c r="S30" s="17">
        <v>1.1322000000000001</v>
      </c>
      <c r="T30" s="17">
        <v>1.2683</v>
      </c>
      <c r="U30" s="17">
        <v>1.3843000000000001</v>
      </c>
      <c r="V30" s="17">
        <v>1.4832000000000001</v>
      </c>
      <c r="W30" s="17">
        <v>1.57</v>
      </c>
      <c r="X30" s="17">
        <v>1.6416999999999999</v>
      </c>
      <c r="Y30" s="17">
        <v>1.6924999999999999</v>
      </c>
      <c r="Z30" s="17">
        <v>1.7148000000000001</v>
      </c>
      <c r="AA30" s="17">
        <v>1.7212000000000001</v>
      </c>
      <c r="AB30" s="17">
        <v>1.7092000000000001</v>
      </c>
      <c r="AC30" s="17">
        <v>1.6686000000000001</v>
      </c>
      <c r="AD30" s="17">
        <v>1.6067</v>
      </c>
      <c r="AE30" s="17">
        <v>1.5327999999999999</v>
      </c>
      <c r="AF30" s="17">
        <v>1.4391</v>
      </c>
      <c r="AG30" s="17">
        <v>1.3395999999999999</v>
      </c>
      <c r="AH30" s="17">
        <v>1.2198</v>
      </c>
      <c r="AI30" s="17">
        <v>1.0849</v>
      </c>
      <c r="AJ30" s="17">
        <v>0.92200000000000004</v>
      </c>
      <c r="AK30" s="17">
        <v>0.76959999999999995</v>
      </c>
      <c r="AL30" s="17">
        <v>0.61299999999999999</v>
      </c>
      <c r="AM30" s="17">
        <v>0.46150000000000002</v>
      </c>
      <c r="AN30" s="17">
        <v>0.31540000000000001</v>
      </c>
      <c r="AO30" s="17">
        <v>0.1842</v>
      </c>
      <c r="AP30" s="17">
        <v>5.3600000000000002E-2</v>
      </c>
      <c r="AQ30" s="17">
        <v>9.9000000000000008E-3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</row>
    <row r="31" spans="1:50" x14ac:dyDescent="0.25">
      <c r="A31" s="8" t="s">
        <v>72</v>
      </c>
      <c r="B31" s="10" t="s">
        <v>57</v>
      </c>
      <c r="C31" s="18">
        <v>0</v>
      </c>
      <c r="D31" s="18">
        <v>0</v>
      </c>
      <c r="E31" s="18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18">
        <v>0</v>
      </c>
      <c r="N31" s="18">
        <v>0</v>
      </c>
      <c r="O31" s="18">
        <v>0</v>
      </c>
      <c r="P31" s="18">
        <v>0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8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18"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18">
        <v>0</v>
      </c>
      <c r="AT31" s="18">
        <v>0</v>
      </c>
      <c r="AU31" s="18">
        <v>0</v>
      </c>
      <c r="AV31" s="18">
        <v>0</v>
      </c>
      <c r="AW31" s="18">
        <v>0</v>
      </c>
      <c r="AX31" s="18">
        <v>0</v>
      </c>
    </row>
    <row r="32" spans="1:50" x14ac:dyDescent="0.25">
      <c r="A32" s="16" t="s">
        <v>499</v>
      </c>
      <c r="B32" s="13" t="s">
        <v>464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2.2000000000000001E-3</v>
      </c>
      <c r="K32" s="17">
        <v>3.1099999999999999E-2</v>
      </c>
      <c r="L32" s="17">
        <v>0.1454</v>
      </c>
      <c r="M32" s="17">
        <v>0.2883</v>
      </c>
      <c r="N32" s="17">
        <v>0.4637</v>
      </c>
      <c r="O32" s="17">
        <v>0.65490000000000004</v>
      </c>
      <c r="P32" s="17">
        <v>0.84860000000000002</v>
      </c>
      <c r="Q32" s="17">
        <v>1.0411999999999999</v>
      </c>
      <c r="R32" s="17">
        <v>1.2341</v>
      </c>
      <c r="S32" s="17">
        <v>1.4152</v>
      </c>
      <c r="T32" s="17">
        <v>1.5853999999999999</v>
      </c>
      <c r="U32" s="17">
        <v>1.7303999999999999</v>
      </c>
      <c r="V32" s="17">
        <v>1.8540000000000001</v>
      </c>
      <c r="W32" s="17">
        <v>1.9624999999999999</v>
      </c>
      <c r="X32" s="17">
        <v>2.0520999999999998</v>
      </c>
      <c r="Y32" s="17">
        <v>2.1156000000000001</v>
      </c>
      <c r="Z32" s="17">
        <v>2.1435</v>
      </c>
      <c r="AA32" s="17">
        <v>2.1516000000000002</v>
      </c>
      <c r="AB32" s="17">
        <v>2.1364999999999998</v>
      </c>
      <c r="AC32" s="17">
        <v>2.0857000000000001</v>
      </c>
      <c r="AD32" s="17">
        <v>2.0083000000000002</v>
      </c>
      <c r="AE32" s="17">
        <v>1.9158999999999999</v>
      </c>
      <c r="AF32" s="17">
        <v>1.7988999999999999</v>
      </c>
      <c r="AG32" s="17">
        <v>1.6745000000000001</v>
      </c>
      <c r="AH32" s="17">
        <v>1.5246999999999999</v>
      </c>
      <c r="AI32" s="17">
        <v>1.3561000000000001</v>
      </c>
      <c r="AJ32" s="17">
        <v>1.1525000000000001</v>
      </c>
      <c r="AK32" s="17">
        <v>0.96199999999999997</v>
      </c>
      <c r="AL32" s="17">
        <v>0.76619999999999999</v>
      </c>
      <c r="AM32" s="17">
        <v>0.57679999999999998</v>
      </c>
      <c r="AN32" s="17">
        <v>0.39419999999999999</v>
      </c>
      <c r="AO32" s="17">
        <v>0.23019999999999999</v>
      </c>
      <c r="AP32" s="17">
        <v>6.7000000000000004E-2</v>
      </c>
      <c r="AQ32" s="17">
        <v>1.24E-2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</row>
    <row r="33" spans="1:50" x14ac:dyDescent="0.25">
      <c r="A33" s="8" t="s">
        <v>74</v>
      </c>
      <c r="B33" s="10" t="s">
        <v>57</v>
      </c>
      <c r="C33" s="18">
        <v>0</v>
      </c>
      <c r="D33" s="18">
        <v>0</v>
      </c>
      <c r="E33" s="18">
        <v>0</v>
      </c>
      <c r="F33" s="18">
        <v>0</v>
      </c>
      <c r="G33" s="18">
        <v>0</v>
      </c>
      <c r="H33" s="18">
        <v>0</v>
      </c>
      <c r="I33" s="18">
        <v>0</v>
      </c>
      <c r="J33" s="18">
        <v>0</v>
      </c>
      <c r="K33" s="18">
        <v>0</v>
      </c>
      <c r="L33" s="18">
        <v>0</v>
      </c>
      <c r="M33" s="18">
        <v>0</v>
      </c>
      <c r="N33" s="18">
        <v>0</v>
      </c>
      <c r="O33" s="18">
        <v>0</v>
      </c>
      <c r="P33" s="18">
        <v>0</v>
      </c>
      <c r="Q33" s="18">
        <v>0</v>
      </c>
      <c r="R33" s="18">
        <v>0</v>
      </c>
      <c r="S33" s="18">
        <v>0</v>
      </c>
      <c r="T33" s="18">
        <v>0</v>
      </c>
      <c r="U33" s="18">
        <v>0</v>
      </c>
      <c r="V33" s="18">
        <v>0</v>
      </c>
      <c r="W33" s="18">
        <v>0</v>
      </c>
      <c r="X33" s="18">
        <v>0</v>
      </c>
      <c r="Y33" s="18">
        <v>0</v>
      </c>
      <c r="Z33" s="18">
        <v>0</v>
      </c>
      <c r="AA33" s="18">
        <v>0</v>
      </c>
      <c r="AB33" s="18">
        <v>0</v>
      </c>
      <c r="AC33" s="18">
        <v>0</v>
      </c>
      <c r="AD33" s="18">
        <v>0</v>
      </c>
      <c r="AE33" s="18">
        <v>0</v>
      </c>
      <c r="AF33" s="18">
        <v>0</v>
      </c>
      <c r="AG33" s="18">
        <v>0</v>
      </c>
      <c r="AH33" s="18">
        <v>0</v>
      </c>
      <c r="AI33" s="18">
        <v>0</v>
      </c>
      <c r="AJ33" s="18">
        <v>0</v>
      </c>
      <c r="AK33" s="18">
        <v>0</v>
      </c>
      <c r="AL33" s="18">
        <v>0</v>
      </c>
      <c r="AM33" s="18">
        <v>0</v>
      </c>
      <c r="AN33" s="18">
        <v>0</v>
      </c>
      <c r="AO33" s="18">
        <v>0</v>
      </c>
      <c r="AP33" s="18">
        <v>0</v>
      </c>
      <c r="AQ33" s="18">
        <v>0</v>
      </c>
      <c r="AR33" s="18">
        <v>0</v>
      </c>
      <c r="AS33" s="18">
        <v>0</v>
      </c>
      <c r="AT33" s="18">
        <v>0</v>
      </c>
      <c r="AU33" s="18">
        <v>0</v>
      </c>
      <c r="AV33" s="18">
        <v>0</v>
      </c>
      <c r="AW33" s="18">
        <v>0</v>
      </c>
      <c r="AX33" s="18">
        <v>0</v>
      </c>
    </row>
    <row r="34" spans="1:50" x14ac:dyDescent="0.25">
      <c r="A34" s="8" t="s">
        <v>76</v>
      </c>
      <c r="B34" s="10" t="s">
        <v>57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8">
        <v>0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</row>
    <row r="35" spans="1:50" x14ac:dyDescent="0.25">
      <c r="A35" s="16" t="s">
        <v>501</v>
      </c>
      <c r="B35" s="13" t="s">
        <v>464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2.5999999999999999E-3</v>
      </c>
      <c r="K35" s="17">
        <v>3.73E-2</v>
      </c>
      <c r="L35" s="17">
        <v>0.1744</v>
      </c>
      <c r="M35" s="17">
        <v>0.34599999999999997</v>
      </c>
      <c r="N35" s="17">
        <v>0.55640000000000001</v>
      </c>
      <c r="O35" s="17">
        <v>0.78590000000000004</v>
      </c>
      <c r="P35" s="17">
        <v>1.0183</v>
      </c>
      <c r="Q35" s="17">
        <v>1.2495000000000001</v>
      </c>
      <c r="R35" s="17">
        <v>1.4810000000000001</v>
      </c>
      <c r="S35" s="17">
        <v>1.6981999999999999</v>
      </c>
      <c r="T35" s="17">
        <v>1.9025000000000001</v>
      </c>
      <c r="U35" s="17">
        <v>2.0764</v>
      </c>
      <c r="V35" s="17">
        <v>2.2248000000000001</v>
      </c>
      <c r="W35" s="17">
        <v>2.355</v>
      </c>
      <c r="X35" s="17">
        <v>2.4624999999999999</v>
      </c>
      <c r="Y35" s="17">
        <v>2.5387</v>
      </c>
      <c r="Z35" s="17">
        <v>2.5722</v>
      </c>
      <c r="AA35" s="17">
        <v>2.5819000000000001</v>
      </c>
      <c r="AB35" s="17">
        <v>2.5636999999999999</v>
      </c>
      <c r="AC35" s="17">
        <v>2.5028999999999999</v>
      </c>
      <c r="AD35" s="17">
        <v>2.41</v>
      </c>
      <c r="AE35" s="17">
        <v>2.2991000000000001</v>
      </c>
      <c r="AF35" s="17">
        <v>2.1585999999999999</v>
      </c>
      <c r="AG35" s="17">
        <v>2.0093000000000001</v>
      </c>
      <c r="AH35" s="17">
        <v>1.8297000000000001</v>
      </c>
      <c r="AI35" s="17">
        <v>1.6274</v>
      </c>
      <c r="AJ35" s="17">
        <v>1.3831</v>
      </c>
      <c r="AK35" s="17">
        <v>1.1544000000000001</v>
      </c>
      <c r="AL35" s="17">
        <v>0.91949999999999998</v>
      </c>
      <c r="AM35" s="17">
        <v>0.69220000000000004</v>
      </c>
      <c r="AN35" s="17">
        <v>0.47310000000000002</v>
      </c>
      <c r="AO35" s="17">
        <v>0.2762</v>
      </c>
      <c r="AP35" s="17">
        <v>8.0399999999999999E-2</v>
      </c>
      <c r="AQ35" s="17">
        <v>1.4800000000000001E-2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</row>
    <row r="36" spans="1:50" x14ac:dyDescent="0.25">
      <c r="A36" s="16" t="s">
        <v>503</v>
      </c>
      <c r="B36" s="13" t="s">
        <v>464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2.2000000000000001E-3</v>
      </c>
      <c r="K36" s="17">
        <v>3.1099999999999999E-2</v>
      </c>
      <c r="L36" s="17">
        <v>0.1454</v>
      </c>
      <c r="M36" s="17">
        <v>0.2883</v>
      </c>
      <c r="N36" s="17">
        <v>0.4637</v>
      </c>
      <c r="O36" s="17">
        <v>0.65490000000000004</v>
      </c>
      <c r="P36" s="17">
        <v>0.84860000000000002</v>
      </c>
      <c r="Q36" s="17">
        <v>1.0411999999999999</v>
      </c>
      <c r="R36" s="17">
        <v>1.2341</v>
      </c>
      <c r="S36" s="17">
        <v>1.4152</v>
      </c>
      <c r="T36" s="17">
        <v>1.5853999999999999</v>
      </c>
      <c r="U36" s="17">
        <v>1.7303999999999999</v>
      </c>
      <c r="V36" s="17">
        <v>1.8540000000000001</v>
      </c>
      <c r="W36" s="17">
        <v>1.9624999999999999</v>
      </c>
      <c r="X36" s="17">
        <v>2.0520999999999998</v>
      </c>
      <c r="Y36" s="17">
        <v>2.1156000000000001</v>
      </c>
      <c r="Z36" s="17">
        <v>2.1435</v>
      </c>
      <c r="AA36" s="17">
        <v>2.1516000000000002</v>
      </c>
      <c r="AB36" s="17">
        <v>2.1364999999999998</v>
      </c>
      <c r="AC36" s="17">
        <v>2.0857000000000001</v>
      </c>
      <c r="AD36" s="17">
        <v>2.0083000000000002</v>
      </c>
      <c r="AE36" s="17">
        <v>1.9158999999999999</v>
      </c>
      <c r="AF36" s="17">
        <v>1.7988999999999999</v>
      </c>
      <c r="AG36" s="17">
        <v>1.6745000000000001</v>
      </c>
      <c r="AH36" s="17">
        <v>1.5246999999999999</v>
      </c>
      <c r="AI36" s="17">
        <v>1.3561000000000001</v>
      </c>
      <c r="AJ36" s="17">
        <v>1.1525000000000001</v>
      </c>
      <c r="AK36" s="17">
        <v>0.96199999999999997</v>
      </c>
      <c r="AL36" s="17">
        <v>0.76619999999999999</v>
      </c>
      <c r="AM36" s="17">
        <v>0.57679999999999998</v>
      </c>
      <c r="AN36" s="17">
        <v>0.39419999999999999</v>
      </c>
      <c r="AO36" s="17">
        <v>0.23019999999999999</v>
      </c>
      <c r="AP36" s="17">
        <v>6.7000000000000004E-2</v>
      </c>
      <c r="AQ36" s="17">
        <v>1.24E-2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</row>
    <row r="37" spans="1:50" x14ac:dyDescent="0.25">
      <c r="A37" s="8" t="s">
        <v>78</v>
      </c>
      <c r="B37" s="10" t="s">
        <v>57</v>
      </c>
      <c r="C37" s="18">
        <v>0</v>
      </c>
      <c r="D37" s="18">
        <v>0</v>
      </c>
      <c r="E37" s="18">
        <v>0</v>
      </c>
      <c r="F37" s="18">
        <v>0</v>
      </c>
      <c r="G37" s="18">
        <v>0</v>
      </c>
      <c r="H37" s="18">
        <v>0</v>
      </c>
      <c r="I37" s="18">
        <v>0</v>
      </c>
      <c r="J37" s="18">
        <v>0</v>
      </c>
      <c r="K37" s="18">
        <v>0</v>
      </c>
      <c r="L37" s="18">
        <v>0</v>
      </c>
      <c r="M37" s="18">
        <v>0</v>
      </c>
      <c r="N37" s="18">
        <v>0</v>
      </c>
      <c r="O37" s="18">
        <v>0</v>
      </c>
      <c r="P37" s="18">
        <v>0</v>
      </c>
      <c r="Q37" s="18">
        <v>0</v>
      </c>
      <c r="R37" s="18">
        <v>0</v>
      </c>
      <c r="S37" s="18">
        <v>0</v>
      </c>
      <c r="T37" s="18">
        <v>0</v>
      </c>
      <c r="U37" s="18">
        <v>0</v>
      </c>
      <c r="V37" s="18">
        <v>0</v>
      </c>
      <c r="W37" s="18">
        <v>0</v>
      </c>
      <c r="X37" s="18">
        <v>0</v>
      </c>
      <c r="Y37" s="18">
        <v>0</v>
      </c>
      <c r="Z37" s="18">
        <v>0</v>
      </c>
      <c r="AA37" s="18">
        <v>0</v>
      </c>
      <c r="AB37" s="18">
        <v>0</v>
      </c>
      <c r="AC37" s="18">
        <v>0</v>
      </c>
      <c r="AD37" s="18">
        <v>0</v>
      </c>
      <c r="AE37" s="18">
        <v>0</v>
      </c>
      <c r="AF37" s="18">
        <v>0</v>
      </c>
      <c r="AG37" s="18">
        <v>0</v>
      </c>
      <c r="AH37" s="18">
        <v>0</v>
      </c>
      <c r="AI37" s="18">
        <v>0</v>
      </c>
      <c r="AJ37" s="18">
        <v>0</v>
      </c>
      <c r="AK37" s="18">
        <v>0</v>
      </c>
      <c r="AL37" s="18">
        <v>0</v>
      </c>
      <c r="AM37" s="18">
        <v>0</v>
      </c>
      <c r="AN37" s="18">
        <v>0</v>
      </c>
      <c r="AO37" s="18">
        <v>0</v>
      </c>
      <c r="AP37" s="18">
        <v>0</v>
      </c>
      <c r="AQ37" s="18">
        <v>0</v>
      </c>
      <c r="AR37" s="18">
        <v>0</v>
      </c>
      <c r="AS37" s="18">
        <v>0</v>
      </c>
      <c r="AT37" s="18">
        <v>0</v>
      </c>
      <c r="AU37" s="18">
        <v>0</v>
      </c>
      <c r="AV37" s="18">
        <v>0</v>
      </c>
      <c r="AW37" s="18">
        <v>0</v>
      </c>
      <c r="AX37" s="18">
        <v>0</v>
      </c>
    </row>
    <row r="38" spans="1:50" x14ac:dyDescent="0.25">
      <c r="A38" s="8" t="s">
        <v>80</v>
      </c>
      <c r="B38" s="10" t="s">
        <v>57</v>
      </c>
      <c r="C38" s="18">
        <v>0</v>
      </c>
      <c r="D38" s="18">
        <v>0</v>
      </c>
      <c r="E38" s="18">
        <v>0</v>
      </c>
      <c r="F38" s="18">
        <v>0</v>
      </c>
      <c r="G38" s="18">
        <v>0</v>
      </c>
      <c r="H38" s="18">
        <v>0</v>
      </c>
      <c r="I38" s="18">
        <v>0</v>
      </c>
      <c r="J38" s="18">
        <v>0</v>
      </c>
      <c r="K38" s="18">
        <v>0</v>
      </c>
      <c r="L38" s="18">
        <v>0</v>
      </c>
      <c r="M38" s="18">
        <v>0</v>
      </c>
      <c r="N38" s="18">
        <v>0</v>
      </c>
      <c r="O38" s="18">
        <v>0</v>
      </c>
      <c r="P38" s="18">
        <v>0</v>
      </c>
      <c r="Q38" s="18">
        <v>0</v>
      </c>
      <c r="R38" s="18">
        <v>0</v>
      </c>
      <c r="S38" s="18">
        <v>0</v>
      </c>
      <c r="T38" s="18">
        <v>0</v>
      </c>
      <c r="U38" s="18">
        <v>0</v>
      </c>
      <c r="V38" s="18">
        <v>0</v>
      </c>
      <c r="W38" s="18">
        <v>0</v>
      </c>
      <c r="X38" s="18">
        <v>0</v>
      </c>
      <c r="Y38" s="18">
        <v>0</v>
      </c>
      <c r="Z38" s="18">
        <v>0</v>
      </c>
      <c r="AA38" s="18">
        <v>0</v>
      </c>
      <c r="AB38" s="18">
        <v>0</v>
      </c>
      <c r="AC38" s="18">
        <v>0</v>
      </c>
      <c r="AD38" s="18">
        <v>0</v>
      </c>
      <c r="AE38" s="18">
        <v>0</v>
      </c>
      <c r="AF38" s="18">
        <v>0</v>
      </c>
      <c r="AG38" s="18">
        <v>0</v>
      </c>
      <c r="AH38" s="18">
        <v>0</v>
      </c>
      <c r="AI38" s="18">
        <v>0</v>
      </c>
      <c r="AJ38" s="18">
        <v>0</v>
      </c>
      <c r="AK38" s="18">
        <v>0</v>
      </c>
      <c r="AL38" s="18">
        <v>0</v>
      </c>
      <c r="AM38" s="18">
        <v>0</v>
      </c>
      <c r="AN38" s="18">
        <v>0</v>
      </c>
      <c r="AO38" s="18">
        <v>0</v>
      </c>
      <c r="AP38" s="18">
        <v>0</v>
      </c>
      <c r="AQ38" s="18">
        <v>0</v>
      </c>
      <c r="AR38" s="18">
        <v>0</v>
      </c>
      <c r="AS38" s="18">
        <v>0</v>
      </c>
      <c r="AT38" s="18">
        <v>0</v>
      </c>
      <c r="AU38" s="18">
        <v>0</v>
      </c>
      <c r="AV38" s="18">
        <v>0</v>
      </c>
      <c r="AW38" s="18">
        <v>0</v>
      </c>
      <c r="AX38" s="18">
        <v>0</v>
      </c>
    </row>
    <row r="39" spans="1:50" x14ac:dyDescent="0.25">
      <c r="A39" s="8" t="s">
        <v>82</v>
      </c>
      <c r="B39" s="10" t="s">
        <v>57</v>
      </c>
      <c r="C39" s="18">
        <v>0</v>
      </c>
      <c r="D39" s="18">
        <v>0</v>
      </c>
      <c r="E39" s="18">
        <v>0</v>
      </c>
      <c r="F39" s="18">
        <v>0</v>
      </c>
      <c r="G39" s="18">
        <v>0</v>
      </c>
      <c r="H39" s="18">
        <v>0</v>
      </c>
      <c r="I39" s="18">
        <v>0</v>
      </c>
      <c r="J39" s="18">
        <v>0</v>
      </c>
      <c r="K39" s="18">
        <v>0</v>
      </c>
      <c r="L39" s="18">
        <v>0</v>
      </c>
      <c r="M39" s="18">
        <v>0</v>
      </c>
      <c r="N39" s="18">
        <v>0</v>
      </c>
      <c r="O39" s="18">
        <v>0</v>
      </c>
      <c r="P39" s="18">
        <v>0</v>
      </c>
      <c r="Q39" s="18">
        <v>0</v>
      </c>
      <c r="R39" s="18">
        <v>0</v>
      </c>
      <c r="S39" s="18">
        <v>0</v>
      </c>
      <c r="T39" s="18">
        <v>0</v>
      </c>
      <c r="U39" s="18">
        <v>0</v>
      </c>
      <c r="V39" s="18">
        <v>0</v>
      </c>
      <c r="W39" s="18">
        <v>0</v>
      </c>
      <c r="X39" s="18">
        <v>0</v>
      </c>
      <c r="Y39" s="18">
        <v>0</v>
      </c>
      <c r="Z39" s="18">
        <v>0</v>
      </c>
      <c r="AA39" s="18">
        <v>0</v>
      </c>
      <c r="AB39" s="18">
        <v>0</v>
      </c>
      <c r="AC39" s="18">
        <v>0</v>
      </c>
      <c r="AD39" s="18">
        <v>0</v>
      </c>
      <c r="AE39" s="18">
        <v>0</v>
      </c>
      <c r="AF39" s="18">
        <v>0</v>
      </c>
      <c r="AG39" s="18">
        <v>0</v>
      </c>
      <c r="AH39" s="18">
        <v>0</v>
      </c>
      <c r="AI39" s="18">
        <v>0</v>
      </c>
      <c r="AJ39" s="18">
        <v>0</v>
      </c>
      <c r="AK39" s="18">
        <v>0</v>
      </c>
      <c r="AL39" s="18">
        <v>0</v>
      </c>
      <c r="AM39" s="18">
        <v>0</v>
      </c>
      <c r="AN39" s="18">
        <v>0</v>
      </c>
      <c r="AO39" s="18">
        <v>0</v>
      </c>
      <c r="AP39" s="18">
        <v>0</v>
      </c>
      <c r="AQ39" s="18">
        <v>0</v>
      </c>
      <c r="AR39" s="18">
        <v>0</v>
      </c>
      <c r="AS39" s="18">
        <v>0</v>
      </c>
      <c r="AT39" s="18">
        <v>0</v>
      </c>
      <c r="AU39" s="18">
        <v>0</v>
      </c>
      <c r="AV39" s="18">
        <v>0</v>
      </c>
      <c r="AW39" s="18">
        <v>0</v>
      </c>
      <c r="AX39" s="18">
        <v>0</v>
      </c>
    </row>
    <row r="40" spans="1:50" x14ac:dyDescent="0.25">
      <c r="A40" s="8" t="s">
        <v>84</v>
      </c>
      <c r="B40" s="10" t="s">
        <v>57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8">
        <v>0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</row>
    <row r="41" spans="1:50" x14ac:dyDescent="0.25">
      <c r="A41" s="16" t="s">
        <v>505</v>
      </c>
      <c r="B41" s="13" t="s">
        <v>464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1.6999999999999999E-3</v>
      </c>
      <c r="K41" s="17">
        <v>2.4899999999999999E-2</v>
      </c>
      <c r="L41" s="17">
        <v>0.1163</v>
      </c>
      <c r="M41" s="17">
        <v>0.23069999999999999</v>
      </c>
      <c r="N41" s="17">
        <v>0.37090000000000001</v>
      </c>
      <c r="O41" s="17">
        <v>0.52400000000000002</v>
      </c>
      <c r="P41" s="17">
        <v>0.67889999999999995</v>
      </c>
      <c r="Q41" s="17">
        <v>0.83299999999999996</v>
      </c>
      <c r="R41" s="17">
        <v>0.98729999999999996</v>
      </c>
      <c r="S41" s="17">
        <v>1.1322000000000001</v>
      </c>
      <c r="T41" s="17">
        <v>1.2683</v>
      </c>
      <c r="U41" s="17">
        <v>1.3843000000000001</v>
      </c>
      <c r="V41" s="17">
        <v>1.4832000000000001</v>
      </c>
      <c r="W41" s="17">
        <v>1.57</v>
      </c>
      <c r="X41" s="17">
        <v>1.6416999999999999</v>
      </c>
      <c r="Y41" s="17">
        <v>1.6924999999999999</v>
      </c>
      <c r="Z41" s="17">
        <v>1.7148000000000001</v>
      </c>
      <c r="AA41" s="17">
        <v>1.7212000000000001</v>
      </c>
      <c r="AB41" s="17">
        <v>1.7092000000000001</v>
      </c>
      <c r="AC41" s="17">
        <v>1.6686000000000001</v>
      </c>
      <c r="AD41" s="17">
        <v>1.6067</v>
      </c>
      <c r="AE41" s="17">
        <v>1.5327999999999999</v>
      </c>
      <c r="AF41" s="17">
        <v>1.4391</v>
      </c>
      <c r="AG41" s="17">
        <v>1.3395999999999999</v>
      </c>
      <c r="AH41" s="17">
        <v>1.2198</v>
      </c>
      <c r="AI41" s="17">
        <v>1.0849</v>
      </c>
      <c r="AJ41" s="17">
        <v>0.92200000000000004</v>
      </c>
      <c r="AK41" s="17">
        <v>0.76959999999999995</v>
      </c>
      <c r="AL41" s="17">
        <v>0.61299999999999999</v>
      </c>
      <c r="AM41" s="17">
        <v>0.46150000000000002</v>
      </c>
      <c r="AN41" s="17">
        <v>0.31540000000000001</v>
      </c>
      <c r="AO41" s="17">
        <v>0.1842</v>
      </c>
      <c r="AP41" s="17">
        <v>5.3600000000000002E-2</v>
      </c>
      <c r="AQ41" s="17">
        <v>9.9000000000000008E-3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</row>
    <row r="42" spans="1:50" x14ac:dyDescent="0.25">
      <c r="A42" s="8" t="s">
        <v>86</v>
      </c>
      <c r="B42" s="10" t="s">
        <v>57</v>
      </c>
      <c r="C42" s="18">
        <v>0</v>
      </c>
      <c r="D42" s="18">
        <v>0</v>
      </c>
      <c r="E42" s="18">
        <v>0</v>
      </c>
      <c r="F42" s="18">
        <v>0</v>
      </c>
      <c r="G42" s="18">
        <v>0</v>
      </c>
      <c r="H42" s="18">
        <v>0</v>
      </c>
      <c r="I42" s="18">
        <v>0</v>
      </c>
      <c r="J42" s="18">
        <v>0</v>
      </c>
      <c r="K42" s="18">
        <v>0</v>
      </c>
      <c r="L42" s="18">
        <v>0</v>
      </c>
      <c r="M42" s="18">
        <v>0</v>
      </c>
      <c r="N42" s="18">
        <v>0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18">
        <v>0</v>
      </c>
      <c r="V42" s="18">
        <v>0</v>
      </c>
      <c r="W42" s="18">
        <v>0</v>
      </c>
      <c r="X42" s="18">
        <v>0</v>
      </c>
      <c r="Y42" s="18">
        <v>0</v>
      </c>
      <c r="Z42" s="18">
        <v>0</v>
      </c>
      <c r="AA42" s="18">
        <v>0</v>
      </c>
      <c r="AB42" s="18">
        <v>0</v>
      </c>
      <c r="AC42" s="18">
        <v>0</v>
      </c>
      <c r="AD42" s="18">
        <v>0</v>
      </c>
      <c r="AE42" s="18">
        <v>0</v>
      </c>
      <c r="AF42" s="18">
        <v>0</v>
      </c>
      <c r="AG42" s="18">
        <v>0</v>
      </c>
      <c r="AH42" s="18">
        <v>0</v>
      </c>
      <c r="AI42" s="18">
        <v>0</v>
      </c>
      <c r="AJ42" s="18">
        <v>0</v>
      </c>
      <c r="AK42" s="18">
        <v>0</v>
      </c>
      <c r="AL42" s="18">
        <v>0</v>
      </c>
      <c r="AM42" s="18">
        <v>0</v>
      </c>
      <c r="AN42" s="18">
        <v>0</v>
      </c>
      <c r="AO42" s="18">
        <v>0</v>
      </c>
      <c r="AP42" s="18">
        <v>0</v>
      </c>
      <c r="AQ42" s="18">
        <v>0</v>
      </c>
      <c r="AR42" s="18">
        <v>0</v>
      </c>
      <c r="AS42" s="18">
        <v>0</v>
      </c>
      <c r="AT42" s="18">
        <v>0</v>
      </c>
      <c r="AU42" s="18">
        <v>0</v>
      </c>
      <c r="AV42" s="18">
        <v>0</v>
      </c>
      <c r="AW42" s="18">
        <v>0</v>
      </c>
      <c r="AX42" s="18">
        <v>0</v>
      </c>
    </row>
    <row r="43" spans="1:50" x14ac:dyDescent="0.25">
      <c r="A43" s="8" t="s">
        <v>88</v>
      </c>
      <c r="B43" s="10" t="s">
        <v>57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8">
        <v>0</v>
      </c>
      <c r="X43" s="18">
        <v>0</v>
      </c>
      <c r="Y43" s="18">
        <v>0</v>
      </c>
      <c r="Z43" s="18">
        <v>0</v>
      </c>
      <c r="AA43" s="18">
        <v>0</v>
      </c>
      <c r="AB43" s="18">
        <v>0</v>
      </c>
      <c r="AC43" s="18">
        <v>0</v>
      </c>
      <c r="AD43" s="18">
        <v>0</v>
      </c>
      <c r="AE43" s="18">
        <v>0</v>
      </c>
      <c r="AF43" s="18">
        <v>0</v>
      </c>
      <c r="AG43" s="18">
        <v>0</v>
      </c>
      <c r="AH43" s="18">
        <v>0</v>
      </c>
      <c r="AI43" s="18">
        <v>0</v>
      </c>
      <c r="AJ43" s="18">
        <v>0</v>
      </c>
      <c r="AK43" s="18">
        <v>0</v>
      </c>
      <c r="AL43" s="18">
        <v>0</v>
      </c>
      <c r="AM43" s="18">
        <v>0</v>
      </c>
      <c r="AN43" s="18">
        <v>0</v>
      </c>
      <c r="AO43" s="18">
        <v>0</v>
      </c>
      <c r="AP43" s="18">
        <v>0</v>
      </c>
      <c r="AQ43" s="18">
        <v>0</v>
      </c>
      <c r="AR43" s="18">
        <v>0</v>
      </c>
      <c r="AS43" s="18">
        <v>0</v>
      </c>
      <c r="AT43" s="18">
        <v>0</v>
      </c>
      <c r="AU43" s="18">
        <v>0</v>
      </c>
      <c r="AV43" s="18">
        <v>0</v>
      </c>
      <c r="AW43" s="18">
        <v>0</v>
      </c>
      <c r="AX43" s="18">
        <v>0</v>
      </c>
    </row>
    <row r="44" spans="1:50" x14ac:dyDescent="0.25">
      <c r="A44" s="16" t="s">
        <v>507</v>
      </c>
      <c r="B44" s="13" t="s">
        <v>464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2.5999999999999999E-3</v>
      </c>
      <c r="K44" s="17">
        <v>3.73E-2</v>
      </c>
      <c r="L44" s="17">
        <v>0.1744</v>
      </c>
      <c r="M44" s="17">
        <v>0.34599999999999997</v>
      </c>
      <c r="N44" s="17">
        <v>0.55640000000000001</v>
      </c>
      <c r="O44" s="17">
        <v>0.78590000000000004</v>
      </c>
      <c r="P44" s="17">
        <v>1.0183</v>
      </c>
      <c r="Q44" s="17">
        <v>1.2495000000000001</v>
      </c>
      <c r="R44" s="17">
        <v>1.4810000000000001</v>
      </c>
      <c r="S44" s="17">
        <v>1.6981999999999999</v>
      </c>
      <c r="T44" s="17">
        <v>1.9025000000000001</v>
      </c>
      <c r="U44" s="17">
        <v>2.0764</v>
      </c>
      <c r="V44" s="17">
        <v>2.2248000000000001</v>
      </c>
      <c r="W44" s="17">
        <v>2.355</v>
      </c>
      <c r="X44" s="17">
        <v>2.4624999999999999</v>
      </c>
      <c r="Y44" s="17">
        <v>2.5387</v>
      </c>
      <c r="Z44" s="17">
        <v>2.5722</v>
      </c>
      <c r="AA44" s="17">
        <v>2.5819000000000001</v>
      </c>
      <c r="AB44" s="17">
        <v>2.5636999999999999</v>
      </c>
      <c r="AC44" s="17">
        <v>2.5028999999999999</v>
      </c>
      <c r="AD44" s="17">
        <v>2.41</v>
      </c>
      <c r="AE44" s="17">
        <v>2.2991000000000001</v>
      </c>
      <c r="AF44" s="17">
        <v>2.1585999999999999</v>
      </c>
      <c r="AG44" s="17">
        <v>2.0093000000000001</v>
      </c>
      <c r="AH44" s="17">
        <v>1.8297000000000001</v>
      </c>
      <c r="AI44" s="17">
        <v>1.6274</v>
      </c>
      <c r="AJ44" s="17">
        <v>1.3831</v>
      </c>
      <c r="AK44" s="17">
        <v>1.1544000000000001</v>
      </c>
      <c r="AL44" s="17">
        <v>0.91949999999999998</v>
      </c>
      <c r="AM44" s="17">
        <v>0.69220000000000004</v>
      </c>
      <c r="AN44" s="17">
        <v>0.47310000000000002</v>
      </c>
      <c r="AO44" s="17">
        <v>0.2762</v>
      </c>
      <c r="AP44" s="17">
        <v>8.0399999999999999E-2</v>
      </c>
      <c r="AQ44" s="17">
        <v>1.4800000000000001E-2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</row>
    <row r="45" spans="1:50" x14ac:dyDescent="0.25">
      <c r="A45" s="16" t="s">
        <v>509</v>
      </c>
      <c r="B45" s="13" t="s">
        <v>464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3.0000000000000001E-3</v>
      </c>
      <c r="K45" s="17">
        <v>4.3499999999999997E-2</v>
      </c>
      <c r="L45" s="17">
        <v>0.20349999999999999</v>
      </c>
      <c r="M45" s="17">
        <v>0.4037</v>
      </c>
      <c r="N45" s="17">
        <v>0.64910000000000001</v>
      </c>
      <c r="O45" s="17">
        <v>0.91690000000000005</v>
      </c>
      <c r="P45" s="17">
        <v>1.1879999999999999</v>
      </c>
      <c r="Q45" s="17">
        <v>1.4577</v>
      </c>
      <c r="R45" s="17">
        <v>1.7278</v>
      </c>
      <c r="S45" s="17">
        <v>1.9813000000000001</v>
      </c>
      <c r="T45" s="17">
        <v>2.2195999999999998</v>
      </c>
      <c r="U45" s="17">
        <v>2.4224999999999999</v>
      </c>
      <c r="V45" s="17">
        <v>2.5956000000000001</v>
      </c>
      <c r="W45" s="17">
        <v>2.7475000000000001</v>
      </c>
      <c r="X45" s="17">
        <v>2.8729</v>
      </c>
      <c r="Y45" s="17">
        <v>2.9619</v>
      </c>
      <c r="Z45" s="17">
        <v>3.0009000000000001</v>
      </c>
      <c r="AA45" s="17">
        <v>3.0122</v>
      </c>
      <c r="AB45" s="17">
        <v>2.9910000000000001</v>
      </c>
      <c r="AC45" s="17">
        <v>2.92</v>
      </c>
      <c r="AD45" s="17">
        <v>2.8117000000000001</v>
      </c>
      <c r="AE45" s="17">
        <v>2.6823000000000001</v>
      </c>
      <c r="AF45" s="17">
        <v>2.5184000000000002</v>
      </c>
      <c r="AG45" s="17">
        <v>2.3441999999999998</v>
      </c>
      <c r="AH45" s="17">
        <v>2.1345999999999998</v>
      </c>
      <c r="AI45" s="17">
        <v>1.8986000000000001</v>
      </c>
      <c r="AJ45" s="17">
        <v>1.6135999999999999</v>
      </c>
      <c r="AK45" s="17">
        <v>1.3468</v>
      </c>
      <c r="AL45" s="17">
        <v>1.0727</v>
      </c>
      <c r="AM45" s="17">
        <v>0.80759999999999998</v>
      </c>
      <c r="AN45" s="17">
        <v>0.55189999999999995</v>
      </c>
      <c r="AO45" s="17">
        <v>0.32229999999999998</v>
      </c>
      <c r="AP45" s="17">
        <v>9.3799999999999994E-2</v>
      </c>
      <c r="AQ45" s="17">
        <v>1.7299999999999999E-2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</row>
    <row r="46" spans="1:50" x14ac:dyDescent="0.25">
      <c r="A46" s="16" t="s">
        <v>511</v>
      </c>
      <c r="B46" s="13" t="s">
        <v>464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3.0000000000000001E-3</v>
      </c>
      <c r="K46" s="17">
        <v>4.3499999999999997E-2</v>
      </c>
      <c r="L46" s="17">
        <v>0.20349999999999999</v>
      </c>
      <c r="M46" s="17">
        <v>0.4037</v>
      </c>
      <c r="N46" s="17">
        <v>0.64910000000000001</v>
      </c>
      <c r="O46" s="17">
        <v>0.91690000000000005</v>
      </c>
      <c r="P46" s="17">
        <v>1.1879999999999999</v>
      </c>
      <c r="Q46" s="17">
        <v>1.4577</v>
      </c>
      <c r="R46" s="17">
        <v>1.7278</v>
      </c>
      <c r="S46" s="17">
        <v>1.9813000000000001</v>
      </c>
      <c r="T46" s="17">
        <v>2.2195999999999998</v>
      </c>
      <c r="U46" s="17">
        <v>2.4224999999999999</v>
      </c>
      <c r="V46" s="17">
        <v>2.5956000000000001</v>
      </c>
      <c r="W46" s="17">
        <v>2.7475000000000001</v>
      </c>
      <c r="X46" s="17">
        <v>2.8729</v>
      </c>
      <c r="Y46" s="17">
        <v>2.9619</v>
      </c>
      <c r="Z46" s="17">
        <v>3.0009000000000001</v>
      </c>
      <c r="AA46" s="17">
        <v>3.0122</v>
      </c>
      <c r="AB46" s="17">
        <v>2.9910000000000001</v>
      </c>
      <c r="AC46" s="17">
        <v>2.92</v>
      </c>
      <c r="AD46" s="17">
        <v>2.8117000000000001</v>
      </c>
      <c r="AE46" s="17">
        <v>2.6823000000000001</v>
      </c>
      <c r="AF46" s="17">
        <v>2.5184000000000002</v>
      </c>
      <c r="AG46" s="17">
        <v>2.3441999999999998</v>
      </c>
      <c r="AH46" s="17">
        <v>2.1345999999999998</v>
      </c>
      <c r="AI46" s="17">
        <v>1.8986000000000001</v>
      </c>
      <c r="AJ46" s="17">
        <v>1.6135999999999999</v>
      </c>
      <c r="AK46" s="17">
        <v>1.3468</v>
      </c>
      <c r="AL46" s="17">
        <v>1.0727</v>
      </c>
      <c r="AM46" s="17">
        <v>0.80759999999999998</v>
      </c>
      <c r="AN46" s="17">
        <v>0.55189999999999995</v>
      </c>
      <c r="AO46" s="17">
        <v>0.32229999999999998</v>
      </c>
      <c r="AP46" s="17">
        <v>9.3799999999999994E-2</v>
      </c>
      <c r="AQ46" s="17">
        <v>1.7299999999999999E-2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</row>
    <row r="47" spans="1:50" x14ac:dyDescent="0.25">
      <c r="A47" s="16" t="s">
        <v>513</v>
      </c>
      <c r="B47" s="13" t="s">
        <v>464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1.2999999999999999E-3</v>
      </c>
      <c r="K47" s="17">
        <v>1.8700000000000001E-2</v>
      </c>
      <c r="L47" s="17">
        <v>8.72E-2</v>
      </c>
      <c r="M47" s="17">
        <v>0.17299999999999999</v>
      </c>
      <c r="N47" s="17">
        <v>0.2782</v>
      </c>
      <c r="O47" s="17">
        <v>0.39300000000000002</v>
      </c>
      <c r="P47" s="17">
        <v>0.50919999999999999</v>
      </c>
      <c r="Q47" s="17">
        <v>0.62470000000000003</v>
      </c>
      <c r="R47" s="17">
        <v>0.74050000000000005</v>
      </c>
      <c r="S47" s="17">
        <v>0.84909999999999997</v>
      </c>
      <c r="T47" s="17">
        <v>0.95120000000000005</v>
      </c>
      <c r="U47" s="17">
        <v>1.0382</v>
      </c>
      <c r="V47" s="17">
        <v>1.1124000000000001</v>
      </c>
      <c r="W47" s="17">
        <v>1.1775</v>
      </c>
      <c r="X47" s="17">
        <v>1.2312000000000001</v>
      </c>
      <c r="Y47" s="17">
        <v>1.2694000000000001</v>
      </c>
      <c r="Z47" s="17">
        <v>1.2861</v>
      </c>
      <c r="AA47" s="17">
        <v>1.2908999999999999</v>
      </c>
      <c r="AB47" s="17">
        <v>1.2819</v>
      </c>
      <c r="AC47" s="17">
        <v>1.2514000000000001</v>
      </c>
      <c r="AD47" s="17">
        <v>1.2050000000000001</v>
      </c>
      <c r="AE47" s="17">
        <v>1.1496</v>
      </c>
      <c r="AF47" s="17">
        <v>1.0792999999999999</v>
      </c>
      <c r="AG47" s="17">
        <v>1.0046999999999999</v>
      </c>
      <c r="AH47" s="17">
        <v>0.91479999999999995</v>
      </c>
      <c r="AI47" s="17">
        <v>0.81369999999999998</v>
      </c>
      <c r="AJ47" s="17">
        <v>0.6915</v>
      </c>
      <c r="AK47" s="17">
        <v>0.57720000000000005</v>
      </c>
      <c r="AL47" s="17">
        <v>0.4597</v>
      </c>
      <c r="AM47" s="17">
        <v>0.34610000000000002</v>
      </c>
      <c r="AN47" s="17">
        <v>0.23649999999999999</v>
      </c>
      <c r="AO47" s="17">
        <v>0.1381</v>
      </c>
      <c r="AP47" s="17">
        <v>4.02E-2</v>
      </c>
      <c r="AQ47" s="17">
        <v>7.4000000000000003E-3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</row>
    <row r="48" spans="1:50" x14ac:dyDescent="0.25">
      <c r="A48" s="8" t="s">
        <v>90</v>
      </c>
      <c r="B48" s="10" t="s">
        <v>57</v>
      </c>
      <c r="C48" s="18">
        <v>0</v>
      </c>
      <c r="D48" s="18">
        <v>0</v>
      </c>
      <c r="E48" s="18">
        <v>0</v>
      </c>
      <c r="F48" s="18">
        <v>0</v>
      </c>
      <c r="G48" s="18">
        <v>0</v>
      </c>
      <c r="H48" s="18">
        <v>0</v>
      </c>
      <c r="I48" s="18">
        <v>0</v>
      </c>
      <c r="J48" s="18">
        <v>0</v>
      </c>
      <c r="K48" s="18">
        <v>0</v>
      </c>
      <c r="L48" s="18">
        <v>0</v>
      </c>
      <c r="M48" s="18">
        <v>0</v>
      </c>
      <c r="N48" s="18">
        <v>0</v>
      </c>
      <c r="O48" s="18">
        <v>0</v>
      </c>
      <c r="P48" s="18">
        <v>0</v>
      </c>
      <c r="Q48" s="18">
        <v>0</v>
      </c>
      <c r="R48" s="18">
        <v>0</v>
      </c>
      <c r="S48" s="18">
        <v>0</v>
      </c>
      <c r="T48" s="18">
        <v>0</v>
      </c>
      <c r="U48" s="18">
        <v>0</v>
      </c>
      <c r="V48" s="18">
        <v>0</v>
      </c>
      <c r="W48" s="18">
        <v>0</v>
      </c>
      <c r="X48" s="18">
        <v>0</v>
      </c>
      <c r="Y48" s="18">
        <v>0</v>
      </c>
      <c r="Z48" s="18">
        <v>0</v>
      </c>
      <c r="AA48" s="18">
        <v>0</v>
      </c>
      <c r="AB48" s="18">
        <v>0</v>
      </c>
      <c r="AC48" s="18">
        <v>0</v>
      </c>
      <c r="AD48" s="18">
        <v>0</v>
      </c>
      <c r="AE48" s="18">
        <v>0</v>
      </c>
      <c r="AF48" s="18">
        <v>0</v>
      </c>
      <c r="AG48" s="18">
        <v>0</v>
      </c>
      <c r="AH48" s="18">
        <v>0</v>
      </c>
      <c r="AI48" s="18">
        <v>0</v>
      </c>
      <c r="AJ48" s="18">
        <v>0</v>
      </c>
      <c r="AK48" s="18">
        <v>0</v>
      </c>
      <c r="AL48" s="18">
        <v>0</v>
      </c>
      <c r="AM48" s="18">
        <v>0</v>
      </c>
      <c r="AN48" s="18">
        <v>0</v>
      </c>
      <c r="AO48" s="18">
        <v>0</v>
      </c>
      <c r="AP48" s="18">
        <v>0</v>
      </c>
      <c r="AQ48" s="18">
        <v>0</v>
      </c>
      <c r="AR48" s="18">
        <v>0</v>
      </c>
      <c r="AS48" s="18">
        <v>0</v>
      </c>
      <c r="AT48" s="18">
        <v>0</v>
      </c>
      <c r="AU48" s="18">
        <v>0</v>
      </c>
      <c r="AV48" s="18">
        <v>0</v>
      </c>
      <c r="AW48" s="18">
        <v>0</v>
      </c>
      <c r="AX48" s="18">
        <v>0</v>
      </c>
    </row>
    <row r="49" spans="1:50" x14ac:dyDescent="0.25">
      <c r="A49" s="16" t="s">
        <v>515</v>
      </c>
      <c r="B49" s="13" t="s">
        <v>464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2.2000000000000001E-3</v>
      </c>
      <c r="K49" s="17">
        <v>3.1099999999999999E-2</v>
      </c>
      <c r="L49" s="17">
        <v>0.1454</v>
      </c>
      <c r="M49" s="17">
        <v>0.2883</v>
      </c>
      <c r="N49" s="17">
        <v>0.4637</v>
      </c>
      <c r="O49" s="17">
        <v>0.65490000000000004</v>
      </c>
      <c r="P49" s="17">
        <v>0.84860000000000002</v>
      </c>
      <c r="Q49" s="17">
        <v>1.0411999999999999</v>
      </c>
      <c r="R49" s="17">
        <v>1.2341</v>
      </c>
      <c r="S49" s="17">
        <v>1.4152</v>
      </c>
      <c r="T49" s="17">
        <v>1.5853999999999999</v>
      </c>
      <c r="U49" s="17">
        <v>1.7303999999999999</v>
      </c>
      <c r="V49" s="17">
        <v>1.8540000000000001</v>
      </c>
      <c r="W49" s="17">
        <v>1.9624999999999999</v>
      </c>
      <c r="X49" s="17">
        <v>2.0520999999999998</v>
      </c>
      <c r="Y49" s="17">
        <v>2.1156000000000001</v>
      </c>
      <c r="Z49" s="17">
        <v>2.1435</v>
      </c>
      <c r="AA49" s="17">
        <v>2.1516000000000002</v>
      </c>
      <c r="AB49" s="17">
        <v>2.1364999999999998</v>
      </c>
      <c r="AC49" s="17">
        <v>2.0857000000000001</v>
      </c>
      <c r="AD49" s="17">
        <v>2.0083000000000002</v>
      </c>
      <c r="AE49" s="17">
        <v>1.9158999999999999</v>
      </c>
      <c r="AF49" s="17">
        <v>1.7988999999999999</v>
      </c>
      <c r="AG49" s="17">
        <v>1.6745000000000001</v>
      </c>
      <c r="AH49" s="17">
        <v>1.5246999999999999</v>
      </c>
      <c r="AI49" s="17">
        <v>1.3561000000000001</v>
      </c>
      <c r="AJ49" s="17">
        <v>1.1525000000000001</v>
      </c>
      <c r="AK49" s="17">
        <v>0.96199999999999997</v>
      </c>
      <c r="AL49" s="17">
        <v>0.76619999999999999</v>
      </c>
      <c r="AM49" s="17">
        <v>0.57679999999999998</v>
      </c>
      <c r="AN49" s="17">
        <v>0.39419999999999999</v>
      </c>
      <c r="AO49" s="17">
        <v>0.23019999999999999</v>
      </c>
      <c r="AP49" s="17">
        <v>6.7000000000000004E-2</v>
      </c>
      <c r="AQ49" s="17">
        <v>1.24E-2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</row>
    <row r="50" spans="1:50" x14ac:dyDescent="0.25">
      <c r="A50" s="16" t="s">
        <v>517</v>
      </c>
      <c r="B50" s="13" t="s">
        <v>464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1.6999999999999999E-3</v>
      </c>
      <c r="K50" s="17">
        <v>2.4899999999999999E-2</v>
      </c>
      <c r="L50" s="17">
        <v>0.1163</v>
      </c>
      <c r="M50" s="17">
        <v>0.23069999999999999</v>
      </c>
      <c r="N50" s="17">
        <v>0.37090000000000001</v>
      </c>
      <c r="O50" s="17">
        <v>0.52400000000000002</v>
      </c>
      <c r="P50" s="17">
        <v>0.67889999999999995</v>
      </c>
      <c r="Q50" s="17">
        <v>0.83299999999999996</v>
      </c>
      <c r="R50" s="17">
        <v>0.98729999999999996</v>
      </c>
      <c r="S50" s="17">
        <v>1.1322000000000001</v>
      </c>
      <c r="T50" s="17">
        <v>1.2683</v>
      </c>
      <c r="U50" s="17">
        <v>1.3843000000000001</v>
      </c>
      <c r="V50" s="17">
        <v>1.4832000000000001</v>
      </c>
      <c r="W50" s="17">
        <v>1.57</v>
      </c>
      <c r="X50" s="17">
        <v>1.6416999999999999</v>
      </c>
      <c r="Y50" s="17">
        <v>1.6924999999999999</v>
      </c>
      <c r="Z50" s="17">
        <v>1.7148000000000001</v>
      </c>
      <c r="AA50" s="17">
        <v>1.7212000000000001</v>
      </c>
      <c r="AB50" s="17">
        <v>1.7092000000000001</v>
      </c>
      <c r="AC50" s="17">
        <v>1.6686000000000001</v>
      </c>
      <c r="AD50" s="17">
        <v>1.6067</v>
      </c>
      <c r="AE50" s="17">
        <v>1.5327999999999999</v>
      </c>
      <c r="AF50" s="17">
        <v>1.4391</v>
      </c>
      <c r="AG50" s="17">
        <v>1.3395999999999999</v>
      </c>
      <c r="AH50" s="17">
        <v>1.2198</v>
      </c>
      <c r="AI50" s="17">
        <v>1.0849</v>
      </c>
      <c r="AJ50" s="17">
        <v>0.92200000000000004</v>
      </c>
      <c r="AK50" s="17">
        <v>0.76959999999999995</v>
      </c>
      <c r="AL50" s="17">
        <v>0.61299999999999999</v>
      </c>
      <c r="AM50" s="17">
        <v>0.46150000000000002</v>
      </c>
      <c r="AN50" s="17">
        <v>0.31540000000000001</v>
      </c>
      <c r="AO50" s="17">
        <v>0.1842</v>
      </c>
      <c r="AP50" s="17">
        <v>5.3600000000000002E-2</v>
      </c>
      <c r="AQ50" s="17">
        <v>9.9000000000000008E-3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</row>
    <row r="51" spans="1:50" x14ac:dyDescent="0.25">
      <c r="A51" s="16" t="s">
        <v>519</v>
      </c>
      <c r="B51" s="13" t="s">
        <v>464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3.3999999999999998E-3</v>
      </c>
      <c r="K51" s="17">
        <v>4.9700000000000001E-2</v>
      </c>
      <c r="L51" s="17">
        <v>0.2326</v>
      </c>
      <c r="M51" s="17">
        <v>0.46129999999999999</v>
      </c>
      <c r="N51" s="17">
        <v>0.7419</v>
      </c>
      <c r="O51" s="17">
        <v>1.0479000000000001</v>
      </c>
      <c r="P51" s="17">
        <v>1.3576999999999999</v>
      </c>
      <c r="Q51" s="17">
        <v>1.6659999999999999</v>
      </c>
      <c r="R51" s="17">
        <v>1.9745999999999999</v>
      </c>
      <c r="S51" s="17">
        <v>2.2643</v>
      </c>
      <c r="T51" s="17">
        <v>2.5367000000000002</v>
      </c>
      <c r="U51" s="17">
        <v>2.7686000000000002</v>
      </c>
      <c r="V51" s="17">
        <v>2.9664000000000001</v>
      </c>
      <c r="W51" s="17">
        <v>3.14</v>
      </c>
      <c r="X51" s="17">
        <v>3.2833000000000001</v>
      </c>
      <c r="Y51" s="17">
        <v>3.3849999999999998</v>
      </c>
      <c r="Z51" s="17">
        <v>3.4296000000000002</v>
      </c>
      <c r="AA51" s="17">
        <v>3.4424999999999999</v>
      </c>
      <c r="AB51" s="17">
        <v>3.4182999999999999</v>
      </c>
      <c r="AC51" s="17">
        <v>3.3372000000000002</v>
      </c>
      <c r="AD51" s="17">
        <v>3.2132999999999998</v>
      </c>
      <c r="AE51" s="17">
        <v>3.0655000000000001</v>
      </c>
      <c r="AF51" s="17">
        <v>2.8782000000000001</v>
      </c>
      <c r="AG51" s="17">
        <v>2.6791</v>
      </c>
      <c r="AH51" s="17">
        <v>2.4396</v>
      </c>
      <c r="AI51" s="17">
        <v>2.1698</v>
      </c>
      <c r="AJ51" s="17">
        <v>1.8441000000000001</v>
      </c>
      <c r="AK51" s="17">
        <v>1.5391999999999999</v>
      </c>
      <c r="AL51" s="17">
        <v>1.2259</v>
      </c>
      <c r="AM51" s="17">
        <v>0.92290000000000005</v>
      </c>
      <c r="AN51" s="17">
        <v>0.63080000000000003</v>
      </c>
      <c r="AO51" s="17">
        <v>0.36830000000000002</v>
      </c>
      <c r="AP51" s="17">
        <v>0.1072</v>
      </c>
      <c r="AQ51" s="17">
        <v>1.9800000000000002E-2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</row>
    <row r="52" spans="1:50" x14ac:dyDescent="0.25">
      <c r="A52" s="8" t="s">
        <v>92</v>
      </c>
      <c r="B52" s="10" t="s">
        <v>57</v>
      </c>
      <c r="C52" s="18">
        <v>0</v>
      </c>
      <c r="D52" s="18">
        <v>0</v>
      </c>
      <c r="E52" s="18">
        <v>0</v>
      </c>
      <c r="F52" s="18">
        <v>0</v>
      </c>
      <c r="G52" s="18">
        <v>0</v>
      </c>
      <c r="H52" s="18">
        <v>0</v>
      </c>
      <c r="I52" s="18">
        <v>0</v>
      </c>
      <c r="J52" s="18">
        <v>0</v>
      </c>
      <c r="K52" s="18">
        <v>0</v>
      </c>
      <c r="L52" s="18">
        <v>0</v>
      </c>
      <c r="M52" s="18">
        <v>0</v>
      </c>
      <c r="N52" s="18">
        <v>0</v>
      </c>
      <c r="O52" s="18">
        <v>0</v>
      </c>
      <c r="P52" s="18">
        <v>0</v>
      </c>
      <c r="Q52" s="18">
        <v>0</v>
      </c>
      <c r="R52" s="18">
        <v>0</v>
      </c>
      <c r="S52" s="18">
        <v>0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8">
        <v>0</v>
      </c>
      <c r="Z52" s="18">
        <v>0</v>
      </c>
      <c r="AA52" s="18">
        <v>0</v>
      </c>
      <c r="AB52" s="18">
        <v>0</v>
      </c>
      <c r="AC52" s="18">
        <v>0</v>
      </c>
      <c r="AD52" s="18">
        <v>0</v>
      </c>
      <c r="AE52" s="18">
        <v>0</v>
      </c>
      <c r="AF52" s="18">
        <v>0</v>
      </c>
      <c r="AG52" s="18">
        <v>0</v>
      </c>
      <c r="AH52" s="18">
        <v>0</v>
      </c>
      <c r="AI52" s="18">
        <v>0</v>
      </c>
      <c r="AJ52" s="18">
        <v>0</v>
      </c>
      <c r="AK52" s="18">
        <v>0</v>
      </c>
      <c r="AL52" s="18">
        <v>0</v>
      </c>
      <c r="AM52" s="18">
        <v>0</v>
      </c>
      <c r="AN52" s="18">
        <v>0</v>
      </c>
      <c r="AO52" s="18">
        <v>0</v>
      </c>
      <c r="AP52" s="18">
        <v>0</v>
      </c>
      <c r="AQ52" s="18">
        <v>0</v>
      </c>
      <c r="AR52" s="18">
        <v>0</v>
      </c>
      <c r="AS52" s="18">
        <v>0</v>
      </c>
      <c r="AT52" s="18">
        <v>0</v>
      </c>
      <c r="AU52" s="18">
        <v>0</v>
      </c>
      <c r="AV52" s="18">
        <v>0</v>
      </c>
      <c r="AW52" s="18">
        <v>0</v>
      </c>
      <c r="AX52" s="18">
        <v>0</v>
      </c>
    </row>
    <row r="53" spans="1:50" x14ac:dyDescent="0.25">
      <c r="A53" s="16" t="s">
        <v>521</v>
      </c>
      <c r="B53" s="13" t="s">
        <v>464</v>
      </c>
      <c r="C53" s="17">
        <v>0</v>
      </c>
      <c r="D53" s="17">
        <v>0</v>
      </c>
      <c r="E53" s="17">
        <v>0</v>
      </c>
      <c r="F53" s="17">
        <v>0</v>
      </c>
      <c r="G53" s="17">
        <v>0</v>
      </c>
      <c r="H53" s="17">
        <v>0</v>
      </c>
      <c r="I53" s="17">
        <v>0</v>
      </c>
      <c r="J53" s="17">
        <v>3.0000000000000001E-3</v>
      </c>
      <c r="K53" s="17">
        <v>4.3499999999999997E-2</v>
      </c>
      <c r="L53" s="17">
        <v>0.20349999999999999</v>
      </c>
      <c r="M53" s="17">
        <v>0.4037</v>
      </c>
      <c r="N53" s="17">
        <v>0.64910000000000001</v>
      </c>
      <c r="O53" s="17">
        <v>0.91690000000000005</v>
      </c>
      <c r="P53" s="17">
        <v>1.1879999999999999</v>
      </c>
      <c r="Q53" s="17">
        <v>1.4577</v>
      </c>
      <c r="R53" s="17">
        <v>1.7278</v>
      </c>
      <c r="S53" s="17">
        <v>1.9813000000000001</v>
      </c>
      <c r="T53" s="17">
        <v>2.2195999999999998</v>
      </c>
      <c r="U53" s="17">
        <v>2.4224999999999999</v>
      </c>
      <c r="V53" s="17">
        <v>2.5956000000000001</v>
      </c>
      <c r="W53" s="17">
        <v>2.7475000000000001</v>
      </c>
      <c r="X53" s="17">
        <v>2.8729</v>
      </c>
      <c r="Y53" s="17">
        <v>2.9619</v>
      </c>
      <c r="Z53" s="17">
        <v>3.0009000000000001</v>
      </c>
      <c r="AA53" s="17">
        <v>3.0122</v>
      </c>
      <c r="AB53" s="17">
        <v>2.9910000000000001</v>
      </c>
      <c r="AC53" s="17">
        <v>2.92</v>
      </c>
      <c r="AD53" s="17">
        <v>2.8117000000000001</v>
      </c>
      <c r="AE53" s="17">
        <v>2.6823000000000001</v>
      </c>
      <c r="AF53" s="17">
        <v>2.5184000000000002</v>
      </c>
      <c r="AG53" s="17">
        <v>2.3441999999999998</v>
      </c>
      <c r="AH53" s="17">
        <v>2.1345999999999998</v>
      </c>
      <c r="AI53" s="17">
        <v>1.8986000000000001</v>
      </c>
      <c r="AJ53" s="17">
        <v>1.6135999999999999</v>
      </c>
      <c r="AK53" s="17">
        <v>1.3468</v>
      </c>
      <c r="AL53" s="17">
        <v>1.0727</v>
      </c>
      <c r="AM53" s="17">
        <v>0.80759999999999998</v>
      </c>
      <c r="AN53" s="17">
        <v>0.55189999999999995</v>
      </c>
      <c r="AO53" s="17">
        <v>0.32229999999999998</v>
      </c>
      <c r="AP53" s="17">
        <v>9.3799999999999994E-2</v>
      </c>
      <c r="AQ53" s="17">
        <v>1.7299999999999999E-2</v>
      </c>
      <c r="AR53" s="17">
        <v>0</v>
      </c>
      <c r="AS53" s="17">
        <v>0</v>
      </c>
      <c r="AT53" s="17">
        <v>0</v>
      </c>
      <c r="AU53" s="17">
        <v>0</v>
      </c>
      <c r="AV53" s="17">
        <v>0</v>
      </c>
      <c r="AW53" s="17">
        <v>0</v>
      </c>
      <c r="AX53" s="17">
        <v>0</v>
      </c>
    </row>
    <row r="54" spans="1:50" x14ac:dyDescent="0.25">
      <c r="A54" s="8" t="s">
        <v>94</v>
      </c>
      <c r="B54" s="10" t="s">
        <v>57</v>
      </c>
      <c r="C54" s="18">
        <v>0</v>
      </c>
      <c r="D54" s="18">
        <v>0</v>
      </c>
      <c r="E54" s="18">
        <v>0</v>
      </c>
      <c r="F54" s="18">
        <v>0</v>
      </c>
      <c r="G54" s="18">
        <v>0</v>
      </c>
      <c r="H54" s="18">
        <v>0</v>
      </c>
      <c r="I54" s="18">
        <v>0</v>
      </c>
      <c r="J54" s="18">
        <v>0</v>
      </c>
      <c r="K54" s="18">
        <v>0</v>
      </c>
      <c r="L54" s="18">
        <v>0</v>
      </c>
      <c r="M54" s="18">
        <v>0</v>
      </c>
      <c r="N54" s="18">
        <v>0</v>
      </c>
      <c r="O54" s="18">
        <v>0</v>
      </c>
      <c r="P54" s="18">
        <v>0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8">
        <v>0</v>
      </c>
      <c r="Z54" s="18">
        <v>0</v>
      </c>
      <c r="AA54" s="18">
        <v>0</v>
      </c>
      <c r="AB54" s="18">
        <v>0</v>
      </c>
      <c r="AC54" s="18">
        <v>0</v>
      </c>
      <c r="AD54" s="18">
        <v>0</v>
      </c>
      <c r="AE54" s="18">
        <v>0</v>
      </c>
      <c r="AF54" s="18">
        <v>0</v>
      </c>
      <c r="AG54" s="18">
        <v>0</v>
      </c>
      <c r="AH54" s="18">
        <v>0</v>
      </c>
      <c r="AI54" s="18">
        <v>0</v>
      </c>
      <c r="AJ54" s="18">
        <v>0</v>
      </c>
      <c r="AK54" s="18">
        <v>0</v>
      </c>
      <c r="AL54" s="18">
        <v>0</v>
      </c>
      <c r="AM54" s="18">
        <v>0</v>
      </c>
      <c r="AN54" s="18">
        <v>0</v>
      </c>
      <c r="AO54" s="18">
        <v>0</v>
      </c>
      <c r="AP54" s="18">
        <v>0</v>
      </c>
      <c r="AQ54" s="18">
        <v>0</v>
      </c>
      <c r="AR54" s="18">
        <v>0</v>
      </c>
      <c r="AS54" s="18">
        <v>0</v>
      </c>
      <c r="AT54" s="18">
        <v>0</v>
      </c>
      <c r="AU54" s="18">
        <v>0</v>
      </c>
      <c r="AV54" s="18">
        <v>0</v>
      </c>
      <c r="AW54" s="18">
        <v>0</v>
      </c>
      <c r="AX54" s="18">
        <v>0</v>
      </c>
    </row>
    <row r="55" spans="1:50" x14ac:dyDescent="0.25">
      <c r="A55" s="16" t="s">
        <v>523</v>
      </c>
      <c r="B55" s="13" t="s">
        <v>464</v>
      </c>
      <c r="C55" s="17">
        <v>0</v>
      </c>
      <c r="D55" s="17">
        <v>0</v>
      </c>
      <c r="E55" s="17">
        <v>0</v>
      </c>
      <c r="F55" s="17">
        <v>0</v>
      </c>
      <c r="G55" s="17">
        <v>0</v>
      </c>
      <c r="H55" s="17">
        <v>0</v>
      </c>
      <c r="I55" s="17">
        <v>0</v>
      </c>
      <c r="J55" s="17">
        <v>3.3999999999999998E-3</v>
      </c>
      <c r="K55" s="17">
        <v>4.9700000000000001E-2</v>
      </c>
      <c r="L55" s="17">
        <v>0.2326</v>
      </c>
      <c r="M55" s="17">
        <v>0.46129999999999999</v>
      </c>
      <c r="N55" s="17">
        <v>0.7419</v>
      </c>
      <c r="O55" s="17">
        <v>1.0479000000000001</v>
      </c>
      <c r="P55" s="17">
        <v>1.3576999999999999</v>
      </c>
      <c r="Q55" s="17">
        <v>1.6659999999999999</v>
      </c>
      <c r="R55" s="17">
        <v>1.9745999999999999</v>
      </c>
      <c r="S55" s="17">
        <v>2.2643</v>
      </c>
      <c r="T55" s="17">
        <v>2.5367000000000002</v>
      </c>
      <c r="U55" s="17">
        <v>2.7686000000000002</v>
      </c>
      <c r="V55" s="17">
        <v>2.9664000000000001</v>
      </c>
      <c r="W55" s="17">
        <v>3.14</v>
      </c>
      <c r="X55" s="17">
        <v>3.2833000000000001</v>
      </c>
      <c r="Y55" s="17">
        <v>3.3849999999999998</v>
      </c>
      <c r="Z55" s="17">
        <v>3.4296000000000002</v>
      </c>
      <c r="AA55" s="17">
        <v>3.4424999999999999</v>
      </c>
      <c r="AB55" s="17">
        <v>3.4182999999999999</v>
      </c>
      <c r="AC55" s="17">
        <v>3.3372000000000002</v>
      </c>
      <c r="AD55" s="17">
        <v>3.2132999999999998</v>
      </c>
      <c r="AE55" s="17">
        <v>3.0655000000000001</v>
      </c>
      <c r="AF55" s="17">
        <v>2.8782000000000001</v>
      </c>
      <c r="AG55" s="17">
        <v>2.6791</v>
      </c>
      <c r="AH55" s="17">
        <v>2.4396</v>
      </c>
      <c r="AI55" s="17">
        <v>2.1698</v>
      </c>
      <c r="AJ55" s="17">
        <v>1.8441000000000001</v>
      </c>
      <c r="AK55" s="17">
        <v>1.5391999999999999</v>
      </c>
      <c r="AL55" s="17">
        <v>1.2259</v>
      </c>
      <c r="AM55" s="17">
        <v>0.92290000000000005</v>
      </c>
      <c r="AN55" s="17">
        <v>0.63080000000000003</v>
      </c>
      <c r="AO55" s="17">
        <v>0.36830000000000002</v>
      </c>
      <c r="AP55" s="17">
        <v>0.1072</v>
      </c>
      <c r="AQ55" s="17">
        <v>1.9800000000000002E-2</v>
      </c>
      <c r="AR55" s="17">
        <v>0</v>
      </c>
      <c r="AS55" s="17">
        <v>0</v>
      </c>
      <c r="AT55" s="17">
        <v>0</v>
      </c>
      <c r="AU55" s="17">
        <v>0</v>
      </c>
      <c r="AV55" s="17">
        <v>0</v>
      </c>
      <c r="AW55" s="17">
        <v>0</v>
      </c>
      <c r="AX55" s="17">
        <v>0</v>
      </c>
    </row>
    <row r="56" spans="1:50" x14ac:dyDescent="0.25">
      <c r="A56" s="16" t="s">
        <v>525</v>
      </c>
      <c r="B56" s="13" t="s">
        <v>464</v>
      </c>
      <c r="C56" s="17">
        <v>0</v>
      </c>
      <c r="D56" s="17">
        <v>0</v>
      </c>
      <c r="E56" s="17">
        <v>0</v>
      </c>
      <c r="F56" s="17">
        <v>0</v>
      </c>
      <c r="G56" s="17">
        <v>0</v>
      </c>
      <c r="H56" s="17">
        <v>0</v>
      </c>
      <c r="I56" s="17">
        <v>0</v>
      </c>
      <c r="J56" s="17">
        <v>2.5999999999999999E-3</v>
      </c>
      <c r="K56" s="17">
        <v>3.73E-2</v>
      </c>
      <c r="L56" s="17">
        <v>0.1744</v>
      </c>
      <c r="M56" s="17">
        <v>0.34599999999999997</v>
      </c>
      <c r="N56" s="17">
        <v>0.55640000000000001</v>
      </c>
      <c r="O56" s="17">
        <v>0.78590000000000004</v>
      </c>
      <c r="P56" s="17">
        <v>1.0183</v>
      </c>
      <c r="Q56" s="17">
        <v>1.2495000000000001</v>
      </c>
      <c r="R56" s="17">
        <v>1.4810000000000001</v>
      </c>
      <c r="S56" s="17">
        <v>1.6981999999999999</v>
      </c>
      <c r="T56" s="17">
        <v>1.9025000000000001</v>
      </c>
      <c r="U56" s="17">
        <v>2.0764</v>
      </c>
      <c r="V56" s="17">
        <v>2.2248000000000001</v>
      </c>
      <c r="W56" s="17">
        <v>2.355</v>
      </c>
      <c r="X56" s="17">
        <v>2.4624999999999999</v>
      </c>
      <c r="Y56" s="17">
        <v>2.5387</v>
      </c>
      <c r="Z56" s="17">
        <v>2.5722</v>
      </c>
      <c r="AA56" s="17">
        <v>2.5819000000000001</v>
      </c>
      <c r="AB56" s="17">
        <v>2.5636999999999999</v>
      </c>
      <c r="AC56" s="17">
        <v>2.5028999999999999</v>
      </c>
      <c r="AD56" s="17">
        <v>2.41</v>
      </c>
      <c r="AE56" s="17">
        <v>2.2991000000000001</v>
      </c>
      <c r="AF56" s="17">
        <v>2.1585999999999999</v>
      </c>
      <c r="AG56" s="17">
        <v>2.0093000000000001</v>
      </c>
      <c r="AH56" s="17">
        <v>1.8297000000000001</v>
      </c>
      <c r="AI56" s="17">
        <v>1.6274</v>
      </c>
      <c r="AJ56" s="17">
        <v>1.3831</v>
      </c>
      <c r="AK56" s="17">
        <v>1.1544000000000001</v>
      </c>
      <c r="AL56" s="17">
        <v>0.91949999999999998</v>
      </c>
      <c r="AM56" s="17">
        <v>0.69220000000000004</v>
      </c>
      <c r="AN56" s="17">
        <v>0.47310000000000002</v>
      </c>
      <c r="AO56" s="17">
        <v>0.2762</v>
      </c>
      <c r="AP56" s="17">
        <v>8.0399999999999999E-2</v>
      </c>
      <c r="AQ56" s="17">
        <v>1.4800000000000001E-2</v>
      </c>
      <c r="AR56" s="17">
        <v>0</v>
      </c>
      <c r="AS56" s="17">
        <v>0</v>
      </c>
      <c r="AT56" s="17">
        <v>0</v>
      </c>
      <c r="AU56" s="17">
        <v>0</v>
      </c>
      <c r="AV56" s="17">
        <v>0</v>
      </c>
      <c r="AW56" s="17">
        <v>0</v>
      </c>
      <c r="AX56" s="17">
        <v>0</v>
      </c>
    </row>
    <row r="57" spans="1:50" x14ac:dyDescent="0.25">
      <c r="A57" s="8" t="s">
        <v>96</v>
      </c>
      <c r="B57" s="10" t="s">
        <v>57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0</v>
      </c>
      <c r="Q57" s="18">
        <v>0</v>
      </c>
      <c r="R57" s="18">
        <v>0</v>
      </c>
      <c r="S57" s="18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8">
        <v>0</v>
      </c>
      <c r="Z57" s="18">
        <v>0</v>
      </c>
      <c r="AA57" s="18">
        <v>0</v>
      </c>
      <c r="AB57" s="18">
        <v>0</v>
      </c>
      <c r="AC57" s="18">
        <v>0</v>
      </c>
      <c r="AD57" s="18">
        <v>0</v>
      </c>
      <c r="AE57" s="18">
        <v>0</v>
      </c>
      <c r="AF57" s="18">
        <v>0</v>
      </c>
      <c r="AG57" s="18">
        <v>0</v>
      </c>
      <c r="AH57" s="18">
        <v>0</v>
      </c>
      <c r="AI57" s="18">
        <v>0</v>
      </c>
      <c r="AJ57" s="18">
        <v>0</v>
      </c>
      <c r="AK57" s="18">
        <v>0</v>
      </c>
      <c r="AL57" s="18">
        <v>0</v>
      </c>
      <c r="AM57" s="18">
        <v>0</v>
      </c>
      <c r="AN57" s="18">
        <v>0</v>
      </c>
      <c r="AO57" s="18">
        <v>0</v>
      </c>
      <c r="AP57" s="18">
        <v>0</v>
      </c>
      <c r="AQ57" s="18">
        <v>0</v>
      </c>
      <c r="AR57" s="18">
        <v>0</v>
      </c>
      <c r="AS57" s="18">
        <v>0</v>
      </c>
      <c r="AT57" s="18">
        <v>0</v>
      </c>
      <c r="AU57" s="18">
        <v>0</v>
      </c>
      <c r="AV57" s="18">
        <v>0</v>
      </c>
      <c r="AW57" s="18">
        <v>0</v>
      </c>
      <c r="AX57" s="18">
        <v>0</v>
      </c>
    </row>
    <row r="58" spans="1:50" x14ac:dyDescent="0.25">
      <c r="A58" s="16" t="s">
        <v>527</v>
      </c>
      <c r="B58" s="13" t="s">
        <v>464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3.0000000000000001E-3</v>
      </c>
      <c r="K58" s="17">
        <v>4.3499999999999997E-2</v>
      </c>
      <c r="L58" s="17">
        <v>0.20349999999999999</v>
      </c>
      <c r="M58" s="17">
        <v>0.4037</v>
      </c>
      <c r="N58" s="17">
        <v>0.64910000000000001</v>
      </c>
      <c r="O58" s="17">
        <v>0.91690000000000005</v>
      </c>
      <c r="P58" s="17">
        <v>1.1879999999999999</v>
      </c>
      <c r="Q58" s="17">
        <v>1.4577</v>
      </c>
      <c r="R58" s="17">
        <v>1.7278</v>
      </c>
      <c r="S58" s="17">
        <v>1.9813000000000001</v>
      </c>
      <c r="T58" s="17">
        <v>2.2195999999999998</v>
      </c>
      <c r="U58" s="17">
        <v>2.4224999999999999</v>
      </c>
      <c r="V58" s="17">
        <v>2.5956000000000001</v>
      </c>
      <c r="W58" s="17">
        <v>2.7475000000000001</v>
      </c>
      <c r="X58" s="17">
        <v>2.8729</v>
      </c>
      <c r="Y58" s="17">
        <v>2.9619</v>
      </c>
      <c r="Z58" s="17">
        <v>3.0009000000000001</v>
      </c>
      <c r="AA58" s="17">
        <v>3.0122</v>
      </c>
      <c r="AB58" s="17">
        <v>2.9910000000000001</v>
      </c>
      <c r="AC58" s="17">
        <v>2.92</v>
      </c>
      <c r="AD58" s="17">
        <v>2.8117000000000001</v>
      </c>
      <c r="AE58" s="17">
        <v>2.6823000000000001</v>
      </c>
      <c r="AF58" s="17">
        <v>2.5184000000000002</v>
      </c>
      <c r="AG58" s="17">
        <v>2.3441999999999998</v>
      </c>
      <c r="AH58" s="17">
        <v>2.1345999999999998</v>
      </c>
      <c r="AI58" s="17">
        <v>1.8986000000000001</v>
      </c>
      <c r="AJ58" s="17">
        <v>1.6135999999999999</v>
      </c>
      <c r="AK58" s="17">
        <v>1.3468</v>
      </c>
      <c r="AL58" s="17">
        <v>1.0727</v>
      </c>
      <c r="AM58" s="17">
        <v>0.80759999999999998</v>
      </c>
      <c r="AN58" s="17">
        <v>0.55189999999999995</v>
      </c>
      <c r="AO58" s="17">
        <v>0.32229999999999998</v>
      </c>
      <c r="AP58" s="17">
        <v>9.3799999999999994E-2</v>
      </c>
      <c r="AQ58" s="17">
        <v>1.7299999999999999E-2</v>
      </c>
      <c r="AR58" s="17">
        <v>0</v>
      </c>
      <c r="AS58" s="17">
        <v>0</v>
      </c>
      <c r="AT58" s="17">
        <v>0</v>
      </c>
      <c r="AU58" s="17">
        <v>0</v>
      </c>
      <c r="AV58" s="17">
        <v>0</v>
      </c>
      <c r="AW58" s="17">
        <v>0</v>
      </c>
      <c r="AX58" s="17">
        <v>0</v>
      </c>
    </row>
    <row r="59" spans="1:50" x14ac:dyDescent="0.25">
      <c r="A59" s="16" t="s">
        <v>529</v>
      </c>
      <c r="B59" s="13" t="s">
        <v>464</v>
      </c>
      <c r="C59" s="17">
        <v>0</v>
      </c>
      <c r="D59" s="17">
        <v>0</v>
      </c>
      <c r="E59" s="17">
        <v>0</v>
      </c>
      <c r="F59" s="17">
        <v>0</v>
      </c>
      <c r="G59" s="17">
        <v>0</v>
      </c>
      <c r="H59" s="17">
        <v>0</v>
      </c>
      <c r="I59" s="17">
        <v>0</v>
      </c>
      <c r="J59" s="17">
        <v>3.3999999999999998E-3</v>
      </c>
      <c r="K59" s="17">
        <v>4.9700000000000001E-2</v>
      </c>
      <c r="L59" s="17">
        <v>0.2326</v>
      </c>
      <c r="M59" s="17">
        <v>0.46129999999999999</v>
      </c>
      <c r="N59" s="17">
        <v>0.7419</v>
      </c>
      <c r="O59" s="17">
        <v>1.0479000000000001</v>
      </c>
      <c r="P59" s="17">
        <v>1.3576999999999999</v>
      </c>
      <c r="Q59" s="17">
        <v>1.6659999999999999</v>
      </c>
      <c r="R59" s="17">
        <v>1.9745999999999999</v>
      </c>
      <c r="S59" s="17">
        <v>2.2643</v>
      </c>
      <c r="T59" s="17">
        <v>2.5367000000000002</v>
      </c>
      <c r="U59" s="17">
        <v>2.7686000000000002</v>
      </c>
      <c r="V59" s="17">
        <v>2.9664000000000001</v>
      </c>
      <c r="W59" s="17">
        <v>3.14</v>
      </c>
      <c r="X59" s="17">
        <v>3.2833000000000001</v>
      </c>
      <c r="Y59" s="17">
        <v>3.3849999999999998</v>
      </c>
      <c r="Z59" s="17">
        <v>3.4296000000000002</v>
      </c>
      <c r="AA59" s="17">
        <v>3.4424999999999999</v>
      </c>
      <c r="AB59" s="17">
        <v>3.4182999999999999</v>
      </c>
      <c r="AC59" s="17">
        <v>3.3372000000000002</v>
      </c>
      <c r="AD59" s="17">
        <v>3.2132999999999998</v>
      </c>
      <c r="AE59" s="17">
        <v>3.0655000000000001</v>
      </c>
      <c r="AF59" s="17">
        <v>2.8782000000000001</v>
      </c>
      <c r="AG59" s="17">
        <v>2.6791</v>
      </c>
      <c r="AH59" s="17">
        <v>2.4396</v>
      </c>
      <c r="AI59" s="17">
        <v>2.1698</v>
      </c>
      <c r="AJ59" s="17">
        <v>1.8441000000000001</v>
      </c>
      <c r="AK59" s="17">
        <v>1.5391999999999999</v>
      </c>
      <c r="AL59" s="17">
        <v>1.2259</v>
      </c>
      <c r="AM59" s="17">
        <v>0.92290000000000005</v>
      </c>
      <c r="AN59" s="17">
        <v>0.63080000000000003</v>
      </c>
      <c r="AO59" s="17">
        <v>0.36830000000000002</v>
      </c>
      <c r="AP59" s="17">
        <v>0.1072</v>
      </c>
      <c r="AQ59" s="17">
        <v>1.9800000000000002E-2</v>
      </c>
      <c r="AR59" s="17">
        <v>0</v>
      </c>
      <c r="AS59" s="17">
        <v>0</v>
      </c>
      <c r="AT59" s="17">
        <v>0</v>
      </c>
      <c r="AU59" s="17">
        <v>0</v>
      </c>
      <c r="AV59" s="17">
        <v>0</v>
      </c>
      <c r="AW59" s="17">
        <v>0</v>
      </c>
      <c r="AX59" s="17">
        <v>0</v>
      </c>
    </row>
    <row r="60" spans="1:50" x14ac:dyDescent="0.25">
      <c r="A60" s="16" t="s">
        <v>531</v>
      </c>
      <c r="B60" s="13" t="s">
        <v>464</v>
      </c>
      <c r="C60" s="17">
        <v>0</v>
      </c>
      <c r="D60" s="17">
        <v>0</v>
      </c>
      <c r="E60" s="17">
        <v>0</v>
      </c>
      <c r="F60" s="17">
        <v>0</v>
      </c>
      <c r="G60" s="17">
        <v>0</v>
      </c>
      <c r="H60" s="17">
        <v>0</v>
      </c>
      <c r="I60" s="17">
        <v>0</v>
      </c>
      <c r="J60" s="17">
        <v>1.6999999999999999E-3</v>
      </c>
      <c r="K60" s="17">
        <v>2.4899999999999999E-2</v>
      </c>
      <c r="L60" s="17">
        <v>0.1163</v>
      </c>
      <c r="M60" s="17">
        <v>0.23069999999999999</v>
      </c>
      <c r="N60" s="17">
        <v>0.37090000000000001</v>
      </c>
      <c r="O60" s="17">
        <v>0.52400000000000002</v>
      </c>
      <c r="P60" s="17">
        <v>0.67889999999999995</v>
      </c>
      <c r="Q60" s="17">
        <v>0.83299999999999996</v>
      </c>
      <c r="R60" s="17">
        <v>0.98729999999999996</v>
      </c>
      <c r="S60" s="17">
        <v>1.1322000000000001</v>
      </c>
      <c r="T60" s="17">
        <v>1.2683</v>
      </c>
      <c r="U60" s="17">
        <v>1.3843000000000001</v>
      </c>
      <c r="V60" s="17">
        <v>1.4832000000000001</v>
      </c>
      <c r="W60" s="17">
        <v>1.57</v>
      </c>
      <c r="X60" s="17">
        <v>1.6416999999999999</v>
      </c>
      <c r="Y60" s="17">
        <v>1.6924999999999999</v>
      </c>
      <c r="Z60" s="17">
        <v>1.7148000000000001</v>
      </c>
      <c r="AA60" s="17">
        <v>1.7212000000000001</v>
      </c>
      <c r="AB60" s="17">
        <v>1.7092000000000001</v>
      </c>
      <c r="AC60" s="17">
        <v>1.6686000000000001</v>
      </c>
      <c r="AD60" s="17">
        <v>1.6067</v>
      </c>
      <c r="AE60" s="17">
        <v>1.5327999999999999</v>
      </c>
      <c r="AF60" s="17">
        <v>1.4391</v>
      </c>
      <c r="AG60" s="17">
        <v>1.3395999999999999</v>
      </c>
      <c r="AH60" s="17">
        <v>1.2198</v>
      </c>
      <c r="AI60" s="17">
        <v>1.0849</v>
      </c>
      <c r="AJ60" s="17">
        <v>0.92200000000000004</v>
      </c>
      <c r="AK60" s="17">
        <v>0.76959999999999995</v>
      </c>
      <c r="AL60" s="17">
        <v>0.61299999999999999</v>
      </c>
      <c r="AM60" s="17">
        <v>0.46150000000000002</v>
      </c>
      <c r="AN60" s="17">
        <v>0.31540000000000001</v>
      </c>
      <c r="AO60" s="17">
        <v>0.1842</v>
      </c>
      <c r="AP60" s="17">
        <v>5.3600000000000002E-2</v>
      </c>
      <c r="AQ60" s="17">
        <v>9.9000000000000008E-3</v>
      </c>
      <c r="AR60" s="17">
        <v>0</v>
      </c>
      <c r="AS60" s="17">
        <v>0</v>
      </c>
      <c r="AT60" s="17">
        <v>0</v>
      </c>
      <c r="AU60" s="17">
        <v>0</v>
      </c>
      <c r="AV60" s="17">
        <v>0</v>
      </c>
      <c r="AW60" s="17">
        <v>0</v>
      </c>
      <c r="AX60" s="17">
        <v>0</v>
      </c>
    </row>
    <row r="61" spans="1:50" x14ac:dyDescent="0.25">
      <c r="A61" s="16" t="s">
        <v>533</v>
      </c>
      <c r="B61" s="13" t="s">
        <v>464</v>
      </c>
      <c r="C61" s="17">
        <v>0</v>
      </c>
      <c r="D61" s="17">
        <v>0</v>
      </c>
      <c r="E61" s="17">
        <v>0</v>
      </c>
      <c r="F61" s="17">
        <v>0</v>
      </c>
      <c r="G61" s="17">
        <v>0</v>
      </c>
      <c r="H61" s="17">
        <v>0</v>
      </c>
      <c r="I61" s="17">
        <v>0</v>
      </c>
      <c r="J61" s="17">
        <v>3.3999999999999998E-3</v>
      </c>
      <c r="K61" s="17">
        <v>4.9700000000000001E-2</v>
      </c>
      <c r="L61" s="17">
        <v>0.2326</v>
      </c>
      <c r="M61" s="17">
        <v>0.46129999999999999</v>
      </c>
      <c r="N61" s="17">
        <v>0.7419</v>
      </c>
      <c r="O61" s="17">
        <v>1.0479000000000001</v>
      </c>
      <c r="P61" s="17">
        <v>1.3576999999999999</v>
      </c>
      <c r="Q61" s="17">
        <v>1.6659999999999999</v>
      </c>
      <c r="R61" s="17">
        <v>1.9745999999999999</v>
      </c>
      <c r="S61" s="17">
        <v>2.2643</v>
      </c>
      <c r="T61" s="17">
        <v>2.5367000000000002</v>
      </c>
      <c r="U61" s="17">
        <v>2.7686000000000002</v>
      </c>
      <c r="V61" s="17">
        <v>2.9664000000000001</v>
      </c>
      <c r="W61" s="17">
        <v>3.14</v>
      </c>
      <c r="X61" s="17">
        <v>3.2833000000000001</v>
      </c>
      <c r="Y61" s="17">
        <v>3.3849999999999998</v>
      </c>
      <c r="Z61" s="17">
        <v>3.4296000000000002</v>
      </c>
      <c r="AA61" s="17">
        <v>3.4424999999999999</v>
      </c>
      <c r="AB61" s="17">
        <v>3.4182999999999999</v>
      </c>
      <c r="AC61" s="17">
        <v>3.3372000000000002</v>
      </c>
      <c r="AD61" s="17">
        <v>3.2132999999999998</v>
      </c>
      <c r="AE61" s="17">
        <v>3.0655000000000001</v>
      </c>
      <c r="AF61" s="17">
        <v>2.8782000000000001</v>
      </c>
      <c r="AG61" s="17">
        <v>2.6791</v>
      </c>
      <c r="AH61" s="17">
        <v>2.4396</v>
      </c>
      <c r="AI61" s="17">
        <v>2.1698</v>
      </c>
      <c r="AJ61" s="17">
        <v>1.8441000000000001</v>
      </c>
      <c r="AK61" s="17">
        <v>1.5391999999999999</v>
      </c>
      <c r="AL61" s="17">
        <v>1.2259</v>
      </c>
      <c r="AM61" s="17">
        <v>0.92290000000000005</v>
      </c>
      <c r="AN61" s="17">
        <v>0.63080000000000003</v>
      </c>
      <c r="AO61" s="17">
        <v>0.36830000000000002</v>
      </c>
      <c r="AP61" s="17">
        <v>0.1072</v>
      </c>
      <c r="AQ61" s="17">
        <v>1.9800000000000002E-2</v>
      </c>
      <c r="AR61" s="17">
        <v>0</v>
      </c>
      <c r="AS61" s="17">
        <v>0</v>
      </c>
      <c r="AT61" s="17">
        <v>0</v>
      </c>
      <c r="AU61" s="17">
        <v>0</v>
      </c>
      <c r="AV61" s="17">
        <v>0</v>
      </c>
      <c r="AW61" s="17">
        <v>0</v>
      </c>
      <c r="AX61" s="17">
        <v>0</v>
      </c>
    </row>
    <row r="62" spans="1:50" x14ac:dyDescent="0.25">
      <c r="A62" s="8" t="s">
        <v>98</v>
      </c>
      <c r="B62" s="10" t="s">
        <v>57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8">
        <v>0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</row>
    <row r="63" spans="1:50" x14ac:dyDescent="0.25">
      <c r="A63" s="8" t="s">
        <v>100</v>
      </c>
      <c r="B63" s="10" t="s">
        <v>57</v>
      </c>
      <c r="C63" s="18">
        <v>0</v>
      </c>
      <c r="D63" s="18">
        <v>0</v>
      </c>
      <c r="E63" s="18">
        <v>0</v>
      </c>
      <c r="F63" s="18">
        <v>0</v>
      </c>
      <c r="G63" s="18">
        <v>0</v>
      </c>
      <c r="H63" s="18">
        <v>0</v>
      </c>
      <c r="I63" s="18">
        <v>0</v>
      </c>
      <c r="J63" s="18">
        <v>0</v>
      </c>
      <c r="K63" s="18">
        <v>0</v>
      </c>
      <c r="L63" s="18">
        <v>0</v>
      </c>
      <c r="M63" s="18">
        <v>0</v>
      </c>
      <c r="N63" s="18">
        <v>0</v>
      </c>
      <c r="O63" s="18">
        <v>0</v>
      </c>
      <c r="P63" s="18">
        <v>0</v>
      </c>
      <c r="Q63" s="18">
        <v>0</v>
      </c>
      <c r="R63" s="18">
        <v>0</v>
      </c>
      <c r="S63" s="18">
        <v>0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8">
        <v>0</v>
      </c>
      <c r="Z63" s="18">
        <v>0</v>
      </c>
      <c r="AA63" s="18">
        <v>0</v>
      </c>
      <c r="AB63" s="18">
        <v>0</v>
      </c>
      <c r="AC63" s="18">
        <v>0</v>
      </c>
      <c r="AD63" s="18">
        <v>0</v>
      </c>
      <c r="AE63" s="18">
        <v>0</v>
      </c>
      <c r="AF63" s="18">
        <v>0</v>
      </c>
      <c r="AG63" s="18">
        <v>0</v>
      </c>
      <c r="AH63" s="18">
        <v>0</v>
      </c>
      <c r="AI63" s="18">
        <v>0</v>
      </c>
      <c r="AJ63" s="18">
        <v>0</v>
      </c>
      <c r="AK63" s="18">
        <v>0</v>
      </c>
      <c r="AL63" s="18">
        <v>0</v>
      </c>
      <c r="AM63" s="18">
        <v>0</v>
      </c>
      <c r="AN63" s="18">
        <v>0</v>
      </c>
      <c r="AO63" s="18">
        <v>0</v>
      </c>
      <c r="AP63" s="18">
        <v>0</v>
      </c>
      <c r="AQ63" s="18">
        <v>0</v>
      </c>
      <c r="AR63" s="18">
        <v>0</v>
      </c>
      <c r="AS63" s="18">
        <v>0</v>
      </c>
      <c r="AT63" s="18">
        <v>0</v>
      </c>
      <c r="AU63" s="18">
        <v>0</v>
      </c>
      <c r="AV63" s="18">
        <v>0</v>
      </c>
      <c r="AW63" s="18">
        <v>0</v>
      </c>
      <c r="AX63" s="18">
        <v>0</v>
      </c>
    </row>
    <row r="64" spans="1:50" x14ac:dyDescent="0.25">
      <c r="A64" s="8" t="s">
        <v>102</v>
      </c>
      <c r="B64" s="10" t="s">
        <v>57</v>
      </c>
      <c r="C64" s="18">
        <v>0</v>
      </c>
      <c r="D64" s="18">
        <v>0</v>
      </c>
      <c r="E64" s="18">
        <v>0</v>
      </c>
      <c r="F64" s="18">
        <v>0</v>
      </c>
      <c r="G64" s="18">
        <v>0</v>
      </c>
      <c r="H64" s="18">
        <v>0</v>
      </c>
      <c r="I64" s="18">
        <v>0</v>
      </c>
      <c r="J64" s="18">
        <v>0</v>
      </c>
      <c r="K64" s="18">
        <v>0</v>
      </c>
      <c r="L64" s="18">
        <v>0</v>
      </c>
      <c r="M64" s="18">
        <v>0</v>
      </c>
      <c r="N64" s="18">
        <v>0</v>
      </c>
      <c r="O64" s="18">
        <v>0</v>
      </c>
      <c r="P64" s="18">
        <v>0</v>
      </c>
      <c r="Q64" s="18">
        <v>0</v>
      </c>
      <c r="R64" s="18">
        <v>0</v>
      </c>
      <c r="S64" s="18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8">
        <v>0</v>
      </c>
      <c r="Z64" s="18">
        <v>0</v>
      </c>
      <c r="AA64" s="18">
        <v>0</v>
      </c>
      <c r="AB64" s="18">
        <v>0</v>
      </c>
      <c r="AC64" s="18">
        <v>0</v>
      </c>
      <c r="AD64" s="18">
        <v>0</v>
      </c>
      <c r="AE64" s="18">
        <v>0</v>
      </c>
      <c r="AF64" s="18">
        <v>0</v>
      </c>
      <c r="AG64" s="18">
        <v>0</v>
      </c>
      <c r="AH64" s="18">
        <v>0</v>
      </c>
      <c r="AI64" s="18">
        <v>0</v>
      </c>
      <c r="AJ64" s="18">
        <v>0</v>
      </c>
      <c r="AK64" s="18">
        <v>0</v>
      </c>
      <c r="AL64" s="18">
        <v>0</v>
      </c>
      <c r="AM64" s="18">
        <v>0</v>
      </c>
      <c r="AN64" s="18">
        <v>0</v>
      </c>
      <c r="AO64" s="18">
        <v>0</v>
      </c>
      <c r="AP64" s="18">
        <v>0</v>
      </c>
      <c r="AQ64" s="18">
        <v>0</v>
      </c>
      <c r="AR64" s="18">
        <v>0</v>
      </c>
      <c r="AS64" s="18">
        <v>0</v>
      </c>
      <c r="AT64" s="18">
        <v>0</v>
      </c>
      <c r="AU64" s="18">
        <v>0</v>
      </c>
      <c r="AV64" s="18">
        <v>0</v>
      </c>
      <c r="AW64" s="18">
        <v>0</v>
      </c>
      <c r="AX64" s="18">
        <v>0</v>
      </c>
    </row>
    <row r="65" spans="1:50" x14ac:dyDescent="0.25">
      <c r="A65" s="16" t="s">
        <v>535</v>
      </c>
      <c r="B65" s="13" t="s">
        <v>464</v>
      </c>
      <c r="C65" s="17">
        <v>0</v>
      </c>
      <c r="D65" s="17">
        <v>0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3.3999999999999998E-3</v>
      </c>
      <c r="K65" s="17">
        <v>4.9700000000000001E-2</v>
      </c>
      <c r="L65" s="17">
        <v>0.2326</v>
      </c>
      <c r="M65" s="17">
        <v>0.46129999999999999</v>
      </c>
      <c r="N65" s="17">
        <v>0.7419</v>
      </c>
      <c r="O65" s="17">
        <v>1.0479000000000001</v>
      </c>
      <c r="P65" s="17">
        <v>1.3576999999999999</v>
      </c>
      <c r="Q65" s="17">
        <v>1.6659999999999999</v>
      </c>
      <c r="R65" s="17">
        <v>1.9745999999999999</v>
      </c>
      <c r="S65" s="17">
        <v>2.2643</v>
      </c>
      <c r="T65" s="17">
        <v>2.5367000000000002</v>
      </c>
      <c r="U65" s="17">
        <v>2.7686000000000002</v>
      </c>
      <c r="V65" s="17">
        <v>2.9664000000000001</v>
      </c>
      <c r="W65" s="17">
        <v>3.14</v>
      </c>
      <c r="X65" s="17">
        <v>3.2833000000000001</v>
      </c>
      <c r="Y65" s="17">
        <v>3.3849999999999998</v>
      </c>
      <c r="Z65" s="17">
        <v>3.4296000000000002</v>
      </c>
      <c r="AA65" s="17">
        <v>3.4424999999999999</v>
      </c>
      <c r="AB65" s="17">
        <v>3.4182999999999999</v>
      </c>
      <c r="AC65" s="17">
        <v>3.3372000000000002</v>
      </c>
      <c r="AD65" s="17">
        <v>3.2132999999999998</v>
      </c>
      <c r="AE65" s="17">
        <v>3.0655000000000001</v>
      </c>
      <c r="AF65" s="17">
        <v>2.8782000000000001</v>
      </c>
      <c r="AG65" s="17">
        <v>2.6791</v>
      </c>
      <c r="AH65" s="17">
        <v>2.4396</v>
      </c>
      <c r="AI65" s="17">
        <v>2.1698</v>
      </c>
      <c r="AJ65" s="17">
        <v>1.8441000000000001</v>
      </c>
      <c r="AK65" s="17">
        <v>1.5391999999999999</v>
      </c>
      <c r="AL65" s="17">
        <v>1.2259</v>
      </c>
      <c r="AM65" s="17">
        <v>0.92290000000000005</v>
      </c>
      <c r="AN65" s="17">
        <v>0.63080000000000003</v>
      </c>
      <c r="AO65" s="17">
        <v>0.36830000000000002</v>
      </c>
      <c r="AP65" s="17">
        <v>0.1072</v>
      </c>
      <c r="AQ65" s="17">
        <v>1.9800000000000002E-2</v>
      </c>
      <c r="AR65" s="17">
        <v>0</v>
      </c>
      <c r="AS65" s="17">
        <v>0</v>
      </c>
      <c r="AT65" s="17">
        <v>0</v>
      </c>
      <c r="AU65" s="17">
        <v>0</v>
      </c>
      <c r="AV65" s="17">
        <v>0</v>
      </c>
      <c r="AW65" s="17">
        <v>0</v>
      </c>
      <c r="AX65" s="17">
        <v>0</v>
      </c>
    </row>
    <row r="66" spans="1:50" x14ac:dyDescent="0.25">
      <c r="A66" s="16" t="s">
        <v>537</v>
      </c>
      <c r="B66" s="13" t="s">
        <v>464</v>
      </c>
      <c r="C66" s="17">
        <v>0</v>
      </c>
      <c r="D66" s="17">
        <v>0</v>
      </c>
      <c r="E66" s="17">
        <v>0</v>
      </c>
      <c r="F66" s="17">
        <v>0</v>
      </c>
      <c r="G66" s="17">
        <v>0</v>
      </c>
      <c r="H66" s="17">
        <v>0</v>
      </c>
      <c r="I66" s="17">
        <v>0</v>
      </c>
      <c r="J66" s="17">
        <v>3.3999999999999998E-3</v>
      </c>
      <c r="K66" s="17">
        <v>4.9700000000000001E-2</v>
      </c>
      <c r="L66" s="17">
        <v>0.2326</v>
      </c>
      <c r="M66" s="17">
        <v>0.46129999999999999</v>
      </c>
      <c r="N66" s="17">
        <v>0.7419</v>
      </c>
      <c r="O66" s="17">
        <v>1.0479000000000001</v>
      </c>
      <c r="P66" s="17">
        <v>1.3576999999999999</v>
      </c>
      <c r="Q66" s="17">
        <v>1.6659999999999999</v>
      </c>
      <c r="R66" s="17">
        <v>1.9745999999999999</v>
      </c>
      <c r="S66" s="17">
        <v>2.2643</v>
      </c>
      <c r="T66" s="17">
        <v>2.5367000000000002</v>
      </c>
      <c r="U66" s="17">
        <v>2.7686000000000002</v>
      </c>
      <c r="V66" s="17">
        <v>2.9664000000000001</v>
      </c>
      <c r="W66" s="17">
        <v>3.14</v>
      </c>
      <c r="X66" s="17">
        <v>3.2833000000000001</v>
      </c>
      <c r="Y66" s="17">
        <v>3.3849999999999998</v>
      </c>
      <c r="Z66" s="17">
        <v>3.4296000000000002</v>
      </c>
      <c r="AA66" s="17">
        <v>3.4424999999999999</v>
      </c>
      <c r="AB66" s="17">
        <v>3.4182999999999999</v>
      </c>
      <c r="AC66" s="17">
        <v>3.3372000000000002</v>
      </c>
      <c r="AD66" s="17">
        <v>3.2132999999999998</v>
      </c>
      <c r="AE66" s="17">
        <v>3.0655000000000001</v>
      </c>
      <c r="AF66" s="17">
        <v>2.8782000000000001</v>
      </c>
      <c r="AG66" s="17">
        <v>2.6791</v>
      </c>
      <c r="AH66" s="17">
        <v>2.4396</v>
      </c>
      <c r="AI66" s="17">
        <v>2.1698</v>
      </c>
      <c r="AJ66" s="17">
        <v>1.8441000000000001</v>
      </c>
      <c r="AK66" s="17">
        <v>1.5391999999999999</v>
      </c>
      <c r="AL66" s="17">
        <v>1.2259</v>
      </c>
      <c r="AM66" s="17">
        <v>0.92290000000000005</v>
      </c>
      <c r="AN66" s="17">
        <v>0.63080000000000003</v>
      </c>
      <c r="AO66" s="17">
        <v>0.36830000000000002</v>
      </c>
      <c r="AP66" s="17">
        <v>0.1072</v>
      </c>
      <c r="AQ66" s="17">
        <v>1.9800000000000002E-2</v>
      </c>
      <c r="AR66" s="17">
        <v>0</v>
      </c>
      <c r="AS66" s="17">
        <v>0</v>
      </c>
      <c r="AT66" s="17">
        <v>0</v>
      </c>
      <c r="AU66" s="17">
        <v>0</v>
      </c>
      <c r="AV66" s="17">
        <v>0</v>
      </c>
      <c r="AW66" s="17">
        <v>0</v>
      </c>
      <c r="AX66" s="17">
        <v>0</v>
      </c>
    </row>
    <row r="67" spans="1:50" x14ac:dyDescent="0.25">
      <c r="A67" s="16" t="s">
        <v>539</v>
      </c>
      <c r="B67" s="13" t="s">
        <v>464</v>
      </c>
      <c r="C67" s="17">
        <v>0</v>
      </c>
      <c r="D67" s="17">
        <v>0</v>
      </c>
      <c r="E67" s="17">
        <v>0</v>
      </c>
      <c r="F67" s="17">
        <v>0</v>
      </c>
      <c r="G67" s="17">
        <v>0</v>
      </c>
      <c r="H67" s="17">
        <v>0</v>
      </c>
      <c r="I67" s="17">
        <v>0</v>
      </c>
      <c r="J67" s="17">
        <v>2.2000000000000001E-3</v>
      </c>
      <c r="K67" s="17">
        <v>3.1099999999999999E-2</v>
      </c>
      <c r="L67" s="17">
        <v>0.1454</v>
      </c>
      <c r="M67" s="17">
        <v>0.2883</v>
      </c>
      <c r="N67" s="17">
        <v>0.4637</v>
      </c>
      <c r="O67" s="17">
        <v>0.65490000000000004</v>
      </c>
      <c r="P67" s="17">
        <v>0.84860000000000002</v>
      </c>
      <c r="Q67" s="17">
        <v>1.0411999999999999</v>
      </c>
      <c r="R67" s="17">
        <v>1.2341</v>
      </c>
      <c r="S67" s="17">
        <v>1.4152</v>
      </c>
      <c r="T67" s="17">
        <v>1.5853999999999999</v>
      </c>
      <c r="U67" s="17">
        <v>1.7303999999999999</v>
      </c>
      <c r="V67" s="17">
        <v>1.8540000000000001</v>
      </c>
      <c r="W67" s="17">
        <v>1.9624999999999999</v>
      </c>
      <c r="X67" s="17">
        <v>2.0520999999999998</v>
      </c>
      <c r="Y67" s="17">
        <v>2.1156000000000001</v>
      </c>
      <c r="Z67" s="17">
        <v>2.1435</v>
      </c>
      <c r="AA67" s="17">
        <v>2.1516000000000002</v>
      </c>
      <c r="AB67" s="17">
        <v>2.1364999999999998</v>
      </c>
      <c r="AC67" s="17">
        <v>2.0857000000000001</v>
      </c>
      <c r="AD67" s="17">
        <v>2.0083000000000002</v>
      </c>
      <c r="AE67" s="17">
        <v>1.9158999999999999</v>
      </c>
      <c r="AF67" s="17">
        <v>1.7988999999999999</v>
      </c>
      <c r="AG67" s="17">
        <v>1.6745000000000001</v>
      </c>
      <c r="AH67" s="17">
        <v>1.5246999999999999</v>
      </c>
      <c r="AI67" s="17">
        <v>1.3561000000000001</v>
      </c>
      <c r="AJ67" s="17">
        <v>1.1525000000000001</v>
      </c>
      <c r="AK67" s="17">
        <v>0.96199999999999997</v>
      </c>
      <c r="AL67" s="17">
        <v>0.76619999999999999</v>
      </c>
      <c r="AM67" s="17">
        <v>0.57679999999999998</v>
      </c>
      <c r="AN67" s="17">
        <v>0.39419999999999999</v>
      </c>
      <c r="AO67" s="17">
        <v>0.23019999999999999</v>
      </c>
      <c r="AP67" s="17">
        <v>6.7000000000000004E-2</v>
      </c>
      <c r="AQ67" s="17">
        <v>1.24E-2</v>
      </c>
      <c r="AR67" s="17">
        <v>0</v>
      </c>
      <c r="AS67" s="17">
        <v>0</v>
      </c>
      <c r="AT67" s="17">
        <v>0</v>
      </c>
      <c r="AU67" s="17">
        <v>0</v>
      </c>
      <c r="AV67" s="17">
        <v>0</v>
      </c>
      <c r="AW67" s="17">
        <v>0</v>
      </c>
      <c r="AX67" s="17">
        <v>0</v>
      </c>
    </row>
    <row r="68" spans="1:50" x14ac:dyDescent="0.25">
      <c r="A68" s="8" t="s">
        <v>104</v>
      </c>
      <c r="B68" s="10" t="s">
        <v>57</v>
      </c>
      <c r="C68" s="18">
        <v>0</v>
      </c>
      <c r="D68" s="18">
        <v>0</v>
      </c>
      <c r="E68" s="18">
        <v>0</v>
      </c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8">
        <v>0</v>
      </c>
      <c r="Z68" s="18">
        <v>0</v>
      </c>
      <c r="AA68" s="18">
        <v>0</v>
      </c>
      <c r="AB68" s="18">
        <v>0</v>
      </c>
      <c r="AC68" s="18">
        <v>0</v>
      </c>
      <c r="AD68" s="18">
        <v>0</v>
      </c>
      <c r="AE68" s="18">
        <v>0</v>
      </c>
      <c r="AF68" s="18">
        <v>0</v>
      </c>
      <c r="AG68" s="18">
        <v>0</v>
      </c>
      <c r="AH68" s="18">
        <v>0</v>
      </c>
      <c r="AI68" s="18">
        <v>0</v>
      </c>
      <c r="AJ68" s="18">
        <v>0</v>
      </c>
      <c r="AK68" s="18">
        <v>0</v>
      </c>
      <c r="AL68" s="18">
        <v>0</v>
      </c>
      <c r="AM68" s="18">
        <v>0</v>
      </c>
      <c r="AN68" s="18">
        <v>0</v>
      </c>
      <c r="AO68" s="18">
        <v>0</v>
      </c>
      <c r="AP68" s="18">
        <v>0</v>
      </c>
      <c r="AQ68" s="18">
        <v>0</v>
      </c>
      <c r="AR68" s="18">
        <v>0</v>
      </c>
      <c r="AS68" s="18">
        <v>0</v>
      </c>
      <c r="AT68" s="18">
        <v>0</v>
      </c>
      <c r="AU68" s="18">
        <v>0</v>
      </c>
      <c r="AV68" s="18">
        <v>0</v>
      </c>
      <c r="AW68" s="18">
        <v>0</v>
      </c>
      <c r="AX68" s="18">
        <v>0</v>
      </c>
    </row>
    <row r="69" spans="1:50" x14ac:dyDescent="0.25">
      <c r="A69" s="8" t="s">
        <v>106</v>
      </c>
      <c r="B69" s="10" t="s">
        <v>57</v>
      </c>
      <c r="C69" s="18">
        <v>0</v>
      </c>
      <c r="D69" s="18">
        <v>0</v>
      </c>
      <c r="E69" s="18">
        <v>0</v>
      </c>
      <c r="F69" s="18">
        <v>0</v>
      </c>
      <c r="G69" s="18">
        <v>0</v>
      </c>
      <c r="H69" s="18">
        <v>0</v>
      </c>
      <c r="I69" s="18">
        <v>0</v>
      </c>
      <c r="J69" s="18">
        <v>0</v>
      </c>
      <c r="K69" s="18">
        <v>0</v>
      </c>
      <c r="L69" s="18">
        <v>0</v>
      </c>
      <c r="M69" s="18">
        <v>0</v>
      </c>
      <c r="N69" s="18">
        <v>0</v>
      </c>
      <c r="O69" s="18">
        <v>0</v>
      </c>
      <c r="P69" s="18">
        <v>0</v>
      </c>
      <c r="Q69" s="18">
        <v>0</v>
      </c>
      <c r="R69" s="18">
        <v>0</v>
      </c>
      <c r="S69" s="18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8">
        <v>0</v>
      </c>
      <c r="Z69" s="18">
        <v>0</v>
      </c>
      <c r="AA69" s="18">
        <v>0</v>
      </c>
      <c r="AB69" s="18">
        <v>0</v>
      </c>
      <c r="AC69" s="18">
        <v>0</v>
      </c>
      <c r="AD69" s="18">
        <v>0</v>
      </c>
      <c r="AE69" s="18">
        <v>0</v>
      </c>
      <c r="AF69" s="18">
        <v>0</v>
      </c>
      <c r="AG69" s="18">
        <v>0</v>
      </c>
      <c r="AH69" s="18">
        <v>0</v>
      </c>
      <c r="AI69" s="18">
        <v>0</v>
      </c>
      <c r="AJ69" s="18">
        <v>0</v>
      </c>
      <c r="AK69" s="18">
        <v>0</v>
      </c>
      <c r="AL69" s="18">
        <v>0</v>
      </c>
      <c r="AM69" s="18">
        <v>0</v>
      </c>
      <c r="AN69" s="18">
        <v>0</v>
      </c>
      <c r="AO69" s="18">
        <v>0</v>
      </c>
      <c r="AP69" s="18">
        <v>0</v>
      </c>
      <c r="AQ69" s="18">
        <v>0</v>
      </c>
      <c r="AR69" s="18">
        <v>0</v>
      </c>
      <c r="AS69" s="18">
        <v>0</v>
      </c>
      <c r="AT69" s="18">
        <v>0</v>
      </c>
      <c r="AU69" s="18">
        <v>0</v>
      </c>
      <c r="AV69" s="18">
        <v>0</v>
      </c>
      <c r="AW69" s="18">
        <v>0</v>
      </c>
      <c r="AX69" s="18">
        <v>0</v>
      </c>
    </row>
    <row r="70" spans="1:50" x14ac:dyDescent="0.25">
      <c r="A70" s="8" t="s">
        <v>108</v>
      </c>
      <c r="B70" s="10" t="s">
        <v>57</v>
      </c>
      <c r="C70" s="18">
        <v>0</v>
      </c>
      <c r="D70" s="18">
        <v>0</v>
      </c>
      <c r="E70" s="18">
        <v>0</v>
      </c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0</v>
      </c>
      <c r="S70" s="18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8">
        <v>0</v>
      </c>
      <c r="Z70" s="18">
        <v>0</v>
      </c>
      <c r="AA70" s="18">
        <v>0</v>
      </c>
      <c r="AB70" s="18">
        <v>0</v>
      </c>
      <c r="AC70" s="18">
        <v>0</v>
      </c>
      <c r="AD70" s="18">
        <v>0</v>
      </c>
      <c r="AE70" s="18">
        <v>0</v>
      </c>
      <c r="AF70" s="18">
        <v>0</v>
      </c>
      <c r="AG70" s="18">
        <v>0</v>
      </c>
      <c r="AH70" s="18">
        <v>0</v>
      </c>
      <c r="AI70" s="18">
        <v>0</v>
      </c>
      <c r="AJ70" s="18">
        <v>0</v>
      </c>
      <c r="AK70" s="18">
        <v>0</v>
      </c>
      <c r="AL70" s="18">
        <v>0</v>
      </c>
      <c r="AM70" s="18">
        <v>0</v>
      </c>
      <c r="AN70" s="18">
        <v>0</v>
      </c>
      <c r="AO70" s="18">
        <v>0</v>
      </c>
      <c r="AP70" s="18">
        <v>0</v>
      </c>
      <c r="AQ70" s="18">
        <v>0</v>
      </c>
      <c r="AR70" s="18">
        <v>0</v>
      </c>
      <c r="AS70" s="18">
        <v>0</v>
      </c>
      <c r="AT70" s="18">
        <v>0</v>
      </c>
      <c r="AU70" s="18">
        <v>0</v>
      </c>
      <c r="AV70" s="18">
        <v>0</v>
      </c>
      <c r="AW70" s="18">
        <v>0</v>
      </c>
      <c r="AX70" s="18">
        <v>0</v>
      </c>
    </row>
    <row r="71" spans="1:50" x14ac:dyDescent="0.25">
      <c r="A71" s="8" t="s">
        <v>110</v>
      </c>
      <c r="B71" s="10" t="s">
        <v>57</v>
      </c>
      <c r="C71" s="18">
        <v>0</v>
      </c>
      <c r="D71" s="18">
        <v>0</v>
      </c>
      <c r="E71" s="18">
        <v>0</v>
      </c>
      <c r="F71" s="18">
        <v>0</v>
      </c>
      <c r="G71" s="18">
        <v>0</v>
      </c>
      <c r="H71" s="18">
        <v>0</v>
      </c>
      <c r="I71" s="18">
        <v>0</v>
      </c>
      <c r="J71" s="18">
        <v>0</v>
      </c>
      <c r="K71" s="18">
        <v>0</v>
      </c>
      <c r="L71" s="18">
        <v>0</v>
      </c>
      <c r="M71" s="18">
        <v>0</v>
      </c>
      <c r="N71" s="18">
        <v>0</v>
      </c>
      <c r="O71" s="18">
        <v>0</v>
      </c>
      <c r="P71" s="18">
        <v>0</v>
      </c>
      <c r="Q71" s="18">
        <v>0</v>
      </c>
      <c r="R71" s="18">
        <v>0</v>
      </c>
      <c r="S71" s="18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8">
        <v>0</v>
      </c>
      <c r="Z71" s="18">
        <v>0</v>
      </c>
      <c r="AA71" s="18">
        <v>0</v>
      </c>
      <c r="AB71" s="18">
        <v>0</v>
      </c>
      <c r="AC71" s="18">
        <v>0</v>
      </c>
      <c r="AD71" s="18">
        <v>0</v>
      </c>
      <c r="AE71" s="18">
        <v>0</v>
      </c>
      <c r="AF71" s="18">
        <v>0</v>
      </c>
      <c r="AG71" s="18">
        <v>0</v>
      </c>
      <c r="AH71" s="18">
        <v>0</v>
      </c>
      <c r="AI71" s="18">
        <v>0</v>
      </c>
      <c r="AJ71" s="18">
        <v>0</v>
      </c>
      <c r="AK71" s="18">
        <v>0</v>
      </c>
      <c r="AL71" s="18">
        <v>0</v>
      </c>
      <c r="AM71" s="18">
        <v>0</v>
      </c>
      <c r="AN71" s="18">
        <v>0</v>
      </c>
      <c r="AO71" s="18">
        <v>0</v>
      </c>
      <c r="AP71" s="18">
        <v>0</v>
      </c>
      <c r="AQ71" s="18">
        <v>0</v>
      </c>
      <c r="AR71" s="18">
        <v>0</v>
      </c>
      <c r="AS71" s="18">
        <v>0</v>
      </c>
      <c r="AT71" s="18">
        <v>0</v>
      </c>
      <c r="AU71" s="18">
        <v>0</v>
      </c>
      <c r="AV71" s="18">
        <v>0</v>
      </c>
      <c r="AW71" s="18">
        <v>0</v>
      </c>
      <c r="AX71" s="18">
        <v>0</v>
      </c>
    </row>
    <row r="72" spans="1:50" x14ac:dyDescent="0.25">
      <c r="A72" s="16" t="s">
        <v>541</v>
      </c>
      <c r="B72" s="13" t="s">
        <v>464</v>
      </c>
      <c r="C72" s="17">
        <v>0</v>
      </c>
      <c r="D72" s="17">
        <v>0</v>
      </c>
      <c r="E72" s="17">
        <v>0</v>
      </c>
      <c r="F72" s="17">
        <v>0</v>
      </c>
      <c r="G72" s="17">
        <v>0</v>
      </c>
      <c r="H72" s="17">
        <v>0</v>
      </c>
      <c r="I72" s="17">
        <v>0</v>
      </c>
      <c r="J72" s="17">
        <v>3.3999999999999998E-3</v>
      </c>
      <c r="K72" s="17">
        <v>4.9700000000000001E-2</v>
      </c>
      <c r="L72" s="17">
        <v>0.2326</v>
      </c>
      <c r="M72" s="17">
        <v>0.46129999999999999</v>
      </c>
      <c r="N72" s="17">
        <v>0.7419</v>
      </c>
      <c r="O72" s="17">
        <v>1.0479000000000001</v>
      </c>
      <c r="P72" s="17">
        <v>1.3576999999999999</v>
      </c>
      <c r="Q72" s="17">
        <v>1.6659999999999999</v>
      </c>
      <c r="R72" s="17">
        <v>1.9745999999999999</v>
      </c>
      <c r="S72" s="17">
        <v>2.2643</v>
      </c>
      <c r="T72" s="17">
        <v>2.5367000000000002</v>
      </c>
      <c r="U72" s="17">
        <v>2.7686000000000002</v>
      </c>
      <c r="V72" s="17">
        <v>2.9664000000000001</v>
      </c>
      <c r="W72" s="17">
        <v>3.14</v>
      </c>
      <c r="X72" s="17">
        <v>3.2833000000000001</v>
      </c>
      <c r="Y72" s="17">
        <v>3.3849999999999998</v>
      </c>
      <c r="Z72" s="17">
        <v>3.4296000000000002</v>
      </c>
      <c r="AA72" s="17">
        <v>3.4424999999999999</v>
      </c>
      <c r="AB72" s="17">
        <v>3.4182999999999999</v>
      </c>
      <c r="AC72" s="17">
        <v>3.3372000000000002</v>
      </c>
      <c r="AD72" s="17">
        <v>3.2132999999999998</v>
      </c>
      <c r="AE72" s="17">
        <v>3.0655000000000001</v>
      </c>
      <c r="AF72" s="17">
        <v>2.8782000000000001</v>
      </c>
      <c r="AG72" s="17">
        <v>2.6791</v>
      </c>
      <c r="AH72" s="17">
        <v>2.4396</v>
      </c>
      <c r="AI72" s="17">
        <v>2.1698</v>
      </c>
      <c r="AJ72" s="17">
        <v>1.8441000000000001</v>
      </c>
      <c r="AK72" s="17">
        <v>1.5391999999999999</v>
      </c>
      <c r="AL72" s="17">
        <v>1.2259</v>
      </c>
      <c r="AM72" s="17">
        <v>0.92290000000000005</v>
      </c>
      <c r="AN72" s="17">
        <v>0.63080000000000003</v>
      </c>
      <c r="AO72" s="17">
        <v>0.36830000000000002</v>
      </c>
      <c r="AP72" s="17">
        <v>0.1072</v>
      </c>
      <c r="AQ72" s="17">
        <v>1.9800000000000002E-2</v>
      </c>
      <c r="AR72" s="17">
        <v>0</v>
      </c>
      <c r="AS72" s="17">
        <v>0</v>
      </c>
      <c r="AT72" s="17">
        <v>0</v>
      </c>
      <c r="AU72" s="17">
        <v>0</v>
      </c>
      <c r="AV72" s="17">
        <v>0</v>
      </c>
      <c r="AW72" s="17">
        <v>0</v>
      </c>
      <c r="AX72" s="17">
        <v>0</v>
      </c>
    </row>
    <row r="73" spans="1:50" x14ac:dyDescent="0.25">
      <c r="A73" s="16" t="s">
        <v>543</v>
      </c>
      <c r="B73" s="13" t="s">
        <v>464</v>
      </c>
      <c r="C73" s="17">
        <v>0</v>
      </c>
      <c r="D73" s="17">
        <v>0</v>
      </c>
      <c r="E73" s="17">
        <v>0</v>
      </c>
      <c r="F73" s="17">
        <v>0</v>
      </c>
      <c r="G73" s="17">
        <v>0</v>
      </c>
      <c r="H73" s="17">
        <v>0</v>
      </c>
      <c r="I73" s="17">
        <v>0</v>
      </c>
      <c r="J73" s="17">
        <v>2.2000000000000001E-3</v>
      </c>
      <c r="K73" s="17">
        <v>3.1099999999999999E-2</v>
      </c>
      <c r="L73" s="17">
        <v>0.1454</v>
      </c>
      <c r="M73" s="17">
        <v>0.2883</v>
      </c>
      <c r="N73" s="17">
        <v>0.4637</v>
      </c>
      <c r="O73" s="17">
        <v>0.65490000000000004</v>
      </c>
      <c r="P73" s="17">
        <v>0.84860000000000002</v>
      </c>
      <c r="Q73" s="17">
        <v>1.0411999999999999</v>
      </c>
      <c r="R73" s="17">
        <v>1.2341</v>
      </c>
      <c r="S73" s="17">
        <v>1.4152</v>
      </c>
      <c r="T73" s="17">
        <v>1.5853999999999999</v>
      </c>
      <c r="U73" s="17">
        <v>1.7303999999999999</v>
      </c>
      <c r="V73" s="17">
        <v>1.8540000000000001</v>
      </c>
      <c r="W73" s="17">
        <v>1.9624999999999999</v>
      </c>
      <c r="X73" s="17">
        <v>2.0520999999999998</v>
      </c>
      <c r="Y73" s="17">
        <v>2.1156000000000001</v>
      </c>
      <c r="Z73" s="17">
        <v>2.1435</v>
      </c>
      <c r="AA73" s="17">
        <v>2.1516000000000002</v>
      </c>
      <c r="AB73" s="17">
        <v>2.1364999999999998</v>
      </c>
      <c r="AC73" s="17">
        <v>2.0857000000000001</v>
      </c>
      <c r="AD73" s="17">
        <v>2.0083000000000002</v>
      </c>
      <c r="AE73" s="17">
        <v>1.9158999999999999</v>
      </c>
      <c r="AF73" s="17">
        <v>1.7988999999999999</v>
      </c>
      <c r="AG73" s="17">
        <v>1.6745000000000001</v>
      </c>
      <c r="AH73" s="17">
        <v>1.5246999999999999</v>
      </c>
      <c r="AI73" s="17">
        <v>1.3561000000000001</v>
      </c>
      <c r="AJ73" s="17">
        <v>1.1525000000000001</v>
      </c>
      <c r="AK73" s="17">
        <v>0.96199999999999997</v>
      </c>
      <c r="AL73" s="17">
        <v>0.76619999999999999</v>
      </c>
      <c r="AM73" s="17">
        <v>0.57679999999999998</v>
      </c>
      <c r="AN73" s="17">
        <v>0.39419999999999999</v>
      </c>
      <c r="AO73" s="17">
        <v>0.23019999999999999</v>
      </c>
      <c r="AP73" s="17">
        <v>6.7000000000000004E-2</v>
      </c>
      <c r="AQ73" s="17">
        <v>1.24E-2</v>
      </c>
      <c r="AR73" s="17">
        <v>0</v>
      </c>
      <c r="AS73" s="17">
        <v>0</v>
      </c>
      <c r="AT73" s="17">
        <v>0</v>
      </c>
      <c r="AU73" s="17">
        <v>0</v>
      </c>
      <c r="AV73" s="17">
        <v>0</v>
      </c>
      <c r="AW73" s="17">
        <v>0</v>
      </c>
      <c r="AX73" s="17">
        <v>0</v>
      </c>
    </row>
    <row r="74" spans="1:50" x14ac:dyDescent="0.25">
      <c r="A74" s="8" t="s">
        <v>112</v>
      </c>
      <c r="B74" s="10" t="s">
        <v>57</v>
      </c>
      <c r="C74" s="18">
        <v>0</v>
      </c>
      <c r="D74" s="18">
        <v>0</v>
      </c>
      <c r="E74" s="18">
        <v>0</v>
      </c>
      <c r="F74" s="18">
        <v>0</v>
      </c>
      <c r="G74" s="18">
        <v>0</v>
      </c>
      <c r="H74" s="18">
        <v>0</v>
      </c>
      <c r="I74" s="18">
        <v>0</v>
      </c>
      <c r="J74" s="18">
        <v>0</v>
      </c>
      <c r="K74" s="18">
        <v>0</v>
      </c>
      <c r="L74" s="18">
        <v>0</v>
      </c>
      <c r="M74" s="18">
        <v>0</v>
      </c>
      <c r="N74" s="18">
        <v>0</v>
      </c>
      <c r="O74" s="18">
        <v>0</v>
      </c>
      <c r="P74" s="18">
        <v>0</v>
      </c>
      <c r="Q74" s="18">
        <v>0</v>
      </c>
      <c r="R74" s="18">
        <v>0</v>
      </c>
      <c r="S74" s="18">
        <v>0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8">
        <v>0</v>
      </c>
      <c r="Z74" s="18">
        <v>0</v>
      </c>
      <c r="AA74" s="18">
        <v>0</v>
      </c>
      <c r="AB74" s="18">
        <v>0</v>
      </c>
      <c r="AC74" s="18">
        <v>0</v>
      </c>
      <c r="AD74" s="18">
        <v>0</v>
      </c>
      <c r="AE74" s="18">
        <v>0</v>
      </c>
      <c r="AF74" s="18">
        <v>0</v>
      </c>
      <c r="AG74" s="18">
        <v>0</v>
      </c>
      <c r="AH74" s="18">
        <v>0</v>
      </c>
      <c r="AI74" s="18">
        <v>0</v>
      </c>
      <c r="AJ74" s="18">
        <v>0</v>
      </c>
      <c r="AK74" s="18">
        <v>0</v>
      </c>
      <c r="AL74" s="18">
        <v>0</v>
      </c>
      <c r="AM74" s="18">
        <v>0</v>
      </c>
      <c r="AN74" s="18">
        <v>0</v>
      </c>
      <c r="AO74" s="18">
        <v>0</v>
      </c>
      <c r="AP74" s="18">
        <v>0</v>
      </c>
      <c r="AQ74" s="18">
        <v>0</v>
      </c>
      <c r="AR74" s="18">
        <v>0</v>
      </c>
      <c r="AS74" s="18">
        <v>0</v>
      </c>
      <c r="AT74" s="18">
        <v>0</v>
      </c>
      <c r="AU74" s="18">
        <v>0</v>
      </c>
      <c r="AV74" s="18">
        <v>0</v>
      </c>
      <c r="AW74" s="18">
        <v>0</v>
      </c>
      <c r="AX74" s="18">
        <v>0</v>
      </c>
    </row>
    <row r="75" spans="1:50" x14ac:dyDescent="0.25">
      <c r="A75" s="8" t="s">
        <v>114</v>
      </c>
      <c r="B75" s="10" t="s">
        <v>57</v>
      </c>
      <c r="C75" s="18">
        <v>0</v>
      </c>
      <c r="D75" s="18">
        <v>0</v>
      </c>
      <c r="E75" s="18">
        <v>0</v>
      </c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8">
        <v>0</v>
      </c>
      <c r="X75" s="18">
        <v>0</v>
      </c>
      <c r="Y75" s="18">
        <v>0</v>
      </c>
      <c r="Z75" s="18">
        <v>0</v>
      </c>
      <c r="AA75" s="18">
        <v>0</v>
      </c>
      <c r="AB75" s="18">
        <v>0</v>
      </c>
      <c r="AC75" s="18">
        <v>0</v>
      </c>
      <c r="AD75" s="18">
        <v>0</v>
      </c>
      <c r="AE75" s="18">
        <v>0</v>
      </c>
      <c r="AF75" s="18">
        <v>0</v>
      </c>
      <c r="AG75" s="18">
        <v>0</v>
      </c>
      <c r="AH75" s="18">
        <v>0</v>
      </c>
      <c r="AI75" s="18">
        <v>0</v>
      </c>
      <c r="AJ75" s="18">
        <v>0</v>
      </c>
      <c r="AK75" s="18">
        <v>0</v>
      </c>
      <c r="AL75" s="18">
        <v>0</v>
      </c>
      <c r="AM75" s="18">
        <v>0</v>
      </c>
      <c r="AN75" s="18">
        <v>0</v>
      </c>
      <c r="AO75" s="18">
        <v>0</v>
      </c>
      <c r="AP75" s="18">
        <v>0</v>
      </c>
      <c r="AQ75" s="18">
        <v>0</v>
      </c>
      <c r="AR75" s="18">
        <v>0</v>
      </c>
      <c r="AS75" s="18">
        <v>0</v>
      </c>
      <c r="AT75" s="18">
        <v>0</v>
      </c>
      <c r="AU75" s="18">
        <v>0</v>
      </c>
      <c r="AV75" s="18">
        <v>0</v>
      </c>
      <c r="AW75" s="18">
        <v>0</v>
      </c>
      <c r="AX75" s="18">
        <v>0</v>
      </c>
    </row>
    <row r="76" spans="1:50" x14ac:dyDescent="0.25">
      <c r="A76" s="16" t="s">
        <v>545</v>
      </c>
      <c r="B76" s="13" t="s">
        <v>464</v>
      </c>
      <c r="C76" s="17">
        <v>0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1.6999999999999999E-3</v>
      </c>
      <c r="K76" s="17">
        <v>2.4899999999999999E-2</v>
      </c>
      <c r="L76" s="17">
        <v>0.1163</v>
      </c>
      <c r="M76" s="17">
        <v>0.23069999999999999</v>
      </c>
      <c r="N76" s="17">
        <v>0.37090000000000001</v>
      </c>
      <c r="O76" s="17">
        <v>0.52400000000000002</v>
      </c>
      <c r="P76" s="17">
        <v>0.67889999999999995</v>
      </c>
      <c r="Q76" s="17">
        <v>0.83299999999999996</v>
      </c>
      <c r="R76" s="17">
        <v>0.98729999999999996</v>
      </c>
      <c r="S76" s="17">
        <v>1.1322000000000001</v>
      </c>
      <c r="T76" s="17">
        <v>1.2683</v>
      </c>
      <c r="U76" s="17">
        <v>1.3843000000000001</v>
      </c>
      <c r="V76" s="17">
        <v>1.4832000000000001</v>
      </c>
      <c r="W76" s="17">
        <v>1.57</v>
      </c>
      <c r="X76" s="17">
        <v>1.6416999999999999</v>
      </c>
      <c r="Y76" s="17">
        <v>1.6924999999999999</v>
      </c>
      <c r="Z76" s="17">
        <v>1.7148000000000001</v>
      </c>
      <c r="AA76" s="17">
        <v>1.7212000000000001</v>
      </c>
      <c r="AB76" s="17">
        <v>1.7092000000000001</v>
      </c>
      <c r="AC76" s="17">
        <v>1.6686000000000001</v>
      </c>
      <c r="AD76" s="17">
        <v>1.6067</v>
      </c>
      <c r="AE76" s="17">
        <v>1.5327999999999999</v>
      </c>
      <c r="AF76" s="17">
        <v>1.4391</v>
      </c>
      <c r="AG76" s="17">
        <v>1.3395999999999999</v>
      </c>
      <c r="AH76" s="17">
        <v>1.2198</v>
      </c>
      <c r="AI76" s="17">
        <v>1.0849</v>
      </c>
      <c r="AJ76" s="17">
        <v>0.92200000000000004</v>
      </c>
      <c r="AK76" s="17">
        <v>0.76959999999999995</v>
      </c>
      <c r="AL76" s="17">
        <v>0.61299999999999999</v>
      </c>
      <c r="AM76" s="17">
        <v>0.46150000000000002</v>
      </c>
      <c r="AN76" s="17">
        <v>0.31540000000000001</v>
      </c>
      <c r="AO76" s="17">
        <v>0.1842</v>
      </c>
      <c r="AP76" s="17">
        <v>5.3600000000000002E-2</v>
      </c>
      <c r="AQ76" s="17">
        <v>9.9000000000000008E-3</v>
      </c>
      <c r="AR76" s="17">
        <v>0</v>
      </c>
      <c r="AS76" s="17">
        <v>0</v>
      </c>
      <c r="AT76" s="17">
        <v>0</v>
      </c>
      <c r="AU76" s="17">
        <v>0</v>
      </c>
      <c r="AV76" s="17">
        <v>0</v>
      </c>
      <c r="AW76" s="17">
        <v>0</v>
      </c>
      <c r="AX76" s="17">
        <v>0</v>
      </c>
    </row>
    <row r="77" spans="1:50" x14ac:dyDescent="0.25">
      <c r="A77" s="8" t="s">
        <v>116</v>
      </c>
      <c r="B77" s="10" t="s">
        <v>57</v>
      </c>
      <c r="C77" s="18">
        <v>0</v>
      </c>
      <c r="D77" s="18">
        <v>0</v>
      </c>
      <c r="E77" s="18">
        <v>0</v>
      </c>
      <c r="F77" s="18">
        <v>0</v>
      </c>
      <c r="G77" s="18">
        <v>0</v>
      </c>
      <c r="H77" s="18">
        <v>0</v>
      </c>
      <c r="I77" s="18">
        <v>0</v>
      </c>
      <c r="J77" s="18">
        <v>0</v>
      </c>
      <c r="K77" s="18">
        <v>0</v>
      </c>
      <c r="L77" s="18">
        <v>0</v>
      </c>
      <c r="M77" s="18">
        <v>0</v>
      </c>
      <c r="N77" s="18">
        <v>0</v>
      </c>
      <c r="O77" s="18">
        <v>0</v>
      </c>
      <c r="P77" s="18">
        <v>0</v>
      </c>
      <c r="Q77" s="18">
        <v>0</v>
      </c>
      <c r="R77" s="18">
        <v>0</v>
      </c>
      <c r="S77" s="18">
        <v>0</v>
      </c>
      <c r="T77" s="18">
        <v>0</v>
      </c>
      <c r="U77" s="18">
        <v>0</v>
      </c>
      <c r="V77" s="18">
        <v>0</v>
      </c>
      <c r="W77" s="18">
        <v>0</v>
      </c>
      <c r="X77" s="18">
        <v>0</v>
      </c>
      <c r="Y77" s="18">
        <v>0</v>
      </c>
      <c r="Z77" s="18">
        <v>0</v>
      </c>
      <c r="AA77" s="18">
        <v>0</v>
      </c>
      <c r="AB77" s="18">
        <v>0</v>
      </c>
      <c r="AC77" s="18">
        <v>0</v>
      </c>
      <c r="AD77" s="18">
        <v>0</v>
      </c>
      <c r="AE77" s="18">
        <v>0</v>
      </c>
      <c r="AF77" s="18">
        <v>0</v>
      </c>
      <c r="AG77" s="18">
        <v>0</v>
      </c>
      <c r="AH77" s="18">
        <v>0</v>
      </c>
      <c r="AI77" s="18">
        <v>0</v>
      </c>
      <c r="AJ77" s="18">
        <v>0</v>
      </c>
      <c r="AK77" s="18">
        <v>0</v>
      </c>
      <c r="AL77" s="18">
        <v>0</v>
      </c>
      <c r="AM77" s="18">
        <v>0</v>
      </c>
      <c r="AN77" s="18">
        <v>0</v>
      </c>
      <c r="AO77" s="18">
        <v>0</v>
      </c>
      <c r="AP77" s="18">
        <v>0</v>
      </c>
      <c r="AQ77" s="18">
        <v>0</v>
      </c>
      <c r="AR77" s="18">
        <v>0</v>
      </c>
      <c r="AS77" s="18">
        <v>0</v>
      </c>
      <c r="AT77" s="18">
        <v>0</v>
      </c>
      <c r="AU77" s="18">
        <v>0</v>
      </c>
      <c r="AV77" s="18">
        <v>0</v>
      </c>
      <c r="AW77" s="18">
        <v>0</v>
      </c>
      <c r="AX77" s="18">
        <v>0</v>
      </c>
    </row>
    <row r="78" spans="1:50" x14ac:dyDescent="0.25">
      <c r="A78" s="8" t="s">
        <v>118</v>
      </c>
      <c r="B78" s="10" t="s">
        <v>57</v>
      </c>
      <c r="C78" s="18">
        <v>0</v>
      </c>
      <c r="D78" s="18">
        <v>0</v>
      </c>
      <c r="E78" s="18">
        <v>0</v>
      </c>
      <c r="F78" s="18">
        <v>0</v>
      </c>
      <c r="G78" s="18">
        <v>0</v>
      </c>
      <c r="H78" s="18">
        <v>0</v>
      </c>
      <c r="I78" s="18">
        <v>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8">
        <v>0</v>
      </c>
      <c r="Z78" s="18">
        <v>0</v>
      </c>
      <c r="AA78" s="18">
        <v>0</v>
      </c>
      <c r="AB78" s="18">
        <v>0</v>
      </c>
      <c r="AC78" s="18">
        <v>0</v>
      </c>
      <c r="AD78" s="18">
        <v>0</v>
      </c>
      <c r="AE78" s="18">
        <v>0</v>
      </c>
      <c r="AF78" s="18">
        <v>0</v>
      </c>
      <c r="AG78" s="18">
        <v>0</v>
      </c>
      <c r="AH78" s="18">
        <v>0</v>
      </c>
      <c r="AI78" s="18">
        <v>0</v>
      </c>
      <c r="AJ78" s="18">
        <v>0</v>
      </c>
      <c r="AK78" s="18">
        <v>0</v>
      </c>
      <c r="AL78" s="18">
        <v>0</v>
      </c>
      <c r="AM78" s="18">
        <v>0</v>
      </c>
      <c r="AN78" s="18">
        <v>0</v>
      </c>
      <c r="AO78" s="18">
        <v>0</v>
      </c>
      <c r="AP78" s="18">
        <v>0</v>
      </c>
      <c r="AQ78" s="18">
        <v>0</v>
      </c>
      <c r="AR78" s="18">
        <v>0</v>
      </c>
      <c r="AS78" s="18">
        <v>0</v>
      </c>
      <c r="AT78" s="18">
        <v>0</v>
      </c>
      <c r="AU78" s="18">
        <v>0</v>
      </c>
      <c r="AV78" s="18">
        <v>0</v>
      </c>
      <c r="AW78" s="18">
        <v>0</v>
      </c>
      <c r="AX78" s="18">
        <v>0</v>
      </c>
    </row>
    <row r="79" spans="1:50" x14ac:dyDescent="0.25">
      <c r="A79" s="8" t="s">
        <v>120</v>
      </c>
      <c r="B79" s="10" t="s">
        <v>57</v>
      </c>
      <c r="C79" s="18">
        <v>0</v>
      </c>
      <c r="D79" s="18">
        <v>0</v>
      </c>
      <c r="E79" s="18">
        <v>0</v>
      </c>
      <c r="F79" s="18">
        <v>0</v>
      </c>
      <c r="G79" s="18">
        <v>0</v>
      </c>
      <c r="H79" s="18">
        <v>0</v>
      </c>
      <c r="I79" s="18">
        <v>0</v>
      </c>
      <c r="J79" s="18">
        <v>0</v>
      </c>
      <c r="K79" s="18">
        <v>0</v>
      </c>
      <c r="L79" s="18">
        <v>0</v>
      </c>
      <c r="M79" s="18">
        <v>0</v>
      </c>
      <c r="N79" s="18">
        <v>0</v>
      </c>
      <c r="O79" s="18">
        <v>0</v>
      </c>
      <c r="P79" s="18">
        <v>0</v>
      </c>
      <c r="Q79" s="18">
        <v>0</v>
      </c>
      <c r="R79" s="18">
        <v>0</v>
      </c>
      <c r="S79" s="18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8">
        <v>0</v>
      </c>
      <c r="Z79" s="18">
        <v>0</v>
      </c>
      <c r="AA79" s="18">
        <v>0</v>
      </c>
      <c r="AB79" s="18">
        <v>0</v>
      </c>
      <c r="AC79" s="18">
        <v>0</v>
      </c>
      <c r="AD79" s="18">
        <v>0</v>
      </c>
      <c r="AE79" s="18">
        <v>0</v>
      </c>
      <c r="AF79" s="18">
        <v>0</v>
      </c>
      <c r="AG79" s="18">
        <v>0</v>
      </c>
      <c r="AH79" s="18">
        <v>0</v>
      </c>
      <c r="AI79" s="18">
        <v>0</v>
      </c>
      <c r="AJ79" s="18">
        <v>0</v>
      </c>
      <c r="AK79" s="18">
        <v>0</v>
      </c>
      <c r="AL79" s="18">
        <v>0</v>
      </c>
      <c r="AM79" s="18">
        <v>0</v>
      </c>
      <c r="AN79" s="18">
        <v>0</v>
      </c>
      <c r="AO79" s="18">
        <v>0</v>
      </c>
      <c r="AP79" s="18">
        <v>0</v>
      </c>
      <c r="AQ79" s="18">
        <v>0</v>
      </c>
      <c r="AR79" s="18">
        <v>0</v>
      </c>
      <c r="AS79" s="18">
        <v>0</v>
      </c>
      <c r="AT79" s="18">
        <v>0</v>
      </c>
      <c r="AU79" s="18">
        <v>0</v>
      </c>
      <c r="AV79" s="18">
        <v>0</v>
      </c>
      <c r="AW79" s="18">
        <v>0</v>
      </c>
      <c r="AX79" s="18">
        <v>0</v>
      </c>
    </row>
    <row r="80" spans="1:50" x14ac:dyDescent="0.25">
      <c r="A80" s="8" t="s">
        <v>122</v>
      </c>
      <c r="B80" s="10" t="s">
        <v>57</v>
      </c>
      <c r="C80" s="18">
        <v>0</v>
      </c>
      <c r="D80" s="18">
        <v>0</v>
      </c>
      <c r="E80" s="18">
        <v>0</v>
      </c>
      <c r="F80" s="18">
        <v>0</v>
      </c>
      <c r="G80" s="18">
        <v>0</v>
      </c>
      <c r="H80" s="18">
        <v>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0</v>
      </c>
      <c r="Q80" s="18">
        <v>0</v>
      </c>
      <c r="R80" s="18">
        <v>0</v>
      </c>
      <c r="S80" s="18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8">
        <v>0</v>
      </c>
      <c r="Z80" s="18">
        <v>0</v>
      </c>
      <c r="AA80" s="18">
        <v>0</v>
      </c>
      <c r="AB80" s="18">
        <v>0</v>
      </c>
      <c r="AC80" s="18">
        <v>0</v>
      </c>
      <c r="AD80" s="18">
        <v>0</v>
      </c>
      <c r="AE80" s="18">
        <v>0</v>
      </c>
      <c r="AF80" s="18">
        <v>0</v>
      </c>
      <c r="AG80" s="18">
        <v>0</v>
      </c>
      <c r="AH80" s="18">
        <v>0</v>
      </c>
      <c r="AI80" s="18">
        <v>0</v>
      </c>
      <c r="AJ80" s="18">
        <v>0</v>
      </c>
      <c r="AK80" s="18">
        <v>0</v>
      </c>
      <c r="AL80" s="18">
        <v>0</v>
      </c>
      <c r="AM80" s="18">
        <v>0</v>
      </c>
      <c r="AN80" s="18">
        <v>0</v>
      </c>
      <c r="AO80" s="18">
        <v>0</v>
      </c>
      <c r="AP80" s="18">
        <v>0</v>
      </c>
      <c r="AQ80" s="18">
        <v>0</v>
      </c>
      <c r="AR80" s="18">
        <v>0</v>
      </c>
      <c r="AS80" s="18">
        <v>0</v>
      </c>
      <c r="AT80" s="18">
        <v>0</v>
      </c>
      <c r="AU80" s="18">
        <v>0</v>
      </c>
      <c r="AV80" s="18">
        <v>0</v>
      </c>
      <c r="AW80" s="18">
        <v>0</v>
      </c>
      <c r="AX80" s="18">
        <v>0</v>
      </c>
    </row>
    <row r="81" spans="1:50" x14ac:dyDescent="0.25">
      <c r="A81" s="8" t="s">
        <v>124</v>
      </c>
      <c r="B81" s="10" t="s">
        <v>57</v>
      </c>
      <c r="C81" s="18">
        <v>0</v>
      </c>
      <c r="D81" s="18">
        <v>0</v>
      </c>
      <c r="E81" s="18">
        <v>0</v>
      </c>
      <c r="F81" s="18">
        <v>0</v>
      </c>
      <c r="G81" s="18">
        <v>0</v>
      </c>
      <c r="H81" s="18">
        <v>0</v>
      </c>
      <c r="I81" s="18">
        <v>0</v>
      </c>
      <c r="J81" s="18">
        <v>0</v>
      </c>
      <c r="K81" s="18">
        <v>0</v>
      </c>
      <c r="L81" s="18">
        <v>0</v>
      </c>
      <c r="M81" s="18">
        <v>0</v>
      </c>
      <c r="N81" s="18">
        <v>0</v>
      </c>
      <c r="O81" s="18">
        <v>0</v>
      </c>
      <c r="P81" s="18">
        <v>0</v>
      </c>
      <c r="Q81" s="18">
        <v>0</v>
      </c>
      <c r="R81" s="18">
        <v>0</v>
      </c>
      <c r="S81" s="18">
        <v>0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8">
        <v>0</v>
      </c>
      <c r="Z81" s="18">
        <v>0</v>
      </c>
      <c r="AA81" s="18">
        <v>0</v>
      </c>
      <c r="AB81" s="18">
        <v>0</v>
      </c>
      <c r="AC81" s="18">
        <v>0</v>
      </c>
      <c r="AD81" s="18">
        <v>0</v>
      </c>
      <c r="AE81" s="18">
        <v>0</v>
      </c>
      <c r="AF81" s="18">
        <v>0</v>
      </c>
      <c r="AG81" s="18">
        <v>0</v>
      </c>
      <c r="AH81" s="18">
        <v>0</v>
      </c>
      <c r="AI81" s="18">
        <v>0</v>
      </c>
      <c r="AJ81" s="18">
        <v>0</v>
      </c>
      <c r="AK81" s="18">
        <v>0</v>
      </c>
      <c r="AL81" s="18">
        <v>0</v>
      </c>
      <c r="AM81" s="18">
        <v>0</v>
      </c>
      <c r="AN81" s="18">
        <v>0</v>
      </c>
      <c r="AO81" s="18">
        <v>0</v>
      </c>
      <c r="AP81" s="18">
        <v>0</v>
      </c>
      <c r="AQ81" s="18">
        <v>0</v>
      </c>
      <c r="AR81" s="18">
        <v>0</v>
      </c>
      <c r="AS81" s="18">
        <v>0</v>
      </c>
      <c r="AT81" s="18">
        <v>0</v>
      </c>
      <c r="AU81" s="18">
        <v>0</v>
      </c>
      <c r="AV81" s="18">
        <v>0</v>
      </c>
      <c r="AW81" s="18">
        <v>0</v>
      </c>
      <c r="AX81" s="18">
        <v>0</v>
      </c>
    </row>
    <row r="82" spans="1:50" x14ac:dyDescent="0.25">
      <c r="A82" s="8" t="s">
        <v>126</v>
      </c>
      <c r="B82" s="10" t="s">
        <v>57</v>
      </c>
      <c r="C82" s="18">
        <v>0</v>
      </c>
      <c r="D82" s="18">
        <v>0</v>
      </c>
      <c r="E82" s="18">
        <v>0</v>
      </c>
      <c r="F82" s="18">
        <v>0</v>
      </c>
      <c r="G82" s="18">
        <v>0</v>
      </c>
      <c r="H82" s="18">
        <v>0</v>
      </c>
      <c r="I82" s="18">
        <v>0</v>
      </c>
      <c r="J82" s="18">
        <v>0</v>
      </c>
      <c r="K82" s="18">
        <v>0</v>
      </c>
      <c r="L82" s="18">
        <v>0</v>
      </c>
      <c r="M82" s="18">
        <v>0</v>
      </c>
      <c r="N82" s="18">
        <v>0</v>
      </c>
      <c r="O82" s="18">
        <v>0</v>
      </c>
      <c r="P82" s="18">
        <v>0</v>
      </c>
      <c r="Q82" s="18">
        <v>0</v>
      </c>
      <c r="R82" s="18">
        <v>0</v>
      </c>
      <c r="S82" s="18">
        <v>0</v>
      </c>
      <c r="T82" s="18">
        <v>0</v>
      </c>
      <c r="U82" s="18">
        <v>0</v>
      </c>
      <c r="V82" s="18">
        <v>0</v>
      </c>
      <c r="W82" s="18">
        <v>0</v>
      </c>
      <c r="X82" s="18">
        <v>0</v>
      </c>
      <c r="Y82" s="18">
        <v>0</v>
      </c>
      <c r="Z82" s="18">
        <v>0</v>
      </c>
      <c r="AA82" s="18">
        <v>0</v>
      </c>
      <c r="AB82" s="18">
        <v>0</v>
      </c>
      <c r="AC82" s="18">
        <v>0</v>
      </c>
      <c r="AD82" s="18">
        <v>0</v>
      </c>
      <c r="AE82" s="18">
        <v>0</v>
      </c>
      <c r="AF82" s="18">
        <v>0</v>
      </c>
      <c r="AG82" s="18">
        <v>0</v>
      </c>
      <c r="AH82" s="18">
        <v>0</v>
      </c>
      <c r="AI82" s="18">
        <v>0</v>
      </c>
      <c r="AJ82" s="18">
        <v>0</v>
      </c>
      <c r="AK82" s="18">
        <v>0</v>
      </c>
      <c r="AL82" s="18">
        <v>0</v>
      </c>
      <c r="AM82" s="18">
        <v>0</v>
      </c>
      <c r="AN82" s="18">
        <v>0</v>
      </c>
      <c r="AO82" s="18">
        <v>0</v>
      </c>
      <c r="AP82" s="18">
        <v>0</v>
      </c>
      <c r="AQ82" s="18">
        <v>0</v>
      </c>
      <c r="AR82" s="18">
        <v>0</v>
      </c>
      <c r="AS82" s="18">
        <v>0</v>
      </c>
      <c r="AT82" s="18">
        <v>0</v>
      </c>
      <c r="AU82" s="18">
        <v>0</v>
      </c>
      <c r="AV82" s="18">
        <v>0</v>
      </c>
      <c r="AW82" s="18">
        <v>0</v>
      </c>
      <c r="AX82" s="18">
        <v>0</v>
      </c>
    </row>
    <row r="83" spans="1:50" x14ac:dyDescent="0.25">
      <c r="A83" s="8" t="s">
        <v>128</v>
      </c>
      <c r="B83" s="10" t="s">
        <v>57</v>
      </c>
      <c r="C83" s="18">
        <v>0</v>
      </c>
      <c r="D83" s="18">
        <v>0</v>
      </c>
      <c r="E83" s="18">
        <v>0</v>
      </c>
      <c r="F83" s="18">
        <v>0</v>
      </c>
      <c r="G83" s="18">
        <v>0</v>
      </c>
      <c r="H83" s="18">
        <v>0</v>
      </c>
      <c r="I83" s="18">
        <v>0</v>
      </c>
      <c r="J83" s="18">
        <v>0</v>
      </c>
      <c r="K83" s="18">
        <v>0</v>
      </c>
      <c r="L83" s="18">
        <v>0</v>
      </c>
      <c r="M83" s="18">
        <v>0</v>
      </c>
      <c r="N83" s="18">
        <v>0</v>
      </c>
      <c r="O83" s="18">
        <v>0</v>
      </c>
      <c r="P83" s="18">
        <v>0</v>
      </c>
      <c r="Q83" s="18">
        <v>0</v>
      </c>
      <c r="R83" s="18">
        <v>0</v>
      </c>
      <c r="S83" s="18">
        <v>0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8">
        <v>0</v>
      </c>
      <c r="Z83" s="18">
        <v>0</v>
      </c>
      <c r="AA83" s="18">
        <v>0</v>
      </c>
      <c r="AB83" s="18">
        <v>0</v>
      </c>
      <c r="AC83" s="18">
        <v>0</v>
      </c>
      <c r="AD83" s="18">
        <v>0</v>
      </c>
      <c r="AE83" s="18">
        <v>0</v>
      </c>
      <c r="AF83" s="18">
        <v>0</v>
      </c>
      <c r="AG83" s="18">
        <v>0</v>
      </c>
      <c r="AH83" s="18">
        <v>0</v>
      </c>
      <c r="AI83" s="18">
        <v>0</v>
      </c>
      <c r="AJ83" s="18">
        <v>0</v>
      </c>
      <c r="AK83" s="18">
        <v>0</v>
      </c>
      <c r="AL83" s="18">
        <v>0</v>
      </c>
      <c r="AM83" s="18">
        <v>0</v>
      </c>
      <c r="AN83" s="18">
        <v>0</v>
      </c>
      <c r="AO83" s="18">
        <v>0</v>
      </c>
      <c r="AP83" s="18">
        <v>0</v>
      </c>
      <c r="AQ83" s="18">
        <v>0</v>
      </c>
      <c r="AR83" s="18">
        <v>0</v>
      </c>
      <c r="AS83" s="18">
        <v>0</v>
      </c>
      <c r="AT83" s="18">
        <v>0</v>
      </c>
      <c r="AU83" s="18">
        <v>0</v>
      </c>
      <c r="AV83" s="18">
        <v>0</v>
      </c>
      <c r="AW83" s="18">
        <v>0</v>
      </c>
      <c r="AX83" s="18">
        <v>0</v>
      </c>
    </row>
    <row r="84" spans="1:50" x14ac:dyDescent="0.25">
      <c r="A84" s="16" t="s">
        <v>547</v>
      </c>
      <c r="B84" s="13" t="s">
        <v>464</v>
      </c>
      <c r="C84" s="17">
        <v>0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3.3999999999999998E-3</v>
      </c>
      <c r="K84" s="17">
        <v>4.9700000000000001E-2</v>
      </c>
      <c r="L84" s="17">
        <v>0.2326</v>
      </c>
      <c r="M84" s="17">
        <v>0.46129999999999999</v>
      </c>
      <c r="N84" s="17">
        <v>0.7419</v>
      </c>
      <c r="O84" s="17">
        <v>1.0479000000000001</v>
      </c>
      <c r="P84" s="17">
        <v>1.3576999999999999</v>
      </c>
      <c r="Q84" s="17">
        <v>1.6659999999999999</v>
      </c>
      <c r="R84" s="17">
        <v>1.9745999999999999</v>
      </c>
      <c r="S84" s="17">
        <v>2.2643</v>
      </c>
      <c r="T84" s="17">
        <v>2.5367000000000002</v>
      </c>
      <c r="U84" s="17">
        <v>2.7686000000000002</v>
      </c>
      <c r="V84" s="17">
        <v>2.9664000000000001</v>
      </c>
      <c r="W84" s="17">
        <v>3.14</v>
      </c>
      <c r="X84" s="17">
        <v>3.2833000000000001</v>
      </c>
      <c r="Y84" s="17">
        <v>3.3849999999999998</v>
      </c>
      <c r="Z84" s="17">
        <v>3.4296000000000002</v>
      </c>
      <c r="AA84" s="17">
        <v>3.4424999999999999</v>
      </c>
      <c r="AB84" s="17">
        <v>3.4182999999999999</v>
      </c>
      <c r="AC84" s="17">
        <v>3.3372000000000002</v>
      </c>
      <c r="AD84" s="17">
        <v>3.2132999999999998</v>
      </c>
      <c r="AE84" s="17">
        <v>3.0655000000000001</v>
      </c>
      <c r="AF84" s="17">
        <v>2.8782000000000001</v>
      </c>
      <c r="AG84" s="17">
        <v>2.6791</v>
      </c>
      <c r="AH84" s="17">
        <v>2.4396</v>
      </c>
      <c r="AI84" s="17">
        <v>2.1698</v>
      </c>
      <c r="AJ84" s="17">
        <v>1.8441000000000001</v>
      </c>
      <c r="AK84" s="17">
        <v>1.5391999999999999</v>
      </c>
      <c r="AL84" s="17">
        <v>1.2259</v>
      </c>
      <c r="AM84" s="17">
        <v>0.92290000000000005</v>
      </c>
      <c r="AN84" s="17">
        <v>0.63080000000000003</v>
      </c>
      <c r="AO84" s="17">
        <v>0.36830000000000002</v>
      </c>
      <c r="AP84" s="17">
        <v>0.1072</v>
      </c>
      <c r="AQ84" s="17">
        <v>1.9800000000000002E-2</v>
      </c>
      <c r="AR84" s="17">
        <v>0</v>
      </c>
      <c r="AS84" s="17">
        <v>0</v>
      </c>
      <c r="AT84" s="17">
        <v>0</v>
      </c>
      <c r="AU84" s="17">
        <v>0</v>
      </c>
      <c r="AV84" s="17">
        <v>0</v>
      </c>
      <c r="AW84" s="17">
        <v>0</v>
      </c>
      <c r="AX84" s="17">
        <v>0</v>
      </c>
    </row>
    <row r="85" spans="1:50" x14ac:dyDescent="0.25">
      <c r="A85" s="16" t="s">
        <v>549</v>
      </c>
      <c r="B85" s="13" t="s">
        <v>464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3.0000000000000001E-3</v>
      </c>
      <c r="K85" s="17">
        <v>4.3499999999999997E-2</v>
      </c>
      <c r="L85" s="17">
        <v>0.20349999999999999</v>
      </c>
      <c r="M85" s="17">
        <v>0.4037</v>
      </c>
      <c r="N85" s="17">
        <v>0.64910000000000001</v>
      </c>
      <c r="O85" s="17">
        <v>0.91690000000000005</v>
      </c>
      <c r="P85" s="17">
        <v>1.1879999999999999</v>
      </c>
      <c r="Q85" s="17">
        <v>1.4577</v>
      </c>
      <c r="R85" s="17">
        <v>1.7278</v>
      </c>
      <c r="S85" s="17">
        <v>1.9813000000000001</v>
      </c>
      <c r="T85" s="17">
        <v>2.2195999999999998</v>
      </c>
      <c r="U85" s="17">
        <v>2.4224999999999999</v>
      </c>
      <c r="V85" s="17">
        <v>2.5956000000000001</v>
      </c>
      <c r="W85" s="17">
        <v>2.7475000000000001</v>
      </c>
      <c r="X85" s="17">
        <v>2.8729</v>
      </c>
      <c r="Y85" s="17">
        <v>2.9619</v>
      </c>
      <c r="Z85" s="17">
        <v>3.0009000000000001</v>
      </c>
      <c r="AA85" s="17">
        <v>3.0122</v>
      </c>
      <c r="AB85" s="17">
        <v>2.9910000000000001</v>
      </c>
      <c r="AC85" s="17">
        <v>2.92</v>
      </c>
      <c r="AD85" s="17">
        <v>2.8117000000000001</v>
      </c>
      <c r="AE85" s="17">
        <v>2.6823000000000001</v>
      </c>
      <c r="AF85" s="17">
        <v>2.5184000000000002</v>
      </c>
      <c r="AG85" s="17">
        <v>2.3441999999999998</v>
      </c>
      <c r="AH85" s="17">
        <v>2.1345999999999998</v>
      </c>
      <c r="AI85" s="17">
        <v>1.8986000000000001</v>
      </c>
      <c r="AJ85" s="17">
        <v>1.6135999999999999</v>
      </c>
      <c r="AK85" s="17">
        <v>1.3468</v>
      </c>
      <c r="AL85" s="17">
        <v>1.0727</v>
      </c>
      <c r="AM85" s="17">
        <v>0.80759999999999998</v>
      </c>
      <c r="AN85" s="17">
        <v>0.55189999999999995</v>
      </c>
      <c r="AO85" s="17">
        <v>0.32229999999999998</v>
      </c>
      <c r="AP85" s="17">
        <v>9.3799999999999994E-2</v>
      </c>
      <c r="AQ85" s="17">
        <v>1.7299999999999999E-2</v>
      </c>
      <c r="AR85" s="17">
        <v>0</v>
      </c>
      <c r="AS85" s="17">
        <v>0</v>
      </c>
      <c r="AT85" s="17">
        <v>0</v>
      </c>
      <c r="AU85" s="17">
        <v>0</v>
      </c>
      <c r="AV85" s="17">
        <v>0</v>
      </c>
      <c r="AW85" s="17">
        <v>0</v>
      </c>
      <c r="AX85" s="17">
        <v>0</v>
      </c>
    </row>
    <row r="86" spans="1:50" x14ac:dyDescent="0.25">
      <c r="A86" s="16" t="s">
        <v>551</v>
      </c>
      <c r="B86" s="13" t="s">
        <v>464</v>
      </c>
      <c r="C86" s="17">
        <v>0</v>
      </c>
      <c r="D86" s="17">
        <v>0</v>
      </c>
      <c r="E86" s="17">
        <v>0</v>
      </c>
      <c r="F86" s="17">
        <v>0</v>
      </c>
      <c r="G86" s="17">
        <v>0</v>
      </c>
      <c r="H86" s="17">
        <v>0</v>
      </c>
      <c r="I86" s="17">
        <v>0</v>
      </c>
      <c r="J86" s="17">
        <v>3.3999999999999998E-3</v>
      </c>
      <c r="K86" s="17">
        <v>4.9700000000000001E-2</v>
      </c>
      <c r="L86" s="17">
        <v>0.2326</v>
      </c>
      <c r="M86" s="17">
        <v>0.46129999999999999</v>
      </c>
      <c r="N86" s="17">
        <v>0.7419</v>
      </c>
      <c r="O86" s="17">
        <v>1.0479000000000001</v>
      </c>
      <c r="P86" s="17">
        <v>1.3576999999999999</v>
      </c>
      <c r="Q86" s="17">
        <v>1.6659999999999999</v>
      </c>
      <c r="R86" s="17">
        <v>1.9745999999999999</v>
      </c>
      <c r="S86" s="17">
        <v>2.2643</v>
      </c>
      <c r="T86" s="17">
        <v>2.5367000000000002</v>
      </c>
      <c r="U86" s="17">
        <v>2.7686000000000002</v>
      </c>
      <c r="V86" s="17">
        <v>2.9664000000000001</v>
      </c>
      <c r="W86" s="17">
        <v>3.14</v>
      </c>
      <c r="X86" s="17">
        <v>3.2833000000000001</v>
      </c>
      <c r="Y86" s="17">
        <v>3.3849999999999998</v>
      </c>
      <c r="Z86" s="17">
        <v>3.4296000000000002</v>
      </c>
      <c r="AA86" s="17">
        <v>3.4424999999999999</v>
      </c>
      <c r="AB86" s="17">
        <v>3.4182999999999999</v>
      </c>
      <c r="AC86" s="17">
        <v>3.3372000000000002</v>
      </c>
      <c r="AD86" s="17">
        <v>3.2132999999999998</v>
      </c>
      <c r="AE86" s="17">
        <v>3.0655000000000001</v>
      </c>
      <c r="AF86" s="17">
        <v>2.8782000000000001</v>
      </c>
      <c r="AG86" s="17">
        <v>2.6791</v>
      </c>
      <c r="AH86" s="17">
        <v>2.4396</v>
      </c>
      <c r="AI86" s="17">
        <v>2.1698</v>
      </c>
      <c r="AJ86" s="17">
        <v>1.8441000000000001</v>
      </c>
      <c r="AK86" s="17">
        <v>1.5391999999999999</v>
      </c>
      <c r="AL86" s="17">
        <v>1.2259</v>
      </c>
      <c r="AM86" s="17">
        <v>0.92290000000000005</v>
      </c>
      <c r="AN86" s="17">
        <v>0.63080000000000003</v>
      </c>
      <c r="AO86" s="17">
        <v>0.36830000000000002</v>
      </c>
      <c r="AP86" s="17">
        <v>0.1072</v>
      </c>
      <c r="AQ86" s="17">
        <v>1.9800000000000002E-2</v>
      </c>
      <c r="AR86" s="17">
        <v>0</v>
      </c>
      <c r="AS86" s="17">
        <v>0</v>
      </c>
      <c r="AT86" s="17">
        <v>0</v>
      </c>
      <c r="AU86" s="17">
        <v>0</v>
      </c>
      <c r="AV86" s="17">
        <v>0</v>
      </c>
      <c r="AW86" s="17">
        <v>0</v>
      </c>
      <c r="AX86" s="17">
        <v>0</v>
      </c>
    </row>
    <row r="87" spans="1:50" x14ac:dyDescent="0.25">
      <c r="A87" s="16" t="s">
        <v>553</v>
      </c>
      <c r="B87" s="13" t="s">
        <v>464</v>
      </c>
      <c r="C87" s="17">
        <v>0</v>
      </c>
      <c r="D87" s="17">
        <v>0</v>
      </c>
      <c r="E87" s="17">
        <v>0</v>
      </c>
      <c r="F87" s="17">
        <v>0</v>
      </c>
      <c r="G87" s="17">
        <v>0</v>
      </c>
      <c r="H87" s="17">
        <v>0</v>
      </c>
      <c r="I87" s="17">
        <v>0</v>
      </c>
      <c r="J87" s="17">
        <v>2.5999999999999999E-3</v>
      </c>
      <c r="K87" s="17">
        <v>3.73E-2</v>
      </c>
      <c r="L87" s="17">
        <v>0.1744</v>
      </c>
      <c r="M87" s="17">
        <v>0.34599999999999997</v>
      </c>
      <c r="N87" s="17">
        <v>0.55640000000000001</v>
      </c>
      <c r="O87" s="17">
        <v>0.78590000000000004</v>
      </c>
      <c r="P87" s="17">
        <v>1.0183</v>
      </c>
      <c r="Q87" s="17">
        <v>1.2495000000000001</v>
      </c>
      <c r="R87" s="17">
        <v>1.4810000000000001</v>
      </c>
      <c r="S87" s="17">
        <v>1.6981999999999999</v>
      </c>
      <c r="T87" s="17">
        <v>1.9025000000000001</v>
      </c>
      <c r="U87" s="17">
        <v>2.0764</v>
      </c>
      <c r="V87" s="17">
        <v>2.2248000000000001</v>
      </c>
      <c r="W87" s="17">
        <v>2.355</v>
      </c>
      <c r="X87" s="17">
        <v>2.4624999999999999</v>
      </c>
      <c r="Y87" s="17">
        <v>2.5387</v>
      </c>
      <c r="Z87" s="17">
        <v>2.5722</v>
      </c>
      <c r="AA87" s="17">
        <v>2.5819000000000001</v>
      </c>
      <c r="AB87" s="17">
        <v>2.5636999999999999</v>
      </c>
      <c r="AC87" s="17">
        <v>2.5028999999999999</v>
      </c>
      <c r="AD87" s="17">
        <v>2.41</v>
      </c>
      <c r="AE87" s="17">
        <v>2.2991000000000001</v>
      </c>
      <c r="AF87" s="17">
        <v>2.1585999999999999</v>
      </c>
      <c r="AG87" s="17">
        <v>2.0093000000000001</v>
      </c>
      <c r="AH87" s="17">
        <v>1.8297000000000001</v>
      </c>
      <c r="AI87" s="17">
        <v>1.6274</v>
      </c>
      <c r="AJ87" s="17">
        <v>1.3831</v>
      </c>
      <c r="AK87" s="17">
        <v>1.1544000000000001</v>
      </c>
      <c r="AL87" s="17">
        <v>0.91949999999999998</v>
      </c>
      <c r="AM87" s="17">
        <v>0.69220000000000004</v>
      </c>
      <c r="AN87" s="17">
        <v>0.47310000000000002</v>
      </c>
      <c r="AO87" s="17">
        <v>0.2762</v>
      </c>
      <c r="AP87" s="17">
        <v>8.0399999999999999E-2</v>
      </c>
      <c r="AQ87" s="17">
        <v>1.4800000000000001E-2</v>
      </c>
      <c r="AR87" s="17">
        <v>0</v>
      </c>
      <c r="AS87" s="17">
        <v>0</v>
      </c>
      <c r="AT87" s="17">
        <v>0</v>
      </c>
      <c r="AU87" s="17">
        <v>0</v>
      </c>
      <c r="AV87" s="17">
        <v>0</v>
      </c>
      <c r="AW87" s="17">
        <v>0</v>
      </c>
      <c r="AX87" s="17">
        <v>0</v>
      </c>
    </row>
    <row r="88" spans="1:50" x14ac:dyDescent="0.25">
      <c r="A88" s="16" t="s">
        <v>555</v>
      </c>
      <c r="B88" s="13" t="s">
        <v>464</v>
      </c>
      <c r="C88" s="17">
        <v>0</v>
      </c>
      <c r="D88" s="17">
        <v>0</v>
      </c>
      <c r="E88" s="17">
        <v>0</v>
      </c>
      <c r="F88" s="17">
        <v>0</v>
      </c>
      <c r="G88" s="17">
        <v>0</v>
      </c>
      <c r="H88" s="17">
        <v>0</v>
      </c>
      <c r="I88" s="17">
        <v>0</v>
      </c>
      <c r="J88" s="17">
        <v>1.6999999999999999E-3</v>
      </c>
      <c r="K88" s="17">
        <v>2.4899999999999999E-2</v>
      </c>
      <c r="L88" s="17">
        <v>0.1163</v>
      </c>
      <c r="M88" s="17">
        <v>0.23069999999999999</v>
      </c>
      <c r="N88" s="17">
        <v>0.37090000000000001</v>
      </c>
      <c r="O88" s="17">
        <v>0.52400000000000002</v>
      </c>
      <c r="P88" s="17">
        <v>0.67889999999999995</v>
      </c>
      <c r="Q88" s="17">
        <v>0.83299999999999996</v>
      </c>
      <c r="R88" s="17">
        <v>0.98729999999999996</v>
      </c>
      <c r="S88" s="17">
        <v>1.1322000000000001</v>
      </c>
      <c r="T88" s="17">
        <v>1.2683</v>
      </c>
      <c r="U88" s="17">
        <v>1.3843000000000001</v>
      </c>
      <c r="V88" s="17">
        <v>1.4832000000000001</v>
      </c>
      <c r="W88" s="17">
        <v>1.57</v>
      </c>
      <c r="X88" s="17">
        <v>1.6416999999999999</v>
      </c>
      <c r="Y88" s="17">
        <v>1.6924999999999999</v>
      </c>
      <c r="Z88" s="17">
        <v>1.7148000000000001</v>
      </c>
      <c r="AA88" s="17">
        <v>1.7212000000000001</v>
      </c>
      <c r="AB88" s="17">
        <v>1.7092000000000001</v>
      </c>
      <c r="AC88" s="17">
        <v>1.6686000000000001</v>
      </c>
      <c r="AD88" s="17">
        <v>1.6067</v>
      </c>
      <c r="AE88" s="17">
        <v>1.5327999999999999</v>
      </c>
      <c r="AF88" s="17">
        <v>1.4391</v>
      </c>
      <c r="AG88" s="17">
        <v>1.3395999999999999</v>
      </c>
      <c r="AH88" s="17">
        <v>1.2198</v>
      </c>
      <c r="AI88" s="17">
        <v>1.0849</v>
      </c>
      <c r="AJ88" s="17">
        <v>0.92200000000000004</v>
      </c>
      <c r="AK88" s="17">
        <v>0.76959999999999995</v>
      </c>
      <c r="AL88" s="17">
        <v>0.61299999999999999</v>
      </c>
      <c r="AM88" s="17">
        <v>0.46150000000000002</v>
      </c>
      <c r="AN88" s="17">
        <v>0.31540000000000001</v>
      </c>
      <c r="AO88" s="17">
        <v>0.1842</v>
      </c>
      <c r="AP88" s="17">
        <v>5.3600000000000002E-2</v>
      </c>
      <c r="AQ88" s="17">
        <v>9.9000000000000008E-3</v>
      </c>
      <c r="AR88" s="17">
        <v>0</v>
      </c>
      <c r="AS88" s="17">
        <v>0</v>
      </c>
      <c r="AT88" s="17">
        <v>0</v>
      </c>
      <c r="AU88" s="17">
        <v>0</v>
      </c>
      <c r="AV88" s="17">
        <v>0</v>
      </c>
      <c r="AW88" s="17">
        <v>0</v>
      </c>
      <c r="AX88" s="17">
        <v>0</v>
      </c>
    </row>
    <row r="89" spans="1:50" x14ac:dyDescent="0.25">
      <c r="A89" s="8" t="s">
        <v>130</v>
      </c>
      <c r="B89" s="10" t="s">
        <v>57</v>
      </c>
      <c r="C89" s="18">
        <v>0</v>
      </c>
      <c r="D89" s="18">
        <v>0</v>
      </c>
      <c r="E89" s="18">
        <v>0</v>
      </c>
      <c r="F89" s="18">
        <v>0</v>
      </c>
      <c r="G89" s="18">
        <v>0</v>
      </c>
      <c r="H89" s="18">
        <v>0</v>
      </c>
      <c r="I89" s="18">
        <v>0</v>
      </c>
      <c r="J89" s="18">
        <v>0</v>
      </c>
      <c r="K89" s="18">
        <v>0</v>
      </c>
      <c r="L89" s="18">
        <v>0</v>
      </c>
      <c r="M89" s="18">
        <v>0</v>
      </c>
      <c r="N89" s="18">
        <v>0</v>
      </c>
      <c r="O89" s="18">
        <v>0</v>
      </c>
      <c r="P89" s="18">
        <v>0</v>
      </c>
      <c r="Q89" s="18">
        <v>0</v>
      </c>
      <c r="R89" s="18">
        <v>0</v>
      </c>
      <c r="S89" s="18">
        <v>0</v>
      </c>
      <c r="T89" s="18">
        <v>0</v>
      </c>
      <c r="U89" s="18">
        <v>0</v>
      </c>
      <c r="V89" s="18">
        <v>0</v>
      </c>
      <c r="W89" s="18">
        <v>0</v>
      </c>
      <c r="X89" s="18">
        <v>0</v>
      </c>
      <c r="Y89" s="18">
        <v>0</v>
      </c>
      <c r="Z89" s="18">
        <v>0</v>
      </c>
      <c r="AA89" s="18">
        <v>0</v>
      </c>
      <c r="AB89" s="18">
        <v>0</v>
      </c>
      <c r="AC89" s="18">
        <v>0</v>
      </c>
      <c r="AD89" s="18">
        <v>0</v>
      </c>
      <c r="AE89" s="18">
        <v>0</v>
      </c>
      <c r="AF89" s="18">
        <v>0</v>
      </c>
      <c r="AG89" s="18">
        <v>0</v>
      </c>
      <c r="AH89" s="18">
        <v>0</v>
      </c>
      <c r="AI89" s="18">
        <v>0</v>
      </c>
      <c r="AJ89" s="18">
        <v>0</v>
      </c>
      <c r="AK89" s="18">
        <v>0</v>
      </c>
      <c r="AL89" s="18">
        <v>0</v>
      </c>
      <c r="AM89" s="18">
        <v>0</v>
      </c>
      <c r="AN89" s="18">
        <v>0</v>
      </c>
      <c r="AO89" s="18">
        <v>0</v>
      </c>
      <c r="AP89" s="18">
        <v>0</v>
      </c>
      <c r="AQ89" s="18">
        <v>0</v>
      </c>
      <c r="AR89" s="18">
        <v>0</v>
      </c>
      <c r="AS89" s="18">
        <v>0</v>
      </c>
      <c r="AT89" s="18">
        <v>0</v>
      </c>
      <c r="AU89" s="18">
        <v>0</v>
      </c>
      <c r="AV89" s="18">
        <v>0</v>
      </c>
      <c r="AW89" s="18">
        <v>0</v>
      </c>
      <c r="AX89" s="18">
        <v>0</v>
      </c>
    </row>
    <row r="90" spans="1:50" x14ac:dyDescent="0.25">
      <c r="A90" s="8" t="s">
        <v>132</v>
      </c>
      <c r="B90" s="10" t="s">
        <v>57</v>
      </c>
      <c r="C90" s="18">
        <v>0</v>
      </c>
      <c r="D90" s="18">
        <v>0</v>
      </c>
      <c r="E90" s="18">
        <v>0</v>
      </c>
      <c r="F90" s="18">
        <v>0</v>
      </c>
      <c r="G90" s="18">
        <v>0</v>
      </c>
      <c r="H90" s="18">
        <v>0</v>
      </c>
      <c r="I90" s="18">
        <v>0</v>
      </c>
      <c r="J90" s="18">
        <v>0</v>
      </c>
      <c r="K90" s="18">
        <v>0</v>
      </c>
      <c r="L90" s="18">
        <v>0</v>
      </c>
      <c r="M90" s="18">
        <v>0</v>
      </c>
      <c r="N90" s="18">
        <v>0</v>
      </c>
      <c r="O90" s="18">
        <v>0</v>
      </c>
      <c r="P90" s="18">
        <v>0</v>
      </c>
      <c r="Q90" s="18">
        <v>0</v>
      </c>
      <c r="R90" s="18">
        <v>0</v>
      </c>
      <c r="S90" s="18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8">
        <v>0</v>
      </c>
      <c r="Z90" s="18">
        <v>0</v>
      </c>
      <c r="AA90" s="18">
        <v>0</v>
      </c>
      <c r="AB90" s="18">
        <v>0</v>
      </c>
      <c r="AC90" s="18">
        <v>0</v>
      </c>
      <c r="AD90" s="18">
        <v>0</v>
      </c>
      <c r="AE90" s="18">
        <v>0</v>
      </c>
      <c r="AF90" s="18">
        <v>0</v>
      </c>
      <c r="AG90" s="18">
        <v>0</v>
      </c>
      <c r="AH90" s="18">
        <v>0</v>
      </c>
      <c r="AI90" s="18">
        <v>0</v>
      </c>
      <c r="AJ90" s="18">
        <v>0</v>
      </c>
      <c r="AK90" s="18">
        <v>0</v>
      </c>
      <c r="AL90" s="18">
        <v>0</v>
      </c>
      <c r="AM90" s="18">
        <v>0</v>
      </c>
      <c r="AN90" s="18">
        <v>0</v>
      </c>
      <c r="AO90" s="18">
        <v>0</v>
      </c>
      <c r="AP90" s="18">
        <v>0</v>
      </c>
      <c r="AQ90" s="18">
        <v>0</v>
      </c>
      <c r="AR90" s="18">
        <v>0</v>
      </c>
      <c r="AS90" s="18">
        <v>0</v>
      </c>
      <c r="AT90" s="18">
        <v>0</v>
      </c>
      <c r="AU90" s="18">
        <v>0</v>
      </c>
      <c r="AV90" s="18">
        <v>0</v>
      </c>
      <c r="AW90" s="18">
        <v>0</v>
      </c>
      <c r="AX90" s="18">
        <v>0</v>
      </c>
    </row>
    <row r="91" spans="1:50" x14ac:dyDescent="0.25">
      <c r="A91" s="16" t="s">
        <v>557</v>
      </c>
      <c r="B91" s="13" t="s">
        <v>464</v>
      </c>
      <c r="C91" s="17">
        <v>0</v>
      </c>
      <c r="D91" s="17">
        <v>0</v>
      </c>
      <c r="E91" s="17">
        <v>0</v>
      </c>
      <c r="F91" s="17">
        <v>0</v>
      </c>
      <c r="G91" s="17">
        <v>0</v>
      </c>
      <c r="H91" s="17">
        <v>0</v>
      </c>
      <c r="I91" s="17">
        <v>0</v>
      </c>
      <c r="J91" s="17">
        <v>1.6999999999999999E-3</v>
      </c>
      <c r="K91" s="17">
        <v>2.4899999999999999E-2</v>
      </c>
      <c r="L91" s="17">
        <v>0.1163</v>
      </c>
      <c r="M91" s="17">
        <v>0.23069999999999999</v>
      </c>
      <c r="N91" s="17">
        <v>0.37090000000000001</v>
      </c>
      <c r="O91" s="17">
        <v>0.52400000000000002</v>
      </c>
      <c r="P91" s="17">
        <v>0.67889999999999995</v>
      </c>
      <c r="Q91" s="17">
        <v>0.83299999999999996</v>
      </c>
      <c r="R91" s="17">
        <v>0.98729999999999996</v>
      </c>
      <c r="S91" s="17">
        <v>1.1322000000000001</v>
      </c>
      <c r="T91" s="17">
        <v>1.2683</v>
      </c>
      <c r="U91" s="17">
        <v>1.3843000000000001</v>
      </c>
      <c r="V91" s="17">
        <v>1.4832000000000001</v>
      </c>
      <c r="W91" s="17">
        <v>1.57</v>
      </c>
      <c r="X91" s="17">
        <v>1.6416999999999999</v>
      </c>
      <c r="Y91" s="17">
        <v>1.6924999999999999</v>
      </c>
      <c r="Z91" s="17">
        <v>1.7148000000000001</v>
      </c>
      <c r="AA91" s="17">
        <v>1.7212000000000001</v>
      </c>
      <c r="AB91" s="17">
        <v>1.7092000000000001</v>
      </c>
      <c r="AC91" s="17">
        <v>1.6686000000000001</v>
      </c>
      <c r="AD91" s="17">
        <v>1.6067</v>
      </c>
      <c r="AE91" s="17">
        <v>1.5327999999999999</v>
      </c>
      <c r="AF91" s="17">
        <v>1.4391</v>
      </c>
      <c r="AG91" s="17">
        <v>1.3395999999999999</v>
      </c>
      <c r="AH91" s="17">
        <v>1.2198</v>
      </c>
      <c r="AI91" s="17">
        <v>1.0849</v>
      </c>
      <c r="AJ91" s="17">
        <v>0.92200000000000004</v>
      </c>
      <c r="AK91" s="17">
        <v>0.76959999999999995</v>
      </c>
      <c r="AL91" s="17">
        <v>0.61299999999999999</v>
      </c>
      <c r="AM91" s="17">
        <v>0.46150000000000002</v>
      </c>
      <c r="AN91" s="17">
        <v>0.31540000000000001</v>
      </c>
      <c r="AO91" s="17">
        <v>0.1842</v>
      </c>
      <c r="AP91" s="17">
        <v>5.3600000000000002E-2</v>
      </c>
      <c r="AQ91" s="17">
        <v>9.9000000000000008E-3</v>
      </c>
      <c r="AR91" s="17">
        <v>0</v>
      </c>
      <c r="AS91" s="17">
        <v>0</v>
      </c>
      <c r="AT91" s="17">
        <v>0</v>
      </c>
      <c r="AU91" s="17">
        <v>0</v>
      </c>
      <c r="AV91" s="17">
        <v>0</v>
      </c>
      <c r="AW91" s="17">
        <v>0</v>
      </c>
      <c r="AX91" s="17">
        <v>0</v>
      </c>
    </row>
    <row r="92" spans="1:50" x14ac:dyDescent="0.25">
      <c r="A92" s="16" t="s">
        <v>559</v>
      </c>
      <c r="B92" s="13" t="s">
        <v>464</v>
      </c>
      <c r="C92" s="17">
        <v>0</v>
      </c>
      <c r="D92" s="17">
        <v>0</v>
      </c>
      <c r="E92" s="17">
        <v>0</v>
      </c>
      <c r="F92" s="17">
        <v>0</v>
      </c>
      <c r="G92" s="17">
        <v>0</v>
      </c>
      <c r="H92" s="17">
        <v>0</v>
      </c>
      <c r="I92" s="17">
        <v>0</v>
      </c>
      <c r="J92" s="17">
        <v>1.2999999999999999E-3</v>
      </c>
      <c r="K92" s="17">
        <v>1.8700000000000001E-2</v>
      </c>
      <c r="L92" s="17">
        <v>8.72E-2</v>
      </c>
      <c r="M92" s="17">
        <v>0.17299999999999999</v>
      </c>
      <c r="N92" s="17">
        <v>0.2782</v>
      </c>
      <c r="O92" s="17">
        <v>0.39300000000000002</v>
      </c>
      <c r="P92" s="17">
        <v>0.50919999999999999</v>
      </c>
      <c r="Q92" s="17">
        <v>0.62470000000000003</v>
      </c>
      <c r="R92" s="17">
        <v>0.74050000000000005</v>
      </c>
      <c r="S92" s="17">
        <v>0.84909999999999997</v>
      </c>
      <c r="T92" s="17">
        <v>0.95120000000000005</v>
      </c>
      <c r="U92" s="17">
        <v>1.0382</v>
      </c>
      <c r="V92" s="17">
        <v>1.1124000000000001</v>
      </c>
      <c r="W92" s="17">
        <v>1.1775</v>
      </c>
      <c r="X92" s="17">
        <v>1.2312000000000001</v>
      </c>
      <c r="Y92" s="17">
        <v>1.2694000000000001</v>
      </c>
      <c r="Z92" s="17">
        <v>1.2861</v>
      </c>
      <c r="AA92" s="17">
        <v>1.2908999999999999</v>
      </c>
      <c r="AB92" s="17">
        <v>1.2819</v>
      </c>
      <c r="AC92" s="17">
        <v>1.2514000000000001</v>
      </c>
      <c r="AD92" s="17">
        <v>1.2050000000000001</v>
      </c>
      <c r="AE92" s="17">
        <v>1.1496</v>
      </c>
      <c r="AF92" s="17">
        <v>1.0792999999999999</v>
      </c>
      <c r="AG92" s="17">
        <v>1.0046999999999999</v>
      </c>
      <c r="AH92" s="17">
        <v>0.91479999999999995</v>
      </c>
      <c r="AI92" s="17">
        <v>0.81369999999999998</v>
      </c>
      <c r="AJ92" s="17">
        <v>0.6915</v>
      </c>
      <c r="AK92" s="17">
        <v>0.57720000000000005</v>
      </c>
      <c r="AL92" s="17">
        <v>0.4597</v>
      </c>
      <c r="AM92" s="17">
        <v>0.34610000000000002</v>
      </c>
      <c r="AN92" s="17">
        <v>0.23649999999999999</v>
      </c>
      <c r="AO92" s="17">
        <v>0.1381</v>
      </c>
      <c r="AP92" s="17">
        <v>4.02E-2</v>
      </c>
      <c r="AQ92" s="17">
        <v>7.4000000000000003E-3</v>
      </c>
      <c r="AR92" s="17">
        <v>0</v>
      </c>
      <c r="AS92" s="17">
        <v>0</v>
      </c>
      <c r="AT92" s="17">
        <v>0</v>
      </c>
      <c r="AU92" s="17">
        <v>0</v>
      </c>
      <c r="AV92" s="17">
        <v>0</v>
      </c>
      <c r="AW92" s="17">
        <v>0</v>
      </c>
      <c r="AX92" s="17">
        <v>0</v>
      </c>
    </row>
    <row r="93" spans="1:50" x14ac:dyDescent="0.25">
      <c r="A93" s="16" t="s">
        <v>561</v>
      </c>
      <c r="B93" s="13" t="s">
        <v>464</v>
      </c>
      <c r="C93" s="17">
        <v>0</v>
      </c>
      <c r="D93" s="17">
        <v>0</v>
      </c>
      <c r="E93" s="17">
        <v>0</v>
      </c>
      <c r="F93" s="17">
        <v>0</v>
      </c>
      <c r="G93" s="17">
        <v>0</v>
      </c>
      <c r="H93" s="17">
        <v>0</v>
      </c>
      <c r="I93" s="17">
        <v>0</v>
      </c>
      <c r="J93" s="17">
        <v>2.2000000000000001E-3</v>
      </c>
      <c r="K93" s="17">
        <v>3.1099999999999999E-2</v>
      </c>
      <c r="L93" s="17">
        <v>0.1454</v>
      </c>
      <c r="M93" s="17">
        <v>0.2883</v>
      </c>
      <c r="N93" s="17">
        <v>0.4637</v>
      </c>
      <c r="O93" s="17">
        <v>0.65490000000000004</v>
      </c>
      <c r="P93" s="17">
        <v>0.84860000000000002</v>
      </c>
      <c r="Q93" s="17">
        <v>1.0411999999999999</v>
      </c>
      <c r="R93" s="17">
        <v>1.2341</v>
      </c>
      <c r="S93" s="17">
        <v>1.4152</v>
      </c>
      <c r="T93" s="17">
        <v>1.5853999999999999</v>
      </c>
      <c r="U93" s="17">
        <v>1.7303999999999999</v>
      </c>
      <c r="V93" s="17">
        <v>1.8540000000000001</v>
      </c>
      <c r="W93" s="17">
        <v>1.9624999999999999</v>
      </c>
      <c r="X93" s="17">
        <v>2.0520999999999998</v>
      </c>
      <c r="Y93" s="17">
        <v>2.1156000000000001</v>
      </c>
      <c r="Z93" s="17">
        <v>2.1435</v>
      </c>
      <c r="AA93" s="17">
        <v>2.1516000000000002</v>
      </c>
      <c r="AB93" s="17">
        <v>2.1364999999999998</v>
      </c>
      <c r="AC93" s="17">
        <v>2.0857000000000001</v>
      </c>
      <c r="AD93" s="17">
        <v>2.0083000000000002</v>
      </c>
      <c r="AE93" s="17">
        <v>1.9158999999999999</v>
      </c>
      <c r="AF93" s="17">
        <v>1.7988999999999999</v>
      </c>
      <c r="AG93" s="17">
        <v>1.6745000000000001</v>
      </c>
      <c r="AH93" s="17">
        <v>1.5246999999999999</v>
      </c>
      <c r="AI93" s="17">
        <v>1.3561000000000001</v>
      </c>
      <c r="AJ93" s="17">
        <v>1.1525000000000001</v>
      </c>
      <c r="AK93" s="17">
        <v>0.96199999999999997</v>
      </c>
      <c r="AL93" s="17">
        <v>0.76619999999999999</v>
      </c>
      <c r="AM93" s="17">
        <v>0.57679999999999998</v>
      </c>
      <c r="AN93" s="17">
        <v>0.39419999999999999</v>
      </c>
      <c r="AO93" s="17">
        <v>0.23019999999999999</v>
      </c>
      <c r="AP93" s="17">
        <v>6.7000000000000004E-2</v>
      </c>
      <c r="AQ93" s="17">
        <v>1.24E-2</v>
      </c>
      <c r="AR93" s="17">
        <v>0</v>
      </c>
      <c r="AS93" s="17">
        <v>0</v>
      </c>
      <c r="AT93" s="17">
        <v>0</v>
      </c>
      <c r="AU93" s="17">
        <v>0</v>
      </c>
      <c r="AV93" s="17">
        <v>0</v>
      </c>
      <c r="AW93" s="17">
        <v>0</v>
      </c>
      <c r="AX93" s="17">
        <v>0</v>
      </c>
    </row>
    <row r="94" spans="1:50" x14ac:dyDescent="0.25">
      <c r="A94" s="16" t="s">
        <v>563</v>
      </c>
      <c r="B94" s="13" t="s">
        <v>464</v>
      </c>
      <c r="C94" s="17">
        <v>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3.0000000000000001E-3</v>
      </c>
      <c r="K94" s="17">
        <v>4.3499999999999997E-2</v>
      </c>
      <c r="L94" s="17">
        <v>0.20349999999999999</v>
      </c>
      <c r="M94" s="17">
        <v>0.4037</v>
      </c>
      <c r="N94" s="17">
        <v>0.64910000000000001</v>
      </c>
      <c r="O94" s="17">
        <v>0.91690000000000005</v>
      </c>
      <c r="P94" s="17">
        <v>1.1879999999999999</v>
      </c>
      <c r="Q94" s="17">
        <v>1.4577</v>
      </c>
      <c r="R94" s="17">
        <v>1.7278</v>
      </c>
      <c r="S94" s="17">
        <v>1.9813000000000001</v>
      </c>
      <c r="T94" s="17">
        <v>2.2195999999999998</v>
      </c>
      <c r="U94" s="17">
        <v>2.4224999999999999</v>
      </c>
      <c r="V94" s="17">
        <v>2.5956000000000001</v>
      </c>
      <c r="W94" s="17">
        <v>2.7475000000000001</v>
      </c>
      <c r="X94" s="17">
        <v>2.8729</v>
      </c>
      <c r="Y94" s="17">
        <v>2.9619</v>
      </c>
      <c r="Z94" s="17">
        <v>3.0009000000000001</v>
      </c>
      <c r="AA94" s="17">
        <v>3.0122</v>
      </c>
      <c r="AB94" s="17">
        <v>2.9910000000000001</v>
      </c>
      <c r="AC94" s="17">
        <v>2.92</v>
      </c>
      <c r="AD94" s="17">
        <v>2.8117000000000001</v>
      </c>
      <c r="AE94" s="17">
        <v>2.6823000000000001</v>
      </c>
      <c r="AF94" s="17">
        <v>2.5184000000000002</v>
      </c>
      <c r="AG94" s="17">
        <v>2.3441999999999998</v>
      </c>
      <c r="AH94" s="17">
        <v>2.1345999999999998</v>
      </c>
      <c r="AI94" s="17">
        <v>1.8986000000000001</v>
      </c>
      <c r="AJ94" s="17">
        <v>1.6135999999999999</v>
      </c>
      <c r="AK94" s="17">
        <v>1.3468</v>
      </c>
      <c r="AL94" s="17">
        <v>1.0727</v>
      </c>
      <c r="AM94" s="17">
        <v>0.80759999999999998</v>
      </c>
      <c r="AN94" s="17">
        <v>0.55189999999999995</v>
      </c>
      <c r="AO94" s="17">
        <v>0.32229999999999998</v>
      </c>
      <c r="AP94" s="17">
        <v>9.3799999999999994E-2</v>
      </c>
      <c r="AQ94" s="17">
        <v>1.7299999999999999E-2</v>
      </c>
      <c r="AR94" s="17">
        <v>0</v>
      </c>
      <c r="AS94" s="17">
        <v>0</v>
      </c>
      <c r="AT94" s="17">
        <v>0</v>
      </c>
      <c r="AU94" s="17">
        <v>0</v>
      </c>
      <c r="AV94" s="17">
        <v>0</v>
      </c>
      <c r="AW94" s="17">
        <v>0</v>
      </c>
      <c r="AX94" s="17">
        <v>0</v>
      </c>
    </row>
    <row r="95" spans="1:50" x14ac:dyDescent="0.25">
      <c r="A95" s="16" t="s">
        <v>565</v>
      </c>
      <c r="B95" s="13" t="s">
        <v>464</v>
      </c>
      <c r="C95" s="17">
        <v>0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1.6999999999999999E-3</v>
      </c>
      <c r="K95" s="17">
        <v>2.4899999999999999E-2</v>
      </c>
      <c r="L95" s="17">
        <v>0.1163</v>
      </c>
      <c r="M95" s="17">
        <v>0.23069999999999999</v>
      </c>
      <c r="N95" s="17">
        <v>0.37090000000000001</v>
      </c>
      <c r="O95" s="17">
        <v>0.52400000000000002</v>
      </c>
      <c r="P95" s="17">
        <v>0.67889999999999995</v>
      </c>
      <c r="Q95" s="17">
        <v>0.83299999999999996</v>
      </c>
      <c r="R95" s="17">
        <v>0.98729999999999996</v>
      </c>
      <c r="S95" s="17">
        <v>1.1322000000000001</v>
      </c>
      <c r="T95" s="17">
        <v>1.2683</v>
      </c>
      <c r="U95" s="17">
        <v>1.3843000000000001</v>
      </c>
      <c r="V95" s="17">
        <v>1.4832000000000001</v>
      </c>
      <c r="W95" s="17">
        <v>1.57</v>
      </c>
      <c r="X95" s="17">
        <v>1.6416999999999999</v>
      </c>
      <c r="Y95" s="17">
        <v>1.6924999999999999</v>
      </c>
      <c r="Z95" s="17">
        <v>1.7148000000000001</v>
      </c>
      <c r="AA95" s="17">
        <v>1.7212000000000001</v>
      </c>
      <c r="AB95" s="17">
        <v>1.7092000000000001</v>
      </c>
      <c r="AC95" s="17">
        <v>1.6686000000000001</v>
      </c>
      <c r="AD95" s="17">
        <v>1.6067</v>
      </c>
      <c r="AE95" s="17">
        <v>1.5327999999999999</v>
      </c>
      <c r="AF95" s="17">
        <v>1.4391</v>
      </c>
      <c r="AG95" s="17">
        <v>1.3395999999999999</v>
      </c>
      <c r="AH95" s="17">
        <v>1.2198</v>
      </c>
      <c r="AI95" s="17">
        <v>1.0849</v>
      </c>
      <c r="AJ95" s="17">
        <v>0.92200000000000004</v>
      </c>
      <c r="AK95" s="17">
        <v>0.76959999999999995</v>
      </c>
      <c r="AL95" s="17">
        <v>0.61299999999999999</v>
      </c>
      <c r="AM95" s="17">
        <v>0.46150000000000002</v>
      </c>
      <c r="AN95" s="17">
        <v>0.31540000000000001</v>
      </c>
      <c r="AO95" s="17">
        <v>0.1842</v>
      </c>
      <c r="AP95" s="17">
        <v>5.3600000000000002E-2</v>
      </c>
      <c r="AQ95" s="17">
        <v>9.9000000000000008E-3</v>
      </c>
      <c r="AR95" s="17">
        <v>0</v>
      </c>
      <c r="AS95" s="17">
        <v>0</v>
      </c>
      <c r="AT95" s="17">
        <v>0</v>
      </c>
      <c r="AU95" s="17">
        <v>0</v>
      </c>
      <c r="AV95" s="17">
        <v>0</v>
      </c>
      <c r="AW95" s="17">
        <v>0</v>
      </c>
      <c r="AX95" s="17">
        <v>0</v>
      </c>
    </row>
    <row r="96" spans="1:50" x14ac:dyDescent="0.25">
      <c r="A96" s="8" t="s">
        <v>134</v>
      </c>
      <c r="B96" s="10" t="s">
        <v>57</v>
      </c>
      <c r="C96" s="18">
        <v>0</v>
      </c>
      <c r="D96" s="18">
        <v>0</v>
      </c>
      <c r="E96" s="18">
        <v>0</v>
      </c>
      <c r="F96" s="18">
        <v>0</v>
      </c>
      <c r="G96" s="18">
        <v>0</v>
      </c>
      <c r="H96" s="18">
        <v>0</v>
      </c>
      <c r="I96" s="18">
        <v>0</v>
      </c>
      <c r="J96" s="18">
        <v>0</v>
      </c>
      <c r="K96" s="18">
        <v>0</v>
      </c>
      <c r="L96" s="18">
        <v>0</v>
      </c>
      <c r="M96" s="18">
        <v>0</v>
      </c>
      <c r="N96" s="18">
        <v>0</v>
      </c>
      <c r="O96" s="18">
        <v>0</v>
      </c>
      <c r="P96" s="18">
        <v>0</v>
      </c>
      <c r="Q96" s="18">
        <v>0</v>
      </c>
      <c r="R96" s="18">
        <v>0</v>
      </c>
      <c r="S96" s="18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8">
        <v>0</v>
      </c>
      <c r="Z96" s="18">
        <v>0</v>
      </c>
      <c r="AA96" s="18">
        <v>0</v>
      </c>
      <c r="AB96" s="18">
        <v>0</v>
      </c>
      <c r="AC96" s="18">
        <v>0</v>
      </c>
      <c r="AD96" s="18">
        <v>0</v>
      </c>
      <c r="AE96" s="18">
        <v>0</v>
      </c>
      <c r="AF96" s="18">
        <v>0</v>
      </c>
      <c r="AG96" s="18">
        <v>0</v>
      </c>
      <c r="AH96" s="18">
        <v>0</v>
      </c>
      <c r="AI96" s="18">
        <v>0</v>
      </c>
      <c r="AJ96" s="18">
        <v>0</v>
      </c>
      <c r="AK96" s="18">
        <v>0</v>
      </c>
      <c r="AL96" s="18">
        <v>0</v>
      </c>
      <c r="AM96" s="18">
        <v>0</v>
      </c>
      <c r="AN96" s="18">
        <v>0</v>
      </c>
      <c r="AO96" s="18">
        <v>0</v>
      </c>
      <c r="AP96" s="18">
        <v>0</v>
      </c>
      <c r="AQ96" s="18">
        <v>0</v>
      </c>
      <c r="AR96" s="18">
        <v>0</v>
      </c>
      <c r="AS96" s="18">
        <v>0</v>
      </c>
      <c r="AT96" s="18">
        <v>0</v>
      </c>
      <c r="AU96" s="18">
        <v>0</v>
      </c>
      <c r="AV96" s="18">
        <v>0</v>
      </c>
      <c r="AW96" s="18">
        <v>0</v>
      </c>
      <c r="AX96" s="18">
        <v>0</v>
      </c>
    </row>
    <row r="97" spans="1:50" x14ac:dyDescent="0.25">
      <c r="A97" s="16" t="s">
        <v>567</v>
      </c>
      <c r="B97" s="13" t="s">
        <v>464</v>
      </c>
      <c r="C97" s="17">
        <v>0</v>
      </c>
      <c r="D97" s="17">
        <v>0</v>
      </c>
      <c r="E97" s="17">
        <v>0</v>
      </c>
      <c r="F97" s="17">
        <v>0</v>
      </c>
      <c r="G97" s="17">
        <v>0</v>
      </c>
      <c r="H97" s="17">
        <v>0</v>
      </c>
      <c r="I97" s="17">
        <v>0</v>
      </c>
      <c r="J97" s="17">
        <v>1.6999999999999999E-3</v>
      </c>
      <c r="K97" s="17">
        <v>2.4899999999999999E-2</v>
      </c>
      <c r="L97" s="17">
        <v>0.1163</v>
      </c>
      <c r="M97" s="17">
        <v>0.23069999999999999</v>
      </c>
      <c r="N97" s="17">
        <v>0.37090000000000001</v>
      </c>
      <c r="O97" s="17">
        <v>0.52400000000000002</v>
      </c>
      <c r="P97" s="17">
        <v>0.67889999999999995</v>
      </c>
      <c r="Q97" s="17">
        <v>0.83299999999999996</v>
      </c>
      <c r="R97" s="17">
        <v>0.98729999999999996</v>
      </c>
      <c r="S97" s="17">
        <v>1.1322000000000001</v>
      </c>
      <c r="T97" s="17">
        <v>1.2683</v>
      </c>
      <c r="U97" s="17">
        <v>1.3843000000000001</v>
      </c>
      <c r="V97" s="17">
        <v>1.4832000000000001</v>
      </c>
      <c r="W97" s="17">
        <v>1.57</v>
      </c>
      <c r="X97" s="17">
        <v>1.6416999999999999</v>
      </c>
      <c r="Y97" s="17">
        <v>1.6924999999999999</v>
      </c>
      <c r="Z97" s="17">
        <v>1.7148000000000001</v>
      </c>
      <c r="AA97" s="17">
        <v>1.7212000000000001</v>
      </c>
      <c r="AB97" s="17">
        <v>1.7092000000000001</v>
      </c>
      <c r="AC97" s="17">
        <v>1.6686000000000001</v>
      </c>
      <c r="AD97" s="17">
        <v>1.6067</v>
      </c>
      <c r="AE97" s="17">
        <v>1.5327999999999999</v>
      </c>
      <c r="AF97" s="17">
        <v>1.4391</v>
      </c>
      <c r="AG97" s="17">
        <v>1.3395999999999999</v>
      </c>
      <c r="AH97" s="17">
        <v>1.2198</v>
      </c>
      <c r="AI97" s="17">
        <v>1.0849</v>
      </c>
      <c r="AJ97" s="17">
        <v>0.92200000000000004</v>
      </c>
      <c r="AK97" s="17">
        <v>0.76959999999999995</v>
      </c>
      <c r="AL97" s="17">
        <v>0.61299999999999999</v>
      </c>
      <c r="AM97" s="17">
        <v>0.46150000000000002</v>
      </c>
      <c r="AN97" s="17">
        <v>0.31540000000000001</v>
      </c>
      <c r="AO97" s="17">
        <v>0.1842</v>
      </c>
      <c r="AP97" s="17">
        <v>5.3600000000000002E-2</v>
      </c>
      <c r="AQ97" s="17">
        <v>9.9000000000000008E-3</v>
      </c>
      <c r="AR97" s="17">
        <v>0</v>
      </c>
      <c r="AS97" s="17">
        <v>0</v>
      </c>
      <c r="AT97" s="17">
        <v>0</v>
      </c>
      <c r="AU97" s="17">
        <v>0</v>
      </c>
      <c r="AV97" s="17">
        <v>0</v>
      </c>
      <c r="AW97" s="17">
        <v>0</v>
      </c>
      <c r="AX97" s="17">
        <v>0</v>
      </c>
    </row>
    <row r="98" spans="1:50" x14ac:dyDescent="0.25">
      <c r="A98" s="8" t="s">
        <v>136</v>
      </c>
      <c r="B98" s="10" t="s">
        <v>57</v>
      </c>
      <c r="C98" s="18">
        <v>0</v>
      </c>
      <c r="D98" s="18">
        <v>0</v>
      </c>
      <c r="E98" s="18">
        <v>0</v>
      </c>
      <c r="F98" s="18">
        <v>0</v>
      </c>
      <c r="G98" s="18">
        <v>0</v>
      </c>
      <c r="H98" s="18">
        <v>0</v>
      </c>
      <c r="I98" s="18">
        <v>0</v>
      </c>
      <c r="J98" s="18">
        <v>0</v>
      </c>
      <c r="K98" s="18">
        <v>0</v>
      </c>
      <c r="L98" s="18">
        <v>0</v>
      </c>
      <c r="M98" s="18">
        <v>0</v>
      </c>
      <c r="N98" s="18">
        <v>0</v>
      </c>
      <c r="O98" s="18">
        <v>0</v>
      </c>
      <c r="P98" s="18">
        <v>0</v>
      </c>
      <c r="Q98" s="18">
        <v>0</v>
      </c>
      <c r="R98" s="18">
        <v>0</v>
      </c>
      <c r="S98" s="18">
        <v>0</v>
      </c>
      <c r="T98" s="18">
        <v>0</v>
      </c>
      <c r="U98" s="18">
        <v>0</v>
      </c>
      <c r="V98" s="18">
        <v>0</v>
      </c>
      <c r="W98" s="18">
        <v>0</v>
      </c>
      <c r="X98" s="18">
        <v>0</v>
      </c>
      <c r="Y98" s="18">
        <v>0</v>
      </c>
      <c r="Z98" s="18">
        <v>0</v>
      </c>
      <c r="AA98" s="18">
        <v>0</v>
      </c>
      <c r="AB98" s="18">
        <v>0</v>
      </c>
      <c r="AC98" s="18">
        <v>0</v>
      </c>
      <c r="AD98" s="18">
        <v>0</v>
      </c>
      <c r="AE98" s="18">
        <v>0</v>
      </c>
      <c r="AF98" s="18">
        <v>0</v>
      </c>
      <c r="AG98" s="18">
        <v>0</v>
      </c>
      <c r="AH98" s="18">
        <v>0</v>
      </c>
      <c r="AI98" s="18">
        <v>0</v>
      </c>
      <c r="AJ98" s="18">
        <v>0</v>
      </c>
      <c r="AK98" s="18">
        <v>0</v>
      </c>
      <c r="AL98" s="18">
        <v>0</v>
      </c>
      <c r="AM98" s="18">
        <v>0</v>
      </c>
      <c r="AN98" s="18">
        <v>0</v>
      </c>
      <c r="AO98" s="18">
        <v>0</v>
      </c>
      <c r="AP98" s="18">
        <v>0</v>
      </c>
      <c r="AQ98" s="18">
        <v>0</v>
      </c>
      <c r="AR98" s="18">
        <v>0</v>
      </c>
      <c r="AS98" s="18">
        <v>0</v>
      </c>
      <c r="AT98" s="18">
        <v>0</v>
      </c>
      <c r="AU98" s="18">
        <v>0</v>
      </c>
      <c r="AV98" s="18">
        <v>0</v>
      </c>
      <c r="AW98" s="18">
        <v>0</v>
      </c>
      <c r="AX98" s="18">
        <v>0</v>
      </c>
    </row>
    <row r="99" spans="1:50" x14ac:dyDescent="0.25">
      <c r="A99" s="16" t="s">
        <v>569</v>
      </c>
      <c r="B99" s="13" t="s">
        <v>464</v>
      </c>
      <c r="C99" s="17">
        <v>0</v>
      </c>
      <c r="D99" s="17">
        <v>0</v>
      </c>
      <c r="E99" s="17">
        <v>0</v>
      </c>
      <c r="F99" s="17">
        <v>0</v>
      </c>
      <c r="G99" s="17">
        <v>0</v>
      </c>
      <c r="H99" s="17">
        <v>0</v>
      </c>
      <c r="I99" s="17">
        <v>0</v>
      </c>
      <c r="J99" s="17">
        <v>3.0000000000000001E-3</v>
      </c>
      <c r="K99" s="17">
        <v>4.3499999999999997E-2</v>
      </c>
      <c r="L99" s="17">
        <v>0.20349999999999999</v>
      </c>
      <c r="M99" s="17">
        <v>0.4037</v>
      </c>
      <c r="N99" s="17">
        <v>0.64910000000000001</v>
      </c>
      <c r="O99" s="17">
        <v>0.91690000000000005</v>
      </c>
      <c r="P99" s="17">
        <v>1.1879999999999999</v>
      </c>
      <c r="Q99" s="17">
        <v>1.4577</v>
      </c>
      <c r="R99" s="17">
        <v>1.7278</v>
      </c>
      <c r="S99" s="17">
        <v>1.9813000000000001</v>
      </c>
      <c r="T99" s="17">
        <v>2.2195999999999998</v>
      </c>
      <c r="U99" s="17">
        <v>2.4224999999999999</v>
      </c>
      <c r="V99" s="17">
        <v>2.5956000000000001</v>
      </c>
      <c r="W99" s="17">
        <v>2.7475000000000001</v>
      </c>
      <c r="X99" s="17">
        <v>2.8729</v>
      </c>
      <c r="Y99" s="17">
        <v>2.9619</v>
      </c>
      <c r="Z99" s="17">
        <v>3.0009000000000001</v>
      </c>
      <c r="AA99" s="17">
        <v>3.0122</v>
      </c>
      <c r="AB99" s="17">
        <v>2.9910000000000001</v>
      </c>
      <c r="AC99" s="17">
        <v>2.92</v>
      </c>
      <c r="AD99" s="17">
        <v>2.8117000000000001</v>
      </c>
      <c r="AE99" s="17">
        <v>2.6823000000000001</v>
      </c>
      <c r="AF99" s="17">
        <v>2.5184000000000002</v>
      </c>
      <c r="AG99" s="17">
        <v>2.3441999999999998</v>
      </c>
      <c r="AH99" s="17">
        <v>2.1345999999999998</v>
      </c>
      <c r="AI99" s="17">
        <v>1.8986000000000001</v>
      </c>
      <c r="AJ99" s="17">
        <v>1.6135999999999999</v>
      </c>
      <c r="AK99" s="17">
        <v>1.3468</v>
      </c>
      <c r="AL99" s="17">
        <v>1.0727</v>
      </c>
      <c r="AM99" s="17">
        <v>0.80759999999999998</v>
      </c>
      <c r="AN99" s="17">
        <v>0.55189999999999995</v>
      </c>
      <c r="AO99" s="17">
        <v>0.32229999999999998</v>
      </c>
      <c r="AP99" s="17">
        <v>9.3799999999999994E-2</v>
      </c>
      <c r="AQ99" s="17">
        <v>1.7299999999999999E-2</v>
      </c>
      <c r="AR99" s="17">
        <v>0</v>
      </c>
      <c r="AS99" s="17">
        <v>0</v>
      </c>
      <c r="AT99" s="17">
        <v>0</v>
      </c>
      <c r="AU99" s="17">
        <v>0</v>
      </c>
      <c r="AV99" s="17">
        <v>0</v>
      </c>
      <c r="AW99" s="17">
        <v>0</v>
      </c>
      <c r="AX99" s="17">
        <v>0</v>
      </c>
    </row>
    <row r="100" spans="1:50" x14ac:dyDescent="0.25">
      <c r="A100" s="8" t="s">
        <v>138</v>
      </c>
      <c r="B100" s="10" t="s">
        <v>57</v>
      </c>
      <c r="C100" s="18">
        <v>0</v>
      </c>
      <c r="D100" s="18">
        <v>0</v>
      </c>
      <c r="E100" s="18">
        <v>0</v>
      </c>
      <c r="F100" s="18">
        <v>0</v>
      </c>
      <c r="G100" s="18">
        <v>0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8">
        <v>0</v>
      </c>
      <c r="Z100" s="18">
        <v>0</v>
      </c>
      <c r="AA100" s="18">
        <v>0</v>
      </c>
      <c r="AB100" s="18">
        <v>0</v>
      </c>
      <c r="AC100" s="18">
        <v>0</v>
      </c>
      <c r="AD100" s="18">
        <v>0</v>
      </c>
      <c r="AE100" s="18">
        <v>0</v>
      </c>
      <c r="AF100" s="18">
        <v>0</v>
      </c>
      <c r="AG100" s="18">
        <v>0</v>
      </c>
      <c r="AH100" s="18">
        <v>0</v>
      </c>
      <c r="AI100" s="18">
        <v>0</v>
      </c>
      <c r="AJ100" s="18">
        <v>0</v>
      </c>
      <c r="AK100" s="18">
        <v>0</v>
      </c>
      <c r="AL100" s="18">
        <v>0</v>
      </c>
      <c r="AM100" s="18">
        <v>0</v>
      </c>
      <c r="AN100" s="18">
        <v>0</v>
      </c>
      <c r="AO100" s="18">
        <v>0</v>
      </c>
      <c r="AP100" s="18">
        <v>0</v>
      </c>
      <c r="AQ100" s="18">
        <v>0</v>
      </c>
      <c r="AR100" s="18">
        <v>0</v>
      </c>
      <c r="AS100" s="18">
        <v>0</v>
      </c>
      <c r="AT100" s="18">
        <v>0</v>
      </c>
      <c r="AU100" s="18">
        <v>0</v>
      </c>
      <c r="AV100" s="18">
        <v>0</v>
      </c>
      <c r="AW100" s="18">
        <v>0</v>
      </c>
      <c r="AX100" s="18">
        <v>0</v>
      </c>
    </row>
    <row r="101" spans="1:50" x14ac:dyDescent="0.25">
      <c r="A101" s="16" t="s">
        <v>571</v>
      </c>
      <c r="B101" s="13" t="s">
        <v>464</v>
      </c>
      <c r="C101" s="17">
        <v>0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3.3999999999999998E-3</v>
      </c>
      <c r="K101" s="17">
        <v>4.9700000000000001E-2</v>
      </c>
      <c r="L101" s="17">
        <v>0.2326</v>
      </c>
      <c r="M101" s="17">
        <v>0.46129999999999999</v>
      </c>
      <c r="N101" s="17">
        <v>0.7419</v>
      </c>
      <c r="O101" s="17">
        <v>1.0479000000000001</v>
      </c>
      <c r="P101" s="17">
        <v>1.3576999999999999</v>
      </c>
      <c r="Q101" s="17">
        <v>1.6659999999999999</v>
      </c>
      <c r="R101" s="17">
        <v>1.9745999999999999</v>
      </c>
      <c r="S101" s="17">
        <v>2.2643</v>
      </c>
      <c r="T101" s="17">
        <v>2.5367000000000002</v>
      </c>
      <c r="U101" s="17">
        <v>2.7686000000000002</v>
      </c>
      <c r="V101" s="17">
        <v>2.9664000000000001</v>
      </c>
      <c r="W101" s="17">
        <v>3.14</v>
      </c>
      <c r="X101" s="17">
        <v>3.2833000000000001</v>
      </c>
      <c r="Y101" s="17">
        <v>3.3849999999999998</v>
      </c>
      <c r="Z101" s="17">
        <v>3.4296000000000002</v>
      </c>
      <c r="AA101" s="17">
        <v>3.4424999999999999</v>
      </c>
      <c r="AB101" s="17">
        <v>3.4182999999999999</v>
      </c>
      <c r="AC101" s="17">
        <v>3.3372000000000002</v>
      </c>
      <c r="AD101" s="17">
        <v>3.2132999999999998</v>
      </c>
      <c r="AE101" s="17">
        <v>3.0655000000000001</v>
      </c>
      <c r="AF101" s="17">
        <v>2.8782000000000001</v>
      </c>
      <c r="AG101" s="17">
        <v>2.6791</v>
      </c>
      <c r="AH101" s="17">
        <v>2.4396</v>
      </c>
      <c r="AI101" s="17">
        <v>2.1698</v>
      </c>
      <c r="AJ101" s="17">
        <v>1.8441000000000001</v>
      </c>
      <c r="AK101" s="17">
        <v>1.5391999999999999</v>
      </c>
      <c r="AL101" s="17">
        <v>1.2259</v>
      </c>
      <c r="AM101" s="17">
        <v>0.92290000000000005</v>
      </c>
      <c r="AN101" s="17">
        <v>0.63080000000000003</v>
      </c>
      <c r="AO101" s="17">
        <v>0.36830000000000002</v>
      </c>
      <c r="AP101" s="17">
        <v>0.1072</v>
      </c>
      <c r="AQ101" s="17">
        <v>1.9800000000000002E-2</v>
      </c>
      <c r="AR101" s="17">
        <v>0</v>
      </c>
      <c r="AS101" s="17">
        <v>0</v>
      </c>
      <c r="AT101" s="17">
        <v>0</v>
      </c>
      <c r="AU101" s="17">
        <v>0</v>
      </c>
      <c r="AV101" s="17">
        <v>0</v>
      </c>
      <c r="AW101" s="17">
        <v>0</v>
      </c>
      <c r="AX101" s="17">
        <v>0</v>
      </c>
    </row>
    <row r="102" spans="1:50" x14ac:dyDescent="0.25">
      <c r="A102" s="8" t="s">
        <v>140</v>
      </c>
      <c r="B102" s="10" t="s">
        <v>57</v>
      </c>
      <c r="C102" s="18">
        <v>0</v>
      </c>
      <c r="D102" s="18">
        <v>0</v>
      </c>
      <c r="E102" s="18">
        <v>0</v>
      </c>
      <c r="F102" s="18">
        <v>0</v>
      </c>
      <c r="G102" s="18">
        <v>0</v>
      </c>
      <c r="H102" s="18">
        <v>0</v>
      </c>
      <c r="I102" s="18">
        <v>0</v>
      </c>
      <c r="J102" s="18">
        <v>0</v>
      </c>
      <c r="K102" s="18">
        <v>0</v>
      </c>
      <c r="L102" s="18">
        <v>0</v>
      </c>
      <c r="M102" s="18">
        <v>0</v>
      </c>
      <c r="N102" s="18">
        <v>0</v>
      </c>
      <c r="O102" s="18">
        <v>0</v>
      </c>
      <c r="P102" s="18">
        <v>0</v>
      </c>
      <c r="Q102" s="18">
        <v>0</v>
      </c>
      <c r="R102" s="18">
        <v>0</v>
      </c>
      <c r="S102" s="18">
        <v>0</v>
      </c>
      <c r="T102" s="18">
        <v>0</v>
      </c>
      <c r="U102" s="18">
        <v>0</v>
      </c>
      <c r="V102" s="18">
        <v>0</v>
      </c>
      <c r="W102" s="18">
        <v>0</v>
      </c>
      <c r="X102" s="18">
        <v>0</v>
      </c>
      <c r="Y102" s="18">
        <v>0</v>
      </c>
      <c r="Z102" s="18">
        <v>0</v>
      </c>
      <c r="AA102" s="18">
        <v>0</v>
      </c>
      <c r="AB102" s="18">
        <v>0</v>
      </c>
      <c r="AC102" s="18">
        <v>0</v>
      </c>
      <c r="AD102" s="18">
        <v>0</v>
      </c>
      <c r="AE102" s="18">
        <v>0</v>
      </c>
      <c r="AF102" s="18">
        <v>0</v>
      </c>
      <c r="AG102" s="18">
        <v>0</v>
      </c>
      <c r="AH102" s="18">
        <v>0</v>
      </c>
      <c r="AI102" s="18">
        <v>0</v>
      </c>
      <c r="AJ102" s="18">
        <v>0</v>
      </c>
      <c r="AK102" s="18">
        <v>0</v>
      </c>
      <c r="AL102" s="18">
        <v>0</v>
      </c>
      <c r="AM102" s="18">
        <v>0</v>
      </c>
      <c r="AN102" s="18">
        <v>0</v>
      </c>
      <c r="AO102" s="18">
        <v>0</v>
      </c>
      <c r="AP102" s="18">
        <v>0</v>
      </c>
      <c r="AQ102" s="18">
        <v>0</v>
      </c>
      <c r="AR102" s="18">
        <v>0</v>
      </c>
      <c r="AS102" s="18">
        <v>0</v>
      </c>
      <c r="AT102" s="18">
        <v>0</v>
      </c>
      <c r="AU102" s="18">
        <v>0</v>
      </c>
      <c r="AV102" s="18">
        <v>0</v>
      </c>
      <c r="AW102" s="18">
        <v>0</v>
      </c>
      <c r="AX102" s="18">
        <v>0</v>
      </c>
    </row>
    <row r="103" spans="1:50" x14ac:dyDescent="0.25">
      <c r="A103" s="8" t="s">
        <v>142</v>
      </c>
      <c r="B103" s="10" t="s">
        <v>57</v>
      </c>
      <c r="C103" s="18">
        <v>0</v>
      </c>
      <c r="D103" s="18">
        <v>0</v>
      </c>
      <c r="E103" s="18">
        <v>0</v>
      </c>
      <c r="F103" s="18">
        <v>0</v>
      </c>
      <c r="G103" s="18">
        <v>0</v>
      </c>
      <c r="H103" s="18">
        <v>0</v>
      </c>
      <c r="I103" s="18">
        <v>0</v>
      </c>
      <c r="J103" s="18">
        <v>0</v>
      </c>
      <c r="K103" s="18">
        <v>0</v>
      </c>
      <c r="L103" s="18">
        <v>0</v>
      </c>
      <c r="M103" s="18">
        <v>0</v>
      </c>
      <c r="N103" s="18">
        <v>0</v>
      </c>
      <c r="O103" s="18">
        <v>0</v>
      </c>
      <c r="P103" s="18">
        <v>0</v>
      </c>
      <c r="Q103" s="18">
        <v>0</v>
      </c>
      <c r="R103" s="18">
        <v>0</v>
      </c>
      <c r="S103" s="18">
        <v>0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8">
        <v>0</v>
      </c>
      <c r="Z103" s="18">
        <v>0</v>
      </c>
      <c r="AA103" s="18">
        <v>0</v>
      </c>
      <c r="AB103" s="18">
        <v>0</v>
      </c>
      <c r="AC103" s="18">
        <v>0</v>
      </c>
      <c r="AD103" s="18">
        <v>0</v>
      </c>
      <c r="AE103" s="18">
        <v>0</v>
      </c>
      <c r="AF103" s="18">
        <v>0</v>
      </c>
      <c r="AG103" s="18">
        <v>0</v>
      </c>
      <c r="AH103" s="18">
        <v>0</v>
      </c>
      <c r="AI103" s="18">
        <v>0</v>
      </c>
      <c r="AJ103" s="18">
        <v>0</v>
      </c>
      <c r="AK103" s="18">
        <v>0</v>
      </c>
      <c r="AL103" s="18">
        <v>0</v>
      </c>
      <c r="AM103" s="18">
        <v>0</v>
      </c>
      <c r="AN103" s="18">
        <v>0</v>
      </c>
      <c r="AO103" s="18">
        <v>0</v>
      </c>
      <c r="AP103" s="18">
        <v>0</v>
      </c>
      <c r="AQ103" s="18">
        <v>0</v>
      </c>
      <c r="AR103" s="18">
        <v>0</v>
      </c>
      <c r="AS103" s="18">
        <v>0</v>
      </c>
      <c r="AT103" s="18">
        <v>0</v>
      </c>
      <c r="AU103" s="18">
        <v>0</v>
      </c>
      <c r="AV103" s="18">
        <v>0</v>
      </c>
      <c r="AW103" s="18">
        <v>0</v>
      </c>
      <c r="AX103" s="18">
        <v>0</v>
      </c>
    </row>
    <row r="104" spans="1:50" x14ac:dyDescent="0.25">
      <c r="A104" s="8" t="s">
        <v>144</v>
      </c>
      <c r="B104" s="10" t="s">
        <v>57</v>
      </c>
      <c r="C104" s="18">
        <v>0</v>
      </c>
      <c r="D104" s="18">
        <v>0</v>
      </c>
      <c r="E104" s="18">
        <v>0</v>
      </c>
      <c r="F104" s="18">
        <v>0</v>
      </c>
      <c r="G104" s="18">
        <v>0</v>
      </c>
      <c r="H104" s="18">
        <v>0</v>
      </c>
      <c r="I104" s="18">
        <v>0</v>
      </c>
      <c r="J104" s="18">
        <v>0</v>
      </c>
      <c r="K104" s="18">
        <v>0</v>
      </c>
      <c r="L104" s="18">
        <v>0</v>
      </c>
      <c r="M104" s="18">
        <v>0</v>
      </c>
      <c r="N104" s="18">
        <v>0</v>
      </c>
      <c r="O104" s="18">
        <v>0</v>
      </c>
      <c r="P104" s="18">
        <v>0</v>
      </c>
      <c r="Q104" s="18">
        <v>0</v>
      </c>
      <c r="R104" s="18">
        <v>0</v>
      </c>
      <c r="S104" s="18">
        <v>0</v>
      </c>
      <c r="T104" s="18">
        <v>0</v>
      </c>
      <c r="U104" s="18">
        <v>0</v>
      </c>
      <c r="V104" s="18">
        <v>0</v>
      </c>
      <c r="W104" s="18">
        <v>0</v>
      </c>
      <c r="X104" s="18">
        <v>0</v>
      </c>
      <c r="Y104" s="18">
        <v>0</v>
      </c>
      <c r="Z104" s="18">
        <v>0</v>
      </c>
      <c r="AA104" s="18">
        <v>0</v>
      </c>
      <c r="AB104" s="18">
        <v>0</v>
      </c>
      <c r="AC104" s="18">
        <v>0</v>
      </c>
      <c r="AD104" s="18">
        <v>0</v>
      </c>
      <c r="AE104" s="18">
        <v>0</v>
      </c>
      <c r="AF104" s="18">
        <v>0</v>
      </c>
      <c r="AG104" s="18">
        <v>0</v>
      </c>
      <c r="AH104" s="18">
        <v>0</v>
      </c>
      <c r="AI104" s="18">
        <v>0</v>
      </c>
      <c r="AJ104" s="18">
        <v>0</v>
      </c>
      <c r="AK104" s="18">
        <v>0</v>
      </c>
      <c r="AL104" s="18">
        <v>0</v>
      </c>
      <c r="AM104" s="18">
        <v>0</v>
      </c>
      <c r="AN104" s="18">
        <v>0</v>
      </c>
      <c r="AO104" s="18">
        <v>0</v>
      </c>
      <c r="AP104" s="18">
        <v>0</v>
      </c>
      <c r="AQ104" s="18">
        <v>0</v>
      </c>
      <c r="AR104" s="18">
        <v>0</v>
      </c>
      <c r="AS104" s="18">
        <v>0</v>
      </c>
      <c r="AT104" s="18">
        <v>0</v>
      </c>
      <c r="AU104" s="18">
        <v>0</v>
      </c>
      <c r="AV104" s="18">
        <v>0</v>
      </c>
      <c r="AW104" s="18">
        <v>0</v>
      </c>
      <c r="AX104" s="18">
        <v>0</v>
      </c>
    </row>
    <row r="105" spans="1:50" x14ac:dyDescent="0.25">
      <c r="A105" s="16" t="s">
        <v>573</v>
      </c>
      <c r="B105" s="13" t="s">
        <v>464</v>
      </c>
      <c r="C105" s="17">
        <v>0</v>
      </c>
      <c r="D105" s="17">
        <v>0</v>
      </c>
      <c r="E105" s="17">
        <v>0</v>
      </c>
      <c r="F105" s="17">
        <v>0</v>
      </c>
      <c r="G105" s="17">
        <v>0</v>
      </c>
      <c r="H105" s="17">
        <v>0</v>
      </c>
      <c r="I105" s="17">
        <v>0</v>
      </c>
      <c r="J105" s="17">
        <v>3.3999999999999998E-3</v>
      </c>
      <c r="K105" s="17">
        <v>4.9700000000000001E-2</v>
      </c>
      <c r="L105" s="17">
        <v>0.2326</v>
      </c>
      <c r="M105" s="17">
        <v>0.46129999999999999</v>
      </c>
      <c r="N105" s="17">
        <v>0.7419</v>
      </c>
      <c r="O105" s="17">
        <v>1.0479000000000001</v>
      </c>
      <c r="P105" s="17">
        <v>1.3576999999999999</v>
      </c>
      <c r="Q105" s="17">
        <v>1.6659999999999999</v>
      </c>
      <c r="R105" s="17">
        <v>1.9745999999999999</v>
      </c>
      <c r="S105" s="17">
        <v>2.2643</v>
      </c>
      <c r="T105" s="17">
        <v>2.5367000000000002</v>
      </c>
      <c r="U105" s="17">
        <v>2.7686000000000002</v>
      </c>
      <c r="V105" s="17">
        <v>2.9664000000000001</v>
      </c>
      <c r="W105" s="17">
        <v>3.14</v>
      </c>
      <c r="X105" s="17">
        <v>3.2833000000000001</v>
      </c>
      <c r="Y105" s="17">
        <v>3.3849999999999998</v>
      </c>
      <c r="Z105" s="17">
        <v>3.4296000000000002</v>
      </c>
      <c r="AA105" s="17">
        <v>3.4424999999999999</v>
      </c>
      <c r="AB105" s="17">
        <v>3.4182999999999999</v>
      </c>
      <c r="AC105" s="17">
        <v>3.3372000000000002</v>
      </c>
      <c r="AD105" s="17">
        <v>3.2132999999999998</v>
      </c>
      <c r="AE105" s="17">
        <v>3.0655000000000001</v>
      </c>
      <c r="AF105" s="17">
        <v>2.8782000000000001</v>
      </c>
      <c r="AG105" s="17">
        <v>2.6791</v>
      </c>
      <c r="AH105" s="17">
        <v>2.4396</v>
      </c>
      <c r="AI105" s="17">
        <v>2.1698</v>
      </c>
      <c r="AJ105" s="17">
        <v>1.8441000000000001</v>
      </c>
      <c r="AK105" s="17">
        <v>1.5391999999999999</v>
      </c>
      <c r="AL105" s="17">
        <v>1.2259</v>
      </c>
      <c r="AM105" s="17">
        <v>0.92290000000000005</v>
      </c>
      <c r="AN105" s="17">
        <v>0.63080000000000003</v>
      </c>
      <c r="AO105" s="17">
        <v>0.36830000000000002</v>
      </c>
      <c r="AP105" s="17">
        <v>0.1072</v>
      </c>
      <c r="AQ105" s="17">
        <v>1.9800000000000002E-2</v>
      </c>
      <c r="AR105" s="17">
        <v>0</v>
      </c>
      <c r="AS105" s="17">
        <v>0</v>
      </c>
      <c r="AT105" s="17">
        <v>0</v>
      </c>
      <c r="AU105" s="17">
        <v>0</v>
      </c>
      <c r="AV105" s="17">
        <v>0</v>
      </c>
      <c r="AW105" s="17">
        <v>0</v>
      </c>
      <c r="AX105" s="17">
        <v>0</v>
      </c>
    </row>
    <row r="106" spans="1:50" x14ac:dyDescent="0.25">
      <c r="A106" s="8" t="s">
        <v>146</v>
      </c>
      <c r="B106" s="10" t="s">
        <v>57</v>
      </c>
      <c r="C106" s="18">
        <v>0</v>
      </c>
      <c r="D106" s="18">
        <v>0</v>
      </c>
      <c r="E106" s="18">
        <v>0</v>
      </c>
      <c r="F106" s="18">
        <v>0</v>
      </c>
      <c r="G106" s="18">
        <v>0</v>
      </c>
      <c r="H106" s="18">
        <v>0</v>
      </c>
      <c r="I106" s="18">
        <v>0</v>
      </c>
      <c r="J106" s="18">
        <v>0</v>
      </c>
      <c r="K106" s="18">
        <v>0</v>
      </c>
      <c r="L106" s="18">
        <v>0</v>
      </c>
      <c r="M106" s="18">
        <v>0</v>
      </c>
      <c r="N106" s="18">
        <v>0</v>
      </c>
      <c r="O106" s="18">
        <v>0</v>
      </c>
      <c r="P106" s="18">
        <v>0</v>
      </c>
      <c r="Q106" s="18">
        <v>0</v>
      </c>
      <c r="R106" s="18">
        <v>0</v>
      </c>
      <c r="S106" s="18">
        <v>0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8">
        <v>0</v>
      </c>
      <c r="Z106" s="18">
        <v>0</v>
      </c>
      <c r="AA106" s="18">
        <v>0</v>
      </c>
      <c r="AB106" s="18">
        <v>0</v>
      </c>
      <c r="AC106" s="18">
        <v>0</v>
      </c>
      <c r="AD106" s="18">
        <v>0</v>
      </c>
      <c r="AE106" s="18">
        <v>0</v>
      </c>
      <c r="AF106" s="18">
        <v>0</v>
      </c>
      <c r="AG106" s="18">
        <v>0</v>
      </c>
      <c r="AH106" s="18">
        <v>0</v>
      </c>
      <c r="AI106" s="18">
        <v>0</v>
      </c>
      <c r="AJ106" s="18">
        <v>0</v>
      </c>
      <c r="AK106" s="18">
        <v>0</v>
      </c>
      <c r="AL106" s="18">
        <v>0</v>
      </c>
      <c r="AM106" s="18">
        <v>0</v>
      </c>
      <c r="AN106" s="18">
        <v>0</v>
      </c>
      <c r="AO106" s="18">
        <v>0</v>
      </c>
      <c r="AP106" s="18">
        <v>0</v>
      </c>
      <c r="AQ106" s="18">
        <v>0</v>
      </c>
      <c r="AR106" s="18">
        <v>0</v>
      </c>
      <c r="AS106" s="18">
        <v>0</v>
      </c>
      <c r="AT106" s="18">
        <v>0</v>
      </c>
      <c r="AU106" s="18">
        <v>0</v>
      </c>
      <c r="AV106" s="18">
        <v>0</v>
      </c>
      <c r="AW106" s="18">
        <v>0</v>
      </c>
      <c r="AX106" s="18">
        <v>0</v>
      </c>
    </row>
    <row r="107" spans="1:50" x14ac:dyDescent="0.25">
      <c r="A107" s="16" t="s">
        <v>575</v>
      </c>
      <c r="B107" s="13" t="s">
        <v>464</v>
      </c>
      <c r="C107" s="17">
        <v>0</v>
      </c>
      <c r="D107" s="17">
        <v>0</v>
      </c>
      <c r="E107" s="17">
        <v>0</v>
      </c>
      <c r="F107" s="17">
        <v>0</v>
      </c>
      <c r="G107" s="17">
        <v>0</v>
      </c>
      <c r="H107" s="17">
        <v>0</v>
      </c>
      <c r="I107" s="17">
        <v>0</v>
      </c>
      <c r="J107" s="17">
        <v>3.3999999999999998E-3</v>
      </c>
      <c r="K107" s="17">
        <v>4.9700000000000001E-2</v>
      </c>
      <c r="L107" s="17">
        <v>0.2326</v>
      </c>
      <c r="M107" s="17">
        <v>0.46129999999999999</v>
      </c>
      <c r="N107" s="17">
        <v>0.7419</v>
      </c>
      <c r="O107" s="17">
        <v>1.0479000000000001</v>
      </c>
      <c r="P107" s="17">
        <v>1.3576999999999999</v>
      </c>
      <c r="Q107" s="17">
        <v>1.6659999999999999</v>
      </c>
      <c r="R107" s="17">
        <v>1.9745999999999999</v>
      </c>
      <c r="S107" s="17">
        <v>2.2643</v>
      </c>
      <c r="T107" s="17">
        <v>2.5367000000000002</v>
      </c>
      <c r="U107" s="17">
        <v>2.7686000000000002</v>
      </c>
      <c r="V107" s="17">
        <v>2.9664000000000001</v>
      </c>
      <c r="W107" s="17">
        <v>3.14</v>
      </c>
      <c r="X107" s="17">
        <v>3.2833000000000001</v>
      </c>
      <c r="Y107" s="17">
        <v>3.3849999999999998</v>
      </c>
      <c r="Z107" s="17">
        <v>3.4296000000000002</v>
      </c>
      <c r="AA107" s="17">
        <v>3.4424999999999999</v>
      </c>
      <c r="AB107" s="17">
        <v>3.4182999999999999</v>
      </c>
      <c r="AC107" s="17">
        <v>3.3372000000000002</v>
      </c>
      <c r="AD107" s="17">
        <v>3.2132999999999998</v>
      </c>
      <c r="AE107" s="17">
        <v>3.0655000000000001</v>
      </c>
      <c r="AF107" s="17">
        <v>2.8782000000000001</v>
      </c>
      <c r="AG107" s="17">
        <v>2.6791</v>
      </c>
      <c r="AH107" s="17">
        <v>2.4396</v>
      </c>
      <c r="AI107" s="17">
        <v>2.1698</v>
      </c>
      <c r="AJ107" s="17">
        <v>1.8441000000000001</v>
      </c>
      <c r="AK107" s="17">
        <v>1.5391999999999999</v>
      </c>
      <c r="AL107" s="17">
        <v>1.2259</v>
      </c>
      <c r="AM107" s="17">
        <v>0.92290000000000005</v>
      </c>
      <c r="AN107" s="17">
        <v>0.63080000000000003</v>
      </c>
      <c r="AO107" s="17">
        <v>0.36830000000000002</v>
      </c>
      <c r="AP107" s="17">
        <v>0.1072</v>
      </c>
      <c r="AQ107" s="17">
        <v>1.9800000000000002E-2</v>
      </c>
      <c r="AR107" s="17">
        <v>0</v>
      </c>
      <c r="AS107" s="17">
        <v>0</v>
      </c>
      <c r="AT107" s="17">
        <v>0</v>
      </c>
      <c r="AU107" s="17">
        <v>0</v>
      </c>
      <c r="AV107" s="17">
        <v>0</v>
      </c>
      <c r="AW107" s="17">
        <v>0</v>
      </c>
      <c r="AX107" s="17">
        <v>0</v>
      </c>
    </row>
    <row r="108" spans="1:50" x14ac:dyDescent="0.25">
      <c r="A108" s="8" t="s">
        <v>148</v>
      </c>
      <c r="B108" s="10" t="s">
        <v>57</v>
      </c>
      <c r="C108" s="18">
        <v>0</v>
      </c>
      <c r="D108" s="18">
        <v>0</v>
      </c>
      <c r="E108" s="18">
        <v>0</v>
      </c>
      <c r="F108" s="18">
        <v>0</v>
      </c>
      <c r="G108" s="18">
        <v>0</v>
      </c>
      <c r="H108" s="18">
        <v>0</v>
      </c>
      <c r="I108" s="18">
        <v>0</v>
      </c>
      <c r="J108" s="18">
        <v>0</v>
      </c>
      <c r="K108" s="18">
        <v>0</v>
      </c>
      <c r="L108" s="18">
        <v>0</v>
      </c>
      <c r="M108" s="18">
        <v>0</v>
      </c>
      <c r="N108" s="18">
        <v>0</v>
      </c>
      <c r="O108" s="18">
        <v>0</v>
      </c>
      <c r="P108" s="18">
        <v>0</v>
      </c>
      <c r="Q108" s="18">
        <v>0</v>
      </c>
      <c r="R108" s="18">
        <v>0</v>
      </c>
      <c r="S108" s="18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8">
        <v>0</v>
      </c>
      <c r="Z108" s="18">
        <v>0</v>
      </c>
      <c r="AA108" s="18">
        <v>0</v>
      </c>
      <c r="AB108" s="18">
        <v>0</v>
      </c>
      <c r="AC108" s="18">
        <v>0</v>
      </c>
      <c r="AD108" s="18">
        <v>0</v>
      </c>
      <c r="AE108" s="18">
        <v>0</v>
      </c>
      <c r="AF108" s="18">
        <v>0</v>
      </c>
      <c r="AG108" s="18">
        <v>0</v>
      </c>
      <c r="AH108" s="18">
        <v>0</v>
      </c>
      <c r="AI108" s="18">
        <v>0</v>
      </c>
      <c r="AJ108" s="18">
        <v>0</v>
      </c>
      <c r="AK108" s="18">
        <v>0</v>
      </c>
      <c r="AL108" s="18">
        <v>0</v>
      </c>
      <c r="AM108" s="18">
        <v>0</v>
      </c>
      <c r="AN108" s="18">
        <v>0</v>
      </c>
      <c r="AO108" s="18">
        <v>0</v>
      </c>
      <c r="AP108" s="18">
        <v>0</v>
      </c>
      <c r="AQ108" s="18">
        <v>0</v>
      </c>
      <c r="AR108" s="18">
        <v>0</v>
      </c>
      <c r="AS108" s="18">
        <v>0</v>
      </c>
      <c r="AT108" s="18">
        <v>0</v>
      </c>
      <c r="AU108" s="18">
        <v>0</v>
      </c>
      <c r="AV108" s="18">
        <v>0</v>
      </c>
      <c r="AW108" s="18">
        <v>0</v>
      </c>
      <c r="AX108" s="18">
        <v>0</v>
      </c>
    </row>
    <row r="109" spans="1:50" x14ac:dyDescent="0.25">
      <c r="A109" s="16" t="s">
        <v>577</v>
      </c>
      <c r="B109" s="13" t="s">
        <v>464</v>
      </c>
      <c r="C109" s="17">
        <v>0</v>
      </c>
      <c r="D109" s="17">
        <v>0</v>
      </c>
      <c r="E109" s="17">
        <v>0</v>
      </c>
      <c r="F109" s="17">
        <v>0</v>
      </c>
      <c r="G109" s="17">
        <v>0</v>
      </c>
      <c r="H109" s="17">
        <v>0</v>
      </c>
      <c r="I109" s="17">
        <v>0</v>
      </c>
      <c r="J109" s="17">
        <v>3.3999999999999998E-3</v>
      </c>
      <c r="K109" s="17">
        <v>4.9700000000000001E-2</v>
      </c>
      <c r="L109" s="17">
        <v>0.2326</v>
      </c>
      <c r="M109" s="17">
        <v>0.46129999999999999</v>
      </c>
      <c r="N109" s="17">
        <v>0.7419</v>
      </c>
      <c r="O109" s="17">
        <v>1.0479000000000001</v>
      </c>
      <c r="P109" s="17">
        <v>1.3576999999999999</v>
      </c>
      <c r="Q109" s="17">
        <v>1.6659999999999999</v>
      </c>
      <c r="R109" s="17">
        <v>1.9745999999999999</v>
      </c>
      <c r="S109" s="17">
        <v>2.2643</v>
      </c>
      <c r="T109" s="17">
        <v>2.5367000000000002</v>
      </c>
      <c r="U109" s="17">
        <v>2.7686000000000002</v>
      </c>
      <c r="V109" s="17">
        <v>2.9664000000000001</v>
      </c>
      <c r="W109" s="17">
        <v>3.14</v>
      </c>
      <c r="X109" s="17">
        <v>3.2833000000000001</v>
      </c>
      <c r="Y109" s="17">
        <v>3.3849999999999998</v>
      </c>
      <c r="Z109" s="17">
        <v>3.4296000000000002</v>
      </c>
      <c r="AA109" s="17">
        <v>3.4424999999999999</v>
      </c>
      <c r="AB109" s="17">
        <v>3.4182999999999999</v>
      </c>
      <c r="AC109" s="17">
        <v>3.3372000000000002</v>
      </c>
      <c r="AD109" s="17">
        <v>3.2132999999999998</v>
      </c>
      <c r="AE109" s="17">
        <v>3.0655000000000001</v>
      </c>
      <c r="AF109" s="17">
        <v>2.8782000000000001</v>
      </c>
      <c r="AG109" s="17">
        <v>2.6791</v>
      </c>
      <c r="AH109" s="17">
        <v>2.4396</v>
      </c>
      <c r="AI109" s="17">
        <v>2.1698</v>
      </c>
      <c r="AJ109" s="17">
        <v>1.8441000000000001</v>
      </c>
      <c r="AK109" s="17">
        <v>1.5391999999999999</v>
      </c>
      <c r="AL109" s="17">
        <v>1.2259</v>
      </c>
      <c r="AM109" s="17">
        <v>0.92290000000000005</v>
      </c>
      <c r="AN109" s="17">
        <v>0.63080000000000003</v>
      </c>
      <c r="AO109" s="17">
        <v>0.36830000000000002</v>
      </c>
      <c r="AP109" s="17">
        <v>0.1072</v>
      </c>
      <c r="AQ109" s="17">
        <v>1.9800000000000002E-2</v>
      </c>
      <c r="AR109" s="17">
        <v>0</v>
      </c>
      <c r="AS109" s="17">
        <v>0</v>
      </c>
      <c r="AT109" s="17">
        <v>0</v>
      </c>
      <c r="AU109" s="17">
        <v>0</v>
      </c>
      <c r="AV109" s="17">
        <v>0</v>
      </c>
      <c r="AW109" s="17">
        <v>0</v>
      </c>
      <c r="AX109" s="17">
        <v>0</v>
      </c>
    </row>
    <row r="110" spans="1:50" x14ac:dyDescent="0.25">
      <c r="A110" s="16" t="s">
        <v>579</v>
      </c>
      <c r="B110" s="13" t="s">
        <v>464</v>
      </c>
      <c r="C110" s="17">
        <v>0</v>
      </c>
      <c r="D110" s="17">
        <v>0</v>
      </c>
      <c r="E110" s="17">
        <v>0</v>
      </c>
      <c r="F110" s="17">
        <v>0</v>
      </c>
      <c r="G110" s="17">
        <v>0</v>
      </c>
      <c r="H110" s="17">
        <v>0</v>
      </c>
      <c r="I110" s="17">
        <v>0</v>
      </c>
      <c r="J110" s="17">
        <v>2.5999999999999999E-3</v>
      </c>
      <c r="K110" s="17">
        <v>3.73E-2</v>
      </c>
      <c r="L110" s="17">
        <v>0.1744</v>
      </c>
      <c r="M110" s="17">
        <v>0.34599999999999997</v>
      </c>
      <c r="N110" s="17">
        <v>0.55640000000000001</v>
      </c>
      <c r="O110" s="17">
        <v>0.78590000000000004</v>
      </c>
      <c r="P110" s="17">
        <v>1.0183</v>
      </c>
      <c r="Q110" s="17">
        <v>1.2495000000000001</v>
      </c>
      <c r="R110" s="17">
        <v>1.4810000000000001</v>
      </c>
      <c r="S110" s="17">
        <v>1.6981999999999999</v>
      </c>
      <c r="T110" s="17">
        <v>1.9025000000000001</v>
      </c>
      <c r="U110" s="17">
        <v>2.0764</v>
      </c>
      <c r="V110" s="17">
        <v>2.2248000000000001</v>
      </c>
      <c r="W110" s="17">
        <v>2.355</v>
      </c>
      <c r="X110" s="17">
        <v>2.4624999999999999</v>
      </c>
      <c r="Y110" s="17">
        <v>2.5387</v>
      </c>
      <c r="Z110" s="17">
        <v>2.5722</v>
      </c>
      <c r="AA110" s="17">
        <v>2.5819000000000001</v>
      </c>
      <c r="AB110" s="17">
        <v>2.5636999999999999</v>
      </c>
      <c r="AC110" s="17">
        <v>2.5028999999999999</v>
      </c>
      <c r="AD110" s="17">
        <v>2.41</v>
      </c>
      <c r="AE110" s="17">
        <v>2.2991000000000001</v>
      </c>
      <c r="AF110" s="17">
        <v>2.1585999999999999</v>
      </c>
      <c r="AG110" s="17">
        <v>2.0093000000000001</v>
      </c>
      <c r="AH110" s="17">
        <v>1.8297000000000001</v>
      </c>
      <c r="AI110" s="17">
        <v>1.6274</v>
      </c>
      <c r="AJ110" s="17">
        <v>1.3831</v>
      </c>
      <c r="AK110" s="17">
        <v>1.1544000000000001</v>
      </c>
      <c r="AL110" s="17">
        <v>0.91949999999999998</v>
      </c>
      <c r="AM110" s="17">
        <v>0.69220000000000004</v>
      </c>
      <c r="AN110" s="17">
        <v>0.47310000000000002</v>
      </c>
      <c r="AO110" s="17">
        <v>0.2762</v>
      </c>
      <c r="AP110" s="17">
        <v>8.0399999999999999E-2</v>
      </c>
      <c r="AQ110" s="17">
        <v>1.4800000000000001E-2</v>
      </c>
      <c r="AR110" s="17">
        <v>0</v>
      </c>
      <c r="AS110" s="17">
        <v>0</v>
      </c>
      <c r="AT110" s="17">
        <v>0</v>
      </c>
      <c r="AU110" s="17">
        <v>0</v>
      </c>
      <c r="AV110" s="17">
        <v>0</v>
      </c>
      <c r="AW110" s="17">
        <v>0</v>
      </c>
      <c r="AX110" s="17">
        <v>0</v>
      </c>
    </row>
    <row r="111" spans="1:50" x14ac:dyDescent="0.25">
      <c r="A111" s="16" t="s">
        <v>581</v>
      </c>
      <c r="B111" s="13" t="s">
        <v>464</v>
      </c>
      <c r="C111" s="17">
        <v>0</v>
      </c>
      <c r="D111" s="17">
        <v>0</v>
      </c>
      <c r="E111" s="17">
        <v>0</v>
      </c>
      <c r="F111" s="17">
        <v>0</v>
      </c>
      <c r="G111" s="17">
        <v>0</v>
      </c>
      <c r="H111" s="17">
        <v>0</v>
      </c>
      <c r="I111" s="17">
        <v>0</v>
      </c>
      <c r="J111" s="17">
        <v>2.2000000000000001E-3</v>
      </c>
      <c r="K111" s="17">
        <v>3.1099999999999999E-2</v>
      </c>
      <c r="L111" s="17">
        <v>0.1454</v>
      </c>
      <c r="M111" s="17">
        <v>0.2883</v>
      </c>
      <c r="N111" s="17">
        <v>0.4637</v>
      </c>
      <c r="O111" s="17">
        <v>0.65490000000000004</v>
      </c>
      <c r="P111" s="17">
        <v>0.84860000000000002</v>
      </c>
      <c r="Q111" s="17">
        <v>1.0411999999999999</v>
      </c>
      <c r="R111" s="17">
        <v>1.2341</v>
      </c>
      <c r="S111" s="17">
        <v>1.4152</v>
      </c>
      <c r="T111" s="17">
        <v>1.5853999999999999</v>
      </c>
      <c r="U111" s="17">
        <v>1.7303999999999999</v>
      </c>
      <c r="V111" s="17">
        <v>1.8540000000000001</v>
      </c>
      <c r="W111" s="17">
        <v>1.9624999999999999</v>
      </c>
      <c r="X111" s="17">
        <v>2.0520999999999998</v>
      </c>
      <c r="Y111" s="17">
        <v>2.1156000000000001</v>
      </c>
      <c r="Z111" s="17">
        <v>2.1435</v>
      </c>
      <c r="AA111" s="17">
        <v>2.1516000000000002</v>
      </c>
      <c r="AB111" s="17">
        <v>2.1364999999999998</v>
      </c>
      <c r="AC111" s="17">
        <v>2.0857000000000001</v>
      </c>
      <c r="AD111" s="17">
        <v>2.0083000000000002</v>
      </c>
      <c r="AE111" s="17">
        <v>1.9158999999999999</v>
      </c>
      <c r="AF111" s="17">
        <v>1.7988999999999999</v>
      </c>
      <c r="AG111" s="17">
        <v>1.6745000000000001</v>
      </c>
      <c r="AH111" s="17">
        <v>1.5246999999999999</v>
      </c>
      <c r="AI111" s="17">
        <v>1.3561000000000001</v>
      </c>
      <c r="AJ111" s="17">
        <v>1.1525000000000001</v>
      </c>
      <c r="AK111" s="17">
        <v>0.96199999999999997</v>
      </c>
      <c r="AL111" s="17">
        <v>0.76619999999999999</v>
      </c>
      <c r="AM111" s="17">
        <v>0.57679999999999998</v>
      </c>
      <c r="AN111" s="17">
        <v>0.39419999999999999</v>
      </c>
      <c r="AO111" s="17">
        <v>0.23019999999999999</v>
      </c>
      <c r="AP111" s="17">
        <v>6.7000000000000004E-2</v>
      </c>
      <c r="AQ111" s="17">
        <v>1.24E-2</v>
      </c>
      <c r="AR111" s="17">
        <v>0</v>
      </c>
      <c r="AS111" s="17">
        <v>0</v>
      </c>
      <c r="AT111" s="17">
        <v>0</v>
      </c>
      <c r="AU111" s="17">
        <v>0</v>
      </c>
      <c r="AV111" s="17">
        <v>0</v>
      </c>
      <c r="AW111" s="17">
        <v>0</v>
      </c>
      <c r="AX111" s="17">
        <v>0</v>
      </c>
    </row>
    <row r="112" spans="1:50" x14ac:dyDescent="0.25">
      <c r="A112" s="16" t="s">
        <v>583</v>
      </c>
      <c r="B112" s="13" t="s">
        <v>464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1.6999999999999999E-3</v>
      </c>
      <c r="K112" s="17">
        <v>2.4899999999999999E-2</v>
      </c>
      <c r="L112" s="17">
        <v>0.1163</v>
      </c>
      <c r="M112" s="17">
        <v>0.23069999999999999</v>
      </c>
      <c r="N112" s="17">
        <v>0.37090000000000001</v>
      </c>
      <c r="O112" s="17">
        <v>0.52400000000000002</v>
      </c>
      <c r="P112" s="17">
        <v>0.67889999999999995</v>
      </c>
      <c r="Q112" s="17">
        <v>0.83299999999999996</v>
      </c>
      <c r="R112" s="17">
        <v>0.98729999999999996</v>
      </c>
      <c r="S112" s="17">
        <v>1.1322000000000001</v>
      </c>
      <c r="T112" s="17">
        <v>1.2683</v>
      </c>
      <c r="U112" s="17">
        <v>1.3843000000000001</v>
      </c>
      <c r="V112" s="17">
        <v>1.4832000000000001</v>
      </c>
      <c r="W112" s="17">
        <v>1.57</v>
      </c>
      <c r="X112" s="17">
        <v>1.6416999999999999</v>
      </c>
      <c r="Y112" s="17">
        <v>1.6924999999999999</v>
      </c>
      <c r="Z112" s="17">
        <v>1.7148000000000001</v>
      </c>
      <c r="AA112" s="17">
        <v>1.7212000000000001</v>
      </c>
      <c r="AB112" s="17">
        <v>1.7092000000000001</v>
      </c>
      <c r="AC112" s="17">
        <v>1.6686000000000001</v>
      </c>
      <c r="AD112" s="17">
        <v>1.6067</v>
      </c>
      <c r="AE112" s="17">
        <v>1.5327999999999999</v>
      </c>
      <c r="AF112" s="17">
        <v>1.4391</v>
      </c>
      <c r="AG112" s="17">
        <v>1.3395999999999999</v>
      </c>
      <c r="AH112" s="17">
        <v>1.2198</v>
      </c>
      <c r="AI112" s="17">
        <v>1.0849</v>
      </c>
      <c r="AJ112" s="17">
        <v>0.92200000000000004</v>
      </c>
      <c r="AK112" s="17">
        <v>0.76959999999999995</v>
      </c>
      <c r="AL112" s="17">
        <v>0.61299999999999999</v>
      </c>
      <c r="AM112" s="17">
        <v>0.46150000000000002</v>
      </c>
      <c r="AN112" s="17">
        <v>0.31540000000000001</v>
      </c>
      <c r="AO112" s="17">
        <v>0.1842</v>
      </c>
      <c r="AP112" s="17">
        <v>5.3600000000000002E-2</v>
      </c>
      <c r="AQ112" s="17">
        <v>9.9000000000000008E-3</v>
      </c>
      <c r="AR112" s="17">
        <v>0</v>
      </c>
      <c r="AS112" s="17">
        <v>0</v>
      </c>
      <c r="AT112" s="17">
        <v>0</v>
      </c>
      <c r="AU112" s="17">
        <v>0</v>
      </c>
      <c r="AV112" s="17">
        <v>0</v>
      </c>
      <c r="AW112" s="17">
        <v>0</v>
      </c>
      <c r="AX112" s="17">
        <v>0</v>
      </c>
    </row>
    <row r="113" spans="1:50" x14ac:dyDescent="0.25">
      <c r="A113" s="16" t="s">
        <v>585</v>
      </c>
      <c r="B113" s="13" t="s">
        <v>464</v>
      </c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2.2000000000000001E-3</v>
      </c>
      <c r="K113" s="17">
        <v>3.1099999999999999E-2</v>
      </c>
      <c r="L113" s="17">
        <v>0.1454</v>
      </c>
      <c r="M113" s="17">
        <v>0.2883</v>
      </c>
      <c r="N113" s="17">
        <v>0.4637</v>
      </c>
      <c r="O113" s="17">
        <v>0.65490000000000004</v>
      </c>
      <c r="P113" s="17">
        <v>0.84860000000000002</v>
      </c>
      <c r="Q113" s="17">
        <v>1.0411999999999999</v>
      </c>
      <c r="R113" s="17">
        <v>1.2341</v>
      </c>
      <c r="S113" s="17">
        <v>1.4152</v>
      </c>
      <c r="T113" s="17">
        <v>1.5853999999999999</v>
      </c>
      <c r="U113" s="17">
        <v>1.7303999999999999</v>
      </c>
      <c r="V113" s="17">
        <v>1.8540000000000001</v>
      </c>
      <c r="W113" s="17">
        <v>1.9624999999999999</v>
      </c>
      <c r="X113" s="17">
        <v>2.0520999999999998</v>
      </c>
      <c r="Y113" s="17">
        <v>2.1156000000000001</v>
      </c>
      <c r="Z113" s="17">
        <v>2.1435</v>
      </c>
      <c r="AA113" s="17">
        <v>2.1516000000000002</v>
      </c>
      <c r="AB113" s="17">
        <v>2.1364999999999998</v>
      </c>
      <c r="AC113" s="17">
        <v>2.0857000000000001</v>
      </c>
      <c r="AD113" s="17">
        <v>2.0083000000000002</v>
      </c>
      <c r="AE113" s="17">
        <v>1.9158999999999999</v>
      </c>
      <c r="AF113" s="17">
        <v>1.7988999999999999</v>
      </c>
      <c r="AG113" s="17">
        <v>1.6745000000000001</v>
      </c>
      <c r="AH113" s="17">
        <v>1.5246999999999999</v>
      </c>
      <c r="AI113" s="17">
        <v>1.3561000000000001</v>
      </c>
      <c r="AJ113" s="17">
        <v>1.1525000000000001</v>
      </c>
      <c r="AK113" s="17">
        <v>0.96199999999999997</v>
      </c>
      <c r="AL113" s="17">
        <v>0.76619999999999999</v>
      </c>
      <c r="AM113" s="17">
        <v>0.57679999999999998</v>
      </c>
      <c r="AN113" s="17">
        <v>0.39419999999999999</v>
      </c>
      <c r="AO113" s="17">
        <v>0.23019999999999999</v>
      </c>
      <c r="AP113" s="17">
        <v>6.7000000000000004E-2</v>
      </c>
      <c r="AQ113" s="17">
        <v>1.24E-2</v>
      </c>
      <c r="AR113" s="17">
        <v>0</v>
      </c>
      <c r="AS113" s="17">
        <v>0</v>
      </c>
      <c r="AT113" s="17">
        <v>0</v>
      </c>
      <c r="AU113" s="17">
        <v>0</v>
      </c>
      <c r="AV113" s="17">
        <v>0</v>
      </c>
      <c r="AW113" s="17">
        <v>0</v>
      </c>
      <c r="AX113" s="17">
        <v>0</v>
      </c>
    </row>
    <row r="114" spans="1:50" x14ac:dyDescent="0.25">
      <c r="A114" s="8" t="s">
        <v>150</v>
      </c>
      <c r="B114" s="10" t="s">
        <v>57</v>
      </c>
      <c r="C114" s="18">
        <v>0</v>
      </c>
      <c r="D114" s="18">
        <v>0</v>
      </c>
      <c r="E114" s="18">
        <v>0</v>
      </c>
      <c r="F114" s="18">
        <v>0</v>
      </c>
      <c r="G114" s="18">
        <v>0</v>
      </c>
      <c r="H114" s="18">
        <v>0</v>
      </c>
      <c r="I114" s="18">
        <v>0</v>
      </c>
      <c r="J114" s="18">
        <v>0</v>
      </c>
      <c r="K114" s="18">
        <v>0</v>
      </c>
      <c r="L114" s="18">
        <v>0</v>
      </c>
      <c r="M114" s="18">
        <v>0</v>
      </c>
      <c r="N114" s="18">
        <v>0</v>
      </c>
      <c r="O114" s="18">
        <v>0</v>
      </c>
      <c r="P114" s="18">
        <v>0</v>
      </c>
      <c r="Q114" s="18">
        <v>0</v>
      </c>
      <c r="R114" s="18">
        <v>0</v>
      </c>
      <c r="S114" s="18">
        <v>0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8">
        <v>0</v>
      </c>
      <c r="Z114" s="18">
        <v>0</v>
      </c>
      <c r="AA114" s="18">
        <v>0</v>
      </c>
      <c r="AB114" s="18">
        <v>0</v>
      </c>
      <c r="AC114" s="18">
        <v>0</v>
      </c>
      <c r="AD114" s="18">
        <v>0</v>
      </c>
      <c r="AE114" s="18">
        <v>0</v>
      </c>
      <c r="AF114" s="18">
        <v>0</v>
      </c>
      <c r="AG114" s="18">
        <v>0</v>
      </c>
      <c r="AH114" s="18">
        <v>0</v>
      </c>
      <c r="AI114" s="18">
        <v>0</v>
      </c>
      <c r="AJ114" s="18">
        <v>0</v>
      </c>
      <c r="AK114" s="18">
        <v>0</v>
      </c>
      <c r="AL114" s="18">
        <v>0</v>
      </c>
      <c r="AM114" s="18">
        <v>0</v>
      </c>
      <c r="AN114" s="18">
        <v>0</v>
      </c>
      <c r="AO114" s="18">
        <v>0</v>
      </c>
      <c r="AP114" s="18">
        <v>0</v>
      </c>
      <c r="AQ114" s="18">
        <v>0</v>
      </c>
      <c r="AR114" s="18">
        <v>0</v>
      </c>
      <c r="AS114" s="18">
        <v>0</v>
      </c>
      <c r="AT114" s="18">
        <v>0</v>
      </c>
      <c r="AU114" s="18">
        <v>0</v>
      </c>
      <c r="AV114" s="18">
        <v>0</v>
      </c>
      <c r="AW114" s="18">
        <v>0</v>
      </c>
      <c r="AX114" s="18">
        <v>0</v>
      </c>
    </row>
    <row r="115" spans="1:50" x14ac:dyDescent="0.25">
      <c r="A115" s="16" t="s">
        <v>587</v>
      </c>
      <c r="B115" s="13" t="s">
        <v>464</v>
      </c>
      <c r="C115" s="17">
        <v>0</v>
      </c>
      <c r="D115" s="17">
        <v>0</v>
      </c>
      <c r="E115" s="17">
        <v>0</v>
      </c>
      <c r="F115" s="17">
        <v>0</v>
      </c>
      <c r="G115" s="17">
        <v>0</v>
      </c>
      <c r="H115" s="17">
        <v>0</v>
      </c>
      <c r="I115" s="17">
        <v>0</v>
      </c>
      <c r="J115" s="17">
        <v>3.3999999999999998E-3</v>
      </c>
      <c r="K115" s="17">
        <v>4.9700000000000001E-2</v>
      </c>
      <c r="L115" s="17">
        <v>0.2326</v>
      </c>
      <c r="M115" s="17">
        <v>0.46129999999999999</v>
      </c>
      <c r="N115" s="17">
        <v>0.7419</v>
      </c>
      <c r="O115" s="17">
        <v>1.0479000000000001</v>
      </c>
      <c r="P115" s="17">
        <v>1.3576999999999999</v>
      </c>
      <c r="Q115" s="17">
        <v>1.6659999999999999</v>
      </c>
      <c r="R115" s="17">
        <v>1.9745999999999999</v>
      </c>
      <c r="S115" s="17">
        <v>2.2643</v>
      </c>
      <c r="T115" s="17">
        <v>2.5367000000000002</v>
      </c>
      <c r="U115" s="17">
        <v>2.7686000000000002</v>
      </c>
      <c r="V115" s="17">
        <v>2.9664000000000001</v>
      </c>
      <c r="W115" s="17">
        <v>3.14</v>
      </c>
      <c r="X115" s="17">
        <v>3.2833000000000001</v>
      </c>
      <c r="Y115" s="17">
        <v>3.3849999999999998</v>
      </c>
      <c r="Z115" s="17">
        <v>3.4296000000000002</v>
      </c>
      <c r="AA115" s="17">
        <v>3.4424999999999999</v>
      </c>
      <c r="AB115" s="17">
        <v>3.4182999999999999</v>
      </c>
      <c r="AC115" s="17">
        <v>3.3372000000000002</v>
      </c>
      <c r="AD115" s="17">
        <v>3.2132999999999998</v>
      </c>
      <c r="AE115" s="17">
        <v>3.0655000000000001</v>
      </c>
      <c r="AF115" s="17">
        <v>2.8782000000000001</v>
      </c>
      <c r="AG115" s="17">
        <v>2.6791</v>
      </c>
      <c r="AH115" s="17">
        <v>2.4396</v>
      </c>
      <c r="AI115" s="17">
        <v>2.1698</v>
      </c>
      <c r="AJ115" s="17">
        <v>1.8441000000000001</v>
      </c>
      <c r="AK115" s="17">
        <v>1.5391999999999999</v>
      </c>
      <c r="AL115" s="17">
        <v>1.2259</v>
      </c>
      <c r="AM115" s="17">
        <v>0.92290000000000005</v>
      </c>
      <c r="AN115" s="17">
        <v>0.63080000000000003</v>
      </c>
      <c r="AO115" s="17">
        <v>0.36830000000000002</v>
      </c>
      <c r="AP115" s="17">
        <v>0.1072</v>
      </c>
      <c r="AQ115" s="17">
        <v>1.9800000000000002E-2</v>
      </c>
      <c r="AR115" s="17">
        <v>0</v>
      </c>
      <c r="AS115" s="17">
        <v>0</v>
      </c>
      <c r="AT115" s="17">
        <v>0</v>
      </c>
      <c r="AU115" s="17">
        <v>0</v>
      </c>
      <c r="AV115" s="17">
        <v>0</v>
      </c>
      <c r="AW115" s="17">
        <v>0</v>
      </c>
      <c r="AX115" s="17">
        <v>0</v>
      </c>
    </row>
    <row r="116" spans="1:50" x14ac:dyDescent="0.25">
      <c r="A116" s="16" t="s">
        <v>589</v>
      </c>
      <c r="B116" s="13" t="s">
        <v>464</v>
      </c>
      <c r="C116" s="17">
        <v>0</v>
      </c>
      <c r="D116" s="17">
        <v>0</v>
      </c>
      <c r="E116" s="17">
        <v>0</v>
      </c>
      <c r="F116" s="17">
        <v>0</v>
      </c>
      <c r="G116" s="17">
        <v>0</v>
      </c>
      <c r="H116" s="17">
        <v>0</v>
      </c>
      <c r="I116" s="17">
        <v>0</v>
      </c>
      <c r="J116" s="17">
        <v>1.2999999999999999E-3</v>
      </c>
      <c r="K116" s="17">
        <v>1.8700000000000001E-2</v>
      </c>
      <c r="L116" s="17">
        <v>8.72E-2</v>
      </c>
      <c r="M116" s="17">
        <v>0.17299999999999999</v>
      </c>
      <c r="N116" s="17">
        <v>0.2782</v>
      </c>
      <c r="O116" s="17">
        <v>0.39300000000000002</v>
      </c>
      <c r="P116" s="17">
        <v>0.50919999999999999</v>
      </c>
      <c r="Q116" s="17">
        <v>0.62470000000000003</v>
      </c>
      <c r="R116" s="17">
        <v>0.74050000000000005</v>
      </c>
      <c r="S116" s="17">
        <v>0.84909999999999997</v>
      </c>
      <c r="T116" s="17">
        <v>0.95120000000000005</v>
      </c>
      <c r="U116" s="17">
        <v>1.0382</v>
      </c>
      <c r="V116" s="17">
        <v>1.1124000000000001</v>
      </c>
      <c r="W116" s="17">
        <v>1.1775</v>
      </c>
      <c r="X116" s="17">
        <v>1.2312000000000001</v>
      </c>
      <c r="Y116" s="17">
        <v>1.2694000000000001</v>
      </c>
      <c r="Z116" s="17">
        <v>1.2861</v>
      </c>
      <c r="AA116" s="17">
        <v>1.2908999999999999</v>
      </c>
      <c r="AB116" s="17">
        <v>1.2819</v>
      </c>
      <c r="AC116" s="17">
        <v>1.2514000000000001</v>
      </c>
      <c r="AD116" s="17">
        <v>1.2050000000000001</v>
      </c>
      <c r="AE116" s="17">
        <v>1.1496</v>
      </c>
      <c r="AF116" s="17">
        <v>1.0792999999999999</v>
      </c>
      <c r="AG116" s="17">
        <v>1.0046999999999999</v>
      </c>
      <c r="AH116" s="17">
        <v>0.91479999999999995</v>
      </c>
      <c r="AI116" s="17">
        <v>0.81369999999999998</v>
      </c>
      <c r="AJ116" s="17">
        <v>0.6915</v>
      </c>
      <c r="AK116" s="17">
        <v>0.57720000000000005</v>
      </c>
      <c r="AL116" s="17">
        <v>0.4597</v>
      </c>
      <c r="AM116" s="17">
        <v>0.34610000000000002</v>
      </c>
      <c r="AN116" s="17">
        <v>0.23649999999999999</v>
      </c>
      <c r="AO116" s="17">
        <v>0.1381</v>
      </c>
      <c r="AP116" s="17">
        <v>4.02E-2</v>
      </c>
      <c r="AQ116" s="17">
        <v>7.4000000000000003E-3</v>
      </c>
      <c r="AR116" s="17">
        <v>0</v>
      </c>
      <c r="AS116" s="17">
        <v>0</v>
      </c>
      <c r="AT116" s="17">
        <v>0</v>
      </c>
      <c r="AU116" s="17">
        <v>0</v>
      </c>
      <c r="AV116" s="17">
        <v>0</v>
      </c>
      <c r="AW116" s="17">
        <v>0</v>
      </c>
      <c r="AX116" s="17">
        <v>0</v>
      </c>
    </row>
    <row r="117" spans="1:50" x14ac:dyDescent="0.25">
      <c r="A117" s="16" t="s">
        <v>591</v>
      </c>
      <c r="B117" s="13" t="s">
        <v>464</v>
      </c>
      <c r="C117" s="17">
        <v>0</v>
      </c>
      <c r="D117" s="17">
        <v>0</v>
      </c>
      <c r="E117" s="17">
        <v>0</v>
      </c>
      <c r="F117" s="17">
        <v>0</v>
      </c>
      <c r="G117" s="17">
        <v>0</v>
      </c>
      <c r="H117" s="17">
        <v>0</v>
      </c>
      <c r="I117" s="17">
        <v>0</v>
      </c>
      <c r="J117" s="17">
        <v>1.2999999999999999E-3</v>
      </c>
      <c r="K117" s="17">
        <v>1.8700000000000001E-2</v>
      </c>
      <c r="L117" s="17">
        <v>8.72E-2</v>
      </c>
      <c r="M117" s="17">
        <v>0.17299999999999999</v>
      </c>
      <c r="N117" s="17">
        <v>0.2782</v>
      </c>
      <c r="O117" s="17">
        <v>0.39300000000000002</v>
      </c>
      <c r="P117" s="17">
        <v>0.50919999999999999</v>
      </c>
      <c r="Q117" s="17">
        <v>0.62470000000000003</v>
      </c>
      <c r="R117" s="17">
        <v>0.74050000000000005</v>
      </c>
      <c r="S117" s="17">
        <v>0.84909999999999997</v>
      </c>
      <c r="T117" s="17">
        <v>0.95120000000000005</v>
      </c>
      <c r="U117" s="17">
        <v>1.0382</v>
      </c>
      <c r="V117" s="17">
        <v>1.1124000000000001</v>
      </c>
      <c r="W117" s="17">
        <v>1.1775</v>
      </c>
      <c r="X117" s="17">
        <v>1.2312000000000001</v>
      </c>
      <c r="Y117" s="17">
        <v>1.2694000000000001</v>
      </c>
      <c r="Z117" s="17">
        <v>1.2861</v>
      </c>
      <c r="AA117" s="17">
        <v>1.2908999999999999</v>
      </c>
      <c r="AB117" s="17">
        <v>1.2819</v>
      </c>
      <c r="AC117" s="17">
        <v>1.2514000000000001</v>
      </c>
      <c r="AD117" s="17">
        <v>1.2050000000000001</v>
      </c>
      <c r="AE117" s="17">
        <v>1.1496</v>
      </c>
      <c r="AF117" s="17">
        <v>1.0792999999999999</v>
      </c>
      <c r="AG117" s="17">
        <v>1.0046999999999999</v>
      </c>
      <c r="AH117" s="17">
        <v>0.91479999999999995</v>
      </c>
      <c r="AI117" s="17">
        <v>0.81369999999999998</v>
      </c>
      <c r="AJ117" s="17">
        <v>0.6915</v>
      </c>
      <c r="AK117" s="17">
        <v>0.57720000000000005</v>
      </c>
      <c r="AL117" s="17">
        <v>0.4597</v>
      </c>
      <c r="AM117" s="17">
        <v>0.34610000000000002</v>
      </c>
      <c r="AN117" s="17">
        <v>0.23649999999999999</v>
      </c>
      <c r="AO117" s="17">
        <v>0.1381</v>
      </c>
      <c r="AP117" s="17">
        <v>4.02E-2</v>
      </c>
      <c r="AQ117" s="17">
        <v>7.4000000000000003E-3</v>
      </c>
      <c r="AR117" s="17">
        <v>0</v>
      </c>
      <c r="AS117" s="17">
        <v>0</v>
      </c>
      <c r="AT117" s="17">
        <v>0</v>
      </c>
      <c r="AU117" s="17">
        <v>0</v>
      </c>
      <c r="AV117" s="17">
        <v>0</v>
      </c>
      <c r="AW117" s="17">
        <v>0</v>
      </c>
      <c r="AX117" s="17">
        <v>0</v>
      </c>
    </row>
    <row r="118" spans="1:50" x14ac:dyDescent="0.25">
      <c r="A118" s="8" t="s">
        <v>152</v>
      </c>
      <c r="B118" s="10" t="s">
        <v>57</v>
      </c>
      <c r="C118" s="18">
        <v>0</v>
      </c>
      <c r="D118" s="18">
        <v>0</v>
      </c>
      <c r="E118" s="18">
        <v>0</v>
      </c>
      <c r="F118" s="18">
        <v>0</v>
      </c>
      <c r="G118" s="18">
        <v>0</v>
      </c>
      <c r="H118" s="18">
        <v>0</v>
      </c>
      <c r="I118" s="18">
        <v>0</v>
      </c>
      <c r="J118" s="18">
        <v>0</v>
      </c>
      <c r="K118" s="18">
        <v>0</v>
      </c>
      <c r="L118" s="18">
        <v>0</v>
      </c>
      <c r="M118" s="18">
        <v>0</v>
      </c>
      <c r="N118" s="18">
        <v>0</v>
      </c>
      <c r="O118" s="18">
        <v>0</v>
      </c>
      <c r="P118" s="18">
        <v>0</v>
      </c>
      <c r="Q118" s="18">
        <v>0</v>
      </c>
      <c r="R118" s="18">
        <v>0</v>
      </c>
      <c r="S118" s="18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8">
        <v>0</v>
      </c>
      <c r="Z118" s="18">
        <v>0</v>
      </c>
      <c r="AA118" s="18">
        <v>0</v>
      </c>
      <c r="AB118" s="18">
        <v>0</v>
      </c>
      <c r="AC118" s="18">
        <v>0</v>
      </c>
      <c r="AD118" s="18">
        <v>0</v>
      </c>
      <c r="AE118" s="18">
        <v>0</v>
      </c>
      <c r="AF118" s="18">
        <v>0</v>
      </c>
      <c r="AG118" s="18">
        <v>0</v>
      </c>
      <c r="AH118" s="18">
        <v>0</v>
      </c>
      <c r="AI118" s="18">
        <v>0</v>
      </c>
      <c r="AJ118" s="18">
        <v>0</v>
      </c>
      <c r="AK118" s="18">
        <v>0</v>
      </c>
      <c r="AL118" s="18">
        <v>0</v>
      </c>
      <c r="AM118" s="18">
        <v>0</v>
      </c>
      <c r="AN118" s="18">
        <v>0</v>
      </c>
      <c r="AO118" s="18">
        <v>0</v>
      </c>
      <c r="AP118" s="18">
        <v>0</v>
      </c>
      <c r="AQ118" s="18">
        <v>0</v>
      </c>
      <c r="AR118" s="18">
        <v>0</v>
      </c>
      <c r="AS118" s="18">
        <v>0</v>
      </c>
      <c r="AT118" s="18">
        <v>0</v>
      </c>
      <c r="AU118" s="18">
        <v>0</v>
      </c>
      <c r="AV118" s="18">
        <v>0</v>
      </c>
      <c r="AW118" s="18">
        <v>0</v>
      </c>
      <c r="AX118" s="18">
        <v>0</v>
      </c>
    </row>
    <row r="119" spans="1:50" x14ac:dyDescent="0.25">
      <c r="A119" s="8" t="s">
        <v>154</v>
      </c>
      <c r="B119" s="10" t="s">
        <v>57</v>
      </c>
      <c r="C119" s="18">
        <v>0</v>
      </c>
      <c r="D119" s="18">
        <v>0</v>
      </c>
      <c r="E119" s="18">
        <v>0</v>
      </c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0</v>
      </c>
      <c r="V119" s="18">
        <v>0</v>
      </c>
      <c r="W119" s="18">
        <v>0</v>
      </c>
      <c r="X119" s="18">
        <v>0</v>
      </c>
      <c r="Y119" s="18">
        <v>0</v>
      </c>
      <c r="Z119" s="18">
        <v>0</v>
      </c>
      <c r="AA119" s="18">
        <v>0</v>
      </c>
      <c r="AB119" s="18">
        <v>0</v>
      </c>
      <c r="AC119" s="18">
        <v>0</v>
      </c>
      <c r="AD119" s="18">
        <v>0</v>
      </c>
      <c r="AE119" s="18">
        <v>0</v>
      </c>
      <c r="AF119" s="18">
        <v>0</v>
      </c>
      <c r="AG119" s="18">
        <v>0</v>
      </c>
      <c r="AH119" s="18">
        <v>0</v>
      </c>
      <c r="AI119" s="18">
        <v>0</v>
      </c>
      <c r="AJ119" s="18">
        <v>0</v>
      </c>
      <c r="AK119" s="18">
        <v>0</v>
      </c>
      <c r="AL119" s="18">
        <v>0</v>
      </c>
      <c r="AM119" s="18">
        <v>0</v>
      </c>
      <c r="AN119" s="18">
        <v>0</v>
      </c>
      <c r="AO119" s="18">
        <v>0</v>
      </c>
      <c r="AP119" s="18">
        <v>0</v>
      </c>
      <c r="AQ119" s="18">
        <v>0</v>
      </c>
      <c r="AR119" s="18">
        <v>0</v>
      </c>
      <c r="AS119" s="18">
        <v>0</v>
      </c>
      <c r="AT119" s="18">
        <v>0</v>
      </c>
      <c r="AU119" s="18">
        <v>0</v>
      </c>
      <c r="AV119" s="18">
        <v>0</v>
      </c>
      <c r="AW119" s="18">
        <v>0</v>
      </c>
      <c r="AX119" s="18">
        <v>0</v>
      </c>
    </row>
    <row r="120" spans="1:50" x14ac:dyDescent="0.25">
      <c r="A120" s="16" t="s">
        <v>593</v>
      </c>
      <c r="B120" s="13" t="s">
        <v>464</v>
      </c>
      <c r="C120" s="17">
        <v>0</v>
      </c>
      <c r="D120" s="17">
        <v>0</v>
      </c>
      <c r="E120" s="17">
        <v>0</v>
      </c>
      <c r="F120" s="17">
        <v>0</v>
      </c>
      <c r="G120" s="17">
        <v>0</v>
      </c>
      <c r="H120" s="17">
        <v>0</v>
      </c>
      <c r="I120" s="17">
        <v>0</v>
      </c>
      <c r="J120" s="17">
        <v>1.2999999999999999E-3</v>
      </c>
      <c r="K120" s="17">
        <v>1.8700000000000001E-2</v>
      </c>
      <c r="L120" s="17">
        <v>8.72E-2</v>
      </c>
      <c r="M120" s="17">
        <v>0.17299999999999999</v>
      </c>
      <c r="N120" s="17">
        <v>0.2782</v>
      </c>
      <c r="O120" s="17">
        <v>0.39300000000000002</v>
      </c>
      <c r="P120" s="17">
        <v>0.50919999999999999</v>
      </c>
      <c r="Q120" s="17">
        <v>0.62470000000000003</v>
      </c>
      <c r="R120" s="17">
        <v>0.74050000000000005</v>
      </c>
      <c r="S120" s="17">
        <v>0.84909999999999997</v>
      </c>
      <c r="T120" s="17">
        <v>0.95120000000000005</v>
      </c>
      <c r="U120" s="17">
        <v>1.0382</v>
      </c>
      <c r="V120" s="17">
        <v>1.1124000000000001</v>
      </c>
      <c r="W120" s="17">
        <v>1.1775</v>
      </c>
      <c r="X120" s="17">
        <v>1.2312000000000001</v>
      </c>
      <c r="Y120" s="17">
        <v>1.2694000000000001</v>
      </c>
      <c r="Z120" s="17">
        <v>1.2861</v>
      </c>
      <c r="AA120" s="17">
        <v>1.2908999999999999</v>
      </c>
      <c r="AB120" s="17">
        <v>1.2819</v>
      </c>
      <c r="AC120" s="17">
        <v>1.2514000000000001</v>
      </c>
      <c r="AD120" s="17">
        <v>1.2050000000000001</v>
      </c>
      <c r="AE120" s="17">
        <v>1.1496</v>
      </c>
      <c r="AF120" s="17">
        <v>1.0792999999999999</v>
      </c>
      <c r="AG120" s="17">
        <v>1.0046999999999999</v>
      </c>
      <c r="AH120" s="17">
        <v>0.91479999999999995</v>
      </c>
      <c r="AI120" s="17">
        <v>0.81369999999999998</v>
      </c>
      <c r="AJ120" s="17">
        <v>0.6915</v>
      </c>
      <c r="AK120" s="17">
        <v>0.57720000000000005</v>
      </c>
      <c r="AL120" s="17">
        <v>0.4597</v>
      </c>
      <c r="AM120" s="17">
        <v>0.34610000000000002</v>
      </c>
      <c r="AN120" s="17">
        <v>0.23649999999999999</v>
      </c>
      <c r="AO120" s="17">
        <v>0.1381</v>
      </c>
      <c r="AP120" s="17">
        <v>4.02E-2</v>
      </c>
      <c r="AQ120" s="17">
        <v>7.4000000000000003E-3</v>
      </c>
      <c r="AR120" s="17">
        <v>0</v>
      </c>
      <c r="AS120" s="17">
        <v>0</v>
      </c>
      <c r="AT120" s="17">
        <v>0</v>
      </c>
      <c r="AU120" s="17">
        <v>0</v>
      </c>
      <c r="AV120" s="17">
        <v>0</v>
      </c>
      <c r="AW120" s="17">
        <v>0</v>
      </c>
      <c r="AX120" s="17">
        <v>0</v>
      </c>
    </row>
    <row r="121" spans="1:50" x14ac:dyDescent="0.25">
      <c r="A121" s="8" t="s">
        <v>156</v>
      </c>
      <c r="B121" s="10" t="s">
        <v>57</v>
      </c>
      <c r="C121" s="18">
        <v>0</v>
      </c>
      <c r="D121" s="18">
        <v>0</v>
      </c>
      <c r="E121" s="18">
        <v>0</v>
      </c>
      <c r="F121" s="18">
        <v>0</v>
      </c>
      <c r="G121" s="18">
        <v>0</v>
      </c>
      <c r="H121" s="18">
        <v>0</v>
      </c>
      <c r="I121" s="18">
        <v>0</v>
      </c>
      <c r="J121" s="18">
        <v>0</v>
      </c>
      <c r="K121" s="18">
        <v>0</v>
      </c>
      <c r="L121" s="18">
        <v>0</v>
      </c>
      <c r="M121" s="18">
        <v>0</v>
      </c>
      <c r="N121" s="18">
        <v>0</v>
      </c>
      <c r="O121" s="18">
        <v>0</v>
      </c>
      <c r="P121" s="18">
        <v>0</v>
      </c>
      <c r="Q121" s="18">
        <v>0</v>
      </c>
      <c r="R121" s="18">
        <v>0</v>
      </c>
      <c r="S121" s="18">
        <v>0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8">
        <v>0</v>
      </c>
      <c r="Z121" s="18">
        <v>0</v>
      </c>
      <c r="AA121" s="18">
        <v>0</v>
      </c>
      <c r="AB121" s="18">
        <v>0</v>
      </c>
      <c r="AC121" s="18">
        <v>0</v>
      </c>
      <c r="AD121" s="18">
        <v>0</v>
      </c>
      <c r="AE121" s="18">
        <v>0</v>
      </c>
      <c r="AF121" s="18">
        <v>0</v>
      </c>
      <c r="AG121" s="18">
        <v>0</v>
      </c>
      <c r="AH121" s="18">
        <v>0</v>
      </c>
      <c r="AI121" s="18">
        <v>0</v>
      </c>
      <c r="AJ121" s="18">
        <v>0</v>
      </c>
      <c r="AK121" s="18">
        <v>0</v>
      </c>
      <c r="AL121" s="18">
        <v>0</v>
      </c>
      <c r="AM121" s="18">
        <v>0</v>
      </c>
      <c r="AN121" s="18">
        <v>0</v>
      </c>
      <c r="AO121" s="18">
        <v>0</v>
      </c>
      <c r="AP121" s="18">
        <v>0</v>
      </c>
      <c r="AQ121" s="18">
        <v>0</v>
      </c>
      <c r="AR121" s="18">
        <v>0</v>
      </c>
      <c r="AS121" s="18">
        <v>0</v>
      </c>
      <c r="AT121" s="18">
        <v>0</v>
      </c>
      <c r="AU121" s="18">
        <v>0</v>
      </c>
      <c r="AV121" s="18">
        <v>0</v>
      </c>
      <c r="AW121" s="18">
        <v>0</v>
      </c>
      <c r="AX121" s="18">
        <v>0</v>
      </c>
    </row>
    <row r="122" spans="1:50" x14ac:dyDescent="0.25">
      <c r="A122" s="16" t="s">
        <v>595</v>
      </c>
      <c r="B122" s="13" t="s">
        <v>464</v>
      </c>
      <c r="C122" s="17">
        <v>0</v>
      </c>
      <c r="D122" s="17">
        <v>0</v>
      </c>
      <c r="E122" s="17">
        <v>0</v>
      </c>
      <c r="F122" s="17">
        <v>0</v>
      </c>
      <c r="G122" s="17">
        <v>0</v>
      </c>
      <c r="H122" s="17">
        <v>0</v>
      </c>
      <c r="I122" s="17">
        <v>0</v>
      </c>
      <c r="J122" s="17">
        <v>3.3999999999999998E-3</v>
      </c>
      <c r="K122" s="17">
        <v>4.9700000000000001E-2</v>
      </c>
      <c r="L122" s="17">
        <v>0.2326</v>
      </c>
      <c r="M122" s="17">
        <v>0.46129999999999999</v>
      </c>
      <c r="N122" s="17">
        <v>0.7419</v>
      </c>
      <c r="O122" s="17">
        <v>1.0479000000000001</v>
      </c>
      <c r="P122" s="17">
        <v>1.3576999999999999</v>
      </c>
      <c r="Q122" s="17">
        <v>1.6659999999999999</v>
      </c>
      <c r="R122" s="17">
        <v>1.9745999999999999</v>
      </c>
      <c r="S122" s="17">
        <v>2.2643</v>
      </c>
      <c r="T122" s="17">
        <v>2.5367000000000002</v>
      </c>
      <c r="U122" s="17">
        <v>2.7686000000000002</v>
      </c>
      <c r="V122" s="17">
        <v>2.9664000000000001</v>
      </c>
      <c r="W122" s="17">
        <v>3.14</v>
      </c>
      <c r="X122" s="17">
        <v>3.2833000000000001</v>
      </c>
      <c r="Y122" s="17">
        <v>3.3849999999999998</v>
      </c>
      <c r="Z122" s="17">
        <v>3.4296000000000002</v>
      </c>
      <c r="AA122" s="17">
        <v>3.4424999999999999</v>
      </c>
      <c r="AB122" s="17">
        <v>3.4182999999999999</v>
      </c>
      <c r="AC122" s="17">
        <v>3.3372000000000002</v>
      </c>
      <c r="AD122" s="17">
        <v>3.2132999999999998</v>
      </c>
      <c r="AE122" s="17">
        <v>3.0655000000000001</v>
      </c>
      <c r="AF122" s="17">
        <v>2.8782000000000001</v>
      </c>
      <c r="AG122" s="17">
        <v>2.6791</v>
      </c>
      <c r="AH122" s="17">
        <v>2.4396</v>
      </c>
      <c r="AI122" s="17">
        <v>2.1698</v>
      </c>
      <c r="AJ122" s="17">
        <v>1.8441000000000001</v>
      </c>
      <c r="AK122" s="17">
        <v>1.5391999999999999</v>
      </c>
      <c r="AL122" s="17">
        <v>1.2259</v>
      </c>
      <c r="AM122" s="17">
        <v>0.92290000000000005</v>
      </c>
      <c r="AN122" s="17">
        <v>0.63080000000000003</v>
      </c>
      <c r="AO122" s="17">
        <v>0.36830000000000002</v>
      </c>
      <c r="AP122" s="17">
        <v>0.1072</v>
      </c>
      <c r="AQ122" s="17">
        <v>1.9800000000000002E-2</v>
      </c>
      <c r="AR122" s="17">
        <v>0</v>
      </c>
      <c r="AS122" s="17">
        <v>0</v>
      </c>
      <c r="AT122" s="17">
        <v>0</v>
      </c>
      <c r="AU122" s="17">
        <v>0</v>
      </c>
      <c r="AV122" s="17">
        <v>0</v>
      </c>
      <c r="AW122" s="17">
        <v>0</v>
      </c>
      <c r="AX122" s="17">
        <v>0</v>
      </c>
    </row>
    <row r="123" spans="1:50" x14ac:dyDescent="0.25">
      <c r="A123" s="16" t="s">
        <v>597</v>
      </c>
      <c r="B123" s="13" t="s">
        <v>464</v>
      </c>
      <c r="C123" s="17">
        <v>0</v>
      </c>
      <c r="D123" s="17">
        <v>0</v>
      </c>
      <c r="E123" s="17">
        <v>0</v>
      </c>
      <c r="F123" s="17">
        <v>0</v>
      </c>
      <c r="G123" s="17">
        <v>0</v>
      </c>
      <c r="H123" s="17">
        <v>0</v>
      </c>
      <c r="I123" s="17">
        <v>0</v>
      </c>
      <c r="J123" s="17">
        <v>3.3999999999999998E-3</v>
      </c>
      <c r="K123" s="17">
        <v>4.9700000000000001E-2</v>
      </c>
      <c r="L123" s="17">
        <v>0.2326</v>
      </c>
      <c r="M123" s="17">
        <v>0.46129999999999999</v>
      </c>
      <c r="N123" s="17">
        <v>0.7419</v>
      </c>
      <c r="O123" s="17">
        <v>1.0479000000000001</v>
      </c>
      <c r="P123" s="17">
        <v>1.3576999999999999</v>
      </c>
      <c r="Q123" s="17">
        <v>1.6659999999999999</v>
      </c>
      <c r="R123" s="17">
        <v>1.9745999999999999</v>
      </c>
      <c r="S123" s="17">
        <v>2.2643</v>
      </c>
      <c r="T123" s="17">
        <v>2.5367000000000002</v>
      </c>
      <c r="U123" s="17">
        <v>2.7686000000000002</v>
      </c>
      <c r="V123" s="17">
        <v>2.9664000000000001</v>
      </c>
      <c r="W123" s="17">
        <v>3.14</v>
      </c>
      <c r="X123" s="17">
        <v>3.2833000000000001</v>
      </c>
      <c r="Y123" s="17">
        <v>3.3849999999999998</v>
      </c>
      <c r="Z123" s="17">
        <v>3.4296000000000002</v>
      </c>
      <c r="AA123" s="17">
        <v>3.4424999999999999</v>
      </c>
      <c r="AB123" s="17">
        <v>3.4182999999999999</v>
      </c>
      <c r="AC123" s="17">
        <v>3.3372000000000002</v>
      </c>
      <c r="AD123" s="17">
        <v>3.2132999999999998</v>
      </c>
      <c r="AE123" s="17">
        <v>3.0655000000000001</v>
      </c>
      <c r="AF123" s="17">
        <v>2.8782000000000001</v>
      </c>
      <c r="AG123" s="17">
        <v>2.6791</v>
      </c>
      <c r="AH123" s="17">
        <v>2.4396</v>
      </c>
      <c r="AI123" s="17">
        <v>2.1698</v>
      </c>
      <c r="AJ123" s="17">
        <v>1.8441000000000001</v>
      </c>
      <c r="AK123" s="17">
        <v>1.5391999999999999</v>
      </c>
      <c r="AL123" s="17">
        <v>1.2259</v>
      </c>
      <c r="AM123" s="17">
        <v>0.92290000000000005</v>
      </c>
      <c r="AN123" s="17">
        <v>0.63080000000000003</v>
      </c>
      <c r="AO123" s="17">
        <v>0.36830000000000002</v>
      </c>
      <c r="AP123" s="17">
        <v>0.1072</v>
      </c>
      <c r="AQ123" s="17">
        <v>1.9800000000000002E-2</v>
      </c>
      <c r="AR123" s="17">
        <v>0</v>
      </c>
      <c r="AS123" s="17">
        <v>0</v>
      </c>
      <c r="AT123" s="17">
        <v>0</v>
      </c>
      <c r="AU123" s="17">
        <v>0</v>
      </c>
      <c r="AV123" s="17">
        <v>0</v>
      </c>
      <c r="AW123" s="17">
        <v>0</v>
      </c>
      <c r="AX123" s="17">
        <v>0</v>
      </c>
    </row>
    <row r="124" spans="1:50" x14ac:dyDescent="0.25">
      <c r="A124" s="16" t="s">
        <v>599</v>
      </c>
      <c r="B124" s="13" t="s">
        <v>464</v>
      </c>
      <c r="C124" s="17">
        <v>0</v>
      </c>
      <c r="D124" s="17">
        <v>0</v>
      </c>
      <c r="E124" s="17">
        <v>0</v>
      </c>
      <c r="F124" s="17">
        <v>0</v>
      </c>
      <c r="G124" s="17">
        <v>0</v>
      </c>
      <c r="H124" s="17">
        <v>0</v>
      </c>
      <c r="I124" s="17">
        <v>0</v>
      </c>
      <c r="J124" s="17">
        <v>1.6999999999999999E-3</v>
      </c>
      <c r="K124" s="17">
        <v>2.4899999999999999E-2</v>
      </c>
      <c r="L124" s="17">
        <v>0.1163</v>
      </c>
      <c r="M124" s="17">
        <v>0.23069999999999999</v>
      </c>
      <c r="N124" s="17">
        <v>0.37090000000000001</v>
      </c>
      <c r="O124" s="17">
        <v>0.52400000000000002</v>
      </c>
      <c r="P124" s="17">
        <v>0.67889999999999995</v>
      </c>
      <c r="Q124" s="17">
        <v>0.83299999999999996</v>
      </c>
      <c r="R124" s="17">
        <v>0.98729999999999996</v>
      </c>
      <c r="S124" s="17">
        <v>1.1322000000000001</v>
      </c>
      <c r="T124" s="17">
        <v>1.2683</v>
      </c>
      <c r="U124" s="17">
        <v>1.3843000000000001</v>
      </c>
      <c r="V124" s="17">
        <v>1.4832000000000001</v>
      </c>
      <c r="W124" s="17">
        <v>1.57</v>
      </c>
      <c r="X124" s="17">
        <v>1.6416999999999999</v>
      </c>
      <c r="Y124" s="17">
        <v>1.6924999999999999</v>
      </c>
      <c r="Z124" s="17">
        <v>1.7148000000000001</v>
      </c>
      <c r="AA124" s="17">
        <v>1.7212000000000001</v>
      </c>
      <c r="AB124" s="17">
        <v>1.7092000000000001</v>
      </c>
      <c r="AC124" s="17">
        <v>1.6686000000000001</v>
      </c>
      <c r="AD124" s="17">
        <v>1.6067</v>
      </c>
      <c r="AE124" s="17">
        <v>1.5327999999999999</v>
      </c>
      <c r="AF124" s="17">
        <v>1.4391</v>
      </c>
      <c r="AG124" s="17">
        <v>1.3395999999999999</v>
      </c>
      <c r="AH124" s="17">
        <v>1.2198</v>
      </c>
      <c r="AI124" s="17">
        <v>1.0849</v>
      </c>
      <c r="AJ124" s="17">
        <v>0.92200000000000004</v>
      </c>
      <c r="AK124" s="17">
        <v>0.76959999999999995</v>
      </c>
      <c r="AL124" s="17">
        <v>0.61299999999999999</v>
      </c>
      <c r="AM124" s="17">
        <v>0.46150000000000002</v>
      </c>
      <c r="AN124" s="17">
        <v>0.31540000000000001</v>
      </c>
      <c r="AO124" s="17">
        <v>0.1842</v>
      </c>
      <c r="AP124" s="17">
        <v>5.3600000000000002E-2</v>
      </c>
      <c r="AQ124" s="17">
        <v>9.9000000000000008E-3</v>
      </c>
      <c r="AR124" s="17">
        <v>0</v>
      </c>
      <c r="AS124" s="17">
        <v>0</v>
      </c>
      <c r="AT124" s="17">
        <v>0</v>
      </c>
      <c r="AU124" s="17">
        <v>0</v>
      </c>
      <c r="AV124" s="17">
        <v>0</v>
      </c>
      <c r="AW124" s="17">
        <v>0</v>
      </c>
      <c r="AX124" s="17">
        <v>0</v>
      </c>
    </row>
    <row r="125" spans="1:50" x14ac:dyDescent="0.25">
      <c r="A125" s="16" t="s">
        <v>601</v>
      </c>
      <c r="B125" s="13" t="s">
        <v>464</v>
      </c>
      <c r="C125" s="17">
        <v>0</v>
      </c>
      <c r="D125" s="17">
        <v>0</v>
      </c>
      <c r="E125" s="17">
        <v>0</v>
      </c>
      <c r="F125" s="17">
        <v>0</v>
      </c>
      <c r="G125" s="17">
        <v>0</v>
      </c>
      <c r="H125" s="17">
        <v>0</v>
      </c>
      <c r="I125" s="17">
        <v>0</v>
      </c>
      <c r="J125" s="17">
        <v>2.2000000000000001E-3</v>
      </c>
      <c r="K125" s="17">
        <v>3.1099999999999999E-2</v>
      </c>
      <c r="L125" s="17">
        <v>0.1454</v>
      </c>
      <c r="M125" s="17">
        <v>0.2883</v>
      </c>
      <c r="N125" s="17">
        <v>0.4637</v>
      </c>
      <c r="O125" s="17">
        <v>0.65490000000000004</v>
      </c>
      <c r="P125" s="17">
        <v>0.84860000000000002</v>
      </c>
      <c r="Q125" s="17">
        <v>1.0411999999999999</v>
      </c>
      <c r="R125" s="17">
        <v>1.2341</v>
      </c>
      <c r="S125" s="17">
        <v>1.4152</v>
      </c>
      <c r="T125" s="17">
        <v>1.5853999999999999</v>
      </c>
      <c r="U125" s="17">
        <v>1.7303999999999999</v>
      </c>
      <c r="V125" s="17">
        <v>1.8540000000000001</v>
      </c>
      <c r="W125" s="17">
        <v>1.9624999999999999</v>
      </c>
      <c r="X125" s="17">
        <v>2.0520999999999998</v>
      </c>
      <c r="Y125" s="17">
        <v>2.1156000000000001</v>
      </c>
      <c r="Z125" s="17">
        <v>2.1435</v>
      </c>
      <c r="AA125" s="17">
        <v>2.1516000000000002</v>
      </c>
      <c r="AB125" s="17">
        <v>2.1364999999999998</v>
      </c>
      <c r="AC125" s="17">
        <v>2.0857000000000001</v>
      </c>
      <c r="AD125" s="17">
        <v>2.0083000000000002</v>
      </c>
      <c r="AE125" s="17">
        <v>1.9158999999999999</v>
      </c>
      <c r="AF125" s="17">
        <v>1.7988999999999999</v>
      </c>
      <c r="AG125" s="17">
        <v>1.6745000000000001</v>
      </c>
      <c r="AH125" s="17">
        <v>1.5246999999999999</v>
      </c>
      <c r="AI125" s="17">
        <v>1.3561000000000001</v>
      </c>
      <c r="AJ125" s="17">
        <v>1.1525000000000001</v>
      </c>
      <c r="AK125" s="17">
        <v>0.96199999999999997</v>
      </c>
      <c r="AL125" s="17">
        <v>0.76619999999999999</v>
      </c>
      <c r="AM125" s="17">
        <v>0.57679999999999998</v>
      </c>
      <c r="AN125" s="17">
        <v>0.39419999999999999</v>
      </c>
      <c r="AO125" s="17">
        <v>0.23019999999999999</v>
      </c>
      <c r="AP125" s="17">
        <v>6.7000000000000004E-2</v>
      </c>
      <c r="AQ125" s="17">
        <v>1.24E-2</v>
      </c>
      <c r="AR125" s="17">
        <v>0</v>
      </c>
      <c r="AS125" s="17">
        <v>0</v>
      </c>
      <c r="AT125" s="17">
        <v>0</v>
      </c>
      <c r="AU125" s="17">
        <v>0</v>
      </c>
      <c r="AV125" s="17">
        <v>0</v>
      </c>
      <c r="AW125" s="17">
        <v>0</v>
      </c>
      <c r="AX125" s="17">
        <v>0</v>
      </c>
    </row>
    <row r="126" spans="1:50" x14ac:dyDescent="0.25">
      <c r="A126" s="8" t="s">
        <v>158</v>
      </c>
      <c r="B126" s="10" t="s">
        <v>57</v>
      </c>
      <c r="C126" s="18">
        <v>0</v>
      </c>
      <c r="D126" s="18">
        <v>0</v>
      </c>
      <c r="E126" s="18">
        <v>0</v>
      </c>
      <c r="F126" s="18">
        <v>0</v>
      </c>
      <c r="G126" s="18">
        <v>0</v>
      </c>
      <c r="H126" s="18">
        <v>0</v>
      </c>
      <c r="I126" s="18">
        <v>0</v>
      </c>
      <c r="J126" s="18">
        <v>0</v>
      </c>
      <c r="K126" s="18">
        <v>0</v>
      </c>
      <c r="L126" s="18">
        <v>0</v>
      </c>
      <c r="M126" s="18">
        <v>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  <c r="U126" s="18">
        <v>0</v>
      </c>
      <c r="V126" s="18">
        <v>0</v>
      </c>
      <c r="W126" s="18">
        <v>0</v>
      </c>
      <c r="X126" s="18">
        <v>0</v>
      </c>
      <c r="Y126" s="18">
        <v>0</v>
      </c>
      <c r="Z126" s="18">
        <v>0</v>
      </c>
      <c r="AA126" s="18">
        <v>0</v>
      </c>
      <c r="AB126" s="18">
        <v>0</v>
      </c>
      <c r="AC126" s="18">
        <v>0</v>
      </c>
      <c r="AD126" s="18">
        <v>0</v>
      </c>
      <c r="AE126" s="18">
        <v>0</v>
      </c>
      <c r="AF126" s="18">
        <v>0</v>
      </c>
      <c r="AG126" s="18">
        <v>0</v>
      </c>
      <c r="AH126" s="18">
        <v>0</v>
      </c>
      <c r="AI126" s="18">
        <v>0</v>
      </c>
      <c r="AJ126" s="18">
        <v>0</v>
      </c>
      <c r="AK126" s="18">
        <v>0</v>
      </c>
      <c r="AL126" s="18">
        <v>0</v>
      </c>
      <c r="AM126" s="18">
        <v>0</v>
      </c>
      <c r="AN126" s="18">
        <v>0</v>
      </c>
      <c r="AO126" s="18">
        <v>0</v>
      </c>
      <c r="AP126" s="18">
        <v>0</v>
      </c>
      <c r="AQ126" s="18">
        <v>0</v>
      </c>
      <c r="AR126" s="18">
        <v>0</v>
      </c>
      <c r="AS126" s="18">
        <v>0</v>
      </c>
      <c r="AT126" s="18">
        <v>0</v>
      </c>
      <c r="AU126" s="18">
        <v>0</v>
      </c>
      <c r="AV126" s="18">
        <v>0</v>
      </c>
      <c r="AW126" s="18">
        <v>0</v>
      </c>
      <c r="AX126" s="18">
        <v>0</v>
      </c>
    </row>
    <row r="127" spans="1:50" x14ac:dyDescent="0.25">
      <c r="A127" s="8" t="s">
        <v>160</v>
      </c>
      <c r="B127" s="10" t="s">
        <v>57</v>
      </c>
      <c r="C127" s="18">
        <v>0</v>
      </c>
      <c r="D127" s="18">
        <v>0</v>
      </c>
      <c r="E127" s="18">
        <v>0</v>
      </c>
      <c r="F127" s="18">
        <v>0</v>
      </c>
      <c r="G127" s="18">
        <v>0</v>
      </c>
      <c r="H127" s="18">
        <v>0</v>
      </c>
      <c r="I127" s="18">
        <v>0</v>
      </c>
      <c r="J127" s="18">
        <v>0</v>
      </c>
      <c r="K127" s="18">
        <v>0</v>
      </c>
      <c r="L127" s="18">
        <v>0</v>
      </c>
      <c r="M127" s="18">
        <v>0</v>
      </c>
      <c r="N127" s="18">
        <v>0</v>
      </c>
      <c r="O127" s="18">
        <v>0</v>
      </c>
      <c r="P127" s="18">
        <v>0</v>
      </c>
      <c r="Q127" s="18">
        <v>0</v>
      </c>
      <c r="R127" s="18">
        <v>0</v>
      </c>
      <c r="S127" s="18">
        <v>0</v>
      </c>
      <c r="T127" s="18">
        <v>0</v>
      </c>
      <c r="U127" s="18">
        <v>0</v>
      </c>
      <c r="V127" s="18">
        <v>0</v>
      </c>
      <c r="W127" s="18">
        <v>0</v>
      </c>
      <c r="X127" s="18">
        <v>0</v>
      </c>
      <c r="Y127" s="18">
        <v>0</v>
      </c>
      <c r="Z127" s="18">
        <v>0</v>
      </c>
      <c r="AA127" s="18">
        <v>0</v>
      </c>
      <c r="AB127" s="18">
        <v>0</v>
      </c>
      <c r="AC127" s="18">
        <v>0</v>
      </c>
      <c r="AD127" s="18">
        <v>0</v>
      </c>
      <c r="AE127" s="18">
        <v>0</v>
      </c>
      <c r="AF127" s="18">
        <v>0</v>
      </c>
      <c r="AG127" s="18">
        <v>0</v>
      </c>
      <c r="AH127" s="18">
        <v>0</v>
      </c>
      <c r="AI127" s="18">
        <v>0</v>
      </c>
      <c r="AJ127" s="18">
        <v>0</v>
      </c>
      <c r="AK127" s="18">
        <v>0</v>
      </c>
      <c r="AL127" s="18">
        <v>0</v>
      </c>
      <c r="AM127" s="18">
        <v>0</v>
      </c>
      <c r="AN127" s="18">
        <v>0</v>
      </c>
      <c r="AO127" s="18">
        <v>0</v>
      </c>
      <c r="AP127" s="18">
        <v>0</v>
      </c>
      <c r="AQ127" s="18">
        <v>0</v>
      </c>
      <c r="AR127" s="18">
        <v>0</v>
      </c>
      <c r="AS127" s="18">
        <v>0</v>
      </c>
      <c r="AT127" s="18">
        <v>0</v>
      </c>
      <c r="AU127" s="18">
        <v>0</v>
      </c>
      <c r="AV127" s="18">
        <v>0</v>
      </c>
      <c r="AW127" s="18">
        <v>0</v>
      </c>
      <c r="AX127" s="18">
        <v>0</v>
      </c>
    </row>
    <row r="128" spans="1:50" x14ac:dyDescent="0.25">
      <c r="A128" s="8" t="s">
        <v>162</v>
      </c>
      <c r="B128" s="10" t="s">
        <v>57</v>
      </c>
      <c r="C128" s="18">
        <v>0</v>
      </c>
      <c r="D128" s="18">
        <v>0</v>
      </c>
      <c r="E128" s="18">
        <v>0</v>
      </c>
      <c r="F128" s="18">
        <v>0</v>
      </c>
      <c r="G128" s="18">
        <v>0</v>
      </c>
      <c r="H128" s="18">
        <v>0</v>
      </c>
      <c r="I128" s="18">
        <v>0</v>
      </c>
      <c r="J128" s="18">
        <v>0</v>
      </c>
      <c r="K128" s="18">
        <v>0</v>
      </c>
      <c r="L128" s="18">
        <v>0</v>
      </c>
      <c r="M128" s="18">
        <v>0</v>
      </c>
      <c r="N128" s="18">
        <v>0</v>
      </c>
      <c r="O128" s="18">
        <v>0</v>
      </c>
      <c r="P128" s="18">
        <v>0</v>
      </c>
      <c r="Q128" s="18">
        <v>0</v>
      </c>
      <c r="R128" s="18">
        <v>0</v>
      </c>
      <c r="S128" s="18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8">
        <v>0</v>
      </c>
      <c r="Z128" s="18">
        <v>0</v>
      </c>
      <c r="AA128" s="18">
        <v>0</v>
      </c>
      <c r="AB128" s="18">
        <v>0</v>
      </c>
      <c r="AC128" s="18">
        <v>0</v>
      </c>
      <c r="AD128" s="18">
        <v>0</v>
      </c>
      <c r="AE128" s="18">
        <v>0</v>
      </c>
      <c r="AF128" s="18">
        <v>0</v>
      </c>
      <c r="AG128" s="18">
        <v>0</v>
      </c>
      <c r="AH128" s="18">
        <v>0</v>
      </c>
      <c r="AI128" s="18">
        <v>0</v>
      </c>
      <c r="AJ128" s="18">
        <v>0</v>
      </c>
      <c r="AK128" s="18">
        <v>0</v>
      </c>
      <c r="AL128" s="18">
        <v>0</v>
      </c>
      <c r="AM128" s="18">
        <v>0</v>
      </c>
      <c r="AN128" s="18">
        <v>0</v>
      </c>
      <c r="AO128" s="18">
        <v>0</v>
      </c>
      <c r="AP128" s="18">
        <v>0</v>
      </c>
      <c r="AQ128" s="18">
        <v>0</v>
      </c>
      <c r="AR128" s="18">
        <v>0</v>
      </c>
      <c r="AS128" s="18">
        <v>0</v>
      </c>
      <c r="AT128" s="18">
        <v>0</v>
      </c>
      <c r="AU128" s="18">
        <v>0</v>
      </c>
      <c r="AV128" s="18">
        <v>0</v>
      </c>
      <c r="AW128" s="18">
        <v>0</v>
      </c>
      <c r="AX128" s="18">
        <v>0</v>
      </c>
    </row>
    <row r="129" spans="1:50" x14ac:dyDescent="0.25">
      <c r="A129" s="16" t="s">
        <v>603</v>
      </c>
      <c r="B129" s="13" t="s">
        <v>464</v>
      </c>
      <c r="C129" s="17">
        <v>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1.2999999999999999E-3</v>
      </c>
      <c r="K129" s="17">
        <v>1.8700000000000001E-2</v>
      </c>
      <c r="L129" s="17">
        <v>8.72E-2</v>
      </c>
      <c r="M129" s="17">
        <v>0.17299999999999999</v>
      </c>
      <c r="N129" s="17">
        <v>0.2782</v>
      </c>
      <c r="O129" s="17">
        <v>0.39300000000000002</v>
      </c>
      <c r="P129" s="17">
        <v>0.50919999999999999</v>
      </c>
      <c r="Q129" s="17">
        <v>0.62470000000000003</v>
      </c>
      <c r="R129" s="17">
        <v>0.74050000000000005</v>
      </c>
      <c r="S129" s="17">
        <v>0.84909999999999997</v>
      </c>
      <c r="T129" s="17">
        <v>0.95120000000000005</v>
      </c>
      <c r="U129" s="17">
        <v>1.0382</v>
      </c>
      <c r="V129" s="17">
        <v>1.1124000000000001</v>
      </c>
      <c r="W129" s="17">
        <v>1.1775</v>
      </c>
      <c r="X129" s="17">
        <v>1.2312000000000001</v>
      </c>
      <c r="Y129" s="17">
        <v>1.2694000000000001</v>
      </c>
      <c r="Z129" s="17">
        <v>1.2861</v>
      </c>
      <c r="AA129" s="17">
        <v>1.2908999999999999</v>
      </c>
      <c r="AB129" s="17">
        <v>1.2819</v>
      </c>
      <c r="AC129" s="17">
        <v>1.2514000000000001</v>
      </c>
      <c r="AD129" s="17">
        <v>1.2050000000000001</v>
      </c>
      <c r="AE129" s="17">
        <v>1.1496</v>
      </c>
      <c r="AF129" s="17">
        <v>1.0792999999999999</v>
      </c>
      <c r="AG129" s="17">
        <v>1.0046999999999999</v>
      </c>
      <c r="AH129" s="17">
        <v>0.91479999999999995</v>
      </c>
      <c r="AI129" s="17">
        <v>0.81369999999999998</v>
      </c>
      <c r="AJ129" s="17">
        <v>0.6915</v>
      </c>
      <c r="AK129" s="17">
        <v>0.57720000000000005</v>
      </c>
      <c r="AL129" s="17">
        <v>0.4597</v>
      </c>
      <c r="AM129" s="17">
        <v>0.34610000000000002</v>
      </c>
      <c r="AN129" s="17">
        <v>0.23649999999999999</v>
      </c>
      <c r="AO129" s="17">
        <v>0.1381</v>
      </c>
      <c r="AP129" s="17">
        <v>4.02E-2</v>
      </c>
      <c r="AQ129" s="17">
        <v>7.4000000000000003E-3</v>
      </c>
      <c r="AR129" s="17">
        <v>0</v>
      </c>
      <c r="AS129" s="17">
        <v>0</v>
      </c>
      <c r="AT129" s="17">
        <v>0</v>
      </c>
      <c r="AU129" s="17">
        <v>0</v>
      </c>
      <c r="AV129" s="17">
        <v>0</v>
      </c>
      <c r="AW129" s="17">
        <v>0</v>
      </c>
      <c r="AX129" s="17">
        <v>0</v>
      </c>
    </row>
    <row r="130" spans="1:50" x14ac:dyDescent="0.25">
      <c r="A130" s="8" t="s">
        <v>164</v>
      </c>
      <c r="B130" s="10" t="s">
        <v>57</v>
      </c>
      <c r="C130" s="18">
        <v>0</v>
      </c>
      <c r="D130" s="18">
        <v>0</v>
      </c>
      <c r="E130" s="18">
        <v>0</v>
      </c>
      <c r="F130" s="18">
        <v>0</v>
      </c>
      <c r="G130" s="18">
        <v>0</v>
      </c>
      <c r="H130" s="18">
        <v>0</v>
      </c>
      <c r="I130" s="18">
        <v>0</v>
      </c>
      <c r="J130" s="18">
        <v>0</v>
      </c>
      <c r="K130" s="18">
        <v>0</v>
      </c>
      <c r="L130" s="18">
        <v>0</v>
      </c>
      <c r="M130" s="18">
        <v>0</v>
      </c>
      <c r="N130" s="18">
        <v>0</v>
      </c>
      <c r="O130" s="18">
        <v>0</v>
      </c>
      <c r="P130" s="18">
        <v>0</v>
      </c>
      <c r="Q130" s="18">
        <v>0</v>
      </c>
      <c r="R130" s="18">
        <v>0</v>
      </c>
      <c r="S130" s="18">
        <v>0</v>
      </c>
      <c r="T130" s="18">
        <v>0</v>
      </c>
      <c r="U130" s="18">
        <v>0</v>
      </c>
      <c r="V130" s="18">
        <v>0</v>
      </c>
      <c r="W130" s="18">
        <v>0</v>
      </c>
      <c r="X130" s="18">
        <v>0</v>
      </c>
      <c r="Y130" s="18">
        <v>0</v>
      </c>
      <c r="Z130" s="18">
        <v>0</v>
      </c>
      <c r="AA130" s="18">
        <v>0</v>
      </c>
      <c r="AB130" s="18">
        <v>0</v>
      </c>
      <c r="AC130" s="18">
        <v>0</v>
      </c>
      <c r="AD130" s="18">
        <v>0</v>
      </c>
      <c r="AE130" s="18">
        <v>0</v>
      </c>
      <c r="AF130" s="18">
        <v>0</v>
      </c>
      <c r="AG130" s="18">
        <v>0</v>
      </c>
      <c r="AH130" s="18">
        <v>0</v>
      </c>
      <c r="AI130" s="18">
        <v>0</v>
      </c>
      <c r="AJ130" s="18">
        <v>0</v>
      </c>
      <c r="AK130" s="18">
        <v>0</v>
      </c>
      <c r="AL130" s="18">
        <v>0</v>
      </c>
      <c r="AM130" s="18">
        <v>0</v>
      </c>
      <c r="AN130" s="18">
        <v>0</v>
      </c>
      <c r="AO130" s="18">
        <v>0</v>
      </c>
      <c r="AP130" s="18">
        <v>0</v>
      </c>
      <c r="AQ130" s="18">
        <v>0</v>
      </c>
      <c r="AR130" s="18">
        <v>0</v>
      </c>
      <c r="AS130" s="18">
        <v>0</v>
      </c>
      <c r="AT130" s="18">
        <v>0</v>
      </c>
      <c r="AU130" s="18">
        <v>0</v>
      </c>
      <c r="AV130" s="18">
        <v>0</v>
      </c>
      <c r="AW130" s="18">
        <v>0</v>
      </c>
      <c r="AX130" s="18">
        <v>0</v>
      </c>
    </row>
    <row r="131" spans="1:50" x14ac:dyDescent="0.25">
      <c r="A131" s="16" t="s">
        <v>605</v>
      </c>
      <c r="B131" s="13" t="s">
        <v>464</v>
      </c>
      <c r="C131" s="17">
        <v>0</v>
      </c>
      <c r="D131" s="17">
        <v>0</v>
      </c>
      <c r="E131" s="17">
        <v>0</v>
      </c>
      <c r="F131" s="17">
        <v>0</v>
      </c>
      <c r="G131" s="17">
        <v>0</v>
      </c>
      <c r="H131" s="17">
        <v>0</v>
      </c>
      <c r="I131" s="17">
        <v>0</v>
      </c>
      <c r="J131" s="17">
        <v>3.3999999999999998E-3</v>
      </c>
      <c r="K131" s="17">
        <v>4.9700000000000001E-2</v>
      </c>
      <c r="L131" s="17">
        <v>0.2326</v>
      </c>
      <c r="M131" s="17">
        <v>0.46129999999999999</v>
      </c>
      <c r="N131" s="17">
        <v>0.7419</v>
      </c>
      <c r="O131" s="17">
        <v>1.0479000000000001</v>
      </c>
      <c r="P131" s="17">
        <v>1.3576999999999999</v>
      </c>
      <c r="Q131" s="17">
        <v>1.6659999999999999</v>
      </c>
      <c r="R131" s="17">
        <v>1.9745999999999999</v>
      </c>
      <c r="S131" s="17">
        <v>2.2643</v>
      </c>
      <c r="T131" s="17">
        <v>2.5367000000000002</v>
      </c>
      <c r="U131" s="17">
        <v>2.7686000000000002</v>
      </c>
      <c r="V131" s="17">
        <v>2.9664000000000001</v>
      </c>
      <c r="W131" s="17">
        <v>3.14</v>
      </c>
      <c r="X131" s="17">
        <v>3.2833000000000001</v>
      </c>
      <c r="Y131" s="17">
        <v>3.3849999999999998</v>
      </c>
      <c r="Z131" s="17">
        <v>3.4296000000000002</v>
      </c>
      <c r="AA131" s="17">
        <v>3.4424999999999999</v>
      </c>
      <c r="AB131" s="17">
        <v>3.4182999999999999</v>
      </c>
      <c r="AC131" s="17">
        <v>3.3372000000000002</v>
      </c>
      <c r="AD131" s="17">
        <v>3.2132999999999998</v>
      </c>
      <c r="AE131" s="17">
        <v>3.0655000000000001</v>
      </c>
      <c r="AF131" s="17">
        <v>2.8782000000000001</v>
      </c>
      <c r="AG131" s="17">
        <v>2.6791</v>
      </c>
      <c r="AH131" s="17">
        <v>2.4396</v>
      </c>
      <c r="AI131" s="17">
        <v>2.1698</v>
      </c>
      <c r="AJ131" s="17">
        <v>1.8441000000000001</v>
      </c>
      <c r="AK131" s="17">
        <v>1.5391999999999999</v>
      </c>
      <c r="AL131" s="17">
        <v>1.2259</v>
      </c>
      <c r="AM131" s="17">
        <v>0.92290000000000005</v>
      </c>
      <c r="AN131" s="17">
        <v>0.63080000000000003</v>
      </c>
      <c r="AO131" s="17">
        <v>0.36830000000000002</v>
      </c>
      <c r="AP131" s="17">
        <v>0.1072</v>
      </c>
      <c r="AQ131" s="17">
        <v>1.9800000000000002E-2</v>
      </c>
      <c r="AR131" s="17">
        <v>0</v>
      </c>
      <c r="AS131" s="17">
        <v>0</v>
      </c>
      <c r="AT131" s="17">
        <v>0</v>
      </c>
      <c r="AU131" s="17">
        <v>0</v>
      </c>
      <c r="AV131" s="17">
        <v>0</v>
      </c>
      <c r="AW131" s="17">
        <v>0</v>
      </c>
      <c r="AX131" s="17">
        <v>0</v>
      </c>
    </row>
    <row r="132" spans="1:50" x14ac:dyDescent="0.25">
      <c r="A132" s="16" t="s">
        <v>607</v>
      </c>
      <c r="B132" s="13" t="s">
        <v>464</v>
      </c>
      <c r="C132" s="17">
        <v>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1.6999999999999999E-3</v>
      </c>
      <c r="K132" s="17">
        <v>2.4899999999999999E-2</v>
      </c>
      <c r="L132" s="17">
        <v>0.1163</v>
      </c>
      <c r="M132" s="17">
        <v>0.23069999999999999</v>
      </c>
      <c r="N132" s="17">
        <v>0.37090000000000001</v>
      </c>
      <c r="O132" s="17">
        <v>0.52400000000000002</v>
      </c>
      <c r="P132" s="17">
        <v>0.67889999999999995</v>
      </c>
      <c r="Q132" s="17">
        <v>0.83299999999999996</v>
      </c>
      <c r="R132" s="17">
        <v>0.98729999999999996</v>
      </c>
      <c r="S132" s="17">
        <v>1.1322000000000001</v>
      </c>
      <c r="T132" s="17">
        <v>1.2683</v>
      </c>
      <c r="U132" s="17">
        <v>1.3843000000000001</v>
      </c>
      <c r="V132" s="17">
        <v>1.4832000000000001</v>
      </c>
      <c r="W132" s="17">
        <v>1.57</v>
      </c>
      <c r="X132" s="17">
        <v>1.6416999999999999</v>
      </c>
      <c r="Y132" s="17">
        <v>1.6924999999999999</v>
      </c>
      <c r="Z132" s="17">
        <v>1.7148000000000001</v>
      </c>
      <c r="AA132" s="17">
        <v>1.7212000000000001</v>
      </c>
      <c r="AB132" s="17">
        <v>1.7092000000000001</v>
      </c>
      <c r="AC132" s="17">
        <v>1.6686000000000001</v>
      </c>
      <c r="AD132" s="17">
        <v>1.6067</v>
      </c>
      <c r="AE132" s="17">
        <v>1.5327999999999999</v>
      </c>
      <c r="AF132" s="17">
        <v>1.4391</v>
      </c>
      <c r="AG132" s="17">
        <v>1.3395999999999999</v>
      </c>
      <c r="AH132" s="17">
        <v>1.2198</v>
      </c>
      <c r="AI132" s="17">
        <v>1.0849</v>
      </c>
      <c r="AJ132" s="17">
        <v>0.92200000000000004</v>
      </c>
      <c r="AK132" s="17">
        <v>0.76959999999999995</v>
      </c>
      <c r="AL132" s="17">
        <v>0.61299999999999999</v>
      </c>
      <c r="AM132" s="17">
        <v>0.46150000000000002</v>
      </c>
      <c r="AN132" s="17">
        <v>0.31540000000000001</v>
      </c>
      <c r="AO132" s="17">
        <v>0.1842</v>
      </c>
      <c r="AP132" s="17">
        <v>5.3600000000000002E-2</v>
      </c>
      <c r="AQ132" s="17">
        <v>9.9000000000000008E-3</v>
      </c>
      <c r="AR132" s="17">
        <v>0</v>
      </c>
      <c r="AS132" s="17">
        <v>0</v>
      </c>
      <c r="AT132" s="17">
        <v>0</v>
      </c>
      <c r="AU132" s="17">
        <v>0</v>
      </c>
      <c r="AV132" s="17">
        <v>0</v>
      </c>
      <c r="AW132" s="17">
        <v>0</v>
      </c>
      <c r="AX132" s="17">
        <v>0</v>
      </c>
    </row>
    <row r="133" spans="1:50" x14ac:dyDescent="0.25">
      <c r="A133" s="16" t="s">
        <v>609</v>
      </c>
      <c r="B133" s="13" t="s">
        <v>464</v>
      </c>
      <c r="C133" s="17">
        <v>0</v>
      </c>
      <c r="D133" s="17">
        <v>0</v>
      </c>
      <c r="E133" s="17">
        <v>0</v>
      </c>
      <c r="F133" s="17">
        <v>0</v>
      </c>
      <c r="G133" s="17">
        <v>0</v>
      </c>
      <c r="H133" s="17">
        <v>0</v>
      </c>
      <c r="I133" s="17">
        <v>0</v>
      </c>
      <c r="J133" s="17">
        <v>3.3999999999999998E-3</v>
      </c>
      <c r="K133" s="17">
        <v>4.9700000000000001E-2</v>
      </c>
      <c r="L133" s="17">
        <v>0.2326</v>
      </c>
      <c r="M133" s="17">
        <v>0.46129999999999999</v>
      </c>
      <c r="N133" s="17">
        <v>0.7419</v>
      </c>
      <c r="O133" s="17">
        <v>1.0479000000000001</v>
      </c>
      <c r="P133" s="17">
        <v>1.3576999999999999</v>
      </c>
      <c r="Q133" s="17">
        <v>1.6659999999999999</v>
      </c>
      <c r="R133" s="17">
        <v>1.9745999999999999</v>
      </c>
      <c r="S133" s="17">
        <v>2.2643</v>
      </c>
      <c r="T133" s="17">
        <v>2.5367000000000002</v>
      </c>
      <c r="U133" s="17">
        <v>2.7686000000000002</v>
      </c>
      <c r="V133" s="17">
        <v>2.9664000000000001</v>
      </c>
      <c r="W133" s="17">
        <v>3.14</v>
      </c>
      <c r="X133" s="17">
        <v>3.2833000000000001</v>
      </c>
      <c r="Y133" s="17">
        <v>3.3849999999999998</v>
      </c>
      <c r="Z133" s="17">
        <v>3.4296000000000002</v>
      </c>
      <c r="AA133" s="17">
        <v>3.4424999999999999</v>
      </c>
      <c r="AB133" s="17">
        <v>3.4182999999999999</v>
      </c>
      <c r="AC133" s="17">
        <v>3.3372000000000002</v>
      </c>
      <c r="AD133" s="17">
        <v>3.2132999999999998</v>
      </c>
      <c r="AE133" s="17">
        <v>3.0655000000000001</v>
      </c>
      <c r="AF133" s="17">
        <v>2.8782000000000001</v>
      </c>
      <c r="AG133" s="17">
        <v>2.6791</v>
      </c>
      <c r="AH133" s="17">
        <v>2.4396</v>
      </c>
      <c r="AI133" s="17">
        <v>2.1698</v>
      </c>
      <c r="AJ133" s="17">
        <v>1.8441000000000001</v>
      </c>
      <c r="AK133" s="17">
        <v>1.5391999999999999</v>
      </c>
      <c r="AL133" s="17">
        <v>1.2259</v>
      </c>
      <c r="AM133" s="17">
        <v>0.92290000000000005</v>
      </c>
      <c r="AN133" s="17">
        <v>0.63080000000000003</v>
      </c>
      <c r="AO133" s="17">
        <v>0.36830000000000002</v>
      </c>
      <c r="AP133" s="17">
        <v>0.1072</v>
      </c>
      <c r="AQ133" s="17">
        <v>1.9800000000000002E-2</v>
      </c>
      <c r="AR133" s="17">
        <v>0</v>
      </c>
      <c r="AS133" s="17">
        <v>0</v>
      </c>
      <c r="AT133" s="17">
        <v>0</v>
      </c>
      <c r="AU133" s="17">
        <v>0</v>
      </c>
      <c r="AV133" s="17">
        <v>0</v>
      </c>
      <c r="AW133" s="17">
        <v>0</v>
      </c>
      <c r="AX133" s="17">
        <v>0</v>
      </c>
    </row>
    <row r="134" spans="1:50" x14ac:dyDescent="0.25">
      <c r="A134" s="8" t="s">
        <v>166</v>
      </c>
      <c r="B134" s="10" t="s">
        <v>57</v>
      </c>
      <c r="C134" s="18">
        <v>0</v>
      </c>
      <c r="D134" s="18">
        <v>0</v>
      </c>
      <c r="E134" s="18">
        <v>0</v>
      </c>
      <c r="F134" s="18">
        <v>0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0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8">
        <v>0</v>
      </c>
      <c r="Z134" s="18">
        <v>0</v>
      </c>
      <c r="AA134" s="18">
        <v>0</v>
      </c>
      <c r="AB134" s="18">
        <v>0</v>
      </c>
      <c r="AC134" s="18">
        <v>0</v>
      </c>
      <c r="AD134" s="18">
        <v>0</v>
      </c>
      <c r="AE134" s="18">
        <v>0</v>
      </c>
      <c r="AF134" s="18">
        <v>0</v>
      </c>
      <c r="AG134" s="18">
        <v>0</v>
      </c>
      <c r="AH134" s="18">
        <v>0</v>
      </c>
      <c r="AI134" s="18">
        <v>0</v>
      </c>
      <c r="AJ134" s="18">
        <v>0</v>
      </c>
      <c r="AK134" s="18">
        <v>0</v>
      </c>
      <c r="AL134" s="18">
        <v>0</v>
      </c>
      <c r="AM134" s="18">
        <v>0</v>
      </c>
      <c r="AN134" s="18">
        <v>0</v>
      </c>
      <c r="AO134" s="18">
        <v>0</v>
      </c>
      <c r="AP134" s="18">
        <v>0</v>
      </c>
      <c r="AQ134" s="18">
        <v>0</v>
      </c>
      <c r="AR134" s="18">
        <v>0</v>
      </c>
      <c r="AS134" s="18">
        <v>0</v>
      </c>
      <c r="AT134" s="18">
        <v>0</v>
      </c>
      <c r="AU134" s="18">
        <v>0</v>
      </c>
      <c r="AV134" s="18">
        <v>0</v>
      </c>
      <c r="AW134" s="18">
        <v>0</v>
      </c>
      <c r="AX134" s="18">
        <v>0</v>
      </c>
    </row>
    <row r="135" spans="1:50" x14ac:dyDescent="0.25">
      <c r="A135" s="16" t="s">
        <v>611</v>
      </c>
      <c r="B135" s="13" t="s">
        <v>464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1.2999999999999999E-3</v>
      </c>
      <c r="K135" s="17">
        <v>1.8700000000000001E-2</v>
      </c>
      <c r="L135" s="17">
        <v>8.72E-2</v>
      </c>
      <c r="M135" s="17">
        <v>0.17299999999999999</v>
      </c>
      <c r="N135" s="17">
        <v>0.2782</v>
      </c>
      <c r="O135" s="17">
        <v>0.39300000000000002</v>
      </c>
      <c r="P135" s="17">
        <v>0.50919999999999999</v>
      </c>
      <c r="Q135" s="17">
        <v>0.62470000000000003</v>
      </c>
      <c r="R135" s="17">
        <v>0.74050000000000005</v>
      </c>
      <c r="S135" s="17">
        <v>0.84909999999999997</v>
      </c>
      <c r="T135" s="17">
        <v>0.95120000000000005</v>
      </c>
      <c r="U135" s="17">
        <v>1.0382</v>
      </c>
      <c r="V135" s="17">
        <v>1.1124000000000001</v>
      </c>
      <c r="W135" s="17">
        <v>1.1775</v>
      </c>
      <c r="X135" s="17">
        <v>1.2312000000000001</v>
      </c>
      <c r="Y135" s="17">
        <v>1.2694000000000001</v>
      </c>
      <c r="Z135" s="17">
        <v>1.2861</v>
      </c>
      <c r="AA135" s="17">
        <v>1.2908999999999999</v>
      </c>
      <c r="AB135" s="17">
        <v>1.2819</v>
      </c>
      <c r="AC135" s="17">
        <v>1.2514000000000001</v>
      </c>
      <c r="AD135" s="17">
        <v>1.2050000000000001</v>
      </c>
      <c r="AE135" s="17">
        <v>1.1496</v>
      </c>
      <c r="AF135" s="17">
        <v>1.0792999999999999</v>
      </c>
      <c r="AG135" s="17">
        <v>1.0046999999999999</v>
      </c>
      <c r="AH135" s="17">
        <v>0.91479999999999995</v>
      </c>
      <c r="AI135" s="17">
        <v>0.81369999999999998</v>
      </c>
      <c r="AJ135" s="17">
        <v>0.6915</v>
      </c>
      <c r="AK135" s="17">
        <v>0.57720000000000005</v>
      </c>
      <c r="AL135" s="17">
        <v>0.4597</v>
      </c>
      <c r="AM135" s="17">
        <v>0.34610000000000002</v>
      </c>
      <c r="AN135" s="17">
        <v>0.23649999999999999</v>
      </c>
      <c r="AO135" s="17">
        <v>0.1381</v>
      </c>
      <c r="AP135" s="17">
        <v>4.02E-2</v>
      </c>
      <c r="AQ135" s="17">
        <v>7.4000000000000003E-3</v>
      </c>
      <c r="AR135" s="17">
        <v>0</v>
      </c>
      <c r="AS135" s="17">
        <v>0</v>
      </c>
      <c r="AT135" s="17">
        <v>0</v>
      </c>
      <c r="AU135" s="17">
        <v>0</v>
      </c>
      <c r="AV135" s="17">
        <v>0</v>
      </c>
      <c r="AW135" s="17">
        <v>0</v>
      </c>
      <c r="AX135" s="17">
        <v>0</v>
      </c>
    </row>
    <row r="136" spans="1:50" x14ac:dyDescent="0.25">
      <c r="A136" s="16" t="s">
        <v>613</v>
      </c>
      <c r="B136" s="13" t="s">
        <v>464</v>
      </c>
      <c r="C136" s="17">
        <v>0</v>
      </c>
      <c r="D136" s="17">
        <v>0</v>
      </c>
      <c r="E136" s="17">
        <v>0</v>
      </c>
      <c r="F136" s="17">
        <v>0</v>
      </c>
      <c r="G136" s="17">
        <v>0</v>
      </c>
      <c r="H136" s="17">
        <v>0</v>
      </c>
      <c r="I136" s="17">
        <v>0</v>
      </c>
      <c r="J136" s="17">
        <v>3.3999999999999998E-3</v>
      </c>
      <c r="K136" s="17">
        <v>4.9700000000000001E-2</v>
      </c>
      <c r="L136" s="17">
        <v>0.2326</v>
      </c>
      <c r="M136" s="17">
        <v>0.46129999999999999</v>
      </c>
      <c r="N136" s="17">
        <v>0.7419</v>
      </c>
      <c r="O136" s="17">
        <v>1.0479000000000001</v>
      </c>
      <c r="P136" s="17">
        <v>1.3576999999999999</v>
      </c>
      <c r="Q136" s="17">
        <v>1.6659999999999999</v>
      </c>
      <c r="R136" s="17">
        <v>1.9745999999999999</v>
      </c>
      <c r="S136" s="17">
        <v>2.2643</v>
      </c>
      <c r="T136" s="17">
        <v>2.5367000000000002</v>
      </c>
      <c r="U136" s="17">
        <v>2.7686000000000002</v>
      </c>
      <c r="V136" s="17">
        <v>2.9664000000000001</v>
      </c>
      <c r="W136" s="17">
        <v>3.14</v>
      </c>
      <c r="X136" s="17">
        <v>3.2833000000000001</v>
      </c>
      <c r="Y136" s="17">
        <v>3.3849999999999998</v>
      </c>
      <c r="Z136" s="17">
        <v>3.4296000000000002</v>
      </c>
      <c r="AA136" s="17">
        <v>3.4424999999999999</v>
      </c>
      <c r="AB136" s="17">
        <v>3.4182999999999999</v>
      </c>
      <c r="AC136" s="17">
        <v>3.3372000000000002</v>
      </c>
      <c r="AD136" s="17">
        <v>3.2132999999999998</v>
      </c>
      <c r="AE136" s="17">
        <v>3.0655000000000001</v>
      </c>
      <c r="AF136" s="17">
        <v>2.8782000000000001</v>
      </c>
      <c r="AG136" s="17">
        <v>2.6791</v>
      </c>
      <c r="AH136" s="17">
        <v>2.4396</v>
      </c>
      <c r="AI136" s="17">
        <v>2.1698</v>
      </c>
      <c r="AJ136" s="17">
        <v>1.8441000000000001</v>
      </c>
      <c r="AK136" s="17">
        <v>1.5391999999999999</v>
      </c>
      <c r="AL136" s="17">
        <v>1.2259</v>
      </c>
      <c r="AM136" s="17">
        <v>0.92290000000000005</v>
      </c>
      <c r="AN136" s="17">
        <v>0.63080000000000003</v>
      </c>
      <c r="AO136" s="17">
        <v>0.36830000000000002</v>
      </c>
      <c r="AP136" s="17">
        <v>0.1072</v>
      </c>
      <c r="AQ136" s="17">
        <v>1.9800000000000002E-2</v>
      </c>
      <c r="AR136" s="17">
        <v>0</v>
      </c>
      <c r="AS136" s="17">
        <v>0</v>
      </c>
      <c r="AT136" s="17">
        <v>0</v>
      </c>
      <c r="AU136" s="17">
        <v>0</v>
      </c>
      <c r="AV136" s="17">
        <v>0</v>
      </c>
      <c r="AW136" s="17">
        <v>0</v>
      </c>
      <c r="AX136" s="17">
        <v>0</v>
      </c>
    </row>
    <row r="137" spans="1:50" x14ac:dyDescent="0.25">
      <c r="A137" s="8" t="s">
        <v>168</v>
      </c>
      <c r="B137" s="10" t="s">
        <v>57</v>
      </c>
      <c r="C137" s="18">
        <v>0</v>
      </c>
      <c r="D137" s="18">
        <v>0</v>
      </c>
      <c r="E137" s="18">
        <v>0</v>
      </c>
      <c r="F137" s="18">
        <v>0</v>
      </c>
      <c r="G137" s="18">
        <v>0</v>
      </c>
      <c r="H137" s="18">
        <v>0</v>
      </c>
      <c r="I137" s="18">
        <v>0</v>
      </c>
      <c r="J137" s="18">
        <v>0</v>
      </c>
      <c r="K137" s="18">
        <v>0</v>
      </c>
      <c r="L137" s="18">
        <v>0</v>
      </c>
      <c r="M137" s="18">
        <v>0</v>
      </c>
      <c r="N137" s="18">
        <v>0</v>
      </c>
      <c r="O137" s="18">
        <v>0</v>
      </c>
      <c r="P137" s="18">
        <v>0</v>
      </c>
      <c r="Q137" s="18">
        <v>0</v>
      </c>
      <c r="R137" s="18">
        <v>0</v>
      </c>
      <c r="S137" s="18">
        <v>0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8">
        <v>0</v>
      </c>
      <c r="Z137" s="18">
        <v>0</v>
      </c>
      <c r="AA137" s="18">
        <v>0</v>
      </c>
      <c r="AB137" s="18">
        <v>0</v>
      </c>
      <c r="AC137" s="18">
        <v>0</v>
      </c>
      <c r="AD137" s="18">
        <v>0</v>
      </c>
      <c r="AE137" s="18">
        <v>0</v>
      </c>
      <c r="AF137" s="18">
        <v>0</v>
      </c>
      <c r="AG137" s="18">
        <v>0</v>
      </c>
      <c r="AH137" s="18">
        <v>0</v>
      </c>
      <c r="AI137" s="18">
        <v>0</v>
      </c>
      <c r="AJ137" s="18">
        <v>0</v>
      </c>
      <c r="AK137" s="18">
        <v>0</v>
      </c>
      <c r="AL137" s="18">
        <v>0</v>
      </c>
      <c r="AM137" s="18">
        <v>0</v>
      </c>
      <c r="AN137" s="18">
        <v>0</v>
      </c>
      <c r="AO137" s="18">
        <v>0</v>
      </c>
      <c r="AP137" s="18">
        <v>0</v>
      </c>
      <c r="AQ137" s="18">
        <v>0</v>
      </c>
      <c r="AR137" s="18">
        <v>0</v>
      </c>
      <c r="AS137" s="18">
        <v>0</v>
      </c>
      <c r="AT137" s="18">
        <v>0</v>
      </c>
      <c r="AU137" s="18">
        <v>0</v>
      </c>
      <c r="AV137" s="18">
        <v>0</v>
      </c>
      <c r="AW137" s="18">
        <v>0</v>
      </c>
      <c r="AX137" s="18">
        <v>0</v>
      </c>
    </row>
    <row r="138" spans="1:50" x14ac:dyDescent="0.25">
      <c r="A138" s="8" t="s">
        <v>170</v>
      </c>
      <c r="B138" s="10" t="s">
        <v>57</v>
      </c>
      <c r="C138" s="18">
        <v>0</v>
      </c>
      <c r="D138" s="18">
        <v>0</v>
      </c>
      <c r="E138" s="18">
        <v>0</v>
      </c>
      <c r="F138" s="18">
        <v>0</v>
      </c>
      <c r="G138" s="18">
        <v>0</v>
      </c>
      <c r="H138" s="18">
        <v>0</v>
      </c>
      <c r="I138" s="18">
        <v>0</v>
      </c>
      <c r="J138" s="18">
        <v>0</v>
      </c>
      <c r="K138" s="18">
        <v>0</v>
      </c>
      <c r="L138" s="18">
        <v>0</v>
      </c>
      <c r="M138" s="18">
        <v>0</v>
      </c>
      <c r="N138" s="18">
        <v>0</v>
      </c>
      <c r="O138" s="18">
        <v>0</v>
      </c>
      <c r="P138" s="18">
        <v>0</v>
      </c>
      <c r="Q138" s="18">
        <v>0</v>
      </c>
      <c r="R138" s="18">
        <v>0</v>
      </c>
      <c r="S138" s="18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8">
        <v>0</v>
      </c>
      <c r="Z138" s="18">
        <v>0</v>
      </c>
      <c r="AA138" s="18">
        <v>0</v>
      </c>
      <c r="AB138" s="18">
        <v>0</v>
      </c>
      <c r="AC138" s="18">
        <v>0</v>
      </c>
      <c r="AD138" s="18">
        <v>0</v>
      </c>
      <c r="AE138" s="18">
        <v>0</v>
      </c>
      <c r="AF138" s="18">
        <v>0</v>
      </c>
      <c r="AG138" s="18">
        <v>0</v>
      </c>
      <c r="AH138" s="18">
        <v>0</v>
      </c>
      <c r="AI138" s="18">
        <v>0</v>
      </c>
      <c r="AJ138" s="18">
        <v>0</v>
      </c>
      <c r="AK138" s="18">
        <v>0</v>
      </c>
      <c r="AL138" s="18">
        <v>0</v>
      </c>
      <c r="AM138" s="18">
        <v>0</v>
      </c>
      <c r="AN138" s="18">
        <v>0</v>
      </c>
      <c r="AO138" s="18">
        <v>0</v>
      </c>
      <c r="AP138" s="18">
        <v>0</v>
      </c>
      <c r="AQ138" s="18">
        <v>0</v>
      </c>
      <c r="AR138" s="18">
        <v>0</v>
      </c>
      <c r="AS138" s="18">
        <v>0</v>
      </c>
      <c r="AT138" s="18">
        <v>0</v>
      </c>
      <c r="AU138" s="18">
        <v>0</v>
      </c>
      <c r="AV138" s="18">
        <v>0</v>
      </c>
      <c r="AW138" s="18">
        <v>0</v>
      </c>
      <c r="AX138" s="18">
        <v>0</v>
      </c>
    </row>
    <row r="139" spans="1:50" x14ac:dyDescent="0.25">
      <c r="A139" s="8" t="s">
        <v>172</v>
      </c>
      <c r="B139" s="10" t="s">
        <v>57</v>
      </c>
      <c r="C139" s="18">
        <v>0</v>
      </c>
      <c r="D139" s="18">
        <v>0</v>
      </c>
      <c r="E139" s="18">
        <v>0</v>
      </c>
      <c r="F139" s="18">
        <v>0</v>
      </c>
      <c r="G139" s="18">
        <v>0</v>
      </c>
      <c r="H139" s="18">
        <v>0</v>
      </c>
      <c r="I139" s="18">
        <v>0</v>
      </c>
      <c r="J139" s="18">
        <v>0</v>
      </c>
      <c r="K139" s="18">
        <v>0</v>
      </c>
      <c r="L139" s="18">
        <v>0</v>
      </c>
      <c r="M139" s="18">
        <v>0</v>
      </c>
      <c r="N139" s="18">
        <v>0</v>
      </c>
      <c r="O139" s="18">
        <v>0</v>
      </c>
      <c r="P139" s="18">
        <v>0</v>
      </c>
      <c r="Q139" s="18">
        <v>0</v>
      </c>
      <c r="R139" s="18">
        <v>0</v>
      </c>
      <c r="S139" s="18">
        <v>0</v>
      </c>
      <c r="T139" s="18">
        <v>0</v>
      </c>
      <c r="U139" s="18">
        <v>0</v>
      </c>
      <c r="V139" s="18">
        <v>0</v>
      </c>
      <c r="W139" s="18">
        <v>0</v>
      </c>
      <c r="X139" s="18">
        <v>0</v>
      </c>
      <c r="Y139" s="18">
        <v>0</v>
      </c>
      <c r="Z139" s="18">
        <v>0</v>
      </c>
      <c r="AA139" s="18">
        <v>0</v>
      </c>
      <c r="AB139" s="18">
        <v>0</v>
      </c>
      <c r="AC139" s="18">
        <v>0</v>
      </c>
      <c r="AD139" s="18">
        <v>0</v>
      </c>
      <c r="AE139" s="18">
        <v>0</v>
      </c>
      <c r="AF139" s="18">
        <v>0</v>
      </c>
      <c r="AG139" s="18">
        <v>0</v>
      </c>
      <c r="AH139" s="18">
        <v>0</v>
      </c>
      <c r="AI139" s="18">
        <v>0</v>
      </c>
      <c r="AJ139" s="18">
        <v>0</v>
      </c>
      <c r="AK139" s="18">
        <v>0</v>
      </c>
      <c r="AL139" s="18">
        <v>0</v>
      </c>
      <c r="AM139" s="18">
        <v>0</v>
      </c>
      <c r="AN139" s="18">
        <v>0</v>
      </c>
      <c r="AO139" s="18">
        <v>0</v>
      </c>
      <c r="AP139" s="18">
        <v>0</v>
      </c>
      <c r="AQ139" s="18">
        <v>0</v>
      </c>
      <c r="AR139" s="18">
        <v>0</v>
      </c>
      <c r="AS139" s="18">
        <v>0</v>
      </c>
      <c r="AT139" s="18">
        <v>0</v>
      </c>
      <c r="AU139" s="18">
        <v>0</v>
      </c>
      <c r="AV139" s="18">
        <v>0</v>
      </c>
      <c r="AW139" s="18">
        <v>0</v>
      </c>
      <c r="AX139" s="18">
        <v>0</v>
      </c>
    </row>
    <row r="140" spans="1:50" x14ac:dyDescent="0.25">
      <c r="A140" s="8" t="s">
        <v>174</v>
      </c>
      <c r="B140" s="10" t="s">
        <v>57</v>
      </c>
      <c r="C140" s="18">
        <v>0</v>
      </c>
      <c r="D140" s="18">
        <v>0</v>
      </c>
      <c r="E140" s="18">
        <v>0</v>
      </c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0</v>
      </c>
      <c r="AA140" s="18">
        <v>0</v>
      </c>
      <c r="AB140" s="18">
        <v>0</v>
      </c>
      <c r="AC140" s="18">
        <v>0</v>
      </c>
      <c r="AD140" s="18">
        <v>0</v>
      </c>
      <c r="AE140" s="18">
        <v>0</v>
      </c>
      <c r="AF140" s="18">
        <v>0</v>
      </c>
      <c r="AG140" s="18">
        <v>0</v>
      </c>
      <c r="AH140" s="18">
        <v>0</v>
      </c>
      <c r="AI140" s="18">
        <v>0</v>
      </c>
      <c r="AJ140" s="18">
        <v>0</v>
      </c>
      <c r="AK140" s="18">
        <v>0</v>
      </c>
      <c r="AL140" s="18">
        <v>0</v>
      </c>
      <c r="AM140" s="18">
        <v>0</v>
      </c>
      <c r="AN140" s="18">
        <v>0</v>
      </c>
      <c r="AO140" s="18">
        <v>0</v>
      </c>
      <c r="AP140" s="18">
        <v>0</v>
      </c>
      <c r="AQ140" s="18">
        <v>0</v>
      </c>
      <c r="AR140" s="18">
        <v>0</v>
      </c>
      <c r="AS140" s="18">
        <v>0</v>
      </c>
      <c r="AT140" s="18">
        <v>0</v>
      </c>
      <c r="AU140" s="18">
        <v>0</v>
      </c>
      <c r="AV140" s="18">
        <v>0</v>
      </c>
      <c r="AW140" s="18">
        <v>0</v>
      </c>
      <c r="AX140" s="18">
        <v>0</v>
      </c>
    </row>
    <row r="141" spans="1:50" x14ac:dyDescent="0.25">
      <c r="A141" s="8" t="s">
        <v>176</v>
      </c>
      <c r="B141" s="10" t="s">
        <v>57</v>
      </c>
      <c r="C141" s="18">
        <v>0</v>
      </c>
      <c r="D141" s="18">
        <v>0</v>
      </c>
      <c r="E141" s="18">
        <v>0</v>
      </c>
      <c r="F141" s="18">
        <v>0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0</v>
      </c>
      <c r="S141" s="18">
        <v>0</v>
      </c>
      <c r="T141" s="18">
        <v>0</v>
      </c>
      <c r="U141" s="18">
        <v>0</v>
      </c>
      <c r="V141" s="18">
        <v>0</v>
      </c>
      <c r="W141" s="18">
        <v>0</v>
      </c>
      <c r="X141" s="18">
        <v>0</v>
      </c>
      <c r="Y141" s="18">
        <v>0</v>
      </c>
      <c r="Z141" s="18">
        <v>0</v>
      </c>
      <c r="AA141" s="18">
        <v>0</v>
      </c>
      <c r="AB141" s="18">
        <v>0</v>
      </c>
      <c r="AC141" s="18">
        <v>0</v>
      </c>
      <c r="AD141" s="18">
        <v>0</v>
      </c>
      <c r="AE141" s="18">
        <v>0</v>
      </c>
      <c r="AF141" s="18">
        <v>0</v>
      </c>
      <c r="AG141" s="18">
        <v>0</v>
      </c>
      <c r="AH141" s="18">
        <v>0</v>
      </c>
      <c r="AI141" s="18">
        <v>0</v>
      </c>
      <c r="AJ141" s="18">
        <v>0</v>
      </c>
      <c r="AK141" s="18">
        <v>0</v>
      </c>
      <c r="AL141" s="18">
        <v>0</v>
      </c>
      <c r="AM141" s="18">
        <v>0</v>
      </c>
      <c r="AN141" s="18">
        <v>0</v>
      </c>
      <c r="AO141" s="18">
        <v>0</v>
      </c>
      <c r="AP141" s="18">
        <v>0</v>
      </c>
      <c r="AQ141" s="18">
        <v>0</v>
      </c>
      <c r="AR141" s="18">
        <v>0</v>
      </c>
      <c r="AS141" s="18">
        <v>0</v>
      </c>
      <c r="AT141" s="18">
        <v>0</v>
      </c>
      <c r="AU141" s="18">
        <v>0</v>
      </c>
      <c r="AV141" s="18">
        <v>0</v>
      </c>
      <c r="AW141" s="18">
        <v>0</v>
      </c>
      <c r="AX141" s="18">
        <v>0</v>
      </c>
    </row>
    <row r="142" spans="1:50" x14ac:dyDescent="0.25">
      <c r="A142" s="8" t="s">
        <v>178</v>
      </c>
      <c r="B142" s="10" t="s">
        <v>57</v>
      </c>
      <c r="C142" s="18">
        <v>0</v>
      </c>
      <c r="D142" s="18">
        <v>0</v>
      </c>
      <c r="E142" s="18">
        <v>0</v>
      </c>
      <c r="F142" s="18">
        <v>0</v>
      </c>
      <c r="G142" s="18">
        <v>0</v>
      </c>
      <c r="H142" s="18">
        <v>0</v>
      </c>
      <c r="I142" s="18">
        <v>0</v>
      </c>
      <c r="J142" s="18">
        <v>0</v>
      </c>
      <c r="K142" s="18">
        <v>0</v>
      </c>
      <c r="L142" s="18">
        <v>0</v>
      </c>
      <c r="M142" s="18">
        <v>0</v>
      </c>
      <c r="N142" s="18">
        <v>0</v>
      </c>
      <c r="O142" s="18">
        <v>0</v>
      </c>
      <c r="P142" s="18">
        <v>0</v>
      </c>
      <c r="Q142" s="18">
        <v>0</v>
      </c>
      <c r="R142" s="18">
        <v>0</v>
      </c>
      <c r="S142" s="18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8">
        <v>0</v>
      </c>
      <c r="Z142" s="18">
        <v>0</v>
      </c>
      <c r="AA142" s="18">
        <v>0</v>
      </c>
      <c r="AB142" s="18">
        <v>0</v>
      </c>
      <c r="AC142" s="18">
        <v>0</v>
      </c>
      <c r="AD142" s="18">
        <v>0</v>
      </c>
      <c r="AE142" s="18">
        <v>0</v>
      </c>
      <c r="AF142" s="18">
        <v>0</v>
      </c>
      <c r="AG142" s="18">
        <v>0</v>
      </c>
      <c r="AH142" s="18">
        <v>0</v>
      </c>
      <c r="AI142" s="18">
        <v>0</v>
      </c>
      <c r="AJ142" s="18">
        <v>0</v>
      </c>
      <c r="AK142" s="18">
        <v>0</v>
      </c>
      <c r="AL142" s="18">
        <v>0</v>
      </c>
      <c r="AM142" s="18">
        <v>0</v>
      </c>
      <c r="AN142" s="18">
        <v>0</v>
      </c>
      <c r="AO142" s="18">
        <v>0</v>
      </c>
      <c r="AP142" s="18">
        <v>0</v>
      </c>
      <c r="AQ142" s="18">
        <v>0</v>
      </c>
      <c r="AR142" s="18">
        <v>0</v>
      </c>
      <c r="AS142" s="18">
        <v>0</v>
      </c>
      <c r="AT142" s="18">
        <v>0</v>
      </c>
      <c r="AU142" s="18">
        <v>0</v>
      </c>
      <c r="AV142" s="18">
        <v>0</v>
      </c>
      <c r="AW142" s="18">
        <v>0</v>
      </c>
      <c r="AX142" s="18">
        <v>0</v>
      </c>
    </row>
    <row r="143" spans="1:50" x14ac:dyDescent="0.25">
      <c r="A143" s="16" t="s">
        <v>615</v>
      </c>
      <c r="B143" s="13" t="s">
        <v>464</v>
      </c>
      <c r="C143" s="17">
        <v>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2.2000000000000001E-3</v>
      </c>
      <c r="K143" s="17">
        <v>3.1099999999999999E-2</v>
      </c>
      <c r="L143" s="17">
        <v>0.1454</v>
      </c>
      <c r="M143" s="17">
        <v>0.2883</v>
      </c>
      <c r="N143" s="17">
        <v>0.4637</v>
      </c>
      <c r="O143" s="17">
        <v>0.65490000000000004</v>
      </c>
      <c r="P143" s="17">
        <v>0.84860000000000002</v>
      </c>
      <c r="Q143" s="17">
        <v>1.0411999999999999</v>
      </c>
      <c r="R143" s="17">
        <v>1.2341</v>
      </c>
      <c r="S143" s="17">
        <v>1.4152</v>
      </c>
      <c r="T143" s="17">
        <v>1.5853999999999999</v>
      </c>
      <c r="U143" s="17">
        <v>1.7303999999999999</v>
      </c>
      <c r="V143" s="17">
        <v>1.8540000000000001</v>
      </c>
      <c r="W143" s="17">
        <v>1.9624999999999999</v>
      </c>
      <c r="X143" s="17">
        <v>2.0520999999999998</v>
      </c>
      <c r="Y143" s="17">
        <v>2.1156000000000001</v>
      </c>
      <c r="Z143" s="17">
        <v>2.1435</v>
      </c>
      <c r="AA143" s="17">
        <v>2.1516000000000002</v>
      </c>
      <c r="AB143" s="17">
        <v>2.1364999999999998</v>
      </c>
      <c r="AC143" s="17">
        <v>2.0857000000000001</v>
      </c>
      <c r="AD143" s="17">
        <v>2.0083000000000002</v>
      </c>
      <c r="AE143" s="17">
        <v>1.9158999999999999</v>
      </c>
      <c r="AF143" s="17">
        <v>1.7988999999999999</v>
      </c>
      <c r="AG143" s="17">
        <v>1.6745000000000001</v>
      </c>
      <c r="AH143" s="17">
        <v>1.5246999999999999</v>
      </c>
      <c r="AI143" s="17">
        <v>1.3561000000000001</v>
      </c>
      <c r="AJ143" s="17">
        <v>1.1525000000000001</v>
      </c>
      <c r="AK143" s="17">
        <v>0.96199999999999997</v>
      </c>
      <c r="AL143" s="17">
        <v>0.76619999999999999</v>
      </c>
      <c r="AM143" s="17">
        <v>0.57679999999999998</v>
      </c>
      <c r="AN143" s="17">
        <v>0.39419999999999999</v>
      </c>
      <c r="AO143" s="17">
        <v>0.23019999999999999</v>
      </c>
      <c r="AP143" s="17">
        <v>6.7000000000000004E-2</v>
      </c>
      <c r="AQ143" s="17">
        <v>1.24E-2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</row>
    <row r="144" spans="1:50" x14ac:dyDescent="0.25">
      <c r="A144" s="16" t="s">
        <v>617</v>
      </c>
      <c r="B144" s="13" t="s">
        <v>464</v>
      </c>
      <c r="C144" s="17">
        <v>0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2.5999999999999999E-3</v>
      </c>
      <c r="K144" s="17">
        <v>3.73E-2</v>
      </c>
      <c r="L144" s="17">
        <v>0.1744</v>
      </c>
      <c r="M144" s="17">
        <v>0.34599999999999997</v>
      </c>
      <c r="N144" s="17">
        <v>0.55640000000000001</v>
      </c>
      <c r="O144" s="17">
        <v>0.78590000000000004</v>
      </c>
      <c r="P144" s="17">
        <v>1.0183</v>
      </c>
      <c r="Q144" s="17">
        <v>1.2495000000000001</v>
      </c>
      <c r="R144" s="17">
        <v>1.4810000000000001</v>
      </c>
      <c r="S144" s="17">
        <v>1.6981999999999999</v>
      </c>
      <c r="T144" s="17">
        <v>1.9025000000000001</v>
      </c>
      <c r="U144" s="17">
        <v>2.0764</v>
      </c>
      <c r="V144" s="17">
        <v>2.2248000000000001</v>
      </c>
      <c r="W144" s="17">
        <v>2.355</v>
      </c>
      <c r="X144" s="17">
        <v>2.4624999999999999</v>
      </c>
      <c r="Y144" s="17">
        <v>2.5387</v>
      </c>
      <c r="Z144" s="17">
        <v>2.5722</v>
      </c>
      <c r="AA144" s="17">
        <v>2.5819000000000001</v>
      </c>
      <c r="AB144" s="17">
        <v>2.5636999999999999</v>
      </c>
      <c r="AC144" s="17">
        <v>2.5028999999999999</v>
      </c>
      <c r="AD144" s="17">
        <v>2.41</v>
      </c>
      <c r="AE144" s="17">
        <v>2.2991000000000001</v>
      </c>
      <c r="AF144" s="17">
        <v>2.1585999999999999</v>
      </c>
      <c r="AG144" s="17">
        <v>2.0093000000000001</v>
      </c>
      <c r="AH144" s="17">
        <v>1.8297000000000001</v>
      </c>
      <c r="AI144" s="17">
        <v>1.6274</v>
      </c>
      <c r="AJ144" s="17">
        <v>1.3831</v>
      </c>
      <c r="AK144" s="17">
        <v>1.1544000000000001</v>
      </c>
      <c r="AL144" s="17">
        <v>0.91949999999999998</v>
      </c>
      <c r="AM144" s="17">
        <v>0.69220000000000004</v>
      </c>
      <c r="AN144" s="17">
        <v>0.47310000000000002</v>
      </c>
      <c r="AO144" s="17">
        <v>0.2762</v>
      </c>
      <c r="AP144" s="17">
        <v>8.0399999999999999E-2</v>
      </c>
      <c r="AQ144" s="17">
        <v>1.4800000000000001E-2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</row>
    <row r="145" spans="1:50" x14ac:dyDescent="0.25">
      <c r="A145" s="16" t="s">
        <v>619</v>
      </c>
      <c r="B145" s="13" t="s">
        <v>464</v>
      </c>
      <c r="C145" s="17">
        <v>0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3.3999999999999998E-3</v>
      </c>
      <c r="K145" s="17">
        <v>4.9700000000000001E-2</v>
      </c>
      <c r="L145" s="17">
        <v>0.2326</v>
      </c>
      <c r="M145" s="17">
        <v>0.46129999999999999</v>
      </c>
      <c r="N145" s="17">
        <v>0.7419</v>
      </c>
      <c r="O145" s="17">
        <v>1.0479000000000001</v>
      </c>
      <c r="P145" s="17">
        <v>1.3576999999999999</v>
      </c>
      <c r="Q145" s="17">
        <v>1.6659999999999999</v>
      </c>
      <c r="R145" s="17">
        <v>1.9745999999999999</v>
      </c>
      <c r="S145" s="17">
        <v>2.2643</v>
      </c>
      <c r="T145" s="17">
        <v>2.5367000000000002</v>
      </c>
      <c r="U145" s="17">
        <v>2.7686000000000002</v>
      </c>
      <c r="V145" s="17">
        <v>2.9664000000000001</v>
      </c>
      <c r="W145" s="17">
        <v>3.14</v>
      </c>
      <c r="X145" s="17">
        <v>3.2833000000000001</v>
      </c>
      <c r="Y145" s="17">
        <v>3.3849999999999998</v>
      </c>
      <c r="Z145" s="17">
        <v>3.4296000000000002</v>
      </c>
      <c r="AA145" s="17">
        <v>3.4424999999999999</v>
      </c>
      <c r="AB145" s="17">
        <v>3.4182999999999999</v>
      </c>
      <c r="AC145" s="17">
        <v>3.3372000000000002</v>
      </c>
      <c r="AD145" s="17">
        <v>3.2132999999999998</v>
      </c>
      <c r="AE145" s="17">
        <v>3.0655000000000001</v>
      </c>
      <c r="AF145" s="17">
        <v>2.8782000000000001</v>
      </c>
      <c r="AG145" s="17">
        <v>2.6791</v>
      </c>
      <c r="AH145" s="17">
        <v>2.4396</v>
      </c>
      <c r="AI145" s="17">
        <v>2.1698</v>
      </c>
      <c r="AJ145" s="17">
        <v>1.8441000000000001</v>
      </c>
      <c r="AK145" s="17">
        <v>1.5391999999999999</v>
      </c>
      <c r="AL145" s="17">
        <v>1.2259</v>
      </c>
      <c r="AM145" s="17">
        <v>0.92290000000000005</v>
      </c>
      <c r="AN145" s="17">
        <v>0.63080000000000003</v>
      </c>
      <c r="AO145" s="17">
        <v>0.36830000000000002</v>
      </c>
      <c r="AP145" s="17">
        <v>0.1072</v>
      </c>
      <c r="AQ145" s="17">
        <v>1.9800000000000002E-2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</row>
    <row r="146" spans="1:50" x14ac:dyDescent="0.25">
      <c r="A146" s="8" t="s">
        <v>180</v>
      </c>
      <c r="B146" s="10" t="s">
        <v>57</v>
      </c>
      <c r="C146" s="18">
        <v>0</v>
      </c>
      <c r="D146" s="18">
        <v>0</v>
      </c>
      <c r="E146" s="18">
        <v>0</v>
      </c>
      <c r="F146" s="18">
        <v>0</v>
      </c>
      <c r="G146" s="18">
        <v>0</v>
      </c>
      <c r="H146" s="18">
        <v>0</v>
      </c>
      <c r="I146" s="18">
        <v>0</v>
      </c>
      <c r="J146" s="18">
        <v>0</v>
      </c>
      <c r="K146" s="18">
        <v>0</v>
      </c>
      <c r="L146" s="18">
        <v>0</v>
      </c>
      <c r="M146" s="18">
        <v>0</v>
      </c>
      <c r="N146" s="18">
        <v>0</v>
      </c>
      <c r="O146" s="18">
        <v>0</v>
      </c>
      <c r="P146" s="18">
        <v>0</v>
      </c>
      <c r="Q146" s="18">
        <v>0</v>
      </c>
      <c r="R146" s="18">
        <v>0</v>
      </c>
      <c r="S146" s="18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8">
        <v>0</v>
      </c>
      <c r="Z146" s="18">
        <v>0</v>
      </c>
      <c r="AA146" s="18">
        <v>0</v>
      </c>
      <c r="AB146" s="18">
        <v>0</v>
      </c>
      <c r="AC146" s="18">
        <v>0</v>
      </c>
      <c r="AD146" s="18">
        <v>0</v>
      </c>
      <c r="AE146" s="18">
        <v>0</v>
      </c>
      <c r="AF146" s="18">
        <v>0</v>
      </c>
      <c r="AG146" s="18">
        <v>0</v>
      </c>
      <c r="AH146" s="18">
        <v>0</v>
      </c>
      <c r="AI146" s="18">
        <v>0</v>
      </c>
      <c r="AJ146" s="18">
        <v>0</v>
      </c>
      <c r="AK146" s="18">
        <v>0</v>
      </c>
      <c r="AL146" s="18">
        <v>0</v>
      </c>
      <c r="AM146" s="18">
        <v>0</v>
      </c>
      <c r="AN146" s="18">
        <v>0</v>
      </c>
      <c r="AO146" s="18">
        <v>0</v>
      </c>
      <c r="AP146" s="18">
        <v>0</v>
      </c>
      <c r="AQ146" s="18">
        <v>0</v>
      </c>
      <c r="AR146" s="18">
        <v>0</v>
      </c>
      <c r="AS146" s="18">
        <v>0</v>
      </c>
      <c r="AT146" s="18">
        <v>0</v>
      </c>
      <c r="AU146" s="18">
        <v>0</v>
      </c>
      <c r="AV146" s="18">
        <v>0</v>
      </c>
      <c r="AW146" s="18">
        <v>0</v>
      </c>
      <c r="AX146" s="18">
        <v>0</v>
      </c>
    </row>
    <row r="147" spans="1:50" x14ac:dyDescent="0.25">
      <c r="A147" s="16" t="s">
        <v>621</v>
      </c>
      <c r="B147" s="13" t="s">
        <v>464</v>
      </c>
      <c r="C147" s="17">
        <v>0</v>
      </c>
      <c r="D147" s="17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1.6999999999999999E-3</v>
      </c>
      <c r="K147" s="17">
        <v>2.4899999999999999E-2</v>
      </c>
      <c r="L147" s="17">
        <v>0.1163</v>
      </c>
      <c r="M147" s="17">
        <v>0.23069999999999999</v>
      </c>
      <c r="N147" s="17">
        <v>0.37090000000000001</v>
      </c>
      <c r="O147" s="17">
        <v>0.52400000000000002</v>
      </c>
      <c r="P147" s="17">
        <v>0.67889999999999995</v>
      </c>
      <c r="Q147" s="17">
        <v>0.83299999999999996</v>
      </c>
      <c r="R147" s="17">
        <v>0.98729999999999996</v>
      </c>
      <c r="S147" s="17">
        <v>1.1322000000000001</v>
      </c>
      <c r="T147" s="17">
        <v>1.2683</v>
      </c>
      <c r="U147" s="17">
        <v>1.3843000000000001</v>
      </c>
      <c r="V147" s="17">
        <v>1.4832000000000001</v>
      </c>
      <c r="W147" s="17">
        <v>1.57</v>
      </c>
      <c r="X147" s="17">
        <v>1.6416999999999999</v>
      </c>
      <c r="Y147" s="17">
        <v>1.6924999999999999</v>
      </c>
      <c r="Z147" s="17">
        <v>1.7148000000000001</v>
      </c>
      <c r="AA147" s="17">
        <v>1.7212000000000001</v>
      </c>
      <c r="AB147" s="17">
        <v>1.7092000000000001</v>
      </c>
      <c r="AC147" s="17">
        <v>1.6686000000000001</v>
      </c>
      <c r="AD147" s="17">
        <v>1.6067</v>
      </c>
      <c r="AE147" s="17">
        <v>1.5327999999999999</v>
      </c>
      <c r="AF147" s="17">
        <v>1.4391</v>
      </c>
      <c r="AG147" s="17">
        <v>1.3395999999999999</v>
      </c>
      <c r="AH147" s="17">
        <v>1.2198</v>
      </c>
      <c r="AI147" s="17">
        <v>1.0849</v>
      </c>
      <c r="AJ147" s="17">
        <v>0.92200000000000004</v>
      </c>
      <c r="AK147" s="17">
        <v>0.76959999999999995</v>
      </c>
      <c r="AL147" s="17">
        <v>0.61299999999999999</v>
      </c>
      <c r="AM147" s="17">
        <v>0.46150000000000002</v>
      </c>
      <c r="AN147" s="17">
        <v>0.31540000000000001</v>
      </c>
      <c r="AO147" s="17">
        <v>0.1842</v>
      </c>
      <c r="AP147" s="17">
        <v>5.3600000000000002E-2</v>
      </c>
      <c r="AQ147" s="17">
        <v>9.9000000000000008E-3</v>
      </c>
      <c r="AR147" s="17">
        <v>0</v>
      </c>
      <c r="AS147" s="17">
        <v>0</v>
      </c>
      <c r="AT147" s="17">
        <v>0</v>
      </c>
      <c r="AU147" s="17">
        <v>0</v>
      </c>
      <c r="AV147" s="17">
        <v>0</v>
      </c>
      <c r="AW147" s="17">
        <v>0</v>
      </c>
      <c r="AX147" s="17">
        <v>0</v>
      </c>
    </row>
    <row r="148" spans="1:50" x14ac:dyDescent="0.25">
      <c r="A148" s="16" t="s">
        <v>623</v>
      </c>
      <c r="B148" s="13" t="s">
        <v>464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2.2000000000000001E-3</v>
      </c>
      <c r="K148" s="17">
        <v>3.1099999999999999E-2</v>
      </c>
      <c r="L148" s="17">
        <v>0.1454</v>
      </c>
      <c r="M148" s="17">
        <v>0.2883</v>
      </c>
      <c r="N148" s="17">
        <v>0.4637</v>
      </c>
      <c r="O148" s="17">
        <v>0.65490000000000004</v>
      </c>
      <c r="P148" s="17">
        <v>0.84860000000000002</v>
      </c>
      <c r="Q148" s="17">
        <v>1.0411999999999999</v>
      </c>
      <c r="R148" s="17">
        <v>1.2341</v>
      </c>
      <c r="S148" s="17">
        <v>1.4152</v>
      </c>
      <c r="T148" s="17">
        <v>1.5853999999999999</v>
      </c>
      <c r="U148" s="17">
        <v>1.7303999999999999</v>
      </c>
      <c r="V148" s="17">
        <v>1.8540000000000001</v>
      </c>
      <c r="W148" s="17">
        <v>1.9624999999999999</v>
      </c>
      <c r="X148" s="17">
        <v>2.0520999999999998</v>
      </c>
      <c r="Y148" s="17">
        <v>2.1156000000000001</v>
      </c>
      <c r="Z148" s="17">
        <v>2.1435</v>
      </c>
      <c r="AA148" s="17">
        <v>2.1516000000000002</v>
      </c>
      <c r="AB148" s="17">
        <v>2.1364999999999998</v>
      </c>
      <c r="AC148" s="17">
        <v>2.0857000000000001</v>
      </c>
      <c r="AD148" s="17">
        <v>2.0083000000000002</v>
      </c>
      <c r="AE148" s="17">
        <v>1.9158999999999999</v>
      </c>
      <c r="AF148" s="17">
        <v>1.7988999999999999</v>
      </c>
      <c r="AG148" s="17">
        <v>1.6745000000000001</v>
      </c>
      <c r="AH148" s="17">
        <v>1.5246999999999999</v>
      </c>
      <c r="AI148" s="17">
        <v>1.3561000000000001</v>
      </c>
      <c r="AJ148" s="17">
        <v>1.1525000000000001</v>
      </c>
      <c r="AK148" s="17">
        <v>0.96199999999999997</v>
      </c>
      <c r="AL148" s="17">
        <v>0.76619999999999999</v>
      </c>
      <c r="AM148" s="17">
        <v>0.57679999999999998</v>
      </c>
      <c r="AN148" s="17">
        <v>0.39419999999999999</v>
      </c>
      <c r="AO148" s="17">
        <v>0.23019999999999999</v>
      </c>
      <c r="AP148" s="17">
        <v>6.7000000000000004E-2</v>
      </c>
      <c r="AQ148" s="17">
        <v>1.24E-2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</row>
    <row r="149" spans="1:50" x14ac:dyDescent="0.25">
      <c r="A149" s="8" t="s">
        <v>182</v>
      </c>
      <c r="B149" s="10" t="s">
        <v>57</v>
      </c>
      <c r="C149" s="18">
        <v>0</v>
      </c>
      <c r="D149" s="18">
        <v>0</v>
      </c>
      <c r="E149" s="18">
        <v>0</v>
      </c>
      <c r="F149" s="18">
        <v>0</v>
      </c>
      <c r="G149" s="18">
        <v>0</v>
      </c>
      <c r="H149" s="18">
        <v>0</v>
      </c>
      <c r="I149" s="18">
        <v>0</v>
      </c>
      <c r="J149" s="18">
        <v>0</v>
      </c>
      <c r="K149" s="18">
        <v>0</v>
      </c>
      <c r="L149" s="18">
        <v>0</v>
      </c>
      <c r="M149" s="18">
        <v>0</v>
      </c>
      <c r="N149" s="18">
        <v>0</v>
      </c>
      <c r="O149" s="18">
        <v>0</v>
      </c>
      <c r="P149" s="18">
        <v>0</v>
      </c>
      <c r="Q149" s="18">
        <v>0</v>
      </c>
      <c r="R149" s="18">
        <v>0</v>
      </c>
      <c r="S149" s="18">
        <v>0</v>
      </c>
      <c r="T149" s="18">
        <v>0</v>
      </c>
      <c r="U149" s="18">
        <v>0</v>
      </c>
      <c r="V149" s="18">
        <v>0</v>
      </c>
      <c r="W149" s="18">
        <v>0</v>
      </c>
      <c r="X149" s="18">
        <v>0</v>
      </c>
      <c r="Y149" s="18">
        <v>0</v>
      </c>
      <c r="Z149" s="18">
        <v>0</v>
      </c>
      <c r="AA149" s="18">
        <v>0</v>
      </c>
      <c r="AB149" s="18">
        <v>0</v>
      </c>
      <c r="AC149" s="18">
        <v>0</v>
      </c>
      <c r="AD149" s="18">
        <v>0</v>
      </c>
      <c r="AE149" s="18">
        <v>0</v>
      </c>
      <c r="AF149" s="18">
        <v>0</v>
      </c>
      <c r="AG149" s="18">
        <v>0</v>
      </c>
      <c r="AH149" s="18">
        <v>0</v>
      </c>
      <c r="AI149" s="18">
        <v>0</v>
      </c>
      <c r="AJ149" s="18">
        <v>0</v>
      </c>
      <c r="AK149" s="18">
        <v>0</v>
      </c>
      <c r="AL149" s="18">
        <v>0</v>
      </c>
      <c r="AM149" s="18">
        <v>0</v>
      </c>
      <c r="AN149" s="18">
        <v>0</v>
      </c>
      <c r="AO149" s="18">
        <v>0</v>
      </c>
      <c r="AP149" s="18">
        <v>0</v>
      </c>
      <c r="AQ149" s="18">
        <v>0</v>
      </c>
      <c r="AR149" s="18">
        <v>0</v>
      </c>
      <c r="AS149" s="18">
        <v>0</v>
      </c>
      <c r="AT149" s="18">
        <v>0</v>
      </c>
      <c r="AU149" s="18">
        <v>0</v>
      </c>
      <c r="AV149" s="18">
        <v>0</v>
      </c>
      <c r="AW149" s="18">
        <v>0</v>
      </c>
      <c r="AX149" s="18">
        <v>0</v>
      </c>
    </row>
    <row r="150" spans="1:50" x14ac:dyDescent="0.25">
      <c r="A150" s="8" t="s">
        <v>184</v>
      </c>
      <c r="B150" s="10" t="s">
        <v>57</v>
      </c>
      <c r="C150" s="18">
        <v>0</v>
      </c>
      <c r="D150" s="18">
        <v>0</v>
      </c>
      <c r="E150" s="18">
        <v>0</v>
      </c>
      <c r="F150" s="18">
        <v>0</v>
      </c>
      <c r="G150" s="18">
        <v>0</v>
      </c>
      <c r="H150" s="18">
        <v>0</v>
      </c>
      <c r="I150" s="18">
        <v>0</v>
      </c>
      <c r="J150" s="18">
        <v>0</v>
      </c>
      <c r="K150" s="18">
        <v>0</v>
      </c>
      <c r="L150" s="18">
        <v>0</v>
      </c>
      <c r="M150" s="18">
        <v>0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8">
        <v>0</v>
      </c>
      <c r="Z150" s="18">
        <v>0</v>
      </c>
      <c r="AA150" s="18">
        <v>0</v>
      </c>
      <c r="AB150" s="18">
        <v>0</v>
      </c>
      <c r="AC150" s="18">
        <v>0</v>
      </c>
      <c r="AD150" s="18">
        <v>0</v>
      </c>
      <c r="AE150" s="18">
        <v>0</v>
      </c>
      <c r="AF150" s="18">
        <v>0</v>
      </c>
      <c r="AG150" s="18">
        <v>0</v>
      </c>
      <c r="AH150" s="18">
        <v>0</v>
      </c>
      <c r="AI150" s="18">
        <v>0</v>
      </c>
      <c r="AJ150" s="18">
        <v>0</v>
      </c>
      <c r="AK150" s="18">
        <v>0</v>
      </c>
      <c r="AL150" s="18">
        <v>0</v>
      </c>
      <c r="AM150" s="18">
        <v>0</v>
      </c>
      <c r="AN150" s="18">
        <v>0</v>
      </c>
      <c r="AO150" s="18">
        <v>0</v>
      </c>
      <c r="AP150" s="18">
        <v>0</v>
      </c>
      <c r="AQ150" s="18">
        <v>0</v>
      </c>
      <c r="AR150" s="18">
        <v>0</v>
      </c>
      <c r="AS150" s="18">
        <v>0</v>
      </c>
      <c r="AT150" s="18">
        <v>0</v>
      </c>
      <c r="AU150" s="18">
        <v>0</v>
      </c>
      <c r="AV150" s="18">
        <v>0</v>
      </c>
      <c r="AW150" s="18">
        <v>0</v>
      </c>
      <c r="AX150" s="18">
        <v>0</v>
      </c>
    </row>
    <row r="151" spans="1:50" x14ac:dyDescent="0.25">
      <c r="A151" s="8" t="s">
        <v>186</v>
      </c>
      <c r="B151" s="10" t="s">
        <v>57</v>
      </c>
      <c r="C151" s="18">
        <v>0</v>
      </c>
      <c r="D151" s="18">
        <v>0</v>
      </c>
      <c r="E151" s="18">
        <v>0</v>
      </c>
      <c r="F151" s="18">
        <v>0</v>
      </c>
      <c r="G151" s="18">
        <v>0</v>
      </c>
      <c r="H151" s="18">
        <v>0</v>
      </c>
      <c r="I151" s="18">
        <v>0</v>
      </c>
      <c r="J151" s="18">
        <v>0</v>
      </c>
      <c r="K151" s="18">
        <v>0</v>
      </c>
      <c r="L151" s="18">
        <v>0</v>
      </c>
      <c r="M151" s="18">
        <v>0</v>
      </c>
      <c r="N151" s="18">
        <v>0</v>
      </c>
      <c r="O151" s="18">
        <v>0</v>
      </c>
      <c r="P151" s="18">
        <v>0</v>
      </c>
      <c r="Q151" s="18">
        <v>0</v>
      </c>
      <c r="R151" s="18">
        <v>0</v>
      </c>
      <c r="S151" s="18">
        <v>0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8">
        <v>0</v>
      </c>
      <c r="Z151" s="18">
        <v>0</v>
      </c>
      <c r="AA151" s="18">
        <v>0</v>
      </c>
      <c r="AB151" s="18">
        <v>0</v>
      </c>
      <c r="AC151" s="18">
        <v>0</v>
      </c>
      <c r="AD151" s="18">
        <v>0</v>
      </c>
      <c r="AE151" s="18">
        <v>0</v>
      </c>
      <c r="AF151" s="18">
        <v>0</v>
      </c>
      <c r="AG151" s="18">
        <v>0</v>
      </c>
      <c r="AH151" s="18">
        <v>0</v>
      </c>
      <c r="AI151" s="18">
        <v>0</v>
      </c>
      <c r="AJ151" s="18">
        <v>0</v>
      </c>
      <c r="AK151" s="18">
        <v>0</v>
      </c>
      <c r="AL151" s="18">
        <v>0</v>
      </c>
      <c r="AM151" s="18">
        <v>0</v>
      </c>
      <c r="AN151" s="18">
        <v>0</v>
      </c>
      <c r="AO151" s="18">
        <v>0</v>
      </c>
      <c r="AP151" s="18">
        <v>0</v>
      </c>
      <c r="AQ151" s="18">
        <v>0</v>
      </c>
      <c r="AR151" s="18">
        <v>0</v>
      </c>
      <c r="AS151" s="18">
        <v>0</v>
      </c>
      <c r="AT151" s="18">
        <v>0</v>
      </c>
      <c r="AU151" s="18">
        <v>0</v>
      </c>
      <c r="AV151" s="18">
        <v>0</v>
      </c>
      <c r="AW151" s="18">
        <v>0</v>
      </c>
      <c r="AX151" s="18">
        <v>0</v>
      </c>
    </row>
    <row r="152" spans="1:50" x14ac:dyDescent="0.25">
      <c r="A152" s="8" t="s">
        <v>188</v>
      </c>
      <c r="B152" s="10" t="s">
        <v>57</v>
      </c>
      <c r="C152" s="18">
        <v>0</v>
      </c>
      <c r="D152" s="18">
        <v>0</v>
      </c>
      <c r="E152" s="18">
        <v>0</v>
      </c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8">
        <v>0</v>
      </c>
      <c r="Z152" s="18">
        <v>0</v>
      </c>
      <c r="AA152" s="18">
        <v>0</v>
      </c>
      <c r="AB152" s="18">
        <v>0</v>
      </c>
      <c r="AC152" s="18">
        <v>0</v>
      </c>
      <c r="AD152" s="18">
        <v>0</v>
      </c>
      <c r="AE152" s="18">
        <v>0</v>
      </c>
      <c r="AF152" s="18">
        <v>0</v>
      </c>
      <c r="AG152" s="18">
        <v>0</v>
      </c>
      <c r="AH152" s="18">
        <v>0</v>
      </c>
      <c r="AI152" s="18">
        <v>0</v>
      </c>
      <c r="AJ152" s="18">
        <v>0</v>
      </c>
      <c r="AK152" s="18">
        <v>0</v>
      </c>
      <c r="AL152" s="18">
        <v>0</v>
      </c>
      <c r="AM152" s="18">
        <v>0</v>
      </c>
      <c r="AN152" s="18">
        <v>0</v>
      </c>
      <c r="AO152" s="18">
        <v>0</v>
      </c>
      <c r="AP152" s="18">
        <v>0</v>
      </c>
      <c r="AQ152" s="18">
        <v>0</v>
      </c>
      <c r="AR152" s="18">
        <v>0</v>
      </c>
      <c r="AS152" s="18">
        <v>0</v>
      </c>
      <c r="AT152" s="18">
        <v>0</v>
      </c>
      <c r="AU152" s="18">
        <v>0</v>
      </c>
      <c r="AV152" s="18">
        <v>0</v>
      </c>
      <c r="AW152" s="18">
        <v>0</v>
      </c>
      <c r="AX152" s="18">
        <v>0</v>
      </c>
    </row>
    <row r="153" spans="1:50" x14ac:dyDescent="0.25">
      <c r="A153" s="8" t="s">
        <v>190</v>
      </c>
      <c r="B153" s="10" t="s">
        <v>57</v>
      </c>
      <c r="C153" s="18">
        <v>0</v>
      </c>
      <c r="D153" s="18">
        <v>0</v>
      </c>
      <c r="E153" s="18">
        <v>0</v>
      </c>
      <c r="F153" s="18">
        <v>0</v>
      </c>
      <c r="G153" s="18">
        <v>0</v>
      </c>
      <c r="H153" s="18">
        <v>0</v>
      </c>
      <c r="I153" s="18">
        <v>0</v>
      </c>
      <c r="J153" s="18">
        <v>0</v>
      </c>
      <c r="K153" s="18">
        <v>0</v>
      </c>
      <c r="L153" s="18">
        <v>0</v>
      </c>
      <c r="M153" s="18">
        <v>0</v>
      </c>
      <c r="N153" s="18">
        <v>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0</v>
      </c>
      <c r="AC153" s="18">
        <v>0</v>
      </c>
      <c r="AD153" s="18">
        <v>0</v>
      </c>
      <c r="AE153" s="18">
        <v>0</v>
      </c>
      <c r="AF153" s="18">
        <v>0</v>
      </c>
      <c r="AG153" s="18">
        <v>0</v>
      </c>
      <c r="AH153" s="18">
        <v>0</v>
      </c>
      <c r="AI153" s="18">
        <v>0</v>
      </c>
      <c r="AJ153" s="18">
        <v>0</v>
      </c>
      <c r="AK153" s="18">
        <v>0</v>
      </c>
      <c r="AL153" s="18">
        <v>0</v>
      </c>
      <c r="AM153" s="18">
        <v>0</v>
      </c>
      <c r="AN153" s="18">
        <v>0</v>
      </c>
      <c r="AO153" s="18">
        <v>0</v>
      </c>
      <c r="AP153" s="18">
        <v>0</v>
      </c>
      <c r="AQ153" s="18">
        <v>0</v>
      </c>
      <c r="AR153" s="18">
        <v>0</v>
      </c>
      <c r="AS153" s="18">
        <v>0</v>
      </c>
      <c r="AT153" s="18">
        <v>0</v>
      </c>
      <c r="AU153" s="18">
        <v>0</v>
      </c>
      <c r="AV153" s="18">
        <v>0</v>
      </c>
      <c r="AW153" s="18">
        <v>0</v>
      </c>
      <c r="AX153" s="18">
        <v>0</v>
      </c>
    </row>
    <row r="154" spans="1:50" x14ac:dyDescent="0.25">
      <c r="A154" s="16" t="s">
        <v>625</v>
      </c>
      <c r="B154" s="13" t="s">
        <v>464</v>
      </c>
      <c r="C154" s="17">
        <v>0</v>
      </c>
      <c r="D154" s="17">
        <v>0</v>
      </c>
      <c r="E154" s="17">
        <v>0</v>
      </c>
      <c r="F154" s="17">
        <v>0</v>
      </c>
      <c r="G154" s="17">
        <v>0</v>
      </c>
      <c r="H154" s="17">
        <v>0</v>
      </c>
      <c r="I154" s="17">
        <v>0</v>
      </c>
      <c r="J154" s="17">
        <v>1.6999999999999999E-3</v>
      </c>
      <c r="K154" s="17">
        <v>2.4899999999999999E-2</v>
      </c>
      <c r="L154" s="17">
        <v>0.1163</v>
      </c>
      <c r="M154" s="17">
        <v>0.23069999999999999</v>
      </c>
      <c r="N154" s="17">
        <v>0.37090000000000001</v>
      </c>
      <c r="O154" s="17">
        <v>0.52400000000000002</v>
      </c>
      <c r="P154" s="17">
        <v>0.67889999999999995</v>
      </c>
      <c r="Q154" s="17">
        <v>0.83299999999999996</v>
      </c>
      <c r="R154" s="17">
        <v>0.98729999999999996</v>
      </c>
      <c r="S154" s="17">
        <v>1.1322000000000001</v>
      </c>
      <c r="T154" s="17">
        <v>1.2683</v>
      </c>
      <c r="U154" s="17">
        <v>1.3843000000000001</v>
      </c>
      <c r="V154" s="17">
        <v>1.4832000000000001</v>
      </c>
      <c r="W154" s="17">
        <v>1.57</v>
      </c>
      <c r="X154" s="17">
        <v>1.6416999999999999</v>
      </c>
      <c r="Y154" s="17">
        <v>1.6924999999999999</v>
      </c>
      <c r="Z154" s="17">
        <v>1.7148000000000001</v>
      </c>
      <c r="AA154" s="17">
        <v>1.7212000000000001</v>
      </c>
      <c r="AB154" s="17">
        <v>1.7092000000000001</v>
      </c>
      <c r="AC154" s="17">
        <v>1.6686000000000001</v>
      </c>
      <c r="AD154" s="17">
        <v>1.6067</v>
      </c>
      <c r="AE154" s="17">
        <v>1.5327999999999999</v>
      </c>
      <c r="AF154" s="17">
        <v>1.4391</v>
      </c>
      <c r="AG154" s="17">
        <v>1.3395999999999999</v>
      </c>
      <c r="AH154" s="17">
        <v>1.2198</v>
      </c>
      <c r="AI154" s="17">
        <v>1.0849</v>
      </c>
      <c r="AJ154" s="17">
        <v>0.92200000000000004</v>
      </c>
      <c r="AK154" s="17">
        <v>0.76959999999999995</v>
      </c>
      <c r="AL154" s="17">
        <v>0.61299999999999999</v>
      </c>
      <c r="AM154" s="17">
        <v>0.46150000000000002</v>
      </c>
      <c r="AN154" s="17">
        <v>0.31540000000000001</v>
      </c>
      <c r="AO154" s="17">
        <v>0.1842</v>
      </c>
      <c r="AP154" s="17">
        <v>5.3600000000000002E-2</v>
      </c>
      <c r="AQ154" s="17">
        <v>9.9000000000000008E-3</v>
      </c>
      <c r="AR154" s="17">
        <v>0</v>
      </c>
      <c r="AS154" s="17">
        <v>0</v>
      </c>
      <c r="AT154" s="17">
        <v>0</v>
      </c>
      <c r="AU154" s="17">
        <v>0</v>
      </c>
      <c r="AV154" s="17">
        <v>0</v>
      </c>
      <c r="AW154" s="17">
        <v>0</v>
      </c>
      <c r="AX154" s="17">
        <v>0</v>
      </c>
    </row>
    <row r="155" spans="1:50" x14ac:dyDescent="0.25">
      <c r="A155" s="8" t="s">
        <v>192</v>
      </c>
      <c r="B155" s="10" t="s">
        <v>57</v>
      </c>
      <c r="C155" s="18">
        <v>0</v>
      </c>
      <c r="D155" s="18">
        <v>0</v>
      </c>
      <c r="E155" s="18">
        <v>0</v>
      </c>
      <c r="F155" s="18">
        <v>0</v>
      </c>
      <c r="G155" s="18">
        <v>0</v>
      </c>
      <c r="H155" s="18">
        <v>0</v>
      </c>
      <c r="I155" s="18">
        <v>0</v>
      </c>
      <c r="J155" s="18">
        <v>0</v>
      </c>
      <c r="K155" s="18">
        <v>0</v>
      </c>
      <c r="L155" s="18">
        <v>0</v>
      </c>
      <c r="M155" s="18">
        <v>0</v>
      </c>
      <c r="N155" s="18">
        <v>0</v>
      </c>
      <c r="O155" s="18">
        <v>0</v>
      </c>
      <c r="P155" s="18">
        <v>0</v>
      </c>
      <c r="Q155" s="18">
        <v>0</v>
      </c>
      <c r="R155" s="18">
        <v>0</v>
      </c>
      <c r="S155" s="18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8">
        <v>0</v>
      </c>
      <c r="Z155" s="18">
        <v>0</v>
      </c>
      <c r="AA155" s="18">
        <v>0</v>
      </c>
      <c r="AB155" s="18">
        <v>0</v>
      </c>
      <c r="AC155" s="18">
        <v>0</v>
      </c>
      <c r="AD155" s="18">
        <v>0</v>
      </c>
      <c r="AE155" s="18">
        <v>0</v>
      </c>
      <c r="AF155" s="18">
        <v>0</v>
      </c>
      <c r="AG155" s="18">
        <v>0</v>
      </c>
      <c r="AH155" s="18">
        <v>0</v>
      </c>
      <c r="AI155" s="18">
        <v>0</v>
      </c>
      <c r="AJ155" s="18">
        <v>0</v>
      </c>
      <c r="AK155" s="18">
        <v>0</v>
      </c>
      <c r="AL155" s="18">
        <v>0</v>
      </c>
      <c r="AM155" s="18">
        <v>0</v>
      </c>
      <c r="AN155" s="18">
        <v>0</v>
      </c>
      <c r="AO155" s="18">
        <v>0</v>
      </c>
      <c r="AP155" s="18">
        <v>0</v>
      </c>
      <c r="AQ155" s="18">
        <v>0</v>
      </c>
      <c r="AR155" s="18">
        <v>0</v>
      </c>
      <c r="AS155" s="18">
        <v>0</v>
      </c>
      <c r="AT155" s="18">
        <v>0</v>
      </c>
      <c r="AU155" s="18">
        <v>0</v>
      </c>
      <c r="AV155" s="18">
        <v>0</v>
      </c>
      <c r="AW155" s="18">
        <v>0</v>
      </c>
      <c r="AX155" s="18">
        <v>0</v>
      </c>
    </row>
    <row r="156" spans="1:50" x14ac:dyDescent="0.25">
      <c r="A156" s="16" t="s">
        <v>627</v>
      </c>
      <c r="B156" s="13" t="s">
        <v>464</v>
      </c>
      <c r="C156" s="17">
        <v>0</v>
      </c>
      <c r="D156" s="17">
        <v>0</v>
      </c>
      <c r="E156" s="17">
        <v>0</v>
      </c>
      <c r="F156" s="17">
        <v>0</v>
      </c>
      <c r="G156" s="17">
        <v>0</v>
      </c>
      <c r="H156" s="17">
        <v>0</v>
      </c>
      <c r="I156" s="17">
        <v>0</v>
      </c>
      <c r="J156" s="17">
        <v>3.3999999999999998E-3</v>
      </c>
      <c r="K156" s="17">
        <v>4.9700000000000001E-2</v>
      </c>
      <c r="L156" s="17">
        <v>0.2326</v>
      </c>
      <c r="M156" s="17">
        <v>0.46129999999999999</v>
      </c>
      <c r="N156" s="17">
        <v>0.7419</v>
      </c>
      <c r="O156" s="17">
        <v>1.0479000000000001</v>
      </c>
      <c r="P156" s="17">
        <v>1.3576999999999999</v>
      </c>
      <c r="Q156" s="17">
        <v>1.6659999999999999</v>
      </c>
      <c r="R156" s="17">
        <v>1.9745999999999999</v>
      </c>
      <c r="S156" s="17">
        <v>2.2643</v>
      </c>
      <c r="T156" s="17">
        <v>2.5367000000000002</v>
      </c>
      <c r="U156" s="17">
        <v>2.7686000000000002</v>
      </c>
      <c r="V156" s="17">
        <v>2.9664000000000001</v>
      </c>
      <c r="W156" s="17">
        <v>3.14</v>
      </c>
      <c r="X156" s="17">
        <v>3.2833000000000001</v>
      </c>
      <c r="Y156" s="17">
        <v>3.3849999999999998</v>
      </c>
      <c r="Z156" s="17">
        <v>3.4296000000000002</v>
      </c>
      <c r="AA156" s="17">
        <v>3.4424999999999999</v>
      </c>
      <c r="AB156" s="17">
        <v>3.4182999999999999</v>
      </c>
      <c r="AC156" s="17">
        <v>3.3372000000000002</v>
      </c>
      <c r="AD156" s="17">
        <v>3.2132999999999998</v>
      </c>
      <c r="AE156" s="17">
        <v>3.0655000000000001</v>
      </c>
      <c r="AF156" s="17">
        <v>2.8782000000000001</v>
      </c>
      <c r="AG156" s="17">
        <v>2.6791</v>
      </c>
      <c r="AH156" s="17">
        <v>2.4396</v>
      </c>
      <c r="AI156" s="17">
        <v>2.1698</v>
      </c>
      <c r="AJ156" s="17">
        <v>1.8441000000000001</v>
      </c>
      <c r="AK156" s="17">
        <v>1.5391999999999999</v>
      </c>
      <c r="AL156" s="17">
        <v>1.2259</v>
      </c>
      <c r="AM156" s="17">
        <v>0.92290000000000005</v>
      </c>
      <c r="AN156" s="17">
        <v>0.63080000000000003</v>
      </c>
      <c r="AO156" s="17">
        <v>0.36830000000000002</v>
      </c>
      <c r="AP156" s="17">
        <v>0.1072</v>
      </c>
      <c r="AQ156" s="17">
        <v>1.9800000000000002E-2</v>
      </c>
      <c r="AR156" s="17">
        <v>0</v>
      </c>
      <c r="AS156" s="17">
        <v>0</v>
      </c>
      <c r="AT156" s="17">
        <v>0</v>
      </c>
      <c r="AU156" s="17">
        <v>0</v>
      </c>
      <c r="AV156" s="17">
        <v>0</v>
      </c>
      <c r="AW156" s="17">
        <v>0</v>
      </c>
      <c r="AX156" s="17">
        <v>0</v>
      </c>
    </row>
    <row r="157" spans="1:50" x14ac:dyDescent="0.25">
      <c r="A157" s="16" t="s">
        <v>629</v>
      </c>
      <c r="B157" s="13" t="s">
        <v>464</v>
      </c>
      <c r="C157" s="17">
        <v>0</v>
      </c>
      <c r="D157" s="17">
        <v>0</v>
      </c>
      <c r="E157" s="17">
        <v>0</v>
      </c>
      <c r="F157" s="17">
        <v>0</v>
      </c>
      <c r="G157" s="17">
        <v>0</v>
      </c>
      <c r="H157" s="17">
        <v>0</v>
      </c>
      <c r="I157" s="17">
        <v>0</v>
      </c>
      <c r="J157" s="17">
        <v>3.3999999999999998E-3</v>
      </c>
      <c r="K157" s="17">
        <v>4.9700000000000001E-2</v>
      </c>
      <c r="L157" s="17">
        <v>0.2326</v>
      </c>
      <c r="M157" s="17">
        <v>0.46129999999999999</v>
      </c>
      <c r="N157" s="17">
        <v>0.7419</v>
      </c>
      <c r="O157" s="17">
        <v>1.0479000000000001</v>
      </c>
      <c r="P157" s="17">
        <v>1.3576999999999999</v>
      </c>
      <c r="Q157" s="17">
        <v>1.6659999999999999</v>
      </c>
      <c r="R157" s="17">
        <v>1.9745999999999999</v>
      </c>
      <c r="S157" s="17">
        <v>2.2643</v>
      </c>
      <c r="T157" s="17">
        <v>2.5367000000000002</v>
      </c>
      <c r="U157" s="17">
        <v>2.7686000000000002</v>
      </c>
      <c r="V157" s="17">
        <v>2.9664000000000001</v>
      </c>
      <c r="W157" s="17">
        <v>3.14</v>
      </c>
      <c r="X157" s="17">
        <v>3.2833000000000001</v>
      </c>
      <c r="Y157" s="17">
        <v>3.3849999999999998</v>
      </c>
      <c r="Z157" s="17">
        <v>3.4296000000000002</v>
      </c>
      <c r="AA157" s="17">
        <v>3.4424999999999999</v>
      </c>
      <c r="AB157" s="17">
        <v>3.4182999999999999</v>
      </c>
      <c r="AC157" s="17">
        <v>3.3372000000000002</v>
      </c>
      <c r="AD157" s="17">
        <v>3.2132999999999998</v>
      </c>
      <c r="AE157" s="17">
        <v>3.0655000000000001</v>
      </c>
      <c r="AF157" s="17">
        <v>2.8782000000000001</v>
      </c>
      <c r="AG157" s="17">
        <v>2.6791</v>
      </c>
      <c r="AH157" s="17">
        <v>2.4396</v>
      </c>
      <c r="AI157" s="17">
        <v>2.1698</v>
      </c>
      <c r="AJ157" s="17">
        <v>1.8441000000000001</v>
      </c>
      <c r="AK157" s="17">
        <v>1.5391999999999999</v>
      </c>
      <c r="AL157" s="17">
        <v>1.2259</v>
      </c>
      <c r="AM157" s="17">
        <v>0.92290000000000005</v>
      </c>
      <c r="AN157" s="17">
        <v>0.63080000000000003</v>
      </c>
      <c r="AO157" s="17">
        <v>0.36830000000000002</v>
      </c>
      <c r="AP157" s="17">
        <v>0.1072</v>
      </c>
      <c r="AQ157" s="17">
        <v>1.9800000000000002E-2</v>
      </c>
      <c r="AR157" s="17">
        <v>0</v>
      </c>
      <c r="AS157" s="17">
        <v>0</v>
      </c>
      <c r="AT157" s="17">
        <v>0</v>
      </c>
      <c r="AU157" s="17">
        <v>0</v>
      </c>
      <c r="AV157" s="17">
        <v>0</v>
      </c>
      <c r="AW157" s="17">
        <v>0</v>
      </c>
      <c r="AX157" s="17">
        <v>0</v>
      </c>
    </row>
    <row r="158" spans="1:50" x14ac:dyDescent="0.25">
      <c r="A158" s="16" t="s">
        <v>631</v>
      </c>
      <c r="B158" s="13" t="s">
        <v>464</v>
      </c>
      <c r="C158" s="17">
        <v>0</v>
      </c>
      <c r="D158" s="17">
        <v>0</v>
      </c>
      <c r="E158" s="17">
        <v>0</v>
      </c>
      <c r="F158" s="17">
        <v>0</v>
      </c>
      <c r="G158" s="17">
        <v>0</v>
      </c>
      <c r="H158" s="17">
        <v>0</v>
      </c>
      <c r="I158" s="17">
        <v>0</v>
      </c>
      <c r="J158" s="17">
        <v>2.5999999999999999E-3</v>
      </c>
      <c r="K158" s="17">
        <v>3.73E-2</v>
      </c>
      <c r="L158" s="17">
        <v>0.1744</v>
      </c>
      <c r="M158" s="17">
        <v>0.34599999999999997</v>
      </c>
      <c r="N158" s="17">
        <v>0.55640000000000001</v>
      </c>
      <c r="O158" s="17">
        <v>0.78590000000000004</v>
      </c>
      <c r="P158" s="17">
        <v>1.0183</v>
      </c>
      <c r="Q158" s="17">
        <v>1.2495000000000001</v>
      </c>
      <c r="R158" s="17">
        <v>1.4810000000000001</v>
      </c>
      <c r="S158" s="17">
        <v>1.6981999999999999</v>
      </c>
      <c r="T158" s="17">
        <v>1.9025000000000001</v>
      </c>
      <c r="U158" s="17">
        <v>2.0764</v>
      </c>
      <c r="V158" s="17">
        <v>2.2248000000000001</v>
      </c>
      <c r="W158" s="17">
        <v>2.355</v>
      </c>
      <c r="X158" s="17">
        <v>2.4624999999999999</v>
      </c>
      <c r="Y158" s="17">
        <v>2.5387</v>
      </c>
      <c r="Z158" s="17">
        <v>2.5722</v>
      </c>
      <c r="AA158" s="17">
        <v>2.5819000000000001</v>
      </c>
      <c r="AB158" s="17">
        <v>2.5636999999999999</v>
      </c>
      <c r="AC158" s="17">
        <v>2.5028999999999999</v>
      </c>
      <c r="AD158" s="17">
        <v>2.41</v>
      </c>
      <c r="AE158" s="17">
        <v>2.2991000000000001</v>
      </c>
      <c r="AF158" s="17">
        <v>2.1585999999999999</v>
      </c>
      <c r="AG158" s="17">
        <v>2.0093000000000001</v>
      </c>
      <c r="AH158" s="17">
        <v>1.8297000000000001</v>
      </c>
      <c r="AI158" s="17">
        <v>1.6274</v>
      </c>
      <c r="AJ158" s="17">
        <v>1.3831</v>
      </c>
      <c r="AK158" s="17">
        <v>1.1544000000000001</v>
      </c>
      <c r="AL158" s="17">
        <v>0.91949999999999998</v>
      </c>
      <c r="AM158" s="17">
        <v>0.69220000000000004</v>
      </c>
      <c r="AN158" s="17">
        <v>0.47310000000000002</v>
      </c>
      <c r="AO158" s="17">
        <v>0.2762</v>
      </c>
      <c r="AP158" s="17">
        <v>8.0399999999999999E-2</v>
      </c>
      <c r="AQ158" s="17">
        <v>1.4800000000000001E-2</v>
      </c>
      <c r="AR158" s="17">
        <v>0</v>
      </c>
      <c r="AS158" s="17">
        <v>0</v>
      </c>
      <c r="AT158" s="17">
        <v>0</v>
      </c>
      <c r="AU158" s="17">
        <v>0</v>
      </c>
      <c r="AV158" s="17">
        <v>0</v>
      </c>
      <c r="AW158" s="17">
        <v>0</v>
      </c>
      <c r="AX158" s="17">
        <v>0</v>
      </c>
    </row>
    <row r="159" spans="1:50" x14ac:dyDescent="0.25">
      <c r="A159" s="8" t="s">
        <v>194</v>
      </c>
      <c r="B159" s="10" t="s">
        <v>57</v>
      </c>
      <c r="C159" s="18">
        <v>0</v>
      </c>
      <c r="D159" s="18">
        <v>0</v>
      </c>
      <c r="E159" s="18">
        <v>0</v>
      </c>
      <c r="F159" s="18">
        <v>0</v>
      </c>
      <c r="G159" s="18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18">
        <v>0</v>
      </c>
      <c r="N159" s="18">
        <v>0</v>
      </c>
      <c r="O159" s="18">
        <v>0</v>
      </c>
      <c r="P159" s="18">
        <v>0</v>
      </c>
      <c r="Q159" s="18">
        <v>0</v>
      </c>
      <c r="R159" s="18">
        <v>0</v>
      </c>
      <c r="S159" s="18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0</v>
      </c>
      <c r="AA159" s="18">
        <v>0</v>
      </c>
      <c r="AB159" s="18">
        <v>0</v>
      </c>
      <c r="AC159" s="18">
        <v>0</v>
      </c>
      <c r="AD159" s="18">
        <v>0</v>
      </c>
      <c r="AE159" s="18">
        <v>0</v>
      </c>
      <c r="AF159" s="18">
        <v>0</v>
      </c>
      <c r="AG159" s="18">
        <v>0</v>
      </c>
      <c r="AH159" s="18">
        <v>0</v>
      </c>
      <c r="AI159" s="18">
        <v>0</v>
      </c>
      <c r="AJ159" s="18">
        <v>0</v>
      </c>
      <c r="AK159" s="18">
        <v>0</v>
      </c>
      <c r="AL159" s="18">
        <v>0</v>
      </c>
      <c r="AM159" s="18">
        <v>0</v>
      </c>
      <c r="AN159" s="18">
        <v>0</v>
      </c>
      <c r="AO159" s="18">
        <v>0</v>
      </c>
      <c r="AP159" s="18">
        <v>0</v>
      </c>
      <c r="AQ159" s="18">
        <v>0</v>
      </c>
      <c r="AR159" s="18">
        <v>0</v>
      </c>
      <c r="AS159" s="18">
        <v>0</v>
      </c>
      <c r="AT159" s="18">
        <v>0</v>
      </c>
      <c r="AU159" s="18">
        <v>0</v>
      </c>
      <c r="AV159" s="18">
        <v>0</v>
      </c>
      <c r="AW159" s="18">
        <v>0</v>
      </c>
      <c r="AX159" s="18">
        <v>0</v>
      </c>
    </row>
    <row r="160" spans="1:50" x14ac:dyDescent="0.25">
      <c r="A160" s="8" t="s">
        <v>196</v>
      </c>
      <c r="B160" s="10" t="s">
        <v>57</v>
      </c>
      <c r="C160" s="18">
        <v>0</v>
      </c>
      <c r="D160" s="18">
        <v>0</v>
      </c>
      <c r="E160" s="18">
        <v>0</v>
      </c>
      <c r="F160" s="18">
        <v>0</v>
      </c>
      <c r="G160" s="18">
        <v>0</v>
      </c>
      <c r="H160" s="18">
        <v>0</v>
      </c>
      <c r="I160" s="18">
        <v>0</v>
      </c>
      <c r="J160" s="18">
        <v>0</v>
      </c>
      <c r="K160" s="18">
        <v>0</v>
      </c>
      <c r="L160" s="18">
        <v>0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0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D160" s="18">
        <v>0</v>
      </c>
      <c r="AE160" s="18">
        <v>0</v>
      </c>
      <c r="AF160" s="18">
        <v>0</v>
      </c>
      <c r="AG160" s="18">
        <v>0</v>
      </c>
      <c r="AH160" s="18">
        <v>0</v>
      </c>
      <c r="AI160" s="18">
        <v>0</v>
      </c>
      <c r="AJ160" s="18">
        <v>0</v>
      </c>
      <c r="AK160" s="18">
        <v>0</v>
      </c>
      <c r="AL160" s="18">
        <v>0</v>
      </c>
      <c r="AM160" s="18">
        <v>0</v>
      </c>
      <c r="AN160" s="18">
        <v>0</v>
      </c>
      <c r="AO160" s="18">
        <v>0</v>
      </c>
      <c r="AP160" s="18">
        <v>0</v>
      </c>
      <c r="AQ160" s="18">
        <v>0</v>
      </c>
      <c r="AR160" s="18">
        <v>0</v>
      </c>
      <c r="AS160" s="18">
        <v>0</v>
      </c>
      <c r="AT160" s="18">
        <v>0</v>
      </c>
      <c r="AU160" s="18">
        <v>0</v>
      </c>
      <c r="AV160" s="18">
        <v>0</v>
      </c>
      <c r="AW160" s="18">
        <v>0</v>
      </c>
      <c r="AX160" s="18">
        <v>0</v>
      </c>
    </row>
    <row r="161" spans="1:50" x14ac:dyDescent="0.25">
      <c r="A161" s="8" t="s">
        <v>198</v>
      </c>
      <c r="B161" s="10" t="s">
        <v>57</v>
      </c>
      <c r="C161" s="18">
        <v>0</v>
      </c>
      <c r="D161" s="18">
        <v>0</v>
      </c>
      <c r="E161" s="18">
        <v>0</v>
      </c>
      <c r="F161" s="18">
        <v>0</v>
      </c>
      <c r="G161" s="18">
        <v>0</v>
      </c>
      <c r="H161" s="18">
        <v>0</v>
      </c>
      <c r="I161" s="18">
        <v>0</v>
      </c>
      <c r="J161" s="18">
        <v>0</v>
      </c>
      <c r="K161" s="18">
        <v>0</v>
      </c>
      <c r="L161" s="18">
        <v>0</v>
      </c>
      <c r="M161" s="18">
        <v>0</v>
      </c>
      <c r="N161" s="18">
        <v>0</v>
      </c>
      <c r="O161" s="18">
        <v>0</v>
      </c>
      <c r="P161" s="18">
        <v>0</v>
      </c>
      <c r="Q161" s="18">
        <v>0</v>
      </c>
      <c r="R161" s="18">
        <v>0</v>
      </c>
      <c r="S161" s="18">
        <v>0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8">
        <v>0</v>
      </c>
      <c r="Z161" s="18">
        <v>0</v>
      </c>
      <c r="AA161" s="18">
        <v>0</v>
      </c>
      <c r="AB161" s="18">
        <v>0</v>
      </c>
      <c r="AC161" s="18">
        <v>0</v>
      </c>
      <c r="AD161" s="18">
        <v>0</v>
      </c>
      <c r="AE161" s="18">
        <v>0</v>
      </c>
      <c r="AF161" s="18">
        <v>0</v>
      </c>
      <c r="AG161" s="18">
        <v>0</v>
      </c>
      <c r="AH161" s="18">
        <v>0</v>
      </c>
      <c r="AI161" s="18">
        <v>0</v>
      </c>
      <c r="AJ161" s="18">
        <v>0</v>
      </c>
      <c r="AK161" s="18">
        <v>0</v>
      </c>
      <c r="AL161" s="18">
        <v>0</v>
      </c>
      <c r="AM161" s="18">
        <v>0</v>
      </c>
      <c r="AN161" s="18">
        <v>0</v>
      </c>
      <c r="AO161" s="18">
        <v>0</v>
      </c>
      <c r="AP161" s="18">
        <v>0</v>
      </c>
      <c r="AQ161" s="18">
        <v>0</v>
      </c>
      <c r="AR161" s="18">
        <v>0</v>
      </c>
      <c r="AS161" s="18">
        <v>0</v>
      </c>
      <c r="AT161" s="18">
        <v>0</v>
      </c>
      <c r="AU161" s="18">
        <v>0</v>
      </c>
      <c r="AV161" s="18">
        <v>0</v>
      </c>
      <c r="AW161" s="18">
        <v>0</v>
      </c>
      <c r="AX161" s="18">
        <v>0</v>
      </c>
    </row>
    <row r="162" spans="1:50" x14ac:dyDescent="0.25">
      <c r="A162" s="16" t="s">
        <v>633</v>
      </c>
      <c r="B162" s="13" t="s">
        <v>464</v>
      </c>
      <c r="C162" s="17">
        <v>0</v>
      </c>
      <c r="D162" s="17">
        <v>0</v>
      </c>
      <c r="E162" s="17">
        <v>0</v>
      </c>
      <c r="F162" s="17">
        <v>0</v>
      </c>
      <c r="G162" s="17">
        <v>0</v>
      </c>
      <c r="H162" s="17">
        <v>0</v>
      </c>
      <c r="I162" s="17">
        <v>0</v>
      </c>
      <c r="J162" s="17">
        <v>1.2999999999999999E-3</v>
      </c>
      <c r="K162" s="17">
        <v>1.8700000000000001E-2</v>
      </c>
      <c r="L162" s="17">
        <v>8.72E-2</v>
      </c>
      <c r="M162" s="17">
        <v>0.17299999999999999</v>
      </c>
      <c r="N162" s="17">
        <v>0.2782</v>
      </c>
      <c r="O162" s="17">
        <v>0.39300000000000002</v>
      </c>
      <c r="P162" s="17">
        <v>0.50919999999999999</v>
      </c>
      <c r="Q162" s="17">
        <v>0.62470000000000003</v>
      </c>
      <c r="R162" s="17">
        <v>0.74050000000000005</v>
      </c>
      <c r="S162" s="17">
        <v>0.84909999999999997</v>
      </c>
      <c r="T162" s="17">
        <v>0.95120000000000005</v>
      </c>
      <c r="U162" s="17">
        <v>1.0382</v>
      </c>
      <c r="V162" s="17">
        <v>1.1124000000000001</v>
      </c>
      <c r="W162" s="17">
        <v>1.1775</v>
      </c>
      <c r="X162" s="17">
        <v>1.2312000000000001</v>
      </c>
      <c r="Y162" s="17">
        <v>1.2694000000000001</v>
      </c>
      <c r="Z162" s="17">
        <v>1.2861</v>
      </c>
      <c r="AA162" s="17">
        <v>1.2908999999999999</v>
      </c>
      <c r="AB162" s="17">
        <v>1.2819</v>
      </c>
      <c r="AC162" s="17">
        <v>1.2514000000000001</v>
      </c>
      <c r="AD162" s="17">
        <v>1.2050000000000001</v>
      </c>
      <c r="AE162" s="17">
        <v>1.1496</v>
      </c>
      <c r="AF162" s="17">
        <v>1.0792999999999999</v>
      </c>
      <c r="AG162" s="17">
        <v>1.0046999999999999</v>
      </c>
      <c r="AH162" s="17">
        <v>0.91479999999999995</v>
      </c>
      <c r="AI162" s="17">
        <v>0.81369999999999998</v>
      </c>
      <c r="AJ162" s="17">
        <v>0.6915</v>
      </c>
      <c r="AK162" s="17">
        <v>0.57720000000000005</v>
      </c>
      <c r="AL162" s="17">
        <v>0.4597</v>
      </c>
      <c r="AM162" s="17">
        <v>0.34610000000000002</v>
      </c>
      <c r="AN162" s="17">
        <v>0.23649999999999999</v>
      </c>
      <c r="AO162" s="17">
        <v>0.1381</v>
      </c>
      <c r="AP162" s="17">
        <v>4.02E-2</v>
      </c>
      <c r="AQ162" s="17">
        <v>7.4000000000000003E-3</v>
      </c>
      <c r="AR162" s="17">
        <v>0</v>
      </c>
      <c r="AS162" s="17">
        <v>0</v>
      </c>
      <c r="AT162" s="17">
        <v>0</v>
      </c>
      <c r="AU162" s="17">
        <v>0</v>
      </c>
      <c r="AV162" s="17">
        <v>0</v>
      </c>
      <c r="AW162" s="17">
        <v>0</v>
      </c>
      <c r="AX162" s="17">
        <v>0</v>
      </c>
    </row>
    <row r="163" spans="1:50" x14ac:dyDescent="0.25">
      <c r="A163" s="16" t="s">
        <v>635</v>
      </c>
      <c r="B163" s="13" t="s">
        <v>464</v>
      </c>
      <c r="C163" s="17">
        <v>0</v>
      </c>
      <c r="D163" s="17">
        <v>0</v>
      </c>
      <c r="E163" s="17">
        <v>0</v>
      </c>
      <c r="F163" s="17">
        <v>0</v>
      </c>
      <c r="G163" s="17">
        <v>0</v>
      </c>
      <c r="H163" s="17">
        <v>0</v>
      </c>
      <c r="I163" s="17">
        <v>0</v>
      </c>
      <c r="J163" s="17">
        <v>2.5999999999999999E-3</v>
      </c>
      <c r="K163" s="17">
        <v>3.73E-2</v>
      </c>
      <c r="L163" s="17">
        <v>0.1744</v>
      </c>
      <c r="M163" s="17">
        <v>0.34599999999999997</v>
      </c>
      <c r="N163" s="17">
        <v>0.55640000000000001</v>
      </c>
      <c r="O163" s="17">
        <v>0.78590000000000004</v>
      </c>
      <c r="P163" s="17">
        <v>1.0183</v>
      </c>
      <c r="Q163" s="17">
        <v>1.2495000000000001</v>
      </c>
      <c r="R163" s="17">
        <v>1.4810000000000001</v>
      </c>
      <c r="S163" s="17">
        <v>1.6981999999999999</v>
      </c>
      <c r="T163" s="17">
        <v>1.9025000000000001</v>
      </c>
      <c r="U163" s="17">
        <v>2.0764</v>
      </c>
      <c r="V163" s="17">
        <v>2.2248000000000001</v>
      </c>
      <c r="W163" s="17">
        <v>2.355</v>
      </c>
      <c r="X163" s="17">
        <v>2.4624999999999999</v>
      </c>
      <c r="Y163" s="17">
        <v>2.5387</v>
      </c>
      <c r="Z163" s="17">
        <v>2.5722</v>
      </c>
      <c r="AA163" s="17">
        <v>2.5819000000000001</v>
      </c>
      <c r="AB163" s="17">
        <v>2.5636999999999999</v>
      </c>
      <c r="AC163" s="17">
        <v>2.5028999999999999</v>
      </c>
      <c r="AD163" s="17">
        <v>2.41</v>
      </c>
      <c r="AE163" s="17">
        <v>2.2991000000000001</v>
      </c>
      <c r="AF163" s="17">
        <v>2.1585999999999999</v>
      </c>
      <c r="AG163" s="17">
        <v>2.0093000000000001</v>
      </c>
      <c r="AH163" s="17">
        <v>1.8297000000000001</v>
      </c>
      <c r="AI163" s="17">
        <v>1.6274</v>
      </c>
      <c r="AJ163" s="17">
        <v>1.3831</v>
      </c>
      <c r="AK163" s="17">
        <v>1.1544000000000001</v>
      </c>
      <c r="AL163" s="17">
        <v>0.91949999999999998</v>
      </c>
      <c r="AM163" s="17">
        <v>0.69220000000000004</v>
      </c>
      <c r="AN163" s="17">
        <v>0.47310000000000002</v>
      </c>
      <c r="AO163" s="17">
        <v>0.2762</v>
      </c>
      <c r="AP163" s="17">
        <v>8.0399999999999999E-2</v>
      </c>
      <c r="AQ163" s="17">
        <v>1.4800000000000001E-2</v>
      </c>
      <c r="AR163" s="17">
        <v>0</v>
      </c>
      <c r="AS163" s="17">
        <v>0</v>
      </c>
      <c r="AT163" s="17">
        <v>0</v>
      </c>
      <c r="AU163" s="17">
        <v>0</v>
      </c>
      <c r="AV163" s="17">
        <v>0</v>
      </c>
      <c r="AW163" s="17">
        <v>0</v>
      </c>
      <c r="AX163" s="17">
        <v>0</v>
      </c>
    </row>
    <row r="164" spans="1:50" x14ac:dyDescent="0.25">
      <c r="A164" s="16" t="s">
        <v>637</v>
      </c>
      <c r="B164" s="13" t="s">
        <v>464</v>
      </c>
      <c r="C164" s="17">
        <v>0</v>
      </c>
      <c r="D164" s="17">
        <v>0</v>
      </c>
      <c r="E164" s="17">
        <v>0</v>
      </c>
      <c r="F164" s="17">
        <v>0</v>
      </c>
      <c r="G164" s="17">
        <v>0</v>
      </c>
      <c r="H164" s="17">
        <v>0</v>
      </c>
      <c r="I164" s="17">
        <v>0</v>
      </c>
      <c r="J164" s="17">
        <v>2.5999999999999999E-3</v>
      </c>
      <c r="K164" s="17">
        <v>3.73E-2</v>
      </c>
      <c r="L164" s="17">
        <v>0.1744</v>
      </c>
      <c r="M164" s="17">
        <v>0.34599999999999997</v>
      </c>
      <c r="N164" s="17">
        <v>0.55640000000000001</v>
      </c>
      <c r="O164" s="17">
        <v>0.78590000000000004</v>
      </c>
      <c r="P164" s="17">
        <v>1.0183</v>
      </c>
      <c r="Q164" s="17">
        <v>1.2495000000000001</v>
      </c>
      <c r="R164" s="17">
        <v>1.4810000000000001</v>
      </c>
      <c r="S164" s="17">
        <v>1.6981999999999999</v>
      </c>
      <c r="T164" s="17">
        <v>1.9025000000000001</v>
      </c>
      <c r="U164" s="17">
        <v>2.0764</v>
      </c>
      <c r="V164" s="17">
        <v>2.2248000000000001</v>
      </c>
      <c r="W164" s="17">
        <v>2.355</v>
      </c>
      <c r="X164" s="17">
        <v>2.4624999999999999</v>
      </c>
      <c r="Y164" s="17">
        <v>2.5387</v>
      </c>
      <c r="Z164" s="17">
        <v>2.5722</v>
      </c>
      <c r="AA164" s="17">
        <v>2.5819000000000001</v>
      </c>
      <c r="AB164" s="17">
        <v>2.5636999999999999</v>
      </c>
      <c r="AC164" s="17">
        <v>2.5028999999999999</v>
      </c>
      <c r="AD164" s="17">
        <v>2.41</v>
      </c>
      <c r="AE164" s="17">
        <v>2.2991000000000001</v>
      </c>
      <c r="AF164" s="17">
        <v>2.1585999999999999</v>
      </c>
      <c r="AG164" s="17">
        <v>2.0093000000000001</v>
      </c>
      <c r="AH164" s="17">
        <v>1.8297000000000001</v>
      </c>
      <c r="AI164" s="17">
        <v>1.6274</v>
      </c>
      <c r="AJ164" s="17">
        <v>1.3831</v>
      </c>
      <c r="AK164" s="17">
        <v>1.1544000000000001</v>
      </c>
      <c r="AL164" s="17">
        <v>0.91949999999999998</v>
      </c>
      <c r="AM164" s="17">
        <v>0.69220000000000004</v>
      </c>
      <c r="AN164" s="17">
        <v>0.47310000000000002</v>
      </c>
      <c r="AO164" s="17">
        <v>0.2762</v>
      </c>
      <c r="AP164" s="17">
        <v>8.0399999999999999E-2</v>
      </c>
      <c r="AQ164" s="17">
        <v>1.4800000000000001E-2</v>
      </c>
      <c r="AR164" s="17">
        <v>0</v>
      </c>
      <c r="AS164" s="17">
        <v>0</v>
      </c>
      <c r="AT164" s="17">
        <v>0</v>
      </c>
      <c r="AU164" s="17">
        <v>0</v>
      </c>
      <c r="AV164" s="17">
        <v>0</v>
      </c>
      <c r="AW164" s="17">
        <v>0</v>
      </c>
      <c r="AX164" s="17">
        <v>0</v>
      </c>
    </row>
    <row r="165" spans="1:50" x14ac:dyDescent="0.25">
      <c r="A165" s="8" t="s">
        <v>200</v>
      </c>
      <c r="B165" s="10" t="s">
        <v>57</v>
      </c>
      <c r="C165" s="18">
        <v>0</v>
      </c>
      <c r="D165" s="18">
        <v>0</v>
      </c>
      <c r="E165" s="18">
        <v>0</v>
      </c>
      <c r="F165" s="18">
        <v>0</v>
      </c>
      <c r="G165" s="18">
        <v>0</v>
      </c>
      <c r="H165" s="18">
        <v>0</v>
      </c>
      <c r="I165" s="18">
        <v>0</v>
      </c>
      <c r="J165" s="18">
        <v>0</v>
      </c>
      <c r="K165" s="18">
        <v>0</v>
      </c>
      <c r="L165" s="18">
        <v>0</v>
      </c>
      <c r="M165" s="18">
        <v>0</v>
      </c>
      <c r="N165" s="18">
        <v>0</v>
      </c>
      <c r="O165" s="18">
        <v>0</v>
      </c>
      <c r="P165" s="18">
        <v>0</v>
      </c>
      <c r="Q165" s="18">
        <v>0</v>
      </c>
      <c r="R165" s="18">
        <v>0</v>
      </c>
      <c r="S165" s="18">
        <v>0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8">
        <v>0</v>
      </c>
      <c r="Z165" s="18">
        <v>0</v>
      </c>
      <c r="AA165" s="18">
        <v>0</v>
      </c>
      <c r="AB165" s="18">
        <v>0</v>
      </c>
      <c r="AC165" s="18">
        <v>0</v>
      </c>
      <c r="AD165" s="18">
        <v>0</v>
      </c>
      <c r="AE165" s="18">
        <v>0</v>
      </c>
      <c r="AF165" s="18">
        <v>0</v>
      </c>
      <c r="AG165" s="18">
        <v>0</v>
      </c>
      <c r="AH165" s="18">
        <v>0</v>
      </c>
      <c r="AI165" s="18">
        <v>0</v>
      </c>
      <c r="AJ165" s="18">
        <v>0</v>
      </c>
      <c r="AK165" s="18">
        <v>0</v>
      </c>
      <c r="AL165" s="18">
        <v>0</v>
      </c>
      <c r="AM165" s="18">
        <v>0</v>
      </c>
      <c r="AN165" s="18">
        <v>0</v>
      </c>
      <c r="AO165" s="18">
        <v>0</v>
      </c>
      <c r="AP165" s="18">
        <v>0</v>
      </c>
      <c r="AQ165" s="18">
        <v>0</v>
      </c>
      <c r="AR165" s="18">
        <v>0</v>
      </c>
      <c r="AS165" s="18">
        <v>0</v>
      </c>
      <c r="AT165" s="18">
        <v>0</v>
      </c>
      <c r="AU165" s="18">
        <v>0</v>
      </c>
      <c r="AV165" s="18">
        <v>0</v>
      </c>
      <c r="AW165" s="18">
        <v>0</v>
      </c>
      <c r="AX165" s="18">
        <v>0</v>
      </c>
    </row>
    <row r="166" spans="1:50" x14ac:dyDescent="0.25">
      <c r="A166" s="8" t="s">
        <v>202</v>
      </c>
      <c r="B166" s="10" t="s">
        <v>57</v>
      </c>
      <c r="C166" s="18">
        <v>0</v>
      </c>
      <c r="D166" s="18">
        <v>0</v>
      </c>
      <c r="E166" s="18">
        <v>0</v>
      </c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0</v>
      </c>
      <c r="T166" s="18">
        <v>0</v>
      </c>
      <c r="U166" s="18">
        <v>0</v>
      </c>
      <c r="V166" s="18">
        <v>0</v>
      </c>
      <c r="W166" s="18">
        <v>0</v>
      </c>
      <c r="X166" s="18">
        <v>0</v>
      </c>
      <c r="Y166" s="18">
        <v>0</v>
      </c>
      <c r="Z166" s="18">
        <v>0</v>
      </c>
      <c r="AA166" s="18">
        <v>0</v>
      </c>
      <c r="AB166" s="18">
        <v>0</v>
      </c>
      <c r="AC166" s="18">
        <v>0</v>
      </c>
      <c r="AD166" s="18">
        <v>0</v>
      </c>
      <c r="AE166" s="18">
        <v>0</v>
      </c>
      <c r="AF166" s="18">
        <v>0</v>
      </c>
      <c r="AG166" s="18">
        <v>0</v>
      </c>
      <c r="AH166" s="18">
        <v>0</v>
      </c>
      <c r="AI166" s="18">
        <v>0</v>
      </c>
      <c r="AJ166" s="18">
        <v>0</v>
      </c>
      <c r="AK166" s="18">
        <v>0</v>
      </c>
      <c r="AL166" s="18">
        <v>0</v>
      </c>
      <c r="AM166" s="18">
        <v>0</v>
      </c>
      <c r="AN166" s="18">
        <v>0</v>
      </c>
      <c r="AO166" s="18">
        <v>0</v>
      </c>
      <c r="AP166" s="18">
        <v>0</v>
      </c>
      <c r="AQ166" s="18">
        <v>0</v>
      </c>
      <c r="AR166" s="18">
        <v>0</v>
      </c>
      <c r="AS166" s="18">
        <v>0</v>
      </c>
      <c r="AT166" s="18">
        <v>0</v>
      </c>
      <c r="AU166" s="18">
        <v>0</v>
      </c>
      <c r="AV166" s="18">
        <v>0</v>
      </c>
      <c r="AW166" s="18">
        <v>0</v>
      </c>
      <c r="AX166" s="18">
        <v>0</v>
      </c>
    </row>
    <row r="167" spans="1:50" x14ac:dyDescent="0.25">
      <c r="A167" s="8" t="s">
        <v>204</v>
      </c>
      <c r="B167" s="10" t="s">
        <v>57</v>
      </c>
      <c r="C167" s="18">
        <v>0</v>
      </c>
      <c r="D167" s="18">
        <v>0</v>
      </c>
      <c r="E167" s="18">
        <v>0</v>
      </c>
      <c r="F167" s="18">
        <v>0</v>
      </c>
      <c r="G167" s="18">
        <v>0</v>
      </c>
      <c r="H167" s="18">
        <v>0</v>
      </c>
      <c r="I167" s="18">
        <v>0</v>
      </c>
      <c r="J167" s="18">
        <v>0</v>
      </c>
      <c r="K167" s="18">
        <v>0</v>
      </c>
      <c r="L167" s="18">
        <v>0</v>
      </c>
      <c r="M167" s="18">
        <v>0</v>
      </c>
      <c r="N167" s="18">
        <v>0</v>
      </c>
      <c r="O167" s="18">
        <v>0</v>
      </c>
      <c r="P167" s="18">
        <v>0</v>
      </c>
      <c r="Q167" s="18">
        <v>0</v>
      </c>
      <c r="R167" s="18">
        <v>0</v>
      </c>
      <c r="S167" s="18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8">
        <v>0</v>
      </c>
      <c r="Z167" s="18">
        <v>0</v>
      </c>
      <c r="AA167" s="18">
        <v>0</v>
      </c>
      <c r="AB167" s="18">
        <v>0</v>
      </c>
      <c r="AC167" s="18">
        <v>0</v>
      </c>
      <c r="AD167" s="18">
        <v>0</v>
      </c>
      <c r="AE167" s="18">
        <v>0</v>
      </c>
      <c r="AF167" s="18">
        <v>0</v>
      </c>
      <c r="AG167" s="18">
        <v>0</v>
      </c>
      <c r="AH167" s="18">
        <v>0</v>
      </c>
      <c r="AI167" s="18">
        <v>0</v>
      </c>
      <c r="AJ167" s="18">
        <v>0</v>
      </c>
      <c r="AK167" s="18">
        <v>0</v>
      </c>
      <c r="AL167" s="18">
        <v>0</v>
      </c>
      <c r="AM167" s="18">
        <v>0</v>
      </c>
      <c r="AN167" s="18">
        <v>0</v>
      </c>
      <c r="AO167" s="18">
        <v>0</v>
      </c>
      <c r="AP167" s="18">
        <v>0</v>
      </c>
      <c r="AQ167" s="18">
        <v>0</v>
      </c>
      <c r="AR167" s="18">
        <v>0</v>
      </c>
      <c r="AS167" s="18">
        <v>0</v>
      </c>
      <c r="AT167" s="18">
        <v>0</v>
      </c>
      <c r="AU167" s="18">
        <v>0</v>
      </c>
      <c r="AV167" s="18">
        <v>0</v>
      </c>
      <c r="AW167" s="18">
        <v>0</v>
      </c>
      <c r="AX167" s="18">
        <v>0</v>
      </c>
    </row>
    <row r="168" spans="1:50" x14ac:dyDescent="0.25">
      <c r="A168" s="8" t="s">
        <v>206</v>
      </c>
      <c r="B168" s="10" t="s">
        <v>57</v>
      </c>
      <c r="C168" s="18">
        <v>0</v>
      </c>
      <c r="D168" s="18">
        <v>0</v>
      </c>
      <c r="E168" s="18">
        <v>0</v>
      </c>
      <c r="F168" s="18">
        <v>0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0</v>
      </c>
      <c r="M168" s="18">
        <v>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8">
        <v>0</v>
      </c>
      <c r="Z168" s="18">
        <v>0</v>
      </c>
      <c r="AA168" s="18">
        <v>0</v>
      </c>
      <c r="AB168" s="18">
        <v>0</v>
      </c>
      <c r="AC168" s="18">
        <v>0</v>
      </c>
      <c r="AD168" s="18">
        <v>0</v>
      </c>
      <c r="AE168" s="18">
        <v>0</v>
      </c>
      <c r="AF168" s="18">
        <v>0</v>
      </c>
      <c r="AG168" s="18">
        <v>0</v>
      </c>
      <c r="AH168" s="18">
        <v>0</v>
      </c>
      <c r="AI168" s="18">
        <v>0</v>
      </c>
      <c r="AJ168" s="18">
        <v>0</v>
      </c>
      <c r="AK168" s="18">
        <v>0</v>
      </c>
      <c r="AL168" s="18">
        <v>0</v>
      </c>
      <c r="AM168" s="18">
        <v>0</v>
      </c>
      <c r="AN168" s="18">
        <v>0</v>
      </c>
      <c r="AO168" s="18">
        <v>0</v>
      </c>
      <c r="AP168" s="18">
        <v>0</v>
      </c>
      <c r="AQ168" s="18">
        <v>0</v>
      </c>
      <c r="AR168" s="18">
        <v>0</v>
      </c>
      <c r="AS168" s="18">
        <v>0</v>
      </c>
      <c r="AT168" s="18">
        <v>0</v>
      </c>
      <c r="AU168" s="18">
        <v>0</v>
      </c>
      <c r="AV168" s="18">
        <v>0</v>
      </c>
      <c r="AW168" s="18">
        <v>0</v>
      </c>
      <c r="AX168" s="18">
        <v>0</v>
      </c>
    </row>
    <row r="169" spans="1:50" x14ac:dyDescent="0.25">
      <c r="A169" s="16" t="s">
        <v>639</v>
      </c>
      <c r="B169" s="13" t="s">
        <v>464</v>
      </c>
      <c r="C169" s="17">
        <v>0</v>
      </c>
      <c r="D169" s="17">
        <v>0</v>
      </c>
      <c r="E169" s="17">
        <v>0</v>
      </c>
      <c r="F169" s="17">
        <v>0</v>
      </c>
      <c r="G169" s="17">
        <v>0</v>
      </c>
      <c r="H169" s="17">
        <v>0</v>
      </c>
      <c r="I169" s="17">
        <v>0</v>
      </c>
      <c r="J169" s="17">
        <v>1.6999999999999999E-3</v>
      </c>
      <c r="K169" s="17">
        <v>2.4899999999999999E-2</v>
      </c>
      <c r="L169" s="17">
        <v>0.1163</v>
      </c>
      <c r="M169" s="17">
        <v>0.23069999999999999</v>
      </c>
      <c r="N169" s="17">
        <v>0.37090000000000001</v>
      </c>
      <c r="O169" s="17">
        <v>0.52400000000000002</v>
      </c>
      <c r="P169" s="17">
        <v>0.67889999999999995</v>
      </c>
      <c r="Q169" s="17">
        <v>0.83299999999999996</v>
      </c>
      <c r="R169" s="17">
        <v>0.98729999999999996</v>
      </c>
      <c r="S169" s="17">
        <v>1.1322000000000001</v>
      </c>
      <c r="T169" s="17">
        <v>1.2683</v>
      </c>
      <c r="U169" s="17">
        <v>1.3843000000000001</v>
      </c>
      <c r="V169" s="17">
        <v>1.4832000000000001</v>
      </c>
      <c r="W169" s="17">
        <v>1.57</v>
      </c>
      <c r="X169" s="17">
        <v>1.6416999999999999</v>
      </c>
      <c r="Y169" s="17">
        <v>1.6924999999999999</v>
      </c>
      <c r="Z169" s="17">
        <v>1.7148000000000001</v>
      </c>
      <c r="AA169" s="17">
        <v>1.7212000000000001</v>
      </c>
      <c r="AB169" s="17">
        <v>1.7092000000000001</v>
      </c>
      <c r="AC169" s="17">
        <v>1.6686000000000001</v>
      </c>
      <c r="AD169" s="17">
        <v>1.6067</v>
      </c>
      <c r="AE169" s="17">
        <v>1.5327999999999999</v>
      </c>
      <c r="AF169" s="17">
        <v>1.4391</v>
      </c>
      <c r="AG169" s="17">
        <v>1.3395999999999999</v>
      </c>
      <c r="AH169" s="17">
        <v>1.2198</v>
      </c>
      <c r="AI169" s="17">
        <v>1.0849</v>
      </c>
      <c r="AJ169" s="17">
        <v>0.92200000000000004</v>
      </c>
      <c r="AK169" s="17">
        <v>0.76959999999999995</v>
      </c>
      <c r="AL169" s="17">
        <v>0.61299999999999999</v>
      </c>
      <c r="AM169" s="17">
        <v>0.46150000000000002</v>
      </c>
      <c r="AN169" s="17">
        <v>0.31540000000000001</v>
      </c>
      <c r="AO169" s="17">
        <v>0.1842</v>
      </c>
      <c r="AP169" s="17">
        <v>5.3600000000000002E-2</v>
      </c>
      <c r="AQ169" s="17">
        <v>9.9000000000000008E-3</v>
      </c>
      <c r="AR169" s="17">
        <v>0</v>
      </c>
      <c r="AS169" s="17">
        <v>0</v>
      </c>
      <c r="AT169" s="17">
        <v>0</v>
      </c>
      <c r="AU169" s="17">
        <v>0</v>
      </c>
      <c r="AV169" s="17">
        <v>0</v>
      </c>
      <c r="AW169" s="17">
        <v>0</v>
      </c>
      <c r="AX169" s="17">
        <v>0</v>
      </c>
    </row>
    <row r="170" spans="1:50" x14ac:dyDescent="0.25">
      <c r="A170" s="8" t="s">
        <v>208</v>
      </c>
      <c r="B170" s="10" t="s">
        <v>57</v>
      </c>
      <c r="C170" s="18">
        <v>0</v>
      </c>
      <c r="D170" s="18">
        <v>0</v>
      </c>
      <c r="E170" s="18">
        <v>0</v>
      </c>
      <c r="F170" s="18">
        <v>0</v>
      </c>
      <c r="G170" s="18">
        <v>0</v>
      </c>
      <c r="H170" s="18">
        <v>0</v>
      </c>
      <c r="I170" s="18">
        <v>0</v>
      </c>
      <c r="J170" s="18">
        <v>0</v>
      </c>
      <c r="K170" s="18">
        <v>0</v>
      </c>
      <c r="L170" s="18">
        <v>0</v>
      </c>
      <c r="M170" s="18">
        <v>0</v>
      </c>
      <c r="N170" s="18">
        <v>0</v>
      </c>
      <c r="O170" s="18">
        <v>0</v>
      </c>
      <c r="P170" s="18">
        <v>0</v>
      </c>
      <c r="Q170" s="18">
        <v>0</v>
      </c>
      <c r="R170" s="18">
        <v>0</v>
      </c>
      <c r="S170" s="18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8">
        <v>0</v>
      </c>
      <c r="Z170" s="18">
        <v>0</v>
      </c>
      <c r="AA170" s="18">
        <v>0</v>
      </c>
      <c r="AB170" s="18">
        <v>0</v>
      </c>
      <c r="AC170" s="18">
        <v>0</v>
      </c>
      <c r="AD170" s="18">
        <v>0</v>
      </c>
      <c r="AE170" s="18">
        <v>0</v>
      </c>
      <c r="AF170" s="18">
        <v>0</v>
      </c>
      <c r="AG170" s="18">
        <v>0</v>
      </c>
      <c r="AH170" s="18">
        <v>0</v>
      </c>
      <c r="AI170" s="18">
        <v>0</v>
      </c>
      <c r="AJ170" s="18">
        <v>0</v>
      </c>
      <c r="AK170" s="18">
        <v>0</v>
      </c>
      <c r="AL170" s="18">
        <v>0</v>
      </c>
      <c r="AM170" s="18">
        <v>0</v>
      </c>
      <c r="AN170" s="18">
        <v>0</v>
      </c>
      <c r="AO170" s="18">
        <v>0</v>
      </c>
      <c r="AP170" s="18">
        <v>0</v>
      </c>
      <c r="AQ170" s="18">
        <v>0</v>
      </c>
      <c r="AR170" s="18">
        <v>0</v>
      </c>
      <c r="AS170" s="18">
        <v>0</v>
      </c>
      <c r="AT170" s="18">
        <v>0</v>
      </c>
      <c r="AU170" s="18">
        <v>0</v>
      </c>
      <c r="AV170" s="18">
        <v>0</v>
      </c>
      <c r="AW170" s="18">
        <v>0</v>
      </c>
      <c r="AX170" s="18">
        <v>0</v>
      </c>
    </row>
    <row r="171" spans="1:50" x14ac:dyDescent="0.25">
      <c r="A171" s="8" t="s">
        <v>210</v>
      </c>
      <c r="B171" s="10" t="s">
        <v>57</v>
      </c>
      <c r="C171" s="18">
        <v>0</v>
      </c>
      <c r="D171" s="18">
        <v>0</v>
      </c>
      <c r="E171" s="18">
        <v>0</v>
      </c>
      <c r="F171" s="18">
        <v>0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8">
        <v>0</v>
      </c>
      <c r="Z171" s="18">
        <v>0</v>
      </c>
      <c r="AA171" s="18">
        <v>0</v>
      </c>
      <c r="AB171" s="18">
        <v>0</v>
      </c>
      <c r="AC171" s="18">
        <v>0</v>
      </c>
      <c r="AD171" s="18">
        <v>0</v>
      </c>
      <c r="AE171" s="18">
        <v>0</v>
      </c>
      <c r="AF171" s="18">
        <v>0</v>
      </c>
      <c r="AG171" s="18">
        <v>0</v>
      </c>
      <c r="AH171" s="18">
        <v>0</v>
      </c>
      <c r="AI171" s="18">
        <v>0</v>
      </c>
      <c r="AJ171" s="18">
        <v>0</v>
      </c>
      <c r="AK171" s="18">
        <v>0</v>
      </c>
      <c r="AL171" s="18">
        <v>0</v>
      </c>
      <c r="AM171" s="18">
        <v>0</v>
      </c>
      <c r="AN171" s="18">
        <v>0</v>
      </c>
      <c r="AO171" s="18">
        <v>0</v>
      </c>
      <c r="AP171" s="18">
        <v>0</v>
      </c>
      <c r="AQ171" s="18">
        <v>0</v>
      </c>
      <c r="AR171" s="18">
        <v>0</v>
      </c>
      <c r="AS171" s="18">
        <v>0</v>
      </c>
      <c r="AT171" s="18">
        <v>0</v>
      </c>
      <c r="AU171" s="18">
        <v>0</v>
      </c>
      <c r="AV171" s="18">
        <v>0</v>
      </c>
      <c r="AW171" s="18">
        <v>0</v>
      </c>
      <c r="AX171" s="18">
        <v>0</v>
      </c>
    </row>
    <row r="172" spans="1:50" x14ac:dyDescent="0.25">
      <c r="A172" s="8" t="s">
        <v>212</v>
      </c>
      <c r="B172" s="10" t="s">
        <v>57</v>
      </c>
      <c r="C172" s="18">
        <v>0</v>
      </c>
      <c r="D172" s="18">
        <v>0</v>
      </c>
      <c r="E172" s="18">
        <v>0</v>
      </c>
      <c r="F172" s="18">
        <v>0</v>
      </c>
      <c r="G172" s="18">
        <v>0</v>
      </c>
      <c r="H172" s="18">
        <v>0</v>
      </c>
      <c r="I172" s="18">
        <v>0</v>
      </c>
      <c r="J172" s="18">
        <v>0</v>
      </c>
      <c r="K172" s="18">
        <v>0</v>
      </c>
      <c r="L172" s="18">
        <v>0</v>
      </c>
      <c r="M172" s="18">
        <v>0</v>
      </c>
      <c r="N172" s="18">
        <v>0</v>
      </c>
      <c r="O172" s="18">
        <v>0</v>
      </c>
      <c r="P172" s="18">
        <v>0</v>
      </c>
      <c r="Q172" s="18">
        <v>0</v>
      </c>
      <c r="R172" s="18">
        <v>0</v>
      </c>
      <c r="S172" s="18">
        <v>0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8">
        <v>0</v>
      </c>
      <c r="Z172" s="18">
        <v>0</v>
      </c>
      <c r="AA172" s="18">
        <v>0</v>
      </c>
      <c r="AB172" s="18">
        <v>0</v>
      </c>
      <c r="AC172" s="18">
        <v>0</v>
      </c>
      <c r="AD172" s="18">
        <v>0</v>
      </c>
      <c r="AE172" s="18">
        <v>0</v>
      </c>
      <c r="AF172" s="18">
        <v>0</v>
      </c>
      <c r="AG172" s="18">
        <v>0</v>
      </c>
      <c r="AH172" s="18">
        <v>0</v>
      </c>
      <c r="AI172" s="18">
        <v>0</v>
      </c>
      <c r="AJ172" s="18">
        <v>0</v>
      </c>
      <c r="AK172" s="18">
        <v>0</v>
      </c>
      <c r="AL172" s="18">
        <v>0</v>
      </c>
      <c r="AM172" s="18">
        <v>0</v>
      </c>
      <c r="AN172" s="18">
        <v>0</v>
      </c>
      <c r="AO172" s="18">
        <v>0</v>
      </c>
      <c r="AP172" s="18">
        <v>0</v>
      </c>
      <c r="AQ172" s="18">
        <v>0</v>
      </c>
      <c r="AR172" s="18">
        <v>0</v>
      </c>
      <c r="AS172" s="18">
        <v>0</v>
      </c>
      <c r="AT172" s="18">
        <v>0</v>
      </c>
      <c r="AU172" s="18">
        <v>0</v>
      </c>
      <c r="AV172" s="18">
        <v>0</v>
      </c>
      <c r="AW172" s="18">
        <v>0</v>
      </c>
      <c r="AX172" s="18">
        <v>0</v>
      </c>
    </row>
    <row r="173" spans="1:50" x14ac:dyDescent="0.25">
      <c r="A173" s="16" t="s">
        <v>641</v>
      </c>
      <c r="B173" s="13" t="s">
        <v>464</v>
      </c>
      <c r="C173" s="17">
        <v>0</v>
      </c>
      <c r="D173" s="17">
        <v>0</v>
      </c>
      <c r="E173" s="17">
        <v>0</v>
      </c>
      <c r="F173" s="17">
        <v>0</v>
      </c>
      <c r="G173" s="17">
        <v>0</v>
      </c>
      <c r="H173" s="17">
        <v>0</v>
      </c>
      <c r="I173" s="17">
        <v>0</v>
      </c>
      <c r="J173" s="17">
        <v>3.0000000000000001E-3</v>
      </c>
      <c r="K173" s="17">
        <v>4.3499999999999997E-2</v>
      </c>
      <c r="L173" s="17">
        <v>0.20349999999999999</v>
      </c>
      <c r="M173" s="17">
        <v>0.4037</v>
      </c>
      <c r="N173" s="17">
        <v>0.64910000000000001</v>
      </c>
      <c r="O173" s="17">
        <v>0.91690000000000005</v>
      </c>
      <c r="P173" s="17">
        <v>1.1879999999999999</v>
      </c>
      <c r="Q173" s="17">
        <v>1.4577</v>
      </c>
      <c r="R173" s="17">
        <v>1.7278</v>
      </c>
      <c r="S173" s="17">
        <v>1.9813000000000001</v>
      </c>
      <c r="T173" s="17">
        <v>2.2195999999999998</v>
      </c>
      <c r="U173" s="17">
        <v>2.4224999999999999</v>
      </c>
      <c r="V173" s="17">
        <v>2.5956000000000001</v>
      </c>
      <c r="W173" s="17">
        <v>2.7475000000000001</v>
      </c>
      <c r="X173" s="17">
        <v>2.8729</v>
      </c>
      <c r="Y173" s="17">
        <v>2.9619</v>
      </c>
      <c r="Z173" s="17">
        <v>3.0009000000000001</v>
      </c>
      <c r="AA173" s="17">
        <v>3.0122</v>
      </c>
      <c r="AB173" s="17">
        <v>2.9910000000000001</v>
      </c>
      <c r="AC173" s="17">
        <v>2.92</v>
      </c>
      <c r="AD173" s="17">
        <v>2.8117000000000001</v>
      </c>
      <c r="AE173" s="17">
        <v>2.6823000000000001</v>
      </c>
      <c r="AF173" s="17">
        <v>2.5184000000000002</v>
      </c>
      <c r="AG173" s="17">
        <v>2.3441999999999998</v>
      </c>
      <c r="AH173" s="17">
        <v>2.1345999999999998</v>
      </c>
      <c r="AI173" s="17">
        <v>1.8986000000000001</v>
      </c>
      <c r="AJ173" s="17">
        <v>1.6135999999999999</v>
      </c>
      <c r="AK173" s="17">
        <v>1.3468</v>
      </c>
      <c r="AL173" s="17">
        <v>1.0727</v>
      </c>
      <c r="AM173" s="17">
        <v>0.80759999999999998</v>
      </c>
      <c r="AN173" s="17">
        <v>0.55189999999999995</v>
      </c>
      <c r="AO173" s="17">
        <v>0.32229999999999998</v>
      </c>
      <c r="AP173" s="17">
        <v>9.3799999999999994E-2</v>
      </c>
      <c r="AQ173" s="17">
        <v>1.7299999999999999E-2</v>
      </c>
      <c r="AR173" s="17">
        <v>0</v>
      </c>
      <c r="AS173" s="17">
        <v>0</v>
      </c>
      <c r="AT173" s="17">
        <v>0</v>
      </c>
      <c r="AU173" s="17">
        <v>0</v>
      </c>
      <c r="AV173" s="17">
        <v>0</v>
      </c>
      <c r="AW173" s="17">
        <v>0</v>
      </c>
      <c r="AX173" s="17">
        <v>0</v>
      </c>
    </row>
    <row r="174" spans="1:50" x14ac:dyDescent="0.25">
      <c r="A174" s="16" t="s">
        <v>643</v>
      </c>
      <c r="B174" s="13" t="s">
        <v>464</v>
      </c>
      <c r="C174" s="17">
        <v>0</v>
      </c>
      <c r="D174" s="17">
        <v>0</v>
      </c>
      <c r="E174" s="17">
        <v>0</v>
      </c>
      <c r="F174" s="17">
        <v>0</v>
      </c>
      <c r="G174" s="17">
        <v>0</v>
      </c>
      <c r="H174" s="17">
        <v>0</v>
      </c>
      <c r="I174" s="17">
        <v>0</v>
      </c>
      <c r="J174" s="17">
        <v>1.2999999999999999E-3</v>
      </c>
      <c r="K174" s="17">
        <v>1.8700000000000001E-2</v>
      </c>
      <c r="L174" s="17">
        <v>8.72E-2</v>
      </c>
      <c r="M174" s="17">
        <v>0.17299999999999999</v>
      </c>
      <c r="N174" s="17">
        <v>0.2782</v>
      </c>
      <c r="O174" s="17">
        <v>0.39300000000000002</v>
      </c>
      <c r="P174" s="17">
        <v>0.50919999999999999</v>
      </c>
      <c r="Q174" s="17">
        <v>0.62470000000000003</v>
      </c>
      <c r="R174" s="17">
        <v>0.74050000000000005</v>
      </c>
      <c r="S174" s="17">
        <v>0.84909999999999997</v>
      </c>
      <c r="T174" s="17">
        <v>0.95120000000000005</v>
      </c>
      <c r="U174" s="17">
        <v>1.0382</v>
      </c>
      <c r="V174" s="17">
        <v>1.1124000000000001</v>
      </c>
      <c r="W174" s="17">
        <v>1.1775</v>
      </c>
      <c r="X174" s="17">
        <v>1.2312000000000001</v>
      </c>
      <c r="Y174" s="17">
        <v>1.2694000000000001</v>
      </c>
      <c r="Z174" s="17">
        <v>1.2861</v>
      </c>
      <c r="AA174" s="17">
        <v>1.2908999999999999</v>
      </c>
      <c r="AB174" s="17">
        <v>1.2819</v>
      </c>
      <c r="AC174" s="17">
        <v>1.2514000000000001</v>
      </c>
      <c r="AD174" s="17">
        <v>1.2050000000000001</v>
      </c>
      <c r="AE174" s="17">
        <v>1.1496</v>
      </c>
      <c r="AF174" s="17">
        <v>1.0792999999999999</v>
      </c>
      <c r="AG174" s="17">
        <v>1.0046999999999999</v>
      </c>
      <c r="AH174" s="17">
        <v>0.91479999999999995</v>
      </c>
      <c r="AI174" s="17">
        <v>0.81369999999999998</v>
      </c>
      <c r="AJ174" s="17">
        <v>0.6915</v>
      </c>
      <c r="AK174" s="17">
        <v>0.57720000000000005</v>
      </c>
      <c r="AL174" s="17">
        <v>0.4597</v>
      </c>
      <c r="AM174" s="17">
        <v>0.34610000000000002</v>
      </c>
      <c r="AN174" s="17">
        <v>0.23649999999999999</v>
      </c>
      <c r="AO174" s="17">
        <v>0.1381</v>
      </c>
      <c r="AP174" s="17">
        <v>4.02E-2</v>
      </c>
      <c r="AQ174" s="17">
        <v>7.4000000000000003E-3</v>
      </c>
      <c r="AR174" s="17">
        <v>0</v>
      </c>
      <c r="AS174" s="17">
        <v>0</v>
      </c>
      <c r="AT174" s="17">
        <v>0</v>
      </c>
      <c r="AU174" s="17">
        <v>0</v>
      </c>
      <c r="AV174" s="17">
        <v>0</v>
      </c>
      <c r="AW174" s="17">
        <v>0</v>
      </c>
      <c r="AX174" s="17">
        <v>0</v>
      </c>
    </row>
    <row r="175" spans="1:50" x14ac:dyDescent="0.25">
      <c r="A175" s="8" t="s">
        <v>214</v>
      </c>
      <c r="B175" s="10" t="s">
        <v>57</v>
      </c>
      <c r="C175" s="18">
        <v>0</v>
      </c>
      <c r="D175" s="18">
        <v>0</v>
      </c>
      <c r="E175" s="18">
        <v>0</v>
      </c>
      <c r="F175" s="18">
        <v>0</v>
      </c>
      <c r="G175" s="18">
        <v>0</v>
      </c>
      <c r="H175" s="18">
        <v>0</v>
      </c>
      <c r="I175" s="18">
        <v>0</v>
      </c>
      <c r="J175" s="18">
        <v>0</v>
      </c>
      <c r="K175" s="18">
        <v>0</v>
      </c>
      <c r="L175" s="18">
        <v>0</v>
      </c>
      <c r="M175" s="18">
        <v>0</v>
      </c>
      <c r="N175" s="18">
        <v>0</v>
      </c>
      <c r="O175" s="18">
        <v>0</v>
      </c>
      <c r="P175" s="18">
        <v>0</v>
      </c>
      <c r="Q175" s="18">
        <v>0</v>
      </c>
      <c r="R175" s="18">
        <v>0</v>
      </c>
      <c r="S175" s="18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8">
        <v>0</v>
      </c>
      <c r="Z175" s="18">
        <v>0</v>
      </c>
      <c r="AA175" s="18">
        <v>0</v>
      </c>
      <c r="AB175" s="18">
        <v>0</v>
      </c>
      <c r="AC175" s="18">
        <v>0</v>
      </c>
      <c r="AD175" s="18">
        <v>0</v>
      </c>
      <c r="AE175" s="18">
        <v>0</v>
      </c>
      <c r="AF175" s="18">
        <v>0</v>
      </c>
      <c r="AG175" s="18">
        <v>0</v>
      </c>
      <c r="AH175" s="18">
        <v>0</v>
      </c>
      <c r="AI175" s="18">
        <v>0</v>
      </c>
      <c r="AJ175" s="18">
        <v>0</v>
      </c>
      <c r="AK175" s="18">
        <v>0</v>
      </c>
      <c r="AL175" s="18">
        <v>0</v>
      </c>
      <c r="AM175" s="18">
        <v>0</v>
      </c>
      <c r="AN175" s="18">
        <v>0</v>
      </c>
      <c r="AO175" s="18">
        <v>0</v>
      </c>
      <c r="AP175" s="18">
        <v>0</v>
      </c>
      <c r="AQ175" s="18">
        <v>0</v>
      </c>
      <c r="AR175" s="18">
        <v>0</v>
      </c>
      <c r="AS175" s="18">
        <v>0</v>
      </c>
      <c r="AT175" s="18">
        <v>0</v>
      </c>
      <c r="AU175" s="18">
        <v>0</v>
      </c>
      <c r="AV175" s="18">
        <v>0</v>
      </c>
      <c r="AW175" s="18">
        <v>0</v>
      </c>
      <c r="AX175" s="18">
        <v>0</v>
      </c>
    </row>
    <row r="176" spans="1:50" x14ac:dyDescent="0.25">
      <c r="A176" s="8" t="s">
        <v>216</v>
      </c>
      <c r="B176" s="10" t="s">
        <v>57</v>
      </c>
      <c r="C176" s="18">
        <v>0</v>
      </c>
      <c r="D176" s="18">
        <v>0</v>
      </c>
      <c r="E176" s="18">
        <v>0</v>
      </c>
      <c r="F176" s="18">
        <v>0</v>
      </c>
      <c r="G176" s="18">
        <v>0</v>
      </c>
      <c r="H176" s="18">
        <v>0</v>
      </c>
      <c r="I176" s="18">
        <v>0</v>
      </c>
      <c r="J176" s="18">
        <v>0</v>
      </c>
      <c r="K176" s="18">
        <v>0</v>
      </c>
      <c r="L176" s="18">
        <v>0</v>
      </c>
      <c r="M176" s="18">
        <v>0</v>
      </c>
      <c r="N176" s="18">
        <v>0</v>
      </c>
      <c r="O176" s="18">
        <v>0</v>
      </c>
      <c r="P176" s="18">
        <v>0</v>
      </c>
      <c r="Q176" s="18">
        <v>0</v>
      </c>
      <c r="R176" s="18">
        <v>0</v>
      </c>
      <c r="S176" s="18">
        <v>0</v>
      </c>
      <c r="T176" s="18">
        <v>0</v>
      </c>
      <c r="U176" s="18">
        <v>0</v>
      </c>
      <c r="V176" s="18">
        <v>0</v>
      </c>
      <c r="W176" s="18">
        <v>0</v>
      </c>
      <c r="X176" s="18">
        <v>0</v>
      </c>
      <c r="Y176" s="18">
        <v>0</v>
      </c>
      <c r="Z176" s="18">
        <v>0</v>
      </c>
      <c r="AA176" s="18">
        <v>0</v>
      </c>
      <c r="AB176" s="18">
        <v>0</v>
      </c>
      <c r="AC176" s="18">
        <v>0</v>
      </c>
      <c r="AD176" s="18">
        <v>0</v>
      </c>
      <c r="AE176" s="18">
        <v>0</v>
      </c>
      <c r="AF176" s="18">
        <v>0</v>
      </c>
      <c r="AG176" s="18">
        <v>0</v>
      </c>
      <c r="AH176" s="18">
        <v>0</v>
      </c>
      <c r="AI176" s="18">
        <v>0</v>
      </c>
      <c r="AJ176" s="18">
        <v>0</v>
      </c>
      <c r="AK176" s="18">
        <v>0</v>
      </c>
      <c r="AL176" s="18">
        <v>0</v>
      </c>
      <c r="AM176" s="18">
        <v>0</v>
      </c>
      <c r="AN176" s="18">
        <v>0</v>
      </c>
      <c r="AO176" s="18">
        <v>0</v>
      </c>
      <c r="AP176" s="18">
        <v>0</v>
      </c>
      <c r="AQ176" s="18">
        <v>0</v>
      </c>
      <c r="AR176" s="18">
        <v>0</v>
      </c>
      <c r="AS176" s="18">
        <v>0</v>
      </c>
      <c r="AT176" s="18">
        <v>0</v>
      </c>
      <c r="AU176" s="18">
        <v>0</v>
      </c>
      <c r="AV176" s="18">
        <v>0</v>
      </c>
      <c r="AW176" s="18">
        <v>0</v>
      </c>
      <c r="AX176" s="18">
        <v>0</v>
      </c>
    </row>
    <row r="177" spans="1:50" x14ac:dyDescent="0.25">
      <c r="A177" s="8" t="s">
        <v>218</v>
      </c>
      <c r="B177" s="10" t="s">
        <v>57</v>
      </c>
      <c r="C177" s="18">
        <v>0</v>
      </c>
      <c r="D177" s="18">
        <v>0</v>
      </c>
      <c r="E177" s="18">
        <v>0</v>
      </c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0</v>
      </c>
      <c r="S177" s="18">
        <v>0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8">
        <v>0</v>
      </c>
      <c r="Z177" s="18">
        <v>0</v>
      </c>
      <c r="AA177" s="18">
        <v>0</v>
      </c>
      <c r="AB177" s="18">
        <v>0</v>
      </c>
      <c r="AC177" s="18">
        <v>0</v>
      </c>
      <c r="AD177" s="18">
        <v>0</v>
      </c>
      <c r="AE177" s="18">
        <v>0</v>
      </c>
      <c r="AF177" s="18">
        <v>0</v>
      </c>
      <c r="AG177" s="18">
        <v>0</v>
      </c>
      <c r="AH177" s="18">
        <v>0</v>
      </c>
      <c r="AI177" s="18">
        <v>0</v>
      </c>
      <c r="AJ177" s="18">
        <v>0</v>
      </c>
      <c r="AK177" s="18">
        <v>0</v>
      </c>
      <c r="AL177" s="18">
        <v>0</v>
      </c>
      <c r="AM177" s="18">
        <v>0</v>
      </c>
      <c r="AN177" s="18">
        <v>0</v>
      </c>
      <c r="AO177" s="18">
        <v>0</v>
      </c>
      <c r="AP177" s="18">
        <v>0</v>
      </c>
      <c r="AQ177" s="18">
        <v>0</v>
      </c>
      <c r="AR177" s="18">
        <v>0</v>
      </c>
      <c r="AS177" s="18">
        <v>0</v>
      </c>
      <c r="AT177" s="18">
        <v>0</v>
      </c>
      <c r="AU177" s="18">
        <v>0</v>
      </c>
      <c r="AV177" s="18">
        <v>0</v>
      </c>
      <c r="AW177" s="18">
        <v>0</v>
      </c>
      <c r="AX177" s="18">
        <v>0</v>
      </c>
    </row>
    <row r="178" spans="1:50" x14ac:dyDescent="0.25">
      <c r="A178" s="16" t="s">
        <v>645</v>
      </c>
      <c r="B178" s="13" t="s">
        <v>464</v>
      </c>
      <c r="C178" s="17">
        <v>0</v>
      </c>
      <c r="D178" s="17">
        <v>0</v>
      </c>
      <c r="E178" s="17">
        <v>0</v>
      </c>
      <c r="F178" s="17">
        <v>0</v>
      </c>
      <c r="G178" s="17">
        <v>0</v>
      </c>
      <c r="H178" s="17">
        <v>0</v>
      </c>
      <c r="I178" s="17">
        <v>0</v>
      </c>
      <c r="J178" s="17">
        <v>2.5999999999999999E-3</v>
      </c>
      <c r="K178" s="17">
        <v>3.73E-2</v>
      </c>
      <c r="L178" s="17">
        <v>0.1744</v>
      </c>
      <c r="M178" s="17">
        <v>0.34599999999999997</v>
      </c>
      <c r="N178" s="17">
        <v>0.55640000000000001</v>
      </c>
      <c r="O178" s="17">
        <v>0.78590000000000004</v>
      </c>
      <c r="P178" s="17">
        <v>1.0183</v>
      </c>
      <c r="Q178" s="17">
        <v>1.2495000000000001</v>
      </c>
      <c r="R178" s="17">
        <v>1.4810000000000001</v>
      </c>
      <c r="S178" s="17">
        <v>1.6981999999999999</v>
      </c>
      <c r="T178" s="17">
        <v>1.9025000000000001</v>
      </c>
      <c r="U178" s="17">
        <v>2.0764</v>
      </c>
      <c r="V178" s="17">
        <v>2.2248000000000001</v>
      </c>
      <c r="W178" s="17">
        <v>2.355</v>
      </c>
      <c r="X178" s="17">
        <v>2.4624999999999999</v>
      </c>
      <c r="Y178" s="17">
        <v>2.5387</v>
      </c>
      <c r="Z178" s="17">
        <v>2.5722</v>
      </c>
      <c r="AA178" s="17">
        <v>2.5819000000000001</v>
      </c>
      <c r="AB178" s="17">
        <v>2.5636999999999999</v>
      </c>
      <c r="AC178" s="17">
        <v>2.5028999999999999</v>
      </c>
      <c r="AD178" s="17">
        <v>2.41</v>
      </c>
      <c r="AE178" s="17">
        <v>2.2991000000000001</v>
      </c>
      <c r="AF178" s="17">
        <v>2.1585999999999999</v>
      </c>
      <c r="AG178" s="17">
        <v>2.0093000000000001</v>
      </c>
      <c r="AH178" s="17">
        <v>1.8297000000000001</v>
      </c>
      <c r="AI178" s="17">
        <v>1.6274</v>
      </c>
      <c r="AJ178" s="17">
        <v>1.3831</v>
      </c>
      <c r="AK178" s="17">
        <v>1.1544000000000001</v>
      </c>
      <c r="AL178" s="17">
        <v>0.91949999999999998</v>
      </c>
      <c r="AM178" s="17">
        <v>0.69220000000000004</v>
      </c>
      <c r="AN178" s="17">
        <v>0.47310000000000002</v>
      </c>
      <c r="AO178" s="17">
        <v>0.2762</v>
      </c>
      <c r="AP178" s="17">
        <v>8.0399999999999999E-2</v>
      </c>
      <c r="AQ178" s="17">
        <v>1.4800000000000001E-2</v>
      </c>
      <c r="AR178" s="17">
        <v>0</v>
      </c>
      <c r="AS178" s="17">
        <v>0</v>
      </c>
      <c r="AT178" s="17">
        <v>0</v>
      </c>
      <c r="AU178" s="17">
        <v>0</v>
      </c>
      <c r="AV178" s="17">
        <v>0</v>
      </c>
      <c r="AW178" s="17">
        <v>0</v>
      </c>
      <c r="AX178" s="17">
        <v>0</v>
      </c>
    </row>
    <row r="179" spans="1:50" x14ac:dyDescent="0.25">
      <c r="A179" s="8" t="s">
        <v>220</v>
      </c>
      <c r="B179" s="10" t="s">
        <v>57</v>
      </c>
      <c r="C179" s="18">
        <v>0</v>
      </c>
      <c r="D179" s="18">
        <v>0</v>
      </c>
      <c r="E179" s="18">
        <v>0</v>
      </c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8">
        <v>0</v>
      </c>
      <c r="X179" s="18">
        <v>0</v>
      </c>
      <c r="Y179" s="18">
        <v>0</v>
      </c>
      <c r="Z179" s="18">
        <v>0</v>
      </c>
      <c r="AA179" s="18">
        <v>0</v>
      </c>
      <c r="AB179" s="18">
        <v>0</v>
      </c>
      <c r="AC179" s="18">
        <v>0</v>
      </c>
      <c r="AD179" s="18">
        <v>0</v>
      </c>
      <c r="AE179" s="18">
        <v>0</v>
      </c>
      <c r="AF179" s="18">
        <v>0</v>
      </c>
      <c r="AG179" s="18">
        <v>0</v>
      </c>
      <c r="AH179" s="18">
        <v>0</v>
      </c>
      <c r="AI179" s="18">
        <v>0</v>
      </c>
      <c r="AJ179" s="18">
        <v>0</v>
      </c>
      <c r="AK179" s="18">
        <v>0</v>
      </c>
      <c r="AL179" s="18">
        <v>0</v>
      </c>
      <c r="AM179" s="18">
        <v>0</v>
      </c>
      <c r="AN179" s="18">
        <v>0</v>
      </c>
      <c r="AO179" s="18">
        <v>0</v>
      </c>
      <c r="AP179" s="18">
        <v>0</v>
      </c>
      <c r="AQ179" s="18">
        <v>0</v>
      </c>
      <c r="AR179" s="18">
        <v>0</v>
      </c>
      <c r="AS179" s="18">
        <v>0</v>
      </c>
      <c r="AT179" s="18">
        <v>0</v>
      </c>
      <c r="AU179" s="18">
        <v>0</v>
      </c>
      <c r="AV179" s="18">
        <v>0</v>
      </c>
      <c r="AW179" s="18">
        <v>0</v>
      </c>
      <c r="AX179" s="18">
        <v>0</v>
      </c>
    </row>
    <row r="180" spans="1:50" x14ac:dyDescent="0.25">
      <c r="A180" s="8" t="s">
        <v>222</v>
      </c>
      <c r="B180" s="10" t="s">
        <v>57</v>
      </c>
      <c r="C180" s="18">
        <v>0</v>
      </c>
      <c r="D180" s="18">
        <v>0</v>
      </c>
      <c r="E180" s="18">
        <v>0</v>
      </c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0</v>
      </c>
      <c r="R180" s="18">
        <v>0</v>
      </c>
      <c r="S180" s="18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D180" s="18">
        <v>0</v>
      </c>
      <c r="AE180" s="18">
        <v>0</v>
      </c>
      <c r="AF180" s="18">
        <v>0</v>
      </c>
      <c r="AG180" s="18">
        <v>0</v>
      </c>
      <c r="AH180" s="18">
        <v>0</v>
      </c>
      <c r="AI180" s="18">
        <v>0</v>
      </c>
      <c r="AJ180" s="18">
        <v>0</v>
      </c>
      <c r="AK180" s="18">
        <v>0</v>
      </c>
      <c r="AL180" s="18">
        <v>0</v>
      </c>
      <c r="AM180" s="18">
        <v>0</v>
      </c>
      <c r="AN180" s="18">
        <v>0</v>
      </c>
      <c r="AO180" s="18">
        <v>0</v>
      </c>
      <c r="AP180" s="18">
        <v>0</v>
      </c>
      <c r="AQ180" s="18">
        <v>0</v>
      </c>
      <c r="AR180" s="18">
        <v>0</v>
      </c>
      <c r="AS180" s="18">
        <v>0</v>
      </c>
      <c r="AT180" s="18">
        <v>0</v>
      </c>
      <c r="AU180" s="18">
        <v>0</v>
      </c>
      <c r="AV180" s="18">
        <v>0</v>
      </c>
      <c r="AW180" s="18">
        <v>0</v>
      </c>
      <c r="AX180" s="18">
        <v>0</v>
      </c>
    </row>
    <row r="181" spans="1:50" x14ac:dyDescent="0.25">
      <c r="A181" s="8" t="s">
        <v>224</v>
      </c>
      <c r="B181" s="10" t="s">
        <v>57</v>
      </c>
      <c r="C181" s="18">
        <v>0</v>
      </c>
      <c r="D181" s="18">
        <v>0</v>
      </c>
      <c r="E181" s="18">
        <v>0</v>
      </c>
      <c r="F181" s="18">
        <v>0</v>
      </c>
      <c r="G181" s="18">
        <v>0</v>
      </c>
      <c r="H181" s="18">
        <v>0</v>
      </c>
      <c r="I181" s="18">
        <v>0</v>
      </c>
      <c r="J181" s="18">
        <v>0</v>
      </c>
      <c r="K181" s="18">
        <v>0</v>
      </c>
      <c r="L181" s="18">
        <v>0</v>
      </c>
      <c r="M181" s="18">
        <v>0</v>
      </c>
      <c r="N181" s="18">
        <v>0</v>
      </c>
      <c r="O181" s="18">
        <v>0</v>
      </c>
      <c r="P181" s="18">
        <v>0</v>
      </c>
      <c r="Q181" s="18">
        <v>0</v>
      </c>
      <c r="R181" s="18">
        <v>0</v>
      </c>
      <c r="S181" s="18">
        <v>0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8">
        <v>0</v>
      </c>
      <c r="Z181" s="18">
        <v>0</v>
      </c>
      <c r="AA181" s="18">
        <v>0</v>
      </c>
      <c r="AB181" s="18">
        <v>0</v>
      </c>
      <c r="AC181" s="18">
        <v>0</v>
      </c>
      <c r="AD181" s="18">
        <v>0</v>
      </c>
      <c r="AE181" s="18">
        <v>0</v>
      </c>
      <c r="AF181" s="18">
        <v>0</v>
      </c>
      <c r="AG181" s="18">
        <v>0</v>
      </c>
      <c r="AH181" s="18">
        <v>0</v>
      </c>
      <c r="AI181" s="18">
        <v>0</v>
      </c>
      <c r="AJ181" s="18">
        <v>0</v>
      </c>
      <c r="AK181" s="18">
        <v>0</v>
      </c>
      <c r="AL181" s="18">
        <v>0</v>
      </c>
      <c r="AM181" s="18">
        <v>0</v>
      </c>
      <c r="AN181" s="18">
        <v>0</v>
      </c>
      <c r="AO181" s="18">
        <v>0</v>
      </c>
      <c r="AP181" s="18">
        <v>0</v>
      </c>
      <c r="AQ181" s="18">
        <v>0</v>
      </c>
      <c r="AR181" s="18">
        <v>0</v>
      </c>
      <c r="AS181" s="18">
        <v>0</v>
      </c>
      <c r="AT181" s="18">
        <v>0</v>
      </c>
      <c r="AU181" s="18">
        <v>0</v>
      </c>
      <c r="AV181" s="18">
        <v>0</v>
      </c>
      <c r="AW181" s="18">
        <v>0</v>
      </c>
      <c r="AX181" s="18">
        <v>0</v>
      </c>
    </row>
    <row r="182" spans="1:50" x14ac:dyDescent="0.25">
      <c r="A182" s="8" t="s">
        <v>226</v>
      </c>
      <c r="B182" s="10" t="s">
        <v>57</v>
      </c>
      <c r="C182" s="18">
        <v>0</v>
      </c>
      <c r="D182" s="18">
        <v>0</v>
      </c>
      <c r="E182" s="18">
        <v>0</v>
      </c>
      <c r="F182" s="18">
        <v>0</v>
      </c>
      <c r="G182" s="18">
        <v>0</v>
      </c>
      <c r="H182" s="18">
        <v>0</v>
      </c>
      <c r="I182" s="18">
        <v>0</v>
      </c>
      <c r="J182" s="18">
        <v>0</v>
      </c>
      <c r="K182" s="18">
        <v>0</v>
      </c>
      <c r="L182" s="18">
        <v>0</v>
      </c>
      <c r="M182" s="18">
        <v>0</v>
      </c>
      <c r="N182" s="18">
        <v>0</v>
      </c>
      <c r="O182" s="18">
        <v>0</v>
      </c>
      <c r="P182" s="18">
        <v>0</v>
      </c>
      <c r="Q182" s="18">
        <v>0</v>
      </c>
      <c r="R182" s="18">
        <v>0</v>
      </c>
      <c r="S182" s="18">
        <v>0</v>
      </c>
      <c r="T182" s="18">
        <v>0</v>
      </c>
      <c r="U182" s="18">
        <v>0</v>
      </c>
      <c r="V182" s="18">
        <v>0</v>
      </c>
      <c r="W182" s="18">
        <v>0</v>
      </c>
      <c r="X182" s="18">
        <v>0</v>
      </c>
      <c r="Y182" s="18">
        <v>0</v>
      </c>
      <c r="Z182" s="18">
        <v>0</v>
      </c>
      <c r="AA182" s="18">
        <v>0</v>
      </c>
      <c r="AB182" s="18">
        <v>0</v>
      </c>
      <c r="AC182" s="18">
        <v>0</v>
      </c>
      <c r="AD182" s="18">
        <v>0</v>
      </c>
      <c r="AE182" s="18">
        <v>0</v>
      </c>
      <c r="AF182" s="18">
        <v>0</v>
      </c>
      <c r="AG182" s="18">
        <v>0</v>
      </c>
      <c r="AH182" s="18">
        <v>0</v>
      </c>
      <c r="AI182" s="18">
        <v>0</v>
      </c>
      <c r="AJ182" s="18">
        <v>0</v>
      </c>
      <c r="AK182" s="18">
        <v>0</v>
      </c>
      <c r="AL182" s="18">
        <v>0</v>
      </c>
      <c r="AM182" s="18">
        <v>0</v>
      </c>
      <c r="AN182" s="18">
        <v>0</v>
      </c>
      <c r="AO182" s="18">
        <v>0</v>
      </c>
      <c r="AP182" s="18">
        <v>0</v>
      </c>
      <c r="AQ182" s="18">
        <v>0</v>
      </c>
      <c r="AR182" s="18">
        <v>0</v>
      </c>
      <c r="AS182" s="18">
        <v>0</v>
      </c>
      <c r="AT182" s="18">
        <v>0</v>
      </c>
      <c r="AU182" s="18">
        <v>0</v>
      </c>
      <c r="AV182" s="18">
        <v>0</v>
      </c>
      <c r="AW182" s="18">
        <v>0</v>
      </c>
      <c r="AX182" s="18">
        <v>0</v>
      </c>
    </row>
    <row r="183" spans="1:50" x14ac:dyDescent="0.25">
      <c r="A183" s="8" t="s">
        <v>228</v>
      </c>
      <c r="B183" s="10" t="s">
        <v>57</v>
      </c>
      <c r="C183" s="18">
        <v>0</v>
      </c>
      <c r="D183" s="18">
        <v>0</v>
      </c>
      <c r="E183" s="18">
        <v>0</v>
      </c>
      <c r="F183" s="18">
        <v>0</v>
      </c>
      <c r="G183" s="18">
        <v>0</v>
      </c>
      <c r="H183" s="18">
        <v>0</v>
      </c>
      <c r="I183" s="18">
        <v>0</v>
      </c>
      <c r="J183" s="18">
        <v>0</v>
      </c>
      <c r="K183" s="18">
        <v>0</v>
      </c>
      <c r="L183" s="18">
        <v>0</v>
      </c>
      <c r="M183" s="18">
        <v>0</v>
      </c>
      <c r="N183" s="18">
        <v>0</v>
      </c>
      <c r="O183" s="18">
        <v>0</v>
      </c>
      <c r="P183" s="18">
        <v>0</v>
      </c>
      <c r="Q183" s="18">
        <v>0</v>
      </c>
      <c r="R183" s="18">
        <v>0</v>
      </c>
      <c r="S183" s="18">
        <v>0</v>
      </c>
      <c r="T183" s="18">
        <v>0</v>
      </c>
      <c r="U183" s="18">
        <v>0</v>
      </c>
      <c r="V183" s="18">
        <v>0</v>
      </c>
      <c r="W183" s="18">
        <v>0</v>
      </c>
      <c r="X183" s="18">
        <v>0</v>
      </c>
      <c r="Y183" s="18">
        <v>0</v>
      </c>
      <c r="Z183" s="18">
        <v>0</v>
      </c>
      <c r="AA183" s="18">
        <v>0</v>
      </c>
      <c r="AB183" s="18">
        <v>0</v>
      </c>
      <c r="AC183" s="18">
        <v>0</v>
      </c>
      <c r="AD183" s="18">
        <v>0</v>
      </c>
      <c r="AE183" s="18">
        <v>0</v>
      </c>
      <c r="AF183" s="18">
        <v>0</v>
      </c>
      <c r="AG183" s="18">
        <v>0</v>
      </c>
      <c r="AH183" s="18">
        <v>0</v>
      </c>
      <c r="AI183" s="18">
        <v>0</v>
      </c>
      <c r="AJ183" s="18">
        <v>0</v>
      </c>
      <c r="AK183" s="18">
        <v>0</v>
      </c>
      <c r="AL183" s="18">
        <v>0</v>
      </c>
      <c r="AM183" s="18">
        <v>0</v>
      </c>
      <c r="AN183" s="18">
        <v>0</v>
      </c>
      <c r="AO183" s="18">
        <v>0</v>
      </c>
      <c r="AP183" s="18">
        <v>0</v>
      </c>
      <c r="AQ183" s="18">
        <v>0</v>
      </c>
      <c r="AR183" s="18">
        <v>0</v>
      </c>
      <c r="AS183" s="18">
        <v>0</v>
      </c>
      <c r="AT183" s="18">
        <v>0</v>
      </c>
      <c r="AU183" s="18">
        <v>0</v>
      </c>
      <c r="AV183" s="18">
        <v>0</v>
      </c>
      <c r="AW183" s="18">
        <v>0</v>
      </c>
      <c r="AX183" s="18">
        <v>0</v>
      </c>
    </row>
    <row r="184" spans="1:50" x14ac:dyDescent="0.25">
      <c r="A184" s="16" t="s">
        <v>647</v>
      </c>
      <c r="B184" s="13" t="s">
        <v>464</v>
      </c>
      <c r="C184" s="17">
        <v>0</v>
      </c>
      <c r="D184" s="17">
        <v>0</v>
      </c>
      <c r="E184" s="17">
        <v>0</v>
      </c>
      <c r="F184" s="17">
        <v>0</v>
      </c>
      <c r="G184" s="17">
        <v>0</v>
      </c>
      <c r="H184" s="17">
        <v>0</v>
      </c>
      <c r="I184" s="17">
        <v>0</v>
      </c>
      <c r="J184" s="17">
        <v>3.0000000000000001E-3</v>
      </c>
      <c r="K184" s="17">
        <v>4.3499999999999997E-2</v>
      </c>
      <c r="L184" s="17">
        <v>0.20349999999999999</v>
      </c>
      <c r="M184" s="17">
        <v>0.4037</v>
      </c>
      <c r="N184" s="17">
        <v>0.64910000000000001</v>
      </c>
      <c r="O184" s="17">
        <v>0.91690000000000005</v>
      </c>
      <c r="P184" s="17">
        <v>1.1879999999999999</v>
      </c>
      <c r="Q184" s="17">
        <v>1.4577</v>
      </c>
      <c r="R184" s="17">
        <v>1.7278</v>
      </c>
      <c r="S184" s="17">
        <v>1.9813000000000001</v>
      </c>
      <c r="T184" s="17">
        <v>2.2195999999999998</v>
      </c>
      <c r="U184" s="17">
        <v>2.4224999999999999</v>
      </c>
      <c r="V184" s="17">
        <v>2.5956000000000001</v>
      </c>
      <c r="W184" s="17">
        <v>2.7475000000000001</v>
      </c>
      <c r="X184" s="17">
        <v>2.8729</v>
      </c>
      <c r="Y184" s="17">
        <v>2.9619</v>
      </c>
      <c r="Z184" s="17">
        <v>3.0009000000000001</v>
      </c>
      <c r="AA184" s="17">
        <v>3.0122</v>
      </c>
      <c r="AB184" s="17">
        <v>2.9910000000000001</v>
      </c>
      <c r="AC184" s="17">
        <v>2.92</v>
      </c>
      <c r="AD184" s="17">
        <v>2.8117000000000001</v>
      </c>
      <c r="AE184" s="17">
        <v>2.6823000000000001</v>
      </c>
      <c r="AF184" s="17">
        <v>2.5184000000000002</v>
      </c>
      <c r="AG184" s="17">
        <v>2.3441999999999998</v>
      </c>
      <c r="AH184" s="17">
        <v>2.1345999999999998</v>
      </c>
      <c r="AI184" s="17">
        <v>1.8986000000000001</v>
      </c>
      <c r="AJ184" s="17">
        <v>1.6135999999999999</v>
      </c>
      <c r="AK184" s="17">
        <v>1.3468</v>
      </c>
      <c r="AL184" s="17">
        <v>1.0727</v>
      </c>
      <c r="AM184" s="17">
        <v>0.80759999999999998</v>
      </c>
      <c r="AN184" s="17">
        <v>0.55189999999999995</v>
      </c>
      <c r="AO184" s="17">
        <v>0.32229999999999998</v>
      </c>
      <c r="AP184" s="17">
        <v>9.3799999999999994E-2</v>
      </c>
      <c r="AQ184" s="17">
        <v>1.7299999999999999E-2</v>
      </c>
      <c r="AR184" s="17">
        <v>0</v>
      </c>
      <c r="AS184" s="17">
        <v>0</v>
      </c>
      <c r="AT184" s="17">
        <v>0</v>
      </c>
      <c r="AU184" s="17">
        <v>0</v>
      </c>
      <c r="AV184" s="17">
        <v>0</v>
      </c>
      <c r="AW184" s="17">
        <v>0</v>
      </c>
      <c r="AX184" s="17">
        <v>0</v>
      </c>
    </row>
    <row r="185" spans="1:50" x14ac:dyDescent="0.25">
      <c r="A185" s="16" t="s">
        <v>649</v>
      </c>
      <c r="B185" s="13" t="s">
        <v>464</v>
      </c>
      <c r="C185" s="17">
        <v>0</v>
      </c>
      <c r="D185" s="17">
        <v>0</v>
      </c>
      <c r="E185" s="17">
        <v>0</v>
      </c>
      <c r="F185" s="17">
        <v>0</v>
      </c>
      <c r="G185" s="17">
        <v>0</v>
      </c>
      <c r="H185" s="17">
        <v>0</v>
      </c>
      <c r="I185" s="17">
        <v>0</v>
      </c>
      <c r="J185" s="17">
        <v>1.2999999999999999E-3</v>
      </c>
      <c r="K185" s="17">
        <v>1.8700000000000001E-2</v>
      </c>
      <c r="L185" s="17">
        <v>8.72E-2</v>
      </c>
      <c r="M185" s="17">
        <v>0.17299999999999999</v>
      </c>
      <c r="N185" s="17">
        <v>0.2782</v>
      </c>
      <c r="O185" s="17">
        <v>0.39300000000000002</v>
      </c>
      <c r="P185" s="17">
        <v>0.50919999999999999</v>
      </c>
      <c r="Q185" s="17">
        <v>0.62470000000000003</v>
      </c>
      <c r="R185" s="17">
        <v>0.74050000000000005</v>
      </c>
      <c r="S185" s="17">
        <v>0.84909999999999997</v>
      </c>
      <c r="T185" s="17">
        <v>0.95120000000000005</v>
      </c>
      <c r="U185" s="17">
        <v>1.0382</v>
      </c>
      <c r="V185" s="17">
        <v>1.1124000000000001</v>
      </c>
      <c r="W185" s="17">
        <v>1.1775</v>
      </c>
      <c r="X185" s="17">
        <v>1.2312000000000001</v>
      </c>
      <c r="Y185" s="17">
        <v>1.2694000000000001</v>
      </c>
      <c r="Z185" s="17">
        <v>1.2861</v>
      </c>
      <c r="AA185" s="17">
        <v>1.2908999999999999</v>
      </c>
      <c r="AB185" s="17">
        <v>1.2819</v>
      </c>
      <c r="AC185" s="17">
        <v>1.2514000000000001</v>
      </c>
      <c r="AD185" s="17">
        <v>1.2050000000000001</v>
      </c>
      <c r="AE185" s="17">
        <v>1.1496</v>
      </c>
      <c r="AF185" s="17">
        <v>1.0792999999999999</v>
      </c>
      <c r="AG185" s="17">
        <v>1.0046999999999999</v>
      </c>
      <c r="AH185" s="17">
        <v>0.91479999999999995</v>
      </c>
      <c r="AI185" s="17">
        <v>0.81369999999999998</v>
      </c>
      <c r="AJ185" s="17">
        <v>0.6915</v>
      </c>
      <c r="AK185" s="17">
        <v>0.57720000000000005</v>
      </c>
      <c r="AL185" s="17">
        <v>0.4597</v>
      </c>
      <c r="AM185" s="17">
        <v>0.34610000000000002</v>
      </c>
      <c r="AN185" s="17">
        <v>0.23649999999999999</v>
      </c>
      <c r="AO185" s="17">
        <v>0.1381</v>
      </c>
      <c r="AP185" s="17">
        <v>4.02E-2</v>
      </c>
      <c r="AQ185" s="17">
        <v>7.4000000000000003E-3</v>
      </c>
      <c r="AR185" s="17">
        <v>0</v>
      </c>
      <c r="AS185" s="17">
        <v>0</v>
      </c>
      <c r="AT185" s="17">
        <v>0</v>
      </c>
      <c r="AU185" s="17">
        <v>0</v>
      </c>
      <c r="AV185" s="17">
        <v>0</v>
      </c>
      <c r="AW185" s="17">
        <v>0</v>
      </c>
      <c r="AX185" s="17">
        <v>0</v>
      </c>
    </row>
    <row r="186" spans="1:50" x14ac:dyDescent="0.25">
      <c r="A186" s="16" t="s">
        <v>651</v>
      </c>
      <c r="B186" s="13" t="s">
        <v>464</v>
      </c>
      <c r="C186" s="17">
        <v>0</v>
      </c>
      <c r="D186" s="17">
        <v>0</v>
      </c>
      <c r="E186" s="17">
        <v>0</v>
      </c>
      <c r="F186" s="17">
        <v>0</v>
      </c>
      <c r="G186" s="17">
        <v>0</v>
      </c>
      <c r="H186" s="17">
        <v>0</v>
      </c>
      <c r="I186" s="17">
        <v>0</v>
      </c>
      <c r="J186" s="17">
        <v>3.3999999999999998E-3</v>
      </c>
      <c r="K186" s="17">
        <v>4.9700000000000001E-2</v>
      </c>
      <c r="L186" s="17">
        <v>0.2326</v>
      </c>
      <c r="M186" s="17">
        <v>0.46129999999999999</v>
      </c>
      <c r="N186" s="17">
        <v>0.7419</v>
      </c>
      <c r="O186" s="17">
        <v>1.0479000000000001</v>
      </c>
      <c r="P186" s="17">
        <v>1.3576999999999999</v>
      </c>
      <c r="Q186" s="17">
        <v>1.6659999999999999</v>
      </c>
      <c r="R186" s="17">
        <v>1.9745999999999999</v>
      </c>
      <c r="S186" s="17">
        <v>2.2643</v>
      </c>
      <c r="T186" s="17">
        <v>2.5367000000000002</v>
      </c>
      <c r="U186" s="17">
        <v>2.7686000000000002</v>
      </c>
      <c r="V186" s="17">
        <v>2.9664000000000001</v>
      </c>
      <c r="W186" s="17">
        <v>3.14</v>
      </c>
      <c r="X186" s="17">
        <v>3.2833000000000001</v>
      </c>
      <c r="Y186" s="17">
        <v>3.3849999999999998</v>
      </c>
      <c r="Z186" s="17">
        <v>3.4296000000000002</v>
      </c>
      <c r="AA186" s="17">
        <v>3.4424999999999999</v>
      </c>
      <c r="AB186" s="17">
        <v>3.4182999999999999</v>
      </c>
      <c r="AC186" s="17">
        <v>3.3372000000000002</v>
      </c>
      <c r="AD186" s="17">
        <v>3.2132999999999998</v>
      </c>
      <c r="AE186" s="17">
        <v>3.0655000000000001</v>
      </c>
      <c r="AF186" s="17">
        <v>2.8782000000000001</v>
      </c>
      <c r="AG186" s="17">
        <v>2.6791</v>
      </c>
      <c r="AH186" s="17">
        <v>2.4396</v>
      </c>
      <c r="AI186" s="17">
        <v>2.1698</v>
      </c>
      <c r="AJ186" s="17">
        <v>1.8441000000000001</v>
      </c>
      <c r="AK186" s="17">
        <v>1.5391999999999999</v>
      </c>
      <c r="AL186" s="17">
        <v>1.2259</v>
      </c>
      <c r="AM186" s="17">
        <v>0.92290000000000005</v>
      </c>
      <c r="AN186" s="17">
        <v>0.63080000000000003</v>
      </c>
      <c r="AO186" s="17">
        <v>0.36830000000000002</v>
      </c>
      <c r="AP186" s="17">
        <v>0.1072</v>
      </c>
      <c r="AQ186" s="17">
        <v>1.9800000000000002E-2</v>
      </c>
      <c r="AR186" s="17">
        <v>0</v>
      </c>
      <c r="AS186" s="17">
        <v>0</v>
      </c>
      <c r="AT186" s="17">
        <v>0</v>
      </c>
      <c r="AU186" s="17">
        <v>0</v>
      </c>
      <c r="AV186" s="17">
        <v>0</v>
      </c>
      <c r="AW186" s="17">
        <v>0</v>
      </c>
      <c r="AX186" s="17">
        <v>0</v>
      </c>
    </row>
    <row r="187" spans="1:50" x14ac:dyDescent="0.25">
      <c r="A187" s="16" t="s">
        <v>653</v>
      </c>
      <c r="B187" s="13" t="s">
        <v>464</v>
      </c>
      <c r="C187" s="17">
        <v>0</v>
      </c>
      <c r="D187" s="17">
        <v>0</v>
      </c>
      <c r="E187" s="17">
        <v>0</v>
      </c>
      <c r="F187" s="17">
        <v>0</v>
      </c>
      <c r="G187" s="17">
        <v>0</v>
      </c>
      <c r="H187" s="17">
        <v>0</v>
      </c>
      <c r="I187" s="17">
        <v>0</v>
      </c>
      <c r="J187" s="17">
        <v>3.3999999999999998E-3</v>
      </c>
      <c r="K187" s="17">
        <v>4.9700000000000001E-2</v>
      </c>
      <c r="L187" s="17">
        <v>0.2326</v>
      </c>
      <c r="M187" s="17">
        <v>0.46129999999999999</v>
      </c>
      <c r="N187" s="17">
        <v>0.7419</v>
      </c>
      <c r="O187" s="17">
        <v>1.0479000000000001</v>
      </c>
      <c r="P187" s="17">
        <v>1.3576999999999999</v>
      </c>
      <c r="Q187" s="17">
        <v>1.6659999999999999</v>
      </c>
      <c r="R187" s="17">
        <v>1.9745999999999999</v>
      </c>
      <c r="S187" s="17">
        <v>2.2643</v>
      </c>
      <c r="T187" s="17">
        <v>2.5367000000000002</v>
      </c>
      <c r="U187" s="17">
        <v>2.7686000000000002</v>
      </c>
      <c r="V187" s="17">
        <v>2.9664000000000001</v>
      </c>
      <c r="W187" s="17">
        <v>3.14</v>
      </c>
      <c r="X187" s="17">
        <v>3.2833000000000001</v>
      </c>
      <c r="Y187" s="17">
        <v>3.3849999999999998</v>
      </c>
      <c r="Z187" s="17">
        <v>3.4296000000000002</v>
      </c>
      <c r="AA187" s="17">
        <v>3.4424999999999999</v>
      </c>
      <c r="AB187" s="17">
        <v>3.4182999999999999</v>
      </c>
      <c r="AC187" s="17">
        <v>3.3372000000000002</v>
      </c>
      <c r="AD187" s="17">
        <v>3.2132999999999998</v>
      </c>
      <c r="AE187" s="17">
        <v>3.0655000000000001</v>
      </c>
      <c r="AF187" s="17">
        <v>2.8782000000000001</v>
      </c>
      <c r="AG187" s="17">
        <v>2.6791</v>
      </c>
      <c r="AH187" s="17">
        <v>2.4396</v>
      </c>
      <c r="AI187" s="17">
        <v>2.1698</v>
      </c>
      <c r="AJ187" s="17">
        <v>1.8441000000000001</v>
      </c>
      <c r="AK187" s="17">
        <v>1.5391999999999999</v>
      </c>
      <c r="AL187" s="17">
        <v>1.2259</v>
      </c>
      <c r="AM187" s="17">
        <v>0.92290000000000005</v>
      </c>
      <c r="AN187" s="17">
        <v>0.63080000000000003</v>
      </c>
      <c r="AO187" s="17">
        <v>0.36830000000000002</v>
      </c>
      <c r="AP187" s="17">
        <v>0.1072</v>
      </c>
      <c r="AQ187" s="17">
        <v>1.9800000000000002E-2</v>
      </c>
      <c r="AR187" s="17">
        <v>0</v>
      </c>
      <c r="AS187" s="17">
        <v>0</v>
      </c>
      <c r="AT187" s="17">
        <v>0</v>
      </c>
      <c r="AU187" s="17">
        <v>0</v>
      </c>
      <c r="AV187" s="17">
        <v>0</v>
      </c>
      <c r="AW187" s="17">
        <v>0</v>
      </c>
      <c r="AX187" s="17">
        <v>0</v>
      </c>
    </row>
    <row r="188" spans="1:50" x14ac:dyDescent="0.25">
      <c r="A188" s="8" t="s">
        <v>230</v>
      </c>
      <c r="B188" s="10" t="s">
        <v>57</v>
      </c>
      <c r="C188" s="18">
        <v>0</v>
      </c>
      <c r="D188" s="18">
        <v>0</v>
      </c>
      <c r="E188" s="18">
        <v>0</v>
      </c>
      <c r="F188" s="18">
        <v>0</v>
      </c>
      <c r="G188" s="18">
        <v>0</v>
      </c>
      <c r="H188" s="18">
        <v>0</v>
      </c>
      <c r="I188" s="18">
        <v>0</v>
      </c>
      <c r="J188" s="18">
        <v>0</v>
      </c>
      <c r="K188" s="18">
        <v>0</v>
      </c>
      <c r="L188" s="18">
        <v>0</v>
      </c>
      <c r="M188" s="18">
        <v>0</v>
      </c>
      <c r="N188" s="18">
        <v>0</v>
      </c>
      <c r="O188" s="18">
        <v>0</v>
      </c>
      <c r="P188" s="18">
        <v>0</v>
      </c>
      <c r="Q188" s="18">
        <v>0</v>
      </c>
      <c r="R188" s="18">
        <v>0</v>
      </c>
      <c r="S188" s="18">
        <v>0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8">
        <v>0</v>
      </c>
      <c r="Z188" s="18">
        <v>0</v>
      </c>
      <c r="AA188" s="18">
        <v>0</v>
      </c>
      <c r="AB188" s="18">
        <v>0</v>
      </c>
      <c r="AC188" s="18">
        <v>0</v>
      </c>
      <c r="AD188" s="18">
        <v>0</v>
      </c>
      <c r="AE188" s="18">
        <v>0</v>
      </c>
      <c r="AF188" s="18">
        <v>0</v>
      </c>
      <c r="AG188" s="18">
        <v>0</v>
      </c>
      <c r="AH188" s="18">
        <v>0</v>
      </c>
      <c r="AI188" s="18">
        <v>0</v>
      </c>
      <c r="AJ188" s="18">
        <v>0</v>
      </c>
      <c r="AK188" s="18">
        <v>0</v>
      </c>
      <c r="AL188" s="18">
        <v>0</v>
      </c>
      <c r="AM188" s="18">
        <v>0</v>
      </c>
      <c r="AN188" s="18">
        <v>0</v>
      </c>
      <c r="AO188" s="18">
        <v>0</v>
      </c>
      <c r="AP188" s="18">
        <v>0</v>
      </c>
      <c r="AQ188" s="18">
        <v>0</v>
      </c>
      <c r="AR188" s="18">
        <v>0</v>
      </c>
      <c r="AS188" s="18">
        <v>0</v>
      </c>
      <c r="AT188" s="18">
        <v>0</v>
      </c>
      <c r="AU188" s="18">
        <v>0</v>
      </c>
      <c r="AV188" s="18">
        <v>0</v>
      </c>
      <c r="AW188" s="18">
        <v>0</v>
      </c>
      <c r="AX188" s="18">
        <v>0</v>
      </c>
    </row>
    <row r="189" spans="1:50" x14ac:dyDescent="0.25">
      <c r="A189" s="8" t="s">
        <v>232</v>
      </c>
      <c r="B189" s="10" t="s">
        <v>57</v>
      </c>
      <c r="C189" s="18">
        <v>0</v>
      </c>
      <c r="D189" s="18">
        <v>0</v>
      </c>
      <c r="E189" s="18">
        <v>0</v>
      </c>
      <c r="F189" s="18">
        <v>0</v>
      </c>
      <c r="G189" s="18">
        <v>0</v>
      </c>
      <c r="H189" s="18">
        <v>0</v>
      </c>
      <c r="I189" s="18">
        <v>0</v>
      </c>
      <c r="J189" s="18">
        <v>0</v>
      </c>
      <c r="K189" s="18">
        <v>0</v>
      </c>
      <c r="L189" s="18">
        <v>0</v>
      </c>
      <c r="M189" s="18">
        <v>0</v>
      </c>
      <c r="N189" s="18">
        <v>0</v>
      </c>
      <c r="O189" s="18">
        <v>0</v>
      </c>
      <c r="P189" s="18">
        <v>0</v>
      </c>
      <c r="Q189" s="18">
        <v>0</v>
      </c>
      <c r="R189" s="18">
        <v>0</v>
      </c>
      <c r="S189" s="18">
        <v>0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8">
        <v>0</v>
      </c>
      <c r="AB189" s="18">
        <v>0</v>
      </c>
      <c r="AC189" s="18">
        <v>0</v>
      </c>
      <c r="AD189" s="18">
        <v>0</v>
      </c>
      <c r="AE189" s="18">
        <v>0</v>
      </c>
      <c r="AF189" s="18">
        <v>0</v>
      </c>
      <c r="AG189" s="18">
        <v>0</v>
      </c>
      <c r="AH189" s="18">
        <v>0</v>
      </c>
      <c r="AI189" s="18">
        <v>0</v>
      </c>
      <c r="AJ189" s="18">
        <v>0</v>
      </c>
      <c r="AK189" s="18">
        <v>0</v>
      </c>
      <c r="AL189" s="18">
        <v>0</v>
      </c>
      <c r="AM189" s="18">
        <v>0</v>
      </c>
      <c r="AN189" s="18">
        <v>0</v>
      </c>
      <c r="AO189" s="18">
        <v>0</v>
      </c>
      <c r="AP189" s="18">
        <v>0</v>
      </c>
      <c r="AQ189" s="18">
        <v>0</v>
      </c>
      <c r="AR189" s="18">
        <v>0</v>
      </c>
      <c r="AS189" s="18">
        <v>0</v>
      </c>
      <c r="AT189" s="18">
        <v>0</v>
      </c>
      <c r="AU189" s="18">
        <v>0</v>
      </c>
      <c r="AV189" s="18">
        <v>0</v>
      </c>
      <c r="AW189" s="18">
        <v>0</v>
      </c>
      <c r="AX189" s="18">
        <v>0</v>
      </c>
    </row>
    <row r="190" spans="1:50" x14ac:dyDescent="0.25">
      <c r="A190" s="16" t="s">
        <v>655</v>
      </c>
      <c r="B190" s="13" t="s">
        <v>464</v>
      </c>
      <c r="C190" s="17">
        <v>0</v>
      </c>
      <c r="D190" s="17">
        <v>0</v>
      </c>
      <c r="E190" s="17">
        <v>0</v>
      </c>
      <c r="F190" s="17">
        <v>0</v>
      </c>
      <c r="G190" s="17">
        <v>0</v>
      </c>
      <c r="H190" s="17">
        <v>0</v>
      </c>
      <c r="I190" s="17">
        <v>0</v>
      </c>
      <c r="J190" s="17">
        <v>3.3999999999999998E-3</v>
      </c>
      <c r="K190" s="17">
        <v>4.9700000000000001E-2</v>
      </c>
      <c r="L190" s="17">
        <v>0.2326</v>
      </c>
      <c r="M190" s="17">
        <v>0.46129999999999999</v>
      </c>
      <c r="N190" s="17">
        <v>0.7419</v>
      </c>
      <c r="O190" s="17">
        <v>1.0479000000000001</v>
      </c>
      <c r="P190" s="17">
        <v>1.3576999999999999</v>
      </c>
      <c r="Q190" s="17">
        <v>1.6659999999999999</v>
      </c>
      <c r="R190" s="17">
        <v>1.9745999999999999</v>
      </c>
      <c r="S190" s="17">
        <v>2.2643</v>
      </c>
      <c r="T190" s="17">
        <v>2.5367000000000002</v>
      </c>
      <c r="U190" s="17">
        <v>2.7686000000000002</v>
      </c>
      <c r="V190" s="17">
        <v>2.9664000000000001</v>
      </c>
      <c r="W190" s="17">
        <v>3.14</v>
      </c>
      <c r="X190" s="17">
        <v>3.2833000000000001</v>
      </c>
      <c r="Y190" s="17">
        <v>3.3849999999999998</v>
      </c>
      <c r="Z190" s="17">
        <v>3.4296000000000002</v>
      </c>
      <c r="AA190" s="17">
        <v>3.4424999999999999</v>
      </c>
      <c r="AB190" s="17">
        <v>3.4182999999999999</v>
      </c>
      <c r="AC190" s="17">
        <v>3.3372000000000002</v>
      </c>
      <c r="AD190" s="17">
        <v>3.2132999999999998</v>
      </c>
      <c r="AE190" s="17">
        <v>3.0655000000000001</v>
      </c>
      <c r="AF190" s="17">
        <v>2.8782000000000001</v>
      </c>
      <c r="AG190" s="17">
        <v>2.6791</v>
      </c>
      <c r="AH190" s="17">
        <v>2.4396</v>
      </c>
      <c r="AI190" s="17">
        <v>2.1698</v>
      </c>
      <c r="AJ190" s="17">
        <v>1.8441000000000001</v>
      </c>
      <c r="AK190" s="17">
        <v>1.5391999999999999</v>
      </c>
      <c r="AL190" s="17">
        <v>1.2259</v>
      </c>
      <c r="AM190" s="17">
        <v>0.92290000000000005</v>
      </c>
      <c r="AN190" s="17">
        <v>0.63080000000000003</v>
      </c>
      <c r="AO190" s="17">
        <v>0.36830000000000002</v>
      </c>
      <c r="AP190" s="17">
        <v>0.1072</v>
      </c>
      <c r="AQ190" s="17">
        <v>1.9800000000000002E-2</v>
      </c>
      <c r="AR190" s="17">
        <v>0</v>
      </c>
      <c r="AS190" s="17">
        <v>0</v>
      </c>
      <c r="AT190" s="17">
        <v>0</v>
      </c>
      <c r="AU190" s="17">
        <v>0</v>
      </c>
      <c r="AV190" s="17">
        <v>0</v>
      </c>
      <c r="AW190" s="17">
        <v>0</v>
      </c>
      <c r="AX190" s="17">
        <v>0</v>
      </c>
    </row>
    <row r="191" spans="1:50" x14ac:dyDescent="0.25">
      <c r="A191" s="16" t="s">
        <v>657</v>
      </c>
      <c r="B191" s="13" t="s">
        <v>464</v>
      </c>
      <c r="C191" s="17">
        <v>0</v>
      </c>
      <c r="D191" s="17">
        <v>0</v>
      </c>
      <c r="E191" s="17">
        <v>0</v>
      </c>
      <c r="F191" s="17">
        <v>0</v>
      </c>
      <c r="G191" s="17">
        <v>0</v>
      </c>
      <c r="H191" s="17">
        <v>0</v>
      </c>
      <c r="I191" s="17">
        <v>0</v>
      </c>
      <c r="J191" s="17">
        <v>3.3999999999999998E-3</v>
      </c>
      <c r="K191" s="17">
        <v>4.9700000000000001E-2</v>
      </c>
      <c r="L191" s="17">
        <v>0.2326</v>
      </c>
      <c r="M191" s="17">
        <v>0.46129999999999999</v>
      </c>
      <c r="N191" s="17">
        <v>0.7419</v>
      </c>
      <c r="O191" s="17">
        <v>1.0479000000000001</v>
      </c>
      <c r="P191" s="17">
        <v>1.3576999999999999</v>
      </c>
      <c r="Q191" s="17">
        <v>1.6659999999999999</v>
      </c>
      <c r="R191" s="17">
        <v>1.9745999999999999</v>
      </c>
      <c r="S191" s="17">
        <v>2.2643</v>
      </c>
      <c r="T191" s="17">
        <v>2.5367000000000002</v>
      </c>
      <c r="U191" s="17">
        <v>2.7686000000000002</v>
      </c>
      <c r="V191" s="17">
        <v>2.9664000000000001</v>
      </c>
      <c r="W191" s="17">
        <v>3.14</v>
      </c>
      <c r="X191" s="17">
        <v>3.2833000000000001</v>
      </c>
      <c r="Y191" s="17">
        <v>3.3849999999999998</v>
      </c>
      <c r="Z191" s="17">
        <v>3.4296000000000002</v>
      </c>
      <c r="AA191" s="17">
        <v>3.4424999999999999</v>
      </c>
      <c r="AB191" s="17">
        <v>3.4182999999999999</v>
      </c>
      <c r="AC191" s="17">
        <v>3.3372000000000002</v>
      </c>
      <c r="AD191" s="17">
        <v>3.2132999999999998</v>
      </c>
      <c r="AE191" s="17">
        <v>3.0655000000000001</v>
      </c>
      <c r="AF191" s="17">
        <v>2.8782000000000001</v>
      </c>
      <c r="AG191" s="17">
        <v>2.6791</v>
      </c>
      <c r="AH191" s="17">
        <v>2.4396</v>
      </c>
      <c r="AI191" s="17">
        <v>2.1698</v>
      </c>
      <c r="AJ191" s="17">
        <v>1.8441000000000001</v>
      </c>
      <c r="AK191" s="17">
        <v>1.5391999999999999</v>
      </c>
      <c r="AL191" s="17">
        <v>1.2259</v>
      </c>
      <c r="AM191" s="17">
        <v>0.92290000000000005</v>
      </c>
      <c r="AN191" s="17">
        <v>0.63080000000000003</v>
      </c>
      <c r="AO191" s="17">
        <v>0.36830000000000002</v>
      </c>
      <c r="AP191" s="17">
        <v>0.1072</v>
      </c>
      <c r="AQ191" s="17">
        <v>1.9800000000000002E-2</v>
      </c>
      <c r="AR191" s="17">
        <v>0</v>
      </c>
      <c r="AS191" s="17">
        <v>0</v>
      </c>
      <c r="AT191" s="17">
        <v>0</v>
      </c>
      <c r="AU191" s="17">
        <v>0</v>
      </c>
      <c r="AV191" s="17">
        <v>0</v>
      </c>
      <c r="AW191" s="17">
        <v>0</v>
      </c>
      <c r="AX191" s="17">
        <v>0</v>
      </c>
    </row>
    <row r="192" spans="1:50" x14ac:dyDescent="0.25">
      <c r="A192" s="16" t="s">
        <v>659</v>
      </c>
      <c r="B192" s="13" t="s">
        <v>464</v>
      </c>
      <c r="C192" s="17">
        <v>0</v>
      </c>
      <c r="D192" s="17">
        <v>0</v>
      </c>
      <c r="E192" s="17">
        <v>0</v>
      </c>
      <c r="F192" s="17">
        <v>0</v>
      </c>
      <c r="G192" s="17">
        <v>0</v>
      </c>
      <c r="H192" s="17">
        <v>0</v>
      </c>
      <c r="I192" s="17">
        <v>0</v>
      </c>
      <c r="J192" s="17">
        <v>1.2999999999999999E-3</v>
      </c>
      <c r="K192" s="17">
        <v>1.8700000000000001E-2</v>
      </c>
      <c r="L192" s="17">
        <v>8.72E-2</v>
      </c>
      <c r="M192" s="17">
        <v>0.17299999999999999</v>
      </c>
      <c r="N192" s="17">
        <v>0.2782</v>
      </c>
      <c r="O192" s="17">
        <v>0.39300000000000002</v>
      </c>
      <c r="P192" s="17">
        <v>0.50919999999999999</v>
      </c>
      <c r="Q192" s="17">
        <v>0.62470000000000003</v>
      </c>
      <c r="R192" s="17">
        <v>0.74050000000000005</v>
      </c>
      <c r="S192" s="17">
        <v>0.84909999999999997</v>
      </c>
      <c r="T192" s="17">
        <v>0.95120000000000005</v>
      </c>
      <c r="U192" s="17">
        <v>1.0382</v>
      </c>
      <c r="V192" s="17">
        <v>1.1124000000000001</v>
      </c>
      <c r="W192" s="17">
        <v>1.1775</v>
      </c>
      <c r="X192" s="17">
        <v>1.2312000000000001</v>
      </c>
      <c r="Y192" s="17">
        <v>1.2694000000000001</v>
      </c>
      <c r="Z192" s="17">
        <v>1.2861</v>
      </c>
      <c r="AA192" s="17">
        <v>1.2908999999999999</v>
      </c>
      <c r="AB192" s="17">
        <v>1.2819</v>
      </c>
      <c r="AC192" s="17">
        <v>1.2514000000000001</v>
      </c>
      <c r="AD192" s="17">
        <v>1.2050000000000001</v>
      </c>
      <c r="AE192" s="17">
        <v>1.1496</v>
      </c>
      <c r="AF192" s="17">
        <v>1.0792999999999999</v>
      </c>
      <c r="AG192" s="17">
        <v>1.0046999999999999</v>
      </c>
      <c r="AH192" s="17">
        <v>0.91479999999999995</v>
      </c>
      <c r="AI192" s="17">
        <v>0.81369999999999998</v>
      </c>
      <c r="AJ192" s="17">
        <v>0.6915</v>
      </c>
      <c r="AK192" s="17">
        <v>0.57720000000000005</v>
      </c>
      <c r="AL192" s="17">
        <v>0.4597</v>
      </c>
      <c r="AM192" s="17">
        <v>0.34610000000000002</v>
      </c>
      <c r="AN192" s="17">
        <v>0.23649999999999999</v>
      </c>
      <c r="AO192" s="17">
        <v>0.1381</v>
      </c>
      <c r="AP192" s="17">
        <v>4.02E-2</v>
      </c>
      <c r="AQ192" s="17">
        <v>7.4000000000000003E-3</v>
      </c>
      <c r="AR192" s="17">
        <v>0</v>
      </c>
      <c r="AS192" s="17">
        <v>0</v>
      </c>
      <c r="AT192" s="17">
        <v>0</v>
      </c>
      <c r="AU192" s="17">
        <v>0</v>
      </c>
      <c r="AV192" s="17">
        <v>0</v>
      </c>
      <c r="AW192" s="17">
        <v>0</v>
      </c>
      <c r="AX192" s="17">
        <v>0</v>
      </c>
    </row>
    <row r="193" spans="1:50" x14ac:dyDescent="0.25">
      <c r="A193" s="8" t="s">
        <v>234</v>
      </c>
      <c r="B193" s="10" t="s">
        <v>57</v>
      </c>
      <c r="C193" s="18">
        <v>0</v>
      </c>
      <c r="D193" s="18">
        <v>0</v>
      </c>
      <c r="E193" s="18">
        <v>0</v>
      </c>
      <c r="F193" s="18">
        <v>0</v>
      </c>
      <c r="G193" s="18">
        <v>0</v>
      </c>
      <c r="H193" s="18">
        <v>0</v>
      </c>
      <c r="I193" s="18">
        <v>0</v>
      </c>
      <c r="J193" s="18">
        <v>0</v>
      </c>
      <c r="K193" s="18">
        <v>0</v>
      </c>
      <c r="L193" s="18">
        <v>0</v>
      </c>
      <c r="M193" s="18">
        <v>0</v>
      </c>
      <c r="N193" s="18">
        <v>0</v>
      </c>
      <c r="O193" s="18">
        <v>0</v>
      </c>
      <c r="P193" s="18">
        <v>0</v>
      </c>
      <c r="Q193" s="18">
        <v>0</v>
      </c>
      <c r="R193" s="18">
        <v>0</v>
      </c>
      <c r="S193" s="18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8">
        <v>0</v>
      </c>
      <c r="Z193" s="18">
        <v>0</v>
      </c>
      <c r="AA193" s="18">
        <v>0</v>
      </c>
      <c r="AB193" s="18">
        <v>0</v>
      </c>
      <c r="AC193" s="18">
        <v>0</v>
      </c>
      <c r="AD193" s="18">
        <v>0</v>
      </c>
      <c r="AE193" s="18">
        <v>0</v>
      </c>
      <c r="AF193" s="18">
        <v>0</v>
      </c>
      <c r="AG193" s="18">
        <v>0</v>
      </c>
      <c r="AH193" s="18">
        <v>0</v>
      </c>
      <c r="AI193" s="18">
        <v>0</v>
      </c>
      <c r="AJ193" s="18">
        <v>0</v>
      </c>
      <c r="AK193" s="18">
        <v>0</v>
      </c>
      <c r="AL193" s="18">
        <v>0</v>
      </c>
      <c r="AM193" s="18">
        <v>0</v>
      </c>
      <c r="AN193" s="18">
        <v>0</v>
      </c>
      <c r="AO193" s="18">
        <v>0</v>
      </c>
      <c r="AP193" s="18">
        <v>0</v>
      </c>
      <c r="AQ193" s="18">
        <v>0</v>
      </c>
      <c r="AR193" s="18">
        <v>0</v>
      </c>
      <c r="AS193" s="18">
        <v>0</v>
      </c>
      <c r="AT193" s="18">
        <v>0</v>
      </c>
      <c r="AU193" s="18">
        <v>0</v>
      </c>
      <c r="AV193" s="18">
        <v>0</v>
      </c>
      <c r="AW193" s="18">
        <v>0</v>
      </c>
      <c r="AX193" s="18">
        <v>0</v>
      </c>
    </row>
    <row r="194" spans="1:50" x14ac:dyDescent="0.25">
      <c r="A194" s="16" t="s">
        <v>661</v>
      </c>
      <c r="B194" s="13" t="s">
        <v>464</v>
      </c>
      <c r="C194" s="17">
        <v>0</v>
      </c>
      <c r="D194" s="17">
        <v>0</v>
      </c>
      <c r="E194" s="17">
        <v>0</v>
      </c>
      <c r="F194" s="17">
        <v>0</v>
      </c>
      <c r="G194" s="17">
        <v>0</v>
      </c>
      <c r="H194" s="17">
        <v>0</v>
      </c>
      <c r="I194" s="17">
        <v>0</v>
      </c>
      <c r="J194" s="17">
        <v>3.3999999999999998E-3</v>
      </c>
      <c r="K194" s="17">
        <v>4.9700000000000001E-2</v>
      </c>
      <c r="L194" s="17">
        <v>0.2326</v>
      </c>
      <c r="M194" s="17">
        <v>0.46129999999999999</v>
      </c>
      <c r="N194" s="17">
        <v>0.7419</v>
      </c>
      <c r="O194" s="17">
        <v>1.0479000000000001</v>
      </c>
      <c r="P194" s="17">
        <v>1.3576999999999999</v>
      </c>
      <c r="Q194" s="17">
        <v>1.6659999999999999</v>
      </c>
      <c r="R194" s="17">
        <v>1.9745999999999999</v>
      </c>
      <c r="S194" s="17">
        <v>2.2643</v>
      </c>
      <c r="T194" s="17">
        <v>2.5367000000000002</v>
      </c>
      <c r="U194" s="17">
        <v>2.7686000000000002</v>
      </c>
      <c r="V194" s="17">
        <v>2.9664000000000001</v>
      </c>
      <c r="W194" s="17">
        <v>3.14</v>
      </c>
      <c r="X194" s="17">
        <v>3.2833000000000001</v>
      </c>
      <c r="Y194" s="17">
        <v>3.3849999999999998</v>
      </c>
      <c r="Z194" s="17">
        <v>3.4296000000000002</v>
      </c>
      <c r="AA194" s="17">
        <v>3.4424999999999999</v>
      </c>
      <c r="AB194" s="17">
        <v>3.4182999999999999</v>
      </c>
      <c r="AC194" s="17">
        <v>3.3372000000000002</v>
      </c>
      <c r="AD194" s="17">
        <v>3.2132999999999998</v>
      </c>
      <c r="AE194" s="17">
        <v>3.0655000000000001</v>
      </c>
      <c r="AF194" s="17">
        <v>2.8782000000000001</v>
      </c>
      <c r="AG194" s="17">
        <v>2.6791</v>
      </c>
      <c r="AH194" s="17">
        <v>2.4396</v>
      </c>
      <c r="AI194" s="17">
        <v>2.1698</v>
      </c>
      <c r="AJ194" s="17">
        <v>1.8441000000000001</v>
      </c>
      <c r="AK194" s="17">
        <v>1.5391999999999999</v>
      </c>
      <c r="AL194" s="17">
        <v>1.2259</v>
      </c>
      <c r="AM194" s="17">
        <v>0.92290000000000005</v>
      </c>
      <c r="AN194" s="17">
        <v>0.63080000000000003</v>
      </c>
      <c r="AO194" s="17">
        <v>0.36830000000000002</v>
      </c>
      <c r="AP194" s="17">
        <v>0.1072</v>
      </c>
      <c r="AQ194" s="17">
        <v>1.9800000000000002E-2</v>
      </c>
      <c r="AR194" s="17">
        <v>0</v>
      </c>
      <c r="AS194" s="17">
        <v>0</v>
      </c>
      <c r="AT194" s="17">
        <v>0</v>
      </c>
      <c r="AU194" s="17">
        <v>0</v>
      </c>
      <c r="AV194" s="17">
        <v>0</v>
      </c>
      <c r="AW194" s="17">
        <v>0</v>
      </c>
      <c r="AX194" s="17">
        <v>0</v>
      </c>
    </row>
    <row r="195" spans="1:50" x14ac:dyDescent="0.25">
      <c r="A195" s="8" t="s">
        <v>236</v>
      </c>
      <c r="B195" s="10" t="s">
        <v>57</v>
      </c>
      <c r="C195" s="18">
        <v>0</v>
      </c>
      <c r="D195" s="18">
        <v>0</v>
      </c>
      <c r="E195" s="18">
        <v>0</v>
      </c>
      <c r="F195" s="18">
        <v>0</v>
      </c>
      <c r="G195" s="18">
        <v>0</v>
      </c>
      <c r="H195" s="18">
        <v>0</v>
      </c>
      <c r="I195" s="18">
        <v>0</v>
      </c>
      <c r="J195" s="18">
        <v>0</v>
      </c>
      <c r="K195" s="18">
        <v>0</v>
      </c>
      <c r="L195" s="18">
        <v>0</v>
      </c>
      <c r="M195" s="18">
        <v>0</v>
      </c>
      <c r="N195" s="18">
        <v>0</v>
      </c>
      <c r="O195" s="18">
        <v>0</v>
      </c>
      <c r="P195" s="18">
        <v>0</v>
      </c>
      <c r="Q195" s="18">
        <v>0</v>
      </c>
      <c r="R195" s="18">
        <v>0</v>
      </c>
      <c r="S195" s="18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0</v>
      </c>
      <c r="Y195" s="18">
        <v>0</v>
      </c>
      <c r="Z195" s="18">
        <v>0</v>
      </c>
      <c r="AA195" s="18">
        <v>0</v>
      </c>
      <c r="AB195" s="18">
        <v>0</v>
      </c>
      <c r="AC195" s="18">
        <v>0</v>
      </c>
      <c r="AD195" s="18">
        <v>0</v>
      </c>
      <c r="AE195" s="18">
        <v>0</v>
      </c>
      <c r="AF195" s="18">
        <v>0</v>
      </c>
      <c r="AG195" s="18">
        <v>0</v>
      </c>
      <c r="AH195" s="18">
        <v>0</v>
      </c>
      <c r="AI195" s="18">
        <v>0</v>
      </c>
      <c r="AJ195" s="18">
        <v>0</v>
      </c>
      <c r="AK195" s="18">
        <v>0</v>
      </c>
      <c r="AL195" s="18">
        <v>0</v>
      </c>
      <c r="AM195" s="18">
        <v>0</v>
      </c>
      <c r="AN195" s="18">
        <v>0</v>
      </c>
      <c r="AO195" s="18">
        <v>0</v>
      </c>
      <c r="AP195" s="18">
        <v>0</v>
      </c>
      <c r="AQ195" s="18">
        <v>0</v>
      </c>
      <c r="AR195" s="18">
        <v>0</v>
      </c>
      <c r="AS195" s="18">
        <v>0</v>
      </c>
      <c r="AT195" s="18">
        <v>0</v>
      </c>
      <c r="AU195" s="18">
        <v>0</v>
      </c>
      <c r="AV195" s="18">
        <v>0</v>
      </c>
      <c r="AW195" s="18">
        <v>0</v>
      </c>
      <c r="AX195" s="18">
        <v>0</v>
      </c>
    </row>
    <row r="196" spans="1:50" x14ac:dyDescent="0.25">
      <c r="A196" s="16" t="s">
        <v>663</v>
      </c>
      <c r="B196" s="13" t="s">
        <v>464</v>
      </c>
      <c r="C196" s="17">
        <v>0</v>
      </c>
      <c r="D196" s="17">
        <v>0</v>
      </c>
      <c r="E196" s="17">
        <v>0</v>
      </c>
      <c r="F196" s="17">
        <v>0</v>
      </c>
      <c r="G196" s="17">
        <v>0</v>
      </c>
      <c r="H196" s="17">
        <v>0</v>
      </c>
      <c r="I196" s="17">
        <v>0</v>
      </c>
      <c r="J196" s="17">
        <v>2.5999999999999999E-3</v>
      </c>
      <c r="K196" s="17">
        <v>3.73E-2</v>
      </c>
      <c r="L196" s="17">
        <v>0.1744</v>
      </c>
      <c r="M196" s="17">
        <v>0.34599999999999997</v>
      </c>
      <c r="N196" s="17">
        <v>0.55640000000000001</v>
      </c>
      <c r="O196" s="17">
        <v>0.78590000000000004</v>
      </c>
      <c r="P196" s="17">
        <v>1.0183</v>
      </c>
      <c r="Q196" s="17">
        <v>1.2495000000000001</v>
      </c>
      <c r="R196" s="17">
        <v>1.4810000000000001</v>
      </c>
      <c r="S196" s="17">
        <v>1.6981999999999999</v>
      </c>
      <c r="T196" s="17">
        <v>1.9025000000000001</v>
      </c>
      <c r="U196" s="17">
        <v>2.0764</v>
      </c>
      <c r="V196" s="17">
        <v>2.2248000000000001</v>
      </c>
      <c r="W196" s="17">
        <v>2.355</v>
      </c>
      <c r="X196" s="17">
        <v>2.4624999999999999</v>
      </c>
      <c r="Y196" s="17">
        <v>2.5387</v>
      </c>
      <c r="Z196" s="17">
        <v>2.5722</v>
      </c>
      <c r="AA196" s="17">
        <v>2.5819000000000001</v>
      </c>
      <c r="AB196" s="17">
        <v>2.5636999999999999</v>
      </c>
      <c r="AC196" s="17">
        <v>2.5028999999999999</v>
      </c>
      <c r="AD196" s="17">
        <v>2.41</v>
      </c>
      <c r="AE196" s="17">
        <v>2.2991000000000001</v>
      </c>
      <c r="AF196" s="17">
        <v>2.1585999999999999</v>
      </c>
      <c r="AG196" s="17">
        <v>2.0093000000000001</v>
      </c>
      <c r="AH196" s="17">
        <v>1.8297000000000001</v>
      </c>
      <c r="AI196" s="17">
        <v>1.6274</v>
      </c>
      <c r="AJ196" s="17">
        <v>1.3831</v>
      </c>
      <c r="AK196" s="17">
        <v>1.1544000000000001</v>
      </c>
      <c r="AL196" s="17">
        <v>0.91949999999999998</v>
      </c>
      <c r="AM196" s="17">
        <v>0.69220000000000004</v>
      </c>
      <c r="AN196" s="17">
        <v>0.47310000000000002</v>
      </c>
      <c r="AO196" s="17">
        <v>0.2762</v>
      </c>
      <c r="AP196" s="17">
        <v>8.0399999999999999E-2</v>
      </c>
      <c r="AQ196" s="17">
        <v>1.4800000000000001E-2</v>
      </c>
      <c r="AR196" s="17">
        <v>0</v>
      </c>
      <c r="AS196" s="17">
        <v>0</v>
      </c>
      <c r="AT196" s="17">
        <v>0</v>
      </c>
      <c r="AU196" s="17">
        <v>0</v>
      </c>
      <c r="AV196" s="17">
        <v>0</v>
      </c>
      <c r="AW196" s="17">
        <v>0</v>
      </c>
      <c r="AX196" s="17">
        <v>0</v>
      </c>
    </row>
    <row r="197" spans="1:50" x14ac:dyDescent="0.25">
      <c r="A197" s="16" t="s">
        <v>665</v>
      </c>
      <c r="B197" s="13" t="s">
        <v>464</v>
      </c>
      <c r="C197" s="17">
        <v>0</v>
      </c>
      <c r="D197" s="17">
        <v>0</v>
      </c>
      <c r="E197" s="17">
        <v>0</v>
      </c>
      <c r="F197" s="17">
        <v>0</v>
      </c>
      <c r="G197" s="17">
        <v>0</v>
      </c>
      <c r="H197" s="17">
        <v>0</v>
      </c>
      <c r="I197" s="17">
        <v>0</v>
      </c>
      <c r="J197" s="17">
        <v>3.0000000000000001E-3</v>
      </c>
      <c r="K197" s="17">
        <v>4.3499999999999997E-2</v>
      </c>
      <c r="L197" s="17">
        <v>0.20349999999999999</v>
      </c>
      <c r="M197" s="17">
        <v>0.4037</v>
      </c>
      <c r="N197" s="17">
        <v>0.64910000000000001</v>
      </c>
      <c r="O197" s="17">
        <v>0.91690000000000005</v>
      </c>
      <c r="P197" s="17">
        <v>1.1879999999999999</v>
      </c>
      <c r="Q197" s="17">
        <v>1.4577</v>
      </c>
      <c r="R197" s="17">
        <v>1.7278</v>
      </c>
      <c r="S197" s="17">
        <v>1.9813000000000001</v>
      </c>
      <c r="T197" s="17">
        <v>2.2195999999999998</v>
      </c>
      <c r="U197" s="17">
        <v>2.4224999999999999</v>
      </c>
      <c r="V197" s="17">
        <v>2.5956000000000001</v>
      </c>
      <c r="W197" s="17">
        <v>2.7475000000000001</v>
      </c>
      <c r="X197" s="17">
        <v>2.8729</v>
      </c>
      <c r="Y197" s="17">
        <v>2.9619</v>
      </c>
      <c r="Z197" s="17">
        <v>3.0009000000000001</v>
      </c>
      <c r="AA197" s="17">
        <v>3.0122</v>
      </c>
      <c r="AB197" s="17">
        <v>2.9910000000000001</v>
      </c>
      <c r="AC197" s="17">
        <v>2.92</v>
      </c>
      <c r="AD197" s="17">
        <v>2.8117000000000001</v>
      </c>
      <c r="AE197" s="17">
        <v>2.6823000000000001</v>
      </c>
      <c r="AF197" s="17">
        <v>2.5184000000000002</v>
      </c>
      <c r="AG197" s="17">
        <v>2.3441999999999998</v>
      </c>
      <c r="AH197" s="17">
        <v>2.1345999999999998</v>
      </c>
      <c r="AI197" s="17">
        <v>1.8986000000000001</v>
      </c>
      <c r="AJ197" s="17">
        <v>1.6135999999999999</v>
      </c>
      <c r="AK197" s="17">
        <v>1.3468</v>
      </c>
      <c r="AL197" s="17">
        <v>1.0727</v>
      </c>
      <c r="AM197" s="17">
        <v>0.80759999999999998</v>
      </c>
      <c r="AN197" s="17">
        <v>0.55189999999999995</v>
      </c>
      <c r="AO197" s="17">
        <v>0.32229999999999998</v>
      </c>
      <c r="AP197" s="17">
        <v>9.3799999999999994E-2</v>
      </c>
      <c r="AQ197" s="17">
        <v>1.7299999999999999E-2</v>
      </c>
      <c r="AR197" s="17">
        <v>0</v>
      </c>
      <c r="AS197" s="17">
        <v>0</v>
      </c>
      <c r="AT197" s="17">
        <v>0</v>
      </c>
      <c r="AU197" s="17">
        <v>0</v>
      </c>
      <c r="AV197" s="17">
        <v>0</v>
      </c>
      <c r="AW197" s="17">
        <v>0</v>
      </c>
      <c r="AX197" s="17">
        <v>0</v>
      </c>
    </row>
    <row r="198" spans="1:50" x14ac:dyDescent="0.25">
      <c r="A198" s="16" t="s">
        <v>667</v>
      </c>
      <c r="B198" s="13" t="s">
        <v>464</v>
      </c>
      <c r="C198" s="17">
        <v>0</v>
      </c>
      <c r="D198" s="17">
        <v>0</v>
      </c>
      <c r="E198" s="17">
        <v>0</v>
      </c>
      <c r="F198" s="17">
        <v>0</v>
      </c>
      <c r="G198" s="17">
        <v>0</v>
      </c>
      <c r="H198" s="17">
        <v>0</v>
      </c>
      <c r="I198" s="17">
        <v>0</v>
      </c>
      <c r="J198" s="17">
        <v>2.5999999999999999E-3</v>
      </c>
      <c r="K198" s="17">
        <v>3.73E-2</v>
      </c>
      <c r="L198" s="17">
        <v>0.1744</v>
      </c>
      <c r="M198" s="17">
        <v>0.34599999999999997</v>
      </c>
      <c r="N198" s="17">
        <v>0.55640000000000001</v>
      </c>
      <c r="O198" s="17">
        <v>0.78590000000000004</v>
      </c>
      <c r="P198" s="17">
        <v>1.0183</v>
      </c>
      <c r="Q198" s="17">
        <v>1.2495000000000001</v>
      </c>
      <c r="R198" s="17">
        <v>1.4810000000000001</v>
      </c>
      <c r="S198" s="17">
        <v>1.6981999999999999</v>
      </c>
      <c r="T198" s="17">
        <v>1.9025000000000001</v>
      </c>
      <c r="U198" s="17">
        <v>2.0764</v>
      </c>
      <c r="V198" s="17">
        <v>2.2248000000000001</v>
      </c>
      <c r="W198" s="17">
        <v>2.355</v>
      </c>
      <c r="X198" s="17">
        <v>2.4624999999999999</v>
      </c>
      <c r="Y198" s="17">
        <v>2.5387</v>
      </c>
      <c r="Z198" s="17">
        <v>2.5722</v>
      </c>
      <c r="AA198" s="17">
        <v>2.5819000000000001</v>
      </c>
      <c r="AB198" s="17">
        <v>2.5636999999999999</v>
      </c>
      <c r="AC198" s="17">
        <v>2.5028999999999999</v>
      </c>
      <c r="AD198" s="17">
        <v>2.41</v>
      </c>
      <c r="AE198" s="17">
        <v>2.2991000000000001</v>
      </c>
      <c r="AF198" s="17">
        <v>2.1585999999999999</v>
      </c>
      <c r="AG198" s="17">
        <v>2.0093000000000001</v>
      </c>
      <c r="AH198" s="17">
        <v>1.8297000000000001</v>
      </c>
      <c r="AI198" s="17">
        <v>1.6274</v>
      </c>
      <c r="AJ198" s="17">
        <v>1.3831</v>
      </c>
      <c r="AK198" s="17">
        <v>1.1544000000000001</v>
      </c>
      <c r="AL198" s="17">
        <v>0.91949999999999998</v>
      </c>
      <c r="AM198" s="17">
        <v>0.69220000000000004</v>
      </c>
      <c r="AN198" s="17">
        <v>0.47310000000000002</v>
      </c>
      <c r="AO198" s="17">
        <v>0.2762</v>
      </c>
      <c r="AP198" s="17">
        <v>8.0399999999999999E-2</v>
      </c>
      <c r="AQ198" s="17">
        <v>1.4800000000000001E-2</v>
      </c>
      <c r="AR198" s="17">
        <v>0</v>
      </c>
      <c r="AS198" s="17">
        <v>0</v>
      </c>
      <c r="AT198" s="17">
        <v>0</v>
      </c>
      <c r="AU198" s="17">
        <v>0</v>
      </c>
      <c r="AV198" s="17">
        <v>0</v>
      </c>
      <c r="AW198" s="17">
        <v>0</v>
      </c>
      <c r="AX198" s="17">
        <v>0</v>
      </c>
    </row>
    <row r="199" spans="1:50" x14ac:dyDescent="0.25">
      <c r="A199" s="16" t="s">
        <v>669</v>
      </c>
      <c r="B199" s="13" t="s">
        <v>464</v>
      </c>
      <c r="C199" s="17">
        <v>0</v>
      </c>
      <c r="D199" s="17">
        <v>0</v>
      </c>
      <c r="E199" s="17">
        <v>0</v>
      </c>
      <c r="F199" s="17">
        <v>0</v>
      </c>
      <c r="G199" s="17">
        <v>0</v>
      </c>
      <c r="H199" s="17">
        <v>0</v>
      </c>
      <c r="I199" s="17">
        <v>0</v>
      </c>
      <c r="J199" s="17">
        <v>2.2000000000000001E-3</v>
      </c>
      <c r="K199" s="17">
        <v>3.1099999999999999E-2</v>
      </c>
      <c r="L199" s="17">
        <v>0.1454</v>
      </c>
      <c r="M199" s="17">
        <v>0.2883</v>
      </c>
      <c r="N199" s="17">
        <v>0.4637</v>
      </c>
      <c r="O199" s="17">
        <v>0.65490000000000004</v>
      </c>
      <c r="P199" s="17">
        <v>0.84860000000000002</v>
      </c>
      <c r="Q199" s="17">
        <v>1.0411999999999999</v>
      </c>
      <c r="R199" s="17">
        <v>1.2341</v>
      </c>
      <c r="S199" s="17">
        <v>1.4152</v>
      </c>
      <c r="T199" s="17">
        <v>1.5853999999999999</v>
      </c>
      <c r="U199" s="17">
        <v>1.7303999999999999</v>
      </c>
      <c r="V199" s="17">
        <v>1.8540000000000001</v>
      </c>
      <c r="W199" s="17">
        <v>1.9624999999999999</v>
      </c>
      <c r="X199" s="17">
        <v>2.0520999999999998</v>
      </c>
      <c r="Y199" s="17">
        <v>2.1156000000000001</v>
      </c>
      <c r="Z199" s="17">
        <v>2.1435</v>
      </c>
      <c r="AA199" s="17">
        <v>2.1516000000000002</v>
      </c>
      <c r="AB199" s="17">
        <v>2.1364999999999998</v>
      </c>
      <c r="AC199" s="17">
        <v>2.0857000000000001</v>
      </c>
      <c r="AD199" s="17">
        <v>2.0083000000000002</v>
      </c>
      <c r="AE199" s="17">
        <v>1.9158999999999999</v>
      </c>
      <c r="AF199" s="17">
        <v>1.7988999999999999</v>
      </c>
      <c r="AG199" s="17">
        <v>1.6745000000000001</v>
      </c>
      <c r="AH199" s="17">
        <v>1.5246999999999999</v>
      </c>
      <c r="AI199" s="17">
        <v>1.3561000000000001</v>
      </c>
      <c r="AJ199" s="17">
        <v>1.1525000000000001</v>
      </c>
      <c r="AK199" s="17">
        <v>0.96199999999999997</v>
      </c>
      <c r="AL199" s="17">
        <v>0.76619999999999999</v>
      </c>
      <c r="AM199" s="17">
        <v>0.57679999999999998</v>
      </c>
      <c r="AN199" s="17">
        <v>0.39419999999999999</v>
      </c>
      <c r="AO199" s="17">
        <v>0.23019999999999999</v>
      </c>
      <c r="AP199" s="17">
        <v>6.7000000000000004E-2</v>
      </c>
      <c r="AQ199" s="17">
        <v>1.24E-2</v>
      </c>
      <c r="AR199" s="17">
        <v>0</v>
      </c>
      <c r="AS199" s="17">
        <v>0</v>
      </c>
      <c r="AT199" s="17">
        <v>0</v>
      </c>
      <c r="AU199" s="17">
        <v>0</v>
      </c>
      <c r="AV199" s="17">
        <v>0</v>
      </c>
      <c r="AW199" s="17">
        <v>0</v>
      </c>
      <c r="AX199" s="17">
        <v>0</v>
      </c>
    </row>
    <row r="200" spans="1:50" x14ac:dyDescent="0.25">
      <c r="A200" s="8" t="s">
        <v>238</v>
      </c>
      <c r="B200" s="10" t="s">
        <v>57</v>
      </c>
      <c r="C200" s="18">
        <v>0</v>
      </c>
      <c r="D200" s="18">
        <v>0</v>
      </c>
      <c r="E200" s="18">
        <v>0</v>
      </c>
      <c r="F200" s="18">
        <v>0</v>
      </c>
      <c r="G200" s="18">
        <v>0</v>
      </c>
      <c r="H200" s="18">
        <v>0</v>
      </c>
      <c r="I200" s="18">
        <v>0</v>
      </c>
      <c r="J200" s="18">
        <v>0</v>
      </c>
      <c r="K200" s="18">
        <v>0</v>
      </c>
      <c r="L200" s="18">
        <v>0</v>
      </c>
      <c r="M200" s="18">
        <v>0</v>
      </c>
      <c r="N200" s="18">
        <v>0</v>
      </c>
      <c r="O200" s="18">
        <v>0</v>
      </c>
      <c r="P200" s="18">
        <v>0</v>
      </c>
      <c r="Q200" s="18">
        <v>0</v>
      </c>
      <c r="R200" s="18">
        <v>0</v>
      </c>
      <c r="S200" s="18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8">
        <v>0</v>
      </c>
      <c r="Z200" s="18">
        <v>0</v>
      </c>
      <c r="AA200" s="18">
        <v>0</v>
      </c>
      <c r="AB200" s="18">
        <v>0</v>
      </c>
      <c r="AC200" s="18">
        <v>0</v>
      </c>
      <c r="AD200" s="18">
        <v>0</v>
      </c>
      <c r="AE200" s="18">
        <v>0</v>
      </c>
      <c r="AF200" s="18">
        <v>0</v>
      </c>
      <c r="AG200" s="18">
        <v>0</v>
      </c>
      <c r="AH200" s="18">
        <v>0</v>
      </c>
      <c r="AI200" s="18">
        <v>0</v>
      </c>
      <c r="AJ200" s="18">
        <v>0</v>
      </c>
      <c r="AK200" s="18">
        <v>0</v>
      </c>
      <c r="AL200" s="18">
        <v>0</v>
      </c>
      <c r="AM200" s="18">
        <v>0</v>
      </c>
      <c r="AN200" s="18">
        <v>0</v>
      </c>
      <c r="AO200" s="18">
        <v>0</v>
      </c>
      <c r="AP200" s="18">
        <v>0</v>
      </c>
      <c r="AQ200" s="18">
        <v>0</v>
      </c>
      <c r="AR200" s="18">
        <v>0</v>
      </c>
      <c r="AS200" s="18">
        <v>0</v>
      </c>
      <c r="AT200" s="18">
        <v>0</v>
      </c>
      <c r="AU200" s="18">
        <v>0</v>
      </c>
      <c r="AV200" s="18">
        <v>0</v>
      </c>
      <c r="AW200" s="18">
        <v>0</v>
      </c>
      <c r="AX200" s="18">
        <v>0</v>
      </c>
    </row>
    <row r="201" spans="1:50" x14ac:dyDescent="0.25">
      <c r="A201" s="8" t="s">
        <v>240</v>
      </c>
      <c r="B201" s="10" t="s">
        <v>57</v>
      </c>
      <c r="C201" s="18">
        <v>0</v>
      </c>
      <c r="D201" s="18">
        <v>0</v>
      </c>
      <c r="E201" s="18">
        <v>0</v>
      </c>
      <c r="F201" s="18">
        <v>0</v>
      </c>
      <c r="G201" s="18">
        <v>0</v>
      </c>
      <c r="H201" s="18">
        <v>0</v>
      </c>
      <c r="I201" s="18">
        <v>0</v>
      </c>
      <c r="J201" s="18">
        <v>0</v>
      </c>
      <c r="K201" s="18">
        <v>0</v>
      </c>
      <c r="L201" s="18">
        <v>0</v>
      </c>
      <c r="M201" s="18">
        <v>0</v>
      </c>
      <c r="N201" s="18">
        <v>0</v>
      </c>
      <c r="O201" s="18">
        <v>0</v>
      </c>
      <c r="P201" s="18">
        <v>0</v>
      </c>
      <c r="Q201" s="18">
        <v>0</v>
      </c>
      <c r="R201" s="18">
        <v>0</v>
      </c>
      <c r="S201" s="18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8">
        <v>0</v>
      </c>
      <c r="Z201" s="18">
        <v>0</v>
      </c>
      <c r="AA201" s="18">
        <v>0</v>
      </c>
      <c r="AB201" s="18">
        <v>0</v>
      </c>
      <c r="AC201" s="18">
        <v>0</v>
      </c>
      <c r="AD201" s="18">
        <v>0</v>
      </c>
      <c r="AE201" s="18">
        <v>0</v>
      </c>
      <c r="AF201" s="18">
        <v>0</v>
      </c>
      <c r="AG201" s="18">
        <v>0</v>
      </c>
      <c r="AH201" s="18">
        <v>0</v>
      </c>
      <c r="AI201" s="18">
        <v>0</v>
      </c>
      <c r="AJ201" s="18">
        <v>0</v>
      </c>
      <c r="AK201" s="18">
        <v>0</v>
      </c>
      <c r="AL201" s="18">
        <v>0</v>
      </c>
      <c r="AM201" s="18">
        <v>0</v>
      </c>
      <c r="AN201" s="18">
        <v>0</v>
      </c>
      <c r="AO201" s="18">
        <v>0</v>
      </c>
      <c r="AP201" s="18">
        <v>0</v>
      </c>
      <c r="AQ201" s="18">
        <v>0</v>
      </c>
      <c r="AR201" s="18">
        <v>0</v>
      </c>
      <c r="AS201" s="18">
        <v>0</v>
      </c>
      <c r="AT201" s="18">
        <v>0</v>
      </c>
      <c r="AU201" s="18">
        <v>0</v>
      </c>
      <c r="AV201" s="18">
        <v>0</v>
      </c>
      <c r="AW201" s="18">
        <v>0</v>
      </c>
      <c r="AX201" s="18">
        <v>0</v>
      </c>
    </row>
    <row r="202" spans="1:50" x14ac:dyDescent="0.25">
      <c r="A202" s="16" t="s">
        <v>671</v>
      </c>
      <c r="B202" s="13" t="s">
        <v>464</v>
      </c>
      <c r="C202" s="17">
        <v>0</v>
      </c>
      <c r="D202" s="17">
        <v>0</v>
      </c>
      <c r="E202" s="17">
        <v>0</v>
      </c>
      <c r="F202" s="17">
        <v>0</v>
      </c>
      <c r="G202" s="17">
        <v>0</v>
      </c>
      <c r="H202" s="17">
        <v>0</v>
      </c>
      <c r="I202" s="17">
        <v>0</v>
      </c>
      <c r="J202" s="17">
        <v>3.3999999999999998E-3</v>
      </c>
      <c r="K202" s="17">
        <v>4.9700000000000001E-2</v>
      </c>
      <c r="L202" s="17">
        <v>0.2326</v>
      </c>
      <c r="M202" s="17">
        <v>0.46129999999999999</v>
      </c>
      <c r="N202" s="17">
        <v>0.7419</v>
      </c>
      <c r="O202" s="17">
        <v>1.0479000000000001</v>
      </c>
      <c r="P202" s="17">
        <v>1.3576999999999999</v>
      </c>
      <c r="Q202" s="17">
        <v>1.6659999999999999</v>
      </c>
      <c r="R202" s="17">
        <v>1.9745999999999999</v>
      </c>
      <c r="S202" s="17">
        <v>2.2643</v>
      </c>
      <c r="T202" s="17">
        <v>2.5367000000000002</v>
      </c>
      <c r="U202" s="17">
        <v>2.7686000000000002</v>
      </c>
      <c r="V202" s="17">
        <v>2.9664000000000001</v>
      </c>
      <c r="W202" s="17">
        <v>3.14</v>
      </c>
      <c r="X202" s="17">
        <v>3.2833000000000001</v>
      </c>
      <c r="Y202" s="17">
        <v>3.3849999999999998</v>
      </c>
      <c r="Z202" s="17">
        <v>3.4296000000000002</v>
      </c>
      <c r="AA202" s="17">
        <v>3.4424999999999999</v>
      </c>
      <c r="AB202" s="17">
        <v>3.4182999999999999</v>
      </c>
      <c r="AC202" s="17">
        <v>3.3372000000000002</v>
      </c>
      <c r="AD202" s="17">
        <v>3.2132999999999998</v>
      </c>
      <c r="AE202" s="17">
        <v>3.0655000000000001</v>
      </c>
      <c r="AF202" s="17">
        <v>2.8782000000000001</v>
      </c>
      <c r="AG202" s="17">
        <v>2.6791</v>
      </c>
      <c r="AH202" s="17">
        <v>2.4396</v>
      </c>
      <c r="AI202" s="17">
        <v>2.1698</v>
      </c>
      <c r="AJ202" s="17">
        <v>1.8441000000000001</v>
      </c>
      <c r="AK202" s="17">
        <v>1.5391999999999999</v>
      </c>
      <c r="AL202" s="17">
        <v>1.2259</v>
      </c>
      <c r="AM202" s="17">
        <v>0.92290000000000005</v>
      </c>
      <c r="AN202" s="17">
        <v>0.63080000000000003</v>
      </c>
      <c r="AO202" s="17">
        <v>0.36830000000000002</v>
      </c>
      <c r="AP202" s="17">
        <v>0.1072</v>
      </c>
      <c r="AQ202" s="17">
        <v>1.9800000000000002E-2</v>
      </c>
      <c r="AR202" s="17">
        <v>0</v>
      </c>
      <c r="AS202" s="17">
        <v>0</v>
      </c>
      <c r="AT202" s="17">
        <v>0</v>
      </c>
      <c r="AU202" s="17">
        <v>0</v>
      </c>
      <c r="AV202" s="17">
        <v>0</v>
      </c>
      <c r="AW202" s="17">
        <v>0</v>
      </c>
      <c r="AX202" s="17">
        <v>0</v>
      </c>
    </row>
    <row r="203" spans="1:50" x14ac:dyDescent="0.25">
      <c r="A203" s="8" t="s">
        <v>242</v>
      </c>
      <c r="B203" s="10" t="s">
        <v>57</v>
      </c>
      <c r="C203" s="18">
        <v>0</v>
      </c>
      <c r="D203" s="18">
        <v>0</v>
      </c>
      <c r="E203" s="18">
        <v>0</v>
      </c>
      <c r="F203" s="18">
        <v>0</v>
      </c>
      <c r="G203" s="18">
        <v>0</v>
      </c>
      <c r="H203" s="18">
        <v>0</v>
      </c>
      <c r="I203" s="18">
        <v>0</v>
      </c>
      <c r="J203" s="18">
        <v>0</v>
      </c>
      <c r="K203" s="18">
        <v>0</v>
      </c>
      <c r="L203" s="18">
        <v>0</v>
      </c>
      <c r="M203" s="18">
        <v>0</v>
      </c>
      <c r="N203" s="18">
        <v>0</v>
      </c>
      <c r="O203" s="18">
        <v>0</v>
      </c>
      <c r="P203" s="18">
        <v>0</v>
      </c>
      <c r="Q203" s="18">
        <v>0</v>
      </c>
      <c r="R203" s="18">
        <v>0</v>
      </c>
      <c r="S203" s="18">
        <v>0</v>
      </c>
      <c r="T203" s="18">
        <v>0</v>
      </c>
      <c r="U203" s="18">
        <v>0</v>
      </c>
      <c r="V203" s="18">
        <v>0</v>
      </c>
      <c r="W203" s="18">
        <v>0</v>
      </c>
      <c r="X203" s="18">
        <v>0</v>
      </c>
      <c r="Y203" s="18">
        <v>0</v>
      </c>
      <c r="Z203" s="18">
        <v>0</v>
      </c>
      <c r="AA203" s="18">
        <v>0</v>
      </c>
      <c r="AB203" s="18">
        <v>0</v>
      </c>
      <c r="AC203" s="18">
        <v>0</v>
      </c>
      <c r="AD203" s="18">
        <v>0</v>
      </c>
      <c r="AE203" s="18">
        <v>0</v>
      </c>
      <c r="AF203" s="18">
        <v>0</v>
      </c>
      <c r="AG203" s="18">
        <v>0</v>
      </c>
      <c r="AH203" s="18">
        <v>0</v>
      </c>
      <c r="AI203" s="18">
        <v>0</v>
      </c>
      <c r="AJ203" s="18">
        <v>0</v>
      </c>
      <c r="AK203" s="18">
        <v>0</v>
      </c>
      <c r="AL203" s="18">
        <v>0</v>
      </c>
      <c r="AM203" s="18">
        <v>0</v>
      </c>
      <c r="AN203" s="18">
        <v>0</v>
      </c>
      <c r="AO203" s="18">
        <v>0</v>
      </c>
      <c r="AP203" s="18">
        <v>0</v>
      </c>
      <c r="AQ203" s="18">
        <v>0</v>
      </c>
      <c r="AR203" s="18">
        <v>0</v>
      </c>
      <c r="AS203" s="18">
        <v>0</v>
      </c>
      <c r="AT203" s="18">
        <v>0</v>
      </c>
      <c r="AU203" s="18">
        <v>0</v>
      </c>
      <c r="AV203" s="18">
        <v>0</v>
      </c>
      <c r="AW203" s="18">
        <v>0</v>
      </c>
      <c r="AX203" s="18">
        <v>0</v>
      </c>
    </row>
    <row r="204" spans="1:50" x14ac:dyDescent="0.25">
      <c r="A204" s="8" t="s">
        <v>244</v>
      </c>
      <c r="B204" s="10" t="s">
        <v>57</v>
      </c>
      <c r="C204" s="18">
        <v>0</v>
      </c>
      <c r="D204" s="18">
        <v>0</v>
      </c>
      <c r="E204" s="18">
        <v>0</v>
      </c>
      <c r="F204" s="18">
        <v>0</v>
      </c>
      <c r="G204" s="18">
        <v>0</v>
      </c>
      <c r="H204" s="18">
        <v>0</v>
      </c>
      <c r="I204" s="18">
        <v>0</v>
      </c>
      <c r="J204" s="18">
        <v>0</v>
      </c>
      <c r="K204" s="18">
        <v>0</v>
      </c>
      <c r="L204" s="18">
        <v>0</v>
      </c>
      <c r="M204" s="18">
        <v>0</v>
      </c>
      <c r="N204" s="18">
        <v>0</v>
      </c>
      <c r="O204" s="18">
        <v>0</v>
      </c>
      <c r="P204" s="18">
        <v>0</v>
      </c>
      <c r="Q204" s="18">
        <v>0</v>
      </c>
      <c r="R204" s="18">
        <v>0</v>
      </c>
      <c r="S204" s="18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 s="18">
        <v>0</v>
      </c>
      <c r="Z204" s="18">
        <v>0</v>
      </c>
      <c r="AA204" s="18">
        <v>0</v>
      </c>
      <c r="AB204" s="18">
        <v>0</v>
      </c>
      <c r="AC204" s="18">
        <v>0</v>
      </c>
      <c r="AD204" s="18">
        <v>0</v>
      </c>
      <c r="AE204" s="18">
        <v>0</v>
      </c>
      <c r="AF204" s="18">
        <v>0</v>
      </c>
      <c r="AG204" s="18">
        <v>0</v>
      </c>
      <c r="AH204" s="18">
        <v>0</v>
      </c>
      <c r="AI204" s="18">
        <v>0</v>
      </c>
      <c r="AJ204" s="18">
        <v>0</v>
      </c>
      <c r="AK204" s="18">
        <v>0</v>
      </c>
      <c r="AL204" s="18">
        <v>0</v>
      </c>
      <c r="AM204" s="18">
        <v>0</v>
      </c>
      <c r="AN204" s="18">
        <v>0</v>
      </c>
      <c r="AO204" s="18">
        <v>0</v>
      </c>
      <c r="AP204" s="18">
        <v>0</v>
      </c>
      <c r="AQ204" s="18">
        <v>0</v>
      </c>
      <c r="AR204" s="18">
        <v>0</v>
      </c>
      <c r="AS204" s="18">
        <v>0</v>
      </c>
      <c r="AT204" s="18">
        <v>0</v>
      </c>
      <c r="AU204" s="18">
        <v>0</v>
      </c>
      <c r="AV204" s="18">
        <v>0</v>
      </c>
      <c r="AW204" s="18">
        <v>0</v>
      </c>
      <c r="AX204" s="18">
        <v>0</v>
      </c>
    </row>
    <row r="205" spans="1:50" x14ac:dyDescent="0.25">
      <c r="A205" s="16" t="s">
        <v>673</v>
      </c>
      <c r="B205" s="13" t="s">
        <v>464</v>
      </c>
      <c r="C205" s="17">
        <v>0</v>
      </c>
      <c r="D205" s="17">
        <v>0</v>
      </c>
      <c r="E205" s="17">
        <v>0</v>
      </c>
      <c r="F205" s="17">
        <v>0</v>
      </c>
      <c r="G205" s="17">
        <v>0</v>
      </c>
      <c r="H205" s="17">
        <v>0</v>
      </c>
      <c r="I205" s="17">
        <v>0</v>
      </c>
      <c r="J205" s="17">
        <v>3.3999999999999998E-3</v>
      </c>
      <c r="K205" s="17">
        <v>4.9700000000000001E-2</v>
      </c>
      <c r="L205" s="17">
        <v>0.2326</v>
      </c>
      <c r="M205" s="17">
        <v>0.46129999999999999</v>
      </c>
      <c r="N205" s="17">
        <v>0.7419</v>
      </c>
      <c r="O205" s="17">
        <v>1.0479000000000001</v>
      </c>
      <c r="P205" s="17">
        <v>1.3576999999999999</v>
      </c>
      <c r="Q205" s="17">
        <v>1.6659999999999999</v>
      </c>
      <c r="R205" s="17">
        <v>1.9745999999999999</v>
      </c>
      <c r="S205" s="17">
        <v>2.2643</v>
      </c>
      <c r="T205" s="17">
        <v>2.5367000000000002</v>
      </c>
      <c r="U205" s="17">
        <v>2.7686000000000002</v>
      </c>
      <c r="V205" s="17">
        <v>2.9664000000000001</v>
      </c>
      <c r="W205" s="17">
        <v>3.14</v>
      </c>
      <c r="X205" s="17">
        <v>3.2833000000000001</v>
      </c>
      <c r="Y205" s="17">
        <v>3.3849999999999998</v>
      </c>
      <c r="Z205" s="17">
        <v>3.4296000000000002</v>
      </c>
      <c r="AA205" s="17">
        <v>3.4424999999999999</v>
      </c>
      <c r="AB205" s="17">
        <v>3.4182999999999999</v>
      </c>
      <c r="AC205" s="17">
        <v>3.3372000000000002</v>
      </c>
      <c r="AD205" s="17">
        <v>3.2132999999999998</v>
      </c>
      <c r="AE205" s="17">
        <v>3.0655000000000001</v>
      </c>
      <c r="AF205" s="17">
        <v>2.8782000000000001</v>
      </c>
      <c r="AG205" s="17">
        <v>2.6791</v>
      </c>
      <c r="AH205" s="17">
        <v>2.4396</v>
      </c>
      <c r="AI205" s="17">
        <v>2.1698</v>
      </c>
      <c r="AJ205" s="17">
        <v>1.8441000000000001</v>
      </c>
      <c r="AK205" s="17">
        <v>1.5391999999999999</v>
      </c>
      <c r="AL205" s="17">
        <v>1.2259</v>
      </c>
      <c r="AM205" s="17">
        <v>0.92290000000000005</v>
      </c>
      <c r="AN205" s="17">
        <v>0.63080000000000003</v>
      </c>
      <c r="AO205" s="17">
        <v>0.36830000000000002</v>
      </c>
      <c r="AP205" s="17">
        <v>0.1072</v>
      </c>
      <c r="AQ205" s="17">
        <v>1.9800000000000002E-2</v>
      </c>
      <c r="AR205" s="17">
        <v>0</v>
      </c>
      <c r="AS205" s="17">
        <v>0</v>
      </c>
      <c r="AT205" s="17">
        <v>0</v>
      </c>
      <c r="AU205" s="17">
        <v>0</v>
      </c>
      <c r="AV205" s="17">
        <v>0</v>
      </c>
      <c r="AW205" s="17">
        <v>0</v>
      </c>
      <c r="AX205" s="17">
        <v>0</v>
      </c>
    </row>
    <row r="206" spans="1:50" x14ac:dyDescent="0.25">
      <c r="A206" s="16" t="s">
        <v>675</v>
      </c>
      <c r="B206" s="13" t="s">
        <v>464</v>
      </c>
      <c r="C206" s="17">
        <v>0</v>
      </c>
      <c r="D206" s="17">
        <v>0</v>
      </c>
      <c r="E206" s="17">
        <v>0</v>
      </c>
      <c r="F206" s="17">
        <v>0</v>
      </c>
      <c r="G206" s="17">
        <v>0</v>
      </c>
      <c r="H206" s="17">
        <v>0</v>
      </c>
      <c r="I206" s="17">
        <v>0</v>
      </c>
      <c r="J206" s="17">
        <v>1.2999999999999999E-3</v>
      </c>
      <c r="K206" s="17">
        <v>1.8700000000000001E-2</v>
      </c>
      <c r="L206" s="17">
        <v>8.72E-2</v>
      </c>
      <c r="M206" s="17">
        <v>0.17299999999999999</v>
      </c>
      <c r="N206" s="17">
        <v>0.2782</v>
      </c>
      <c r="O206" s="17">
        <v>0.39300000000000002</v>
      </c>
      <c r="P206" s="17">
        <v>0.50919999999999999</v>
      </c>
      <c r="Q206" s="17">
        <v>0.62470000000000003</v>
      </c>
      <c r="R206" s="17">
        <v>0.74050000000000005</v>
      </c>
      <c r="S206" s="17">
        <v>0.84909999999999997</v>
      </c>
      <c r="T206" s="17">
        <v>0.95120000000000005</v>
      </c>
      <c r="U206" s="17">
        <v>1.0382</v>
      </c>
      <c r="V206" s="17">
        <v>1.1124000000000001</v>
      </c>
      <c r="W206" s="17">
        <v>1.1775</v>
      </c>
      <c r="X206" s="17">
        <v>1.2312000000000001</v>
      </c>
      <c r="Y206" s="17">
        <v>1.2694000000000001</v>
      </c>
      <c r="Z206" s="17">
        <v>1.2861</v>
      </c>
      <c r="AA206" s="17">
        <v>1.2908999999999999</v>
      </c>
      <c r="AB206" s="17">
        <v>1.2819</v>
      </c>
      <c r="AC206" s="17">
        <v>1.2514000000000001</v>
      </c>
      <c r="AD206" s="17">
        <v>1.2050000000000001</v>
      </c>
      <c r="AE206" s="17">
        <v>1.1496</v>
      </c>
      <c r="AF206" s="17">
        <v>1.0792999999999999</v>
      </c>
      <c r="AG206" s="17">
        <v>1.0046999999999999</v>
      </c>
      <c r="AH206" s="17">
        <v>0.91479999999999995</v>
      </c>
      <c r="AI206" s="17">
        <v>0.81369999999999998</v>
      </c>
      <c r="AJ206" s="17">
        <v>0.6915</v>
      </c>
      <c r="AK206" s="17">
        <v>0.57720000000000005</v>
      </c>
      <c r="AL206" s="17">
        <v>0.4597</v>
      </c>
      <c r="AM206" s="17">
        <v>0.34610000000000002</v>
      </c>
      <c r="AN206" s="17">
        <v>0.23649999999999999</v>
      </c>
      <c r="AO206" s="17">
        <v>0.1381</v>
      </c>
      <c r="AP206" s="17">
        <v>4.02E-2</v>
      </c>
      <c r="AQ206" s="17">
        <v>7.4000000000000003E-3</v>
      </c>
      <c r="AR206" s="17">
        <v>0</v>
      </c>
      <c r="AS206" s="17">
        <v>0</v>
      </c>
      <c r="AT206" s="17">
        <v>0</v>
      </c>
      <c r="AU206" s="17">
        <v>0</v>
      </c>
      <c r="AV206" s="17">
        <v>0</v>
      </c>
      <c r="AW206" s="17">
        <v>0</v>
      </c>
      <c r="AX206" s="17">
        <v>0</v>
      </c>
    </row>
    <row r="207" spans="1:50" x14ac:dyDescent="0.25">
      <c r="A207" s="16" t="s">
        <v>677</v>
      </c>
      <c r="B207" s="13" t="s">
        <v>464</v>
      </c>
      <c r="C207" s="17">
        <v>0</v>
      </c>
      <c r="D207" s="17">
        <v>0</v>
      </c>
      <c r="E207" s="17">
        <v>0</v>
      </c>
      <c r="F207" s="17">
        <v>0</v>
      </c>
      <c r="G207" s="17">
        <v>0</v>
      </c>
      <c r="H207" s="17">
        <v>0</v>
      </c>
      <c r="I207" s="17">
        <v>0</v>
      </c>
      <c r="J207" s="17">
        <v>3.0000000000000001E-3</v>
      </c>
      <c r="K207" s="17">
        <v>4.3499999999999997E-2</v>
      </c>
      <c r="L207" s="17">
        <v>0.20349999999999999</v>
      </c>
      <c r="M207" s="17">
        <v>0.4037</v>
      </c>
      <c r="N207" s="17">
        <v>0.64910000000000001</v>
      </c>
      <c r="O207" s="17">
        <v>0.91690000000000005</v>
      </c>
      <c r="P207" s="17">
        <v>1.1879999999999999</v>
      </c>
      <c r="Q207" s="17">
        <v>1.4577</v>
      </c>
      <c r="R207" s="17">
        <v>1.7278</v>
      </c>
      <c r="S207" s="17">
        <v>1.9813000000000001</v>
      </c>
      <c r="T207" s="17">
        <v>2.2195999999999998</v>
      </c>
      <c r="U207" s="17">
        <v>2.4224999999999999</v>
      </c>
      <c r="V207" s="17">
        <v>2.5956000000000001</v>
      </c>
      <c r="W207" s="17">
        <v>2.7475000000000001</v>
      </c>
      <c r="X207" s="17">
        <v>2.8729</v>
      </c>
      <c r="Y207" s="17">
        <v>2.9619</v>
      </c>
      <c r="Z207" s="17">
        <v>3.0009000000000001</v>
      </c>
      <c r="AA207" s="17">
        <v>3.0122</v>
      </c>
      <c r="AB207" s="17">
        <v>2.9910000000000001</v>
      </c>
      <c r="AC207" s="17">
        <v>2.92</v>
      </c>
      <c r="AD207" s="17">
        <v>2.8117000000000001</v>
      </c>
      <c r="AE207" s="17">
        <v>2.6823000000000001</v>
      </c>
      <c r="AF207" s="17">
        <v>2.5184000000000002</v>
      </c>
      <c r="AG207" s="17">
        <v>2.3441999999999998</v>
      </c>
      <c r="AH207" s="17">
        <v>2.1345999999999998</v>
      </c>
      <c r="AI207" s="17">
        <v>1.8986000000000001</v>
      </c>
      <c r="AJ207" s="17">
        <v>1.6135999999999999</v>
      </c>
      <c r="AK207" s="17">
        <v>1.3468</v>
      </c>
      <c r="AL207" s="17">
        <v>1.0727</v>
      </c>
      <c r="AM207" s="17">
        <v>0.80759999999999998</v>
      </c>
      <c r="AN207" s="17">
        <v>0.55189999999999995</v>
      </c>
      <c r="AO207" s="17">
        <v>0.32229999999999998</v>
      </c>
      <c r="AP207" s="17">
        <v>9.3799999999999994E-2</v>
      </c>
      <c r="AQ207" s="17">
        <v>1.7299999999999999E-2</v>
      </c>
      <c r="AR207" s="17">
        <v>0</v>
      </c>
      <c r="AS207" s="17">
        <v>0</v>
      </c>
      <c r="AT207" s="17">
        <v>0</v>
      </c>
      <c r="AU207" s="17">
        <v>0</v>
      </c>
      <c r="AV207" s="17">
        <v>0</v>
      </c>
      <c r="AW207" s="17">
        <v>0</v>
      </c>
      <c r="AX207" s="17">
        <v>0</v>
      </c>
    </row>
    <row r="208" spans="1:50" x14ac:dyDescent="0.25">
      <c r="A208" s="16" t="s">
        <v>679</v>
      </c>
      <c r="B208" s="13" t="s">
        <v>464</v>
      </c>
      <c r="C208" s="17">
        <v>0</v>
      </c>
      <c r="D208" s="17">
        <v>0</v>
      </c>
      <c r="E208" s="17">
        <v>0</v>
      </c>
      <c r="F208" s="17">
        <v>0</v>
      </c>
      <c r="G208" s="17">
        <v>0</v>
      </c>
      <c r="H208" s="17">
        <v>0</v>
      </c>
      <c r="I208" s="17">
        <v>0</v>
      </c>
      <c r="J208" s="17">
        <v>3.3999999999999998E-3</v>
      </c>
      <c r="K208" s="17">
        <v>4.9700000000000001E-2</v>
      </c>
      <c r="L208" s="17">
        <v>0.2326</v>
      </c>
      <c r="M208" s="17">
        <v>0.46129999999999999</v>
      </c>
      <c r="N208" s="17">
        <v>0.7419</v>
      </c>
      <c r="O208" s="17">
        <v>1.0479000000000001</v>
      </c>
      <c r="P208" s="17">
        <v>1.3576999999999999</v>
      </c>
      <c r="Q208" s="17">
        <v>1.6659999999999999</v>
      </c>
      <c r="R208" s="17">
        <v>1.9745999999999999</v>
      </c>
      <c r="S208" s="17">
        <v>2.2643</v>
      </c>
      <c r="T208" s="17">
        <v>2.5367000000000002</v>
      </c>
      <c r="U208" s="17">
        <v>2.7686000000000002</v>
      </c>
      <c r="V208" s="17">
        <v>2.9664000000000001</v>
      </c>
      <c r="W208" s="17">
        <v>3.14</v>
      </c>
      <c r="X208" s="17">
        <v>3.2833000000000001</v>
      </c>
      <c r="Y208" s="17">
        <v>3.3849999999999998</v>
      </c>
      <c r="Z208" s="17">
        <v>3.4296000000000002</v>
      </c>
      <c r="AA208" s="17">
        <v>3.4424999999999999</v>
      </c>
      <c r="AB208" s="17">
        <v>3.4182999999999999</v>
      </c>
      <c r="AC208" s="17">
        <v>3.3372000000000002</v>
      </c>
      <c r="AD208" s="17">
        <v>3.2132999999999998</v>
      </c>
      <c r="AE208" s="17">
        <v>3.0655000000000001</v>
      </c>
      <c r="AF208" s="17">
        <v>2.8782000000000001</v>
      </c>
      <c r="AG208" s="17">
        <v>2.6791</v>
      </c>
      <c r="AH208" s="17">
        <v>2.4396</v>
      </c>
      <c r="AI208" s="17">
        <v>2.1698</v>
      </c>
      <c r="AJ208" s="17">
        <v>1.8441000000000001</v>
      </c>
      <c r="AK208" s="17">
        <v>1.5391999999999999</v>
      </c>
      <c r="AL208" s="17">
        <v>1.2259</v>
      </c>
      <c r="AM208" s="17">
        <v>0.92290000000000005</v>
      </c>
      <c r="AN208" s="17">
        <v>0.63080000000000003</v>
      </c>
      <c r="AO208" s="17">
        <v>0.36830000000000002</v>
      </c>
      <c r="AP208" s="17">
        <v>0.1072</v>
      </c>
      <c r="AQ208" s="17">
        <v>1.9800000000000002E-2</v>
      </c>
      <c r="AR208" s="17">
        <v>0</v>
      </c>
      <c r="AS208" s="17">
        <v>0</v>
      </c>
      <c r="AT208" s="17">
        <v>0</v>
      </c>
      <c r="AU208" s="17">
        <v>0</v>
      </c>
      <c r="AV208" s="17">
        <v>0</v>
      </c>
      <c r="AW208" s="17">
        <v>0</v>
      </c>
      <c r="AX208" s="17">
        <v>0</v>
      </c>
    </row>
    <row r="209" spans="1:50" x14ac:dyDescent="0.25">
      <c r="A209" s="16" t="s">
        <v>681</v>
      </c>
      <c r="B209" s="13" t="s">
        <v>464</v>
      </c>
      <c r="C209" s="17">
        <v>0</v>
      </c>
      <c r="D209" s="17">
        <v>0</v>
      </c>
      <c r="E209" s="17">
        <v>0</v>
      </c>
      <c r="F209" s="17">
        <v>0</v>
      </c>
      <c r="G209" s="17">
        <v>0</v>
      </c>
      <c r="H209" s="17">
        <v>0</v>
      </c>
      <c r="I209" s="17">
        <v>0</v>
      </c>
      <c r="J209" s="17">
        <v>3.0000000000000001E-3</v>
      </c>
      <c r="K209" s="17">
        <v>4.3499999999999997E-2</v>
      </c>
      <c r="L209" s="17">
        <v>0.20349999999999999</v>
      </c>
      <c r="M209" s="17">
        <v>0.4037</v>
      </c>
      <c r="N209" s="17">
        <v>0.64910000000000001</v>
      </c>
      <c r="O209" s="17">
        <v>0.91690000000000005</v>
      </c>
      <c r="P209" s="17">
        <v>1.1879999999999999</v>
      </c>
      <c r="Q209" s="17">
        <v>1.4577</v>
      </c>
      <c r="R209" s="17">
        <v>1.7278</v>
      </c>
      <c r="S209" s="17">
        <v>1.9813000000000001</v>
      </c>
      <c r="T209" s="17">
        <v>2.2195999999999998</v>
      </c>
      <c r="U209" s="17">
        <v>2.4224999999999999</v>
      </c>
      <c r="V209" s="17">
        <v>2.5956000000000001</v>
      </c>
      <c r="W209" s="17">
        <v>2.7475000000000001</v>
      </c>
      <c r="X209" s="17">
        <v>2.8729</v>
      </c>
      <c r="Y209" s="17">
        <v>2.9619</v>
      </c>
      <c r="Z209" s="17">
        <v>3.0009000000000001</v>
      </c>
      <c r="AA209" s="17">
        <v>3.0122</v>
      </c>
      <c r="AB209" s="17">
        <v>2.9910000000000001</v>
      </c>
      <c r="AC209" s="17">
        <v>2.92</v>
      </c>
      <c r="AD209" s="17">
        <v>2.8117000000000001</v>
      </c>
      <c r="AE209" s="17">
        <v>2.6823000000000001</v>
      </c>
      <c r="AF209" s="17">
        <v>2.5184000000000002</v>
      </c>
      <c r="AG209" s="17">
        <v>2.3441999999999998</v>
      </c>
      <c r="AH209" s="17">
        <v>2.1345999999999998</v>
      </c>
      <c r="AI209" s="17">
        <v>1.8986000000000001</v>
      </c>
      <c r="AJ209" s="17">
        <v>1.6135999999999999</v>
      </c>
      <c r="AK209" s="17">
        <v>1.3468</v>
      </c>
      <c r="AL209" s="17">
        <v>1.0727</v>
      </c>
      <c r="AM209" s="17">
        <v>0.80759999999999998</v>
      </c>
      <c r="AN209" s="17">
        <v>0.55189999999999995</v>
      </c>
      <c r="AO209" s="17">
        <v>0.32229999999999998</v>
      </c>
      <c r="AP209" s="17">
        <v>9.3799999999999994E-2</v>
      </c>
      <c r="AQ209" s="17">
        <v>1.7299999999999999E-2</v>
      </c>
      <c r="AR209" s="17">
        <v>0</v>
      </c>
      <c r="AS209" s="17">
        <v>0</v>
      </c>
      <c r="AT209" s="17">
        <v>0</v>
      </c>
      <c r="AU209" s="17">
        <v>0</v>
      </c>
      <c r="AV209" s="17">
        <v>0</v>
      </c>
      <c r="AW209" s="17">
        <v>0</v>
      </c>
      <c r="AX209" s="17">
        <v>0</v>
      </c>
    </row>
    <row r="210" spans="1:50" x14ac:dyDescent="0.25">
      <c r="A210" s="16" t="s">
        <v>683</v>
      </c>
      <c r="B210" s="13" t="s">
        <v>464</v>
      </c>
      <c r="C210" s="17">
        <v>0</v>
      </c>
      <c r="D210" s="17">
        <v>0</v>
      </c>
      <c r="E210" s="17">
        <v>0</v>
      </c>
      <c r="F210" s="17">
        <v>0</v>
      </c>
      <c r="G210" s="17">
        <v>0</v>
      </c>
      <c r="H210" s="17">
        <v>0</v>
      </c>
      <c r="I210" s="17">
        <v>0</v>
      </c>
      <c r="J210" s="17">
        <v>2.5999999999999999E-3</v>
      </c>
      <c r="K210" s="17">
        <v>3.73E-2</v>
      </c>
      <c r="L210" s="17">
        <v>0.1744</v>
      </c>
      <c r="M210" s="17">
        <v>0.34599999999999997</v>
      </c>
      <c r="N210" s="17">
        <v>0.55640000000000001</v>
      </c>
      <c r="O210" s="17">
        <v>0.78590000000000004</v>
      </c>
      <c r="P210" s="17">
        <v>1.0183</v>
      </c>
      <c r="Q210" s="17">
        <v>1.2495000000000001</v>
      </c>
      <c r="R210" s="17">
        <v>1.4810000000000001</v>
      </c>
      <c r="S210" s="17">
        <v>1.6981999999999999</v>
      </c>
      <c r="T210" s="17">
        <v>1.9025000000000001</v>
      </c>
      <c r="U210" s="17">
        <v>2.0764</v>
      </c>
      <c r="V210" s="17">
        <v>2.2248000000000001</v>
      </c>
      <c r="W210" s="17">
        <v>2.355</v>
      </c>
      <c r="X210" s="17">
        <v>2.4624999999999999</v>
      </c>
      <c r="Y210" s="17">
        <v>2.5387</v>
      </c>
      <c r="Z210" s="17">
        <v>2.5722</v>
      </c>
      <c r="AA210" s="17">
        <v>2.5819000000000001</v>
      </c>
      <c r="AB210" s="17">
        <v>2.5636999999999999</v>
      </c>
      <c r="AC210" s="17">
        <v>2.5028999999999999</v>
      </c>
      <c r="AD210" s="17">
        <v>2.41</v>
      </c>
      <c r="AE210" s="17">
        <v>2.2991000000000001</v>
      </c>
      <c r="AF210" s="17">
        <v>2.1585999999999999</v>
      </c>
      <c r="AG210" s="17">
        <v>2.0093000000000001</v>
      </c>
      <c r="AH210" s="17">
        <v>1.8297000000000001</v>
      </c>
      <c r="AI210" s="17">
        <v>1.6274</v>
      </c>
      <c r="AJ210" s="17">
        <v>1.3831</v>
      </c>
      <c r="AK210" s="17">
        <v>1.1544000000000001</v>
      </c>
      <c r="AL210" s="17">
        <v>0.91949999999999998</v>
      </c>
      <c r="AM210" s="17">
        <v>0.69220000000000004</v>
      </c>
      <c r="AN210" s="17">
        <v>0.47310000000000002</v>
      </c>
      <c r="AO210" s="17">
        <v>0.2762</v>
      </c>
      <c r="AP210" s="17">
        <v>8.0399999999999999E-2</v>
      </c>
      <c r="AQ210" s="17">
        <v>1.4800000000000001E-2</v>
      </c>
      <c r="AR210" s="17">
        <v>0</v>
      </c>
      <c r="AS210" s="17">
        <v>0</v>
      </c>
      <c r="AT210" s="17">
        <v>0</v>
      </c>
      <c r="AU210" s="17">
        <v>0</v>
      </c>
      <c r="AV210" s="17">
        <v>0</v>
      </c>
      <c r="AW210" s="17">
        <v>0</v>
      </c>
      <c r="AX210" s="17">
        <v>0</v>
      </c>
    </row>
    <row r="211" spans="1:50" x14ac:dyDescent="0.25">
      <c r="A211" s="8" t="s">
        <v>246</v>
      </c>
      <c r="B211" s="10" t="s">
        <v>57</v>
      </c>
      <c r="C211" s="18">
        <v>0</v>
      </c>
      <c r="D211" s="18">
        <v>0</v>
      </c>
      <c r="E211" s="18">
        <v>0</v>
      </c>
      <c r="F211" s="18">
        <v>0</v>
      </c>
      <c r="G211" s="18">
        <v>0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18">
        <v>0</v>
      </c>
      <c r="N211" s="18">
        <v>0</v>
      </c>
      <c r="O211" s="18">
        <v>0</v>
      </c>
      <c r="P211" s="18">
        <v>0</v>
      </c>
      <c r="Q211" s="18">
        <v>0</v>
      </c>
      <c r="R211" s="18">
        <v>0</v>
      </c>
      <c r="S211" s="18">
        <v>0</v>
      </c>
      <c r="T211" s="18">
        <v>0</v>
      </c>
      <c r="U211" s="18">
        <v>0</v>
      </c>
      <c r="V211" s="18">
        <v>0</v>
      </c>
      <c r="W211" s="18">
        <v>0</v>
      </c>
      <c r="X211" s="18">
        <v>0</v>
      </c>
      <c r="Y211" s="18">
        <v>0</v>
      </c>
      <c r="Z211" s="18">
        <v>0</v>
      </c>
      <c r="AA211" s="18">
        <v>0</v>
      </c>
      <c r="AB211" s="18">
        <v>0</v>
      </c>
      <c r="AC211" s="18">
        <v>0</v>
      </c>
      <c r="AD211" s="18">
        <v>0</v>
      </c>
      <c r="AE211" s="18">
        <v>0</v>
      </c>
      <c r="AF211" s="18">
        <v>0</v>
      </c>
      <c r="AG211" s="18">
        <v>0</v>
      </c>
      <c r="AH211" s="18">
        <v>0</v>
      </c>
      <c r="AI211" s="18">
        <v>0</v>
      </c>
      <c r="AJ211" s="18">
        <v>0</v>
      </c>
      <c r="AK211" s="18">
        <v>0</v>
      </c>
      <c r="AL211" s="18">
        <v>0</v>
      </c>
      <c r="AM211" s="18">
        <v>0</v>
      </c>
      <c r="AN211" s="18">
        <v>0</v>
      </c>
      <c r="AO211" s="18">
        <v>0</v>
      </c>
      <c r="AP211" s="18">
        <v>0</v>
      </c>
      <c r="AQ211" s="18">
        <v>0</v>
      </c>
      <c r="AR211" s="18">
        <v>0</v>
      </c>
      <c r="AS211" s="18">
        <v>0</v>
      </c>
      <c r="AT211" s="18">
        <v>0</v>
      </c>
      <c r="AU211" s="18">
        <v>0</v>
      </c>
      <c r="AV211" s="18">
        <v>0</v>
      </c>
      <c r="AW211" s="18">
        <v>0</v>
      </c>
      <c r="AX211" s="18">
        <v>0</v>
      </c>
    </row>
    <row r="212" spans="1:50" x14ac:dyDescent="0.25">
      <c r="A212" s="16" t="s">
        <v>685</v>
      </c>
      <c r="B212" s="13" t="s">
        <v>464</v>
      </c>
      <c r="C212" s="17">
        <v>0</v>
      </c>
      <c r="D212" s="17">
        <v>0</v>
      </c>
      <c r="E212" s="17">
        <v>0</v>
      </c>
      <c r="F212" s="17">
        <v>0</v>
      </c>
      <c r="G212" s="17">
        <v>0</v>
      </c>
      <c r="H212" s="17">
        <v>0</v>
      </c>
      <c r="I212" s="17">
        <v>0</v>
      </c>
      <c r="J212" s="17">
        <v>2.5999999999999999E-3</v>
      </c>
      <c r="K212" s="17">
        <v>3.73E-2</v>
      </c>
      <c r="L212" s="17">
        <v>0.1744</v>
      </c>
      <c r="M212" s="17">
        <v>0.34599999999999997</v>
      </c>
      <c r="N212" s="17">
        <v>0.55640000000000001</v>
      </c>
      <c r="O212" s="17">
        <v>0.78590000000000004</v>
      </c>
      <c r="P212" s="17">
        <v>1.0183</v>
      </c>
      <c r="Q212" s="17">
        <v>1.2495000000000001</v>
      </c>
      <c r="R212" s="17">
        <v>1.4810000000000001</v>
      </c>
      <c r="S212" s="17">
        <v>1.6981999999999999</v>
      </c>
      <c r="T212" s="17">
        <v>1.9025000000000001</v>
      </c>
      <c r="U212" s="17">
        <v>2.0764</v>
      </c>
      <c r="V212" s="17">
        <v>2.2248000000000001</v>
      </c>
      <c r="W212" s="17">
        <v>2.355</v>
      </c>
      <c r="X212" s="17">
        <v>2.4624999999999999</v>
      </c>
      <c r="Y212" s="17">
        <v>2.5387</v>
      </c>
      <c r="Z212" s="17">
        <v>2.5722</v>
      </c>
      <c r="AA212" s="17">
        <v>2.5819000000000001</v>
      </c>
      <c r="AB212" s="17">
        <v>2.5636999999999999</v>
      </c>
      <c r="AC212" s="17">
        <v>2.5028999999999999</v>
      </c>
      <c r="AD212" s="17">
        <v>2.41</v>
      </c>
      <c r="AE212" s="17">
        <v>2.2991000000000001</v>
      </c>
      <c r="AF212" s="17">
        <v>2.1585999999999999</v>
      </c>
      <c r="AG212" s="17">
        <v>2.0093000000000001</v>
      </c>
      <c r="AH212" s="17">
        <v>1.8297000000000001</v>
      </c>
      <c r="AI212" s="17">
        <v>1.6274</v>
      </c>
      <c r="AJ212" s="17">
        <v>1.3831</v>
      </c>
      <c r="AK212" s="17">
        <v>1.1544000000000001</v>
      </c>
      <c r="AL212" s="17">
        <v>0.91949999999999998</v>
      </c>
      <c r="AM212" s="17">
        <v>0.69220000000000004</v>
      </c>
      <c r="AN212" s="17">
        <v>0.47310000000000002</v>
      </c>
      <c r="AO212" s="17">
        <v>0.2762</v>
      </c>
      <c r="AP212" s="17">
        <v>8.0399999999999999E-2</v>
      </c>
      <c r="AQ212" s="17">
        <v>1.4800000000000001E-2</v>
      </c>
      <c r="AR212" s="17">
        <v>0</v>
      </c>
      <c r="AS212" s="17">
        <v>0</v>
      </c>
      <c r="AT212" s="17">
        <v>0</v>
      </c>
      <c r="AU212" s="17">
        <v>0</v>
      </c>
      <c r="AV212" s="17">
        <v>0</v>
      </c>
      <c r="AW212" s="17">
        <v>0</v>
      </c>
      <c r="AX212" s="17">
        <v>0</v>
      </c>
    </row>
    <row r="213" spans="1:50" x14ac:dyDescent="0.25">
      <c r="A213" s="8" t="s">
        <v>248</v>
      </c>
      <c r="B213" s="10" t="s">
        <v>57</v>
      </c>
      <c r="C213" s="18">
        <v>0</v>
      </c>
      <c r="D213" s="18">
        <v>0</v>
      </c>
      <c r="E213" s="18">
        <v>0</v>
      </c>
      <c r="F213" s="18">
        <v>0</v>
      </c>
      <c r="G213" s="18">
        <v>0</v>
      </c>
      <c r="H213" s="18">
        <v>0</v>
      </c>
      <c r="I213" s="18">
        <v>0</v>
      </c>
      <c r="J213" s="18">
        <v>0</v>
      </c>
      <c r="K213" s="18">
        <v>0</v>
      </c>
      <c r="L213" s="18">
        <v>0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8">
        <v>0</v>
      </c>
      <c r="Z213" s="18">
        <v>0</v>
      </c>
      <c r="AA213" s="18">
        <v>0</v>
      </c>
      <c r="AB213" s="18">
        <v>0</v>
      </c>
      <c r="AC213" s="18">
        <v>0</v>
      </c>
      <c r="AD213" s="18">
        <v>0</v>
      </c>
      <c r="AE213" s="18">
        <v>0</v>
      </c>
      <c r="AF213" s="18">
        <v>0</v>
      </c>
      <c r="AG213" s="18">
        <v>0</v>
      </c>
      <c r="AH213" s="18">
        <v>0</v>
      </c>
      <c r="AI213" s="18">
        <v>0</v>
      </c>
      <c r="AJ213" s="18">
        <v>0</v>
      </c>
      <c r="AK213" s="18">
        <v>0</v>
      </c>
      <c r="AL213" s="18">
        <v>0</v>
      </c>
      <c r="AM213" s="18">
        <v>0</v>
      </c>
      <c r="AN213" s="18">
        <v>0</v>
      </c>
      <c r="AO213" s="18">
        <v>0</v>
      </c>
      <c r="AP213" s="18">
        <v>0</v>
      </c>
      <c r="AQ213" s="18">
        <v>0</v>
      </c>
      <c r="AR213" s="18">
        <v>0</v>
      </c>
      <c r="AS213" s="18">
        <v>0</v>
      </c>
      <c r="AT213" s="18">
        <v>0</v>
      </c>
      <c r="AU213" s="18">
        <v>0</v>
      </c>
      <c r="AV213" s="18">
        <v>0</v>
      </c>
      <c r="AW213" s="18">
        <v>0</v>
      </c>
      <c r="AX213" s="18">
        <v>0</v>
      </c>
    </row>
    <row r="214" spans="1:50" x14ac:dyDescent="0.25">
      <c r="A214" s="16" t="s">
        <v>687</v>
      </c>
      <c r="B214" s="13" t="s">
        <v>464</v>
      </c>
      <c r="C214" s="17">
        <v>0</v>
      </c>
      <c r="D214" s="17">
        <v>0</v>
      </c>
      <c r="E214" s="17">
        <v>0</v>
      </c>
      <c r="F214" s="17">
        <v>0</v>
      </c>
      <c r="G214" s="17">
        <v>0</v>
      </c>
      <c r="H214" s="17">
        <v>0</v>
      </c>
      <c r="I214" s="17">
        <v>0</v>
      </c>
      <c r="J214" s="17">
        <v>2.2000000000000001E-3</v>
      </c>
      <c r="K214" s="17">
        <v>3.1099999999999999E-2</v>
      </c>
      <c r="L214" s="17">
        <v>0.1454</v>
      </c>
      <c r="M214" s="17">
        <v>0.2883</v>
      </c>
      <c r="N214" s="17">
        <v>0.4637</v>
      </c>
      <c r="O214" s="17">
        <v>0.65490000000000004</v>
      </c>
      <c r="P214" s="17">
        <v>0.84860000000000002</v>
      </c>
      <c r="Q214" s="17">
        <v>1.0411999999999999</v>
      </c>
      <c r="R214" s="17">
        <v>1.2341</v>
      </c>
      <c r="S214" s="17">
        <v>1.4152</v>
      </c>
      <c r="T214" s="17">
        <v>1.5853999999999999</v>
      </c>
      <c r="U214" s="17">
        <v>1.7303999999999999</v>
      </c>
      <c r="V214" s="17">
        <v>1.8540000000000001</v>
      </c>
      <c r="W214" s="17">
        <v>1.9624999999999999</v>
      </c>
      <c r="X214" s="17">
        <v>2.0520999999999998</v>
      </c>
      <c r="Y214" s="17">
        <v>2.1156000000000001</v>
      </c>
      <c r="Z214" s="17">
        <v>2.1435</v>
      </c>
      <c r="AA214" s="17">
        <v>2.1516000000000002</v>
      </c>
      <c r="AB214" s="17">
        <v>2.1364999999999998</v>
      </c>
      <c r="AC214" s="17">
        <v>2.0857000000000001</v>
      </c>
      <c r="AD214" s="17">
        <v>2.0083000000000002</v>
      </c>
      <c r="AE214" s="17">
        <v>1.9158999999999999</v>
      </c>
      <c r="AF214" s="17">
        <v>1.7988999999999999</v>
      </c>
      <c r="AG214" s="17">
        <v>1.6745000000000001</v>
      </c>
      <c r="AH214" s="17">
        <v>1.5246999999999999</v>
      </c>
      <c r="AI214" s="17">
        <v>1.3561000000000001</v>
      </c>
      <c r="AJ214" s="17">
        <v>1.1525000000000001</v>
      </c>
      <c r="AK214" s="17">
        <v>0.96199999999999997</v>
      </c>
      <c r="AL214" s="17">
        <v>0.76619999999999999</v>
      </c>
      <c r="AM214" s="17">
        <v>0.57679999999999998</v>
      </c>
      <c r="AN214" s="17">
        <v>0.39419999999999999</v>
      </c>
      <c r="AO214" s="17">
        <v>0.23019999999999999</v>
      </c>
      <c r="AP214" s="17">
        <v>6.7000000000000004E-2</v>
      </c>
      <c r="AQ214" s="17">
        <v>1.24E-2</v>
      </c>
      <c r="AR214" s="17">
        <v>0</v>
      </c>
      <c r="AS214" s="17">
        <v>0</v>
      </c>
      <c r="AT214" s="17">
        <v>0</v>
      </c>
      <c r="AU214" s="17">
        <v>0</v>
      </c>
      <c r="AV214" s="17">
        <v>0</v>
      </c>
      <c r="AW214" s="17">
        <v>0</v>
      </c>
      <c r="AX214" s="17">
        <v>0</v>
      </c>
    </row>
    <row r="215" spans="1:50" x14ac:dyDescent="0.25">
      <c r="A215" s="8" t="s">
        <v>250</v>
      </c>
      <c r="B215" s="10" t="s">
        <v>57</v>
      </c>
      <c r="C215" s="18">
        <v>0</v>
      </c>
      <c r="D215" s="18">
        <v>0</v>
      </c>
      <c r="E215" s="18">
        <v>0</v>
      </c>
      <c r="F215" s="18">
        <v>0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0</v>
      </c>
      <c r="M215" s="18">
        <v>0</v>
      </c>
      <c r="N215" s="18">
        <v>0</v>
      </c>
      <c r="O215" s="18">
        <v>0</v>
      </c>
      <c r="P215" s="18">
        <v>0</v>
      </c>
      <c r="Q215" s="18">
        <v>0</v>
      </c>
      <c r="R215" s="18">
        <v>0</v>
      </c>
      <c r="S215" s="18">
        <v>0</v>
      </c>
      <c r="T215" s="18">
        <v>0</v>
      </c>
      <c r="U215" s="18">
        <v>0</v>
      </c>
      <c r="V215" s="18">
        <v>0</v>
      </c>
      <c r="W215" s="18">
        <v>0</v>
      </c>
      <c r="X215" s="18">
        <v>0</v>
      </c>
      <c r="Y215" s="18">
        <v>0</v>
      </c>
      <c r="Z215" s="18">
        <v>0</v>
      </c>
      <c r="AA215" s="18">
        <v>0</v>
      </c>
      <c r="AB215" s="18">
        <v>0</v>
      </c>
      <c r="AC215" s="18">
        <v>0</v>
      </c>
      <c r="AD215" s="18">
        <v>0</v>
      </c>
      <c r="AE215" s="18">
        <v>0</v>
      </c>
      <c r="AF215" s="18">
        <v>0</v>
      </c>
      <c r="AG215" s="18">
        <v>0</v>
      </c>
      <c r="AH215" s="18">
        <v>0</v>
      </c>
      <c r="AI215" s="18">
        <v>0</v>
      </c>
      <c r="AJ215" s="18">
        <v>0</v>
      </c>
      <c r="AK215" s="18">
        <v>0</v>
      </c>
      <c r="AL215" s="18">
        <v>0</v>
      </c>
      <c r="AM215" s="18">
        <v>0</v>
      </c>
      <c r="AN215" s="18">
        <v>0</v>
      </c>
      <c r="AO215" s="18">
        <v>0</v>
      </c>
      <c r="AP215" s="18">
        <v>0</v>
      </c>
      <c r="AQ215" s="18">
        <v>0</v>
      </c>
      <c r="AR215" s="18">
        <v>0</v>
      </c>
      <c r="AS215" s="18">
        <v>0</v>
      </c>
      <c r="AT215" s="18">
        <v>0</v>
      </c>
      <c r="AU215" s="18">
        <v>0</v>
      </c>
      <c r="AV215" s="18">
        <v>0</v>
      </c>
      <c r="AW215" s="18">
        <v>0</v>
      </c>
      <c r="AX215" s="18">
        <v>0</v>
      </c>
    </row>
    <row r="216" spans="1:50" x14ac:dyDescent="0.25">
      <c r="A216" s="8" t="s">
        <v>252</v>
      </c>
      <c r="B216" s="10" t="s">
        <v>57</v>
      </c>
      <c r="C216" s="18">
        <v>0</v>
      </c>
      <c r="D216" s="18">
        <v>0</v>
      </c>
      <c r="E216" s="18">
        <v>0</v>
      </c>
      <c r="F216" s="18">
        <v>0</v>
      </c>
      <c r="G216" s="18">
        <v>0</v>
      </c>
      <c r="H216" s="18">
        <v>0</v>
      </c>
      <c r="I216" s="18">
        <v>0</v>
      </c>
      <c r="J216" s="18">
        <v>0</v>
      </c>
      <c r="K216" s="18">
        <v>0</v>
      </c>
      <c r="L216" s="18">
        <v>0</v>
      </c>
      <c r="M216" s="18">
        <v>0</v>
      </c>
      <c r="N216" s="18">
        <v>0</v>
      </c>
      <c r="O216" s="18">
        <v>0</v>
      </c>
      <c r="P216" s="18">
        <v>0</v>
      </c>
      <c r="Q216" s="18">
        <v>0</v>
      </c>
      <c r="R216" s="18">
        <v>0</v>
      </c>
      <c r="S216" s="18">
        <v>0</v>
      </c>
      <c r="T216" s="18">
        <v>0</v>
      </c>
      <c r="U216" s="18">
        <v>0</v>
      </c>
      <c r="V216" s="18">
        <v>0</v>
      </c>
      <c r="W216" s="18">
        <v>0</v>
      </c>
      <c r="X216" s="18">
        <v>0</v>
      </c>
      <c r="Y216" s="18">
        <v>0</v>
      </c>
      <c r="Z216" s="18">
        <v>0</v>
      </c>
      <c r="AA216" s="18">
        <v>0</v>
      </c>
      <c r="AB216" s="18">
        <v>0</v>
      </c>
      <c r="AC216" s="18">
        <v>0</v>
      </c>
      <c r="AD216" s="18">
        <v>0</v>
      </c>
      <c r="AE216" s="18">
        <v>0</v>
      </c>
      <c r="AF216" s="18">
        <v>0</v>
      </c>
      <c r="AG216" s="18">
        <v>0</v>
      </c>
      <c r="AH216" s="18">
        <v>0</v>
      </c>
      <c r="AI216" s="18">
        <v>0</v>
      </c>
      <c r="AJ216" s="18">
        <v>0</v>
      </c>
      <c r="AK216" s="18">
        <v>0</v>
      </c>
      <c r="AL216" s="18">
        <v>0</v>
      </c>
      <c r="AM216" s="18">
        <v>0</v>
      </c>
      <c r="AN216" s="18">
        <v>0</v>
      </c>
      <c r="AO216" s="18">
        <v>0</v>
      </c>
      <c r="AP216" s="18">
        <v>0</v>
      </c>
      <c r="AQ216" s="18">
        <v>0</v>
      </c>
      <c r="AR216" s="18">
        <v>0</v>
      </c>
      <c r="AS216" s="18">
        <v>0</v>
      </c>
      <c r="AT216" s="18">
        <v>0</v>
      </c>
      <c r="AU216" s="18">
        <v>0</v>
      </c>
      <c r="AV216" s="18">
        <v>0</v>
      </c>
      <c r="AW216" s="18">
        <v>0</v>
      </c>
      <c r="AX216" s="18">
        <v>0</v>
      </c>
    </row>
    <row r="217" spans="1:50" x14ac:dyDescent="0.25">
      <c r="A217" s="8" t="s">
        <v>254</v>
      </c>
      <c r="B217" s="10" t="s">
        <v>57</v>
      </c>
      <c r="C217" s="18">
        <v>0</v>
      </c>
      <c r="D217" s="18">
        <v>0</v>
      </c>
      <c r="E217" s="18">
        <v>0</v>
      </c>
      <c r="F217" s="18">
        <v>0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0</v>
      </c>
      <c r="M217" s="18">
        <v>0</v>
      </c>
      <c r="N217" s="18">
        <v>0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0</v>
      </c>
      <c r="U217" s="18">
        <v>0</v>
      </c>
      <c r="V217" s="18">
        <v>0</v>
      </c>
      <c r="W217" s="18">
        <v>0</v>
      </c>
      <c r="X217" s="18">
        <v>0</v>
      </c>
      <c r="Y217" s="18">
        <v>0</v>
      </c>
      <c r="Z217" s="18">
        <v>0</v>
      </c>
      <c r="AA217" s="18">
        <v>0</v>
      </c>
      <c r="AB217" s="18">
        <v>0</v>
      </c>
      <c r="AC217" s="18">
        <v>0</v>
      </c>
      <c r="AD217" s="18">
        <v>0</v>
      </c>
      <c r="AE217" s="18">
        <v>0</v>
      </c>
      <c r="AF217" s="18">
        <v>0</v>
      </c>
      <c r="AG217" s="18">
        <v>0</v>
      </c>
      <c r="AH217" s="18">
        <v>0</v>
      </c>
      <c r="AI217" s="18">
        <v>0</v>
      </c>
      <c r="AJ217" s="18">
        <v>0</v>
      </c>
      <c r="AK217" s="18">
        <v>0</v>
      </c>
      <c r="AL217" s="18">
        <v>0</v>
      </c>
      <c r="AM217" s="18">
        <v>0</v>
      </c>
      <c r="AN217" s="18">
        <v>0</v>
      </c>
      <c r="AO217" s="18">
        <v>0</v>
      </c>
      <c r="AP217" s="18">
        <v>0</v>
      </c>
      <c r="AQ217" s="18">
        <v>0</v>
      </c>
      <c r="AR217" s="18">
        <v>0</v>
      </c>
      <c r="AS217" s="18">
        <v>0</v>
      </c>
      <c r="AT217" s="18">
        <v>0</v>
      </c>
      <c r="AU217" s="18">
        <v>0</v>
      </c>
      <c r="AV217" s="18">
        <v>0</v>
      </c>
      <c r="AW217" s="18">
        <v>0</v>
      </c>
      <c r="AX217" s="18">
        <v>0</v>
      </c>
    </row>
    <row r="218" spans="1:50" x14ac:dyDescent="0.25">
      <c r="A218" s="16" t="s">
        <v>689</v>
      </c>
      <c r="B218" s="13" t="s">
        <v>464</v>
      </c>
      <c r="C218" s="17">
        <v>0</v>
      </c>
      <c r="D218" s="17">
        <v>0</v>
      </c>
      <c r="E218" s="17">
        <v>0</v>
      </c>
      <c r="F218" s="17">
        <v>0</v>
      </c>
      <c r="G218" s="17">
        <v>0</v>
      </c>
      <c r="H218" s="17">
        <v>0</v>
      </c>
      <c r="I218" s="17">
        <v>0</v>
      </c>
      <c r="J218" s="17">
        <v>3.3999999999999998E-3</v>
      </c>
      <c r="K218" s="17">
        <v>4.9700000000000001E-2</v>
      </c>
      <c r="L218" s="17">
        <v>0.2326</v>
      </c>
      <c r="M218" s="17">
        <v>0.46129999999999999</v>
      </c>
      <c r="N218" s="17">
        <v>0.7419</v>
      </c>
      <c r="O218" s="17">
        <v>1.0479000000000001</v>
      </c>
      <c r="P218" s="17">
        <v>1.3576999999999999</v>
      </c>
      <c r="Q218" s="17">
        <v>1.6659999999999999</v>
      </c>
      <c r="R218" s="17">
        <v>1.9745999999999999</v>
      </c>
      <c r="S218" s="17">
        <v>2.2643</v>
      </c>
      <c r="T218" s="17">
        <v>2.5367000000000002</v>
      </c>
      <c r="U218" s="17">
        <v>2.7686000000000002</v>
      </c>
      <c r="V218" s="17">
        <v>2.9664000000000001</v>
      </c>
      <c r="W218" s="17">
        <v>3.14</v>
      </c>
      <c r="X218" s="17">
        <v>3.2833000000000001</v>
      </c>
      <c r="Y218" s="17">
        <v>3.3849999999999998</v>
      </c>
      <c r="Z218" s="17">
        <v>3.4296000000000002</v>
      </c>
      <c r="AA218" s="17">
        <v>3.4424999999999999</v>
      </c>
      <c r="AB218" s="17">
        <v>3.4182999999999999</v>
      </c>
      <c r="AC218" s="17">
        <v>3.3372000000000002</v>
      </c>
      <c r="AD218" s="17">
        <v>3.2132999999999998</v>
      </c>
      <c r="AE218" s="17">
        <v>3.0655000000000001</v>
      </c>
      <c r="AF218" s="17">
        <v>2.8782000000000001</v>
      </c>
      <c r="AG218" s="17">
        <v>2.6791</v>
      </c>
      <c r="AH218" s="17">
        <v>2.4396</v>
      </c>
      <c r="AI218" s="17">
        <v>2.1698</v>
      </c>
      <c r="AJ218" s="17">
        <v>1.8441000000000001</v>
      </c>
      <c r="AK218" s="17">
        <v>1.5391999999999999</v>
      </c>
      <c r="AL218" s="17">
        <v>1.2259</v>
      </c>
      <c r="AM218" s="17">
        <v>0.92290000000000005</v>
      </c>
      <c r="AN218" s="17">
        <v>0.63080000000000003</v>
      </c>
      <c r="AO218" s="17">
        <v>0.36830000000000002</v>
      </c>
      <c r="AP218" s="17">
        <v>0.1072</v>
      </c>
      <c r="AQ218" s="17">
        <v>1.9800000000000002E-2</v>
      </c>
      <c r="AR218" s="17">
        <v>0</v>
      </c>
      <c r="AS218" s="17">
        <v>0</v>
      </c>
      <c r="AT218" s="17">
        <v>0</v>
      </c>
      <c r="AU218" s="17">
        <v>0</v>
      </c>
      <c r="AV218" s="17">
        <v>0</v>
      </c>
      <c r="AW218" s="17">
        <v>0</v>
      </c>
      <c r="AX218" s="17">
        <v>0</v>
      </c>
    </row>
    <row r="219" spans="1:50" x14ac:dyDescent="0.25">
      <c r="A219" s="16" t="s">
        <v>691</v>
      </c>
      <c r="B219" s="13" t="s">
        <v>464</v>
      </c>
      <c r="C219" s="17">
        <v>0</v>
      </c>
      <c r="D219" s="17">
        <v>0</v>
      </c>
      <c r="E219" s="17">
        <v>0</v>
      </c>
      <c r="F219" s="17">
        <v>0</v>
      </c>
      <c r="G219" s="17">
        <v>0</v>
      </c>
      <c r="H219" s="17">
        <v>0</v>
      </c>
      <c r="I219" s="17">
        <v>0</v>
      </c>
      <c r="J219" s="17">
        <v>2.2000000000000001E-3</v>
      </c>
      <c r="K219" s="17">
        <v>3.1099999999999999E-2</v>
      </c>
      <c r="L219" s="17">
        <v>0.1454</v>
      </c>
      <c r="M219" s="17">
        <v>0.2883</v>
      </c>
      <c r="N219" s="17">
        <v>0.4637</v>
      </c>
      <c r="O219" s="17">
        <v>0.65490000000000004</v>
      </c>
      <c r="P219" s="17">
        <v>0.84860000000000002</v>
      </c>
      <c r="Q219" s="17">
        <v>1.0411999999999999</v>
      </c>
      <c r="R219" s="17">
        <v>1.2341</v>
      </c>
      <c r="S219" s="17">
        <v>1.4152</v>
      </c>
      <c r="T219" s="17">
        <v>1.5853999999999999</v>
      </c>
      <c r="U219" s="17">
        <v>1.7303999999999999</v>
      </c>
      <c r="V219" s="17">
        <v>1.8540000000000001</v>
      </c>
      <c r="W219" s="17">
        <v>1.9624999999999999</v>
      </c>
      <c r="X219" s="17">
        <v>2.0520999999999998</v>
      </c>
      <c r="Y219" s="17">
        <v>2.1156000000000001</v>
      </c>
      <c r="Z219" s="17">
        <v>2.1435</v>
      </c>
      <c r="AA219" s="17">
        <v>2.1516000000000002</v>
      </c>
      <c r="AB219" s="17">
        <v>2.1364999999999998</v>
      </c>
      <c r="AC219" s="17">
        <v>2.0857000000000001</v>
      </c>
      <c r="AD219" s="17">
        <v>2.0083000000000002</v>
      </c>
      <c r="AE219" s="17">
        <v>1.9158999999999999</v>
      </c>
      <c r="AF219" s="17">
        <v>1.7988999999999999</v>
      </c>
      <c r="AG219" s="17">
        <v>1.6745000000000001</v>
      </c>
      <c r="AH219" s="17">
        <v>1.5246999999999999</v>
      </c>
      <c r="AI219" s="17">
        <v>1.3561000000000001</v>
      </c>
      <c r="AJ219" s="17">
        <v>1.1525000000000001</v>
      </c>
      <c r="AK219" s="17">
        <v>0.96199999999999997</v>
      </c>
      <c r="AL219" s="17">
        <v>0.76619999999999999</v>
      </c>
      <c r="AM219" s="17">
        <v>0.57679999999999998</v>
      </c>
      <c r="AN219" s="17">
        <v>0.39419999999999999</v>
      </c>
      <c r="AO219" s="17">
        <v>0.23019999999999999</v>
      </c>
      <c r="AP219" s="17">
        <v>6.7000000000000004E-2</v>
      </c>
      <c r="AQ219" s="17">
        <v>1.24E-2</v>
      </c>
      <c r="AR219" s="17">
        <v>0</v>
      </c>
      <c r="AS219" s="17">
        <v>0</v>
      </c>
      <c r="AT219" s="17">
        <v>0</v>
      </c>
      <c r="AU219" s="17">
        <v>0</v>
      </c>
      <c r="AV219" s="17">
        <v>0</v>
      </c>
      <c r="AW219" s="17">
        <v>0</v>
      </c>
      <c r="AX219" s="17">
        <v>0</v>
      </c>
    </row>
    <row r="220" spans="1:50" x14ac:dyDescent="0.25">
      <c r="A220" s="8" t="s">
        <v>256</v>
      </c>
      <c r="B220" s="10" t="s">
        <v>57</v>
      </c>
      <c r="C220" s="18">
        <v>0</v>
      </c>
      <c r="D220" s="18">
        <v>0</v>
      </c>
      <c r="E220" s="18">
        <v>0</v>
      </c>
      <c r="F220" s="18">
        <v>0</v>
      </c>
      <c r="G220" s="18">
        <v>0</v>
      </c>
      <c r="H220" s="18">
        <v>0</v>
      </c>
      <c r="I220" s="18">
        <v>0</v>
      </c>
      <c r="J220" s="18">
        <v>0</v>
      </c>
      <c r="K220" s="18">
        <v>0</v>
      </c>
      <c r="L220" s="18">
        <v>0</v>
      </c>
      <c r="M220" s="18">
        <v>0</v>
      </c>
      <c r="N220" s="18">
        <v>0</v>
      </c>
      <c r="O220" s="18">
        <v>0</v>
      </c>
      <c r="P220" s="18">
        <v>0</v>
      </c>
      <c r="Q220" s="18">
        <v>0</v>
      </c>
      <c r="R220" s="18">
        <v>0</v>
      </c>
      <c r="S220" s="18">
        <v>0</v>
      </c>
      <c r="T220" s="18">
        <v>0</v>
      </c>
      <c r="U220" s="18">
        <v>0</v>
      </c>
      <c r="V220" s="18">
        <v>0</v>
      </c>
      <c r="W220" s="18">
        <v>0</v>
      </c>
      <c r="X220" s="18">
        <v>0</v>
      </c>
      <c r="Y220" s="18">
        <v>0</v>
      </c>
      <c r="Z220" s="18">
        <v>0</v>
      </c>
      <c r="AA220" s="18">
        <v>0</v>
      </c>
      <c r="AB220" s="18">
        <v>0</v>
      </c>
      <c r="AC220" s="18">
        <v>0</v>
      </c>
      <c r="AD220" s="18">
        <v>0</v>
      </c>
      <c r="AE220" s="18">
        <v>0</v>
      </c>
      <c r="AF220" s="18">
        <v>0</v>
      </c>
      <c r="AG220" s="18">
        <v>0</v>
      </c>
      <c r="AH220" s="18">
        <v>0</v>
      </c>
      <c r="AI220" s="18">
        <v>0</v>
      </c>
      <c r="AJ220" s="18">
        <v>0</v>
      </c>
      <c r="AK220" s="18">
        <v>0</v>
      </c>
      <c r="AL220" s="18">
        <v>0</v>
      </c>
      <c r="AM220" s="18">
        <v>0</v>
      </c>
      <c r="AN220" s="18">
        <v>0</v>
      </c>
      <c r="AO220" s="18">
        <v>0</v>
      </c>
      <c r="AP220" s="18">
        <v>0</v>
      </c>
      <c r="AQ220" s="18">
        <v>0</v>
      </c>
      <c r="AR220" s="18">
        <v>0</v>
      </c>
      <c r="AS220" s="18">
        <v>0</v>
      </c>
      <c r="AT220" s="18">
        <v>0</v>
      </c>
      <c r="AU220" s="18">
        <v>0</v>
      </c>
      <c r="AV220" s="18">
        <v>0</v>
      </c>
      <c r="AW220" s="18">
        <v>0</v>
      </c>
      <c r="AX220" s="18">
        <v>0</v>
      </c>
    </row>
    <row r="221" spans="1:50" x14ac:dyDescent="0.25">
      <c r="A221" s="8" t="s">
        <v>258</v>
      </c>
      <c r="B221" s="10" t="s">
        <v>57</v>
      </c>
      <c r="C221" s="18">
        <v>0</v>
      </c>
      <c r="D221" s="18">
        <v>0</v>
      </c>
      <c r="E221" s="18">
        <v>0</v>
      </c>
      <c r="F221" s="18">
        <v>0</v>
      </c>
      <c r="G221" s="18">
        <v>0</v>
      </c>
      <c r="H221" s="18">
        <v>0</v>
      </c>
      <c r="I221" s="18">
        <v>0</v>
      </c>
      <c r="J221" s="18">
        <v>0</v>
      </c>
      <c r="K221" s="18">
        <v>0</v>
      </c>
      <c r="L221" s="18">
        <v>0</v>
      </c>
      <c r="M221" s="18">
        <v>0</v>
      </c>
      <c r="N221" s="18">
        <v>0</v>
      </c>
      <c r="O221" s="18">
        <v>0</v>
      </c>
      <c r="P221" s="18">
        <v>0</v>
      </c>
      <c r="Q221" s="18">
        <v>0</v>
      </c>
      <c r="R221" s="18">
        <v>0</v>
      </c>
      <c r="S221" s="18">
        <v>0</v>
      </c>
      <c r="T221" s="18">
        <v>0</v>
      </c>
      <c r="U221" s="18">
        <v>0</v>
      </c>
      <c r="V221" s="18">
        <v>0</v>
      </c>
      <c r="W221" s="18">
        <v>0</v>
      </c>
      <c r="X221" s="18">
        <v>0</v>
      </c>
      <c r="Y221" s="18">
        <v>0</v>
      </c>
      <c r="Z221" s="18">
        <v>0</v>
      </c>
      <c r="AA221" s="18">
        <v>0</v>
      </c>
      <c r="AB221" s="18">
        <v>0</v>
      </c>
      <c r="AC221" s="18">
        <v>0</v>
      </c>
      <c r="AD221" s="18">
        <v>0</v>
      </c>
      <c r="AE221" s="18">
        <v>0</v>
      </c>
      <c r="AF221" s="18">
        <v>0</v>
      </c>
      <c r="AG221" s="18">
        <v>0</v>
      </c>
      <c r="AH221" s="18">
        <v>0</v>
      </c>
      <c r="AI221" s="18">
        <v>0</v>
      </c>
      <c r="AJ221" s="18">
        <v>0</v>
      </c>
      <c r="AK221" s="18">
        <v>0</v>
      </c>
      <c r="AL221" s="18">
        <v>0</v>
      </c>
      <c r="AM221" s="18">
        <v>0</v>
      </c>
      <c r="AN221" s="18">
        <v>0</v>
      </c>
      <c r="AO221" s="18">
        <v>0</v>
      </c>
      <c r="AP221" s="18">
        <v>0</v>
      </c>
      <c r="AQ221" s="18">
        <v>0</v>
      </c>
      <c r="AR221" s="18">
        <v>0</v>
      </c>
      <c r="AS221" s="18">
        <v>0</v>
      </c>
      <c r="AT221" s="18">
        <v>0</v>
      </c>
      <c r="AU221" s="18">
        <v>0</v>
      </c>
      <c r="AV221" s="18">
        <v>0</v>
      </c>
      <c r="AW221" s="18">
        <v>0</v>
      </c>
      <c r="AX221" s="18">
        <v>0</v>
      </c>
    </row>
    <row r="222" spans="1:50" x14ac:dyDescent="0.25">
      <c r="A222" s="16" t="s">
        <v>693</v>
      </c>
      <c r="B222" s="13" t="s">
        <v>464</v>
      </c>
      <c r="C222" s="17">
        <v>0</v>
      </c>
      <c r="D222" s="17">
        <v>0</v>
      </c>
      <c r="E222" s="17">
        <v>0</v>
      </c>
      <c r="F222" s="17">
        <v>0</v>
      </c>
      <c r="G222" s="17">
        <v>0</v>
      </c>
      <c r="H222" s="17">
        <v>0</v>
      </c>
      <c r="I222" s="17">
        <v>0</v>
      </c>
      <c r="J222" s="17">
        <v>2.2000000000000001E-3</v>
      </c>
      <c r="K222" s="17">
        <v>3.1099999999999999E-2</v>
      </c>
      <c r="L222" s="17">
        <v>0.1454</v>
      </c>
      <c r="M222" s="17">
        <v>0.2883</v>
      </c>
      <c r="N222" s="17">
        <v>0.4637</v>
      </c>
      <c r="O222" s="17">
        <v>0.65490000000000004</v>
      </c>
      <c r="P222" s="17">
        <v>0.84860000000000002</v>
      </c>
      <c r="Q222" s="17">
        <v>1.0411999999999999</v>
      </c>
      <c r="R222" s="17">
        <v>1.2341</v>
      </c>
      <c r="S222" s="17">
        <v>1.4152</v>
      </c>
      <c r="T222" s="17">
        <v>1.5853999999999999</v>
      </c>
      <c r="U222" s="17">
        <v>1.7303999999999999</v>
      </c>
      <c r="V222" s="17">
        <v>1.8540000000000001</v>
      </c>
      <c r="W222" s="17">
        <v>1.9624999999999999</v>
      </c>
      <c r="X222" s="17">
        <v>2.0520999999999998</v>
      </c>
      <c r="Y222" s="17">
        <v>2.1156000000000001</v>
      </c>
      <c r="Z222" s="17">
        <v>2.1435</v>
      </c>
      <c r="AA222" s="17">
        <v>2.1516000000000002</v>
      </c>
      <c r="AB222" s="17">
        <v>2.1364999999999998</v>
      </c>
      <c r="AC222" s="17">
        <v>2.0857000000000001</v>
      </c>
      <c r="AD222" s="17">
        <v>2.0083000000000002</v>
      </c>
      <c r="AE222" s="17">
        <v>1.9158999999999999</v>
      </c>
      <c r="AF222" s="17">
        <v>1.7988999999999999</v>
      </c>
      <c r="AG222" s="17">
        <v>1.6745000000000001</v>
      </c>
      <c r="AH222" s="17">
        <v>1.5246999999999999</v>
      </c>
      <c r="AI222" s="17">
        <v>1.3561000000000001</v>
      </c>
      <c r="AJ222" s="17">
        <v>1.1525000000000001</v>
      </c>
      <c r="AK222" s="17">
        <v>0.96199999999999997</v>
      </c>
      <c r="AL222" s="17">
        <v>0.76619999999999999</v>
      </c>
      <c r="AM222" s="17">
        <v>0.57679999999999998</v>
      </c>
      <c r="AN222" s="17">
        <v>0.39419999999999999</v>
      </c>
      <c r="AO222" s="17">
        <v>0.23019999999999999</v>
      </c>
      <c r="AP222" s="17">
        <v>6.7000000000000004E-2</v>
      </c>
      <c r="AQ222" s="17">
        <v>1.24E-2</v>
      </c>
      <c r="AR222" s="17">
        <v>0</v>
      </c>
      <c r="AS222" s="17">
        <v>0</v>
      </c>
      <c r="AT222" s="17">
        <v>0</v>
      </c>
      <c r="AU222" s="17">
        <v>0</v>
      </c>
      <c r="AV222" s="17">
        <v>0</v>
      </c>
      <c r="AW222" s="17">
        <v>0</v>
      </c>
      <c r="AX222" s="17">
        <v>0</v>
      </c>
    </row>
    <row r="223" spans="1:50" x14ac:dyDescent="0.25">
      <c r="A223" s="16" t="s">
        <v>695</v>
      </c>
      <c r="B223" s="13" t="s">
        <v>464</v>
      </c>
      <c r="C223" s="17">
        <v>0</v>
      </c>
      <c r="D223" s="17">
        <v>0</v>
      </c>
      <c r="E223" s="17">
        <v>0</v>
      </c>
      <c r="F223" s="17">
        <v>0</v>
      </c>
      <c r="G223" s="17">
        <v>0</v>
      </c>
      <c r="H223" s="17">
        <v>0</v>
      </c>
      <c r="I223" s="17">
        <v>0</v>
      </c>
      <c r="J223" s="17">
        <v>2.5999999999999999E-3</v>
      </c>
      <c r="K223" s="17">
        <v>3.73E-2</v>
      </c>
      <c r="L223" s="17">
        <v>0.1744</v>
      </c>
      <c r="M223" s="17">
        <v>0.34599999999999997</v>
      </c>
      <c r="N223" s="17">
        <v>0.55640000000000001</v>
      </c>
      <c r="O223" s="17">
        <v>0.78590000000000004</v>
      </c>
      <c r="P223" s="17">
        <v>1.0183</v>
      </c>
      <c r="Q223" s="17">
        <v>1.2495000000000001</v>
      </c>
      <c r="R223" s="17">
        <v>1.4810000000000001</v>
      </c>
      <c r="S223" s="17">
        <v>1.6981999999999999</v>
      </c>
      <c r="T223" s="17">
        <v>1.9025000000000001</v>
      </c>
      <c r="U223" s="17">
        <v>2.0764</v>
      </c>
      <c r="V223" s="17">
        <v>2.2248000000000001</v>
      </c>
      <c r="W223" s="17">
        <v>2.355</v>
      </c>
      <c r="X223" s="17">
        <v>2.4624999999999999</v>
      </c>
      <c r="Y223" s="17">
        <v>2.5387</v>
      </c>
      <c r="Z223" s="17">
        <v>2.5722</v>
      </c>
      <c r="AA223" s="17">
        <v>2.5819000000000001</v>
      </c>
      <c r="AB223" s="17">
        <v>2.5636999999999999</v>
      </c>
      <c r="AC223" s="17">
        <v>2.5028999999999999</v>
      </c>
      <c r="AD223" s="17">
        <v>2.41</v>
      </c>
      <c r="AE223" s="17">
        <v>2.2991000000000001</v>
      </c>
      <c r="AF223" s="17">
        <v>2.1585999999999999</v>
      </c>
      <c r="AG223" s="17">
        <v>2.0093000000000001</v>
      </c>
      <c r="AH223" s="17">
        <v>1.8297000000000001</v>
      </c>
      <c r="AI223" s="17">
        <v>1.6274</v>
      </c>
      <c r="AJ223" s="17">
        <v>1.3831</v>
      </c>
      <c r="AK223" s="17">
        <v>1.1544000000000001</v>
      </c>
      <c r="AL223" s="17">
        <v>0.91949999999999998</v>
      </c>
      <c r="AM223" s="17">
        <v>0.69220000000000004</v>
      </c>
      <c r="AN223" s="17">
        <v>0.47310000000000002</v>
      </c>
      <c r="AO223" s="17">
        <v>0.2762</v>
      </c>
      <c r="AP223" s="17">
        <v>8.0399999999999999E-2</v>
      </c>
      <c r="AQ223" s="17">
        <v>1.4800000000000001E-2</v>
      </c>
      <c r="AR223" s="17">
        <v>0</v>
      </c>
      <c r="AS223" s="17">
        <v>0</v>
      </c>
      <c r="AT223" s="17">
        <v>0</v>
      </c>
      <c r="AU223" s="17">
        <v>0</v>
      </c>
      <c r="AV223" s="17">
        <v>0</v>
      </c>
      <c r="AW223" s="17">
        <v>0</v>
      </c>
      <c r="AX223" s="17">
        <v>0</v>
      </c>
    </row>
    <row r="224" spans="1:50" x14ac:dyDescent="0.25">
      <c r="A224" s="16" t="s">
        <v>697</v>
      </c>
      <c r="B224" s="13" t="s">
        <v>464</v>
      </c>
      <c r="C224" s="17">
        <v>0</v>
      </c>
      <c r="D224" s="17">
        <v>0</v>
      </c>
      <c r="E224" s="17">
        <v>0</v>
      </c>
      <c r="F224" s="17">
        <v>0</v>
      </c>
      <c r="G224" s="17">
        <v>0</v>
      </c>
      <c r="H224" s="17">
        <v>0</v>
      </c>
      <c r="I224" s="17">
        <v>0</v>
      </c>
      <c r="J224" s="17">
        <v>1.6999999999999999E-3</v>
      </c>
      <c r="K224" s="17">
        <v>2.4899999999999999E-2</v>
      </c>
      <c r="L224" s="17">
        <v>0.1163</v>
      </c>
      <c r="M224" s="17">
        <v>0.23069999999999999</v>
      </c>
      <c r="N224" s="17">
        <v>0.37090000000000001</v>
      </c>
      <c r="O224" s="17">
        <v>0.52400000000000002</v>
      </c>
      <c r="P224" s="17">
        <v>0.67889999999999995</v>
      </c>
      <c r="Q224" s="17">
        <v>0.83299999999999996</v>
      </c>
      <c r="R224" s="17">
        <v>0.98729999999999996</v>
      </c>
      <c r="S224" s="17">
        <v>1.1322000000000001</v>
      </c>
      <c r="T224" s="17">
        <v>1.2683</v>
      </c>
      <c r="U224" s="17">
        <v>1.3843000000000001</v>
      </c>
      <c r="V224" s="17">
        <v>1.4832000000000001</v>
      </c>
      <c r="W224" s="17">
        <v>1.57</v>
      </c>
      <c r="X224" s="17">
        <v>1.6416999999999999</v>
      </c>
      <c r="Y224" s="17">
        <v>1.6924999999999999</v>
      </c>
      <c r="Z224" s="17">
        <v>1.7148000000000001</v>
      </c>
      <c r="AA224" s="17">
        <v>1.7212000000000001</v>
      </c>
      <c r="AB224" s="17">
        <v>1.7092000000000001</v>
      </c>
      <c r="AC224" s="17">
        <v>1.6686000000000001</v>
      </c>
      <c r="AD224" s="17">
        <v>1.6067</v>
      </c>
      <c r="AE224" s="17">
        <v>1.5327999999999999</v>
      </c>
      <c r="AF224" s="17">
        <v>1.4391</v>
      </c>
      <c r="AG224" s="17">
        <v>1.3395999999999999</v>
      </c>
      <c r="AH224" s="17">
        <v>1.2198</v>
      </c>
      <c r="AI224" s="17">
        <v>1.0849</v>
      </c>
      <c r="AJ224" s="17">
        <v>0.92200000000000004</v>
      </c>
      <c r="AK224" s="17">
        <v>0.76959999999999995</v>
      </c>
      <c r="AL224" s="17">
        <v>0.61299999999999999</v>
      </c>
      <c r="AM224" s="17">
        <v>0.46150000000000002</v>
      </c>
      <c r="AN224" s="17">
        <v>0.31540000000000001</v>
      </c>
      <c r="AO224" s="17">
        <v>0.1842</v>
      </c>
      <c r="AP224" s="17">
        <v>5.3600000000000002E-2</v>
      </c>
      <c r="AQ224" s="17">
        <v>9.9000000000000008E-3</v>
      </c>
      <c r="AR224" s="17">
        <v>0</v>
      </c>
      <c r="AS224" s="17">
        <v>0</v>
      </c>
      <c r="AT224" s="17">
        <v>0</v>
      </c>
      <c r="AU224" s="17">
        <v>0</v>
      </c>
      <c r="AV224" s="17">
        <v>0</v>
      </c>
      <c r="AW224" s="17">
        <v>0</v>
      </c>
      <c r="AX224" s="17">
        <v>0</v>
      </c>
    </row>
    <row r="225" spans="1:50" x14ac:dyDescent="0.25">
      <c r="A225" s="8" t="s">
        <v>260</v>
      </c>
      <c r="B225" s="10" t="s">
        <v>57</v>
      </c>
      <c r="C225" s="18">
        <v>0</v>
      </c>
      <c r="D225" s="18">
        <v>0</v>
      </c>
      <c r="E225" s="18">
        <v>0</v>
      </c>
      <c r="F225" s="18">
        <v>0</v>
      </c>
      <c r="G225" s="18">
        <v>0</v>
      </c>
      <c r="H225" s="18">
        <v>0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0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0</v>
      </c>
      <c r="Y225" s="18">
        <v>0</v>
      </c>
      <c r="Z225" s="18">
        <v>0</v>
      </c>
      <c r="AA225" s="18">
        <v>0</v>
      </c>
      <c r="AB225" s="18">
        <v>0</v>
      </c>
      <c r="AC225" s="18">
        <v>0</v>
      </c>
      <c r="AD225" s="18">
        <v>0</v>
      </c>
      <c r="AE225" s="18">
        <v>0</v>
      </c>
      <c r="AF225" s="18">
        <v>0</v>
      </c>
      <c r="AG225" s="18">
        <v>0</v>
      </c>
      <c r="AH225" s="18">
        <v>0</v>
      </c>
      <c r="AI225" s="18">
        <v>0</v>
      </c>
      <c r="AJ225" s="18">
        <v>0</v>
      </c>
      <c r="AK225" s="18">
        <v>0</v>
      </c>
      <c r="AL225" s="18">
        <v>0</v>
      </c>
      <c r="AM225" s="18">
        <v>0</v>
      </c>
      <c r="AN225" s="18">
        <v>0</v>
      </c>
      <c r="AO225" s="18">
        <v>0</v>
      </c>
      <c r="AP225" s="18">
        <v>0</v>
      </c>
      <c r="AQ225" s="18">
        <v>0</v>
      </c>
      <c r="AR225" s="18">
        <v>0</v>
      </c>
      <c r="AS225" s="18">
        <v>0</v>
      </c>
      <c r="AT225" s="18">
        <v>0</v>
      </c>
      <c r="AU225" s="18">
        <v>0</v>
      </c>
      <c r="AV225" s="18">
        <v>0</v>
      </c>
      <c r="AW225" s="18">
        <v>0</v>
      </c>
      <c r="AX225" s="18">
        <v>0</v>
      </c>
    </row>
    <row r="226" spans="1:50" x14ac:dyDescent="0.25">
      <c r="A226" s="8" t="s">
        <v>262</v>
      </c>
      <c r="B226" s="10" t="s">
        <v>57</v>
      </c>
      <c r="C226" s="18">
        <v>0</v>
      </c>
      <c r="D226" s="18">
        <v>0</v>
      </c>
      <c r="E226" s="18">
        <v>0</v>
      </c>
      <c r="F226" s="18">
        <v>0</v>
      </c>
      <c r="G226" s="18">
        <v>0</v>
      </c>
      <c r="H226" s="18">
        <v>0</v>
      </c>
      <c r="I226" s="18">
        <v>0</v>
      </c>
      <c r="J226" s="18">
        <v>0</v>
      </c>
      <c r="K226" s="18">
        <v>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0</v>
      </c>
      <c r="U226" s="18">
        <v>0</v>
      </c>
      <c r="V226" s="18">
        <v>0</v>
      </c>
      <c r="W226" s="18">
        <v>0</v>
      </c>
      <c r="X226" s="18">
        <v>0</v>
      </c>
      <c r="Y226" s="18">
        <v>0</v>
      </c>
      <c r="Z226" s="18">
        <v>0</v>
      </c>
      <c r="AA226" s="18">
        <v>0</v>
      </c>
      <c r="AB226" s="18">
        <v>0</v>
      </c>
      <c r="AC226" s="18">
        <v>0</v>
      </c>
      <c r="AD226" s="18">
        <v>0</v>
      </c>
      <c r="AE226" s="18">
        <v>0</v>
      </c>
      <c r="AF226" s="18">
        <v>0</v>
      </c>
      <c r="AG226" s="18">
        <v>0</v>
      </c>
      <c r="AH226" s="18">
        <v>0</v>
      </c>
      <c r="AI226" s="18">
        <v>0</v>
      </c>
      <c r="AJ226" s="18">
        <v>0</v>
      </c>
      <c r="AK226" s="18">
        <v>0</v>
      </c>
      <c r="AL226" s="18">
        <v>0</v>
      </c>
      <c r="AM226" s="18">
        <v>0</v>
      </c>
      <c r="AN226" s="18">
        <v>0</v>
      </c>
      <c r="AO226" s="18">
        <v>0</v>
      </c>
      <c r="AP226" s="18">
        <v>0</v>
      </c>
      <c r="AQ226" s="18">
        <v>0</v>
      </c>
      <c r="AR226" s="18">
        <v>0</v>
      </c>
      <c r="AS226" s="18">
        <v>0</v>
      </c>
      <c r="AT226" s="18">
        <v>0</v>
      </c>
      <c r="AU226" s="18">
        <v>0</v>
      </c>
      <c r="AV226" s="18">
        <v>0</v>
      </c>
      <c r="AW226" s="18">
        <v>0</v>
      </c>
      <c r="AX226" s="18">
        <v>0</v>
      </c>
    </row>
    <row r="227" spans="1:50" x14ac:dyDescent="0.25">
      <c r="A227" s="16" t="s">
        <v>699</v>
      </c>
      <c r="B227" s="13" t="s">
        <v>464</v>
      </c>
      <c r="C227" s="17">
        <v>0</v>
      </c>
      <c r="D227" s="17">
        <v>0</v>
      </c>
      <c r="E227" s="17">
        <v>0</v>
      </c>
      <c r="F227" s="17">
        <v>0</v>
      </c>
      <c r="G227" s="17">
        <v>0</v>
      </c>
      <c r="H227" s="17">
        <v>0</v>
      </c>
      <c r="I227" s="17">
        <v>0</v>
      </c>
      <c r="J227" s="17">
        <v>3.0000000000000001E-3</v>
      </c>
      <c r="K227" s="17">
        <v>4.3499999999999997E-2</v>
      </c>
      <c r="L227" s="17">
        <v>0.20349999999999999</v>
      </c>
      <c r="M227" s="17">
        <v>0.4037</v>
      </c>
      <c r="N227" s="17">
        <v>0.64910000000000001</v>
      </c>
      <c r="O227" s="17">
        <v>0.91690000000000005</v>
      </c>
      <c r="P227" s="17">
        <v>1.1879999999999999</v>
      </c>
      <c r="Q227" s="17">
        <v>1.4577</v>
      </c>
      <c r="R227" s="17">
        <v>1.7278</v>
      </c>
      <c r="S227" s="17">
        <v>1.9813000000000001</v>
      </c>
      <c r="T227" s="17">
        <v>2.2195999999999998</v>
      </c>
      <c r="U227" s="17">
        <v>2.4224999999999999</v>
      </c>
      <c r="V227" s="17">
        <v>2.5956000000000001</v>
      </c>
      <c r="W227" s="17">
        <v>2.7475000000000001</v>
      </c>
      <c r="X227" s="17">
        <v>2.8729</v>
      </c>
      <c r="Y227" s="17">
        <v>2.9619</v>
      </c>
      <c r="Z227" s="17">
        <v>3.0009000000000001</v>
      </c>
      <c r="AA227" s="17">
        <v>3.0122</v>
      </c>
      <c r="AB227" s="17">
        <v>2.9910000000000001</v>
      </c>
      <c r="AC227" s="17">
        <v>2.92</v>
      </c>
      <c r="AD227" s="17">
        <v>2.8117000000000001</v>
      </c>
      <c r="AE227" s="17">
        <v>2.6823000000000001</v>
      </c>
      <c r="AF227" s="17">
        <v>2.5184000000000002</v>
      </c>
      <c r="AG227" s="17">
        <v>2.3441999999999998</v>
      </c>
      <c r="AH227" s="17">
        <v>2.1345999999999998</v>
      </c>
      <c r="AI227" s="17">
        <v>1.8986000000000001</v>
      </c>
      <c r="AJ227" s="17">
        <v>1.6135999999999999</v>
      </c>
      <c r="AK227" s="17">
        <v>1.3468</v>
      </c>
      <c r="AL227" s="17">
        <v>1.0727</v>
      </c>
      <c r="AM227" s="17">
        <v>0.80759999999999998</v>
      </c>
      <c r="AN227" s="17">
        <v>0.55189999999999995</v>
      </c>
      <c r="AO227" s="17">
        <v>0.32229999999999998</v>
      </c>
      <c r="AP227" s="17">
        <v>9.3799999999999994E-2</v>
      </c>
      <c r="AQ227" s="17">
        <v>1.7299999999999999E-2</v>
      </c>
      <c r="AR227" s="17">
        <v>0</v>
      </c>
      <c r="AS227" s="17">
        <v>0</v>
      </c>
      <c r="AT227" s="17">
        <v>0</v>
      </c>
      <c r="AU227" s="17">
        <v>0</v>
      </c>
      <c r="AV227" s="17">
        <v>0</v>
      </c>
      <c r="AW227" s="17">
        <v>0</v>
      </c>
      <c r="AX227" s="17">
        <v>0</v>
      </c>
    </row>
    <row r="228" spans="1:50" x14ac:dyDescent="0.25">
      <c r="A228" s="8" t="s">
        <v>264</v>
      </c>
      <c r="B228" s="10" t="s">
        <v>57</v>
      </c>
      <c r="C228" s="18">
        <v>0</v>
      </c>
      <c r="D228" s="18">
        <v>0</v>
      </c>
      <c r="E228" s="18">
        <v>0</v>
      </c>
      <c r="F228" s="18">
        <v>0</v>
      </c>
      <c r="G228" s="18">
        <v>0</v>
      </c>
      <c r="H228" s="18">
        <v>0</v>
      </c>
      <c r="I228" s="18">
        <v>0</v>
      </c>
      <c r="J228" s="18">
        <v>0</v>
      </c>
      <c r="K228" s="18">
        <v>0</v>
      </c>
      <c r="L228" s="18">
        <v>0</v>
      </c>
      <c r="M228" s="18">
        <v>0</v>
      </c>
      <c r="N228" s="18">
        <v>0</v>
      </c>
      <c r="O228" s="18">
        <v>0</v>
      </c>
      <c r="P228" s="18">
        <v>0</v>
      </c>
      <c r="Q228" s="18">
        <v>0</v>
      </c>
      <c r="R228" s="18">
        <v>0</v>
      </c>
      <c r="S228" s="18">
        <v>0</v>
      </c>
      <c r="T228" s="18">
        <v>0</v>
      </c>
      <c r="U228" s="18">
        <v>0</v>
      </c>
      <c r="V228" s="18">
        <v>0</v>
      </c>
      <c r="W228" s="18">
        <v>0</v>
      </c>
      <c r="X228" s="18">
        <v>0</v>
      </c>
      <c r="Y228" s="18">
        <v>0</v>
      </c>
      <c r="Z228" s="18">
        <v>0</v>
      </c>
      <c r="AA228" s="18">
        <v>0</v>
      </c>
      <c r="AB228" s="18">
        <v>0</v>
      </c>
      <c r="AC228" s="18">
        <v>0</v>
      </c>
      <c r="AD228" s="18">
        <v>0</v>
      </c>
      <c r="AE228" s="18">
        <v>0</v>
      </c>
      <c r="AF228" s="18">
        <v>0</v>
      </c>
      <c r="AG228" s="18">
        <v>0</v>
      </c>
      <c r="AH228" s="18">
        <v>0</v>
      </c>
      <c r="AI228" s="18">
        <v>0</v>
      </c>
      <c r="AJ228" s="18">
        <v>0</v>
      </c>
      <c r="AK228" s="18">
        <v>0</v>
      </c>
      <c r="AL228" s="18">
        <v>0</v>
      </c>
      <c r="AM228" s="18">
        <v>0</v>
      </c>
      <c r="AN228" s="18">
        <v>0</v>
      </c>
      <c r="AO228" s="18">
        <v>0</v>
      </c>
      <c r="AP228" s="18">
        <v>0</v>
      </c>
      <c r="AQ228" s="18">
        <v>0</v>
      </c>
      <c r="AR228" s="18">
        <v>0</v>
      </c>
      <c r="AS228" s="18">
        <v>0</v>
      </c>
      <c r="AT228" s="18">
        <v>0</v>
      </c>
      <c r="AU228" s="18">
        <v>0</v>
      </c>
      <c r="AV228" s="18">
        <v>0</v>
      </c>
      <c r="AW228" s="18">
        <v>0</v>
      </c>
      <c r="AX228" s="18">
        <v>0</v>
      </c>
    </row>
    <row r="229" spans="1:50" x14ac:dyDescent="0.25">
      <c r="A229" s="16" t="s">
        <v>701</v>
      </c>
      <c r="B229" s="13" t="s">
        <v>464</v>
      </c>
      <c r="C229" s="17">
        <v>0</v>
      </c>
      <c r="D229" s="17">
        <v>0</v>
      </c>
      <c r="E229" s="17">
        <v>0</v>
      </c>
      <c r="F229" s="17">
        <v>0</v>
      </c>
      <c r="G229" s="17">
        <v>0</v>
      </c>
      <c r="H229" s="17">
        <v>0</v>
      </c>
      <c r="I229" s="17">
        <v>0</v>
      </c>
      <c r="J229" s="17">
        <v>1.6999999999999999E-3</v>
      </c>
      <c r="K229" s="17">
        <v>2.4899999999999999E-2</v>
      </c>
      <c r="L229" s="17">
        <v>0.1163</v>
      </c>
      <c r="M229" s="17">
        <v>0.23069999999999999</v>
      </c>
      <c r="N229" s="17">
        <v>0.37090000000000001</v>
      </c>
      <c r="O229" s="17">
        <v>0.52400000000000002</v>
      </c>
      <c r="P229" s="17">
        <v>0.67889999999999995</v>
      </c>
      <c r="Q229" s="17">
        <v>0.83299999999999996</v>
      </c>
      <c r="R229" s="17">
        <v>0.98729999999999996</v>
      </c>
      <c r="S229" s="17">
        <v>1.1322000000000001</v>
      </c>
      <c r="T229" s="17">
        <v>1.2683</v>
      </c>
      <c r="U229" s="17">
        <v>1.3843000000000001</v>
      </c>
      <c r="V229" s="17">
        <v>1.4832000000000001</v>
      </c>
      <c r="W229" s="17">
        <v>1.57</v>
      </c>
      <c r="X229" s="17">
        <v>1.6416999999999999</v>
      </c>
      <c r="Y229" s="17">
        <v>1.6924999999999999</v>
      </c>
      <c r="Z229" s="17">
        <v>1.7148000000000001</v>
      </c>
      <c r="AA229" s="17">
        <v>1.7212000000000001</v>
      </c>
      <c r="AB229" s="17">
        <v>1.7092000000000001</v>
      </c>
      <c r="AC229" s="17">
        <v>1.6686000000000001</v>
      </c>
      <c r="AD229" s="17">
        <v>1.6067</v>
      </c>
      <c r="AE229" s="17">
        <v>1.5327999999999999</v>
      </c>
      <c r="AF229" s="17">
        <v>1.4391</v>
      </c>
      <c r="AG229" s="17">
        <v>1.3395999999999999</v>
      </c>
      <c r="AH229" s="17">
        <v>1.2198</v>
      </c>
      <c r="AI229" s="17">
        <v>1.0849</v>
      </c>
      <c r="AJ229" s="17">
        <v>0.92200000000000004</v>
      </c>
      <c r="AK229" s="17">
        <v>0.76959999999999995</v>
      </c>
      <c r="AL229" s="17">
        <v>0.61299999999999999</v>
      </c>
      <c r="AM229" s="17">
        <v>0.46150000000000002</v>
      </c>
      <c r="AN229" s="17">
        <v>0.31540000000000001</v>
      </c>
      <c r="AO229" s="17">
        <v>0.1842</v>
      </c>
      <c r="AP229" s="17">
        <v>5.3600000000000002E-2</v>
      </c>
      <c r="AQ229" s="17">
        <v>9.9000000000000008E-3</v>
      </c>
      <c r="AR229" s="17">
        <v>0</v>
      </c>
      <c r="AS229" s="17">
        <v>0</v>
      </c>
      <c r="AT229" s="17">
        <v>0</v>
      </c>
      <c r="AU229" s="17">
        <v>0</v>
      </c>
      <c r="AV229" s="17">
        <v>0</v>
      </c>
      <c r="AW229" s="17">
        <v>0</v>
      </c>
      <c r="AX229" s="17">
        <v>0</v>
      </c>
    </row>
    <row r="230" spans="1:50" x14ac:dyDescent="0.25">
      <c r="A230" s="8" t="s">
        <v>266</v>
      </c>
      <c r="B230" s="10" t="s">
        <v>57</v>
      </c>
      <c r="C230" s="18">
        <v>0</v>
      </c>
      <c r="D230" s="18">
        <v>0</v>
      </c>
      <c r="E230" s="18">
        <v>0</v>
      </c>
      <c r="F230" s="18">
        <v>0</v>
      </c>
      <c r="G230" s="18">
        <v>0</v>
      </c>
      <c r="H230" s="18">
        <v>0</v>
      </c>
      <c r="I230" s="18">
        <v>0</v>
      </c>
      <c r="J230" s="18">
        <v>0</v>
      </c>
      <c r="K230" s="18">
        <v>0</v>
      </c>
      <c r="L230" s="18">
        <v>0</v>
      </c>
      <c r="M230" s="18">
        <v>0</v>
      </c>
      <c r="N230" s="18">
        <v>0</v>
      </c>
      <c r="O230" s="18">
        <v>0</v>
      </c>
      <c r="P230" s="18">
        <v>0</v>
      </c>
      <c r="Q230" s="18">
        <v>0</v>
      </c>
      <c r="R230" s="18">
        <v>0</v>
      </c>
      <c r="S230" s="18">
        <v>0</v>
      </c>
      <c r="T230" s="18">
        <v>0</v>
      </c>
      <c r="U230" s="18">
        <v>0</v>
      </c>
      <c r="V230" s="18">
        <v>0</v>
      </c>
      <c r="W230" s="18">
        <v>0</v>
      </c>
      <c r="X230" s="18">
        <v>0</v>
      </c>
      <c r="Y230" s="18">
        <v>0</v>
      </c>
      <c r="Z230" s="18">
        <v>0</v>
      </c>
      <c r="AA230" s="18">
        <v>0</v>
      </c>
      <c r="AB230" s="18">
        <v>0</v>
      </c>
      <c r="AC230" s="18">
        <v>0</v>
      </c>
      <c r="AD230" s="18">
        <v>0</v>
      </c>
      <c r="AE230" s="18">
        <v>0</v>
      </c>
      <c r="AF230" s="18">
        <v>0</v>
      </c>
      <c r="AG230" s="18">
        <v>0</v>
      </c>
      <c r="AH230" s="18">
        <v>0</v>
      </c>
      <c r="AI230" s="18">
        <v>0</v>
      </c>
      <c r="AJ230" s="18">
        <v>0</v>
      </c>
      <c r="AK230" s="18">
        <v>0</v>
      </c>
      <c r="AL230" s="18">
        <v>0</v>
      </c>
      <c r="AM230" s="18">
        <v>0</v>
      </c>
      <c r="AN230" s="18">
        <v>0</v>
      </c>
      <c r="AO230" s="18">
        <v>0</v>
      </c>
      <c r="AP230" s="18">
        <v>0</v>
      </c>
      <c r="AQ230" s="18">
        <v>0</v>
      </c>
      <c r="AR230" s="18">
        <v>0</v>
      </c>
      <c r="AS230" s="18">
        <v>0</v>
      </c>
      <c r="AT230" s="18">
        <v>0</v>
      </c>
      <c r="AU230" s="18">
        <v>0</v>
      </c>
      <c r="AV230" s="18">
        <v>0</v>
      </c>
      <c r="AW230" s="18">
        <v>0</v>
      </c>
      <c r="AX230" s="18">
        <v>0</v>
      </c>
    </row>
    <row r="231" spans="1:50" x14ac:dyDescent="0.25">
      <c r="A231" s="16" t="s">
        <v>703</v>
      </c>
      <c r="B231" s="13" t="s">
        <v>464</v>
      </c>
      <c r="C231" s="17">
        <v>0</v>
      </c>
      <c r="D231" s="17">
        <v>0</v>
      </c>
      <c r="E231" s="17">
        <v>0</v>
      </c>
      <c r="F231" s="17">
        <v>0</v>
      </c>
      <c r="G231" s="17">
        <v>0</v>
      </c>
      <c r="H231" s="17">
        <v>0</v>
      </c>
      <c r="I231" s="17">
        <v>0</v>
      </c>
      <c r="J231" s="17">
        <v>2.5999999999999999E-3</v>
      </c>
      <c r="K231" s="17">
        <v>3.73E-2</v>
      </c>
      <c r="L231" s="17">
        <v>0.1744</v>
      </c>
      <c r="M231" s="17">
        <v>0.34599999999999997</v>
      </c>
      <c r="N231" s="17">
        <v>0.55640000000000001</v>
      </c>
      <c r="O231" s="17">
        <v>0.78590000000000004</v>
      </c>
      <c r="P231" s="17">
        <v>1.0183</v>
      </c>
      <c r="Q231" s="17">
        <v>1.2495000000000001</v>
      </c>
      <c r="R231" s="17">
        <v>1.4810000000000001</v>
      </c>
      <c r="S231" s="17">
        <v>1.6981999999999999</v>
      </c>
      <c r="T231" s="17">
        <v>1.9025000000000001</v>
      </c>
      <c r="U231" s="17">
        <v>2.0764</v>
      </c>
      <c r="V231" s="17">
        <v>2.2248000000000001</v>
      </c>
      <c r="W231" s="17">
        <v>2.355</v>
      </c>
      <c r="X231" s="17">
        <v>2.4624999999999999</v>
      </c>
      <c r="Y231" s="17">
        <v>2.5387</v>
      </c>
      <c r="Z231" s="17">
        <v>2.5722</v>
      </c>
      <c r="AA231" s="17">
        <v>2.5819000000000001</v>
      </c>
      <c r="AB231" s="17">
        <v>2.5636999999999999</v>
      </c>
      <c r="AC231" s="17">
        <v>2.5028999999999999</v>
      </c>
      <c r="AD231" s="17">
        <v>2.41</v>
      </c>
      <c r="AE231" s="17">
        <v>2.2991000000000001</v>
      </c>
      <c r="AF231" s="17">
        <v>2.1585999999999999</v>
      </c>
      <c r="AG231" s="17">
        <v>2.0093000000000001</v>
      </c>
      <c r="AH231" s="17">
        <v>1.8297000000000001</v>
      </c>
      <c r="AI231" s="17">
        <v>1.6274</v>
      </c>
      <c r="AJ231" s="17">
        <v>1.3831</v>
      </c>
      <c r="AK231" s="17">
        <v>1.1544000000000001</v>
      </c>
      <c r="AL231" s="17">
        <v>0.91949999999999998</v>
      </c>
      <c r="AM231" s="17">
        <v>0.69220000000000004</v>
      </c>
      <c r="AN231" s="17">
        <v>0.47310000000000002</v>
      </c>
      <c r="AO231" s="17">
        <v>0.2762</v>
      </c>
      <c r="AP231" s="17">
        <v>8.0399999999999999E-2</v>
      </c>
      <c r="AQ231" s="17">
        <v>1.4800000000000001E-2</v>
      </c>
      <c r="AR231" s="17">
        <v>0</v>
      </c>
      <c r="AS231" s="17">
        <v>0</v>
      </c>
      <c r="AT231" s="17">
        <v>0</v>
      </c>
      <c r="AU231" s="17">
        <v>0</v>
      </c>
      <c r="AV231" s="17">
        <v>0</v>
      </c>
      <c r="AW231" s="17">
        <v>0</v>
      </c>
      <c r="AX231" s="17">
        <v>0</v>
      </c>
    </row>
    <row r="232" spans="1:50" x14ac:dyDescent="0.25">
      <c r="A232" s="16" t="s">
        <v>705</v>
      </c>
      <c r="B232" s="13" t="s">
        <v>464</v>
      </c>
      <c r="C232" s="17">
        <v>0</v>
      </c>
      <c r="D232" s="17">
        <v>0</v>
      </c>
      <c r="E232" s="17">
        <v>0</v>
      </c>
      <c r="F232" s="17">
        <v>0</v>
      </c>
      <c r="G232" s="17">
        <v>0</v>
      </c>
      <c r="H232" s="17">
        <v>0</v>
      </c>
      <c r="I232" s="17">
        <v>0</v>
      </c>
      <c r="J232" s="17">
        <v>3.3999999999999998E-3</v>
      </c>
      <c r="K232" s="17">
        <v>4.9700000000000001E-2</v>
      </c>
      <c r="L232" s="17">
        <v>0.2326</v>
      </c>
      <c r="M232" s="17">
        <v>0.46129999999999999</v>
      </c>
      <c r="N232" s="17">
        <v>0.7419</v>
      </c>
      <c r="O232" s="17">
        <v>1.0479000000000001</v>
      </c>
      <c r="P232" s="17">
        <v>1.3576999999999999</v>
      </c>
      <c r="Q232" s="17">
        <v>1.6659999999999999</v>
      </c>
      <c r="R232" s="17">
        <v>1.9745999999999999</v>
      </c>
      <c r="S232" s="17">
        <v>2.2643</v>
      </c>
      <c r="T232" s="17">
        <v>2.5367000000000002</v>
      </c>
      <c r="U232" s="17">
        <v>2.7686000000000002</v>
      </c>
      <c r="V232" s="17">
        <v>2.9664000000000001</v>
      </c>
      <c r="W232" s="17">
        <v>3.14</v>
      </c>
      <c r="X232" s="17">
        <v>3.2833000000000001</v>
      </c>
      <c r="Y232" s="17">
        <v>3.3849999999999998</v>
      </c>
      <c r="Z232" s="17">
        <v>3.4296000000000002</v>
      </c>
      <c r="AA232" s="17">
        <v>3.4424999999999999</v>
      </c>
      <c r="AB232" s="17">
        <v>3.4182999999999999</v>
      </c>
      <c r="AC232" s="17">
        <v>3.3372000000000002</v>
      </c>
      <c r="AD232" s="17">
        <v>3.2132999999999998</v>
      </c>
      <c r="AE232" s="17">
        <v>3.0655000000000001</v>
      </c>
      <c r="AF232" s="17">
        <v>2.8782000000000001</v>
      </c>
      <c r="AG232" s="17">
        <v>2.6791</v>
      </c>
      <c r="AH232" s="17">
        <v>2.4396</v>
      </c>
      <c r="AI232" s="17">
        <v>2.1698</v>
      </c>
      <c r="AJ232" s="17">
        <v>1.8441000000000001</v>
      </c>
      <c r="AK232" s="17">
        <v>1.5391999999999999</v>
      </c>
      <c r="AL232" s="17">
        <v>1.2259</v>
      </c>
      <c r="AM232" s="17">
        <v>0.92290000000000005</v>
      </c>
      <c r="AN232" s="17">
        <v>0.63080000000000003</v>
      </c>
      <c r="AO232" s="17">
        <v>0.36830000000000002</v>
      </c>
      <c r="AP232" s="17">
        <v>0.1072</v>
      </c>
      <c r="AQ232" s="17">
        <v>1.9800000000000002E-2</v>
      </c>
      <c r="AR232" s="17">
        <v>0</v>
      </c>
      <c r="AS232" s="17">
        <v>0</v>
      </c>
      <c r="AT232" s="17">
        <v>0</v>
      </c>
      <c r="AU232" s="17">
        <v>0</v>
      </c>
      <c r="AV232" s="17">
        <v>0</v>
      </c>
      <c r="AW232" s="17">
        <v>0</v>
      </c>
      <c r="AX232" s="17">
        <v>0</v>
      </c>
    </row>
    <row r="233" spans="1:50" x14ac:dyDescent="0.25">
      <c r="A233" s="16" t="s">
        <v>707</v>
      </c>
      <c r="B233" s="13" t="s">
        <v>464</v>
      </c>
      <c r="C233" s="17">
        <v>0</v>
      </c>
      <c r="D233" s="17">
        <v>0</v>
      </c>
      <c r="E233" s="17">
        <v>0</v>
      </c>
      <c r="F233" s="17">
        <v>0</v>
      </c>
      <c r="G233" s="17">
        <v>0</v>
      </c>
      <c r="H233" s="17">
        <v>0</v>
      </c>
      <c r="I233" s="17">
        <v>0</v>
      </c>
      <c r="J233" s="17">
        <v>1.2999999999999999E-3</v>
      </c>
      <c r="K233" s="17">
        <v>1.8700000000000001E-2</v>
      </c>
      <c r="L233" s="17">
        <v>8.72E-2</v>
      </c>
      <c r="M233" s="17">
        <v>0.17299999999999999</v>
      </c>
      <c r="N233" s="17">
        <v>0.2782</v>
      </c>
      <c r="O233" s="17">
        <v>0.39300000000000002</v>
      </c>
      <c r="P233" s="17">
        <v>0.50919999999999999</v>
      </c>
      <c r="Q233" s="17">
        <v>0.62470000000000003</v>
      </c>
      <c r="R233" s="17">
        <v>0.74050000000000005</v>
      </c>
      <c r="S233" s="17">
        <v>0.84909999999999997</v>
      </c>
      <c r="T233" s="17">
        <v>0.95120000000000005</v>
      </c>
      <c r="U233" s="17">
        <v>1.0382</v>
      </c>
      <c r="V233" s="17">
        <v>1.1124000000000001</v>
      </c>
      <c r="W233" s="17">
        <v>1.1775</v>
      </c>
      <c r="X233" s="17">
        <v>1.2312000000000001</v>
      </c>
      <c r="Y233" s="17">
        <v>1.2694000000000001</v>
      </c>
      <c r="Z233" s="17">
        <v>1.2861</v>
      </c>
      <c r="AA233" s="17">
        <v>1.2908999999999999</v>
      </c>
      <c r="AB233" s="17">
        <v>1.2819</v>
      </c>
      <c r="AC233" s="17">
        <v>1.2514000000000001</v>
      </c>
      <c r="AD233" s="17">
        <v>1.2050000000000001</v>
      </c>
      <c r="AE233" s="17">
        <v>1.1496</v>
      </c>
      <c r="AF233" s="17">
        <v>1.0792999999999999</v>
      </c>
      <c r="AG233" s="17">
        <v>1.0046999999999999</v>
      </c>
      <c r="AH233" s="17">
        <v>0.91479999999999995</v>
      </c>
      <c r="AI233" s="17">
        <v>0.81369999999999998</v>
      </c>
      <c r="AJ233" s="17">
        <v>0.6915</v>
      </c>
      <c r="AK233" s="17">
        <v>0.57720000000000005</v>
      </c>
      <c r="AL233" s="17">
        <v>0.4597</v>
      </c>
      <c r="AM233" s="17">
        <v>0.34610000000000002</v>
      </c>
      <c r="AN233" s="17">
        <v>0.23649999999999999</v>
      </c>
      <c r="AO233" s="17">
        <v>0.1381</v>
      </c>
      <c r="AP233" s="17">
        <v>4.02E-2</v>
      </c>
      <c r="AQ233" s="17">
        <v>7.4000000000000003E-3</v>
      </c>
      <c r="AR233" s="17">
        <v>0</v>
      </c>
      <c r="AS233" s="17">
        <v>0</v>
      </c>
      <c r="AT233" s="17">
        <v>0</v>
      </c>
      <c r="AU233" s="17">
        <v>0</v>
      </c>
      <c r="AV233" s="17">
        <v>0</v>
      </c>
      <c r="AW233" s="17">
        <v>0</v>
      </c>
      <c r="AX233" s="17">
        <v>0</v>
      </c>
    </row>
    <row r="234" spans="1:50" x14ac:dyDescent="0.25">
      <c r="A234" s="16" t="s">
        <v>709</v>
      </c>
      <c r="B234" s="13" t="s">
        <v>464</v>
      </c>
      <c r="C234" s="17">
        <v>0</v>
      </c>
      <c r="D234" s="17">
        <v>0</v>
      </c>
      <c r="E234" s="17">
        <v>0</v>
      </c>
      <c r="F234" s="17">
        <v>0</v>
      </c>
      <c r="G234" s="17">
        <v>0</v>
      </c>
      <c r="H234" s="17">
        <v>0</v>
      </c>
      <c r="I234" s="17">
        <v>0</v>
      </c>
      <c r="J234" s="17">
        <v>1.2999999999999999E-3</v>
      </c>
      <c r="K234" s="17">
        <v>1.8700000000000001E-2</v>
      </c>
      <c r="L234" s="17">
        <v>8.72E-2</v>
      </c>
      <c r="M234" s="17">
        <v>0.17299999999999999</v>
      </c>
      <c r="N234" s="17">
        <v>0.2782</v>
      </c>
      <c r="O234" s="17">
        <v>0.39300000000000002</v>
      </c>
      <c r="P234" s="17">
        <v>0.50919999999999999</v>
      </c>
      <c r="Q234" s="17">
        <v>0.62470000000000003</v>
      </c>
      <c r="R234" s="17">
        <v>0.74050000000000005</v>
      </c>
      <c r="S234" s="17">
        <v>0.84909999999999997</v>
      </c>
      <c r="T234" s="17">
        <v>0.95120000000000005</v>
      </c>
      <c r="U234" s="17">
        <v>1.0382</v>
      </c>
      <c r="V234" s="17">
        <v>1.1124000000000001</v>
      </c>
      <c r="W234" s="17">
        <v>1.1775</v>
      </c>
      <c r="X234" s="17">
        <v>1.2312000000000001</v>
      </c>
      <c r="Y234" s="17">
        <v>1.2694000000000001</v>
      </c>
      <c r="Z234" s="17">
        <v>1.2861</v>
      </c>
      <c r="AA234" s="17">
        <v>1.2908999999999999</v>
      </c>
      <c r="AB234" s="17">
        <v>1.2819</v>
      </c>
      <c r="AC234" s="17">
        <v>1.2514000000000001</v>
      </c>
      <c r="AD234" s="17">
        <v>1.2050000000000001</v>
      </c>
      <c r="AE234" s="17">
        <v>1.1496</v>
      </c>
      <c r="AF234" s="17">
        <v>1.0792999999999999</v>
      </c>
      <c r="AG234" s="17">
        <v>1.0046999999999999</v>
      </c>
      <c r="AH234" s="17">
        <v>0.91479999999999995</v>
      </c>
      <c r="AI234" s="17">
        <v>0.81369999999999998</v>
      </c>
      <c r="AJ234" s="17">
        <v>0.6915</v>
      </c>
      <c r="AK234" s="17">
        <v>0.57720000000000005</v>
      </c>
      <c r="AL234" s="17">
        <v>0.4597</v>
      </c>
      <c r="AM234" s="17">
        <v>0.34610000000000002</v>
      </c>
      <c r="AN234" s="17">
        <v>0.23649999999999999</v>
      </c>
      <c r="AO234" s="17">
        <v>0.1381</v>
      </c>
      <c r="AP234" s="17">
        <v>4.02E-2</v>
      </c>
      <c r="AQ234" s="17">
        <v>7.4000000000000003E-3</v>
      </c>
      <c r="AR234" s="17">
        <v>0</v>
      </c>
      <c r="AS234" s="17">
        <v>0</v>
      </c>
      <c r="AT234" s="17">
        <v>0</v>
      </c>
      <c r="AU234" s="17">
        <v>0</v>
      </c>
      <c r="AV234" s="17">
        <v>0</v>
      </c>
      <c r="AW234" s="17">
        <v>0</v>
      </c>
      <c r="AX234" s="17">
        <v>0</v>
      </c>
    </row>
    <row r="235" spans="1:50" x14ac:dyDescent="0.25">
      <c r="A235" s="8" t="s">
        <v>268</v>
      </c>
      <c r="B235" s="10" t="s">
        <v>57</v>
      </c>
      <c r="C235" s="18">
        <v>0</v>
      </c>
      <c r="D235" s="18">
        <v>0</v>
      </c>
      <c r="E235" s="18">
        <v>0</v>
      </c>
      <c r="F235" s="18">
        <v>0</v>
      </c>
      <c r="G235" s="18">
        <v>0</v>
      </c>
      <c r="H235" s="18">
        <v>0</v>
      </c>
      <c r="I235" s="18">
        <v>0</v>
      </c>
      <c r="J235" s="18">
        <v>0</v>
      </c>
      <c r="K235" s="18">
        <v>0</v>
      </c>
      <c r="L235" s="18">
        <v>0</v>
      </c>
      <c r="M235" s="18">
        <v>0</v>
      </c>
      <c r="N235" s="18">
        <v>0</v>
      </c>
      <c r="O235" s="18">
        <v>0</v>
      </c>
      <c r="P235" s="18">
        <v>0</v>
      </c>
      <c r="Q235" s="18">
        <v>0</v>
      </c>
      <c r="R235" s="18">
        <v>0</v>
      </c>
      <c r="S235" s="18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8">
        <v>0</v>
      </c>
      <c r="Z235" s="18">
        <v>0</v>
      </c>
      <c r="AA235" s="18">
        <v>0</v>
      </c>
      <c r="AB235" s="18">
        <v>0</v>
      </c>
      <c r="AC235" s="18">
        <v>0</v>
      </c>
      <c r="AD235" s="18">
        <v>0</v>
      </c>
      <c r="AE235" s="18">
        <v>0</v>
      </c>
      <c r="AF235" s="18">
        <v>0</v>
      </c>
      <c r="AG235" s="18">
        <v>0</v>
      </c>
      <c r="AH235" s="18">
        <v>0</v>
      </c>
      <c r="AI235" s="18">
        <v>0</v>
      </c>
      <c r="AJ235" s="18">
        <v>0</v>
      </c>
      <c r="AK235" s="18">
        <v>0</v>
      </c>
      <c r="AL235" s="18">
        <v>0</v>
      </c>
      <c r="AM235" s="18">
        <v>0</v>
      </c>
      <c r="AN235" s="18">
        <v>0</v>
      </c>
      <c r="AO235" s="18">
        <v>0</v>
      </c>
      <c r="AP235" s="18">
        <v>0</v>
      </c>
      <c r="AQ235" s="18">
        <v>0</v>
      </c>
      <c r="AR235" s="18">
        <v>0</v>
      </c>
      <c r="AS235" s="18">
        <v>0</v>
      </c>
      <c r="AT235" s="18">
        <v>0</v>
      </c>
      <c r="AU235" s="18">
        <v>0</v>
      </c>
      <c r="AV235" s="18">
        <v>0</v>
      </c>
      <c r="AW235" s="18">
        <v>0</v>
      </c>
      <c r="AX235" s="18">
        <v>0</v>
      </c>
    </row>
    <row r="236" spans="1:50" x14ac:dyDescent="0.25">
      <c r="A236" s="8" t="s">
        <v>270</v>
      </c>
      <c r="B236" s="10" t="s">
        <v>57</v>
      </c>
      <c r="C236" s="18">
        <v>0</v>
      </c>
      <c r="D236" s="18">
        <v>0</v>
      </c>
      <c r="E236" s="18">
        <v>0</v>
      </c>
      <c r="F236" s="18">
        <v>0</v>
      </c>
      <c r="G236" s="18">
        <v>0</v>
      </c>
      <c r="H236" s="18">
        <v>0</v>
      </c>
      <c r="I236" s="18">
        <v>0</v>
      </c>
      <c r="J236" s="18">
        <v>0</v>
      </c>
      <c r="K236" s="18">
        <v>0</v>
      </c>
      <c r="L236" s="18">
        <v>0</v>
      </c>
      <c r="M236" s="18">
        <v>0</v>
      </c>
      <c r="N236" s="18">
        <v>0</v>
      </c>
      <c r="O236" s="18">
        <v>0</v>
      </c>
      <c r="P236" s="18">
        <v>0</v>
      </c>
      <c r="Q236" s="18">
        <v>0</v>
      </c>
      <c r="R236" s="18">
        <v>0</v>
      </c>
      <c r="S236" s="18">
        <v>0</v>
      </c>
      <c r="T236" s="18">
        <v>0</v>
      </c>
      <c r="U236" s="18">
        <v>0</v>
      </c>
      <c r="V236" s="18">
        <v>0</v>
      </c>
      <c r="W236" s="18">
        <v>0</v>
      </c>
      <c r="X236" s="18">
        <v>0</v>
      </c>
      <c r="Y236" s="18">
        <v>0</v>
      </c>
      <c r="Z236" s="18">
        <v>0</v>
      </c>
      <c r="AA236" s="18">
        <v>0</v>
      </c>
      <c r="AB236" s="18">
        <v>0</v>
      </c>
      <c r="AC236" s="18">
        <v>0</v>
      </c>
      <c r="AD236" s="18">
        <v>0</v>
      </c>
      <c r="AE236" s="18">
        <v>0</v>
      </c>
      <c r="AF236" s="18">
        <v>0</v>
      </c>
      <c r="AG236" s="18">
        <v>0</v>
      </c>
      <c r="AH236" s="18">
        <v>0</v>
      </c>
      <c r="AI236" s="18">
        <v>0</v>
      </c>
      <c r="AJ236" s="18">
        <v>0</v>
      </c>
      <c r="AK236" s="18">
        <v>0</v>
      </c>
      <c r="AL236" s="18">
        <v>0</v>
      </c>
      <c r="AM236" s="18">
        <v>0</v>
      </c>
      <c r="AN236" s="18">
        <v>0</v>
      </c>
      <c r="AO236" s="18">
        <v>0</v>
      </c>
      <c r="AP236" s="18">
        <v>0</v>
      </c>
      <c r="AQ236" s="18">
        <v>0</v>
      </c>
      <c r="AR236" s="18">
        <v>0</v>
      </c>
      <c r="AS236" s="18">
        <v>0</v>
      </c>
      <c r="AT236" s="18">
        <v>0</v>
      </c>
      <c r="AU236" s="18">
        <v>0</v>
      </c>
      <c r="AV236" s="18">
        <v>0</v>
      </c>
      <c r="AW236" s="18">
        <v>0</v>
      </c>
      <c r="AX236" s="18">
        <v>0</v>
      </c>
    </row>
    <row r="237" spans="1:50" x14ac:dyDescent="0.25">
      <c r="A237" s="8" t="s">
        <v>272</v>
      </c>
      <c r="B237" s="10" t="s">
        <v>57</v>
      </c>
      <c r="C237" s="18">
        <v>0</v>
      </c>
      <c r="D237" s="18">
        <v>0</v>
      </c>
      <c r="E237" s="18">
        <v>0</v>
      </c>
      <c r="F237" s="18">
        <v>0</v>
      </c>
      <c r="G237" s="18">
        <v>0</v>
      </c>
      <c r="H237" s="18">
        <v>0</v>
      </c>
      <c r="I237" s="18">
        <v>0</v>
      </c>
      <c r="J237" s="18">
        <v>0</v>
      </c>
      <c r="K237" s="18">
        <v>0</v>
      </c>
      <c r="L237" s="18">
        <v>0</v>
      </c>
      <c r="M237" s="18">
        <v>0</v>
      </c>
      <c r="N237" s="18">
        <v>0</v>
      </c>
      <c r="O237" s="18">
        <v>0</v>
      </c>
      <c r="P237" s="18">
        <v>0</v>
      </c>
      <c r="Q237" s="18">
        <v>0</v>
      </c>
      <c r="R237" s="18">
        <v>0</v>
      </c>
      <c r="S237" s="18">
        <v>0</v>
      </c>
      <c r="T237" s="18">
        <v>0</v>
      </c>
      <c r="U237" s="18">
        <v>0</v>
      </c>
      <c r="V237" s="18">
        <v>0</v>
      </c>
      <c r="W237" s="18">
        <v>0</v>
      </c>
      <c r="X237" s="18">
        <v>0</v>
      </c>
      <c r="Y237" s="18">
        <v>0</v>
      </c>
      <c r="Z237" s="18">
        <v>0</v>
      </c>
      <c r="AA237" s="18">
        <v>0</v>
      </c>
      <c r="AB237" s="18">
        <v>0</v>
      </c>
      <c r="AC237" s="18">
        <v>0</v>
      </c>
      <c r="AD237" s="18">
        <v>0</v>
      </c>
      <c r="AE237" s="18">
        <v>0</v>
      </c>
      <c r="AF237" s="18">
        <v>0</v>
      </c>
      <c r="AG237" s="18">
        <v>0</v>
      </c>
      <c r="AH237" s="18">
        <v>0</v>
      </c>
      <c r="AI237" s="18">
        <v>0</v>
      </c>
      <c r="AJ237" s="18">
        <v>0</v>
      </c>
      <c r="AK237" s="18">
        <v>0</v>
      </c>
      <c r="AL237" s="18">
        <v>0</v>
      </c>
      <c r="AM237" s="18">
        <v>0</v>
      </c>
      <c r="AN237" s="18">
        <v>0</v>
      </c>
      <c r="AO237" s="18">
        <v>0</v>
      </c>
      <c r="AP237" s="18">
        <v>0</v>
      </c>
      <c r="AQ237" s="18">
        <v>0</v>
      </c>
      <c r="AR237" s="18">
        <v>0</v>
      </c>
      <c r="AS237" s="18">
        <v>0</v>
      </c>
      <c r="AT237" s="18">
        <v>0</v>
      </c>
      <c r="AU237" s="18">
        <v>0</v>
      </c>
      <c r="AV237" s="18">
        <v>0</v>
      </c>
      <c r="AW237" s="18">
        <v>0</v>
      </c>
      <c r="AX237" s="18">
        <v>0</v>
      </c>
    </row>
    <row r="238" spans="1:50" x14ac:dyDescent="0.25">
      <c r="A238" s="16" t="s">
        <v>711</v>
      </c>
      <c r="B238" s="13" t="s">
        <v>464</v>
      </c>
      <c r="C238" s="17">
        <v>0</v>
      </c>
      <c r="D238" s="17">
        <v>0</v>
      </c>
      <c r="E238" s="17">
        <v>0</v>
      </c>
      <c r="F238" s="17">
        <v>0</v>
      </c>
      <c r="G238" s="17">
        <v>0</v>
      </c>
      <c r="H238" s="17">
        <v>0</v>
      </c>
      <c r="I238" s="17">
        <v>0</v>
      </c>
      <c r="J238" s="17">
        <v>3.3999999999999998E-3</v>
      </c>
      <c r="K238" s="17">
        <v>4.9700000000000001E-2</v>
      </c>
      <c r="L238" s="17">
        <v>0.2326</v>
      </c>
      <c r="M238" s="17">
        <v>0.46129999999999999</v>
      </c>
      <c r="N238" s="17">
        <v>0.7419</v>
      </c>
      <c r="O238" s="17">
        <v>1.0479000000000001</v>
      </c>
      <c r="P238" s="17">
        <v>1.3576999999999999</v>
      </c>
      <c r="Q238" s="17">
        <v>1.6659999999999999</v>
      </c>
      <c r="R238" s="17">
        <v>1.9745999999999999</v>
      </c>
      <c r="S238" s="17">
        <v>2.2643</v>
      </c>
      <c r="T238" s="17">
        <v>2.5367000000000002</v>
      </c>
      <c r="U238" s="17">
        <v>2.7686000000000002</v>
      </c>
      <c r="V238" s="17">
        <v>2.9664000000000001</v>
      </c>
      <c r="W238" s="17">
        <v>3.14</v>
      </c>
      <c r="X238" s="17">
        <v>3.2833000000000001</v>
      </c>
      <c r="Y238" s="17">
        <v>3.3849999999999998</v>
      </c>
      <c r="Z238" s="17">
        <v>3.4296000000000002</v>
      </c>
      <c r="AA238" s="17">
        <v>3.4424999999999999</v>
      </c>
      <c r="AB238" s="17">
        <v>3.4182999999999999</v>
      </c>
      <c r="AC238" s="17">
        <v>3.3372000000000002</v>
      </c>
      <c r="AD238" s="17">
        <v>3.2132999999999998</v>
      </c>
      <c r="AE238" s="17">
        <v>3.0655000000000001</v>
      </c>
      <c r="AF238" s="17">
        <v>2.8782000000000001</v>
      </c>
      <c r="AG238" s="17">
        <v>2.6791</v>
      </c>
      <c r="AH238" s="17">
        <v>2.4396</v>
      </c>
      <c r="AI238" s="17">
        <v>2.1698</v>
      </c>
      <c r="AJ238" s="17">
        <v>1.8441000000000001</v>
      </c>
      <c r="AK238" s="17">
        <v>1.5391999999999999</v>
      </c>
      <c r="AL238" s="17">
        <v>1.2259</v>
      </c>
      <c r="AM238" s="17">
        <v>0.92290000000000005</v>
      </c>
      <c r="AN238" s="17">
        <v>0.63080000000000003</v>
      </c>
      <c r="AO238" s="17">
        <v>0.36830000000000002</v>
      </c>
      <c r="AP238" s="17">
        <v>0.1072</v>
      </c>
      <c r="AQ238" s="17">
        <v>1.9800000000000002E-2</v>
      </c>
      <c r="AR238" s="17">
        <v>0</v>
      </c>
      <c r="AS238" s="17">
        <v>0</v>
      </c>
      <c r="AT238" s="17">
        <v>0</v>
      </c>
      <c r="AU238" s="17">
        <v>0</v>
      </c>
      <c r="AV238" s="17">
        <v>0</v>
      </c>
      <c r="AW238" s="17">
        <v>0</v>
      </c>
      <c r="AX238" s="17">
        <v>0</v>
      </c>
    </row>
    <row r="239" spans="1:50" x14ac:dyDescent="0.25">
      <c r="A239" s="8" t="s">
        <v>274</v>
      </c>
      <c r="B239" s="10" t="s">
        <v>57</v>
      </c>
      <c r="C239" s="18">
        <v>0</v>
      </c>
      <c r="D239" s="18">
        <v>0</v>
      </c>
      <c r="E239" s="18">
        <v>0</v>
      </c>
      <c r="F239" s="18">
        <v>0</v>
      </c>
      <c r="G239" s="18">
        <v>0</v>
      </c>
      <c r="H239" s="18">
        <v>0</v>
      </c>
      <c r="I239" s="18">
        <v>0</v>
      </c>
      <c r="J239" s="18">
        <v>0</v>
      </c>
      <c r="K239" s="18">
        <v>0</v>
      </c>
      <c r="L239" s="18">
        <v>0</v>
      </c>
      <c r="M239" s="18">
        <v>0</v>
      </c>
      <c r="N239" s="18">
        <v>0</v>
      </c>
      <c r="O239" s="18">
        <v>0</v>
      </c>
      <c r="P239" s="18">
        <v>0</v>
      </c>
      <c r="Q239" s="18">
        <v>0</v>
      </c>
      <c r="R239" s="18">
        <v>0</v>
      </c>
      <c r="S239" s="18">
        <v>0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8">
        <v>0</v>
      </c>
      <c r="Z239" s="18">
        <v>0</v>
      </c>
      <c r="AA239" s="18">
        <v>0</v>
      </c>
      <c r="AB239" s="18">
        <v>0</v>
      </c>
      <c r="AC239" s="18">
        <v>0</v>
      </c>
      <c r="AD239" s="18">
        <v>0</v>
      </c>
      <c r="AE239" s="18">
        <v>0</v>
      </c>
      <c r="AF239" s="18">
        <v>0</v>
      </c>
      <c r="AG239" s="18">
        <v>0</v>
      </c>
      <c r="AH239" s="18">
        <v>0</v>
      </c>
      <c r="AI239" s="18">
        <v>0</v>
      </c>
      <c r="AJ239" s="18">
        <v>0</v>
      </c>
      <c r="AK239" s="18">
        <v>0</v>
      </c>
      <c r="AL239" s="18">
        <v>0</v>
      </c>
      <c r="AM239" s="18">
        <v>0</v>
      </c>
      <c r="AN239" s="18">
        <v>0</v>
      </c>
      <c r="AO239" s="18">
        <v>0</v>
      </c>
      <c r="AP239" s="18">
        <v>0</v>
      </c>
      <c r="AQ239" s="18">
        <v>0</v>
      </c>
      <c r="AR239" s="18">
        <v>0</v>
      </c>
      <c r="AS239" s="18">
        <v>0</v>
      </c>
      <c r="AT239" s="18">
        <v>0</v>
      </c>
      <c r="AU239" s="18">
        <v>0</v>
      </c>
      <c r="AV239" s="18">
        <v>0</v>
      </c>
      <c r="AW239" s="18">
        <v>0</v>
      </c>
      <c r="AX239" s="18">
        <v>0</v>
      </c>
    </row>
    <row r="240" spans="1:50" x14ac:dyDescent="0.25">
      <c r="A240" s="16" t="s">
        <v>713</v>
      </c>
      <c r="B240" s="13" t="s">
        <v>464</v>
      </c>
      <c r="C240" s="17">
        <v>0</v>
      </c>
      <c r="D240" s="17">
        <v>0</v>
      </c>
      <c r="E240" s="17">
        <v>0</v>
      </c>
      <c r="F240" s="17">
        <v>0</v>
      </c>
      <c r="G240" s="17">
        <v>0</v>
      </c>
      <c r="H240" s="17">
        <v>0</v>
      </c>
      <c r="I240" s="17">
        <v>0</v>
      </c>
      <c r="J240" s="17">
        <v>2.2000000000000001E-3</v>
      </c>
      <c r="K240" s="17">
        <v>3.1099999999999999E-2</v>
      </c>
      <c r="L240" s="17">
        <v>0.1454</v>
      </c>
      <c r="M240" s="17">
        <v>0.2883</v>
      </c>
      <c r="N240" s="17">
        <v>0.4637</v>
      </c>
      <c r="O240" s="17">
        <v>0.65490000000000004</v>
      </c>
      <c r="P240" s="17">
        <v>0.84860000000000002</v>
      </c>
      <c r="Q240" s="17">
        <v>1.0411999999999999</v>
      </c>
      <c r="R240" s="17">
        <v>1.2341</v>
      </c>
      <c r="S240" s="17">
        <v>1.4152</v>
      </c>
      <c r="T240" s="17">
        <v>1.5853999999999999</v>
      </c>
      <c r="U240" s="17">
        <v>1.7303999999999999</v>
      </c>
      <c r="V240" s="17">
        <v>1.8540000000000001</v>
      </c>
      <c r="W240" s="17">
        <v>1.9624999999999999</v>
      </c>
      <c r="X240" s="17">
        <v>2.0520999999999998</v>
      </c>
      <c r="Y240" s="17">
        <v>2.1156000000000001</v>
      </c>
      <c r="Z240" s="17">
        <v>2.1435</v>
      </c>
      <c r="AA240" s="17">
        <v>2.1516000000000002</v>
      </c>
      <c r="AB240" s="17">
        <v>2.1364999999999998</v>
      </c>
      <c r="AC240" s="17">
        <v>2.0857000000000001</v>
      </c>
      <c r="AD240" s="17">
        <v>2.0083000000000002</v>
      </c>
      <c r="AE240" s="17">
        <v>1.9158999999999999</v>
      </c>
      <c r="AF240" s="17">
        <v>1.7988999999999999</v>
      </c>
      <c r="AG240" s="17">
        <v>1.6745000000000001</v>
      </c>
      <c r="AH240" s="17">
        <v>1.5246999999999999</v>
      </c>
      <c r="AI240" s="17">
        <v>1.3561000000000001</v>
      </c>
      <c r="AJ240" s="17">
        <v>1.1525000000000001</v>
      </c>
      <c r="AK240" s="17">
        <v>0.96199999999999997</v>
      </c>
      <c r="AL240" s="17">
        <v>0.76619999999999999</v>
      </c>
      <c r="AM240" s="17">
        <v>0.57679999999999998</v>
      </c>
      <c r="AN240" s="17">
        <v>0.39419999999999999</v>
      </c>
      <c r="AO240" s="17">
        <v>0.23019999999999999</v>
      </c>
      <c r="AP240" s="17">
        <v>6.7000000000000004E-2</v>
      </c>
      <c r="AQ240" s="17">
        <v>1.24E-2</v>
      </c>
      <c r="AR240" s="17">
        <v>0</v>
      </c>
      <c r="AS240" s="17">
        <v>0</v>
      </c>
      <c r="AT240" s="17">
        <v>0</v>
      </c>
      <c r="AU240" s="17">
        <v>0</v>
      </c>
      <c r="AV240" s="17">
        <v>0</v>
      </c>
      <c r="AW240" s="17">
        <v>0</v>
      </c>
      <c r="AX240" s="17">
        <v>0</v>
      </c>
    </row>
    <row r="241" spans="1:50" x14ac:dyDescent="0.25">
      <c r="A241" s="8" t="s">
        <v>276</v>
      </c>
      <c r="B241" s="10" t="s">
        <v>57</v>
      </c>
      <c r="C241" s="18">
        <v>0</v>
      </c>
      <c r="D241" s="18">
        <v>0</v>
      </c>
      <c r="E241" s="18">
        <v>0</v>
      </c>
      <c r="F241" s="18">
        <v>0</v>
      </c>
      <c r="G241" s="18">
        <v>0</v>
      </c>
      <c r="H241" s="18">
        <v>0</v>
      </c>
      <c r="I241" s="18">
        <v>0</v>
      </c>
      <c r="J241" s="18">
        <v>0</v>
      </c>
      <c r="K241" s="18">
        <v>0</v>
      </c>
      <c r="L241" s="18">
        <v>0</v>
      </c>
      <c r="M241" s="18">
        <v>0</v>
      </c>
      <c r="N241" s="18">
        <v>0</v>
      </c>
      <c r="O241" s="18">
        <v>0</v>
      </c>
      <c r="P241" s="18">
        <v>0</v>
      </c>
      <c r="Q241" s="18">
        <v>0</v>
      </c>
      <c r="R241" s="18">
        <v>0</v>
      </c>
      <c r="S241" s="18">
        <v>0</v>
      </c>
      <c r="T241" s="18">
        <v>0</v>
      </c>
      <c r="U241" s="18">
        <v>0</v>
      </c>
      <c r="V241" s="18">
        <v>0</v>
      </c>
      <c r="W241" s="18">
        <v>0</v>
      </c>
      <c r="X241" s="18">
        <v>0</v>
      </c>
      <c r="Y241" s="18">
        <v>0</v>
      </c>
      <c r="Z241" s="18">
        <v>0</v>
      </c>
      <c r="AA241" s="18">
        <v>0</v>
      </c>
      <c r="AB241" s="18">
        <v>0</v>
      </c>
      <c r="AC241" s="18">
        <v>0</v>
      </c>
      <c r="AD241" s="18">
        <v>0</v>
      </c>
      <c r="AE241" s="18">
        <v>0</v>
      </c>
      <c r="AF241" s="18">
        <v>0</v>
      </c>
      <c r="AG241" s="18">
        <v>0</v>
      </c>
      <c r="AH241" s="18">
        <v>0</v>
      </c>
      <c r="AI241" s="18">
        <v>0</v>
      </c>
      <c r="AJ241" s="18">
        <v>0</v>
      </c>
      <c r="AK241" s="18">
        <v>0</v>
      </c>
      <c r="AL241" s="18">
        <v>0</v>
      </c>
      <c r="AM241" s="18">
        <v>0</v>
      </c>
      <c r="AN241" s="18">
        <v>0</v>
      </c>
      <c r="AO241" s="18">
        <v>0</v>
      </c>
      <c r="AP241" s="18">
        <v>0</v>
      </c>
      <c r="AQ241" s="18">
        <v>0</v>
      </c>
      <c r="AR241" s="18">
        <v>0</v>
      </c>
      <c r="AS241" s="18">
        <v>0</v>
      </c>
      <c r="AT241" s="18">
        <v>0</v>
      </c>
      <c r="AU241" s="18">
        <v>0</v>
      </c>
      <c r="AV241" s="18">
        <v>0</v>
      </c>
      <c r="AW241" s="18">
        <v>0</v>
      </c>
      <c r="AX241" s="18">
        <v>0</v>
      </c>
    </row>
    <row r="242" spans="1:50" x14ac:dyDescent="0.25">
      <c r="A242" s="16" t="s">
        <v>715</v>
      </c>
      <c r="B242" s="13" t="s">
        <v>464</v>
      </c>
      <c r="C242" s="17">
        <v>0</v>
      </c>
      <c r="D242" s="17">
        <v>0</v>
      </c>
      <c r="E242" s="17">
        <v>0</v>
      </c>
      <c r="F242" s="17">
        <v>0</v>
      </c>
      <c r="G242" s="17">
        <v>0</v>
      </c>
      <c r="H242" s="17">
        <v>0</v>
      </c>
      <c r="I242" s="17">
        <v>0</v>
      </c>
      <c r="J242" s="17">
        <v>3.0000000000000001E-3</v>
      </c>
      <c r="K242" s="17">
        <v>4.3499999999999997E-2</v>
      </c>
      <c r="L242" s="17">
        <v>0.20349999999999999</v>
      </c>
      <c r="M242" s="17">
        <v>0.4037</v>
      </c>
      <c r="N242" s="17">
        <v>0.64910000000000001</v>
      </c>
      <c r="O242" s="17">
        <v>0.91690000000000005</v>
      </c>
      <c r="P242" s="17">
        <v>1.1879999999999999</v>
      </c>
      <c r="Q242" s="17">
        <v>1.4577</v>
      </c>
      <c r="R242" s="17">
        <v>1.7278</v>
      </c>
      <c r="S242" s="17">
        <v>1.9813000000000001</v>
      </c>
      <c r="T242" s="17">
        <v>2.2195999999999998</v>
      </c>
      <c r="U242" s="17">
        <v>2.4224999999999999</v>
      </c>
      <c r="V242" s="17">
        <v>2.5956000000000001</v>
      </c>
      <c r="W242" s="17">
        <v>2.7475000000000001</v>
      </c>
      <c r="X242" s="17">
        <v>2.8729</v>
      </c>
      <c r="Y242" s="17">
        <v>2.9619</v>
      </c>
      <c r="Z242" s="17">
        <v>3.0009000000000001</v>
      </c>
      <c r="AA242" s="17">
        <v>3.0122</v>
      </c>
      <c r="AB242" s="17">
        <v>2.9910000000000001</v>
      </c>
      <c r="AC242" s="17">
        <v>2.92</v>
      </c>
      <c r="AD242" s="17">
        <v>2.8117000000000001</v>
      </c>
      <c r="AE242" s="17">
        <v>2.6823000000000001</v>
      </c>
      <c r="AF242" s="17">
        <v>2.5184000000000002</v>
      </c>
      <c r="AG242" s="17">
        <v>2.3441999999999998</v>
      </c>
      <c r="AH242" s="17">
        <v>2.1345999999999998</v>
      </c>
      <c r="AI242" s="17">
        <v>1.8986000000000001</v>
      </c>
      <c r="AJ242" s="17">
        <v>1.6135999999999999</v>
      </c>
      <c r="AK242" s="17">
        <v>1.3468</v>
      </c>
      <c r="AL242" s="17">
        <v>1.0727</v>
      </c>
      <c r="AM242" s="17">
        <v>0.80759999999999998</v>
      </c>
      <c r="AN242" s="17">
        <v>0.55189999999999995</v>
      </c>
      <c r="AO242" s="17">
        <v>0.32229999999999998</v>
      </c>
      <c r="AP242" s="17">
        <v>9.3799999999999994E-2</v>
      </c>
      <c r="AQ242" s="17">
        <v>1.7299999999999999E-2</v>
      </c>
      <c r="AR242" s="17">
        <v>0</v>
      </c>
      <c r="AS242" s="17">
        <v>0</v>
      </c>
      <c r="AT242" s="17">
        <v>0</v>
      </c>
      <c r="AU242" s="17">
        <v>0</v>
      </c>
      <c r="AV242" s="17">
        <v>0</v>
      </c>
      <c r="AW242" s="17">
        <v>0</v>
      </c>
      <c r="AX242" s="17">
        <v>0</v>
      </c>
    </row>
    <row r="243" spans="1:50" x14ac:dyDescent="0.25">
      <c r="A243" s="8" t="s">
        <v>278</v>
      </c>
      <c r="B243" s="10" t="s">
        <v>57</v>
      </c>
      <c r="C243" s="18">
        <v>0</v>
      </c>
      <c r="D243" s="18">
        <v>0</v>
      </c>
      <c r="E243" s="18">
        <v>0</v>
      </c>
      <c r="F243" s="18">
        <v>0</v>
      </c>
      <c r="G243" s="18">
        <v>0</v>
      </c>
      <c r="H243" s="18">
        <v>0</v>
      </c>
      <c r="I243" s="18">
        <v>0</v>
      </c>
      <c r="J243" s="18">
        <v>0</v>
      </c>
      <c r="K243" s="18">
        <v>0</v>
      </c>
      <c r="L243" s="18">
        <v>0</v>
      </c>
      <c r="M243" s="18">
        <v>0</v>
      </c>
      <c r="N243" s="18">
        <v>0</v>
      </c>
      <c r="O243" s="18">
        <v>0</v>
      </c>
      <c r="P243" s="18">
        <v>0</v>
      </c>
      <c r="Q243" s="18">
        <v>0</v>
      </c>
      <c r="R243" s="18">
        <v>0</v>
      </c>
      <c r="S243" s="18">
        <v>0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8">
        <v>0</v>
      </c>
      <c r="Z243" s="18">
        <v>0</v>
      </c>
      <c r="AA243" s="18">
        <v>0</v>
      </c>
      <c r="AB243" s="18">
        <v>0</v>
      </c>
      <c r="AC243" s="18">
        <v>0</v>
      </c>
      <c r="AD243" s="18">
        <v>0</v>
      </c>
      <c r="AE243" s="18">
        <v>0</v>
      </c>
      <c r="AF243" s="18">
        <v>0</v>
      </c>
      <c r="AG243" s="18">
        <v>0</v>
      </c>
      <c r="AH243" s="18">
        <v>0</v>
      </c>
      <c r="AI243" s="18">
        <v>0</v>
      </c>
      <c r="AJ243" s="18">
        <v>0</v>
      </c>
      <c r="AK243" s="18">
        <v>0</v>
      </c>
      <c r="AL243" s="18">
        <v>0</v>
      </c>
      <c r="AM243" s="18">
        <v>0</v>
      </c>
      <c r="AN243" s="18">
        <v>0</v>
      </c>
      <c r="AO243" s="18">
        <v>0</v>
      </c>
      <c r="AP243" s="18">
        <v>0</v>
      </c>
      <c r="AQ243" s="18">
        <v>0</v>
      </c>
      <c r="AR243" s="18">
        <v>0</v>
      </c>
      <c r="AS243" s="18">
        <v>0</v>
      </c>
      <c r="AT243" s="18">
        <v>0</v>
      </c>
      <c r="AU243" s="18">
        <v>0</v>
      </c>
      <c r="AV243" s="18">
        <v>0</v>
      </c>
      <c r="AW243" s="18">
        <v>0</v>
      </c>
      <c r="AX243" s="18">
        <v>0</v>
      </c>
    </row>
    <row r="244" spans="1:50" x14ac:dyDescent="0.25">
      <c r="A244" s="16" t="s">
        <v>717</v>
      </c>
      <c r="B244" s="13" t="s">
        <v>464</v>
      </c>
      <c r="C244" s="17">
        <v>0</v>
      </c>
      <c r="D244" s="17">
        <v>0</v>
      </c>
      <c r="E244" s="17">
        <v>0</v>
      </c>
      <c r="F244" s="17">
        <v>0</v>
      </c>
      <c r="G244" s="17">
        <v>0</v>
      </c>
      <c r="H244" s="17">
        <v>0</v>
      </c>
      <c r="I244" s="17">
        <v>0</v>
      </c>
      <c r="J244" s="17">
        <v>1.2999999999999999E-3</v>
      </c>
      <c r="K244" s="17">
        <v>1.8700000000000001E-2</v>
      </c>
      <c r="L244" s="17">
        <v>8.72E-2</v>
      </c>
      <c r="M244" s="17">
        <v>0.17299999999999999</v>
      </c>
      <c r="N244" s="17">
        <v>0.2782</v>
      </c>
      <c r="O244" s="17">
        <v>0.39300000000000002</v>
      </c>
      <c r="P244" s="17">
        <v>0.50919999999999999</v>
      </c>
      <c r="Q244" s="17">
        <v>0.62470000000000003</v>
      </c>
      <c r="R244" s="17">
        <v>0.74050000000000005</v>
      </c>
      <c r="S244" s="17">
        <v>0.84909999999999997</v>
      </c>
      <c r="T244" s="17">
        <v>0.95120000000000005</v>
      </c>
      <c r="U244" s="17">
        <v>1.0382</v>
      </c>
      <c r="V244" s="17">
        <v>1.1124000000000001</v>
      </c>
      <c r="W244" s="17">
        <v>1.1775</v>
      </c>
      <c r="X244" s="17">
        <v>1.2312000000000001</v>
      </c>
      <c r="Y244" s="17">
        <v>1.2694000000000001</v>
      </c>
      <c r="Z244" s="17">
        <v>1.2861</v>
      </c>
      <c r="AA244" s="17">
        <v>1.2908999999999999</v>
      </c>
      <c r="AB244" s="17">
        <v>1.2819</v>
      </c>
      <c r="AC244" s="17">
        <v>1.2514000000000001</v>
      </c>
      <c r="AD244" s="17">
        <v>1.2050000000000001</v>
      </c>
      <c r="AE244" s="17">
        <v>1.1496</v>
      </c>
      <c r="AF244" s="17">
        <v>1.0792999999999999</v>
      </c>
      <c r="AG244" s="17">
        <v>1.0046999999999999</v>
      </c>
      <c r="AH244" s="17">
        <v>0.91479999999999995</v>
      </c>
      <c r="AI244" s="17">
        <v>0.81369999999999998</v>
      </c>
      <c r="AJ244" s="17">
        <v>0.6915</v>
      </c>
      <c r="AK244" s="17">
        <v>0.57720000000000005</v>
      </c>
      <c r="AL244" s="17">
        <v>0.4597</v>
      </c>
      <c r="AM244" s="17">
        <v>0.34610000000000002</v>
      </c>
      <c r="AN244" s="17">
        <v>0.23649999999999999</v>
      </c>
      <c r="AO244" s="17">
        <v>0.1381</v>
      </c>
      <c r="AP244" s="17">
        <v>4.02E-2</v>
      </c>
      <c r="AQ244" s="17">
        <v>7.4000000000000003E-3</v>
      </c>
      <c r="AR244" s="17">
        <v>0</v>
      </c>
      <c r="AS244" s="17">
        <v>0</v>
      </c>
      <c r="AT244" s="17">
        <v>0</v>
      </c>
      <c r="AU244" s="17">
        <v>0</v>
      </c>
      <c r="AV244" s="17">
        <v>0</v>
      </c>
      <c r="AW244" s="17">
        <v>0</v>
      </c>
      <c r="AX244" s="17">
        <v>0</v>
      </c>
    </row>
    <row r="245" spans="1:50" x14ac:dyDescent="0.25">
      <c r="A245" s="8" t="s">
        <v>280</v>
      </c>
      <c r="B245" s="10" t="s">
        <v>57</v>
      </c>
      <c r="C245" s="18">
        <v>0</v>
      </c>
      <c r="D245" s="18">
        <v>0</v>
      </c>
      <c r="E245" s="18">
        <v>0</v>
      </c>
      <c r="F245" s="18">
        <v>0</v>
      </c>
      <c r="G245" s="18">
        <v>0</v>
      </c>
      <c r="H245" s="18">
        <v>0</v>
      </c>
      <c r="I245" s="18">
        <v>0</v>
      </c>
      <c r="J245" s="18">
        <v>0</v>
      </c>
      <c r="K245" s="18">
        <v>0</v>
      </c>
      <c r="L245" s="18">
        <v>0</v>
      </c>
      <c r="M245" s="18">
        <v>0</v>
      </c>
      <c r="N245" s="18">
        <v>0</v>
      </c>
      <c r="O245" s="18">
        <v>0</v>
      </c>
      <c r="P245" s="18">
        <v>0</v>
      </c>
      <c r="Q245" s="18">
        <v>0</v>
      </c>
      <c r="R245" s="18">
        <v>0</v>
      </c>
      <c r="S245" s="18">
        <v>0</v>
      </c>
      <c r="T245" s="18">
        <v>0</v>
      </c>
      <c r="U245" s="18">
        <v>0</v>
      </c>
      <c r="V245" s="18">
        <v>0</v>
      </c>
      <c r="W245" s="18">
        <v>0</v>
      </c>
      <c r="X245" s="18">
        <v>0</v>
      </c>
      <c r="Y245" s="18">
        <v>0</v>
      </c>
      <c r="Z245" s="18">
        <v>0</v>
      </c>
      <c r="AA245" s="18">
        <v>0</v>
      </c>
      <c r="AB245" s="18">
        <v>0</v>
      </c>
      <c r="AC245" s="18">
        <v>0</v>
      </c>
      <c r="AD245" s="18">
        <v>0</v>
      </c>
      <c r="AE245" s="18">
        <v>0</v>
      </c>
      <c r="AF245" s="18">
        <v>0</v>
      </c>
      <c r="AG245" s="18">
        <v>0</v>
      </c>
      <c r="AH245" s="18">
        <v>0</v>
      </c>
      <c r="AI245" s="18">
        <v>0</v>
      </c>
      <c r="AJ245" s="18">
        <v>0</v>
      </c>
      <c r="AK245" s="18">
        <v>0</v>
      </c>
      <c r="AL245" s="18">
        <v>0</v>
      </c>
      <c r="AM245" s="18">
        <v>0</v>
      </c>
      <c r="AN245" s="18">
        <v>0</v>
      </c>
      <c r="AO245" s="18">
        <v>0</v>
      </c>
      <c r="AP245" s="18">
        <v>0</v>
      </c>
      <c r="AQ245" s="18">
        <v>0</v>
      </c>
      <c r="AR245" s="18">
        <v>0</v>
      </c>
      <c r="AS245" s="18">
        <v>0</v>
      </c>
      <c r="AT245" s="18">
        <v>0</v>
      </c>
      <c r="AU245" s="18">
        <v>0</v>
      </c>
      <c r="AV245" s="18">
        <v>0</v>
      </c>
      <c r="AW245" s="18">
        <v>0</v>
      </c>
      <c r="AX245" s="18">
        <v>0</v>
      </c>
    </row>
    <row r="246" spans="1:50" x14ac:dyDescent="0.25">
      <c r="A246" s="8" t="s">
        <v>282</v>
      </c>
      <c r="B246" s="10" t="s">
        <v>57</v>
      </c>
      <c r="C246" s="18">
        <v>0</v>
      </c>
      <c r="D246" s="18">
        <v>0</v>
      </c>
      <c r="E246" s="18">
        <v>0</v>
      </c>
      <c r="F246" s="18">
        <v>0</v>
      </c>
      <c r="G246" s="18">
        <v>0</v>
      </c>
      <c r="H246" s="18">
        <v>0</v>
      </c>
      <c r="I246" s="18">
        <v>0</v>
      </c>
      <c r="J246" s="18">
        <v>0</v>
      </c>
      <c r="K246" s="18">
        <v>0</v>
      </c>
      <c r="L246" s="18">
        <v>0</v>
      </c>
      <c r="M246" s="18">
        <v>0</v>
      </c>
      <c r="N246" s="18">
        <v>0</v>
      </c>
      <c r="O246" s="18">
        <v>0</v>
      </c>
      <c r="P246" s="18">
        <v>0</v>
      </c>
      <c r="Q246" s="18">
        <v>0</v>
      </c>
      <c r="R246" s="18">
        <v>0</v>
      </c>
      <c r="S246" s="18">
        <v>0</v>
      </c>
      <c r="T246" s="18">
        <v>0</v>
      </c>
      <c r="U246" s="18">
        <v>0</v>
      </c>
      <c r="V246" s="18">
        <v>0</v>
      </c>
      <c r="W246" s="18">
        <v>0</v>
      </c>
      <c r="X246" s="18">
        <v>0</v>
      </c>
      <c r="Y246" s="18">
        <v>0</v>
      </c>
      <c r="Z246" s="18">
        <v>0</v>
      </c>
      <c r="AA246" s="18">
        <v>0</v>
      </c>
      <c r="AB246" s="18">
        <v>0</v>
      </c>
      <c r="AC246" s="18">
        <v>0</v>
      </c>
      <c r="AD246" s="18">
        <v>0</v>
      </c>
      <c r="AE246" s="18">
        <v>0</v>
      </c>
      <c r="AF246" s="18">
        <v>0</v>
      </c>
      <c r="AG246" s="18">
        <v>0</v>
      </c>
      <c r="AH246" s="18">
        <v>0</v>
      </c>
      <c r="AI246" s="18">
        <v>0</v>
      </c>
      <c r="AJ246" s="18">
        <v>0</v>
      </c>
      <c r="AK246" s="18">
        <v>0</v>
      </c>
      <c r="AL246" s="18">
        <v>0</v>
      </c>
      <c r="AM246" s="18">
        <v>0</v>
      </c>
      <c r="AN246" s="18">
        <v>0</v>
      </c>
      <c r="AO246" s="18">
        <v>0</v>
      </c>
      <c r="AP246" s="18">
        <v>0</v>
      </c>
      <c r="AQ246" s="18">
        <v>0</v>
      </c>
      <c r="AR246" s="18">
        <v>0</v>
      </c>
      <c r="AS246" s="18">
        <v>0</v>
      </c>
      <c r="AT246" s="18">
        <v>0</v>
      </c>
      <c r="AU246" s="18">
        <v>0</v>
      </c>
      <c r="AV246" s="18">
        <v>0</v>
      </c>
      <c r="AW246" s="18">
        <v>0</v>
      </c>
      <c r="AX246" s="18">
        <v>0</v>
      </c>
    </row>
    <row r="247" spans="1:50" x14ac:dyDescent="0.25">
      <c r="A247" s="8" t="s">
        <v>284</v>
      </c>
      <c r="B247" s="10" t="s">
        <v>57</v>
      </c>
      <c r="C247" s="18">
        <v>0</v>
      </c>
      <c r="D247" s="18">
        <v>0</v>
      </c>
      <c r="E247" s="18">
        <v>0</v>
      </c>
      <c r="F247" s="18">
        <v>0</v>
      </c>
      <c r="G247" s="18">
        <v>0</v>
      </c>
      <c r="H247" s="18">
        <v>0</v>
      </c>
      <c r="I247" s="18">
        <v>0</v>
      </c>
      <c r="J247" s="18">
        <v>0</v>
      </c>
      <c r="K247" s="18">
        <v>0</v>
      </c>
      <c r="L247" s="18">
        <v>0</v>
      </c>
      <c r="M247" s="18">
        <v>0</v>
      </c>
      <c r="N247" s="18">
        <v>0</v>
      </c>
      <c r="O247" s="18">
        <v>0</v>
      </c>
      <c r="P247" s="18">
        <v>0</v>
      </c>
      <c r="Q247" s="18">
        <v>0</v>
      </c>
      <c r="R247" s="18">
        <v>0</v>
      </c>
      <c r="S247" s="18">
        <v>0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8">
        <v>0</v>
      </c>
      <c r="Z247" s="18">
        <v>0</v>
      </c>
      <c r="AA247" s="18">
        <v>0</v>
      </c>
      <c r="AB247" s="18">
        <v>0</v>
      </c>
      <c r="AC247" s="18">
        <v>0</v>
      </c>
      <c r="AD247" s="18">
        <v>0</v>
      </c>
      <c r="AE247" s="18">
        <v>0</v>
      </c>
      <c r="AF247" s="18">
        <v>0</v>
      </c>
      <c r="AG247" s="18">
        <v>0</v>
      </c>
      <c r="AH247" s="18">
        <v>0</v>
      </c>
      <c r="AI247" s="18">
        <v>0</v>
      </c>
      <c r="AJ247" s="18">
        <v>0</v>
      </c>
      <c r="AK247" s="18">
        <v>0</v>
      </c>
      <c r="AL247" s="18">
        <v>0</v>
      </c>
      <c r="AM247" s="18">
        <v>0</v>
      </c>
      <c r="AN247" s="18">
        <v>0</v>
      </c>
      <c r="AO247" s="18">
        <v>0</v>
      </c>
      <c r="AP247" s="18">
        <v>0</v>
      </c>
      <c r="AQ247" s="18">
        <v>0</v>
      </c>
      <c r="AR247" s="18">
        <v>0</v>
      </c>
      <c r="AS247" s="18">
        <v>0</v>
      </c>
      <c r="AT247" s="18">
        <v>0</v>
      </c>
      <c r="AU247" s="18">
        <v>0</v>
      </c>
      <c r="AV247" s="18">
        <v>0</v>
      </c>
      <c r="AW247" s="18">
        <v>0</v>
      </c>
      <c r="AX247" s="18">
        <v>0</v>
      </c>
    </row>
    <row r="248" spans="1:50" x14ac:dyDescent="0.25">
      <c r="A248" s="16" t="s">
        <v>719</v>
      </c>
      <c r="B248" s="13" t="s">
        <v>464</v>
      </c>
      <c r="C248" s="17">
        <v>0</v>
      </c>
      <c r="D248" s="17">
        <v>0</v>
      </c>
      <c r="E248" s="17">
        <v>0</v>
      </c>
      <c r="F248" s="17">
        <v>0</v>
      </c>
      <c r="G248" s="17">
        <v>0</v>
      </c>
      <c r="H248" s="17">
        <v>0</v>
      </c>
      <c r="I248" s="17">
        <v>0</v>
      </c>
      <c r="J248" s="17">
        <v>3.3999999999999998E-3</v>
      </c>
      <c r="K248" s="17">
        <v>4.9700000000000001E-2</v>
      </c>
      <c r="L248" s="17">
        <v>0.2326</v>
      </c>
      <c r="M248" s="17">
        <v>0.46129999999999999</v>
      </c>
      <c r="N248" s="17">
        <v>0.7419</v>
      </c>
      <c r="O248" s="17">
        <v>1.0479000000000001</v>
      </c>
      <c r="P248" s="17">
        <v>1.3576999999999999</v>
      </c>
      <c r="Q248" s="17">
        <v>1.6659999999999999</v>
      </c>
      <c r="R248" s="17">
        <v>1.9745999999999999</v>
      </c>
      <c r="S248" s="17">
        <v>2.2643</v>
      </c>
      <c r="T248" s="17">
        <v>2.5367000000000002</v>
      </c>
      <c r="U248" s="17">
        <v>2.7686000000000002</v>
      </c>
      <c r="V248" s="17">
        <v>2.9664000000000001</v>
      </c>
      <c r="W248" s="17">
        <v>3.14</v>
      </c>
      <c r="X248" s="17">
        <v>3.2833000000000001</v>
      </c>
      <c r="Y248" s="17">
        <v>3.3849999999999998</v>
      </c>
      <c r="Z248" s="17">
        <v>3.4296000000000002</v>
      </c>
      <c r="AA248" s="17">
        <v>3.4424999999999999</v>
      </c>
      <c r="AB248" s="17">
        <v>3.4182999999999999</v>
      </c>
      <c r="AC248" s="17">
        <v>3.3372000000000002</v>
      </c>
      <c r="AD248" s="17">
        <v>3.2132999999999998</v>
      </c>
      <c r="AE248" s="17">
        <v>3.0655000000000001</v>
      </c>
      <c r="AF248" s="17">
        <v>2.8782000000000001</v>
      </c>
      <c r="AG248" s="17">
        <v>2.6791</v>
      </c>
      <c r="AH248" s="17">
        <v>2.4396</v>
      </c>
      <c r="AI248" s="17">
        <v>2.1698</v>
      </c>
      <c r="AJ248" s="17">
        <v>1.8441000000000001</v>
      </c>
      <c r="AK248" s="17">
        <v>1.5391999999999999</v>
      </c>
      <c r="AL248" s="17">
        <v>1.2259</v>
      </c>
      <c r="AM248" s="17">
        <v>0.92290000000000005</v>
      </c>
      <c r="AN248" s="17">
        <v>0.63080000000000003</v>
      </c>
      <c r="AO248" s="17">
        <v>0.36830000000000002</v>
      </c>
      <c r="AP248" s="17">
        <v>0.1072</v>
      </c>
      <c r="AQ248" s="17">
        <v>1.9800000000000002E-2</v>
      </c>
      <c r="AR248" s="17">
        <v>0</v>
      </c>
      <c r="AS248" s="17">
        <v>0</v>
      </c>
      <c r="AT248" s="17">
        <v>0</v>
      </c>
      <c r="AU248" s="17">
        <v>0</v>
      </c>
      <c r="AV248" s="17">
        <v>0</v>
      </c>
      <c r="AW248" s="17">
        <v>0</v>
      </c>
      <c r="AX248" s="17">
        <v>0</v>
      </c>
    </row>
    <row r="249" spans="1:50" x14ac:dyDescent="0.25">
      <c r="A249" s="8" t="s">
        <v>286</v>
      </c>
      <c r="B249" s="10" t="s">
        <v>57</v>
      </c>
      <c r="C249" s="18">
        <v>0</v>
      </c>
      <c r="D249" s="18">
        <v>0</v>
      </c>
      <c r="E249" s="18">
        <v>0</v>
      </c>
      <c r="F249" s="18">
        <v>0</v>
      </c>
      <c r="G249" s="18">
        <v>0</v>
      </c>
      <c r="H249" s="18">
        <v>0</v>
      </c>
      <c r="I249" s="18">
        <v>0</v>
      </c>
      <c r="J249" s="18">
        <v>0</v>
      </c>
      <c r="K249" s="18">
        <v>0</v>
      </c>
      <c r="L249" s="18">
        <v>0</v>
      </c>
      <c r="M249" s="18">
        <v>0</v>
      </c>
      <c r="N249" s="18">
        <v>0</v>
      </c>
      <c r="O249" s="18">
        <v>0</v>
      </c>
      <c r="P249" s="18">
        <v>0</v>
      </c>
      <c r="Q249" s="18">
        <v>0</v>
      </c>
      <c r="R249" s="18">
        <v>0</v>
      </c>
      <c r="S249" s="18">
        <v>0</v>
      </c>
      <c r="T249" s="18">
        <v>0</v>
      </c>
      <c r="U249" s="18">
        <v>0</v>
      </c>
      <c r="V249" s="18">
        <v>0</v>
      </c>
      <c r="W249" s="18">
        <v>0</v>
      </c>
      <c r="X249" s="18">
        <v>0</v>
      </c>
      <c r="Y249" s="18">
        <v>0</v>
      </c>
      <c r="Z249" s="18">
        <v>0</v>
      </c>
      <c r="AA249" s="18">
        <v>0</v>
      </c>
      <c r="AB249" s="18">
        <v>0</v>
      </c>
      <c r="AC249" s="18">
        <v>0</v>
      </c>
      <c r="AD249" s="18">
        <v>0</v>
      </c>
      <c r="AE249" s="18">
        <v>0</v>
      </c>
      <c r="AF249" s="18">
        <v>0</v>
      </c>
      <c r="AG249" s="18">
        <v>0</v>
      </c>
      <c r="AH249" s="18">
        <v>0</v>
      </c>
      <c r="AI249" s="18">
        <v>0</v>
      </c>
      <c r="AJ249" s="18">
        <v>0</v>
      </c>
      <c r="AK249" s="18">
        <v>0</v>
      </c>
      <c r="AL249" s="18">
        <v>0</v>
      </c>
      <c r="AM249" s="18">
        <v>0</v>
      </c>
      <c r="AN249" s="18">
        <v>0</v>
      </c>
      <c r="AO249" s="18">
        <v>0</v>
      </c>
      <c r="AP249" s="18">
        <v>0</v>
      </c>
      <c r="AQ249" s="18">
        <v>0</v>
      </c>
      <c r="AR249" s="18">
        <v>0</v>
      </c>
      <c r="AS249" s="18">
        <v>0</v>
      </c>
      <c r="AT249" s="18">
        <v>0</v>
      </c>
      <c r="AU249" s="18">
        <v>0</v>
      </c>
      <c r="AV249" s="18">
        <v>0</v>
      </c>
      <c r="AW249" s="18">
        <v>0</v>
      </c>
      <c r="AX249" s="18">
        <v>0</v>
      </c>
    </row>
    <row r="250" spans="1:50" x14ac:dyDescent="0.25">
      <c r="A250" s="16" t="s">
        <v>721</v>
      </c>
      <c r="B250" s="13" t="s">
        <v>464</v>
      </c>
      <c r="C250" s="17">
        <v>0</v>
      </c>
      <c r="D250" s="17">
        <v>0</v>
      </c>
      <c r="E250" s="17">
        <v>0</v>
      </c>
      <c r="F250" s="17">
        <v>0</v>
      </c>
      <c r="G250" s="17">
        <v>0</v>
      </c>
      <c r="H250" s="17">
        <v>0</v>
      </c>
      <c r="I250" s="17">
        <v>0</v>
      </c>
      <c r="J250" s="17">
        <v>2.5999999999999999E-3</v>
      </c>
      <c r="K250" s="17">
        <v>3.73E-2</v>
      </c>
      <c r="L250" s="17">
        <v>0.1744</v>
      </c>
      <c r="M250" s="17">
        <v>0.34599999999999997</v>
      </c>
      <c r="N250" s="17">
        <v>0.55640000000000001</v>
      </c>
      <c r="O250" s="17">
        <v>0.78590000000000004</v>
      </c>
      <c r="P250" s="17">
        <v>1.0183</v>
      </c>
      <c r="Q250" s="17">
        <v>1.2495000000000001</v>
      </c>
      <c r="R250" s="17">
        <v>1.4810000000000001</v>
      </c>
      <c r="S250" s="17">
        <v>1.6981999999999999</v>
      </c>
      <c r="T250" s="17">
        <v>1.9025000000000001</v>
      </c>
      <c r="U250" s="17">
        <v>2.0764</v>
      </c>
      <c r="V250" s="17">
        <v>2.2248000000000001</v>
      </c>
      <c r="W250" s="17">
        <v>2.355</v>
      </c>
      <c r="X250" s="17">
        <v>2.4624999999999999</v>
      </c>
      <c r="Y250" s="17">
        <v>2.5387</v>
      </c>
      <c r="Z250" s="17">
        <v>2.5722</v>
      </c>
      <c r="AA250" s="17">
        <v>2.5819000000000001</v>
      </c>
      <c r="AB250" s="17">
        <v>2.5636999999999999</v>
      </c>
      <c r="AC250" s="17">
        <v>2.5028999999999999</v>
      </c>
      <c r="AD250" s="17">
        <v>2.41</v>
      </c>
      <c r="AE250" s="17">
        <v>2.2991000000000001</v>
      </c>
      <c r="AF250" s="17">
        <v>2.1585999999999999</v>
      </c>
      <c r="AG250" s="17">
        <v>2.0093000000000001</v>
      </c>
      <c r="AH250" s="17">
        <v>1.8297000000000001</v>
      </c>
      <c r="AI250" s="17">
        <v>1.6274</v>
      </c>
      <c r="AJ250" s="17">
        <v>1.3831</v>
      </c>
      <c r="AK250" s="17">
        <v>1.1544000000000001</v>
      </c>
      <c r="AL250" s="17">
        <v>0.91949999999999998</v>
      </c>
      <c r="AM250" s="17">
        <v>0.69220000000000004</v>
      </c>
      <c r="AN250" s="17">
        <v>0.47310000000000002</v>
      </c>
      <c r="AO250" s="17">
        <v>0.2762</v>
      </c>
      <c r="AP250" s="17">
        <v>8.0399999999999999E-2</v>
      </c>
      <c r="AQ250" s="17">
        <v>1.4800000000000001E-2</v>
      </c>
      <c r="AR250" s="17">
        <v>0</v>
      </c>
      <c r="AS250" s="17">
        <v>0</v>
      </c>
      <c r="AT250" s="17">
        <v>0</v>
      </c>
      <c r="AU250" s="17">
        <v>0</v>
      </c>
      <c r="AV250" s="17">
        <v>0</v>
      </c>
      <c r="AW250" s="17">
        <v>0</v>
      </c>
      <c r="AX250" s="17">
        <v>0</v>
      </c>
    </row>
    <row r="251" spans="1:50" x14ac:dyDescent="0.25">
      <c r="A251" s="16" t="s">
        <v>723</v>
      </c>
      <c r="B251" s="13" t="s">
        <v>464</v>
      </c>
      <c r="C251" s="17">
        <v>0</v>
      </c>
      <c r="D251" s="17">
        <v>0</v>
      </c>
      <c r="E251" s="17">
        <v>0</v>
      </c>
      <c r="F251" s="17">
        <v>0</v>
      </c>
      <c r="G251" s="17">
        <v>0</v>
      </c>
      <c r="H251" s="17">
        <v>0</v>
      </c>
      <c r="I251" s="17">
        <v>0</v>
      </c>
      <c r="J251" s="17">
        <v>3.0000000000000001E-3</v>
      </c>
      <c r="K251" s="17">
        <v>4.3499999999999997E-2</v>
      </c>
      <c r="L251" s="17">
        <v>0.20349999999999999</v>
      </c>
      <c r="M251" s="17">
        <v>0.4037</v>
      </c>
      <c r="N251" s="17">
        <v>0.64910000000000001</v>
      </c>
      <c r="O251" s="17">
        <v>0.91690000000000005</v>
      </c>
      <c r="P251" s="17">
        <v>1.1879999999999999</v>
      </c>
      <c r="Q251" s="17">
        <v>1.4577</v>
      </c>
      <c r="R251" s="17">
        <v>1.7278</v>
      </c>
      <c r="S251" s="17">
        <v>1.9813000000000001</v>
      </c>
      <c r="T251" s="17">
        <v>2.2195999999999998</v>
      </c>
      <c r="U251" s="17">
        <v>2.4224999999999999</v>
      </c>
      <c r="V251" s="17">
        <v>2.5956000000000001</v>
      </c>
      <c r="W251" s="17">
        <v>2.7475000000000001</v>
      </c>
      <c r="X251" s="17">
        <v>2.8729</v>
      </c>
      <c r="Y251" s="17">
        <v>2.9619</v>
      </c>
      <c r="Z251" s="17">
        <v>3.0009000000000001</v>
      </c>
      <c r="AA251" s="17">
        <v>3.0122</v>
      </c>
      <c r="AB251" s="17">
        <v>2.9910000000000001</v>
      </c>
      <c r="AC251" s="17">
        <v>2.92</v>
      </c>
      <c r="AD251" s="17">
        <v>2.8117000000000001</v>
      </c>
      <c r="AE251" s="17">
        <v>2.6823000000000001</v>
      </c>
      <c r="AF251" s="17">
        <v>2.5184000000000002</v>
      </c>
      <c r="AG251" s="17">
        <v>2.3441999999999998</v>
      </c>
      <c r="AH251" s="17">
        <v>2.1345999999999998</v>
      </c>
      <c r="AI251" s="17">
        <v>1.8986000000000001</v>
      </c>
      <c r="AJ251" s="17">
        <v>1.6135999999999999</v>
      </c>
      <c r="AK251" s="17">
        <v>1.3468</v>
      </c>
      <c r="AL251" s="17">
        <v>1.0727</v>
      </c>
      <c r="AM251" s="17">
        <v>0.80759999999999998</v>
      </c>
      <c r="AN251" s="17">
        <v>0.55189999999999995</v>
      </c>
      <c r="AO251" s="17">
        <v>0.32229999999999998</v>
      </c>
      <c r="AP251" s="17">
        <v>9.3799999999999994E-2</v>
      </c>
      <c r="AQ251" s="17">
        <v>1.7299999999999999E-2</v>
      </c>
      <c r="AR251" s="17">
        <v>0</v>
      </c>
      <c r="AS251" s="17">
        <v>0</v>
      </c>
      <c r="AT251" s="17">
        <v>0</v>
      </c>
      <c r="AU251" s="17">
        <v>0</v>
      </c>
      <c r="AV251" s="17">
        <v>0</v>
      </c>
      <c r="AW251" s="17">
        <v>0</v>
      </c>
      <c r="AX251" s="17">
        <v>0</v>
      </c>
    </row>
    <row r="252" spans="1:50" x14ac:dyDescent="0.25">
      <c r="A252" s="8" t="s">
        <v>288</v>
      </c>
      <c r="B252" s="10" t="s">
        <v>57</v>
      </c>
      <c r="C252" s="18">
        <v>0</v>
      </c>
      <c r="D252" s="18">
        <v>0</v>
      </c>
      <c r="E252" s="18">
        <v>0</v>
      </c>
      <c r="F252" s="18">
        <v>0</v>
      </c>
      <c r="G252" s="18">
        <v>0</v>
      </c>
      <c r="H252" s="18">
        <v>0</v>
      </c>
      <c r="I252" s="18">
        <v>0</v>
      </c>
      <c r="J252" s="18">
        <v>0</v>
      </c>
      <c r="K252" s="18">
        <v>0</v>
      </c>
      <c r="L252" s="18">
        <v>0</v>
      </c>
      <c r="M252" s="18">
        <v>0</v>
      </c>
      <c r="N252" s="18">
        <v>0</v>
      </c>
      <c r="O252" s="18">
        <v>0</v>
      </c>
      <c r="P252" s="18">
        <v>0</v>
      </c>
      <c r="Q252" s="18">
        <v>0</v>
      </c>
      <c r="R252" s="18">
        <v>0</v>
      </c>
      <c r="S252" s="18">
        <v>0</v>
      </c>
      <c r="T252" s="18">
        <v>0</v>
      </c>
      <c r="U252" s="18">
        <v>0</v>
      </c>
      <c r="V252" s="18">
        <v>0</v>
      </c>
      <c r="W252" s="18">
        <v>0</v>
      </c>
      <c r="X252" s="18">
        <v>0</v>
      </c>
      <c r="Y252" s="18">
        <v>0</v>
      </c>
      <c r="Z252" s="18">
        <v>0</v>
      </c>
      <c r="AA252" s="18">
        <v>0</v>
      </c>
      <c r="AB252" s="18">
        <v>0</v>
      </c>
      <c r="AC252" s="18">
        <v>0</v>
      </c>
      <c r="AD252" s="18">
        <v>0</v>
      </c>
      <c r="AE252" s="18">
        <v>0</v>
      </c>
      <c r="AF252" s="18">
        <v>0</v>
      </c>
      <c r="AG252" s="18">
        <v>0</v>
      </c>
      <c r="AH252" s="18">
        <v>0</v>
      </c>
      <c r="AI252" s="18">
        <v>0</v>
      </c>
      <c r="AJ252" s="18">
        <v>0</v>
      </c>
      <c r="AK252" s="18">
        <v>0</v>
      </c>
      <c r="AL252" s="18">
        <v>0</v>
      </c>
      <c r="AM252" s="18">
        <v>0</v>
      </c>
      <c r="AN252" s="18">
        <v>0</v>
      </c>
      <c r="AO252" s="18">
        <v>0</v>
      </c>
      <c r="AP252" s="18">
        <v>0</v>
      </c>
      <c r="AQ252" s="18">
        <v>0</v>
      </c>
      <c r="AR252" s="18">
        <v>0</v>
      </c>
      <c r="AS252" s="18">
        <v>0</v>
      </c>
      <c r="AT252" s="18">
        <v>0</v>
      </c>
      <c r="AU252" s="18">
        <v>0</v>
      </c>
      <c r="AV252" s="18">
        <v>0</v>
      </c>
      <c r="AW252" s="18">
        <v>0</v>
      </c>
      <c r="AX252" s="18">
        <v>0</v>
      </c>
    </row>
    <row r="253" spans="1:50" x14ac:dyDescent="0.25">
      <c r="A253" s="8" t="s">
        <v>290</v>
      </c>
      <c r="B253" s="10" t="s">
        <v>57</v>
      </c>
      <c r="C253" s="18">
        <v>0</v>
      </c>
      <c r="D253" s="18">
        <v>0</v>
      </c>
      <c r="E253" s="18">
        <v>0</v>
      </c>
      <c r="F253" s="18">
        <v>0</v>
      </c>
      <c r="G253" s="18">
        <v>0</v>
      </c>
      <c r="H253" s="18">
        <v>0</v>
      </c>
      <c r="I253" s="18">
        <v>0</v>
      </c>
      <c r="J253" s="18">
        <v>0</v>
      </c>
      <c r="K253" s="18">
        <v>0</v>
      </c>
      <c r="L253" s="18">
        <v>0</v>
      </c>
      <c r="M253" s="18">
        <v>0</v>
      </c>
      <c r="N253" s="18">
        <v>0</v>
      </c>
      <c r="O253" s="18">
        <v>0</v>
      </c>
      <c r="P253" s="18">
        <v>0</v>
      </c>
      <c r="Q253" s="18">
        <v>0</v>
      </c>
      <c r="R253" s="18">
        <v>0</v>
      </c>
      <c r="S253" s="18">
        <v>0</v>
      </c>
      <c r="T253" s="18">
        <v>0</v>
      </c>
      <c r="U253" s="18">
        <v>0</v>
      </c>
      <c r="V253" s="18">
        <v>0</v>
      </c>
      <c r="W253" s="18">
        <v>0</v>
      </c>
      <c r="X253" s="18">
        <v>0</v>
      </c>
      <c r="Y253" s="18">
        <v>0</v>
      </c>
      <c r="Z253" s="18">
        <v>0</v>
      </c>
      <c r="AA253" s="18">
        <v>0</v>
      </c>
      <c r="AB253" s="18">
        <v>0</v>
      </c>
      <c r="AC253" s="18">
        <v>0</v>
      </c>
      <c r="AD253" s="18">
        <v>0</v>
      </c>
      <c r="AE253" s="18">
        <v>0</v>
      </c>
      <c r="AF253" s="18">
        <v>0</v>
      </c>
      <c r="AG253" s="18">
        <v>0</v>
      </c>
      <c r="AH253" s="18">
        <v>0</v>
      </c>
      <c r="AI253" s="18">
        <v>0</v>
      </c>
      <c r="AJ253" s="18">
        <v>0</v>
      </c>
      <c r="AK253" s="18">
        <v>0</v>
      </c>
      <c r="AL253" s="18">
        <v>0</v>
      </c>
      <c r="AM253" s="18">
        <v>0</v>
      </c>
      <c r="AN253" s="18">
        <v>0</v>
      </c>
      <c r="AO253" s="18">
        <v>0</v>
      </c>
      <c r="AP253" s="18">
        <v>0</v>
      </c>
      <c r="AQ253" s="18">
        <v>0</v>
      </c>
      <c r="AR253" s="18">
        <v>0</v>
      </c>
      <c r="AS253" s="18">
        <v>0</v>
      </c>
      <c r="AT253" s="18">
        <v>0</v>
      </c>
      <c r="AU253" s="18">
        <v>0</v>
      </c>
      <c r="AV253" s="18">
        <v>0</v>
      </c>
      <c r="AW253" s="18">
        <v>0</v>
      </c>
      <c r="AX253" s="18">
        <v>0</v>
      </c>
    </row>
    <row r="254" spans="1:50" x14ac:dyDescent="0.25">
      <c r="A254" s="8" t="s">
        <v>292</v>
      </c>
      <c r="B254" s="10" t="s">
        <v>57</v>
      </c>
      <c r="C254" s="18">
        <v>0</v>
      </c>
      <c r="D254" s="18">
        <v>0</v>
      </c>
      <c r="E254" s="18">
        <v>0</v>
      </c>
      <c r="F254" s="18">
        <v>0</v>
      </c>
      <c r="G254" s="18">
        <v>0</v>
      </c>
      <c r="H254" s="18">
        <v>0</v>
      </c>
      <c r="I254" s="18">
        <v>0</v>
      </c>
      <c r="J254" s="18">
        <v>0</v>
      </c>
      <c r="K254" s="18">
        <v>0</v>
      </c>
      <c r="L254" s="18">
        <v>0</v>
      </c>
      <c r="M254" s="18">
        <v>0</v>
      </c>
      <c r="N254" s="18">
        <v>0</v>
      </c>
      <c r="O254" s="18">
        <v>0</v>
      </c>
      <c r="P254" s="18">
        <v>0</v>
      </c>
      <c r="Q254" s="18">
        <v>0</v>
      </c>
      <c r="R254" s="18">
        <v>0</v>
      </c>
      <c r="S254" s="18">
        <v>0</v>
      </c>
      <c r="T254" s="18">
        <v>0</v>
      </c>
      <c r="U254" s="18">
        <v>0</v>
      </c>
      <c r="V254" s="18">
        <v>0</v>
      </c>
      <c r="W254" s="18">
        <v>0</v>
      </c>
      <c r="X254" s="18">
        <v>0</v>
      </c>
      <c r="Y254" s="18">
        <v>0</v>
      </c>
      <c r="Z254" s="18">
        <v>0</v>
      </c>
      <c r="AA254" s="18">
        <v>0</v>
      </c>
      <c r="AB254" s="18">
        <v>0</v>
      </c>
      <c r="AC254" s="18">
        <v>0</v>
      </c>
      <c r="AD254" s="18">
        <v>0</v>
      </c>
      <c r="AE254" s="18">
        <v>0</v>
      </c>
      <c r="AF254" s="18">
        <v>0</v>
      </c>
      <c r="AG254" s="18">
        <v>0</v>
      </c>
      <c r="AH254" s="18">
        <v>0</v>
      </c>
      <c r="AI254" s="18">
        <v>0</v>
      </c>
      <c r="AJ254" s="18">
        <v>0</v>
      </c>
      <c r="AK254" s="18">
        <v>0</v>
      </c>
      <c r="AL254" s="18">
        <v>0</v>
      </c>
      <c r="AM254" s="18">
        <v>0</v>
      </c>
      <c r="AN254" s="18">
        <v>0</v>
      </c>
      <c r="AO254" s="18">
        <v>0</v>
      </c>
      <c r="AP254" s="18">
        <v>0</v>
      </c>
      <c r="AQ254" s="18">
        <v>0</v>
      </c>
      <c r="AR254" s="18">
        <v>0</v>
      </c>
      <c r="AS254" s="18">
        <v>0</v>
      </c>
      <c r="AT254" s="18">
        <v>0</v>
      </c>
      <c r="AU254" s="18">
        <v>0</v>
      </c>
      <c r="AV254" s="18">
        <v>0</v>
      </c>
      <c r="AW254" s="18">
        <v>0</v>
      </c>
      <c r="AX254" s="18">
        <v>0</v>
      </c>
    </row>
    <row r="255" spans="1:50" x14ac:dyDescent="0.25">
      <c r="A255" s="8" t="s">
        <v>294</v>
      </c>
      <c r="B255" s="10" t="s">
        <v>57</v>
      </c>
      <c r="C255" s="18">
        <v>0</v>
      </c>
      <c r="D255" s="18">
        <v>0</v>
      </c>
      <c r="E255" s="18">
        <v>0</v>
      </c>
      <c r="F255" s="18">
        <v>0</v>
      </c>
      <c r="G255" s="18">
        <v>0</v>
      </c>
      <c r="H255" s="18">
        <v>0</v>
      </c>
      <c r="I255" s="18">
        <v>0</v>
      </c>
      <c r="J255" s="18">
        <v>0</v>
      </c>
      <c r="K255" s="18">
        <v>0</v>
      </c>
      <c r="L255" s="18">
        <v>0</v>
      </c>
      <c r="M255" s="18">
        <v>0</v>
      </c>
      <c r="N255" s="18">
        <v>0</v>
      </c>
      <c r="O255" s="18">
        <v>0</v>
      </c>
      <c r="P255" s="18">
        <v>0</v>
      </c>
      <c r="Q255" s="18">
        <v>0</v>
      </c>
      <c r="R255" s="18">
        <v>0</v>
      </c>
      <c r="S255" s="18">
        <v>0</v>
      </c>
      <c r="T255" s="18">
        <v>0</v>
      </c>
      <c r="U255" s="18">
        <v>0</v>
      </c>
      <c r="V255" s="18">
        <v>0</v>
      </c>
      <c r="W255" s="18">
        <v>0</v>
      </c>
      <c r="X255" s="18">
        <v>0</v>
      </c>
      <c r="Y255" s="18">
        <v>0</v>
      </c>
      <c r="Z255" s="18">
        <v>0</v>
      </c>
      <c r="AA255" s="18">
        <v>0</v>
      </c>
      <c r="AB255" s="18">
        <v>0</v>
      </c>
      <c r="AC255" s="18">
        <v>0</v>
      </c>
      <c r="AD255" s="18">
        <v>0</v>
      </c>
      <c r="AE255" s="18">
        <v>0</v>
      </c>
      <c r="AF255" s="18">
        <v>0</v>
      </c>
      <c r="AG255" s="18">
        <v>0</v>
      </c>
      <c r="AH255" s="18">
        <v>0</v>
      </c>
      <c r="AI255" s="18">
        <v>0</v>
      </c>
      <c r="AJ255" s="18">
        <v>0</v>
      </c>
      <c r="AK255" s="18">
        <v>0</v>
      </c>
      <c r="AL255" s="18">
        <v>0</v>
      </c>
      <c r="AM255" s="18">
        <v>0</v>
      </c>
      <c r="AN255" s="18">
        <v>0</v>
      </c>
      <c r="AO255" s="18">
        <v>0</v>
      </c>
      <c r="AP255" s="18">
        <v>0</v>
      </c>
      <c r="AQ255" s="18">
        <v>0</v>
      </c>
      <c r="AR255" s="18">
        <v>0</v>
      </c>
      <c r="AS255" s="18">
        <v>0</v>
      </c>
      <c r="AT255" s="18">
        <v>0</v>
      </c>
      <c r="AU255" s="18">
        <v>0</v>
      </c>
      <c r="AV255" s="18">
        <v>0</v>
      </c>
      <c r="AW255" s="18">
        <v>0</v>
      </c>
      <c r="AX255" s="18">
        <v>0</v>
      </c>
    </row>
    <row r="256" spans="1:50" x14ac:dyDescent="0.25">
      <c r="A256" s="16" t="s">
        <v>725</v>
      </c>
      <c r="B256" s="13" t="s">
        <v>464</v>
      </c>
      <c r="C256" s="17">
        <v>0</v>
      </c>
      <c r="D256" s="17">
        <v>0</v>
      </c>
      <c r="E256" s="17">
        <v>0</v>
      </c>
      <c r="F256" s="17">
        <v>0</v>
      </c>
      <c r="G256" s="17">
        <v>0</v>
      </c>
      <c r="H256" s="17">
        <v>0</v>
      </c>
      <c r="I256" s="17">
        <v>0</v>
      </c>
      <c r="J256" s="17">
        <v>3.3999999999999998E-3</v>
      </c>
      <c r="K256" s="17">
        <v>4.9700000000000001E-2</v>
      </c>
      <c r="L256" s="17">
        <v>0.2326</v>
      </c>
      <c r="M256" s="17">
        <v>0.46129999999999999</v>
      </c>
      <c r="N256" s="17">
        <v>0.7419</v>
      </c>
      <c r="O256" s="17">
        <v>1.0479000000000001</v>
      </c>
      <c r="P256" s="17">
        <v>1.3576999999999999</v>
      </c>
      <c r="Q256" s="17">
        <v>1.6659999999999999</v>
      </c>
      <c r="R256" s="17">
        <v>1.9745999999999999</v>
      </c>
      <c r="S256" s="17">
        <v>2.2643</v>
      </c>
      <c r="T256" s="17">
        <v>2.5367000000000002</v>
      </c>
      <c r="U256" s="17">
        <v>2.7686000000000002</v>
      </c>
      <c r="V256" s="17">
        <v>2.9664000000000001</v>
      </c>
      <c r="W256" s="17">
        <v>3.14</v>
      </c>
      <c r="X256" s="17">
        <v>3.2833000000000001</v>
      </c>
      <c r="Y256" s="17">
        <v>3.3849999999999998</v>
      </c>
      <c r="Z256" s="17">
        <v>3.4296000000000002</v>
      </c>
      <c r="AA256" s="17">
        <v>3.4424999999999999</v>
      </c>
      <c r="AB256" s="17">
        <v>3.4182999999999999</v>
      </c>
      <c r="AC256" s="17">
        <v>3.3372000000000002</v>
      </c>
      <c r="AD256" s="17">
        <v>3.2132999999999998</v>
      </c>
      <c r="AE256" s="17">
        <v>3.0655000000000001</v>
      </c>
      <c r="AF256" s="17">
        <v>2.8782000000000001</v>
      </c>
      <c r="AG256" s="17">
        <v>2.6791</v>
      </c>
      <c r="AH256" s="17">
        <v>2.4396</v>
      </c>
      <c r="AI256" s="17">
        <v>2.1698</v>
      </c>
      <c r="AJ256" s="17">
        <v>1.8441000000000001</v>
      </c>
      <c r="AK256" s="17">
        <v>1.5391999999999999</v>
      </c>
      <c r="AL256" s="17">
        <v>1.2259</v>
      </c>
      <c r="AM256" s="17">
        <v>0.92290000000000005</v>
      </c>
      <c r="AN256" s="17">
        <v>0.63080000000000003</v>
      </c>
      <c r="AO256" s="17">
        <v>0.36830000000000002</v>
      </c>
      <c r="AP256" s="17">
        <v>0.1072</v>
      </c>
      <c r="AQ256" s="17">
        <v>1.9800000000000002E-2</v>
      </c>
      <c r="AR256" s="17">
        <v>0</v>
      </c>
      <c r="AS256" s="17">
        <v>0</v>
      </c>
      <c r="AT256" s="17">
        <v>0</v>
      </c>
      <c r="AU256" s="17">
        <v>0</v>
      </c>
      <c r="AV256" s="17">
        <v>0</v>
      </c>
      <c r="AW256" s="17">
        <v>0</v>
      </c>
      <c r="AX256" s="17">
        <v>0</v>
      </c>
    </row>
    <row r="257" spans="1:50" x14ac:dyDescent="0.25">
      <c r="A257" s="16" t="s">
        <v>727</v>
      </c>
      <c r="B257" s="13" t="s">
        <v>464</v>
      </c>
      <c r="C257" s="17">
        <v>0</v>
      </c>
      <c r="D257" s="17">
        <v>0</v>
      </c>
      <c r="E257" s="17">
        <v>0</v>
      </c>
      <c r="F257" s="17">
        <v>0</v>
      </c>
      <c r="G257" s="17">
        <v>0</v>
      </c>
      <c r="H257" s="17">
        <v>0</v>
      </c>
      <c r="I257" s="17">
        <v>0</v>
      </c>
      <c r="J257" s="17">
        <v>3.0000000000000001E-3</v>
      </c>
      <c r="K257" s="17">
        <v>4.3499999999999997E-2</v>
      </c>
      <c r="L257" s="17">
        <v>0.20349999999999999</v>
      </c>
      <c r="M257" s="17">
        <v>0.4037</v>
      </c>
      <c r="N257" s="17">
        <v>0.64910000000000001</v>
      </c>
      <c r="O257" s="17">
        <v>0.91690000000000005</v>
      </c>
      <c r="P257" s="17">
        <v>1.1879999999999999</v>
      </c>
      <c r="Q257" s="17">
        <v>1.4577</v>
      </c>
      <c r="R257" s="17">
        <v>1.7278</v>
      </c>
      <c r="S257" s="17">
        <v>1.9813000000000001</v>
      </c>
      <c r="T257" s="17">
        <v>2.2195999999999998</v>
      </c>
      <c r="U257" s="17">
        <v>2.4224999999999999</v>
      </c>
      <c r="V257" s="17">
        <v>2.5956000000000001</v>
      </c>
      <c r="W257" s="17">
        <v>2.7475000000000001</v>
      </c>
      <c r="X257" s="17">
        <v>2.8729</v>
      </c>
      <c r="Y257" s="17">
        <v>2.9619</v>
      </c>
      <c r="Z257" s="17">
        <v>3.0009000000000001</v>
      </c>
      <c r="AA257" s="17">
        <v>3.0122</v>
      </c>
      <c r="AB257" s="17">
        <v>2.9910000000000001</v>
      </c>
      <c r="AC257" s="17">
        <v>2.92</v>
      </c>
      <c r="AD257" s="17">
        <v>2.8117000000000001</v>
      </c>
      <c r="AE257" s="17">
        <v>2.6823000000000001</v>
      </c>
      <c r="AF257" s="17">
        <v>2.5184000000000002</v>
      </c>
      <c r="AG257" s="17">
        <v>2.3441999999999998</v>
      </c>
      <c r="AH257" s="17">
        <v>2.1345999999999998</v>
      </c>
      <c r="AI257" s="17">
        <v>1.8986000000000001</v>
      </c>
      <c r="AJ257" s="17">
        <v>1.6135999999999999</v>
      </c>
      <c r="AK257" s="17">
        <v>1.3468</v>
      </c>
      <c r="AL257" s="17">
        <v>1.0727</v>
      </c>
      <c r="AM257" s="17">
        <v>0.80759999999999998</v>
      </c>
      <c r="AN257" s="17">
        <v>0.55189999999999995</v>
      </c>
      <c r="AO257" s="17">
        <v>0.32229999999999998</v>
      </c>
      <c r="AP257" s="17">
        <v>9.3799999999999994E-2</v>
      </c>
      <c r="AQ257" s="17">
        <v>1.7299999999999999E-2</v>
      </c>
      <c r="AR257" s="17">
        <v>0</v>
      </c>
      <c r="AS257" s="17">
        <v>0</v>
      </c>
      <c r="AT257" s="17">
        <v>0</v>
      </c>
      <c r="AU257" s="17">
        <v>0</v>
      </c>
      <c r="AV257" s="17">
        <v>0</v>
      </c>
      <c r="AW257" s="17">
        <v>0</v>
      </c>
      <c r="AX257" s="17">
        <v>0</v>
      </c>
    </row>
    <row r="258" spans="1:50" x14ac:dyDescent="0.25">
      <c r="A258" s="16" t="s">
        <v>729</v>
      </c>
      <c r="B258" s="13" t="s">
        <v>464</v>
      </c>
      <c r="C258" s="17">
        <v>0</v>
      </c>
      <c r="D258" s="17">
        <v>0</v>
      </c>
      <c r="E258" s="17">
        <v>0</v>
      </c>
      <c r="F258" s="17">
        <v>0</v>
      </c>
      <c r="G258" s="17">
        <v>0</v>
      </c>
      <c r="H258" s="17">
        <v>0</v>
      </c>
      <c r="I258" s="17">
        <v>0</v>
      </c>
      <c r="J258" s="17">
        <v>3.3999999999999998E-3</v>
      </c>
      <c r="K258" s="17">
        <v>4.9700000000000001E-2</v>
      </c>
      <c r="L258" s="17">
        <v>0.2326</v>
      </c>
      <c r="M258" s="17">
        <v>0.46129999999999999</v>
      </c>
      <c r="N258" s="17">
        <v>0.7419</v>
      </c>
      <c r="O258" s="17">
        <v>1.0479000000000001</v>
      </c>
      <c r="P258" s="17">
        <v>1.3576999999999999</v>
      </c>
      <c r="Q258" s="17">
        <v>1.6659999999999999</v>
      </c>
      <c r="R258" s="17">
        <v>1.9745999999999999</v>
      </c>
      <c r="S258" s="17">
        <v>2.2643</v>
      </c>
      <c r="T258" s="17">
        <v>2.5367000000000002</v>
      </c>
      <c r="U258" s="17">
        <v>2.7686000000000002</v>
      </c>
      <c r="V258" s="17">
        <v>2.9664000000000001</v>
      </c>
      <c r="W258" s="17">
        <v>3.14</v>
      </c>
      <c r="X258" s="17">
        <v>3.2833000000000001</v>
      </c>
      <c r="Y258" s="17">
        <v>3.3849999999999998</v>
      </c>
      <c r="Z258" s="17">
        <v>3.4296000000000002</v>
      </c>
      <c r="AA258" s="17">
        <v>3.4424999999999999</v>
      </c>
      <c r="AB258" s="17">
        <v>3.4182999999999999</v>
      </c>
      <c r="AC258" s="17">
        <v>3.3372000000000002</v>
      </c>
      <c r="AD258" s="17">
        <v>3.2132999999999998</v>
      </c>
      <c r="AE258" s="17">
        <v>3.0655000000000001</v>
      </c>
      <c r="AF258" s="17">
        <v>2.8782000000000001</v>
      </c>
      <c r="AG258" s="17">
        <v>2.6791</v>
      </c>
      <c r="AH258" s="17">
        <v>2.4396</v>
      </c>
      <c r="AI258" s="17">
        <v>2.1698</v>
      </c>
      <c r="AJ258" s="17">
        <v>1.8441000000000001</v>
      </c>
      <c r="AK258" s="17">
        <v>1.5391999999999999</v>
      </c>
      <c r="AL258" s="17">
        <v>1.2259</v>
      </c>
      <c r="AM258" s="17">
        <v>0.92290000000000005</v>
      </c>
      <c r="AN258" s="17">
        <v>0.63080000000000003</v>
      </c>
      <c r="AO258" s="17">
        <v>0.36830000000000002</v>
      </c>
      <c r="AP258" s="17">
        <v>0.1072</v>
      </c>
      <c r="AQ258" s="17">
        <v>1.9800000000000002E-2</v>
      </c>
      <c r="AR258" s="17">
        <v>0</v>
      </c>
      <c r="AS258" s="17">
        <v>0</v>
      </c>
      <c r="AT258" s="17">
        <v>0</v>
      </c>
      <c r="AU258" s="17">
        <v>0</v>
      </c>
      <c r="AV258" s="17">
        <v>0</v>
      </c>
      <c r="AW258" s="17">
        <v>0</v>
      </c>
      <c r="AX258" s="17">
        <v>0</v>
      </c>
    </row>
    <row r="259" spans="1:50" x14ac:dyDescent="0.25">
      <c r="A259" s="8" t="s">
        <v>296</v>
      </c>
      <c r="B259" s="10" t="s">
        <v>57</v>
      </c>
      <c r="C259" s="18">
        <v>0</v>
      </c>
      <c r="D259" s="18">
        <v>0</v>
      </c>
      <c r="E259" s="18">
        <v>0</v>
      </c>
      <c r="F259" s="18">
        <v>0</v>
      </c>
      <c r="G259" s="18">
        <v>0</v>
      </c>
      <c r="H259" s="18">
        <v>0</v>
      </c>
      <c r="I259" s="18">
        <v>0</v>
      </c>
      <c r="J259" s="18">
        <v>0</v>
      </c>
      <c r="K259" s="18">
        <v>0</v>
      </c>
      <c r="L259" s="18">
        <v>0</v>
      </c>
      <c r="M259" s="18">
        <v>0</v>
      </c>
      <c r="N259" s="18">
        <v>0</v>
      </c>
      <c r="O259" s="18">
        <v>0</v>
      </c>
      <c r="P259" s="18">
        <v>0</v>
      </c>
      <c r="Q259" s="18">
        <v>0</v>
      </c>
      <c r="R259" s="18">
        <v>0</v>
      </c>
      <c r="S259" s="18">
        <v>0</v>
      </c>
      <c r="T259" s="18">
        <v>0</v>
      </c>
      <c r="U259" s="18">
        <v>0</v>
      </c>
      <c r="V259" s="18">
        <v>0</v>
      </c>
      <c r="W259" s="18">
        <v>0</v>
      </c>
      <c r="X259" s="18">
        <v>0</v>
      </c>
      <c r="Y259" s="18">
        <v>0</v>
      </c>
      <c r="Z259" s="18">
        <v>0</v>
      </c>
      <c r="AA259" s="18">
        <v>0</v>
      </c>
      <c r="AB259" s="18">
        <v>0</v>
      </c>
      <c r="AC259" s="18">
        <v>0</v>
      </c>
      <c r="AD259" s="18">
        <v>0</v>
      </c>
      <c r="AE259" s="18">
        <v>0</v>
      </c>
      <c r="AF259" s="18">
        <v>0</v>
      </c>
      <c r="AG259" s="18">
        <v>0</v>
      </c>
      <c r="AH259" s="18">
        <v>0</v>
      </c>
      <c r="AI259" s="18">
        <v>0</v>
      </c>
      <c r="AJ259" s="18">
        <v>0</v>
      </c>
      <c r="AK259" s="18">
        <v>0</v>
      </c>
      <c r="AL259" s="18">
        <v>0</v>
      </c>
      <c r="AM259" s="18">
        <v>0</v>
      </c>
      <c r="AN259" s="18">
        <v>0</v>
      </c>
      <c r="AO259" s="18">
        <v>0</v>
      </c>
      <c r="AP259" s="18">
        <v>0</v>
      </c>
      <c r="AQ259" s="18">
        <v>0</v>
      </c>
      <c r="AR259" s="18">
        <v>0</v>
      </c>
      <c r="AS259" s="18">
        <v>0</v>
      </c>
      <c r="AT259" s="18">
        <v>0</v>
      </c>
      <c r="AU259" s="18">
        <v>0</v>
      </c>
      <c r="AV259" s="18">
        <v>0</v>
      </c>
      <c r="AW259" s="18">
        <v>0</v>
      </c>
      <c r="AX259" s="18">
        <v>0</v>
      </c>
    </row>
    <row r="260" spans="1:50" x14ac:dyDescent="0.25">
      <c r="A260" s="8" t="s">
        <v>298</v>
      </c>
      <c r="B260" s="10" t="s">
        <v>57</v>
      </c>
      <c r="C260" s="18">
        <v>0</v>
      </c>
      <c r="D260" s="18">
        <v>0</v>
      </c>
      <c r="E260" s="18">
        <v>0</v>
      </c>
      <c r="F260" s="18">
        <v>0</v>
      </c>
      <c r="G260" s="18">
        <v>0</v>
      </c>
      <c r="H260" s="18">
        <v>0</v>
      </c>
      <c r="I260" s="18">
        <v>0</v>
      </c>
      <c r="J260" s="18">
        <v>0</v>
      </c>
      <c r="K260" s="18">
        <v>0</v>
      </c>
      <c r="L260" s="18">
        <v>0</v>
      </c>
      <c r="M260" s="18">
        <v>0</v>
      </c>
      <c r="N260" s="18">
        <v>0</v>
      </c>
      <c r="O260" s="18">
        <v>0</v>
      </c>
      <c r="P260" s="18">
        <v>0</v>
      </c>
      <c r="Q260" s="18">
        <v>0</v>
      </c>
      <c r="R260" s="18">
        <v>0</v>
      </c>
      <c r="S260" s="18">
        <v>0</v>
      </c>
      <c r="T260" s="18">
        <v>0</v>
      </c>
      <c r="U260" s="18">
        <v>0</v>
      </c>
      <c r="V260" s="18">
        <v>0</v>
      </c>
      <c r="W260" s="18">
        <v>0</v>
      </c>
      <c r="X260" s="18">
        <v>0</v>
      </c>
      <c r="Y260" s="18">
        <v>0</v>
      </c>
      <c r="Z260" s="18">
        <v>0</v>
      </c>
      <c r="AA260" s="18">
        <v>0</v>
      </c>
      <c r="AB260" s="18">
        <v>0</v>
      </c>
      <c r="AC260" s="18">
        <v>0</v>
      </c>
      <c r="AD260" s="18">
        <v>0</v>
      </c>
      <c r="AE260" s="18">
        <v>0</v>
      </c>
      <c r="AF260" s="18">
        <v>0</v>
      </c>
      <c r="AG260" s="18">
        <v>0</v>
      </c>
      <c r="AH260" s="18">
        <v>0</v>
      </c>
      <c r="AI260" s="18">
        <v>0</v>
      </c>
      <c r="AJ260" s="18">
        <v>0</v>
      </c>
      <c r="AK260" s="18">
        <v>0</v>
      </c>
      <c r="AL260" s="18">
        <v>0</v>
      </c>
      <c r="AM260" s="18">
        <v>0</v>
      </c>
      <c r="AN260" s="18">
        <v>0</v>
      </c>
      <c r="AO260" s="18">
        <v>0</v>
      </c>
      <c r="AP260" s="18">
        <v>0</v>
      </c>
      <c r="AQ260" s="18">
        <v>0</v>
      </c>
      <c r="AR260" s="18">
        <v>0</v>
      </c>
      <c r="AS260" s="18">
        <v>0</v>
      </c>
      <c r="AT260" s="18">
        <v>0</v>
      </c>
      <c r="AU260" s="18">
        <v>0</v>
      </c>
      <c r="AV260" s="18">
        <v>0</v>
      </c>
      <c r="AW260" s="18">
        <v>0</v>
      </c>
      <c r="AX260" s="18">
        <v>0</v>
      </c>
    </row>
    <row r="261" spans="1:50" x14ac:dyDescent="0.25">
      <c r="A261" s="16" t="s">
        <v>731</v>
      </c>
      <c r="B261" s="13" t="s">
        <v>464</v>
      </c>
      <c r="C261" s="17">
        <v>0</v>
      </c>
      <c r="D261" s="17">
        <v>0</v>
      </c>
      <c r="E261" s="17">
        <v>0</v>
      </c>
      <c r="F261" s="17">
        <v>0</v>
      </c>
      <c r="G261" s="17">
        <v>0</v>
      </c>
      <c r="H261" s="17">
        <v>0</v>
      </c>
      <c r="I261" s="17">
        <v>0</v>
      </c>
      <c r="J261" s="17">
        <v>3.3999999999999998E-3</v>
      </c>
      <c r="K261" s="17">
        <v>4.9700000000000001E-2</v>
      </c>
      <c r="L261" s="17">
        <v>0.2326</v>
      </c>
      <c r="M261" s="17">
        <v>0.46129999999999999</v>
      </c>
      <c r="N261" s="17">
        <v>0.7419</v>
      </c>
      <c r="O261" s="17">
        <v>1.0479000000000001</v>
      </c>
      <c r="P261" s="17">
        <v>1.3576999999999999</v>
      </c>
      <c r="Q261" s="17">
        <v>1.6659999999999999</v>
      </c>
      <c r="R261" s="17">
        <v>1.9745999999999999</v>
      </c>
      <c r="S261" s="17">
        <v>2.2643</v>
      </c>
      <c r="T261" s="17">
        <v>2.5367000000000002</v>
      </c>
      <c r="U261" s="17">
        <v>2.7686000000000002</v>
      </c>
      <c r="V261" s="17">
        <v>2.9664000000000001</v>
      </c>
      <c r="W261" s="17">
        <v>3.14</v>
      </c>
      <c r="X261" s="17">
        <v>3.2833000000000001</v>
      </c>
      <c r="Y261" s="17">
        <v>3.3849999999999998</v>
      </c>
      <c r="Z261" s="17">
        <v>3.4296000000000002</v>
      </c>
      <c r="AA261" s="17">
        <v>3.4424999999999999</v>
      </c>
      <c r="AB261" s="17">
        <v>3.4182999999999999</v>
      </c>
      <c r="AC261" s="17">
        <v>3.3372000000000002</v>
      </c>
      <c r="AD261" s="17">
        <v>3.2132999999999998</v>
      </c>
      <c r="AE261" s="17">
        <v>3.0655000000000001</v>
      </c>
      <c r="AF261" s="17">
        <v>2.8782000000000001</v>
      </c>
      <c r="AG261" s="17">
        <v>2.6791</v>
      </c>
      <c r="AH261" s="17">
        <v>2.4396</v>
      </c>
      <c r="AI261" s="17">
        <v>2.1698</v>
      </c>
      <c r="AJ261" s="17">
        <v>1.8441000000000001</v>
      </c>
      <c r="AK261" s="17">
        <v>1.5391999999999999</v>
      </c>
      <c r="AL261" s="17">
        <v>1.2259</v>
      </c>
      <c r="AM261" s="17">
        <v>0.92290000000000005</v>
      </c>
      <c r="AN261" s="17">
        <v>0.63080000000000003</v>
      </c>
      <c r="AO261" s="17">
        <v>0.36830000000000002</v>
      </c>
      <c r="AP261" s="17">
        <v>0.1072</v>
      </c>
      <c r="AQ261" s="17">
        <v>1.9800000000000002E-2</v>
      </c>
      <c r="AR261" s="17">
        <v>0</v>
      </c>
      <c r="AS261" s="17">
        <v>0</v>
      </c>
      <c r="AT261" s="17">
        <v>0</v>
      </c>
      <c r="AU261" s="17">
        <v>0</v>
      </c>
      <c r="AV261" s="17">
        <v>0</v>
      </c>
      <c r="AW261" s="17">
        <v>0</v>
      </c>
      <c r="AX261" s="17">
        <v>0</v>
      </c>
    </row>
    <row r="262" spans="1:50" x14ac:dyDescent="0.25">
      <c r="A262" s="16" t="s">
        <v>733</v>
      </c>
      <c r="B262" s="13" t="s">
        <v>464</v>
      </c>
      <c r="C262" s="17">
        <v>0</v>
      </c>
      <c r="D262" s="17">
        <v>0</v>
      </c>
      <c r="E262" s="17">
        <v>0</v>
      </c>
      <c r="F262" s="17">
        <v>0</v>
      </c>
      <c r="G262" s="17">
        <v>0</v>
      </c>
      <c r="H262" s="17">
        <v>0</v>
      </c>
      <c r="I262" s="17">
        <v>0</v>
      </c>
      <c r="J262" s="17">
        <v>2.5999999999999999E-3</v>
      </c>
      <c r="K262" s="17">
        <v>3.73E-2</v>
      </c>
      <c r="L262" s="17">
        <v>0.1744</v>
      </c>
      <c r="M262" s="17">
        <v>0.34599999999999997</v>
      </c>
      <c r="N262" s="17">
        <v>0.55640000000000001</v>
      </c>
      <c r="O262" s="17">
        <v>0.78590000000000004</v>
      </c>
      <c r="P262" s="17">
        <v>1.0183</v>
      </c>
      <c r="Q262" s="17">
        <v>1.2495000000000001</v>
      </c>
      <c r="R262" s="17">
        <v>1.4810000000000001</v>
      </c>
      <c r="S262" s="17">
        <v>1.6981999999999999</v>
      </c>
      <c r="T262" s="17">
        <v>1.9025000000000001</v>
      </c>
      <c r="U262" s="17">
        <v>2.0764</v>
      </c>
      <c r="V262" s="17">
        <v>2.2248000000000001</v>
      </c>
      <c r="W262" s="17">
        <v>2.355</v>
      </c>
      <c r="X262" s="17">
        <v>2.4624999999999999</v>
      </c>
      <c r="Y262" s="17">
        <v>2.5387</v>
      </c>
      <c r="Z262" s="17">
        <v>2.5722</v>
      </c>
      <c r="AA262" s="17">
        <v>2.5819000000000001</v>
      </c>
      <c r="AB262" s="17">
        <v>2.5636999999999999</v>
      </c>
      <c r="AC262" s="17">
        <v>2.5028999999999999</v>
      </c>
      <c r="AD262" s="17">
        <v>2.41</v>
      </c>
      <c r="AE262" s="17">
        <v>2.2991000000000001</v>
      </c>
      <c r="AF262" s="17">
        <v>2.1585999999999999</v>
      </c>
      <c r="AG262" s="17">
        <v>2.0093000000000001</v>
      </c>
      <c r="AH262" s="17">
        <v>1.8297000000000001</v>
      </c>
      <c r="AI262" s="17">
        <v>1.6274</v>
      </c>
      <c r="AJ262" s="17">
        <v>1.3831</v>
      </c>
      <c r="AK262" s="17">
        <v>1.1544000000000001</v>
      </c>
      <c r="AL262" s="17">
        <v>0.91949999999999998</v>
      </c>
      <c r="AM262" s="17">
        <v>0.69220000000000004</v>
      </c>
      <c r="AN262" s="17">
        <v>0.47310000000000002</v>
      </c>
      <c r="AO262" s="17">
        <v>0.2762</v>
      </c>
      <c r="AP262" s="17">
        <v>8.0399999999999999E-2</v>
      </c>
      <c r="AQ262" s="17">
        <v>1.4800000000000001E-2</v>
      </c>
      <c r="AR262" s="17">
        <v>0</v>
      </c>
      <c r="AS262" s="17">
        <v>0</v>
      </c>
      <c r="AT262" s="17">
        <v>0</v>
      </c>
      <c r="AU262" s="17">
        <v>0</v>
      </c>
      <c r="AV262" s="17">
        <v>0</v>
      </c>
      <c r="AW262" s="17">
        <v>0</v>
      </c>
      <c r="AX262" s="17">
        <v>0</v>
      </c>
    </row>
    <row r="263" spans="1:50" x14ac:dyDescent="0.25">
      <c r="A263" s="16" t="s">
        <v>735</v>
      </c>
      <c r="B263" s="13" t="s">
        <v>464</v>
      </c>
      <c r="C263" s="17">
        <v>0</v>
      </c>
      <c r="D263" s="17">
        <v>0</v>
      </c>
      <c r="E263" s="17">
        <v>0</v>
      </c>
      <c r="F263" s="17">
        <v>0</v>
      </c>
      <c r="G263" s="17">
        <v>0</v>
      </c>
      <c r="H263" s="17">
        <v>0</v>
      </c>
      <c r="I263" s="17">
        <v>0</v>
      </c>
      <c r="J263" s="17">
        <v>3.0000000000000001E-3</v>
      </c>
      <c r="K263" s="17">
        <v>4.3499999999999997E-2</v>
      </c>
      <c r="L263" s="17">
        <v>0.20349999999999999</v>
      </c>
      <c r="M263" s="17">
        <v>0.4037</v>
      </c>
      <c r="N263" s="17">
        <v>0.64910000000000001</v>
      </c>
      <c r="O263" s="17">
        <v>0.91690000000000005</v>
      </c>
      <c r="P263" s="17">
        <v>1.1879999999999999</v>
      </c>
      <c r="Q263" s="17">
        <v>1.4577</v>
      </c>
      <c r="R263" s="17">
        <v>1.7278</v>
      </c>
      <c r="S263" s="17">
        <v>1.9813000000000001</v>
      </c>
      <c r="T263" s="17">
        <v>2.2195999999999998</v>
      </c>
      <c r="U263" s="17">
        <v>2.4224999999999999</v>
      </c>
      <c r="V263" s="17">
        <v>2.5956000000000001</v>
      </c>
      <c r="W263" s="17">
        <v>2.7475000000000001</v>
      </c>
      <c r="X263" s="17">
        <v>2.8729</v>
      </c>
      <c r="Y263" s="17">
        <v>2.9619</v>
      </c>
      <c r="Z263" s="17">
        <v>3.0009000000000001</v>
      </c>
      <c r="AA263" s="17">
        <v>3.0122</v>
      </c>
      <c r="AB263" s="17">
        <v>2.9910000000000001</v>
      </c>
      <c r="AC263" s="17">
        <v>2.92</v>
      </c>
      <c r="AD263" s="17">
        <v>2.8117000000000001</v>
      </c>
      <c r="AE263" s="17">
        <v>2.6823000000000001</v>
      </c>
      <c r="AF263" s="17">
        <v>2.5184000000000002</v>
      </c>
      <c r="AG263" s="17">
        <v>2.3441999999999998</v>
      </c>
      <c r="AH263" s="17">
        <v>2.1345999999999998</v>
      </c>
      <c r="AI263" s="17">
        <v>1.8986000000000001</v>
      </c>
      <c r="AJ263" s="17">
        <v>1.6135999999999999</v>
      </c>
      <c r="AK263" s="17">
        <v>1.3468</v>
      </c>
      <c r="AL263" s="17">
        <v>1.0727</v>
      </c>
      <c r="AM263" s="17">
        <v>0.80759999999999998</v>
      </c>
      <c r="AN263" s="17">
        <v>0.55189999999999995</v>
      </c>
      <c r="AO263" s="17">
        <v>0.32229999999999998</v>
      </c>
      <c r="AP263" s="17">
        <v>9.3799999999999994E-2</v>
      </c>
      <c r="AQ263" s="17">
        <v>1.7299999999999999E-2</v>
      </c>
      <c r="AR263" s="17">
        <v>0</v>
      </c>
      <c r="AS263" s="17">
        <v>0</v>
      </c>
      <c r="AT263" s="17">
        <v>0</v>
      </c>
      <c r="AU263" s="17">
        <v>0</v>
      </c>
      <c r="AV263" s="17">
        <v>0</v>
      </c>
      <c r="AW263" s="17">
        <v>0</v>
      </c>
      <c r="AX263" s="17">
        <v>0</v>
      </c>
    </row>
    <row r="264" spans="1:50" x14ac:dyDescent="0.25">
      <c r="A264" s="8" t="s">
        <v>300</v>
      </c>
      <c r="B264" s="10" t="s">
        <v>57</v>
      </c>
      <c r="C264" s="18">
        <v>0</v>
      </c>
      <c r="D264" s="18">
        <v>0</v>
      </c>
      <c r="E264" s="18">
        <v>0</v>
      </c>
      <c r="F264" s="18">
        <v>0</v>
      </c>
      <c r="G264" s="18">
        <v>0</v>
      </c>
      <c r="H264" s="18">
        <v>0</v>
      </c>
      <c r="I264" s="18">
        <v>0</v>
      </c>
      <c r="J264" s="18">
        <v>0</v>
      </c>
      <c r="K264" s="18">
        <v>0</v>
      </c>
      <c r="L264" s="18">
        <v>0</v>
      </c>
      <c r="M264" s="18">
        <v>0</v>
      </c>
      <c r="N264" s="18">
        <v>0</v>
      </c>
      <c r="O264" s="18">
        <v>0</v>
      </c>
      <c r="P264" s="18">
        <v>0</v>
      </c>
      <c r="Q264" s="18">
        <v>0</v>
      </c>
      <c r="R264" s="18">
        <v>0</v>
      </c>
      <c r="S264" s="18">
        <v>0</v>
      </c>
      <c r="T264" s="18">
        <v>0</v>
      </c>
      <c r="U264" s="18">
        <v>0</v>
      </c>
      <c r="V264" s="18">
        <v>0</v>
      </c>
      <c r="W264" s="18">
        <v>0</v>
      </c>
      <c r="X264" s="18">
        <v>0</v>
      </c>
      <c r="Y264" s="18">
        <v>0</v>
      </c>
      <c r="Z264" s="18">
        <v>0</v>
      </c>
      <c r="AA264" s="18">
        <v>0</v>
      </c>
      <c r="AB264" s="18">
        <v>0</v>
      </c>
      <c r="AC264" s="18">
        <v>0</v>
      </c>
      <c r="AD264" s="18">
        <v>0</v>
      </c>
      <c r="AE264" s="18">
        <v>0</v>
      </c>
      <c r="AF264" s="18">
        <v>0</v>
      </c>
      <c r="AG264" s="18">
        <v>0</v>
      </c>
      <c r="AH264" s="18">
        <v>0</v>
      </c>
      <c r="AI264" s="18">
        <v>0</v>
      </c>
      <c r="AJ264" s="18">
        <v>0</v>
      </c>
      <c r="AK264" s="18">
        <v>0</v>
      </c>
      <c r="AL264" s="18">
        <v>0</v>
      </c>
      <c r="AM264" s="18">
        <v>0</v>
      </c>
      <c r="AN264" s="18">
        <v>0</v>
      </c>
      <c r="AO264" s="18">
        <v>0</v>
      </c>
      <c r="AP264" s="18">
        <v>0</v>
      </c>
      <c r="AQ264" s="18">
        <v>0</v>
      </c>
      <c r="AR264" s="18">
        <v>0</v>
      </c>
      <c r="AS264" s="18">
        <v>0</v>
      </c>
      <c r="AT264" s="18">
        <v>0</v>
      </c>
      <c r="AU264" s="18">
        <v>0</v>
      </c>
      <c r="AV264" s="18">
        <v>0</v>
      </c>
      <c r="AW264" s="18">
        <v>0</v>
      </c>
      <c r="AX264" s="18">
        <v>0</v>
      </c>
    </row>
    <row r="265" spans="1:50" x14ac:dyDescent="0.25">
      <c r="A265" s="16" t="s">
        <v>737</v>
      </c>
      <c r="B265" s="13" t="s">
        <v>464</v>
      </c>
      <c r="C265" s="17">
        <v>0</v>
      </c>
      <c r="D265" s="17">
        <v>0</v>
      </c>
      <c r="E265" s="17">
        <v>0</v>
      </c>
      <c r="F265" s="17">
        <v>0</v>
      </c>
      <c r="G265" s="17">
        <v>0</v>
      </c>
      <c r="H265" s="17">
        <v>0</v>
      </c>
      <c r="I265" s="17">
        <v>0</v>
      </c>
      <c r="J265" s="17">
        <v>1.6999999999999999E-3</v>
      </c>
      <c r="K265" s="17">
        <v>2.4899999999999999E-2</v>
      </c>
      <c r="L265" s="17">
        <v>0.1163</v>
      </c>
      <c r="M265" s="17">
        <v>0.23069999999999999</v>
      </c>
      <c r="N265" s="17">
        <v>0.37090000000000001</v>
      </c>
      <c r="O265" s="17">
        <v>0.52400000000000002</v>
      </c>
      <c r="P265" s="17">
        <v>0.67889999999999995</v>
      </c>
      <c r="Q265" s="17">
        <v>0.83299999999999996</v>
      </c>
      <c r="R265" s="17">
        <v>0.98729999999999996</v>
      </c>
      <c r="S265" s="17">
        <v>1.1322000000000001</v>
      </c>
      <c r="T265" s="17">
        <v>1.2683</v>
      </c>
      <c r="U265" s="17">
        <v>1.3843000000000001</v>
      </c>
      <c r="V265" s="17">
        <v>1.4832000000000001</v>
      </c>
      <c r="W265" s="17">
        <v>1.57</v>
      </c>
      <c r="X265" s="17">
        <v>1.6416999999999999</v>
      </c>
      <c r="Y265" s="17">
        <v>1.6924999999999999</v>
      </c>
      <c r="Z265" s="17">
        <v>1.7148000000000001</v>
      </c>
      <c r="AA265" s="17">
        <v>1.7212000000000001</v>
      </c>
      <c r="AB265" s="17">
        <v>1.7092000000000001</v>
      </c>
      <c r="AC265" s="17">
        <v>1.6686000000000001</v>
      </c>
      <c r="AD265" s="17">
        <v>1.6067</v>
      </c>
      <c r="AE265" s="17">
        <v>1.5327999999999999</v>
      </c>
      <c r="AF265" s="17">
        <v>1.4391</v>
      </c>
      <c r="AG265" s="17">
        <v>1.3395999999999999</v>
      </c>
      <c r="AH265" s="17">
        <v>1.2198</v>
      </c>
      <c r="AI265" s="17">
        <v>1.0849</v>
      </c>
      <c r="AJ265" s="17">
        <v>0.92200000000000004</v>
      </c>
      <c r="AK265" s="17">
        <v>0.76959999999999995</v>
      </c>
      <c r="AL265" s="17">
        <v>0.61299999999999999</v>
      </c>
      <c r="AM265" s="17">
        <v>0.46150000000000002</v>
      </c>
      <c r="AN265" s="17">
        <v>0.31540000000000001</v>
      </c>
      <c r="AO265" s="17">
        <v>0.1842</v>
      </c>
      <c r="AP265" s="17">
        <v>5.3600000000000002E-2</v>
      </c>
      <c r="AQ265" s="17">
        <v>9.9000000000000008E-3</v>
      </c>
      <c r="AR265" s="17">
        <v>0</v>
      </c>
      <c r="AS265" s="17">
        <v>0</v>
      </c>
      <c r="AT265" s="17">
        <v>0</v>
      </c>
      <c r="AU265" s="17">
        <v>0</v>
      </c>
      <c r="AV265" s="17">
        <v>0</v>
      </c>
      <c r="AW265" s="17">
        <v>0</v>
      </c>
      <c r="AX265" s="17">
        <v>0</v>
      </c>
    </row>
    <row r="266" spans="1:50" x14ac:dyDescent="0.25">
      <c r="A266" s="8" t="s">
        <v>302</v>
      </c>
      <c r="B266" s="10" t="s">
        <v>57</v>
      </c>
      <c r="C266" s="18">
        <v>0</v>
      </c>
      <c r="D266" s="18">
        <v>0</v>
      </c>
      <c r="E266" s="18">
        <v>0</v>
      </c>
      <c r="F266" s="18">
        <v>0</v>
      </c>
      <c r="G266" s="18">
        <v>0</v>
      </c>
      <c r="H266" s="18">
        <v>0</v>
      </c>
      <c r="I266" s="18">
        <v>0</v>
      </c>
      <c r="J266" s="18">
        <v>0</v>
      </c>
      <c r="K266" s="18">
        <v>0</v>
      </c>
      <c r="L266" s="18">
        <v>0</v>
      </c>
      <c r="M266" s="18">
        <v>0</v>
      </c>
      <c r="N266" s="18">
        <v>0</v>
      </c>
      <c r="O266" s="18">
        <v>0</v>
      </c>
      <c r="P266" s="18">
        <v>0</v>
      </c>
      <c r="Q266" s="18">
        <v>0</v>
      </c>
      <c r="R266" s="18">
        <v>0</v>
      </c>
      <c r="S266" s="18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8">
        <v>0</v>
      </c>
      <c r="Z266" s="18">
        <v>0</v>
      </c>
      <c r="AA266" s="18">
        <v>0</v>
      </c>
      <c r="AB266" s="18">
        <v>0</v>
      </c>
      <c r="AC266" s="18">
        <v>0</v>
      </c>
      <c r="AD266" s="18">
        <v>0</v>
      </c>
      <c r="AE266" s="18">
        <v>0</v>
      </c>
      <c r="AF266" s="18">
        <v>0</v>
      </c>
      <c r="AG266" s="18">
        <v>0</v>
      </c>
      <c r="AH266" s="18">
        <v>0</v>
      </c>
      <c r="AI266" s="18">
        <v>0</v>
      </c>
      <c r="AJ266" s="18">
        <v>0</v>
      </c>
      <c r="AK266" s="18">
        <v>0</v>
      </c>
      <c r="AL266" s="18">
        <v>0</v>
      </c>
      <c r="AM266" s="18">
        <v>0</v>
      </c>
      <c r="AN266" s="18">
        <v>0</v>
      </c>
      <c r="AO266" s="18">
        <v>0</v>
      </c>
      <c r="AP266" s="18">
        <v>0</v>
      </c>
      <c r="AQ266" s="18">
        <v>0</v>
      </c>
      <c r="AR266" s="18">
        <v>0</v>
      </c>
      <c r="AS266" s="18">
        <v>0</v>
      </c>
      <c r="AT266" s="18">
        <v>0</v>
      </c>
      <c r="AU266" s="18">
        <v>0</v>
      </c>
      <c r="AV266" s="18">
        <v>0</v>
      </c>
      <c r="AW266" s="18">
        <v>0</v>
      </c>
      <c r="AX266" s="18">
        <v>0</v>
      </c>
    </row>
    <row r="267" spans="1:50" x14ac:dyDescent="0.25">
      <c r="A267" s="8" t="s">
        <v>304</v>
      </c>
      <c r="B267" s="10" t="s">
        <v>57</v>
      </c>
      <c r="C267" s="18">
        <v>0</v>
      </c>
      <c r="D267" s="18">
        <v>0</v>
      </c>
      <c r="E267" s="18">
        <v>0</v>
      </c>
      <c r="F267" s="18">
        <v>0</v>
      </c>
      <c r="G267" s="18">
        <v>0</v>
      </c>
      <c r="H267" s="18">
        <v>0</v>
      </c>
      <c r="I267" s="18">
        <v>0</v>
      </c>
      <c r="J267" s="18">
        <v>0</v>
      </c>
      <c r="K267" s="18">
        <v>0</v>
      </c>
      <c r="L267" s="18">
        <v>0</v>
      </c>
      <c r="M267" s="18">
        <v>0</v>
      </c>
      <c r="N267" s="18">
        <v>0</v>
      </c>
      <c r="O267" s="18">
        <v>0</v>
      </c>
      <c r="P267" s="18">
        <v>0</v>
      </c>
      <c r="Q267" s="18">
        <v>0</v>
      </c>
      <c r="R267" s="18">
        <v>0</v>
      </c>
      <c r="S267" s="18">
        <v>0</v>
      </c>
      <c r="T267" s="18">
        <v>0</v>
      </c>
      <c r="U267" s="18">
        <v>0</v>
      </c>
      <c r="V267" s="18">
        <v>0</v>
      </c>
      <c r="W267" s="18">
        <v>0</v>
      </c>
      <c r="X267" s="18">
        <v>0</v>
      </c>
      <c r="Y267" s="18">
        <v>0</v>
      </c>
      <c r="Z267" s="18">
        <v>0</v>
      </c>
      <c r="AA267" s="18">
        <v>0</v>
      </c>
      <c r="AB267" s="18">
        <v>0</v>
      </c>
      <c r="AC267" s="18">
        <v>0</v>
      </c>
      <c r="AD267" s="18">
        <v>0</v>
      </c>
      <c r="AE267" s="18">
        <v>0</v>
      </c>
      <c r="AF267" s="18">
        <v>0</v>
      </c>
      <c r="AG267" s="18">
        <v>0</v>
      </c>
      <c r="AH267" s="18">
        <v>0</v>
      </c>
      <c r="AI267" s="18">
        <v>0</v>
      </c>
      <c r="AJ267" s="18">
        <v>0</v>
      </c>
      <c r="AK267" s="18">
        <v>0</v>
      </c>
      <c r="AL267" s="18">
        <v>0</v>
      </c>
      <c r="AM267" s="18">
        <v>0</v>
      </c>
      <c r="AN267" s="18">
        <v>0</v>
      </c>
      <c r="AO267" s="18">
        <v>0</v>
      </c>
      <c r="AP267" s="18">
        <v>0</v>
      </c>
      <c r="AQ267" s="18">
        <v>0</v>
      </c>
      <c r="AR267" s="18">
        <v>0</v>
      </c>
      <c r="AS267" s="18">
        <v>0</v>
      </c>
      <c r="AT267" s="18">
        <v>0</v>
      </c>
      <c r="AU267" s="18">
        <v>0</v>
      </c>
      <c r="AV267" s="18">
        <v>0</v>
      </c>
      <c r="AW267" s="18">
        <v>0</v>
      </c>
      <c r="AX267" s="18">
        <v>0</v>
      </c>
    </row>
    <row r="268" spans="1:50" x14ac:dyDescent="0.25">
      <c r="A268" s="16" t="s">
        <v>739</v>
      </c>
      <c r="B268" s="13" t="s">
        <v>464</v>
      </c>
      <c r="C268" s="17">
        <v>0</v>
      </c>
      <c r="D268" s="17">
        <v>0</v>
      </c>
      <c r="E268" s="17">
        <v>0</v>
      </c>
      <c r="F268" s="17">
        <v>0</v>
      </c>
      <c r="G268" s="17">
        <v>0</v>
      </c>
      <c r="H268" s="17">
        <v>0</v>
      </c>
      <c r="I268" s="17">
        <v>0</v>
      </c>
      <c r="J268" s="17">
        <v>2.5999999999999999E-3</v>
      </c>
      <c r="K268" s="17">
        <v>3.73E-2</v>
      </c>
      <c r="L268" s="17">
        <v>0.1744</v>
      </c>
      <c r="M268" s="17">
        <v>0.34599999999999997</v>
      </c>
      <c r="N268" s="17">
        <v>0.55640000000000001</v>
      </c>
      <c r="O268" s="17">
        <v>0.78590000000000004</v>
      </c>
      <c r="P268" s="17">
        <v>1.0183</v>
      </c>
      <c r="Q268" s="17">
        <v>1.2495000000000001</v>
      </c>
      <c r="R268" s="17">
        <v>1.4810000000000001</v>
      </c>
      <c r="S268" s="17">
        <v>1.6981999999999999</v>
      </c>
      <c r="T268" s="17">
        <v>1.9025000000000001</v>
      </c>
      <c r="U268" s="17">
        <v>2.0764</v>
      </c>
      <c r="V268" s="17">
        <v>2.2248000000000001</v>
      </c>
      <c r="W268" s="17">
        <v>2.355</v>
      </c>
      <c r="X268" s="17">
        <v>2.4624999999999999</v>
      </c>
      <c r="Y268" s="17">
        <v>2.5387</v>
      </c>
      <c r="Z268" s="17">
        <v>2.5722</v>
      </c>
      <c r="AA268" s="17">
        <v>2.5819000000000001</v>
      </c>
      <c r="AB268" s="17">
        <v>2.5636999999999999</v>
      </c>
      <c r="AC268" s="17">
        <v>2.5028999999999999</v>
      </c>
      <c r="AD268" s="17">
        <v>2.41</v>
      </c>
      <c r="AE268" s="17">
        <v>2.2991000000000001</v>
      </c>
      <c r="AF268" s="17">
        <v>2.1585999999999999</v>
      </c>
      <c r="AG268" s="17">
        <v>2.0093000000000001</v>
      </c>
      <c r="AH268" s="17">
        <v>1.8297000000000001</v>
      </c>
      <c r="AI268" s="17">
        <v>1.6274</v>
      </c>
      <c r="AJ268" s="17">
        <v>1.3831</v>
      </c>
      <c r="AK268" s="17">
        <v>1.1544000000000001</v>
      </c>
      <c r="AL268" s="17">
        <v>0.91949999999999998</v>
      </c>
      <c r="AM268" s="17">
        <v>0.69220000000000004</v>
      </c>
      <c r="AN268" s="17">
        <v>0.47310000000000002</v>
      </c>
      <c r="AO268" s="17">
        <v>0.2762</v>
      </c>
      <c r="AP268" s="17">
        <v>8.0399999999999999E-2</v>
      </c>
      <c r="AQ268" s="17">
        <v>1.4800000000000001E-2</v>
      </c>
      <c r="AR268" s="17">
        <v>0</v>
      </c>
      <c r="AS268" s="17">
        <v>0</v>
      </c>
      <c r="AT268" s="17">
        <v>0</v>
      </c>
      <c r="AU268" s="17">
        <v>0</v>
      </c>
      <c r="AV268" s="17">
        <v>0</v>
      </c>
      <c r="AW268" s="17">
        <v>0</v>
      </c>
      <c r="AX268" s="17">
        <v>0</v>
      </c>
    </row>
    <row r="269" spans="1:50" x14ac:dyDescent="0.25">
      <c r="A269" s="8" t="s">
        <v>306</v>
      </c>
      <c r="B269" s="10" t="s">
        <v>57</v>
      </c>
      <c r="C269" s="18">
        <v>0</v>
      </c>
      <c r="D269" s="18">
        <v>0</v>
      </c>
      <c r="E269" s="18">
        <v>0</v>
      </c>
      <c r="F269" s="18">
        <v>0</v>
      </c>
      <c r="G269" s="18">
        <v>0</v>
      </c>
      <c r="H269" s="18">
        <v>0</v>
      </c>
      <c r="I269" s="18">
        <v>0</v>
      </c>
      <c r="J269" s="18">
        <v>0</v>
      </c>
      <c r="K269" s="18">
        <v>0</v>
      </c>
      <c r="L269" s="18">
        <v>0</v>
      </c>
      <c r="M269" s="18">
        <v>0</v>
      </c>
      <c r="N269" s="18">
        <v>0</v>
      </c>
      <c r="O269" s="18">
        <v>0</v>
      </c>
      <c r="P269" s="18">
        <v>0</v>
      </c>
      <c r="Q269" s="18">
        <v>0</v>
      </c>
      <c r="R269" s="18">
        <v>0</v>
      </c>
      <c r="S269" s="18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8">
        <v>0</v>
      </c>
      <c r="Z269" s="18">
        <v>0</v>
      </c>
      <c r="AA269" s="18">
        <v>0</v>
      </c>
      <c r="AB269" s="18">
        <v>0</v>
      </c>
      <c r="AC269" s="18">
        <v>0</v>
      </c>
      <c r="AD269" s="18">
        <v>0</v>
      </c>
      <c r="AE269" s="18">
        <v>0</v>
      </c>
      <c r="AF269" s="18">
        <v>0</v>
      </c>
      <c r="AG269" s="18">
        <v>0</v>
      </c>
      <c r="AH269" s="18">
        <v>0</v>
      </c>
      <c r="AI269" s="18">
        <v>0</v>
      </c>
      <c r="AJ269" s="18">
        <v>0</v>
      </c>
      <c r="AK269" s="18">
        <v>0</v>
      </c>
      <c r="AL269" s="18">
        <v>0</v>
      </c>
      <c r="AM269" s="18">
        <v>0</v>
      </c>
      <c r="AN269" s="18">
        <v>0</v>
      </c>
      <c r="AO269" s="18">
        <v>0</v>
      </c>
      <c r="AP269" s="18">
        <v>0</v>
      </c>
      <c r="AQ269" s="18">
        <v>0</v>
      </c>
      <c r="AR269" s="18">
        <v>0</v>
      </c>
      <c r="AS269" s="18">
        <v>0</v>
      </c>
      <c r="AT269" s="18">
        <v>0</v>
      </c>
      <c r="AU269" s="18">
        <v>0</v>
      </c>
      <c r="AV269" s="18">
        <v>0</v>
      </c>
      <c r="AW269" s="18">
        <v>0</v>
      </c>
      <c r="AX269" s="18">
        <v>0</v>
      </c>
    </row>
    <row r="270" spans="1:50" x14ac:dyDescent="0.25">
      <c r="A270" s="16" t="s">
        <v>741</v>
      </c>
      <c r="B270" s="13" t="s">
        <v>464</v>
      </c>
      <c r="C270" s="17">
        <v>0</v>
      </c>
      <c r="D270" s="17">
        <v>0</v>
      </c>
      <c r="E270" s="17">
        <v>0</v>
      </c>
      <c r="F270" s="17">
        <v>0</v>
      </c>
      <c r="G270" s="17">
        <v>0</v>
      </c>
      <c r="H270" s="17">
        <v>0</v>
      </c>
      <c r="I270" s="17">
        <v>0</v>
      </c>
      <c r="J270" s="17">
        <v>3.3999999999999998E-3</v>
      </c>
      <c r="K270" s="17">
        <v>4.9700000000000001E-2</v>
      </c>
      <c r="L270" s="17">
        <v>0.2326</v>
      </c>
      <c r="M270" s="17">
        <v>0.46129999999999999</v>
      </c>
      <c r="N270" s="17">
        <v>0.7419</v>
      </c>
      <c r="O270" s="17">
        <v>1.0479000000000001</v>
      </c>
      <c r="P270" s="17">
        <v>1.3576999999999999</v>
      </c>
      <c r="Q270" s="17">
        <v>1.6659999999999999</v>
      </c>
      <c r="R270" s="17">
        <v>1.9745999999999999</v>
      </c>
      <c r="S270" s="17">
        <v>2.2643</v>
      </c>
      <c r="T270" s="17">
        <v>2.5367000000000002</v>
      </c>
      <c r="U270" s="17">
        <v>2.7686000000000002</v>
      </c>
      <c r="V270" s="17">
        <v>2.9664000000000001</v>
      </c>
      <c r="W270" s="17">
        <v>3.14</v>
      </c>
      <c r="X270" s="17">
        <v>3.2833000000000001</v>
      </c>
      <c r="Y270" s="17">
        <v>3.3849999999999998</v>
      </c>
      <c r="Z270" s="17">
        <v>3.4296000000000002</v>
      </c>
      <c r="AA270" s="17">
        <v>3.4424999999999999</v>
      </c>
      <c r="AB270" s="17">
        <v>3.4182999999999999</v>
      </c>
      <c r="AC270" s="17">
        <v>3.3372000000000002</v>
      </c>
      <c r="AD270" s="17">
        <v>3.2132999999999998</v>
      </c>
      <c r="AE270" s="17">
        <v>3.0655000000000001</v>
      </c>
      <c r="AF270" s="17">
        <v>2.8782000000000001</v>
      </c>
      <c r="AG270" s="17">
        <v>2.6791</v>
      </c>
      <c r="AH270" s="17">
        <v>2.4396</v>
      </c>
      <c r="AI270" s="17">
        <v>2.1698</v>
      </c>
      <c r="AJ270" s="17">
        <v>1.8441000000000001</v>
      </c>
      <c r="AK270" s="17">
        <v>1.5391999999999999</v>
      </c>
      <c r="AL270" s="17">
        <v>1.2259</v>
      </c>
      <c r="AM270" s="17">
        <v>0.92290000000000005</v>
      </c>
      <c r="AN270" s="17">
        <v>0.63080000000000003</v>
      </c>
      <c r="AO270" s="17">
        <v>0.36830000000000002</v>
      </c>
      <c r="AP270" s="17">
        <v>0.1072</v>
      </c>
      <c r="AQ270" s="17">
        <v>1.9800000000000002E-2</v>
      </c>
      <c r="AR270" s="17">
        <v>0</v>
      </c>
      <c r="AS270" s="17">
        <v>0</v>
      </c>
      <c r="AT270" s="17">
        <v>0</v>
      </c>
      <c r="AU270" s="17">
        <v>0</v>
      </c>
      <c r="AV270" s="17">
        <v>0</v>
      </c>
      <c r="AW270" s="17">
        <v>0</v>
      </c>
      <c r="AX270" s="17">
        <v>0</v>
      </c>
    </row>
    <row r="271" spans="1:50" x14ac:dyDescent="0.25">
      <c r="A271" s="8" t="s">
        <v>308</v>
      </c>
      <c r="B271" s="10" t="s">
        <v>57</v>
      </c>
      <c r="C271" s="18">
        <v>0</v>
      </c>
      <c r="D271" s="18">
        <v>0</v>
      </c>
      <c r="E271" s="18">
        <v>0</v>
      </c>
      <c r="F271" s="18">
        <v>0</v>
      </c>
      <c r="G271" s="18">
        <v>0</v>
      </c>
      <c r="H271" s="18">
        <v>0</v>
      </c>
      <c r="I271" s="18">
        <v>0</v>
      </c>
      <c r="J271" s="18">
        <v>0</v>
      </c>
      <c r="K271" s="18">
        <v>0</v>
      </c>
      <c r="L271" s="18">
        <v>0</v>
      </c>
      <c r="M271" s="18">
        <v>0</v>
      </c>
      <c r="N271" s="18">
        <v>0</v>
      </c>
      <c r="O271" s="18">
        <v>0</v>
      </c>
      <c r="P271" s="18">
        <v>0</v>
      </c>
      <c r="Q271" s="18">
        <v>0</v>
      </c>
      <c r="R271" s="18">
        <v>0</v>
      </c>
      <c r="S271" s="18">
        <v>0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8">
        <v>0</v>
      </c>
      <c r="Z271" s="18">
        <v>0</v>
      </c>
      <c r="AA271" s="18">
        <v>0</v>
      </c>
      <c r="AB271" s="18">
        <v>0</v>
      </c>
      <c r="AC271" s="18">
        <v>0</v>
      </c>
      <c r="AD271" s="18">
        <v>0</v>
      </c>
      <c r="AE271" s="18">
        <v>0</v>
      </c>
      <c r="AF271" s="18">
        <v>0</v>
      </c>
      <c r="AG271" s="18">
        <v>0</v>
      </c>
      <c r="AH271" s="18">
        <v>0</v>
      </c>
      <c r="AI271" s="18">
        <v>0</v>
      </c>
      <c r="AJ271" s="18">
        <v>0</v>
      </c>
      <c r="AK271" s="18">
        <v>0</v>
      </c>
      <c r="AL271" s="18">
        <v>0</v>
      </c>
      <c r="AM271" s="18">
        <v>0</v>
      </c>
      <c r="AN271" s="18">
        <v>0</v>
      </c>
      <c r="AO271" s="18">
        <v>0</v>
      </c>
      <c r="AP271" s="18">
        <v>0</v>
      </c>
      <c r="AQ271" s="18">
        <v>0</v>
      </c>
      <c r="AR271" s="18">
        <v>0</v>
      </c>
      <c r="AS271" s="18">
        <v>0</v>
      </c>
      <c r="AT271" s="18">
        <v>0</v>
      </c>
      <c r="AU271" s="18">
        <v>0</v>
      </c>
      <c r="AV271" s="18">
        <v>0</v>
      </c>
      <c r="AW271" s="18">
        <v>0</v>
      </c>
      <c r="AX271" s="18">
        <v>0</v>
      </c>
    </row>
    <row r="272" spans="1:50" x14ac:dyDescent="0.25">
      <c r="A272" s="8" t="s">
        <v>310</v>
      </c>
      <c r="B272" s="10" t="s">
        <v>57</v>
      </c>
      <c r="C272" s="18">
        <v>0</v>
      </c>
      <c r="D272" s="18">
        <v>0</v>
      </c>
      <c r="E272" s="18">
        <v>0</v>
      </c>
      <c r="F272" s="18">
        <v>0</v>
      </c>
      <c r="G272" s="18">
        <v>0</v>
      </c>
      <c r="H272" s="18">
        <v>0</v>
      </c>
      <c r="I272" s="18">
        <v>0</v>
      </c>
      <c r="J272" s="18">
        <v>0</v>
      </c>
      <c r="K272" s="18">
        <v>0</v>
      </c>
      <c r="L272" s="18">
        <v>0</v>
      </c>
      <c r="M272" s="18">
        <v>0</v>
      </c>
      <c r="N272" s="18">
        <v>0</v>
      </c>
      <c r="O272" s="18">
        <v>0</v>
      </c>
      <c r="P272" s="18">
        <v>0</v>
      </c>
      <c r="Q272" s="18">
        <v>0</v>
      </c>
      <c r="R272" s="18">
        <v>0</v>
      </c>
      <c r="S272" s="18">
        <v>0</v>
      </c>
      <c r="T272" s="18">
        <v>0</v>
      </c>
      <c r="U272" s="18">
        <v>0</v>
      </c>
      <c r="V272" s="18">
        <v>0</v>
      </c>
      <c r="W272" s="18">
        <v>0</v>
      </c>
      <c r="X272" s="18">
        <v>0</v>
      </c>
      <c r="Y272" s="18">
        <v>0</v>
      </c>
      <c r="Z272" s="18">
        <v>0</v>
      </c>
      <c r="AA272" s="18">
        <v>0</v>
      </c>
      <c r="AB272" s="18">
        <v>0</v>
      </c>
      <c r="AC272" s="18">
        <v>0</v>
      </c>
      <c r="AD272" s="18">
        <v>0</v>
      </c>
      <c r="AE272" s="18">
        <v>0</v>
      </c>
      <c r="AF272" s="18">
        <v>0</v>
      </c>
      <c r="AG272" s="18">
        <v>0</v>
      </c>
      <c r="AH272" s="18">
        <v>0</v>
      </c>
      <c r="AI272" s="18">
        <v>0</v>
      </c>
      <c r="AJ272" s="18">
        <v>0</v>
      </c>
      <c r="AK272" s="18">
        <v>0</v>
      </c>
      <c r="AL272" s="18">
        <v>0</v>
      </c>
      <c r="AM272" s="18">
        <v>0</v>
      </c>
      <c r="AN272" s="18">
        <v>0</v>
      </c>
      <c r="AO272" s="18">
        <v>0</v>
      </c>
      <c r="AP272" s="18">
        <v>0</v>
      </c>
      <c r="AQ272" s="18">
        <v>0</v>
      </c>
      <c r="AR272" s="18">
        <v>0</v>
      </c>
      <c r="AS272" s="18">
        <v>0</v>
      </c>
      <c r="AT272" s="18">
        <v>0</v>
      </c>
      <c r="AU272" s="18">
        <v>0</v>
      </c>
      <c r="AV272" s="18">
        <v>0</v>
      </c>
      <c r="AW272" s="18">
        <v>0</v>
      </c>
      <c r="AX272" s="18">
        <v>0</v>
      </c>
    </row>
    <row r="273" spans="1:50" x14ac:dyDescent="0.25">
      <c r="A273" s="16" t="s">
        <v>743</v>
      </c>
      <c r="B273" s="13" t="s">
        <v>464</v>
      </c>
      <c r="C273" s="17">
        <v>0</v>
      </c>
      <c r="D273" s="17">
        <v>0</v>
      </c>
      <c r="E273" s="17">
        <v>0</v>
      </c>
      <c r="F273" s="17">
        <v>0</v>
      </c>
      <c r="G273" s="17">
        <v>0</v>
      </c>
      <c r="H273" s="17">
        <v>0</v>
      </c>
      <c r="I273" s="17">
        <v>0</v>
      </c>
      <c r="J273" s="17">
        <v>2.2000000000000001E-3</v>
      </c>
      <c r="K273" s="17">
        <v>3.1099999999999999E-2</v>
      </c>
      <c r="L273" s="17">
        <v>0.1454</v>
      </c>
      <c r="M273" s="17">
        <v>0.2883</v>
      </c>
      <c r="N273" s="17">
        <v>0.4637</v>
      </c>
      <c r="O273" s="17">
        <v>0.65490000000000004</v>
      </c>
      <c r="P273" s="17">
        <v>0.84860000000000002</v>
      </c>
      <c r="Q273" s="17">
        <v>1.0411999999999999</v>
      </c>
      <c r="R273" s="17">
        <v>1.2341</v>
      </c>
      <c r="S273" s="17">
        <v>1.4152</v>
      </c>
      <c r="T273" s="17">
        <v>1.5853999999999999</v>
      </c>
      <c r="U273" s="17">
        <v>1.7303999999999999</v>
      </c>
      <c r="V273" s="17">
        <v>1.8540000000000001</v>
      </c>
      <c r="W273" s="17">
        <v>1.9624999999999999</v>
      </c>
      <c r="X273" s="17">
        <v>2.0520999999999998</v>
      </c>
      <c r="Y273" s="17">
        <v>2.1156000000000001</v>
      </c>
      <c r="Z273" s="17">
        <v>2.1435</v>
      </c>
      <c r="AA273" s="17">
        <v>2.1516000000000002</v>
      </c>
      <c r="AB273" s="17">
        <v>2.1364999999999998</v>
      </c>
      <c r="AC273" s="17">
        <v>2.0857000000000001</v>
      </c>
      <c r="AD273" s="17">
        <v>2.0083000000000002</v>
      </c>
      <c r="AE273" s="17">
        <v>1.9158999999999999</v>
      </c>
      <c r="AF273" s="17">
        <v>1.7988999999999999</v>
      </c>
      <c r="AG273" s="17">
        <v>1.6745000000000001</v>
      </c>
      <c r="AH273" s="17">
        <v>1.5246999999999999</v>
      </c>
      <c r="AI273" s="17">
        <v>1.3561000000000001</v>
      </c>
      <c r="AJ273" s="17">
        <v>1.1525000000000001</v>
      </c>
      <c r="AK273" s="17">
        <v>0.96199999999999997</v>
      </c>
      <c r="AL273" s="17">
        <v>0.76619999999999999</v>
      </c>
      <c r="AM273" s="17">
        <v>0.57679999999999998</v>
      </c>
      <c r="AN273" s="17">
        <v>0.39419999999999999</v>
      </c>
      <c r="AO273" s="17">
        <v>0.23019999999999999</v>
      </c>
      <c r="AP273" s="17">
        <v>6.7000000000000004E-2</v>
      </c>
      <c r="AQ273" s="17">
        <v>1.24E-2</v>
      </c>
      <c r="AR273" s="17">
        <v>0</v>
      </c>
      <c r="AS273" s="17">
        <v>0</v>
      </c>
      <c r="AT273" s="17">
        <v>0</v>
      </c>
      <c r="AU273" s="17">
        <v>0</v>
      </c>
      <c r="AV273" s="17">
        <v>0</v>
      </c>
      <c r="AW273" s="17">
        <v>0</v>
      </c>
      <c r="AX273" s="17">
        <v>0</v>
      </c>
    </row>
    <row r="274" spans="1:50" x14ac:dyDescent="0.25">
      <c r="A274" s="8" t="s">
        <v>312</v>
      </c>
      <c r="B274" s="10" t="s">
        <v>57</v>
      </c>
      <c r="C274" s="18">
        <v>0</v>
      </c>
      <c r="D274" s="18">
        <v>0</v>
      </c>
      <c r="E274" s="18">
        <v>0</v>
      </c>
      <c r="F274" s="18">
        <v>0</v>
      </c>
      <c r="G274" s="18">
        <v>0</v>
      </c>
      <c r="H274" s="18">
        <v>0</v>
      </c>
      <c r="I274" s="18">
        <v>0</v>
      </c>
      <c r="J274" s="18">
        <v>0</v>
      </c>
      <c r="K274" s="18">
        <v>0</v>
      </c>
      <c r="L274" s="18">
        <v>0</v>
      </c>
      <c r="M274" s="18">
        <v>0</v>
      </c>
      <c r="N274" s="18">
        <v>0</v>
      </c>
      <c r="O274" s="18">
        <v>0</v>
      </c>
      <c r="P274" s="18">
        <v>0</v>
      </c>
      <c r="Q274" s="18">
        <v>0</v>
      </c>
      <c r="R274" s="18">
        <v>0</v>
      </c>
      <c r="S274" s="18">
        <v>0</v>
      </c>
      <c r="T274" s="18">
        <v>0</v>
      </c>
      <c r="U274" s="18">
        <v>0</v>
      </c>
      <c r="V274" s="18">
        <v>0</v>
      </c>
      <c r="W274" s="18">
        <v>0</v>
      </c>
      <c r="X274" s="18">
        <v>0</v>
      </c>
      <c r="Y274" s="18">
        <v>0</v>
      </c>
      <c r="Z274" s="18">
        <v>0</v>
      </c>
      <c r="AA274" s="18">
        <v>0</v>
      </c>
      <c r="AB274" s="18">
        <v>0</v>
      </c>
      <c r="AC274" s="18">
        <v>0</v>
      </c>
      <c r="AD274" s="18">
        <v>0</v>
      </c>
      <c r="AE274" s="18">
        <v>0</v>
      </c>
      <c r="AF274" s="18">
        <v>0</v>
      </c>
      <c r="AG274" s="18">
        <v>0</v>
      </c>
      <c r="AH274" s="18">
        <v>0</v>
      </c>
      <c r="AI274" s="18">
        <v>0</v>
      </c>
      <c r="AJ274" s="18">
        <v>0</v>
      </c>
      <c r="AK274" s="18">
        <v>0</v>
      </c>
      <c r="AL274" s="18">
        <v>0</v>
      </c>
      <c r="AM274" s="18">
        <v>0</v>
      </c>
      <c r="AN274" s="18">
        <v>0</v>
      </c>
      <c r="AO274" s="18">
        <v>0</v>
      </c>
      <c r="AP274" s="18">
        <v>0</v>
      </c>
      <c r="AQ274" s="18">
        <v>0</v>
      </c>
      <c r="AR274" s="18">
        <v>0</v>
      </c>
      <c r="AS274" s="18">
        <v>0</v>
      </c>
      <c r="AT274" s="18">
        <v>0</v>
      </c>
      <c r="AU274" s="18">
        <v>0</v>
      </c>
      <c r="AV274" s="18">
        <v>0</v>
      </c>
      <c r="AW274" s="18">
        <v>0</v>
      </c>
      <c r="AX274" s="18">
        <v>0</v>
      </c>
    </row>
    <row r="275" spans="1:50" x14ac:dyDescent="0.25">
      <c r="A275" s="8" t="s">
        <v>314</v>
      </c>
      <c r="B275" s="10" t="s">
        <v>57</v>
      </c>
      <c r="C275" s="18">
        <v>0</v>
      </c>
      <c r="D275" s="18">
        <v>0</v>
      </c>
      <c r="E275" s="18">
        <v>0</v>
      </c>
      <c r="F275" s="18">
        <v>0</v>
      </c>
      <c r="G275" s="18">
        <v>0</v>
      </c>
      <c r="H275" s="18">
        <v>0</v>
      </c>
      <c r="I275" s="18">
        <v>0</v>
      </c>
      <c r="J275" s="18">
        <v>0</v>
      </c>
      <c r="K275" s="18">
        <v>0</v>
      </c>
      <c r="L275" s="18">
        <v>0</v>
      </c>
      <c r="M275" s="18">
        <v>0</v>
      </c>
      <c r="N275" s="18">
        <v>0</v>
      </c>
      <c r="O275" s="18">
        <v>0</v>
      </c>
      <c r="P275" s="18">
        <v>0</v>
      </c>
      <c r="Q275" s="18">
        <v>0</v>
      </c>
      <c r="R275" s="18">
        <v>0</v>
      </c>
      <c r="S275" s="18">
        <v>0</v>
      </c>
      <c r="T275" s="18">
        <v>0</v>
      </c>
      <c r="U275" s="18">
        <v>0</v>
      </c>
      <c r="V275" s="18">
        <v>0</v>
      </c>
      <c r="W275" s="18">
        <v>0</v>
      </c>
      <c r="X275" s="18">
        <v>0</v>
      </c>
      <c r="Y275" s="18">
        <v>0</v>
      </c>
      <c r="Z275" s="18">
        <v>0</v>
      </c>
      <c r="AA275" s="18">
        <v>0</v>
      </c>
      <c r="AB275" s="18">
        <v>0</v>
      </c>
      <c r="AC275" s="18">
        <v>0</v>
      </c>
      <c r="AD275" s="18">
        <v>0</v>
      </c>
      <c r="AE275" s="18">
        <v>0</v>
      </c>
      <c r="AF275" s="18">
        <v>0</v>
      </c>
      <c r="AG275" s="18">
        <v>0</v>
      </c>
      <c r="AH275" s="18">
        <v>0</v>
      </c>
      <c r="AI275" s="18">
        <v>0</v>
      </c>
      <c r="AJ275" s="18">
        <v>0</v>
      </c>
      <c r="AK275" s="18">
        <v>0</v>
      </c>
      <c r="AL275" s="18">
        <v>0</v>
      </c>
      <c r="AM275" s="18">
        <v>0</v>
      </c>
      <c r="AN275" s="18">
        <v>0</v>
      </c>
      <c r="AO275" s="18">
        <v>0</v>
      </c>
      <c r="AP275" s="18">
        <v>0</v>
      </c>
      <c r="AQ275" s="18">
        <v>0</v>
      </c>
      <c r="AR275" s="18">
        <v>0</v>
      </c>
      <c r="AS275" s="18">
        <v>0</v>
      </c>
      <c r="AT275" s="18">
        <v>0</v>
      </c>
      <c r="AU275" s="18">
        <v>0</v>
      </c>
      <c r="AV275" s="18">
        <v>0</v>
      </c>
      <c r="AW275" s="18">
        <v>0</v>
      </c>
      <c r="AX275" s="18">
        <v>0</v>
      </c>
    </row>
    <row r="276" spans="1:50" x14ac:dyDescent="0.25">
      <c r="A276" s="16" t="s">
        <v>745</v>
      </c>
      <c r="B276" s="13" t="s">
        <v>464</v>
      </c>
      <c r="C276" s="17">
        <v>0</v>
      </c>
      <c r="D276" s="17">
        <v>0</v>
      </c>
      <c r="E276" s="17">
        <v>0</v>
      </c>
      <c r="F276" s="17">
        <v>0</v>
      </c>
      <c r="G276" s="17">
        <v>0</v>
      </c>
      <c r="H276" s="17">
        <v>0</v>
      </c>
      <c r="I276" s="17">
        <v>0</v>
      </c>
      <c r="J276" s="17">
        <v>1.6999999999999999E-3</v>
      </c>
      <c r="K276" s="17">
        <v>2.4899999999999999E-2</v>
      </c>
      <c r="L276" s="17">
        <v>0.1163</v>
      </c>
      <c r="M276" s="17">
        <v>0.23069999999999999</v>
      </c>
      <c r="N276" s="17">
        <v>0.37090000000000001</v>
      </c>
      <c r="O276" s="17">
        <v>0.52400000000000002</v>
      </c>
      <c r="P276" s="17">
        <v>0.67889999999999995</v>
      </c>
      <c r="Q276" s="17">
        <v>0.83299999999999996</v>
      </c>
      <c r="R276" s="17">
        <v>0.98729999999999996</v>
      </c>
      <c r="S276" s="17">
        <v>1.1322000000000001</v>
      </c>
      <c r="T276" s="17">
        <v>1.2683</v>
      </c>
      <c r="U276" s="17">
        <v>1.3843000000000001</v>
      </c>
      <c r="V276" s="17">
        <v>1.4832000000000001</v>
      </c>
      <c r="W276" s="17">
        <v>1.57</v>
      </c>
      <c r="X276" s="17">
        <v>1.6416999999999999</v>
      </c>
      <c r="Y276" s="17">
        <v>1.6924999999999999</v>
      </c>
      <c r="Z276" s="17">
        <v>1.7148000000000001</v>
      </c>
      <c r="AA276" s="17">
        <v>1.7212000000000001</v>
      </c>
      <c r="AB276" s="17">
        <v>1.7092000000000001</v>
      </c>
      <c r="AC276" s="17">
        <v>1.6686000000000001</v>
      </c>
      <c r="AD276" s="17">
        <v>1.6067</v>
      </c>
      <c r="AE276" s="17">
        <v>1.5327999999999999</v>
      </c>
      <c r="AF276" s="17">
        <v>1.4391</v>
      </c>
      <c r="AG276" s="17">
        <v>1.3395999999999999</v>
      </c>
      <c r="AH276" s="17">
        <v>1.2198</v>
      </c>
      <c r="AI276" s="17">
        <v>1.0849</v>
      </c>
      <c r="AJ276" s="17">
        <v>0.92200000000000004</v>
      </c>
      <c r="AK276" s="17">
        <v>0.76959999999999995</v>
      </c>
      <c r="AL276" s="17">
        <v>0.61299999999999999</v>
      </c>
      <c r="AM276" s="17">
        <v>0.46150000000000002</v>
      </c>
      <c r="AN276" s="17">
        <v>0.31540000000000001</v>
      </c>
      <c r="AO276" s="17">
        <v>0.1842</v>
      </c>
      <c r="AP276" s="17">
        <v>5.3600000000000002E-2</v>
      </c>
      <c r="AQ276" s="17">
        <v>9.9000000000000008E-3</v>
      </c>
      <c r="AR276" s="17">
        <v>0</v>
      </c>
      <c r="AS276" s="17">
        <v>0</v>
      </c>
      <c r="AT276" s="17">
        <v>0</v>
      </c>
      <c r="AU276" s="17">
        <v>0</v>
      </c>
      <c r="AV276" s="17">
        <v>0</v>
      </c>
      <c r="AW276" s="17">
        <v>0</v>
      </c>
      <c r="AX276" s="17">
        <v>0</v>
      </c>
    </row>
    <row r="277" spans="1:50" x14ac:dyDescent="0.25">
      <c r="A277" s="16" t="s">
        <v>747</v>
      </c>
      <c r="B277" s="13" t="s">
        <v>464</v>
      </c>
      <c r="C277" s="17">
        <v>0</v>
      </c>
      <c r="D277" s="17">
        <v>0</v>
      </c>
      <c r="E277" s="17">
        <v>0</v>
      </c>
      <c r="F277" s="17">
        <v>0</v>
      </c>
      <c r="G277" s="17">
        <v>0</v>
      </c>
      <c r="H277" s="17">
        <v>0</v>
      </c>
      <c r="I277" s="17">
        <v>0</v>
      </c>
      <c r="J277" s="17">
        <v>3.3999999999999998E-3</v>
      </c>
      <c r="K277" s="17">
        <v>4.9700000000000001E-2</v>
      </c>
      <c r="L277" s="17">
        <v>0.2326</v>
      </c>
      <c r="M277" s="17">
        <v>0.46129999999999999</v>
      </c>
      <c r="N277" s="17">
        <v>0.7419</v>
      </c>
      <c r="O277" s="17">
        <v>1.0479000000000001</v>
      </c>
      <c r="P277" s="17">
        <v>1.3576999999999999</v>
      </c>
      <c r="Q277" s="17">
        <v>1.6659999999999999</v>
      </c>
      <c r="R277" s="17">
        <v>1.9745999999999999</v>
      </c>
      <c r="S277" s="17">
        <v>2.2643</v>
      </c>
      <c r="T277" s="17">
        <v>2.5367000000000002</v>
      </c>
      <c r="U277" s="17">
        <v>2.7686000000000002</v>
      </c>
      <c r="V277" s="17">
        <v>2.9664000000000001</v>
      </c>
      <c r="W277" s="17">
        <v>3.14</v>
      </c>
      <c r="X277" s="17">
        <v>3.2833000000000001</v>
      </c>
      <c r="Y277" s="17">
        <v>3.3849999999999998</v>
      </c>
      <c r="Z277" s="17">
        <v>3.4296000000000002</v>
      </c>
      <c r="AA277" s="17">
        <v>3.4424999999999999</v>
      </c>
      <c r="AB277" s="17">
        <v>3.4182999999999999</v>
      </c>
      <c r="AC277" s="17">
        <v>3.3372000000000002</v>
      </c>
      <c r="AD277" s="17">
        <v>3.2132999999999998</v>
      </c>
      <c r="AE277" s="17">
        <v>3.0655000000000001</v>
      </c>
      <c r="AF277" s="17">
        <v>2.8782000000000001</v>
      </c>
      <c r="AG277" s="17">
        <v>2.6791</v>
      </c>
      <c r="AH277" s="17">
        <v>2.4396</v>
      </c>
      <c r="AI277" s="17">
        <v>2.1698</v>
      </c>
      <c r="AJ277" s="17">
        <v>1.8441000000000001</v>
      </c>
      <c r="AK277" s="17">
        <v>1.5391999999999999</v>
      </c>
      <c r="AL277" s="17">
        <v>1.2259</v>
      </c>
      <c r="AM277" s="17">
        <v>0.92290000000000005</v>
      </c>
      <c r="AN277" s="17">
        <v>0.63080000000000003</v>
      </c>
      <c r="AO277" s="17">
        <v>0.36830000000000002</v>
      </c>
      <c r="AP277" s="17">
        <v>0.1072</v>
      </c>
      <c r="AQ277" s="17">
        <v>1.9800000000000002E-2</v>
      </c>
      <c r="AR277" s="17">
        <v>0</v>
      </c>
      <c r="AS277" s="17">
        <v>0</v>
      </c>
      <c r="AT277" s="17">
        <v>0</v>
      </c>
      <c r="AU277" s="17">
        <v>0</v>
      </c>
      <c r="AV277" s="17">
        <v>0</v>
      </c>
      <c r="AW277" s="17">
        <v>0</v>
      </c>
      <c r="AX277" s="17">
        <v>0</v>
      </c>
    </row>
    <row r="278" spans="1:50" x14ac:dyDescent="0.25">
      <c r="A278" s="16" t="s">
        <v>749</v>
      </c>
      <c r="B278" s="13" t="s">
        <v>464</v>
      </c>
      <c r="C278" s="17">
        <v>0</v>
      </c>
      <c r="D278" s="17">
        <v>0</v>
      </c>
      <c r="E278" s="17">
        <v>0</v>
      </c>
      <c r="F278" s="17">
        <v>0</v>
      </c>
      <c r="G278" s="17">
        <v>0</v>
      </c>
      <c r="H278" s="17">
        <v>0</v>
      </c>
      <c r="I278" s="17">
        <v>0</v>
      </c>
      <c r="J278" s="17">
        <v>1.6999999999999999E-3</v>
      </c>
      <c r="K278" s="17">
        <v>2.4899999999999999E-2</v>
      </c>
      <c r="L278" s="17">
        <v>0.1163</v>
      </c>
      <c r="M278" s="17">
        <v>0.23069999999999999</v>
      </c>
      <c r="N278" s="17">
        <v>0.37090000000000001</v>
      </c>
      <c r="O278" s="17">
        <v>0.52400000000000002</v>
      </c>
      <c r="P278" s="17">
        <v>0.67889999999999995</v>
      </c>
      <c r="Q278" s="17">
        <v>0.83299999999999996</v>
      </c>
      <c r="R278" s="17">
        <v>0.98729999999999996</v>
      </c>
      <c r="S278" s="17">
        <v>1.1322000000000001</v>
      </c>
      <c r="T278" s="17">
        <v>1.2683</v>
      </c>
      <c r="U278" s="17">
        <v>1.3843000000000001</v>
      </c>
      <c r="V278" s="17">
        <v>1.4832000000000001</v>
      </c>
      <c r="W278" s="17">
        <v>1.57</v>
      </c>
      <c r="X278" s="17">
        <v>1.6416999999999999</v>
      </c>
      <c r="Y278" s="17">
        <v>1.6924999999999999</v>
      </c>
      <c r="Z278" s="17">
        <v>1.7148000000000001</v>
      </c>
      <c r="AA278" s="17">
        <v>1.7212000000000001</v>
      </c>
      <c r="AB278" s="17">
        <v>1.7092000000000001</v>
      </c>
      <c r="AC278" s="17">
        <v>1.6686000000000001</v>
      </c>
      <c r="AD278" s="17">
        <v>1.6067</v>
      </c>
      <c r="AE278" s="17">
        <v>1.5327999999999999</v>
      </c>
      <c r="AF278" s="17">
        <v>1.4391</v>
      </c>
      <c r="AG278" s="17">
        <v>1.3395999999999999</v>
      </c>
      <c r="AH278" s="17">
        <v>1.2198</v>
      </c>
      <c r="AI278" s="17">
        <v>1.0849</v>
      </c>
      <c r="AJ278" s="17">
        <v>0.92200000000000004</v>
      </c>
      <c r="AK278" s="17">
        <v>0.76959999999999995</v>
      </c>
      <c r="AL278" s="17">
        <v>0.61299999999999999</v>
      </c>
      <c r="AM278" s="17">
        <v>0.46150000000000002</v>
      </c>
      <c r="AN278" s="17">
        <v>0.31540000000000001</v>
      </c>
      <c r="AO278" s="17">
        <v>0.1842</v>
      </c>
      <c r="AP278" s="17">
        <v>5.3600000000000002E-2</v>
      </c>
      <c r="AQ278" s="17">
        <v>9.9000000000000008E-3</v>
      </c>
      <c r="AR278" s="17">
        <v>0</v>
      </c>
      <c r="AS278" s="17">
        <v>0</v>
      </c>
      <c r="AT278" s="17">
        <v>0</v>
      </c>
      <c r="AU278" s="17">
        <v>0</v>
      </c>
      <c r="AV278" s="17">
        <v>0</v>
      </c>
      <c r="AW278" s="17">
        <v>0</v>
      </c>
      <c r="AX278" s="17">
        <v>0</v>
      </c>
    </row>
    <row r="279" spans="1:50" x14ac:dyDescent="0.25">
      <c r="A279" s="8" t="s">
        <v>316</v>
      </c>
      <c r="B279" s="10" t="s">
        <v>57</v>
      </c>
      <c r="C279" s="18">
        <v>0</v>
      </c>
      <c r="D279" s="18">
        <v>0</v>
      </c>
      <c r="E279" s="18">
        <v>0</v>
      </c>
      <c r="F279" s="18">
        <v>0</v>
      </c>
      <c r="G279" s="18">
        <v>0</v>
      </c>
      <c r="H279" s="18">
        <v>0</v>
      </c>
      <c r="I279" s="18">
        <v>0</v>
      </c>
      <c r="J279" s="18">
        <v>0</v>
      </c>
      <c r="K279" s="18">
        <v>0</v>
      </c>
      <c r="L279" s="18">
        <v>0</v>
      </c>
      <c r="M279" s="18">
        <v>0</v>
      </c>
      <c r="N279" s="18">
        <v>0</v>
      </c>
      <c r="O279" s="18">
        <v>0</v>
      </c>
      <c r="P279" s="18">
        <v>0</v>
      </c>
      <c r="Q279" s="18">
        <v>0</v>
      </c>
      <c r="R279" s="18">
        <v>0</v>
      </c>
      <c r="S279" s="18">
        <v>0</v>
      </c>
      <c r="T279" s="18">
        <v>0</v>
      </c>
      <c r="U279" s="18">
        <v>0</v>
      </c>
      <c r="V279" s="18">
        <v>0</v>
      </c>
      <c r="W279" s="18">
        <v>0</v>
      </c>
      <c r="X279" s="18">
        <v>0</v>
      </c>
      <c r="Y279" s="18">
        <v>0</v>
      </c>
      <c r="Z279" s="18">
        <v>0</v>
      </c>
      <c r="AA279" s="18">
        <v>0</v>
      </c>
      <c r="AB279" s="18">
        <v>0</v>
      </c>
      <c r="AC279" s="18">
        <v>0</v>
      </c>
      <c r="AD279" s="18">
        <v>0</v>
      </c>
      <c r="AE279" s="18">
        <v>0</v>
      </c>
      <c r="AF279" s="18">
        <v>0</v>
      </c>
      <c r="AG279" s="18">
        <v>0</v>
      </c>
      <c r="AH279" s="18">
        <v>0</v>
      </c>
      <c r="AI279" s="18">
        <v>0</v>
      </c>
      <c r="AJ279" s="18">
        <v>0</v>
      </c>
      <c r="AK279" s="18">
        <v>0</v>
      </c>
      <c r="AL279" s="18">
        <v>0</v>
      </c>
      <c r="AM279" s="18">
        <v>0</v>
      </c>
      <c r="AN279" s="18">
        <v>0</v>
      </c>
      <c r="AO279" s="18">
        <v>0</v>
      </c>
      <c r="AP279" s="18">
        <v>0</v>
      </c>
      <c r="AQ279" s="18">
        <v>0</v>
      </c>
      <c r="AR279" s="18">
        <v>0</v>
      </c>
      <c r="AS279" s="18">
        <v>0</v>
      </c>
      <c r="AT279" s="18">
        <v>0</v>
      </c>
      <c r="AU279" s="18">
        <v>0</v>
      </c>
      <c r="AV279" s="18">
        <v>0</v>
      </c>
      <c r="AW279" s="18">
        <v>0</v>
      </c>
      <c r="AX279" s="18">
        <v>0</v>
      </c>
    </row>
    <row r="280" spans="1:50" x14ac:dyDescent="0.25">
      <c r="A280" s="8" t="s">
        <v>318</v>
      </c>
      <c r="B280" s="10" t="s">
        <v>57</v>
      </c>
      <c r="C280" s="18">
        <v>0</v>
      </c>
      <c r="D280" s="18">
        <v>0</v>
      </c>
      <c r="E280" s="18">
        <v>0</v>
      </c>
      <c r="F280" s="18">
        <v>0</v>
      </c>
      <c r="G280" s="18">
        <v>0</v>
      </c>
      <c r="H280" s="18">
        <v>0</v>
      </c>
      <c r="I280" s="18">
        <v>0</v>
      </c>
      <c r="J280" s="18">
        <v>0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8">
        <v>0</v>
      </c>
      <c r="Z280" s="18">
        <v>0</v>
      </c>
      <c r="AA280" s="18">
        <v>0</v>
      </c>
      <c r="AB280" s="18">
        <v>0</v>
      </c>
      <c r="AC280" s="18">
        <v>0</v>
      </c>
      <c r="AD280" s="18">
        <v>0</v>
      </c>
      <c r="AE280" s="18">
        <v>0</v>
      </c>
      <c r="AF280" s="18">
        <v>0</v>
      </c>
      <c r="AG280" s="18">
        <v>0</v>
      </c>
      <c r="AH280" s="18">
        <v>0</v>
      </c>
      <c r="AI280" s="18">
        <v>0</v>
      </c>
      <c r="AJ280" s="18">
        <v>0</v>
      </c>
      <c r="AK280" s="18">
        <v>0</v>
      </c>
      <c r="AL280" s="18">
        <v>0</v>
      </c>
      <c r="AM280" s="18">
        <v>0</v>
      </c>
      <c r="AN280" s="18">
        <v>0</v>
      </c>
      <c r="AO280" s="18">
        <v>0</v>
      </c>
      <c r="AP280" s="18">
        <v>0</v>
      </c>
      <c r="AQ280" s="18">
        <v>0</v>
      </c>
      <c r="AR280" s="18">
        <v>0</v>
      </c>
      <c r="AS280" s="18">
        <v>0</v>
      </c>
      <c r="AT280" s="18">
        <v>0</v>
      </c>
      <c r="AU280" s="18">
        <v>0</v>
      </c>
      <c r="AV280" s="18">
        <v>0</v>
      </c>
      <c r="AW280" s="18">
        <v>0</v>
      </c>
      <c r="AX280" s="18">
        <v>0</v>
      </c>
    </row>
    <row r="281" spans="1:50" x14ac:dyDescent="0.25">
      <c r="A281" s="16" t="s">
        <v>751</v>
      </c>
      <c r="B281" s="13" t="s">
        <v>464</v>
      </c>
      <c r="C281" s="17">
        <v>0</v>
      </c>
      <c r="D281" s="17">
        <v>0</v>
      </c>
      <c r="E281" s="17">
        <v>0</v>
      </c>
      <c r="F281" s="17">
        <v>0</v>
      </c>
      <c r="G281" s="17">
        <v>0</v>
      </c>
      <c r="H281" s="17">
        <v>0</v>
      </c>
      <c r="I281" s="17">
        <v>0</v>
      </c>
      <c r="J281" s="17">
        <v>1.2999999999999999E-3</v>
      </c>
      <c r="K281" s="17">
        <v>1.8700000000000001E-2</v>
      </c>
      <c r="L281" s="17">
        <v>8.72E-2</v>
      </c>
      <c r="M281" s="17">
        <v>0.17299999999999999</v>
      </c>
      <c r="N281" s="17">
        <v>0.2782</v>
      </c>
      <c r="O281" s="17">
        <v>0.39300000000000002</v>
      </c>
      <c r="P281" s="17">
        <v>0.50919999999999999</v>
      </c>
      <c r="Q281" s="17">
        <v>0.62470000000000003</v>
      </c>
      <c r="R281" s="17">
        <v>0.74050000000000005</v>
      </c>
      <c r="S281" s="17">
        <v>0.84909999999999997</v>
      </c>
      <c r="T281" s="17">
        <v>0.95120000000000005</v>
      </c>
      <c r="U281" s="17">
        <v>1.0382</v>
      </c>
      <c r="V281" s="17">
        <v>1.1124000000000001</v>
      </c>
      <c r="W281" s="17">
        <v>1.1775</v>
      </c>
      <c r="X281" s="17">
        <v>1.2312000000000001</v>
      </c>
      <c r="Y281" s="17">
        <v>1.2694000000000001</v>
      </c>
      <c r="Z281" s="17">
        <v>1.2861</v>
      </c>
      <c r="AA281" s="17">
        <v>1.2908999999999999</v>
      </c>
      <c r="AB281" s="17">
        <v>1.2819</v>
      </c>
      <c r="AC281" s="17">
        <v>1.2514000000000001</v>
      </c>
      <c r="AD281" s="17">
        <v>1.2050000000000001</v>
      </c>
      <c r="AE281" s="17">
        <v>1.1496</v>
      </c>
      <c r="AF281" s="17">
        <v>1.0792999999999999</v>
      </c>
      <c r="AG281" s="17">
        <v>1.0046999999999999</v>
      </c>
      <c r="AH281" s="17">
        <v>0.91479999999999995</v>
      </c>
      <c r="AI281" s="17">
        <v>0.81369999999999998</v>
      </c>
      <c r="AJ281" s="17">
        <v>0.6915</v>
      </c>
      <c r="AK281" s="17">
        <v>0.57720000000000005</v>
      </c>
      <c r="AL281" s="17">
        <v>0.4597</v>
      </c>
      <c r="AM281" s="17">
        <v>0.34610000000000002</v>
      </c>
      <c r="AN281" s="17">
        <v>0.23649999999999999</v>
      </c>
      <c r="AO281" s="17">
        <v>0.1381</v>
      </c>
      <c r="AP281" s="17">
        <v>4.02E-2</v>
      </c>
      <c r="AQ281" s="17">
        <v>7.4000000000000003E-3</v>
      </c>
      <c r="AR281" s="17">
        <v>0</v>
      </c>
      <c r="AS281" s="17">
        <v>0</v>
      </c>
      <c r="AT281" s="17">
        <v>0</v>
      </c>
      <c r="AU281" s="17">
        <v>0</v>
      </c>
      <c r="AV281" s="17">
        <v>0</v>
      </c>
      <c r="AW281" s="17">
        <v>0</v>
      </c>
      <c r="AX281" s="17">
        <v>0</v>
      </c>
    </row>
    <row r="282" spans="1:50" x14ac:dyDescent="0.25">
      <c r="A282" s="8" t="s">
        <v>320</v>
      </c>
      <c r="B282" s="10" t="s">
        <v>57</v>
      </c>
      <c r="C282" s="18">
        <v>0</v>
      </c>
      <c r="D282" s="18">
        <v>0</v>
      </c>
      <c r="E282" s="18">
        <v>0</v>
      </c>
      <c r="F282" s="18">
        <v>0</v>
      </c>
      <c r="G282" s="18">
        <v>0</v>
      </c>
      <c r="H282" s="18">
        <v>0</v>
      </c>
      <c r="I282" s="18">
        <v>0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0</v>
      </c>
      <c r="Q282" s="18">
        <v>0</v>
      </c>
      <c r="R282" s="18">
        <v>0</v>
      </c>
      <c r="S282" s="18">
        <v>0</v>
      </c>
      <c r="T282" s="18">
        <v>0</v>
      </c>
      <c r="U282" s="18">
        <v>0</v>
      </c>
      <c r="V282" s="18">
        <v>0</v>
      </c>
      <c r="W282" s="18">
        <v>0</v>
      </c>
      <c r="X282" s="18">
        <v>0</v>
      </c>
      <c r="Y282" s="18">
        <v>0</v>
      </c>
      <c r="Z282" s="18">
        <v>0</v>
      </c>
      <c r="AA282" s="18">
        <v>0</v>
      </c>
      <c r="AB282" s="18">
        <v>0</v>
      </c>
      <c r="AC282" s="18">
        <v>0</v>
      </c>
      <c r="AD282" s="18">
        <v>0</v>
      </c>
      <c r="AE282" s="18">
        <v>0</v>
      </c>
      <c r="AF282" s="18">
        <v>0</v>
      </c>
      <c r="AG282" s="18">
        <v>0</v>
      </c>
      <c r="AH282" s="18">
        <v>0</v>
      </c>
      <c r="AI282" s="18">
        <v>0</v>
      </c>
      <c r="AJ282" s="18">
        <v>0</v>
      </c>
      <c r="AK282" s="18">
        <v>0</v>
      </c>
      <c r="AL282" s="18">
        <v>0</v>
      </c>
      <c r="AM282" s="18">
        <v>0</v>
      </c>
      <c r="AN282" s="18">
        <v>0</v>
      </c>
      <c r="AO282" s="18">
        <v>0</v>
      </c>
      <c r="AP282" s="18">
        <v>0</v>
      </c>
      <c r="AQ282" s="18">
        <v>0</v>
      </c>
      <c r="AR282" s="18">
        <v>0</v>
      </c>
      <c r="AS282" s="18">
        <v>0</v>
      </c>
      <c r="AT282" s="18">
        <v>0</v>
      </c>
      <c r="AU282" s="18">
        <v>0</v>
      </c>
      <c r="AV282" s="18">
        <v>0</v>
      </c>
      <c r="AW282" s="18">
        <v>0</v>
      </c>
      <c r="AX282" s="18">
        <v>0</v>
      </c>
    </row>
    <row r="283" spans="1:50" x14ac:dyDescent="0.25">
      <c r="A283" s="8" t="s">
        <v>322</v>
      </c>
      <c r="B283" s="10" t="s">
        <v>57</v>
      </c>
      <c r="C283" s="18">
        <v>0</v>
      </c>
      <c r="D283" s="18">
        <v>0</v>
      </c>
      <c r="E283" s="18">
        <v>0</v>
      </c>
      <c r="F283" s="18">
        <v>0</v>
      </c>
      <c r="G283" s="18">
        <v>0</v>
      </c>
      <c r="H283" s="18">
        <v>0</v>
      </c>
      <c r="I283" s="18">
        <v>0</v>
      </c>
      <c r="J283" s="18">
        <v>0</v>
      </c>
      <c r="K283" s="18">
        <v>0</v>
      </c>
      <c r="L283" s="18">
        <v>0</v>
      </c>
      <c r="M283" s="18">
        <v>0</v>
      </c>
      <c r="N283" s="18">
        <v>0</v>
      </c>
      <c r="O283" s="18">
        <v>0</v>
      </c>
      <c r="P283" s="18">
        <v>0</v>
      </c>
      <c r="Q283" s="18">
        <v>0</v>
      </c>
      <c r="R283" s="18">
        <v>0</v>
      </c>
      <c r="S283" s="18">
        <v>0</v>
      </c>
      <c r="T283" s="18">
        <v>0</v>
      </c>
      <c r="U283" s="18">
        <v>0</v>
      </c>
      <c r="V283" s="18">
        <v>0</v>
      </c>
      <c r="W283" s="18">
        <v>0</v>
      </c>
      <c r="X283" s="18">
        <v>0</v>
      </c>
      <c r="Y283" s="18">
        <v>0</v>
      </c>
      <c r="Z283" s="18">
        <v>0</v>
      </c>
      <c r="AA283" s="18">
        <v>0</v>
      </c>
      <c r="AB283" s="18">
        <v>0</v>
      </c>
      <c r="AC283" s="18">
        <v>0</v>
      </c>
      <c r="AD283" s="18">
        <v>0</v>
      </c>
      <c r="AE283" s="18">
        <v>0</v>
      </c>
      <c r="AF283" s="18">
        <v>0</v>
      </c>
      <c r="AG283" s="18">
        <v>0</v>
      </c>
      <c r="AH283" s="18">
        <v>0</v>
      </c>
      <c r="AI283" s="18">
        <v>0</v>
      </c>
      <c r="AJ283" s="18">
        <v>0</v>
      </c>
      <c r="AK283" s="18">
        <v>0</v>
      </c>
      <c r="AL283" s="18">
        <v>0</v>
      </c>
      <c r="AM283" s="18">
        <v>0</v>
      </c>
      <c r="AN283" s="18">
        <v>0</v>
      </c>
      <c r="AO283" s="18">
        <v>0</v>
      </c>
      <c r="AP283" s="18">
        <v>0</v>
      </c>
      <c r="AQ283" s="18">
        <v>0</v>
      </c>
      <c r="AR283" s="18">
        <v>0</v>
      </c>
      <c r="AS283" s="18">
        <v>0</v>
      </c>
      <c r="AT283" s="18">
        <v>0</v>
      </c>
      <c r="AU283" s="18">
        <v>0</v>
      </c>
      <c r="AV283" s="18">
        <v>0</v>
      </c>
      <c r="AW283" s="18">
        <v>0</v>
      </c>
      <c r="AX283" s="18">
        <v>0</v>
      </c>
    </row>
    <row r="284" spans="1:50" x14ac:dyDescent="0.25">
      <c r="A284" s="8" t="s">
        <v>324</v>
      </c>
      <c r="B284" s="10" t="s">
        <v>57</v>
      </c>
      <c r="C284" s="18">
        <v>0</v>
      </c>
      <c r="D284" s="18">
        <v>0</v>
      </c>
      <c r="E284" s="18">
        <v>0</v>
      </c>
      <c r="F284" s="18">
        <v>0</v>
      </c>
      <c r="G284" s="18">
        <v>0</v>
      </c>
      <c r="H284" s="18">
        <v>0</v>
      </c>
      <c r="I284" s="18">
        <v>0</v>
      </c>
      <c r="J284" s="18">
        <v>0</v>
      </c>
      <c r="K284" s="18">
        <v>0</v>
      </c>
      <c r="L284" s="18">
        <v>0</v>
      </c>
      <c r="M284" s="18">
        <v>0</v>
      </c>
      <c r="N284" s="18">
        <v>0</v>
      </c>
      <c r="O284" s="18">
        <v>0</v>
      </c>
      <c r="P284" s="18">
        <v>0</v>
      </c>
      <c r="Q284" s="18">
        <v>0</v>
      </c>
      <c r="R284" s="18">
        <v>0</v>
      </c>
      <c r="S284" s="18">
        <v>0</v>
      </c>
      <c r="T284" s="18">
        <v>0</v>
      </c>
      <c r="U284" s="18">
        <v>0</v>
      </c>
      <c r="V284" s="18">
        <v>0</v>
      </c>
      <c r="W284" s="18">
        <v>0</v>
      </c>
      <c r="X284" s="18">
        <v>0</v>
      </c>
      <c r="Y284" s="18">
        <v>0</v>
      </c>
      <c r="Z284" s="18">
        <v>0</v>
      </c>
      <c r="AA284" s="18">
        <v>0</v>
      </c>
      <c r="AB284" s="18">
        <v>0</v>
      </c>
      <c r="AC284" s="18">
        <v>0</v>
      </c>
      <c r="AD284" s="18">
        <v>0</v>
      </c>
      <c r="AE284" s="18">
        <v>0</v>
      </c>
      <c r="AF284" s="18">
        <v>0</v>
      </c>
      <c r="AG284" s="18">
        <v>0</v>
      </c>
      <c r="AH284" s="18">
        <v>0</v>
      </c>
      <c r="AI284" s="18">
        <v>0</v>
      </c>
      <c r="AJ284" s="18">
        <v>0</v>
      </c>
      <c r="AK284" s="18">
        <v>0</v>
      </c>
      <c r="AL284" s="18">
        <v>0</v>
      </c>
      <c r="AM284" s="18">
        <v>0</v>
      </c>
      <c r="AN284" s="18">
        <v>0</v>
      </c>
      <c r="AO284" s="18">
        <v>0</v>
      </c>
      <c r="AP284" s="18">
        <v>0</v>
      </c>
      <c r="AQ284" s="18">
        <v>0</v>
      </c>
      <c r="AR284" s="18">
        <v>0</v>
      </c>
      <c r="AS284" s="18">
        <v>0</v>
      </c>
      <c r="AT284" s="18">
        <v>0</v>
      </c>
      <c r="AU284" s="18">
        <v>0</v>
      </c>
      <c r="AV284" s="18">
        <v>0</v>
      </c>
      <c r="AW284" s="18">
        <v>0</v>
      </c>
      <c r="AX284" s="18">
        <v>0</v>
      </c>
    </row>
    <row r="285" spans="1:50" x14ac:dyDescent="0.25">
      <c r="A285" s="16" t="s">
        <v>753</v>
      </c>
      <c r="B285" s="13" t="s">
        <v>464</v>
      </c>
      <c r="C285" s="17">
        <v>0</v>
      </c>
      <c r="D285" s="17">
        <v>0</v>
      </c>
      <c r="E285" s="17">
        <v>0</v>
      </c>
      <c r="F285" s="17">
        <v>0</v>
      </c>
      <c r="G285" s="17">
        <v>0</v>
      </c>
      <c r="H285" s="17">
        <v>0</v>
      </c>
      <c r="I285" s="17">
        <v>0</v>
      </c>
      <c r="J285" s="17">
        <v>3.3999999999999998E-3</v>
      </c>
      <c r="K285" s="17">
        <v>4.9700000000000001E-2</v>
      </c>
      <c r="L285" s="17">
        <v>0.2326</v>
      </c>
      <c r="M285" s="17">
        <v>0.46129999999999999</v>
      </c>
      <c r="N285" s="17">
        <v>0.7419</v>
      </c>
      <c r="O285" s="17">
        <v>1.0479000000000001</v>
      </c>
      <c r="P285" s="17">
        <v>1.3576999999999999</v>
      </c>
      <c r="Q285" s="17">
        <v>1.6659999999999999</v>
      </c>
      <c r="R285" s="17">
        <v>1.9745999999999999</v>
      </c>
      <c r="S285" s="17">
        <v>2.2643</v>
      </c>
      <c r="T285" s="17">
        <v>2.5367000000000002</v>
      </c>
      <c r="U285" s="17">
        <v>2.7686000000000002</v>
      </c>
      <c r="V285" s="17">
        <v>2.9664000000000001</v>
      </c>
      <c r="W285" s="17">
        <v>3.14</v>
      </c>
      <c r="X285" s="17">
        <v>3.2833000000000001</v>
      </c>
      <c r="Y285" s="17">
        <v>3.3849999999999998</v>
      </c>
      <c r="Z285" s="17">
        <v>3.4296000000000002</v>
      </c>
      <c r="AA285" s="17">
        <v>3.4424999999999999</v>
      </c>
      <c r="AB285" s="17">
        <v>3.4182999999999999</v>
      </c>
      <c r="AC285" s="17">
        <v>3.3372000000000002</v>
      </c>
      <c r="AD285" s="17">
        <v>3.2132999999999998</v>
      </c>
      <c r="AE285" s="17">
        <v>3.0655000000000001</v>
      </c>
      <c r="AF285" s="17">
        <v>2.8782000000000001</v>
      </c>
      <c r="AG285" s="17">
        <v>2.6791</v>
      </c>
      <c r="AH285" s="17">
        <v>2.4396</v>
      </c>
      <c r="AI285" s="17">
        <v>2.1698</v>
      </c>
      <c r="AJ285" s="17">
        <v>1.8441000000000001</v>
      </c>
      <c r="AK285" s="17">
        <v>1.5391999999999999</v>
      </c>
      <c r="AL285" s="17">
        <v>1.2259</v>
      </c>
      <c r="AM285" s="17">
        <v>0.92290000000000005</v>
      </c>
      <c r="AN285" s="17">
        <v>0.63080000000000003</v>
      </c>
      <c r="AO285" s="17">
        <v>0.36830000000000002</v>
      </c>
      <c r="AP285" s="17">
        <v>0.1072</v>
      </c>
      <c r="AQ285" s="17">
        <v>1.9800000000000002E-2</v>
      </c>
      <c r="AR285" s="17">
        <v>0</v>
      </c>
      <c r="AS285" s="17">
        <v>0</v>
      </c>
      <c r="AT285" s="17">
        <v>0</v>
      </c>
      <c r="AU285" s="17">
        <v>0</v>
      </c>
      <c r="AV285" s="17">
        <v>0</v>
      </c>
      <c r="AW285" s="17">
        <v>0</v>
      </c>
      <c r="AX285" s="17">
        <v>0</v>
      </c>
    </row>
    <row r="286" spans="1:50" x14ac:dyDescent="0.25">
      <c r="A286" s="8" t="s">
        <v>326</v>
      </c>
      <c r="B286" s="10" t="s">
        <v>57</v>
      </c>
      <c r="C286" s="18">
        <v>0</v>
      </c>
      <c r="D286" s="18">
        <v>0</v>
      </c>
      <c r="E286" s="18">
        <v>0</v>
      </c>
      <c r="F286" s="18">
        <v>0</v>
      </c>
      <c r="G286" s="18">
        <v>0</v>
      </c>
      <c r="H286" s="18">
        <v>0</v>
      </c>
      <c r="I286" s="18">
        <v>0</v>
      </c>
      <c r="J286" s="18">
        <v>0</v>
      </c>
      <c r="K286" s="18">
        <v>0</v>
      </c>
      <c r="L286" s="18">
        <v>0</v>
      </c>
      <c r="M286" s="18">
        <v>0</v>
      </c>
      <c r="N286" s="18">
        <v>0</v>
      </c>
      <c r="O286" s="18">
        <v>0</v>
      </c>
      <c r="P286" s="18">
        <v>0</v>
      </c>
      <c r="Q286" s="18">
        <v>0</v>
      </c>
      <c r="R286" s="18">
        <v>0</v>
      </c>
      <c r="S286" s="18">
        <v>0</v>
      </c>
      <c r="T286" s="18">
        <v>0</v>
      </c>
      <c r="U286" s="18">
        <v>0</v>
      </c>
      <c r="V286" s="18">
        <v>0</v>
      </c>
      <c r="W286" s="18">
        <v>0</v>
      </c>
      <c r="X286" s="18">
        <v>0</v>
      </c>
      <c r="Y286" s="18">
        <v>0</v>
      </c>
      <c r="Z286" s="18">
        <v>0</v>
      </c>
      <c r="AA286" s="18">
        <v>0</v>
      </c>
      <c r="AB286" s="18">
        <v>0</v>
      </c>
      <c r="AC286" s="18">
        <v>0</v>
      </c>
      <c r="AD286" s="18">
        <v>0</v>
      </c>
      <c r="AE286" s="18">
        <v>0</v>
      </c>
      <c r="AF286" s="18">
        <v>0</v>
      </c>
      <c r="AG286" s="18">
        <v>0</v>
      </c>
      <c r="AH286" s="18">
        <v>0</v>
      </c>
      <c r="AI286" s="18">
        <v>0</v>
      </c>
      <c r="AJ286" s="18">
        <v>0</v>
      </c>
      <c r="AK286" s="18">
        <v>0</v>
      </c>
      <c r="AL286" s="18">
        <v>0</v>
      </c>
      <c r="AM286" s="18">
        <v>0</v>
      </c>
      <c r="AN286" s="18">
        <v>0</v>
      </c>
      <c r="AO286" s="18">
        <v>0</v>
      </c>
      <c r="AP286" s="18">
        <v>0</v>
      </c>
      <c r="AQ286" s="18">
        <v>0</v>
      </c>
      <c r="AR286" s="18">
        <v>0</v>
      </c>
      <c r="AS286" s="18">
        <v>0</v>
      </c>
      <c r="AT286" s="18">
        <v>0</v>
      </c>
      <c r="AU286" s="18">
        <v>0</v>
      </c>
      <c r="AV286" s="18">
        <v>0</v>
      </c>
      <c r="AW286" s="18">
        <v>0</v>
      </c>
      <c r="AX286" s="18">
        <v>0</v>
      </c>
    </row>
    <row r="287" spans="1:50" x14ac:dyDescent="0.25">
      <c r="A287" s="16" t="s">
        <v>755</v>
      </c>
      <c r="B287" s="13" t="s">
        <v>464</v>
      </c>
      <c r="C287" s="17">
        <v>0</v>
      </c>
      <c r="D287" s="17">
        <v>0</v>
      </c>
      <c r="E287" s="17">
        <v>0</v>
      </c>
      <c r="F287" s="17">
        <v>0</v>
      </c>
      <c r="G287" s="17">
        <v>0</v>
      </c>
      <c r="H287" s="17">
        <v>0</v>
      </c>
      <c r="I287" s="17">
        <v>0</v>
      </c>
      <c r="J287" s="17">
        <v>1.6999999999999999E-3</v>
      </c>
      <c r="K287" s="17">
        <v>2.4899999999999999E-2</v>
      </c>
      <c r="L287" s="17">
        <v>0.1163</v>
      </c>
      <c r="M287" s="17">
        <v>0.23069999999999999</v>
      </c>
      <c r="N287" s="17">
        <v>0.37090000000000001</v>
      </c>
      <c r="O287" s="17">
        <v>0.52400000000000002</v>
      </c>
      <c r="P287" s="17">
        <v>0.67889999999999995</v>
      </c>
      <c r="Q287" s="17">
        <v>0.83299999999999996</v>
      </c>
      <c r="R287" s="17">
        <v>0.98729999999999996</v>
      </c>
      <c r="S287" s="17">
        <v>1.1322000000000001</v>
      </c>
      <c r="T287" s="17">
        <v>1.2683</v>
      </c>
      <c r="U287" s="17">
        <v>1.3843000000000001</v>
      </c>
      <c r="V287" s="17">
        <v>1.4832000000000001</v>
      </c>
      <c r="W287" s="17">
        <v>1.57</v>
      </c>
      <c r="X287" s="17">
        <v>1.6416999999999999</v>
      </c>
      <c r="Y287" s="17">
        <v>1.6924999999999999</v>
      </c>
      <c r="Z287" s="17">
        <v>1.7148000000000001</v>
      </c>
      <c r="AA287" s="17">
        <v>1.7212000000000001</v>
      </c>
      <c r="AB287" s="17">
        <v>1.7092000000000001</v>
      </c>
      <c r="AC287" s="17">
        <v>1.6686000000000001</v>
      </c>
      <c r="AD287" s="17">
        <v>1.6067</v>
      </c>
      <c r="AE287" s="17">
        <v>1.5327999999999999</v>
      </c>
      <c r="AF287" s="17">
        <v>1.4391</v>
      </c>
      <c r="AG287" s="17">
        <v>1.3395999999999999</v>
      </c>
      <c r="AH287" s="17">
        <v>1.2198</v>
      </c>
      <c r="AI287" s="17">
        <v>1.0849</v>
      </c>
      <c r="AJ287" s="17">
        <v>0.92200000000000004</v>
      </c>
      <c r="AK287" s="17">
        <v>0.76959999999999995</v>
      </c>
      <c r="AL287" s="17">
        <v>0.61299999999999999</v>
      </c>
      <c r="AM287" s="17">
        <v>0.46150000000000002</v>
      </c>
      <c r="AN287" s="17">
        <v>0.31540000000000001</v>
      </c>
      <c r="AO287" s="17">
        <v>0.1842</v>
      </c>
      <c r="AP287" s="17">
        <v>5.3600000000000002E-2</v>
      </c>
      <c r="AQ287" s="17">
        <v>9.9000000000000008E-3</v>
      </c>
      <c r="AR287" s="17">
        <v>0</v>
      </c>
      <c r="AS287" s="17">
        <v>0</v>
      </c>
      <c r="AT287" s="17">
        <v>0</v>
      </c>
      <c r="AU287" s="17">
        <v>0</v>
      </c>
      <c r="AV287" s="17">
        <v>0</v>
      </c>
      <c r="AW287" s="17">
        <v>0</v>
      </c>
      <c r="AX287" s="17">
        <v>0</v>
      </c>
    </row>
    <row r="288" spans="1:50" x14ac:dyDescent="0.25">
      <c r="A288" s="8" t="s">
        <v>328</v>
      </c>
      <c r="B288" s="10" t="s">
        <v>57</v>
      </c>
      <c r="C288" s="18">
        <v>0</v>
      </c>
      <c r="D288" s="18">
        <v>0</v>
      </c>
      <c r="E288" s="18">
        <v>0</v>
      </c>
      <c r="F288" s="18">
        <v>0</v>
      </c>
      <c r="G288" s="18">
        <v>0</v>
      </c>
      <c r="H288" s="18">
        <v>0</v>
      </c>
      <c r="I288" s="18">
        <v>0</v>
      </c>
      <c r="J288" s="18">
        <v>0</v>
      </c>
      <c r="K288" s="18">
        <v>0</v>
      </c>
      <c r="L288" s="18">
        <v>0</v>
      </c>
      <c r="M288" s="18">
        <v>0</v>
      </c>
      <c r="N288" s="18">
        <v>0</v>
      </c>
      <c r="O288" s="18">
        <v>0</v>
      </c>
      <c r="P288" s="18">
        <v>0</v>
      </c>
      <c r="Q288" s="18">
        <v>0</v>
      </c>
      <c r="R288" s="18">
        <v>0</v>
      </c>
      <c r="S288" s="18">
        <v>0</v>
      </c>
      <c r="T288" s="18">
        <v>0</v>
      </c>
      <c r="U288" s="18">
        <v>0</v>
      </c>
      <c r="V288" s="18">
        <v>0</v>
      </c>
      <c r="W288" s="18">
        <v>0</v>
      </c>
      <c r="X288" s="18">
        <v>0</v>
      </c>
      <c r="Y288" s="18">
        <v>0</v>
      </c>
      <c r="Z288" s="18">
        <v>0</v>
      </c>
      <c r="AA288" s="18">
        <v>0</v>
      </c>
      <c r="AB288" s="18">
        <v>0</v>
      </c>
      <c r="AC288" s="18">
        <v>0</v>
      </c>
      <c r="AD288" s="18">
        <v>0</v>
      </c>
      <c r="AE288" s="18">
        <v>0</v>
      </c>
      <c r="AF288" s="18">
        <v>0</v>
      </c>
      <c r="AG288" s="18">
        <v>0</v>
      </c>
      <c r="AH288" s="18">
        <v>0</v>
      </c>
      <c r="AI288" s="18">
        <v>0</v>
      </c>
      <c r="AJ288" s="18">
        <v>0</v>
      </c>
      <c r="AK288" s="18">
        <v>0</v>
      </c>
      <c r="AL288" s="18">
        <v>0</v>
      </c>
      <c r="AM288" s="18">
        <v>0</v>
      </c>
      <c r="AN288" s="18">
        <v>0</v>
      </c>
      <c r="AO288" s="18">
        <v>0</v>
      </c>
      <c r="AP288" s="18">
        <v>0</v>
      </c>
      <c r="AQ288" s="18">
        <v>0</v>
      </c>
      <c r="AR288" s="18">
        <v>0</v>
      </c>
      <c r="AS288" s="18">
        <v>0</v>
      </c>
      <c r="AT288" s="18">
        <v>0</v>
      </c>
      <c r="AU288" s="18">
        <v>0</v>
      </c>
      <c r="AV288" s="18">
        <v>0</v>
      </c>
      <c r="AW288" s="18">
        <v>0</v>
      </c>
      <c r="AX288" s="18">
        <v>0</v>
      </c>
    </row>
    <row r="289" spans="1:50" x14ac:dyDescent="0.25">
      <c r="A289" s="8" t="s">
        <v>330</v>
      </c>
      <c r="B289" s="10" t="s">
        <v>57</v>
      </c>
      <c r="C289" s="18">
        <v>0</v>
      </c>
      <c r="D289" s="18">
        <v>0</v>
      </c>
      <c r="E289" s="18">
        <v>0</v>
      </c>
      <c r="F289" s="18">
        <v>0</v>
      </c>
      <c r="G289" s="18">
        <v>0</v>
      </c>
      <c r="H289" s="18">
        <v>0</v>
      </c>
      <c r="I289" s="18">
        <v>0</v>
      </c>
      <c r="J289" s="18">
        <v>0</v>
      </c>
      <c r="K289" s="18">
        <v>0</v>
      </c>
      <c r="L289" s="18">
        <v>0</v>
      </c>
      <c r="M289" s="18">
        <v>0</v>
      </c>
      <c r="N289" s="18">
        <v>0</v>
      </c>
      <c r="O289" s="18">
        <v>0</v>
      </c>
      <c r="P289" s="18">
        <v>0</v>
      </c>
      <c r="Q289" s="18">
        <v>0</v>
      </c>
      <c r="R289" s="18">
        <v>0</v>
      </c>
      <c r="S289" s="18">
        <v>0</v>
      </c>
      <c r="T289" s="18">
        <v>0</v>
      </c>
      <c r="U289" s="18">
        <v>0</v>
      </c>
      <c r="V289" s="18">
        <v>0</v>
      </c>
      <c r="W289" s="18">
        <v>0</v>
      </c>
      <c r="X289" s="18">
        <v>0</v>
      </c>
      <c r="Y289" s="18">
        <v>0</v>
      </c>
      <c r="Z289" s="18">
        <v>0</v>
      </c>
      <c r="AA289" s="18">
        <v>0</v>
      </c>
      <c r="AB289" s="18">
        <v>0</v>
      </c>
      <c r="AC289" s="18">
        <v>0</v>
      </c>
      <c r="AD289" s="18">
        <v>0</v>
      </c>
      <c r="AE289" s="18">
        <v>0</v>
      </c>
      <c r="AF289" s="18">
        <v>0</v>
      </c>
      <c r="AG289" s="18">
        <v>0</v>
      </c>
      <c r="AH289" s="18">
        <v>0</v>
      </c>
      <c r="AI289" s="18">
        <v>0</v>
      </c>
      <c r="AJ289" s="18">
        <v>0</v>
      </c>
      <c r="AK289" s="18">
        <v>0</v>
      </c>
      <c r="AL289" s="18">
        <v>0</v>
      </c>
      <c r="AM289" s="18">
        <v>0</v>
      </c>
      <c r="AN289" s="18">
        <v>0</v>
      </c>
      <c r="AO289" s="18">
        <v>0</v>
      </c>
      <c r="AP289" s="18">
        <v>0</v>
      </c>
      <c r="AQ289" s="18">
        <v>0</v>
      </c>
      <c r="AR289" s="18">
        <v>0</v>
      </c>
      <c r="AS289" s="18">
        <v>0</v>
      </c>
      <c r="AT289" s="18">
        <v>0</v>
      </c>
      <c r="AU289" s="18">
        <v>0</v>
      </c>
      <c r="AV289" s="18">
        <v>0</v>
      </c>
      <c r="AW289" s="18">
        <v>0</v>
      </c>
      <c r="AX289" s="18">
        <v>0</v>
      </c>
    </row>
    <row r="290" spans="1:50" x14ac:dyDescent="0.25">
      <c r="A290" s="8" t="s">
        <v>332</v>
      </c>
      <c r="B290" s="10" t="s">
        <v>57</v>
      </c>
      <c r="C290" s="18">
        <v>0</v>
      </c>
      <c r="D290" s="18">
        <v>0</v>
      </c>
      <c r="E290" s="18">
        <v>0</v>
      </c>
      <c r="F290" s="18">
        <v>0</v>
      </c>
      <c r="G290" s="18">
        <v>0</v>
      </c>
      <c r="H290" s="18">
        <v>0</v>
      </c>
      <c r="I290" s="18">
        <v>0</v>
      </c>
      <c r="J290" s="18">
        <v>0</v>
      </c>
      <c r="K290" s="18">
        <v>0</v>
      </c>
      <c r="L290" s="18">
        <v>0</v>
      </c>
      <c r="M290" s="18">
        <v>0</v>
      </c>
      <c r="N290" s="18">
        <v>0</v>
      </c>
      <c r="O290" s="18">
        <v>0</v>
      </c>
      <c r="P290" s="18">
        <v>0</v>
      </c>
      <c r="Q290" s="18">
        <v>0</v>
      </c>
      <c r="R290" s="18">
        <v>0</v>
      </c>
      <c r="S290" s="18">
        <v>0</v>
      </c>
      <c r="T290" s="18">
        <v>0</v>
      </c>
      <c r="U290" s="18">
        <v>0</v>
      </c>
      <c r="V290" s="18">
        <v>0</v>
      </c>
      <c r="W290" s="18">
        <v>0</v>
      </c>
      <c r="X290" s="18">
        <v>0</v>
      </c>
      <c r="Y290" s="18">
        <v>0</v>
      </c>
      <c r="Z290" s="18">
        <v>0</v>
      </c>
      <c r="AA290" s="18">
        <v>0</v>
      </c>
      <c r="AB290" s="18">
        <v>0</v>
      </c>
      <c r="AC290" s="18">
        <v>0</v>
      </c>
      <c r="AD290" s="18">
        <v>0</v>
      </c>
      <c r="AE290" s="18">
        <v>0</v>
      </c>
      <c r="AF290" s="18">
        <v>0</v>
      </c>
      <c r="AG290" s="18">
        <v>0</v>
      </c>
      <c r="AH290" s="18">
        <v>0</v>
      </c>
      <c r="AI290" s="18">
        <v>0</v>
      </c>
      <c r="AJ290" s="18">
        <v>0</v>
      </c>
      <c r="AK290" s="18">
        <v>0</v>
      </c>
      <c r="AL290" s="18">
        <v>0</v>
      </c>
      <c r="AM290" s="18">
        <v>0</v>
      </c>
      <c r="AN290" s="18">
        <v>0</v>
      </c>
      <c r="AO290" s="18">
        <v>0</v>
      </c>
      <c r="AP290" s="18">
        <v>0</v>
      </c>
      <c r="AQ290" s="18">
        <v>0</v>
      </c>
      <c r="AR290" s="18">
        <v>0</v>
      </c>
      <c r="AS290" s="18">
        <v>0</v>
      </c>
      <c r="AT290" s="18">
        <v>0</v>
      </c>
      <c r="AU290" s="18">
        <v>0</v>
      </c>
      <c r="AV290" s="18">
        <v>0</v>
      </c>
      <c r="AW290" s="18">
        <v>0</v>
      </c>
      <c r="AX290" s="18">
        <v>0</v>
      </c>
    </row>
    <row r="291" spans="1:50" x14ac:dyDescent="0.25">
      <c r="A291" s="16" t="s">
        <v>757</v>
      </c>
      <c r="B291" s="13" t="s">
        <v>464</v>
      </c>
      <c r="C291" s="17">
        <v>0</v>
      </c>
      <c r="D291" s="17">
        <v>0</v>
      </c>
      <c r="E291" s="17">
        <v>0</v>
      </c>
      <c r="F291" s="17">
        <v>0</v>
      </c>
      <c r="G291" s="17">
        <v>0</v>
      </c>
      <c r="H291" s="17">
        <v>0</v>
      </c>
      <c r="I291" s="17">
        <v>0</v>
      </c>
      <c r="J291" s="17">
        <v>3.3999999999999998E-3</v>
      </c>
      <c r="K291" s="17">
        <v>4.9700000000000001E-2</v>
      </c>
      <c r="L291" s="17">
        <v>0.2326</v>
      </c>
      <c r="M291" s="17">
        <v>0.46129999999999999</v>
      </c>
      <c r="N291" s="17">
        <v>0.7419</v>
      </c>
      <c r="O291" s="17">
        <v>1.0479000000000001</v>
      </c>
      <c r="P291" s="17">
        <v>1.3576999999999999</v>
      </c>
      <c r="Q291" s="17">
        <v>1.6659999999999999</v>
      </c>
      <c r="R291" s="17">
        <v>1.9745999999999999</v>
      </c>
      <c r="S291" s="17">
        <v>2.2643</v>
      </c>
      <c r="T291" s="17">
        <v>2.5367000000000002</v>
      </c>
      <c r="U291" s="17">
        <v>2.7686000000000002</v>
      </c>
      <c r="V291" s="17">
        <v>2.9664000000000001</v>
      </c>
      <c r="W291" s="17">
        <v>3.14</v>
      </c>
      <c r="X291" s="17">
        <v>3.2833000000000001</v>
      </c>
      <c r="Y291" s="17">
        <v>3.3849999999999998</v>
      </c>
      <c r="Z291" s="17">
        <v>3.4296000000000002</v>
      </c>
      <c r="AA291" s="17">
        <v>3.4424999999999999</v>
      </c>
      <c r="AB291" s="17">
        <v>3.4182999999999999</v>
      </c>
      <c r="AC291" s="17">
        <v>3.3372000000000002</v>
      </c>
      <c r="AD291" s="17">
        <v>3.2132999999999998</v>
      </c>
      <c r="AE291" s="17">
        <v>3.0655000000000001</v>
      </c>
      <c r="AF291" s="17">
        <v>2.8782000000000001</v>
      </c>
      <c r="AG291" s="17">
        <v>2.6791</v>
      </c>
      <c r="AH291" s="17">
        <v>2.4396</v>
      </c>
      <c r="AI291" s="17">
        <v>2.1698</v>
      </c>
      <c r="AJ291" s="17">
        <v>1.8441000000000001</v>
      </c>
      <c r="AK291" s="17">
        <v>1.5391999999999999</v>
      </c>
      <c r="AL291" s="17">
        <v>1.2259</v>
      </c>
      <c r="AM291" s="17">
        <v>0.92290000000000005</v>
      </c>
      <c r="AN291" s="17">
        <v>0.63080000000000003</v>
      </c>
      <c r="AO291" s="17">
        <v>0.36830000000000002</v>
      </c>
      <c r="AP291" s="17">
        <v>0.1072</v>
      </c>
      <c r="AQ291" s="17">
        <v>1.9800000000000002E-2</v>
      </c>
      <c r="AR291" s="17">
        <v>0</v>
      </c>
      <c r="AS291" s="17">
        <v>0</v>
      </c>
      <c r="AT291" s="17">
        <v>0</v>
      </c>
      <c r="AU291" s="17">
        <v>0</v>
      </c>
      <c r="AV291" s="17">
        <v>0</v>
      </c>
      <c r="AW291" s="17">
        <v>0</v>
      </c>
      <c r="AX291" s="17">
        <v>0</v>
      </c>
    </row>
    <row r="292" spans="1:50" x14ac:dyDescent="0.25">
      <c r="A292" s="8" t="s">
        <v>334</v>
      </c>
      <c r="B292" s="10" t="s">
        <v>57</v>
      </c>
      <c r="C292" s="18">
        <v>0</v>
      </c>
      <c r="D292" s="18">
        <v>0</v>
      </c>
      <c r="E292" s="18">
        <v>0</v>
      </c>
      <c r="F292" s="18">
        <v>0</v>
      </c>
      <c r="G292" s="18">
        <v>0</v>
      </c>
      <c r="H292" s="18">
        <v>0</v>
      </c>
      <c r="I292" s="18">
        <v>0</v>
      </c>
      <c r="J292" s="18">
        <v>0</v>
      </c>
      <c r="K292" s="18">
        <v>0</v>
      </c>
      <c r="L292" s="18">
        <v>0</v>
      </c>
      <c r="M292" s="18">
        <v>0</v>
      </c>
      <c r="N292" s="18">
        <v>0</v>
      </c>
      <c r="O292" s="18">
        <v>0</v>
      </c>
      <c r="P292" s="18">
        <v>0</v>
      </c>
      <c r="Q292" s="18">
        <v>0</v>
      </c>
      <c r="R292" s="18">
        <v>0</v>
      </c>
      <c r="S292" s="18">
        <v>0</v>
      </c>
      <c r="T292" s="18">
        <v>0</v>
      </c>
      <c r="U292" s="18">
        <v>0</v>
      </c>
      <c r="V292" s="18">
        <v>0</v>
      </c>
      <c r="W292" s="18">
        <v>0</v>
      </c>
      <c r="X292" s="18">
        <v>0</v>
      </c>
      <c r="Y292" s="18">
        <v>0</v>
      </c>
      <c r="Z292" s="18">
        <v>0</v>
      </c>
      <c r="AA292" s="18">
        <v>0</v>
      </c>
      <c r="AB292" s="18">
        <v>0</v>
      </c>
      <c r="AC292" s="18">
        <v>0</v>
      </c>
      <c r="AD292" s="18">
        <v>0</v>
      </c>
      <c r="AE292" s="18">
        <v>0</v>
      </c>
      <c r="AF292" s="18">
        <v>0</v>
      </c>
      <c r="AG292" s="18">
        <v>0</v>
      </c>
      <c r="AH292" s="18">
        <v>0</v>
      </c>
      <c r="AI292" s="18">
        <v>0</v>
      </c>
      <c r="AJ292" s="18">
        <v>0</v>
      </c>
      <c r="AK292" s="18">
        <v>0</v>
      </c>
      <c r="AL292" s="18">
        <v>0</v>
      </c>
      <c r="AM292" s="18">
        <v>0</v>
      </c>
      <c r="AN292" s="18">
        <v>0</v>
      </c>
      <c r="AO292" s="18">
        <v>0</v>
      </c>
      <c r="AP292" s="18">
        <v>0</v>
      </c>
      <c r="AQ292" s="18">
        <v>0</v>
      </c>
      <c r="AR292" s="18">
        <v>0</v>
      </c>
      <c r="AS292" s="18">
        <v>0</v>
      </c>
      <c r="AT292" s="18">
        <v>0</v>
      </c>
      <c r="AU292" s="18">
        <v>0</v>
      </c>
      <c r="AV292" s="18">
        <v>0</v>
      </c>
      <c r="AW292" s="18">
        <v>0</v>
      </c>
      <c r="AX292" s="18">
        <v>0</v>
      </c>
    </row>
    <row r="293" spans="1:50" x14ac:dyDescent="0.25">
      <c r="A293" s="8" t="s">
        <v>336</v>
      </c>
      <c r="B293" s="10" t="s">
        <v>57</v>
      </c>
      <c r="C293" s="18">
        <v>0</v>
      </c>
      <c r="D293" s="18">
        <v>0</v>
      </c>
      <c r="E293" s="18">
        <v>0</v>
      </c>
      <c r="F293" s="18">
        <v>0</v>
      </c>
      <c r="G293" s="18">
        <v>0</v>
      </c>
      <c r="H293" s="18">
        <v>0</v>
      </c>
      <c r="I293" s="18">
        <v>0</v>
      </c>
      <c r="J293" s="18">
        <v>0</v>
      </c>
      <c r="K293" s="18">
        <v>0</v>
      </c>
      <c r="L293" s="18">
        <v>0</v>
      </c>
      <c r="M293" s="18">
        <v>0</v>
      </c>
      <c r="N293" s="18">
        <v>0</v>
      </c>
      <c r="O293" s="18">
        <v>0</v>
      </c>
      <c r="P293" s="18">
        <v>0</v>
      </c>
      <c r="Q293" s="18">
        <v>0</v>
      </c>
      <c r="R293" s="18">
        <v>0</v>
      </c>
      <c r="S293" s="18">
        <v>0</v>
      </c>
      <c r="T293" s="18">
        <v>0</v>
      </c>
      <c r="U293" s="18">
        <v>0</v>
      </c>
      <c r="V293" s="18">
        <v>0</v>
      </c>
      <c r="W293" s="18">
        <v>0</v>
      </c>
      <c r="X293" s="18">
        <v>0</v>
      </c>
      <c r="Y293" s="18">
        <v>0</v>
      </c>
      <c r="Z293" s="18">
        <v>0</v>
      </c>
      <c r="AA293" s="18">
        <v>0</v>
      </c>
      <c r="AB293" s="18">
        <v>0</v>
      </c>
      <c r="AC293" s="18">
        <v>0</v>
      </c>
      <c r="AD293" s="18">
        <v>0</v>
      </c>
      <c r="AE293" s="18">
        <v>0</v>
      </c>
      <c r="AF293" s="18">
        <v>0</v>
      </c>
      <c r="AG293" s="18">
        <v>0</v>
      </c>
      <c r="AH293" s="18">
        <v>0</v>
      </c>
      <c r="AI293" s="18">
        <v>0</v>
      </c>
      <c r="AJ293" s="18">
        <v>0</v>
      </c>
      <c r="AK293" s="18">
        <v>0</v>
      </c>
      <c r="AL293" s="18">
        <v>0</v>
      </c>
      <c r="AM293" s="18">
        <v>0</v>
      </c>
      <c r="AN293" s="18">
        <v>0</v>
      </c>
      <c r="AO293" s="18">
        <v>0</v>
      </c>
      <c r="AP293" s="18">
        <v>0</v>
      </c>
      <c r="AQ293" s="18">
        <v>0</v>
      </c>
      <c r="AR293" s="18">
        <v>0</v>
      </c>
      <c r="AS293" s="18">
        <v>0</v>
      </c>
      <c r="AT293" s="18">
        <v>0</v>
      </c>
      <c r="AU293" s="18">
        <v>0</v>
      </c>
      <c r="AV293" s="18">
        <v>0</v>
      </c>
      <c r="AW293" s="18">
        <v>0</v>
      </c>
      <c r="AX293" s="18">
        <v>0</v>
      </c>
    </row>
    <row r="294" spans="1:50" x14ac:dyDescent="0.25">
      <c r="A294" s="16" t="s">
        <v>759</v>
      </c>
      <c r="B294" s="13" t="s">
        <v>464</v>
      </c>
      <c r="C294" s="17">
        <v>0</v>
      </c>
      <c r="D294" s="17">
        <v>0</v>
      </c>
      <c r="E294" s="17">
        <v>0</v>
      </c>
      <c r="F294" s="17">
        <v>0</v>
      </c>
      <c r="G294" s="17">
        <v>0</v>
      </c>
      <c r="H294" s="17">
        <v>0</v>
      </c>
      <c r="I294" s="17">
        <v>0</v>
      </c>
      <c r="J294" s="17">
        <v>2.5999999999999999E-3</v>
      </c>
      <c r="K294" s="17">
        <v>3.73E-2</v>
      </c>
      <c r="L294" s="17">
        <v>0.1744</v>
      </c>
      <c r="M294" s="17">
        <v>0.34599999999999997</v>
      </c>
      <c r="N294" s="17">
        <v>0.55640000000000001</v>
      </c>
      <c r="O294" s="17">
        <v>0.78590000000000004</v>
      </c>
      <c r="P294" s="17">
        <v>1.0183</v>
      </c>
      <c r="Q294" s="17">
        <v>1.2495000000000001</v>
      </c>
      <c r="R294" s="17">
        <v>1.4810000000000001</v>
      </c>
      <c r="S294" s="17">
        <v>1.6981999999999999</v>
      </c>
      <c r="T294" s="17">
        <v>1.9025000000000001</v>
      </c>
      <c r="U294" s="17">
        <v>2.0764</v>
      </c>
      <c r="V294" s="17">
        <v>2.2248000000000001</v>
      </c>
      <c r="W294" s="17">
        <v>2.355</v>
      </c>
      <c r="X294" s="17">
        <v>2.4624999999999999</v>
      </c>
      <c r="Y294" s="17">
        <v>2.5387</v>
      </c>
      <c r="Z294" s="17">
        <v>2.5722</v>
      </c>
      <c r="AA294" s="17">
        <v>2.5819000000000001</v>
      </c>
      <c r="AB294" s="17">
        <v>2.5636999999999999</v>
      </c>
      <c r="AC294" s="17">
        <v>2.5028999999999999</v>
      </c>
      <c r="AD294" s="17">
        <v>2.41</v>
      </c>
      <c r="AE294" s="17">
        <v>2.2991000000000001</v>
      </c>
      <c r="AF294" s="17">
        <v>2.1585999999999999</v>
      </c>
      <c r="AG294" s="17">
        <v>2.0093000000000001</v>
      </c>
      <c r="AH294" s="17">
        <v>1.8297000000000001</v>
      </c>
      <c r="AI294" s="17">
        <v>1.6274</v>
      </c>
      <c r="AJ294" s="17">
        <v>1.3831</v>
      </c>
      <c r="AK294" s="17">
        <v>1.1544000000000001</v>
      </c>
      <c r="AL294" s="17">
        <v>0.91949999999999998</v>
      </c>
      <c r="AM294" s="17">
        <v>0.69220000000000004</v>
      </c>
      <c r="AN294" s="17">
        <v>0.47310000000000002</v>
      </c>
      <c r="AO294" s="17">
        <v>0.2762</v>
      </c>
      <c r="AP294" s="17">
        <v>8.0399999999999999E-2</v>
      </c>
      <c r="AQ294" s="17">
        <v>1.4800000000000001E-2</v>
      </c>
      <c r="AR294" s="17">
        <v>0</v>
      </c>
      <c r="AS294" s="17">
        <v>0</v>
      </c>
      <c r="AT294" s="17">
        <v>0</v>
      </c>
      <c r="AU294" s="17">
        <v>0</v>
      </c>
      <c r="AV294" s="17">
        <v>0</v>
      </c>
      <c r="AW294" s="17">
        <v>0</v>
      </c>
      <c r="AX294" s="17">
        <v>0</v>
      </c>
    </row>
    <row r="295" spans="1:50" x14ac:dyDescent="0.25">
      <c r="A295" s="16" t="s">
        <v>761</v>
      </c>
      <c r="B295" s="13" t="s">
        <v>464</v>
      </c>
      <c r="C295" s="17">
        <v>0</v>
      </c>
      <c r="D295" s="17">
        <v>0</v>
      </c>
      <c r="E295" s="17">
        <v>0</v>
      </c>
      <c r="F295" s="17">
        <v>0</v>
      </c>
      <c r="G295" s="17">
        <v>0</v>
      </c>
      <c r="H295" s="17">
        <v>0</v>
      </c>
      <c r="I295" s="17">
        <v>0</v>
      </c>
      <c r="J295" s="17">
        <v>3.3999999999999998E-3</v>
      </c>
      <c r="K295" s="17">
        <v>4.9700000000000001E-2</v>
      </c>
      <c r="L295" s="17">
        <v>0.2326</v>
      </c>
      <c r="M295" s="17">
        <v>0.46129999999999999</v>
      </c>
      <c r="N295" s="17">
        <v>0.7419</v>
      </c>
      <c r="O295" s="17">
        <v>1.0479000000000001</v>
      </c>
      <c r="P295" s="17">
        <v>1.3576999999999999</v>
      </c>
      <c r="Q295" s="17">
        <v>1.6659999999999999</v>
      </c>
      <c r="R295" s="17">
        <v>1.9745999999999999</v>
      </c>
      <c r="S295" s="17">
        <v>2.2643</v>
      </c>
      <c r="T295" s="17">
        <v>2.5367000000000002</v>
      </c>
      <c r="U295" s="17">
        <v>2.7686000000000002</v>
      </c>
      <c r="V295" s="17">
        <v>2.9664000000000001</v>
      </c>
      <c r="W295" s="17">
        <v>3.14</v>
      </c>
      <c r="X295" s="17">
        <v>3.2833000000000001</v>
      </c>
      <c r="Y295" s="17">
        <v>3.3849999999999998</v>
      </c>
      <c r="Z295" s="17">
        <v>3.4296000000000002</v>
      </c>
      <c r="AA295" s="17">
        <v>3.4424999999999999</v>
      </c>
      <c r="AB295" s="17">
        <v>3.4182999999999999</v>
      </c>
      <c r="AC295" s="17">
        <v>3.3372000000000002</v>
      </c>
      <c r="AD295" s="17">
        <v>3.2132999999999998</v>
      </c>
      <c r="AE295" s="17">
        <v>3.0655000000000001</v>
      </c>
      <c r="AF295" s="17">
        <v>2.8782000000000001</v>
      </c>
      <c r="AG295" s="17">
        <v>2.6791</v>
      </c>
      <c r="AH295" s="17">
        <v>2.4396</v>
      </c>
      <c r="AI295" s="17">
        <v>2.1698</v>
      </c>
      <c r="AJ295" s="17">
        <v>1.8441000000000001</v>
      </c>
      <c r="AK295" s="17">
        <v>1.5391999999999999</v>
      </c>
      <c r="AL295" s="17">
        <v>1.2259</v>
      </c>
      <c r="AM295" s="17">
        <v>0.92290000000000005</v>
      </c>
      <c r="AN295" s="17">
        <v>0.63080000000000003</v>
      </c>
      <c r="AO295" s="17">
        <v>0.36830000000000002</v>
      </c>
      <c r="AP295" s="17">
        <v>0.1072</v>
      </c>
      <c r="AQ295" s="17">
        <v>1.9800000000000002E-2</v>
      </c>
      <c r="AR295" s="17">
        <v>0</v>
      </c>
      <c r="AS295" s="17">
        <v>0</v>
      </c>
      <c r="AT295" s="17">
        <v>0</v>
      </c>
      <c r="AU295" s="17">
        <v>0</v>
      </c>
      <c r="AV295" s="17">
        <v>0</v>
      </c>
      <c r="AW295" s="17">
        <v>0</v>
      </c>
      <c r="AX295" s="17">
        <v>0</v>
      </c>
    </row>
    <row r="296" spans="1:50" x14ac:dyDescent="0.25">
      <c r="A296" s="16" t="s">
        <v>763</v>
      </c>
      <c r="B296" s="13" t="s">
        <v>464</v>
      </c>
      <c r="C296" s="17">
        <v>0</v>
      </c>
      <c r="D296" s="17">
        <v>0</v>
      </c>
      <c r="E296" s="17">
        <v>0</v>
      </c>
      <c r="F296" s="17">
        <v>0</v>
      </c>
      <c r="G296" s="17">
        <v>0</v>
      </c>
      <c r="H296" s="17">
        <v>0</v>
      </c>
      <c r="I296" s="17">
        <v>0</v>
      </c>
      <c r="J296" s="17">
        <v>2.2000000000000001E-3</v>
      </c>
      <c r="K296" s="17">
        <v>3.1099999999999999E-2</v>
      </c>
      <c r="L296" s="17">
        <v>0.1454</v>
      </c>
      <c r="M296" s="17">
        <v>0.2883</v>
      </c>
      <c r="N296" s="17">
        <v>0.4637</v>
      </c>
      <c r="O296" s="17">
        <v>0.65490000000000004</v>
      </c>
      <c r="P296" s="17">
        <v>0.84860000000000002</v>
      </c>
      <c r="Q296" s="17">
        <v>1.0411999999999999</v>
      </c>
      <c r="R296" s="17">
        <v>1.2341</v>
      </c>
      <c r="S296" s="17">
        <v>1.4152</v>
      </c>
      <c r="T296" s="17">
        <v>1.5853999999999999</v>
      </c>
      <c r="U296" s="17">
        <v>1.7303999999999999</v>
      </c>
      <c r="V296" s="17">
        <v>1.8540000000000001</v>
      </c>
      <c r="W296" s="17">
        <v>1.9624999999999999</v>
      </c>
      <c r="X296" s="17">
        <v>2.0520999999999998</v>
      </c>
      <c r="Y296" s="17">
        <v>2.1156000000000001</v>
      </c>
      <c r="Z296" s="17">
        <v>2.1435</v>
      </c>
      <c r="AA296" s="17">
        <v>2.1516000000000002</v>
      </c>
      <c r="AB296" s="17">
        <v>2.1364999999999998</v>
      </c>
      <c r="AC296" s="17">
        <v>2.0857000000000001</v>
      </c>
      <c r="AD296" s="17">
        <v>2.0083000000000002</v>
      </c>
      <c r="AE296" s="17">
        <v>1.9158999999999999</v>
      </c>
      <c r="AF296" s="17">
        <v>1.7988999999999999</v>
      </c>
      <c r="AG296" s="17">
        <v>1.6745000000000001</v>
      </c>
      <c r="AH296" s="17">
        <v>1.5246999999999999</v>
      </c>
      <c r="AI296" s="17">
        <v>1.3561000000000001</v>
      </c>
      <c r="AJ296" s="17">
        <v>1.1525000000000001</v>
      </c>
      <c r="AK296" s="17">
        <v>0.96199999999999997</v>
      </c>
      <c r="AL296" s="17">
        <v>0.76619999999999999</v>
      </c>
      <c r="AM296" s="17">
        <v>0.57679999999999998</v>
      </c>
      <c r="AN296" s="17">
        <v>0.39419999999999999</v>
      </c>
      <c r="AO296" s="17">
        <v>0.23019999999999999</v>
      </c>
      <c r="AP296" s="17">
        <v>6.7000000000000004E-2</v>
      </c>
      <c r="AQ296" s="17">
        <v>1.24E-2</v>
      </c>
      <c r="AR296" s="17">
        <v>0</v>
      </c>
      <c r="AS296" s="17">
        <v>0</v>
      </c>
      <c r="AT296" s="17">
        <v>0</v>
      </c>
      <c r="AU296" s="17">
        <v>0</v>
      </c>
      <c r="AV296" s="17">
        <v>0</v>
      </c>
      <c r="AW296" s="17">
        <v>0</v>
      </c>
      <c r="AX296" s="17">
        <v>0</v>
      </c>
    </row>
    <row r="297" spans="1:50" x14ac:dyDescent="0.25">
      <c r="A297" s="16" t="s">
        <v>765</v>
      </c>
      <c r="B297" s="13" t="s">
        <v>464</v>
      </c>
      <c r="C297" s="17">
        <v>0</v>
      </c>
      <c r="D297" s="17">
        <v>0</v>
      </c>
      <c r="E297" s="17">
        <v>0</v>
      </c>
      <c r="F297" s="17">
        <v>0</v>
      </c>
      <c r="G297" s="17">
        <v>0</v>
      </c>
      <c r="H297" s="17">
        <v>0</v>
      </c>
      <c r="I297" s="17">
        <v>0</v>
      </c>
      <c r="J297" s="17">
        <v>2.2000000000000001E-3</v>
      </c>
      <c r="K297" s="17">
        <v>3.1099999999999999E-2</v>
      </c>
      <c r="L297" s="17">
        <v>0.1454</v>
      </c>
      <c r="M297" s="17">
        <v>0.2883</v>
      </c>
      <c r="N297" s="17">
        <v>0.4637</v>
      </c>
      <c r="O297" s="17">
        <v>0.65490000000000004</v>
      </c>
      <c r="P297" s="17">
        <v>0.84860000000000002</v>
      </c>
      <c r="Q297" s="17">
        <v>1.0411999999999999</v>
      </c>
      <c r="R297" s="17">
        <v>1.2341</v>
      </c>
      <c r="S297" s="17">
        <v>1.4152</v>
      </c>
      <c r="T297" s="17">
        <v>1.5853999999999999</v>
      </c>
      <c r="U297" s="17">
        <v>1.7303999999999999</v>
      </c>
      <c r="V297" s="17">
        <v>1.8540000000000001</v>
      </c>
      <c r="W297" s="17">
        <v>1.9624999999999999</v>
      </c>
      <c r="X297" s="17">
        <v>2.0520999999999998</v>
      </c>
      <c r="Y297" s="17">
        <v>2.1156000000000001</v>
      </c>
      <c r="Z297" s="17">
        <v>2.1435</v>
      </c>
      <c r="AA297" s="17">
        <v>2.1516000000000002</v>
      </c>
      <c r="AB297" s="17">
        <v>2.1364999999999998</v>
      </c>
      <c r="AC297" s="17">
        <v>2.0857000000000001</v>
      </c>
      <c r="AD297" s="17">
        <v>2.0083000000000002</v>
      </c>
      <c r="AE297" s="17">
        <v>1.9158999999999999</v>
      </c>
      <c r="AF297" s="17">
        <v>1.7988999999999999</v>
      </c>
      <c r="AG297" s="17">
        <v>1.6745000000000001</v>
      </c>
      <c r="AH297" s="17">
        <v>1.5246999999999999</v>
      </c>
      <c r="AI297" s="17">
        <v>1.3561000000000001</v>
      </c>
      <c r="AJ297" s="17">
        <v>1.1525000000000001</v>
      </c>
      <c r="AK297" s="17">
        <v>0.96199999999999997</v>
      </c>
      <c r="AL297" s="17">
        <v>0.76619999999999999</v>
      </c>
      <c r="AM297" s="17">
        <v>0.57679999999999998</v>
      </c>
      <c r="AN297" s="17">
        <v>0.39419999999999999</v>
      </c>
      <c r="AO297" s="17">
        <v>0.23019999999999999</v>
      </c>
      <c r="AP297" s="17">
        <v>6.7000000000000004E-2</v>
      </c>
      <c r="AQ297" s="17">
        <v>1.24E-2</v>
      </c>
      <c r="AR297" s="17">
        <v>0</v>
      </c>
      <c r="AS297" s="17">
        <v>0</v>
      </c>
      <c r="AT297" s="17">
        <v>0</v>
      </c>
      <c r="AU297" s="17">
        <v>0</v>
      </c>
      <c r="AV297" s="17">
        <v>0</v>
      </c>
      <c r="AW297" s="17">
        <v>0</v>
      </c>
      <c r="AX297" s="17">
        <v>0</v>
      </c>
    </row>
    <row r="298" spans="1:50" x14ac:dyDescent="0.25">
      <c r="A298" s="8" t="s">
        <v>338</v>
      </c>
      <c r="B298" s="10" t="s">
        <v>57</v>
      </c>
      <c r="C298" s="18">
        <v>0</v>
      </c>
      <c r="D298" s="18">
        <v>0</v>
      </c>
      <c r="E298" s="18">
        <v>0</v>
      </c>
      <c r="F298" s="18">
        <v>0</v>
      </c>
      <c r="G298" s="18">
        <v>0</v>
      </c>
      <c r="H298" s="18">
        <v>0</v>
      </c>
      <c r="I298" s="18">
        <v>0</v>
      </c>
      <c r="J298" s="18">
        <v>0</v>
      </c>
      <c r="K298" s="18">
        <v>0</v>
      </c>
      <c r="L298" s="18">
        <v>0</v>
      </c>
      <c r="M298" s="18">
        <v>0</v>
      </c>
      <c r="N298" s="18">
        <v>0</v>
      </c>
      <c r="O298" s="18">
        <v>0</v>
      </c>
      <c r="P298" s="18">
        <v>0</v>
      </c>
      <c r="Q298" s="18">
        <v>0</v>
      </c>
      <c r="R298" s="18">
        <v>0</v>
      </c>
      <c r="S298" s="18">
        <v>0</v>
      </c>
      <c r="T298" s="18">
        <v>0</v>
      </c>
      <c r="U298" s="18">
        <v>0</v>
      </c>
      <c r="V298" s="18">
        <v>0</v>
      </c>
      <c r="W298" s="18">
        <v>0</v>
      </c>
      <c r="X298" s="18">
        <v>0</v>
      </c>
      <c r="Y298" s="18">
        <v>0</v>
      </c>
      <c r="Z298" s="18">
        <v>0</v>
      </c>
      <c r="AA298" s="18">
        <v>0</v>
      </c>
      <c r="AB298" s="18">
        <v>0</v>
      </c>
      <c r="AC298" s="18">
        <v>0</v>
      </c>
      <c r="AD298" s="18">
        <v>0</v>
      </c>
      <c r="AE298" s="18">
        <v>0</v>
      </c>
      <c r="AF298" s="18">
        <v>0</v>
      </c>
      <c r="AG298" s="18">
        <v>0</v>
      </c>
      <c r="AH298" s="18">
        <v>0</v>
      </c>
      <c r="AI298" s="18">
        <v>0</v>
      </c>
      <c r="AJ298" s="18">
        <v>0</v>
      </c>
      <c r="AK298" s="18">
        <v>0</v>
      </c>
      <c r="AL298" s="18">
        <v>0</v>
      </c>
      <c r="AM298" s="18">
        <v>0</v>
      </c>
      <c r="AN298" s="18">
        <v>0</v>
      </c>
      <c r="AO298" s="18">
        <v>0</v>
      </c>
      <c r="AP298" s="18">
        <v>0</v>
      </c>
      <c r="AQ298" s="18">
        <v>0</v>
      </c>
      <c r="AR298" s="18">
        <v>0</v>
      </c>
      <c r="AS298" s="18">
        <v>0</v>
      </c>
      <c r="AT298" s="18">
        <v>0</v>
      </c>
      <c r="AU298" s="18">
        <v>0</v>
      </c>
      <c r="AV298" s="18">
        <v>0</v>
      </c>
      <c r="AW298" s="18">
        <v>0</v>
      </c>
      <c r="AX298" s="18">
        <v>0</v>
      </c>
    </row>
    <row r="299" spans="1:50" x14ac:dyDescent="0.25">
      <c r="A299" s="16" t="s">
        <v>767</v>
      </c>
      <c r="B299" s="13" t="s">
        <v>464</v>
      </c>
      <c r="C299" s="17">
        <v>0</v>
      </c>
      <c r="D299" s="17">
        <v>0</v>
      </c>
      <c r="E299" s="17">
        <v>0</v>
      </c>
      <c r="F299" s="17">
        <v>0</v>
      </c>
      <c r="G299" s="17">
        <v>0</v>
      </c>
      <c r="H299" s="17">
        <v>0</v>
      </c>
      <c r="I299" s="17">
        <v>0</v>
      </c>
      <c r="J299" s="17">
        <v>3.0000000000000001E-3</v>
      </c>
      <c r="K299" s="17">
        <v>4.3499999999999997E-2</v>
      </c>
      <c r="L299" s="17">
        <v>0.20349999999999999</v>
      </c>
      <c r="M299" s="17">
        <v>0.4037</v>
      </c>
      <c r="N299" s="17">
        <v>0.64910000000000001</v>
      </c>
      <c r="O299" s="17">
        <v>0.91690000000000005</v>
      </c>
      <c r="P299" s="17">
        <v>1.1879999999999999</v>
      </c>
      <c r="Q299" s="17">
        <v>1.4577</v>
      </c>
      <c r="R299" s="17">
        <v>1.7278</v>
      </c>
      <c r="S299" s="17">
        <v>1.9813000000000001</v>
      </c>
      <c r="T299" s="17">
        <v>2.2195999999999998</v>
      </c>
      <c r="U299" s="17">
        <v>2.4224999999999999</v>
      </c>
      <c r="V299" s="17">
        <v>2.5956000000000001</v>
      </c>
      <c r="W299" s="17">
        <v>2.7475000000000001</v>
      </c>
      <c r="X299" s="17">
        <v>2.8729</v>
      </c>
      <c r="Y299" s="17">
        <v>2.9619</v>
      </c>
      <c r="Z299" s="17">
        <v>3.0009000000000001</v>
      </c>
      <c r="AA299" s="17">
        <v>3.0122</v>
      </c>
      <c r="AB299" s="17">
        <v>2.9910000000000001</v>
      </c>
      <c r="AC299" s="17">
        <v>2.92</v>
      </c>
      <c r="AD299" s="17">
        <v>2.8117000000000001</v>
      </c>
      <c r="AE299" s="17">
        <v>2.6823000000000001</v>
      </c>
      <c r="AF299" s="17">
        <v>2.5184000000000002</v>
      </c>
      <c r="AG299" s="17">
        <v>2.3441999999999998</v>
      </c>
      <c r="AH299" s="17">
        <v>2.1345999999999998</v>
      </c>
      <c r="AI299" s="17">
        <v>1.8986000000000001</v>
      </c>
      <c r="AJ299" s="17">
        <v>1.6135999999999999</v>
      </c>
      <c r="AK299" s="17">
        <v>1.3468</v>
      </c>
      <c r="AL299" s="17">
        <v>1.0727</v>
      </c>
      <c r="AM299" s="17">
        <v>0.80759999999999998</v>
      </c>
      <c r="AN299" s="17">
        <v>0.55189999999999995</v>
      </c>
      <c r="AO299" s="17">
        <v>0.32229999999999998</v>
      </c>
      <c r="AP299" s="17">
        <v>9.3799999999999994E-2</v>
      </c>
      <c r="AQ299" s="17">
        <v>1.7299999999999999E-2</v>
      </c>
      <c r="AR299" s="17">
        <v>0</v>
      </c>
      <c r="AS299" s="17">
        <v>0</v>
      </c>
      <c r="AT299" s="17">
        <v>0</v>
      </c>
      <c r="AU299" s="17">
        <v>0</v>
      </c>
      <c r="AV299" s="17">
        <v>0</v>
      </c>
      <c r="AW299" s="17">
        <v>0</v>
      </c>
      <c r="AX299" s="17">
        <v>0</v>
      </c>
    </row>
    <row r="300" spans="1:50" x14ac:dyDescent="0.25">
      <c r="A300" s="8" t="s">
        <v>340</v>
      </c>
      <c r="B300" s="10" t="s">
        <v>57</v>
      </c>
      <c r="C300" s="18">
        <v>0</v>
      </c>
      <c r="D300" s="18">
        <v>0</v>
      </c>
      <c r="E300" s="18">
        <v>0</v>
      </c>
      <c r="F300" s="18">
        <v>0</v>
      </c>
      <c r="G300" s="18">
        <v>0</v>
      </c>
      <c r="H300" s="18">
        <v>0</v>
      </c>
      <c r="I300" s="18">
        <v>0</v>
      </c>
      <c r="J300" s="18">
        <v>0</v>
      </c>
      <c r="K300" s="18">
        <v>0</v>
      </c>
      <c r="L300" s="18">
        <v>0</v>
      </c>
      <c r="M300" s="18">
        <v>0</v>
      </c>
      <c r="N300" s="18">
        <v>0</v>
      </c>
      <c r="O300" s="18">
        <v>0</v>
      </c>
      <c r="P300" s="18">
        <v>0</v>
      </c>
      <c r="Q300" s="18">
        <v>0</v>
      </c>
      <c r="R300" s="18">
        <v>0</v>
      </c>
      <c r="S300" s="18">
        <v>0</v>
      </c>
      <c r="T300" s="18">
        <v>0</v>
      </c>
      <c r="U300" s="18">
        <v>0</v>
      </c>
      <c r="V300" s="18">
        <v>0</v>
      </c>
      <c r="W300" s="18">
        <v>0</v>
      </c>
      <c r="X300" s="18">
        <v>0</v>
      </c>
      <c r="Y300" s="18">
        <v>0</v>
      </c>
      <c r="Z300" s="18">
        <v>0</v>
      </c>
      <c r="AA300" s="18">
        <v>0</v>
      </c>
      <c r="AB300" s="18">
        <v>0</v>
      </c>
      <c r="AC300" s="18">
        <v>0</v>
      </c>
      <c r="AD300" s="18">
        <v>0</v>
      </c>
      <c r="AE300" s="18">
        <v>0</v>
      </c>
      <c r="AF300" s="18">
        <v>0</v>
      </c>
      <c r="AG300" s="18">
        <v>0</v>
      </c>
      <c r="AH300" s="18">
        <v>0</v>
      </c>
      <c r="AI300" s="18">
        <v>0</v>
      </c>
      <c r="AJ300" s="18">
        <v>0</v>
      </c>
      <c r="AK300" s="18">
        <v>0</v>
      </c>
      <c r="AL300" s="18">
        <v>0</v>
      </c>
      <c r="AM300" s="18">
        <v>0</v>
      </c>
      <c r="AN300" s="18">
        <v>0</v>
      </c>
      <c r="AO300" s="18">
        <v>0</v>
      </c>
      <c r="AP300" s="18">
        <v>0</v>
      </c>
      <c r="AQ300" s="18">
        <v>0</v>
      </c>
      <c r="AR300" s="18">
        <v>0</v>
      </c>
      <c r="AS300" s="18">
        <v>0</v>
      </c>
      <c r="AT300" s="18">
        <v>0</v>
      </c>
      <c r="AU300" s="18">
        <v>0</v>
      </c>
      <c r="AV300" s="18">
        <v>0</v>
      </c>
      <c r="AW300" s="18">
        <v>0</v>
      </c>
      <c r="AX300" s="18">
        <v>0</v>
      </c>
    </row>
    <row r="301" spans="1:50" x14ac:dyDescent="0.25">
      <c r="A301" s="16" t="s">
        <v>769</v>
      </c>
      <c r="B301" s="13" t="s">
        <v>464</v>
      </c>
      <c r="C301" s="17">
        <v>0</v>
      </c>
      <c r="D301" s="17">
        <v>0</v>
      </c>
      <c r="E301" s="17">
        <v>0</v>
      </c>
      <c r="F301" s="17">
        <v>0</v>
      </c>
      <c r="G301" s="17">
        <v>0</v>
      </c>
      <c r="H301" s="17">
        <v>0</v>
      </c>
      <c r="I301" s="17">
        <v>0</v>
      </c>
      <c r="J301" s="17">
        <v>1.6999999999999999E-3</v>
      </c>
      <c r="K301" s="17">
        <v>2.4899999999999999E-2</v>
      </c>
      <c r="L301" s="17">
        <v>0.1163</v>
      </c>
      <c r="M301" s="17">
        <v>0.23069999999999999</v>
      </c>
      <c r="N301" s="17">
        <v>0.37090000000000001</v>
      </c>
      <c r="O301" s="17">
        <v>0.52400000000000002</v>
      </c>
      <c r="P301" s="17">
        <v>0.67889999999999995</v>
      </c>
      <c r="Q301" s="17">
        <v>0.83299999999999996</v>
      </c>
      <c r="R301" s="17">
        <v>0.98729999999999996</v>
      </c>
      <c r="S301" s="17">
        <v>1.1322000000000001</v>
      </c>
      <c r="T301" s="17">
        <v>1.2683</v>
      </c>
      <c r="U301" s="17">
        <v>1.3843000000000001</v>
      </c>
      <c r="V301" s="17">
        <v>1.4832000000000001</v>
      </c>
      <c r="W301" s="17">
        <v>1.57</v>
      </c>
      <c r="X301" s="17">
        <v>1.6416999999999999</v>
      </c>
      <c r="Y301" s="17">
        <v>1.6924999999999999</v>
      </c>
      <c r="Z301" s="17">
        <v>1.7148000000000001</v>
      </c>
      <c r="AA301" s="17">
        <v>1.7212000000000001</v>
      </c>
      <c r="AB301" s="17">
        <v>1.7092000000000001</v>
      </c>
      <c r="AC301" s="17">
        <v>1.6686000000000001</v>
      </c>
      <c r="AD301" s="17">
        <v>1.6067</v>
      </c>
      <c r="AE301" s="17">
        <v>1.5327999999999999</v>
      </c>
      <c r="AF301" s="17">
        <v>1.4391</v>
      </c>
      <c r="AG301" s="17">
        <v>1.3395999999999999</v>
      </c>
      <c r="AH301" s="17">
        <v>1.2198</v>
      </c>
      <c r="AI301" s="17">
        <v>1.0849</v>
      </c>
      <c r="AJ301" s="17">
        <v>0.92200000000000004</v>
      </c>
      <c r="AK301" s="17">
        <v>0.76959999999999995</v>
      </c>
      <c r="AL301" s="17">
        <v>0.61299999999999999</v>
      </c>
      <c r="AM301" s="17">
        <v>0.46150000000000002</v>
      </c>
      <c r="AN301" s="17">
        <v>0.31540000000000001</v>
      </c>
      <c r="AO301" s="17">
        <v>0.1842</v>
      </c>
      <c r="AP301" s="17">
        <v>5.3600000000000002E-2</v>
      </c>
      <c r="AQ301" s="17">
        <v>9.9000000000000008E-3</v>
      </c>
      <c r="AR301" s="17">
        <v>0</v>
      </c>
      <c r="AS301" s="17">
        <v>0</v>
      </c>
      <c r="AT301" s="17">
        <v>0</v>
      </c>
      <c r="AU301" s="17">
        <v>0</v>
      </c>
      <c r="AV301" s="17">
        <v>0</v>
      </c>
      <c r="AW301" s="17">
        <v>0</v>
      </c>
      <c r="AX301" s="17">
        <v>0</v>
      </c>
    </row>
    <row r="302" spans="1:50" x14ac:dyDescent="0.25">
      <c r="A302" s="8" t="s">
        <v>342</v>
      </c>
      <c r="B302" s="10" t="s">
        <v>57</v>
      </c>
      <c r="C302" s="18">
        <v>0</v>
      </c>
      <c r="D302" s="18">
        <v>0</v>
      </c>
      <c r="E302" s="18">
        <v>0</v>
      </c>
      <c r="F302" s="18">
        <v>0</v>
      </c>
      <c r="G302" s="18">
        <v>0</v>
      </c>
      <c r="H302" s="18">
        <v>0</v>
      </c>
      <c r="I302" s="18">
        <v>0</v>
      </c>
      <c r="J302" s="18">
        <v>0</v>
      </c>
      <c r="K302" s="18">
        <v>0</v>
      </c>
      <c r="L302" s="18">
        <v>0</v>
      </c>
      <c r="M302" s="18">
        <v>0</v>
      </c>
      <c r="N302" s="18">
        <v>0</v>
      </c>
      <c r="O302" s="18">
        <v>0</v>
      </c>
      <c r="P302" s="18">
        <v>0</v>
      </c>
      <c r="Q302" s="18">
        <v>0</v>
      </c>
      <c r="R302" s="18">
        <v>0</v>
      </c>
      <c r="S302" s="18">
        <v>0</v>
      </c>
      <c r="T302" s="18">
        <v>0</v>
      </c>
      <c r="U302" s="18">
        <v>0</v>
      </c>
      <c r="V302" s="18">
        <v>0</v>
      </c>
      <c r="W302" s="18">
        <v>0</v>
      </c>
      <c r="X302" s="18">
        <v>0</v>
      </c>
      <c r="Y302" s="18">
        <v>0</v>
      </c>
      <c r="Z302" s="18">
        <v>0</v>
      </c>
      <c r="AA302" s="18">
        <v>0</v>
      </c>
      <c r="AB302" s="18">
        <v>0</v>
      </c>
      <c r="AC302" s="18">
        <v>0</v>
      </c>
      <c r="AD302" s="18">
        <v>0</v>
      </c>
      <c r="AE302" s="18">
        <v>0</v>
      </c>
      <c r="AF302" s="18">
        <v>0</v>
      </c>
      <c r="AG302" s="18">
        <v>0</v>
      </c>
      <c r="AH302" s="18">
        <v>0</v>
      </c>
      <c r="AI302" s="18">
        <v>0</v>
      </c>
      <c r="AJ302" s="18">
        <v>0</v>
      </c>
      <c r="AK302" s="18">
        <v>0</v>
      </c>
      <c r="AL302" s="18">
        <v>0</v>
      </c>
      <c r="AM302" s="18">
        <v>0</v>
      </c>
      <c r="AN302" s="18">
        <v>0</v>
      </c>
      <c r="AO302" s="18">
        <v>0</v>
      </c>
      <c r="AP302" s="18">
        <v>0</v>
      </c>
      <c r="AQ302" s="18">
        <v>0</v>
      </c>
      <c r="AR302" s="18">
        <v>0</v>
      </c>
      <c r="AS302" s="18">
        <v>0</v>
      </c>
      <c r="AT302" s="18">
        <v>0</v>
      </c>
      <c r="AU302" s="18">
        <v>0</v>
      </c>
      <c r="AV302" s="18">
        <v>0</v>
      </c>
      <c r="AW302" s="18">
        <v>0</v>
      </c>
      <c r="AX302" s="18">
        <v>0</v>
      </c>
    </row>
    <row r="303" spans="1:50" x14ac:dyDescent="0.25">
      <c r="A303" s="16" t="s">
        <v>771</v>
      </c>
      <c r="B303" s="13" t="s">
        <v>464</v>
      </c>
      <c r="C303" s="17">
        <v>0</v>
      </c>
      <c r="D303" s="17">
        <v>0</v>
      </c>
      <c r="E303" s="17">
        <v>0</v>
      </c>
      <c r="F303" s="17">
        <v>0</v>
      </c>
      <c r="G303" s="17">
        <v>0</v>
      </c>
      <c r="H303" s="17">
        <v>0</v>
      </c>
      <c r="I303" s="17">
        <v>0</v>
      </c>
      <c r="J303" s="17">
        <v>1.6999999999999999E-3</v>
      </c>
      <c r="K303" s="17">
        <v>2.4899999999999999E-2</v>
      </c>
      <c r="L303" s="17">
        <v>0.1163</v>
      </c>
      <c r="M303" s="17">
        <v>0.23069999999999999</v>
      </c>
      <c r="N303" s="17">
        <v>0.37090000000000001</v>
      </c>
      <c r="O303" s="17">
        <v>0.52400000000000002</v>
      </c>
      <c r="P303" s="17">
        <v>0.67889999999999995</v>
      </c>
      <c r="Q303" s="17">
        <v>0.83299999999999996</v>
      </c>
      <c r="R303" s="17">
        <v>0.98729999999999996</v>
      </c>
      <c r="S303" s="17">
        <v>1.1322000000000001</v>
      </c>
      <c r="T303" s="17">
        <v>1.2683</v>
      </c>
      <c r="U303" s="17">
        <v>1.3843000000000001</v>
      </c>
      <c r="V303" s="17">
        <v>1.4832000000000001</v>
      </c>
      <c r="W303" s="17">
        <v>1.57</v>
      </c>
      <c r="X303" s="17">
        <v>1.6416999999999999</v>
      </c>
      <c r="Y303" s="17">
        <v>1.6924999999999999</v>
      </c>
      <c r="Z303" s="17">
        <v>1.7148000000000001</v>
      </c>
      <c r="AA303" s="17">
        <v>1.7212000000000001</v>
      </c>
      <c r="AB303" s="17">
        <v>1.7092000000000001</v>
      </c>
      <c r="AC303" s="17">
        <v>1.6686000000000001</v>
      </c>
      <c r="AD303" s="17">
        <v>1.6067</v>
      </c>
      <c r="AE303" s="17">
        <v>1.5327999999999999</v>
      </c>
      <c r="AF303" s="17">
        <v>1.4391</v>
      </c>
      <c r="AG303" s="17">
        <v>1.3395999999999999</v>
      </c>
      <c r="AH303" s="17">
        <v>1.2198</v>
      </c>
      <c r="AI303" s="17">
        <v>1.0849</v>
      </c>
      <c r="AJ303" s="17">
        <v>0.92200000000000004</v>
      </c>
      <c r="AK303" s="17">
        <v>0.76959999999999995</v>
      </c>
      <c r="AL303" s="17">
        <v>0.61299999999999999</v>
      </c>
      <c r="AM303" s="17">
        <v>0.46150000000000002</v>
      </c>
      <c r="AN303" s="17">
        <v>0.31540000000000001</v>
      </c>
      <c r="AO303" s="17">
        <v>0.1842</v>
      </c>
      <c r="AP303" s="17">
        <v>5.3600000000000002E-2</v>
      </c>
      <c r="AQ303" s="17">
        <v>9.9000000000000008E-3</v>
      </c>
      <c r="AR303" s="17">
        <v>0</v>
      </c>
      <c r="AS303" s="17">
        <v>0</v>
      </c>
      <c r="AT303" s="17">
        <v>0</v>
      </c>
      <c r="AU303" s="17">
        <v>0</v>
      </c>
      <c r="AV303" s="17">
        <v>0</v>
      </c>
      <c r="AW303" s="17">
        <v>0</v>
      </c>
      <c r="AX303" s="17">
        <v>0</v>
      </c>
    </row>
    <row r="304" spans="1:50" x14ac:dyDescent="0.25">
      <c r="A304" s="16" t="s">
        <v>773</v>
      </c>
      <c r="B304" s="13" t="s">
        <v>464</v>
      </c>
      <c r="C304" s="17">
        <v>0</v>
      </c>
      <c r="D304" s="17">
        <v>0</v>
      </c>
      <c r="E304" s="17">
        <v>0</v>
      </c>
      <c r="F304" s="17">
        <v>0</v>
      </c>
      <c r="G304" s="17">
        <v>0</v>
      </c>
      <c r="H304" s="17">
        <v>0</v>
      </c>
      <c r="I304" s="17">
        <v>0</v>
      </c>
      <c r="J304" s="17">
        <v>3.3999999999999998E-3</v>
      </c>
      <c r="K304" s="17">
        <v>4.9700000000000001E-2</v>
      </c>
      <c r="L304" s="17">
        <v>0.2326</v>
      </c>
      <c r="M304" s="17">
        <v>0.46129999999999999</v>
      </c>
      <c r="N304" s="17">
        <v>0.7419</v>
      </c>
      <c r="O304" s="17">
        <v>1.0479000000000001</v>
      </c>
      <c r="P304" s="17">
        <v>1.3576999999999999</v>
      </c>
      <c r="Q304" s="17">
        <v>1.6659999999999999</v>
      </c>
      <c r="R304" s="17">
        <v>1.9745999999999999</v>
      </c>
      <c r="S304" s="17">
        <v>2.2643</v>
      </c>
      <c r="T304" s="17">
        <v>2.5367000000000002</v>
      </c>
      <c r="U304" s="17">
        <v>2.7686000000000002</v>
      </c>
      <c r="V304" s="17">
        <v>2.9664000000000001</v>
      </c>
      <c r="W304" s="17">
        <v>3.14</v>
      </c>
      <c r="X304" s="17">
        <v>3.2833000000000001</v>
      </c>
      <c r="Y304" s="17">
        <v>3.3849999999999998</v>
      </c>
      <c r="Z304" s="17">
        <v>3.4296000000000002</v>
      </c>
      <c r="AA304" s="17">
        <v>3.4424999999999999</v>
      </c>
      <c r="AB304" s="17">
        <v>3.4182999999999999</v>
      </c>
      <c r="AC304" s="17">
        <v>3.3372000000000002</v>
      </c>
      <c r="AD304" s="17">
        <v>3.2132999999999998</v>
      </c>
      <c r="AE304" s="17">
        <v>3.0655000000000001</v>
      </c>
      <c r="AF304" s="17">
        <v>2.8782000000000001</v>
      </c>
      <c r="AG304" s="17">
        <v>2.6791</v>
      </c>
      <c r="AH304" s="17">
        <v>2.4396</v>
      </c>
      <c r="AI304" s="17">
        <v>2.1698</v>
      </c>
      <c r="AJ304" s="17">
        <v>1.8441000000000001</v>
      </c>
      <c r="AK304" s="17">
        <v>1.5391999999999999</v>
      </c>
      <c r="AL304" s="17">
        <v>1.2259</v>
      </c>
      <c r="AM304" s="17">
        <v>0.92290000000000005</v>
      </c>
      <c r="AN304" s="17">
        <v>0.63080000000000003</v>
      </c>
      <c r="AO304" s="17">
        <v>0.36830000000000002</v>
      </c>
      <c r="AP304" s="17">
        <v>0.1072</v>
      </c>
      <c r="AQ304" s="17">
        <v>1.9800000000000002E-2</v>
      </c>
      <c r="AR304" s="17">
        <v>0</v>
      </c>
      <c r="AS304" s="17">
        <v>0</v>
      </c>
      <c r="AT304" s="17">
        <v>0</v>
      </c>
      <c r="AU304" s="17">
        <v>0</v>
      </c>
      <c r="AV304" s="17">
        <v>0</v>
      </c>
      <c r="AW304" s="17">
        <v>0</v>
      </c>
      <c r="AX304" s="17">
        <v>0</v>
      </c>
    </row>
    <row r="305" spans="1:50" x14ac:dyDescent="0.25">
      <c r="A305" s="16" t="s">
        <v>775</v>
      </c>
      <c r="B305" s="13" t="s">
        <v>464</v>
      </c>
      <c r="C305" s="17">
        <v>0</v>
      </c>
      <c r="D305" s="17">
        <v>0</v>
      </c>
      <c r="E305" s="17">
        <v>0</v>
      </c>
      <c r="F305" s="17">
        <v>0</v>
      </c>
      <c r="G305" s="17">
        <v>0</v>
      </c>
      <c r="H305" s="17">
        <v>0</v>
      </c>
      <c r="I305" s="17">
        <v>0</v>
      </c>
      <c r="J305" s="17">
        <v>2.5999999999999999E-3</v>
      </c>
      <c r="K305" s="17">
        <v>3.73E-2</v>
      </c>
      <c r="L305" s="17">
        <v>0.1744</v>
      </c>
      <c r="M305" s="17">
        <v>0.34599999999999997</v>
      </c>
      <c r="N305" s="17">
        <v>0.55640000000000001</v>
      </c>
      <c r="O305" s="17">
        <v>0.78590000000000004</v>
      </c>
      <c r="P305" s="17">
        <v>1.0183</v>
      </c>
      <c r="Q305" s="17">
        <v>1.2495000000000001</v>
      </c>
      <c r="R305" s="17">
        <v>1.4810000000000001</v>
      </c>
      <c r="S305" s="17">
        <v>1.6981999999999999</v>
      </c>
      <c r="T305" s="17">
        <v>1.9025000000000001</v>
      </c>
      <c r="U305" s="17">
        <v>2.0764</v>
      </c>
      <c r="V305" s="17">
        <v>2.2248000000000001</v>
      </c>
      <c r="W305" s="17">
        <v>2.355</v>
      </c>
      <c r="X305" s="17">
        <v>2.4624999999999999</v>
      </c>
      <c r="Y305" s="17">
        <v>2.5387</v>
      </c>
      <c r="Z305" s="17">
        <v>2.5722</v>
      </c>
      <c r="AA305" s="17">
        <v>2.5819000000000001</v>
      </c>
      <c r="AB305" s="17">
        <v>2.5636999999999999</v>
      </c>
      <c r="AC305" s="17">
        <v>2.5028999999999999</v>
      </c>
      <c r="AD305" s="17">
        <v>2.41</v>
      </c>
      <c r="AE305" s="17">
        <v>2.2991000000000001</v>
      </c>
      <c r="AF305" s="17">
        <v>2.1585999999999999</v>
      </c>
      <c r="AG305" s="17">
        <v>2.0093000000000001</v>
      </c>
      <c r="AH305" s="17">
        <v>1.8297000000000001</v>
      </c>
      <c r="AI305" s="17">
        <v>1.6274</v>
      </c>
      <c r="AJ305" s="17">
        <v>1.3831</v>
      </c>
      <c r="AK305" s="17">
        <v>1.1544000000000001</v>
      </c>
      <c r="AL305" s="17">
        <v>0.91949999999999998</v>
      </c>
      <c r="AM305" s="17">
        <v>0.69220000000000004</v>
      </c>
      <c r="AN305" s="17">
        <v>0.47310000000000002</v>
      </c>
      <c r="AO305" s="17">
        <v>0.2762</v>
      </c>
      <c r="AP305" s="17">
        <v>8.0399999999999999E-2</v>
      </c>
      <c r="AQ305" s="17">
        <v>1.4800000000000001E-2</v>
      </c>
      <c r="AR305" s="17">
        <v>0</v>
      </c>
      <c r="AS305" s="17">
        <v>0</v>
      </c>
      <c r="AT305" s="17">
        <v>0</v>
      </c>
      <c r="AU305" s="17">
        <v>0</v>
      </c>
      <c r="AV305" s="17">
        <v>0</v>
      </c>
      <c r="AW305" s="17">
        <v>0</v>
      </c>
      <c r="AX305" s="17">
        <v>0</v>
      </c>
    </row>
    <row r="306" spans="1:50" x14ac:dyDescent="0.25">
      <c r="A306" s="8" t="s">
        <v>344</v>
      </c>
      <c r="B306" s="10" t="s">
        <v>57</v>
      </c>
      <c r="C306" s="18">
        <v>0</v>
      </c>
      <c r="D306" s="18">
        <v>0</v>
      </c>
      <c r="E306" s="18">
        <v>0</v>
      </c>
      <c r="F306" s="18">
        <v>0</v>
      </c>
      <c r="G306" s="18">
        <v>0</v>
      </c>
      <c r="H306" s="18">
        <v>0</v>
      </c>
      <c r="I306" s="18">
        <v>0</v>
      </c>
      <c r="J306" s="18">
        <v>0</v>
      </c>
      <c r="K306" s="18">
        <v>0</v>
      </c>
      <c r="L306" s="18">
        <v>0</v>
      </c>
      <c r="M306" s="18">
        <v>0</v>
      </c>
      <c r="N306" s="18">
        <v>0</v>
      </c>
      <c r="O306" s="18">
        <v>0</v>
      </c>
      <c r="P306" s="18">
        <v>0</v>
      </c>
      <c r="Q306" s="18">
        <v>0</v>
      </c>
      <c r="R306" s="18">
        <v>0</v>
      </c>
      <c r="S306" s="18">
        <v>0</v>
      </c>
      <c r="T306" s="18">
        <v>0</v>
      </c>
      <c r="U306" s="18">
        <v>0</v>
      </c>
      <c r="V306" s="18">
        <v>0</v>
      </c>
      <c r="W306" s="18">
        <v>0</v>
      </c>
      <c r="X306" s="18">
        <v>0</v>
      </c>
      <c r="Y306" s="18">
        <v>0</v>
      </c>
      <c r="Z306" s="18">
        <v>0</v>
      </c>
      <c r="AA306" s="18">
        <v>0</v>
      </c>
      <c r="AB306" s="18">
        <v>0</v>
      </c>
      <c r="AC306" s="18">
        <v>0</v>
      </c>
      <c r="AD306" s="18">
        <v>0</v>
      </c>
      <c r="AE306" s="18">
        <v>0</v>
      </c>
      <c r="AF306" s="18">
        <v>0</v>
      </c>
      <c r="AG306" s="18">
        <v>0</v>
      </c>
      <c r="AH306" s="18">
        <v>0</v>
      </c>
      <c r="AI306" s="18">
        <v>0</v>
      </c>
      <c r="AJ306" s="18">
        <v>0</v>
      </c>
      <c r="AK306" s="18">
        <v>0</v>
      </c>
      <c r="AL306" s="18">
        <v>0</v>
      </c>
      <c r="AM306" s="18">
        <v>0</v>
      </c>
      <c r="AN306" s="18">
        <v>0</v>
      </c>
      <c r="AO306" s="18">
        <v>0</v>
      </c>
      <c r="AP306" s="18">
        <v>0</v>
      </c>
      <c r="AQ306" s="18">
        <v>0</v>
      </c>
      <c r="AR306" s="18">
        <v>0</v>
      </c>
      <c r="AS306" s="18">
        <v>0</v>
      </c>
      <c r="AT306" s="18">
        <v>0</v>
      </c>
      <c r="AU306" s="18">
        <v>0</v>
      </c>
      <c r="AV306" s="18">
        <v>0</v>
      </c>
      <c r="AW306" s="18">
        <v>0</v>
      </c>
      <c r="AX306" s="18">
        <v>0</v>
      </c>
    </row>
    <row r="307" spans="1:50" x14ac:dyDescent="0.25">
      <c r="A307" s="8" t="s">
        <v>346</v>
      </c>
      <c r="B307" s="10" t="s">
        <v>57</v>
      </c>
      <c r="C307" s="18">
        <v>0</v>
      </c>
      <c r="D307" s="18">
        <v>0</v>
      </c>
      <c r="E307" s="18">
        <v>0</v>
      </c>
      <c r="F307" s="18">
        <v>0</v>
      </c>
      <c r="G307" s="18">
        <v>0</v>
      </c>
      <c r="H307" s="18">
        <v>0</v>
      </c>
      <c r="I307" s="18">
        <v>0</v>
      </c>
      <c r="J307" s="18">
        <v>0</v>
      </c>
      <c r="K307" s="18">
        <v>0</v>
      </c>
      <c r="L307" s="18">
        <v>0</v>
      </c>
      <c r="M307" s="18">
        <v>0</v>
      </c>
      <c r="N307" s="18">
        <v>0</v>
      </c>
      <c r="O307" s="18">
        <v>0</v>
      </c>
      <c r="P307" s="18">
        <v>0</v>
      </c>
      <c r="Q307" s="18">
        <v>0</v>
      </c>
      <c r="R307" s="18">
        <v>0</v>
      </c>
      <c r="S307" s="18">
        <v>0</v>
      </c>
      <c r="T307" s="18">
        <v>0</v>
      </c>
      <c r="U307" s="18">
        <v>0</v>
      </c>
      <c r="V307" s="18">
        <v>0</v>
      </c>
      <c r="W307" s="18">
        <v>0</v>
      </c>
      <c r="X307" s="18">
        <v>0</v>
      </c>
      <c r="Y307" s="18">
        <v>0</v>
      </c>
      <c r="Z307" s="18">
        <v>0</v>
      </c>
      <c r="AA307" s="18">
        <v>0</v>
      </c>
      <c r="AB307" s="18">
        <v>0</v>
      </c>
      <c r="AC307" s="18">
        <v>0</v>
      </c>
      <c r="AD307" s="18">
        <v>0</v>
      </c>
      <c r="AE307" s="18">
        <v>0</v>
      </c>
      <c r="AF307" s="18">
        <v>0</v>
      </c>
      <c r="AG307" s="18">
        <v>0</v>
      </c>
      <c r="AH307" s="18">
        <v>0</v>
      </c>
      <c r="AI307" s="18">
        <v>0</v>
      </c>
      <c r="AJ307" s="18">
        <v>0</v>
      </c>
      <c r="AK307" s="18">
        <v>0</v>
      </c>
      <c r="AL307" s="18">
        <v>0</v>
      </c>
      <c r="AM307" s="18">
        <v>0</v>
      </c>
      <c r="AN307" s="18">
        <v>0</v>
      </c>
      <c r="AO307" s="18">
        <v>0</v>
      </c>
      <c r="AP307" s="18">
        <v>0</v>
      </c>
      <c r="AQ307" s="18">
        <v>0</v>
      </c>
      <c r="AR307" s="18">
        <v>0</v>
      </c>
      <c r="AS307" s="18">
        <v>0</v>
      </c>
      <c r="AT307" s="18">
        <v>0</v>
      </c>
      <c r="AU307" s="18">
        <v>0</v>
      </c>
      <c r="AV307" s="18">
        <v>0</v>
      </c>
      <c r="AW307" s="18">
        <v>0</v>
      </c>
      <c r="AX307" s="18">
        <v>0</v>
      </c>
    </row>
    <row r="308" spans="1:50" x14ac:dyDescent="0.25">
      <c r="A308" s="16" t="s">
        <v>777</v>
      </c>
      <c r="B308" s="13" t="s">
        <v>464</v>
      </c>
      <c r="C308" s="17">
        <v>0</v>
      </c>
      <c r="D308" s="17">
        <v>0</v>
      </c>
      <c r="E308" s="17">
        <v>0</v>
      </c>
      <c r="F308" s="17">
        <v>0</v>
      </c>
      <c r="G308" s="17">
        <v>0</v>
      </c>
      <c r="H308" s="17">
        <v>0</v>
      </c>
      <c r="I308" s="17">
        <v>0</v>
      </c>
      <c r="J308" s="17">
        <v>3.3999999999999998E-3</v>
      </c>
      <c r="K308" s="17">
        <v>4.9700000000000001E-2</v>
      </c>
      <c r="L308" s="17">
        <v>0.2326</v>
      </c>
      <c r="M308" s="17">
        <v>0.46129999999999999</v>
      </c>
      <c r="N308" s="17">
        <v>0.7419</v>
      </c>
      <c r="O308" s="17">
        <v>1.0479000000000001</v>
      </c>
      <c r="P308" s="17">
        <v>1.3576999999999999</v>
      </c>
      <c r="Q308" s="17">
        <v>1.6659999999999999</v>
      </c>
      <c r="R308" s="17">
        <v>1.9745999999999999</v>
      </c>
      <c r="S308" s="17">
        <v>2.2643</v>
      </c>
      <c r="T308" s="17">
        <v>2.5367000000000002</v>
      </c>
      <c r="U308" s="17">
        <v>2.7686000000000002</v>
      </c>
      <c r="V308" s="17">
        <v>2.9664000000000001</v>
      </c>
      <c r="W308" s="17">
        <v>3.14</v>
      </c>
      <c r="X308" s="17">
        <v>3.2833000000000001</v>
      </c>
      <c r="Y308" s="17">
        <v>3.3849999999999998</v>
      </c>
      <c r="Z308" s="17">
        <v>3.4296000000000002</v>
      </c>
      <c r="AA308" s="17">
        <v>3.4424999999999999</v>
      </c>
      <c r="AB308" s="17">
        <v>3.4182999999999999</v>
      </c>
      <c r="AC308" s="17">
        <v>3.3372000000000002</v>
      </c>
      <c r="AD308" s="17">
        <v>3.2132999999999998</v>
      </c>
      <c r="AE308" s="17">
        <v>3.0655000000000001</v>
      </c>
      <c r="AF308" s="17">
        <v>2.8782000000000001</v>
      </c>
      <c r="AG308" s="17">
        <v>2.6791</v>
      </c>
      <c r="AH308" s="17">
        <v>2.4396</v>
      </c>
      <c r="AI308" s="17">
        <v>2.1698</v>
      </c>
      <c r="AJ308" s="17">
        <v>1.8441000000000001</v>
      </c>
      <c r="AK308" s="17">
        <v>1.5391999999999999</v>
      </c>
      <c r="AL308" s="17">
        <v>1.2259</v>
      </c>
      <c r="AM308" s="17">
        <v>0.92290000000000005</v>
      </c>
      <c r="AN308" s="17">
        <v>0.63080000000000003</v>
      </c>
      <c r="AO308" s="17">
        <v>0.36830000000000002</v>
      </c>
      <c r="AP308" s="17">
        <v>0.1072</v>
      </c>
      <c r="AQ308" s="17">
        <v>1.9800000000000002E-2</v>
      </c>
      <c r="AR308" s="17">
        <v>0</v>
      </c>
      <c r="AS308" s="17">
        <v>0</v>
      </c>
      <c r="AT308" s="17">
        <v>0</v>
      </c>
      <c r="AU308" s="17">
        <v>0</v>
      </c>
      <c r="AV308" s="17">
        <v>0</v>
      </c>
      <c r="AW308" s="17">
        <v>0</v>
      </c>
      <c r="AX308" s="17">
        <v>0</v>
      </c>
    </row>
    <row r="309" spans="1:50" x14ac:dyDescent="0.25">
      <c r="A309" s="8" t="s">
        <v>348</v>
      </c>
      <c r="B309" s="10" t="s">
        <v>57</v>
      </c>
      <c r="C309" s="18">
        <v>0</v>
      </c>
      <c r="D309" s="18">
        <v>0</v>
      </c>
      <c r="E309" s="18">
        <v>0</v>
      </c>
      <c r="F309" s="18">
        <v>0</v>
      </c>
      <c r="G309" s="18">
        <v>0</v>
      </c>
      <c r="H309" s="18">
        <v>0</v>
      </c>
      <c r="I309" s="18">
        <v>0</v>
      </c>
      <c r="J309" s="18">
        <v>0</v>
      </c>
      <c r="K309" s="18">
        <v>0</v>
      </c>
      <c r="L309" s="18">
        <v>0</v>
      </c>
      <c r="M309" s="18">
        <v>0</v>
      </c>
      <c r="N309" s="18">
        <v>0</v>
      </c>
      <c r="O309" s="18">
        <v>0</v>
      </c>
      <c r="P309" s="18">
        <v>0</v>
      </c>
      <c r="Q309" s="18">
        <v>0</v>
      </c>
      <c r="R309" s="18">
        <v>0</v>
      </c>
      <c r="S309" s="18">
        <v>0</v>
      </c>
      <c r="T309" s="18">
        <v>0</v>
      </c>
      <c r="U309" s="18">
        <v>0</v>
      </c>
      <c r="V309" s="18">
        <v>0</v>
      </c>
      <c r="W309" s="18">
        <v>0</v>
      </c>
      <c r="X309" s="18">
        <v>0</v>
      </c>
      <c r="Y309" s="18">
        <v>0</v>
      </c>
      <c r="Z309" s="18">
        <v>0</v>
      </c>
      <c r="AA309" s="18">
        <v>0</v>
      </c>
      <c r="AB309" s="18">
        <v>0</v>
      </c>
      <c r="AC309" s="18">
        <v>0</v>
      </c>
      <c r="AD309" s="18">
        <v>0</v>
      </c>
      <c r="AE309" s="18">
        <v>0</v>
      </c>
      <c r="AF309" s="18">
        <v>0</v>
      </c>
      <c r="AG309" s="18">
        <v>0</v>
      </c>
      <c r="AH309" s="18">
        <v>0</v>
      </c>
      <c r="AI309" s="18">
        <v>0</v>
      </c>
      <c r="AJ309" s="18">
        <v>0</v>
      </c>
      <c r="AK309" s="18">
        <v>0</v>
      </c>
      <c r="AL309" s="18">
        <v>0</v>
      </c>
      <c r="AM309" s="18">
        <v>0</v>
      </c>
      <c r="AN309" s="18">
        <v>0</v>
      </c>
      <c r="AO309" s="18">
        <v>0</v>
      </c>
      <c r="AP309" s="18">
        <v>0</v>
      </c>
      <c r="AQ309" s="18">
        <v>0</v>
      </c>
      <c r="AR309" s="18">
        <v>0</v>
      </c>
      <c r="AS309" s="18">
        <v>0</v>
      </c>
      <c r="AT309" s="18">
        <v>0</v>
      </c>
      <c r="AU309" s="18">
        <v>0</v>
      </c>
      <c r="AV309" s="18">
        <v>0</v>
      </c>
      <c r="AW309" s="18">
        <v>0</v>
      </c>
      <c r="AX309" s="18">
        <v>0</v>
      </c>
    </row>
    <row r="310" spans="1:50" x14ac:dyDescent="0.25">
      <c r="A310" s="8" t="s">
        <v>350</v>
      </c>
      <c r="B310" s="10" t="s">
        <v>57</v>
      </c>
      <c r="C310" s="18">
        <v>0</v>
      </c>
      <c r="D310" s="18">
        <v>0</v>
      </c>
      <c r="E310" s="18">
        <v>0</v>
      </c>
      <c r="F310" s="18">
        <v>0</v>
      </c>
      <c r="G310" s="18">
        <v>0</v>
      </c>
      <c r="H310" s="18">
        <v>0</v>
      </c>
      <c r="I310" s="18">
        <v>0</v>
      </c>
      <c r="J310" s="18">
        <v>0</v>
      </c>
      <c r="K310" s="18">
        <v>0</v>
      </c>
      <c r="L310" s="18">
        <v>0</v>
      </c>
      <c r="M310" s="18">
        <v>0</v>
      </c>
      <c r="N310" s="18">
        <v>0</v>
      </c>
      <c r="O310" s="18">
        <v>0</v>
      </c>
      <c r="P310" s="18">
        <v>0</v>
      </c>
      <c r="Q310" s="18">
        <v>0</v>
      </c>
      <c r="R310" s="18">
        <v>0</v>
      </c>
      <c r="S310" s="18">
        <v>0</v>
      </c>
      <c r="T310" s="18">
        <v>0</v>
      </c>
      <c r="U310" s="18">
        <v>0</v>
      </c>
      <c r="V310" s="18">
        <v>0</v>
      </c>
      <c r="W310" s="18">
        <v>0</v>
      </c>
      <c r="X310" s="18">
        <v>0</v>
      </c>
      <c r="Y310" s="18">
        <v>0</v>
      </c>
      <c r="Z310" s="18">
        <v>0</v>
      </c>
      <c r="AA310" s="18">
        <v>0</v>
      </c>
      <c r="AB310" s="18">
        <v>0</v>
      </c>
      <c r="AC310" s="18">
        <v>0</v>
      </c>
      <c r="AD310" s="18">
        <v>0</v>
      </c>
      <c r="AE310" s="18">
        <v>0</v>
      </c>
      <c r="AF310" s="18">
        <v>0</v>
      </c>
      <c r="AG310" s="18">
        <v>0</v>
      </c>
      <c r="AH310" s="18">
        <v>0</v>
      </c>
      <c r="AI310" s="18">
        <v>0</v>
      </c>
      <c r="AJ310" s="18">
        <v>0</v>
      </c>
      <c r="AK310" s="18">
        <v>0</v>
      </c>
      <c r="AL310" s="18">
        <v>0</v>
      </c>
      <c r="AM310" s="18">
        <v>0</v>
      </c>
      <c r="AN310" s="18">
        <v>0</v>
      </c>
      <c r="AO310" s="18">
        <v>0</v>
      </c>
      <c r="AP310" s="18">
        <v>0</v>
      </c>
      <c r="AQ310" s="18">
        <v>0</v>
      </c>
      <c r="AR310" s="18">
        <v>0</v>
      </c>
      <c r="AS310" s="18">
        <v>0</v>
      </c>
      <c r="AT310" s="18">
        <v>0</v>
      </c>
      <c r="AU310" s="18">
        <v>0</v>
      </c>
      <c r="AV310" s="18">
        <v>0</v>
      </c>
      <c r="AW310" s="18">
        <v>0</v>
      </c>
      <c r="AX310" s="18">
        <v>0</v>
      </c>
    </row>
    <row r="311" spans="1:50" x14ac:dyDescent="0.25">
      <c r="A311" s="16" t="s">
        <v>779</v>
      </c>
      <c r="B311" s="13" t="s">
        <v>464</v>
      </c>
      <c r="C311" s="17">
        <v>0</v>
      </c>
      <c r="D311" s="17">
        <v>0</v>
      </c>
      <c r="E311" s="17">
        <v>0</v>
      </c>
      <c r="F311" s="17">
        <v>0</v>
      </c>
      <c r="G311" s="17">
        <v>0</v>
      </c>
      <c r="H311" s="17">
        <v>0</v>
      </c>
      <c r="I311" s="17">
        <v>0</v>
      </c>
      <c r="J311" s="17">
        <v>1.6999999999999999E-3</v>
      </c>
      <c r="K311" s="17">
        <v>2.4899999999999999E-2</v>
      </c>
      <c r="L311" s="17">
        <v>0.1163</v>
      </c>
      <c r="M311" s="17">
        <v>0.23069999999999999</v>
      </c>
      <c r="N311" s="17">
        <v>0.37090000000000001</v>
      </c>
      <c r="O311" s="17">
        <v>0.52400000000000002</v>
      </c>
      <c r="P311" s="17">
        <v>0.67889999999999995</v>
      </c>
      <c r="Q311" s="17">
        <v>0.83299999999999996</v>
      </c>
      <c r="R311" s="17">
        <v>0.98729999999999996</v>
      </c>
      <c r="S311" s="17">
        <v>1.1322000000000001</v>
      </c>
      <c r="T311" s="17">
        <v>1.2683</v>
      </c>
      <c r="U311" s="17">
        <v>1.3843000000000001</v>
      </c>
      <c r="V311" s="17">
        <v>1.4832000000000001</v>
      </c>
      <c r="W311" s="17">
        <v>1.57</v>
      </c>
      <c r="X311" s="17">
        <v>1.6416999999999999</v>
      </c>
      <c r="Y311" s="17">
        <v>1.6924999999999999</v>
      </c>
      <c r="Z311" s="17">
        <v>1.7148000000000001</v>
      </c>
      <c r="AA311" s="17">
        <v>1.7212000000000001</v>
      </c>
      <c r="AB311" s="17">
        <v>1.7092000000000001</v>
      </c>
      <c r="AC311" s="17">
        <v>1.6686000000000001</v>
      </c>
      <c r="AD311" s="17">
        <v>1.6067</v>
      </c>
      <c r="AE311" s="17">
        <v>1.5327999999999999</v>
      </c>
      <c r="AF311" s="17">
        <v>1.4391</v>
      </c>
      <c r="AG311" s="17">
        <v>1.3395999999999999</v>
      </c>
      <c r="AH311" s="17">
        <v>1.2198</v>
      </c>
      <c r="AI311" s="17">
        <v>1.0849</v>
      </c>
      <c r="AJ311" s="17">
        <v>0.92200000000000004</v>
      </c>
      <c r="AK311" s="17">
        <v>0.76959999999999995</v>
      </c>
      <c r="AL311" s="17">
        <v>0.61299999999999999</v>
      </c>
      <c r="AM311" s="17">
        <v>0.46150000000000002</v>
      </c>
      <c r="AN311" s="17">
        <v>0.31540000000000001</v>
      </c>
      <c r="AO311" s="17">
        <v>0.1842</v>
      </c>
      <c r="AP311" s="17">
        <v>5.3600000000000002E-2</v>
      </c>
      <c r="AQ311" s="17">
        <v>9.9000000000000008E-3</v>
      </c>
      <c r="AR311" s="17">
        <v>0</v>
      </c>
      <c r="AS311" s="17">
        <v>0</v>
      </c>
      <c r="AT311" s="17">
        <v>0</v>
      </c>
      <c r="AU311" s="17">
        <v>0</v>
      </c>
      <c r="AV311" s="17">
        <v>0</v>
      </c>
      <c r="AW311" s="17">
        <v>0</v>
      </c>
      <c r="AX311" s="17">
        <v>0</v>
      </c>
    </row>
    <row r="312" spans="1:50" x14ac:dyDescent="0.25">
      <c r="A312" s="16" t="s">
        <v>781</v>
      </c>
      <c r="B312" s="13" t="s">
        <v>464</v>
      </c>
      <c r="C312" s="17">
        <v>0</v>
      </c>
      <c r="D312" s="17">
        <v>0</v>
      </c>
      <c r="E312" s="17">
        <v>0</v>
      </c>
      <c r="F312" s="17">
        <v>0</v>
      </c>
      <c r="G312" s="17">
        <v>0</v>
      </c>
      <c r="H312" s="17">
        <v>0</v>
      </c>
      <c r="I312" s="17">
        <v>0</v>
      </c>
      <c r="J312" s="17">
        <v>2.5999999999999999E-3</v>
      </c>
      <c r="K312" s="17">
        <v>3.73E-2</v>
      </c>
      <c r="L312" s="17">
        <v>0.1744</v>
      </c>
      <c r="M312" s="17">
        <v>0.34599999999999997</v>
      </c>
      <c r="N312" s="17">
        <v>0.55640000000000001</v>
      </c>
      <c r="O312" s="17">
        <v>0.78590000000000004</v>
      </c>
      <c r="P312" s="17">
        <v>1.0183</v>
      </c>
      <c r="Q312" s="17">
        <v>1.2495000000000001</v>
      </c>
      <c r="R312" s="17">
        <v>1.4810000000000001</v>
      </c>
      <c r="S312" s="17">
        <v>1.6981999999999999</v>
      </c>
      <c r="T312" s="17">
        <v>1.9025000000000001</v>
      </c>
      <c r="U312" s="17">
        <v>2.0764</v>
      </c>
      <c r="V312" s="17">
        <v>2.2248000000000001</v>
      </c>
      <c r="W312" s="17">
        <v>2.355</v>
      </c>
      <c r="X312" s="17">
        <v>2.4624999999999999</v>
      </c>
      <c r="Y312" s="17">
        <v>2.5387</v>
      </c>
      <c r="Z312" s="17">
        <v>2.5722</v>
      </c>
      <c r="AA312" s="17">
        <v>2.5819000000000001</v>
      </c>
      <c r="AB312" s="17">
        <v>2.5636999999999999</v>
      </c>
      <c r="AC312" s="17">
        <v>2.5028999999999999</v>
      </c>
      <c r="AD312" s="17">
        <v>2.41</v>
      </c>
      <c r="AE312" s="17">
        <v>2.2991000000000001</v>
      </c>
      <c r="AF312" s="17">
        <v>2.1585999999999999</v>
      </c>
      <c r="AG312" s="17">
        <v>2.0093000000000001</v>
      </c>
      <c r="AH312" s="17">
        <v>1.8297000000000001</v>
      </c>
      <c r="AI312" s="17">
        <v>1.6274</v>
      </c>
      <c r="AJ312" s="17">
        <v>1.3831</v>
      </c>
      <c r="AK312" s="17">
        <v>1.1544000000000001</v>
      </c>
      <c r="AL312" s="17">
        <v>0.91949999999999998</v>
      </c>
      <c r="AM312" s="17">
        <v>0.69220000000000004</v>
      </c>
      <c r="AN312" s="17">
        <v>0.47310000000000002</v>
      </c>
      <c r="AO312" s="17">
        <v>0.2762</v>
      </c>
      <c r="AP312" s="17">
        <v>8.0399999999999999E-2</v>
      </c>
      <c r="AQ312" s="17">
        <v>1.4800000000000001E-2</v>
      </c>
      <c r="AR312" s="17">
        <v>0</v>
      </c>
      <c r="AS312" s="17">
        <v>0</v>
      </c>
      <c r="AT312" s="17">
        <v>0</v>
      </c>
      <c r="AU312" s="17">
        <v>0</v>
      </c>
      <c r="AV312" s="17">
        <v>0</v>
      </c>
      <c r="AW312" s="17">
        <v>0</v>
      </c>
      <c r="AX312" s="17">
        <v>0</v>
      </c>
    </row>
    <row r="313" spans="1:50" x14ac:dyDescent="0.25">
      <c r="A313" s="8" t="s">
        <v>352</v>
      </c>
      <c r="B313" s="10" t="s">
        <v>57</v>
      </c>
      <c r="C313" s="18">
        <v>0</v>
      </c>
      <c r="D313" s="18">
        <v>0</v>
      </c>
      <c r="E313" s="18">
        <v>0</v>
      </c>
      <c r="F313" s="18">
        <v>0</v>
      </c>
      <c r="G313" s="18">
        <v>0</v>
      </c>
      <c r="H313" s="18">
        <v>0</v>
      </c>
      <c r="I313" s="18">
        <v>0</v>
      </c>
      <c r="J313" s="18">
        <v>0</v>
      </c>
      <c r="K313" s="18">
        <v>0</v>
      </c>
      <c r="L313" s="18">
        <v>0</v>
      </c>
      <c r="M313" s="18">
        <v>0</v>
      </c>
      <c r="N313" s="18">
        <v>0</v>
      </c>
      <c r="O313" s="18">
        <v>0</v>
      </c>
      <c r="P313" s="18">
        <v>0</v>
      </c>
      <c r="Q313" s="18">
        <v>0</v>
      </c>
      <c r="R313" s="18">
        <v>0</v>
      </c>
      <c r="S313" s="18">
        <v>0</v>
      </c>
      <c r="T313" s="18">
        <v>0</v>
      </c>
      <c r="U313" s="18">
        <v>0</v>
      </c>
      <c r="V313" s="18">
        <v>0</v>
      </c>
      <c r="W313" s="18">
        <v>0</v>
      </c>
      <c r="X313" s="18">
        <v>0</v>
      </c>
      <c r="Y313" s="18">
        <v>0</v>
      </c>
      <c r="Z313" s="18">
        <v>0</v>
      </c>
      <c r="AA313" s="18">
        <v>0</v>
      </c>
      <c r="AB313" s="18">
        <v>0</v>
      </c>
      <c r="AC313" s="18">
        <v>0</v>
      </c>
      <c r="AD313" s="18">
        <v>0</v>
      </c>
      <c r="AE313" s="18">
        <v>0</v>
      </c>
      <c r="AF313" s="18">
        <v>0</v>
      </c>
      <c r="AG313" s="18">
        <v>0</v>
      </c>
      <c r="AH313" s="18">
        <v>0</v>
      </c>
      <c r="AI313" s="18">
        <v>0</v>
      </c>
      <c r="AJ313" s="18">
        <v>0</v>
      </c>
      <c r="AK313" s="18">
        <v>0</v>
      </c>
      <c r="AL313" s="18">
        <v>0</v>
      </c>
      <c r="AM313" s="18">
        <v>0</v>
      </c>
      <c r="AN313" s="18">
        <v>0</v>
      </c>
      <c r="AO313" s="18">
        <v>0</v>
      </c>
      <c r="AP313" s="18">
        <v>0</v>
      </c>
      <c r="AQ313" s="18">
        <v>0</v>
      </c>
      <c r="AR313" s="18">
        <v>0</v>
      </c>
      <c r="AS313" s="18">
        <v>0</v>
      </c>
      <c r="AT313" s="18">
        <v>0</v>
      </c>
      <c r="AU313" s="18">
        <v>0</v>
      </c>
      <c r="AV313" s="18">
        <v>0</v>
      </c>
      <c r="AW313" s="18">
        <v>0</v>
      </c>
      <c r="AX313" s="18">
        <v>0</v>
      </c>
    </row>
    <row r="314" spans="1:50" x14ac:dyDescent="0.25">
      <c r="A314" s="16" t="s">
        <v>783</v>
      </c>
      <c r="B314" s="13" t="s">
        <v>464</v>
      </c>
      <c r="C314" s="17">
        <v>0</v>
      </c>
      <c r="D314" s="17">
        <v>0</v>
      </c>
      <c r="E314" s="17">
        <v>0</v>
      </c>
      <c r="F314" s="17">
        <v>0</v>
      </c>
      <c r="G314" s="17">
        <v>0</v>
      </c>
      <c r="H314" s="17">
        <v>0</v>
      </c>
      <c r="I314" s="17">
        <v>0</v>
      </c>
      <c r="J314" s="17">
        <v>1.6999999999999999E-3</v>
      </c>
      <c r="K314" s="17">
        <v>2.4899999999999999E-2</v>
      </c>
      <c r="L314" s="17">
        <v>0.1163</v>
      </c>
      <c r="M314" s="17">
        <v>0.23069999999999999</v>
      </c>
      <c r="N314" s="17">
        <v>0.37090000000000001</v>
      </c>
      <c r="O314" s="17">
        <v>0.52400000000000002</v>
      </c>
      <c r="P314" s="17">
        <v>0.67889999999999995</v>
      </c>
      <c r="Q314" s="17">
        <v>0.83299999999999996</v>
      </c>
      <c r="R314" s="17">
        <v>0.98729999999999996</v>
      </c>
      <c r="S314" s="17">
        <v>1.1322000000000001</v>
      </c>
      <c r="T314" s="17">
        <v>1.2683</v>
      </c>
      <c r="U314" s="17">
        <v>1.3843000000000001</v>
      </c>
      <c r="V314" s="17">
        <v>1.4832000000000001</v>
      </c>
      <c r="W314" s="17">
        <v>1.57</v>
      </c>
      <c r="X314" s="17">
        <v>1.6416999999999999</v>
      </c>
      <c r="Y314" s="17">
        <v>1.6924999999999999</v>
      </c>
      <c r="Z314" s="17">
        <v>1.7148000000000001</v>
      </c>
      <c r="AA314" s="17">
        <v>1.7212000000000001</v>
      </c>
      <c r="AB314" s="17">
        <v>1.7092000000000001</v>
      </c>
      <c r="AC314" s="17">
        <v>1.6686000000000001</v>
      </c>
      <c r="AD314" s="17">
        <v>1.6067</v>
      </c>
      <c r="AE314" s="17">
        <v>1.5327999999999999</v>
      </c>
      <c r="AF314" s="17">
        <v>1.4391</v>
      </c>
      <c r="AG314" s="17">
        <v>1.3395999999999999</v>
      </c>
      <c r="AH314" s="17">
        <v>1.2198</v>
      </c>
      <c r="AI314" s="17">
        <v>1.0849</v>
      </c>
      <c r="AJ314" s="17">
        <v>0.92200000000000004</v>
      </c>
      <c r="AK314" s="17">
        <v>0.76959999999999995</v>
      </c>
      <c r="AL314" s="17">
        <v>0.61299999999999999</v>
      </c>
      <c r="AM314" s="17">
        <v>0.46150000000000002</v>
      </c>
      <c r="AN314" s="17">
        <v>0.31540000000000001</v>
      </c>
      <c r="AO314" s="17">
        <v>0.1842</v>
      </c>
      <c r="AP314" s="17">
        <v>5.3600000000000002E-2</v>
      </c>
      <c r="AQ314" s="17">
        <v>9.9000000000000008E-3</v>
      </c>
      <c r="AR314" s="17">
        <v>0</v>
      </c>
      <c r="AS314" s="17">
        <v>0</v>
      </c>
      <c r="AT314" s="17">
        <v>0</v>
      </c>
      <c r="AU314" s="17">
        <v>0</v>
      </c>
      <c r="AV314" s="17">
        <v>0</v>
      </c>
      <c r="AW314" s="17">
        <v>0</v>
      </c>
      <c r="AX314" s="17">
        <v>0</v>
      </c>
    </row>
    <row r="315" spans="1:50" x14ac:dyDescent="0.25">
      <c r="A315" s="16" t="s">
        <v>785</v>
      </c>
      <c r="B315" s="13" t="s">
        <v>464</v>
      </c>
      <c r="C315" s="17">
        <v>0</v>
      </c>
      <c r="D315" s="17">
        <v>0</v>
      </c>
      <c r="E315" s="17">
        <v>0</v>
      </c>
      <c r="F315" s="17">
        <v>0</v>
      </c>
      <c r="G315" s="17">
        <v>0</v>
      </c>
      <c r="H315" s="17">
        <v>0</v>
      </c>
      <c r="I315" s="17">
        <v>0</v>
      </c>
      <c r="J315" s="17">
        <v>3.3999999999999998E-3</v>
      </c>
      <c r="K315" s="17">
        <v>4.9700000000000001E-2</v>
      </c>
      <c r="L315" s="17">
        <v>0.2326</v>
      </c>
      <c r="M315" s="17">
        <v>0.46129999999999999</v>
      </c>
      <c r="N315" s="17">
        <v>0.7419</v>
      </c>
      <c r="O315" s="17">
        <v>1.0479000000000001</v>
      </c>
      <c r="P315" s="17">
        <v>1.3576999999999999</v>
      </c>
      <c r="Q315" s="17">
        <v>1.6659999999999999</v>
      </c>
      <c r="R315" s="17">
        <v>1.9745999999999999</v>
      </c>
      <c r="S315" s="17">
        <v>2.2643</v>
      </c>
      <c r="T315" s="17">
        <v>2.5367000000000002</v>
      </c>
      <c r="U315" s="17">
        <v>2.7686000000000002</v>
      </c>
      <c r="V315" s="17">
        <v>2.9664000000000001</v>
      </c>
      <c r="W315" s="17">
        <v>3.14</v>
      </c>
      <c r="X315" s="17">
        <v>3.2833000000000001</v>
      </c>
      <c r="Y315" s="17">
        <v>3.3849999999999998</v>
      </c>
      <c r="Z315" s="17">
        <v>3.4296000000000002</v>
      </c>
      <c r="AA315" s="17">
        <v>3.4424999999999999</v>
      </c>
      <c r="AB315" s="17">
        <v>3.4182999999999999</v>
      </c>
      <c r="AC315" s="17">
        <v>3.3372000000000002</v>
      </c>
      <c r="AD315" s="17">
        <v>3.2132999999999998</v>
      </c>
      <c r="AE315" s="17">
        <v>3.0655000000000001</v>
      </c>
      <c r="AF315" s="17">
        <v>2.8782000000000001</v>
      </c>
      <c r="AG315" s="17">
        <v>2.6791</v>
      </c>
      <c r="AH315" s="17">
        <v>2.4396</v>
      </c>
      <c r="AI315" s="17">
        <v>2.1698</v>
      </c>
      <c r="AJ315" s="17">
        <v>1.8441000000000001</v>
      </c>
      <c r="AK315" s="17">
        <v>1.5391999999999999</v>
      </c>
      <c r="AL315" s="17">
        <v>1.2259</v>
      </c>
      <c r="AM315" s="17">
        <v>0.92290000000000005</v>
      </c>
      <c r="AN315" s="17">
        <v>0.63080000000000003</v>
      </c>
      <c r="AO315" s="17">
        <v>0.36830000000000002</v>
      </c>
      <c r="AP315" s="17">
        <v>0.1072</v>
      </c>
      <c r="AQ315" s="17">
        <v>1.9800000000000002E-2</v>
      </c>
      <c r="AR315" s="17">
        <v>0</v>
      </c>
      <c r="AS315" s="17">
        <v>0</v>
      </c>
      <c r="AT315" s="17">
        <v>0</v>
      </c>
      <c r="AU315" s="17">
        <v>0</v>
      </c>
      <c r="AV315" s="17">
        <v>0</v>
      </c>
      <c r="AW315" s="17">
        <v>0</v>
      </c>
      <c r="AX315" s="17">
        <v>0</v>
      </c>
    </row>
    <row r="316" spans="1:50" x14ac:dyDescent="0.25">
      <c r="A316" s="8" t="s">
        <v>354</v>
      </c>
      <c r="B316" s="10" t="s">
        <v>57</v>
      </c>
      <c r="C316" s="18">
        <v>0</v>
      </c>
      <c r="D316" s="18">
        <v>0</v>
      </c>
      <c r="E316" s="18">
        <v>0</v>
      </c>
      <c r="F316" s="18">
        <v>0</v>
      </c>
      <c r="G316" s="18">
        <v>0</v>
      </c>
      <c r="H316" s="18">
        <v>0</v>
      </c>
      <c r="I316" s="18">
        <v>0</v>
      </c>
      <c r="J316" s="18">
        <v>0</v>
      </c>
      <c r="K316" s="18">
        <v>0</v>
      </c>
      <c r="L316" s="18">
        <v>0</v>
      </c>
      <c r="M316" s="18">
        <v>0</v>
      </c>
      <c r="N316" s="18">
        <v>0</v>
      </c>
      <c r="O316" s="18">
        <v>0</v>
      </c>
      <c r="P316" s="18">
        <v>0</v>
      </c>
      <c r="Q316" s="18">
        <v>0</v>
      </c>
      <c r="R316" s="18">
        <v>0</v>
      </c>
      <c r="S316" s="18">
        <v>0</v>
      </c>
      <c r="T316" s="18">
        <v>0</v>
      </c>
      <c r="U316" s="18">
        <v>0</v>
      </c>
      <c r="V316" s="18">
        <v>0</v>
      </c>
      <c r="W316" s="18">
        <v>0</v>
      </c>
      <c r="X316" s="18">
        <v>0</v>
      </c>
      <c r="Y316" s="18">
        <v>0</v>
      </c>
      <c r="Z316" s="18">
        <v>0</v>
      </c>
      <c r="AA316" s="18">
        <v>0</v>
      </c>
      <c r="AB316" s="18">
        <v>0</v>
      </c>
      <c r="AC316" s="18">
        <v>0</v>
      </c>
      <c r="AD316" s="18">
        <v>0</v>
      </c>
      <c r="AE316" s="18">
        <v>0</v>
      </c>
      <c r="AF316" s="18">
        <v>0</v>
      </c>
      <c r="AG316" s="18">
        <v>0</v>
      </c>
      <c r="AH316" s="18">
        <v>0</v>
      </c>
      <c r="AI316" s="18">
        <v>0</v>
      </c>
      <c r="AJ316" s="18">
        <v>0</v>
      </c>
      <c r="AK316" s="18">
        <v>0</v>
      </c>
      <c r="AL316" s="18">
        <v>0</v>
      </c>
      <c r="AM316" s="18">
        <v>0</v>
      </c>
      <c r="AN316" s="18">
        <v>0</v>
      </c>
      <c r="AO316" s="18">
        <v>0</v>
      </c>
      <c r="AP316" s="18">
        <v>0</v>
      </c>
      <c r="AQ316" s="18">
        <v>0</v>
      </c>
      <c r="AR316" s="18">
        <v>0</v>
      </c>
      <c r="AS316" s="18">
        <v>0</v>
      </c>
      <c r="AT316" s="18">
        <v>0</v>
      </c>
      <c r="AU316" s="18">
        <v>0</v>
      </c>
      <c r="AV316" s="18">
        <v>0</v>
      </c>
      <c r="AW316" s="18">
        <v>0</v>
      </c>
      <c r="AX316" s="18">
        <v>0</v>
      </c>
    </row>
    <row r="317" spans="1:50" x14ac:dyDescent="0.25">
      <c r="A317" s="16" t="s">
        <v>787</v>
      </c>
      <c r="B317" s="13" t="s">
        <v>464</v>
      </c>
      <c r="C317" s="17">
        <v>0</v>
      </c>
      <c r="D317" s="17">
        <v>0</v>
      </c>
      <c r="E317" s="17">
        <v>0</v>
      </c>
      <c r="F317" s="17">
        <v>0</v>
      </c>
      <c r="G317" s="17">
        <v>0</v>
      </c>
      <c r="H317" s="17">
        <v>0</v>
      </c>
      <c r="I317" s="17">
        <v>0</v>
      </c>
      <c r="J317" s="17">
        <v>2.5999999999999999E-3</v>
      </c>
      <c r="K317" s="17">
        <v>3.73E-2</v>
      </c>
      <c r="L317" s="17">
        <v>0.1744</v>
      </c>
      <c r="M317" s="17">
        <v>0.34599999999999997</v>
      </c>
      <c r="N317" s="17">
        <v>0.55640000000000001</v>
      </c>
      <c r="O317" s="17">
        <v>0.78590000000000004</v>
      </c>
      <c r="P317" s="17">
        <v>1.0183</v>
      </c>
      <c r="Q317" s="17">
        <v>1.2495000000000001</v>
      </c>
      <c r="R317" s="17">
        <v>1.4810000000000001</v>
      </c>
      <c r="S317" s="17">
        <v>1.6981999999999999</v>
      </c>
      <c r="T317" s="17">
        <v>1.9025000000000001</v>
      </c>
      <c r="U317" s="17">
        <v>2.0764</v>
      </c>
      <c r="V317" s="17">
        <v>2.2248000000000001</v>
      </c>
      <c r="W317" s="17">
        <v>2.355</v>
      </c>
      <c r="X317" s="17">
        <v>2.4624999999999999</v>
      </c>
      <c r="Y317" s="17">
        <v>2.5387</v>
      </c>
      <c r="Z317" s="17">
        <v>2.5722</v>
      </c>
      <c r="AA317" s="17">
        <v>2.5819000000000001</v>
      </c>
      <c r="AB317" s="17">
        <v>2.5636999999999999</v>
      </c>
      <c r="AC317" s="17">
        <v>2.5028999999999999</v>
      </c>
      <c r="AD317" s="17">
        <v>2.41</v>
      </c>
      <c r="AE317" s="17">
        <v>2.2991000000000001</v>
      </c>
      <c r="AF317" s="17">
        <v>2.1585999999999999</v>
      </c>
      <c r="AG317" s="17">
        <v>2.0093000000000001</v>
      </c>
      <c r="AH317" s="17">
        <v>1.8297000000000001</v>
      </c>
      <c r="AI317" s="17">
        <v>1.6274</v>
      </c>
      <c r="AJ317" s="17">
        <v>1.3831</v>
      </c>
      <c r="AK317" s="17">
        <v>1.1544000000000001</v>
      </c>
      <c r="AL317" s="17">
        <v>0.91949999999999998</v>
      </c>
      <c r="AM317" s="17">
        <v>0.69220000000000004</v>
      </c>
      <c r="AN317" s="17">
        <v>0.47310000000000002</v>
      </c>
      <c r="AO317" s="17">
        <v>0.2762</v>
      </c>
      <c r="AP317" s="17">
        <v>8.0399999999999999E-2</v>
      </c>
      <c r="AQ317" s="17">
        <v>1.4800000000000001E-2</v>
      </c>
      <c r="AR317" s="17">
        <v>0</v>
      </c>
      <c r="AS317" s="17">
        <v>0</v>
      </c>
      <c r="AT317" s="17">
        <v>0</v>
      </c>
      <c r="AU317" s="17">
        <v>0</v>
      </c>
      <c r="AV317" s="17">
        <v>0</v>
      </c>
      <c r="AW317" s="17">
        <v>0</v>
      </c>
      <c r="AX317" s="17">
        <v>0</v>
      </c>
    </row>
    <row r="318" spans="1:50" x14ac:dyDescent="0.25">
      <c r="A318" s="16" t="s">
        <v>789</v>
      </c>
      <c r="B318" s="13" t="s">
        <v>464</v>
      </c>
      <c r="C318" s="17">
        <v>0</v>
      </c>
      <c r="D318" s="17">
        <v>0</v>
      </c>
      <c r="E318" s="17">
        <v>0</v>
      </c>
      <c r="F318" s="17">
        <v>0</v>
      </c>
      <c r="G318" s="17">
        <v>0</v>
      </c>
      <c r="H318" s="17">
        <v>0</v>
      </c>
      <c r="I318" s="17">
        <v>0</v>
      </c>
      <c r="J318" s="17">
        <v>2.5999999999999999E-3</v>
      </c>
      <c r="K318" s="17">
        <v>3.73E-2</v>
      </c>
      <c r="L318" s="17">
        <v>0.1744</v>
      </c>
      <c r="M318" s="17">
        <v>0.34599999999999997</v>
      </c>
      <c r="N318" s="17">
        <v>0.55640000000000001</v>
      </c>
      <c r="O318" s="17">
        <v>0.78590000000000004</v>
      </c>
      <c r="P318" s="17">
        <v>1.0183</v>
      </c>
      <c r="Q318" s="17">
        <v>1.2495000000000001</v>
      </c>
      <c r="R318" s="17">
        <v>1.4810000000000001</v>
      </c>
      <c r="S318" s="17">
        <v>1.6981999999999999</v>
      </c>
      <c r="T318" s="17">
        <v>1.9025000000000001</v>
      </c>
      <c r="U318" s="17">
        <v>2.0764</v>
      </c>
      <c r="V318" s="17">
        <v>2.2248000000000001</v>
      </c>
      <c r="W318" s="17">
        <v>2.355</v>
      </c>
      <c r="X318" s="17">
        <v>2.4624999999999999</v>
      </c>
      <c r="Y318" s="17">
        <v>2.5387</v>
      </c>
      <c r="Z318" s="17">
        <v>2.5722</v>
      </c>
      <c r="AA318" s="17">
        <v>2.5819000000000001</v>
      </c>
      <c r="AB318" s="17">
        <v>2.5636999999999999</v>
      </c>
      <c r="AC318" s="17">
        <v>2.5028999999999999</v>
      </c>
      <c r="AD318" s="17">
        <v>2.41</v>
      </c>
      <c r="AE318" s="17">
        <v>2.2991000000000001</v>
      </c>
      <c r="AF318" s="17">
        <v>2.1585999999999999</v>
      </c>
      <c r="AG318" s="17">
        <v>2.0093000000000001</v>
      </c>
      <c r="AH318" s="17">
        <v>1.8297000000000001</v>
      </c>
      <c r="AI318" s="17">
        <v>1.6274</v>
      </c>
      <c r="AJ318" s="17">
        <v>1.3831</v>
      </c>
      <c r="AK318" s="17">
        <v>1.1544000000000001</v>
      </c>
      <c r="AL318" s="17">
        <v>0.91949999999999998</v>
      </c>
      <c r="AM318" s="17">
        <v>0.69220000000000004</v>
      </c>
      <c r="AN318" s="17">
        <v>0.47310000000000002</v>
      </c>
      <c r="AO318" s="17">
        <v>0.2762</v>
      </c>
      <c r="AP318" s="17">
        <v>8.0399999999999999E-2</v>
      </c>
      <c r="AQ318" s="17">
        <v>1.4800000000000001E-2</v>
      </c>
      <c r="AR318" s="17">
        <v>0</v>
      </c>
      <c r="AS318" s="17">
        <v>0</v>
      </c>
      <c r="AT318" s="17">
        <v>0</v>
      </c>
      <c r="AU318" s="17">
        <v>0</v>
      </c>
      <c r="AV318" s="17">
        <v>0</v>
      </c>
      <c r="AW318" s="17">
        <v>0</v>
      </c>
      <c r="AX318" s="17">
        <v>0</v>
      </c>
    </row>
    <row r="319" spans="1:50" x14ac:dyDescent="0.25">
      <c r="A319" s="16" t="s">
        <v>791</v>
      </c>
      <c r="B319" s="13" t="s">
        <v>464</v>
      </c>
      <c r="C319" s="17">
        <v>0</v>
      </c>
      <c r="D319" s="17">
        <v>0</v>
      </c>
      <c r="E319" s="17">
        <v>0</v>
      </c>
      <c r="F319" s="17">
        <v>0</v>
      </c>
      <c r="G319" s="17">
        <v>0</v>
      </c>
      <c r="H319" s="17">
        <v>0</v>
      </c>
      <c r="I319" s="17">
        <v>0</v>
      </c>
      <c r="J319" s="17">
        <v>2.2000000000000001E-3</v>
      </c>
      <c r="K319" s="17">
        <v>3.1099999999999999E-2</v>
      </c>
      <c r="L319" s="17">
        <v>0.1454</v>
      </c>
      <c r="M319" s="17">
        <v>0.2883</v>
      </c>
      <c r="N319" s="17">
        <v>0.4637</v>
      </c>
      <c r="O319" s="17">
        <v>0.65490000000000004</v>
      </c>
      <c r="P319" s="17">
        <v>0.84860000000000002</v>
      </c>
      <c r="Q319" s="17">
        <v>1.0411999999999999</v>
      </c>
      <c r="R319" s="17">
        <v>1.2341</v>
      </c>
      <c r="S319" s="17">
        <v>1.4152</v>
      </c>
      <c r="T319" s="17">
        <v>1.5853999999999999</v>
      </c>
      <c r="U319" s="17">
        <v>1.7303999999999999</v>
      </c>
      <c r="V319" s="17">
        <v>1.8540000000000001</v>
      </c>
      <c r="W319" s="17">
        <v>1.9624999999999999</v>
      </c>
      <c r="X319" s="17">
        <v>2.0520999999999998</v>
      </c>
      <c r="Y319" s="17">
        <v>2.1156000000000001</v>
      </c>
      <c r="Z319" s="17">
        <v>2.1435</v>
      </c>
      <c r="AA319" s="17">
        <v>2.1516000000000002</v>
      </c>
      <c r="AB319" s="17">
        <v>2.1364999999999998</v>
      </c>
      <c r="AC319" s="17">
        <v>2.0857000000000001</v>
      </c>
      <c r="AD319" s="17">
        <v>2.0083000000000002</v>
      </c>
      <c r="AE319" s="17">
        <v>1.9158999999999999</v>
      </c>
      <c r="AF319" s="17">
        <v>1.7988999999999999</v>
      </c>
      <c r="AG319" s="17">
        <v>1.6745000000000001</v>
      </c>
      <c r="AH319" s="17">
        <v>1.5246999999999999</v>
      </c>
      <c r="AI319" s="17">
        <v>1.3561000000000001</v>
      </c>
      <c r="AJ319" s="17">
        <v>1.1525000000000001</v>
      </c>
      <c r="AK319" s="17">
        <v>0.96199999999999997</v>
      </c>
      <c r="AL319" s="17">
        <v>0.76619999999999999</v>
      </c>
      <c r="AM319" s="17">
        <v>0.57679999999999998</v>
      </c>
      <c r="AN319" s="17">
        <v>0.39419999999999999</v>
      </c>
      <c r="AO319" s="17">
        <v>0.23019999999999999</v>
      </c>
      <c r="AP319" s="17">
        <v>6.7000000000000004E-2</v>
      </c>
      <c r="AQ319" s="17">
        <v>1.24E-2</v>
      </c>
      <c r="AR319" s="17">
        <v>0</v>
      </c>
      <c r="AS319" s="17">
        <v>0</v>
      </c>
      <c r="AT319" s="17">
        <v>0</v>
      </c>
      <c r="AU319" s="17">
        <v>0</v>
      </c>
      <c r="AV319" s="17">
        <v>0</v>
      </c>
      <c r="AW319" s="17">
        <v>0</v>
      </c>
      <c r="AX319" s="17">
        <v>0</v>
      </c>
    </row>
    <row r="320" spans="1:50" x14ac:dyDescent="0.25">
      <c r="A320" s="8" t="s">
        <v>356</v>
      </c>
      <c r="B320" s="10" t="s">
        <v>57</v>
      </c>
      <c r="C320" s="18">
        <v>0</v>
      </c>
      <c r="D320" s="18">
        <v>0</v>
      </c>
      <c r="E320" s="18">
        <v>0</v>
      </c>
      <c r="F320" s="18">
        <v>0</v>
      </c>
      <c r="G320" s="18">
        <v>0</v>
      </c>
      <c r="H320" s="18">
        <v>0</v>
      </c>
      <c r="I320" s="18">
        <v>0</v>
      </c>
      <c r="J320" s="18">
        <v>0</v>
      </c>
      <c r="K320" s="18">
        <v>0</v>
      </c>
      <c r="L320" s="18">
        <v>0</v>
      </c>
      <c r="M320" s="18">
        <v>0</v>
      </c>
      <c r="N320" s="18">
        <v>0</v>
      </c>
      <c r="O320" s="18">
        <v>0</v>
      </c>
      <c r="P320" s="18">
        <v>0</v>
      </c>
      <c r="Q320" s="18">
        <v>0</v>
      </c>
      <c r="R320" s="18">
        <v>0</v>
      </c>
      <c r="S320" s="18">
        <v>0</v>
      </c>
      <c r="T320" s="18">
        <v>0</v>
      </c>
      <c r="U320" s="18">
        <v>0</v>
      </c>
      <c r="V320" s="18">
        <v>0</v>
      </c>
      <c r="W320" s="18">
        <v>0</v>
      </c>
      <c r="X320" s="18">
        <v>0</v>
      </c>
      <c r="Y320" s="18">
        <v>0</v>
      </c>
      <c r="Z320" s="18">
        <v>0</v>
      </c>
      <c r="AA320" s="18">
        <v>0</v>
      </c>
      <c r="AB320" s="18">
        <v>0</v>
      </c>
      <c r="AC320" s="18">
        <v>0</v>
      </c>
      <c r="AD320" s="18">
        <v>0</v>
      </c>
      <c r="AE320" s="18">
        <v>0</v>
      </c>
      <c r="AF320" s="18">
        <v>0</v>
      </c>
      <c r="AG320" s="18">
        <v>0</v>
      </c>
      <c r="AH320" s="18">
        <v>0</v>
      </c>
      <c r="AI320" s="18">
        <v>0</v>
      </c>
      <c r="AJ320" s="18">
        <v>0</v>
      </c>
      <c r="AK320" s="18">
        <v>0</v>
      </c>
      <c r="AL320" s="18">
        <v>0</v>
      </c>
      <c r="AM320" s="18">
        <v>0</v>
      </c>
      <c r="AN320" s="18">
        <v>0</v>
      </c>
      <c r="AO320" s="18">
        <v>0</v>
      </c>
      <c r="AP320" s="18">
        <v>0</v>
      </c>
      <c r="AQ320" s="18">
        <v>0</v>
      </c>
      <c r="AR320" s="18">
        <v>0</v>
      </c>
      <c r="AS320" s="18">
        <v>0</v>
      </c>
      <c r="AT320" s="18">
        <v>0</v>
      </c>
      <c r="AU320" s="18">
        <v>0</v>
      </c>
      <c r="AV320" s="18">
        <v>0</v>
      </c>
      <c r="AW320" s="18">
        <v>0</v>
      </c>
      <c r="AX320" s="18">
        <v>0</v>
      </c>
    </row>
    <row r="321" spans="1:50" x14ac:dyDescent="0.25">
      <c r="A321" s="16" t="s">
        <v>793</v>
      </c>
      <c r="B321" s="13" t="s">
        <v>464</v>
      </c>
      <c r="C321" s="17">
        <v>0</v>
      </c>
      <c r="D321" s="17">
        <v>0</v>
      </c>
      <c r="E321" s="17">
        <v>0</v>
      </c>
      <c r="F321" s="17">
        <v>0</v>
      </c>
      <c r="G321" s="17">
        <v>0</v>
      </c>
      <c r="H321" s="17">
        <v>0</v>
      </c>
      <c r="I321" s="17">
        <v>0</v>
      </c>
      <c r="J321" s="17">
        <v>2.2000000000000001E-3</v>
      </c>
      <c r="K321" s="17">
        <v>3.1099999999999999E-2</v>
      </c>
      <c r="L321" s="17">
        <v>0.1454</v>
      </c>
      <c r="M321" s="17">
        <v>0.2883</v>
      </c>
      <c r="N321" s="17">
        <v>0.4637</v>
      </c>
      <c r="O321" s="17">
        <v>0.65490000000000004</v>
      </c>
      <c r="P321" s="17">
        <v>0.84860000000000002</v>
      </c>
      <c r="Q321" s="17">
        <v>1.0411999999999999</v>
      </c>
      <c r="R321" s="17">
        <v>1.2341</v>
      </c>
      <c r="S321" s="17">
        <v>1.4152</v>
      </c>
      <c r="T321" s="17">
        <v>1.5853999999999999</v>
      </c>
      <c r="U321" s="17">
        <v>1.7303999999999999</v>
      </c>
      <c r="V321" s="17">
        <v>1.8540000000000001</v>
      </c>
      <c r="W321" s="17">
        <v>1.9624999999999999</v>
      </c>
      <c r="X321" s="17">
        <v>2.0520999999999998</v>
      </c>
      <c r="Y321" s="17">
        <v>2.1156000000000001</v>
      </c>
      <c r="Z321" s="17">
        <v>2.1435</v>
      </c>
      <c r="AA321" s="17">
        <v>2.1516000000000002</v>
      </c>
      <c r="AB321" s="17">
        <v>2.1364999999999998</v>
      </c>
      <c r="AC321" s="17">
        <v>2.0857000000000001</v>
      </c>
      <c r="AD321" s="17">
        <v>2.0083000000000002</v>
      </c>
      <c r="AE321" s="17">
        <v>1.9158999999999999</v>
      </c>
      <c r="AF321" s="17">
        <v>1.7988999999999999</v>
      </c>
      <c r="AG321" s="17">
        <v>1.6745000000000001</v>
      </c>
      <c r="AH321" s="17">
        <v>1.5246999999999999</v>
      </c>
      <c r="AI321" s="17">
        <v>1.3561000000000001</v>
      </c>
      <c r="AJ321" s="17">
        <v>1.1525000000000001</v>
      </c>
      <c r="AK321" s="17">
        <v>0.96199999999999997</v>
      </c>
      <c r="AL321" s="17">
        <v>0.76619999999999999</v>
      </c>
      <c r="AM321" s="17">
        <v>0.57679999999999998</v>
      </c>
      <c r="AN321" s="17">
        <v>0.39419999999999999</v>
      </c>
      <c r="AO321" s="17">
        <v>0.23019999999999999</v>
      </c>
      <c r="AP321" s="17">
        <v>6.7000000000000004E-2</v>
      </c>
      <c r="AQ321" s="17">
        <v>1.24E-2</v>
      </c>
      <c r="AR321" s="17">
        <v>0</v>
      </c>
      <c r="AS321" s="17">
        <v>0</v>
      </c>
      <c r="AT321" s="17">
        <v>0</v>
      </c>
      <c r="AU321" s="17">
        <v>0</v>
      </c>
      <c r="AV321" s="17">
        <v>0</v>
      </c>
      <c r="AW321" s="17">
        <v>0</v>
      </c>
      <c r="AX321" s="17">
        <v>0</v>
      </c>
    </row>
    <row r="322" spans="1:50" x14ac:dyDescent="0.25">
      <c r="A322" s="8" t="s">
        <v>358</v>
      </c>
      <c r="B322" s="10" t="s">
        <v>57</v>
      </c>
      <c r="C322" s="18">
        <v>0</v>
      </c>
      <c r="D322" s="18">
        <v>0</v>
      </c>
      <c r="E322" s="18">
        <v>0</v>
      </c>
      <c r="F322" s="18">
        <v>0</v>
      </c>
      <c r="G322" s="18">
        <v>0</v>
      </c>
      <c r="H322" s="18">
        <v>0</v>
      </c>
      <c r="I322" s="18">
        <v>0</v>
      </c>
      <c r="J322" s="18">
        <v>0</v>
      </c>
      <c r="K322" s="18">
        <v>0</v>
      </c>
      <c r="L322" s="18">
        <v>0</v>
      </c>
      <c r="M322" s="18">
        <v>0</v>
      </c>
      <c r="N322" s="18">
        <v>0</v>
      </c>
      <c r="O322" s="18">
        <v>0</v>
      </c>
      <c r="P322" s="18">
        <v>0</v>
      </c>
      <c r="Q322" s="18">
        <v>0</v>
      </c>
      <c r="R322" s="18">
        <v>0</v>
      </c>
      <c r="S322" s="18">
        <v>0</v>
      </c>
      <c r="T322" s="18">
        <v>0</v>
      </c>
      <c r="U322" s="18">
        <v>0</v>
      </c>
      <c r="V322" s="18">
        <v>0</v>
      </c>
      <c r="W322" s="18">
        <v>0</v>
      </c>
      <c r="X322" s="18">
        <v>0</v>
      </c>
      <c r="Y322" s="18">
        <v>0</v>
      </c>
      <c r="Z322" s="18">
        <v>0</v>
      </c>
      <c r="AA322" s="18">
        <v>0</v>
      </c>
      <c r="AB322" s="18">
        <v>0</v>
      </c>
      <c r="AC322" s="18">
        <v>0</v>
      </c>
      <c r="AD322" s="18">
        <v>0</v>
      </c>
      <c r="AE322" s="18">
        <v>0</v>
      </c>
      <c r="AF322" s="18">
        <v>0</v>
      </c>
      <c r="AG322" s="18">
        <v>0</v>
      </c>
      <c r="AH322" s="18">
        <v>0</v>
      </c>
      <c r="AI322" s="18">
        <v>0</v>
      </c>
      <c r="AJ322" s="18">
        <v>0</v>
      </c>
      <c r="AK322" s="18">
        <v>0</v>
      </c>
      <c r="AL322" s="18">
        <v>0</v>
      </c>
      <c r="AM322" s="18">
        <v>0</v>
      </c>
      <c r="AN322" s="18">
        <v>0</v>
      </c>
      <c r="AO322" s="18">
        <v>0</v>
      </c>
      <c r="AP322" s="18">
        <v>0</v>
      </c>
      <c r="AQ322" s="18">
        <v>0</v>
      </c>
      <c r="AR322" s="18">
        <v>0</v>
      </c>
      <c r="AS322" s="18">
        <v>0</v>
      </c>
      <c r="AT322" s="18">
        <v>0</v>
      </c>
      <c r="AU322" s="18">
        <v>0</v>
      </c>
      <c r="AV322" s="18">
        <v>0</v>
      </c>
      <c r="AW322" s="18">
        <v>0</v>
      </c>
      <c r="AX322" s="18">
        <v>0</v>
      </c>
    </row>
    <row r="323" spans="1:50" x14ac:dyDescent="0.25">
      <c r="A323" s="16" t="s">
        <v>795</v>
      </c>
      <c r="B323" s="13" t="s">
        <v>464</v>
      </c>
      <c r="C323" s="17">
        <v>0</v>
      </c>
      <c r="D323" s="17">
        <v>0</v>
      </c>
      <c r="E323" s="17">
        <v>0</v>
      </c>
      <c r="F323" s="17">
        <v>0</v>
      </c>
      <c r="G323" s="17">
        <v>0</v>
      </c>
      <c r="H323" s="17">
        <v>0</v>
      </c>
      <c r="I323" s="17">
        <v>0</v>
      </c>
      <c r="J323" s="17">
        <v>2.5999999999999999E-3</v>
      </c>
      <c r="K323" s="17">
        <v>3.73E-2</v>
      </c>
      <c r="L323" s="17">
        <v>0.1744</v>
      </c>
      <c r="M323" s="17">
        <v>0.34599999999999997</v>
      </c>
      <c r="N323" s="17">
        <v>0.55640000000000001</v>
      </c>
      <c r="O323" s="17">
        <v>0.78590000000000004</v>
      </c>
      <c r="P323" s="17">
        <v>1.0183</v>
      </c>
      <c r="Q323" s="17">
        <v>1.2495000000000001</v>
      </c>
      <c r="R323" s="17">
        <v>1.4810000000000001</v>
      </c>
      <c r="S323" s="17">
        <v>1.6981999999999999</v>
      </c>
      <c r="T323" s="17">
        <v>1.9025000000000001</v>
      </c>
      <c r="U323" s="17">
        <v>2.0764</v>
      </c>
      <c r="V323" s="17">
        <v>2.2248000000000001</v>
      </c>
      <c r="W323" s="17">
        <v>2.355</v>
      </c>
      <c r="X323" s="17">
        <v>2.4624999999999999</v>
      </c>
      <c r="Y323" s="17">
        <v>2.5387</v>
      </c>
      <c r="Z323" s="17">
        <v>2.5722</v>
      </c>
      <c r="AA323" s="17">
        <v>2.5819000000000001</v>
      </c>
      <c r="AB323" s="17">
        <v>2.5636999999999999</v>
      </c>
      <c r="AC323" s="17">
        <v>2.5028999999999999</v>
      </c>
      <c r="AD323" s="17">
        <v>2.41</v>
      </c>
      <c r="AE323" s="17">
        <v>2.2991000000000001</v>
      </c>
      <c r="AF323" s="17">
        <v>2.1585999999999999</v>
      </c>
      <c r="AG323" s="17">
        <v>2.0093000000000001</v>
      </c>
      <c r="AH323" s="17">
        <v>1.8297000000000001</v>
      </c>
      <c r="AI323" s="17">
        <v>1.6274</v>
      </c>
      <c r="AJ323" s="17">
        <v>1.3831</v>
      </c>
      <c r="AK323" s="17">
        <v>1.1544000000000001</v>
      </c>
      <c r="AL323" s="17">
        <v>0.91949999999999998</v>
      </c>
      <c r="AM323" s="17">
        <v>0.69220000000000004</v>
      </c>
      <c r="AN323" s="17">
        <v>0.47310000000000002</v>
      </c>
      <c r="AO323" s="17">
        <v>0.2762</v>
      </c>
      <c r="AP323" s="17">
        <v>8.0399999999999999E-2</v>
      </c>
      <c r="AQ323" s="17">
        <v>1.4800000000000001E-2</v>
      </c>
      <c r="AR323" s="17">
        <v>0</v>
      </c>
      <c r="AS323" s="17">
        <v>0</v>
      </c>
      <c r="AT323" s="17">
        <v>0</v>
      </c>
      <c r="AU323" s="17">
        <v>0</v>
      </c>
      <c r="AV323" s="17">
        <v>0</v>
      </c>
      <c r="AW323" s="17">
        <v>0</v>
      </c>
      <c r="AX323" s="17">
        <v>0</v>
      </c>
    </row>
    <row r="324" spans="1:50" x14ac:dyDescent="0.25">
      <c r="A324" s="8" t="s">
        <v>360</v>
      </c>
      <c r="B324" s="10" t="s">
        <v>57</v>
      </c>
      <c r="C324" s="18">
        <v>0</v>
      </c>
      <c r="D324" s="18">
        <v>0</v>
      </c>
      <c r="E324" s="18">
        <v>0</v>
      </c>
      <c r="F324" s="18">
        <v>0</v>
      </c>
      <c r="G324" s="18">
        <v>0</v>
      </c>
      <c r="H324" s="18">
        <v>0</v>
      </c>
      <c r="I324" s="18">
        <v>0</v>
      </c>
      <c r="J324" s="18">
        <v>0</v>
      </c>
      <c r="K324" s="18">
        <v>0</v>
      </c>
      <c r="L324" s="18">
        <v>0</v>
      </c>
      <c r="M324" s="18">
        <v>0</v>
      </c>
      <c r="N324" s="18">
        <v>0</v>
      </c>
      <c r="O324" s="18">
        <v>0</v>
      </c>
      <c r="P324" s="18">
        <v>0</v>
      </c>
      <c r="Q324" s="18">
        <v>0</v>
      </c>
      <c r="R324" s="18">
        <v>0</v>
      </c>
      <c r="S324" s="18">
        <v>0</v>
      </c>
      <c r="T324" s="18">
        <v>0</v>
      </c>
      <c r="U324" s="18">
        <v>0</v>
      </c>
      <c r="V324" s="18">
        <v>0</v>
      </c>
      <c r="W324" s="18">
        <v>0</v>
      </c>
      <c r="X324" s="18">
        <v>0</v>
      </c>
      <c r="Y324" s="18">
        <v>0</v>
      </c>
      <c r="Z324" s="18">
        <v>0</v>
      </c>
      <c r="AA324" s="18">
        <v>0</v>
      </c>
      <c r="AB324" s="18">
        <v>0</v>
      </c>
      <c r="AC324" s="18">
        <v>0</v>
      </c>
      <c r="AD324" s="18">
        <v>0</v>
      </c>
      <c r="AE324" s="18">
        <v>0</v>
      </c>
      <c r="AF324" s="18">
        <v>0</v>
      </c>
      <c r="AG324" s="18">
        <v>0</v>
      </c>
      <c r="AH324" s="18">
        <v>0</v>
      </c>
      <c r="AI324" s="18">
        <v>0</v>
      </c>
      <c r="AJ324" s="18">
        <v>0</v>
      </c>
      <c r="AK324" s="18">
        <v>0</v>
      </c>
      <c r="AL324" s="18">
        <v>0</v>
      </c>
      <c r="AM324" s="18">
        <v>0</v>
      </c>
      <c r="AN324" s="18">
        <v>0</v>
      </c>
      <c r="AO324" s="18">
        <v>0</v>
      </c>
      <c r="AP324" s="18">
        <v>0</v>
      </c>
      <c r="AQ324" s="18">
        <v>0</v>
      </c>
      <c r="AR324" s="18">
        <v>0</v>
      </c>
      <c r="AS324" s="18">
        <v>0</v>
      </c>
      <c r="AT324" s="18">
        <v>0</v>
      </c>
      <c r="AU324" s="18">
        <v>0</v>
      </c>
      <c r="AV324" s="18">
        <v>0</v>
      </c>
      <c r="AW324" s="18">
        <v>0</v>
      </c>
      <c r="AX324" s="18">
        <v>0</v>
      </c>
    </row>
    <row r="325" spans="1:50" x14ac:dyDescent="0.25">
      <c r="A325" s="8" t="s">
        <v>362</v>
      </c>
      <c r="B325" s="10" t="s">
        <v>57</v>
      </c>
      <c r="C325" s="18">
        <v>0</v>
      </c>
      <c r="D325" s="18">
        <v>0</v>
      </c>
      <c r="E325" s="18">
        <v>0</v>
      </c>
      <c r="F325" s="18">
        <v>0</v>
      </c>
      <c r="G325" s="18">
        <v>0</v>
      </c>
      <c r="H325" s="18">
        <v>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0</v>
      </c>
      <c r="Q325" s="18">
        <v>0</v>
      </c>
      <c r="R325" s="18">
        <v>0</v>
      </c>
      <c r="S325" s="18">
        <v>0</v>
      </c>
      <c r="T325" s="18">
        <v>0</v>
      </c>
      <c r="U325" s="18">
        <v>0</v>
      </c>
      <c r="V325" s="18">
        <v>0</v>
      </c>
      <c r="W325" s="18">
        <v>0</v>
      </c>
      <c r="X325" s="18">
        <v>0</v>
      </c>
      <c r="Y325" s="18">
        <v>0</v>
      </c>
      <c r="Z325" s="18">
        <v>0</v>
      </c>
      <c r="AA325" s="18">
        <v>0</v>
      </c>
      <c r="AB325" s="18">
        <v>0</v>
      </c>
      <c r="AC325" s="18">
        <v>0</v>
      </c>
      <c r="AD325" s="18">
        <v>0</v>
      </c>
      <c r="AE325" s="18">
        <v>0</v>
      </c>
      <c r="AF325" s="18">
        <v>0</v>
      </c>
      <c r="AG325" s="18">
        <v>0</v>
      </c>
      <c r="AH325" s="18">
        <v>0</v>
      </c>
      <c r="AI325" s="18">
        <v>0</v>
      </c>
      <c r="AJ325" s="18">
        <v>0</v>
      </c>
      <c r="AK325" s="18">
        <v>0</v>
      </c>
      <c r="AL325" s="18">
        <v>0</v>
      </c>
      <c r="AM325" s="18">
        <v>0</v>
      </c>
      <c r="AN325" s="18">
        <v>0</v>
      </c>
      <c r="AO325" s="18">
        <v>0</v>
      </c>
      <c r="AP325" s="18">
        <v>0</v>
      </c>
      <c r="AQ325" s="18">
        <v>0</v>
      </c>
      <c r="AR325" s="18">
        <v>0</v>
      </c>
      <c r="AS325" s="18">
        <v>0</v>
      </c>
      <c r="AT325" s="18">
        <v>0</v>
      </c>
      <c r="AU325" s="18">
        <v>0</v>
      </c>
      <c r="AV325" s="18">
        <v>0</v>
      </c>
      <c r="AW325" s="18">
        <v>0</v>
      </c>
      <c r="AX325" s="18">
        <v>0</v>
      </c>
    </row>
    <row r="326" spans="1:50" x14ac:dyDescent="0.25">
      <c r="A326" s="8" t="s">
        <v>364</v>
      </c>
      <c r="B326" s="10" t="s">
        <v>57</v>
      </c>
      <c r="C326" s="18">
        <v>0</v>
      </c>
      <c r="D326" s="18">
        <v>0</v>
      </c>
      <c r="E326" s="18">
        <v>0</v>
      </c>
      <c r="F326" s="18">
        <v>0</v>
      </c>
      <c r="G326" s="18">
        <v>0</v>
      </c>
      <c r="H326" s="18">
        <v>0</v>
      </c>
      <c r="I326" s="18">
        <v>0</v>
      </c>
      <c r="J326" s="18">
        <v>0</v>
      </c>
      <c r="K326" s="18">
        <v>0</v>
      </c>
      <c r="L326" s="18">
        <v>0</v>
      </c>
      <c r="M326" s="18">
        <v>0</v>
      </c>
      <c r="N326" s="18">
        <v>0</v>
      </c>
      <c r="O326" s="18">
        <v>0</v>
      </c>
      <c r="P326" s="18">
        <v>0</v>
      </c>
      <c r="Q326" s="18">
        <v>0</v>
      </c>
      <c r="R326" s="18">
        <v>0</v>
      </c>
      <c r="S326" s="18">
        <v>0</v>
      </c>
      <c r="T326" s="18">
        <v>0</v>
      </c>
      <c r="U326" s="18">
        <v>0</v>
      </c>
      <c r="V326" s="18">
        <v>0</v>
      </c>
      <c r="W326" s="18">
        <v>0</v>
      </c>
      <c r="X326" s="18">
        <v>0</v>
      </c>
      <c r="Y326" s="18">
        <v>0</v>
      </c>
      <c r="Z326" s="18">
        <v>0</v>
      </c>
      <c r="AA326" s="18">
        <v>0</v>
      </c>
      <c r="AB326" s="18">
        <v>0</v>
      </c>
      <c r="AC326" s="18">
        <v>0</v>
      </c>
      <c r="AD326" s="18">
        <v>0</v>
      </c>
      <c r="AE326" s="18">
        <v>0</v>
      </c>
      <c r="AF326" s="18">
        <v>0</v>
      </c>
      <c r="AG326" s="18">
        <v>0</v>
      </c>
      <c r="AH326" s="18">
        <v>0</v>
      </c>
      <c r="AI326" s="18">
        <v>0</v>
      </c>
      <c r="AJ326" s="18">
        <v>0</v>
      </c>
      <c r="AK326" s="18">
        <v>0</v>
      </c>
      <c r="AL326" s="18">
        <v>0</v>
      </c>
      <c r="AM326" s="18">
        <v>0</v>
      </c>
      <c r="AN326" s="18">
        <v>0</v>
      </c>
      <c r="AO326" s="18">
        <v>0</v>
      </c>
      <c r="AP326" s="18">
        <v>0</v>
      </c>
      <c r="AQ326" s="18">
        <v>0</v>
      </c>
      <c r="AR326" s="18">
        <v>0</v>
      </c>
      <c r="AS326" s="18">
        <v>0</v>
      </c>
      <c r="AT326" s="18">
        <v>0</v>
      </c>
      <c r="AU326" s="18">
        <v>0</v>
      </c>
      <c r="AV326" s="18">
        <v>0</v>
      </c>
      <c r="AW326" s="18">
        <v>0</v>
      </c>
      <c r="AX326" s="18">
        <v>0</v>
      </c>
    </row>
    <row r="327" spans="1:50" x14ac:dyDescent="0.25">
      <c r="A327" s="8" t="s">
        <v>366</v>
      </c>
      <c r="B327" s="10" t="s">
        <v>57</v>
      </c>
      <c r="C327" s="18">
        <v>0</v>
      </c>
      <c r="D327" s="18">
        <v>0</v>
      </c>
      <c r="E327" s="18">
        <v>0</v>
      </c>
      <c r="F327" s="18">
        <v>0</v>
      </c>
      <c r="G327" s="18">
        <v>0</v>
      </c>
      <c r="H327" s="18">
        <v>0</v>
      </c>
      <c r="I327" s="18">
        <v>0</v>
      </c>
      <c r="J327" s="18">
        <v>0</v>
      </c>
      <c r="K327" s="18">
        <v>0</v>
      </c>
      <c r="L327" s="18">
        <v>0</v>
      </c>
      <c r="M327" s="18">
        <v>0</v>
      </c>
      <c r="N327" s="18">
        <v>0</v>
      </c>
      <c r="O327" s="18">
        <v>0</v>
      </c>
      <c r="P327" s="18">
        <v>0</v>
      </c>
      <c r="Q327" s="18">
        <v>0</v>
      </c>
      <c r="R327" s="18">
        <v>0</v>
      </c>
      <c r="S327" s="18">
        <v>0</v>
      </c>
      <c r="T327" s="18">
        <v>0</v>
      </c>
      <c r="U327" s="18">
        <v>0</v>
      </c>
      <c r="V327" s="18">
        <v>0</v>
      </c>
      <c r="W327" s="18">
        <v>0</v>
      </c>
      <c r="X327" s="18">
        <v>0</v>
      </c>
      <c r="Y327" s="18">
        <v>0</v>
      </c>
      <c r="Z327" s="18">
        <v>0</v>
      </c>
      <c r="AA327" s="18">
        <v>0</v>
      </c>
      <c r="AB327" s="18">
        <v>0</v>
      </c>
      <c r="AC327" s="18">
        <v>0</v>
      </c>
      <c r="AD327" s="18">
        <v>0</v>
      </c>
      <c r="AE327" s="18">
        <v>0</v>
      </c>
      <c r="AF327" s="18">
        <v>0</v>
      </c>
      <c r="AG327" s="18">
        <v>0</v>
      </c>
      <c r="AH327" s="18">
        <v>0</v>
      </c>
      <c r="AI327" s="18">
        <v>0</v>
      </c>
      <c r="AJ327" s="18">
        <v>0</v>
      </c>
      <c r="AK327" s="18">
        <v>0</v>
      </c>
      <c r="AL327" s="18">
        <v>0</v>
      </c>
      <c r="AM327" s="18">
        <v>0</v>
      </c>
      <c r="AN327" s="18">
        <v>0</v>
      </c>
      <c r="AO327" s="18">
        <v>0</v>
      </c>
      <c r="AP327" s="18">
        <v>0</v>
      </c>
      <c r="AQ327" s="18">
        <v>0</v>
      </c>
      <c r="AR327" s="18">
        <v>0</v>
      </c>
      <c r="AS327" s="18">
        <v>0</v>
      </c>
      <c r="AT327" s="18">
        <v>0</v>
      </c>
      <c r="AU327" s="18">
        <v>0</v>
      </c>
      <c r="AV327" s="18">
        <v>0</v>
      </c>
      <c r="AW327" s="18">
        <v>0</v>
      </c>
      <c r="AX327" s="18">
        <v>0</v>
      </c>
    </row>
    <row r="328" spans="1:50" x14ac:dyDescent="0.25">
      <c r="A328" s="8" t="s">
        <v>368</v>
      </c>
      <c r="B328" s="10" t="s">
        <v>57</v>
      </c>
      <c r="C328" s="18">
        <v>0</v>
      </c>
      <c r="D328" s="18">
        <v>0</v>
      </c>
      <c r="E328" s="18">
        <v>0</v>
      </c>
      <c r="F328" s="18">
        <v>0</v>
      </c>
      <c r="G328" s="18">
        <v>0</v>
      </c>
      <c r="H328" s="18">
        <v>0</v>
      </c>
      <c r="I328" s="18">
        <v>0</v>
      </c>
      <c r="J328" s="18">
        <v>0</v>
      </c>
      <c r="K328" s="18">
        <v>0</v>
      </c>
      <c r="L328" s="18">
        <v>0</v>
      </c>
      <c r="M328" s="18">
        <v>0</v>
      </c>
      <c r="N328" s="18">
        <v>0</v>
      </c>
      <c r="O328" s="18">
        <v>0</v>
      </c>
      <c r="P328" s="18">
        <v>0</v>
      </c>
      <c r="Q328" s="18">
        <v>0</v>
      </c>
      <c r="R328" s="18">
        <v>0</v>
      </c>
      <c r="S328" s="18">
        <v>0</v>
      </c>
      <c r="T328" s="18">
        <v>0</v>
      </c>
      <c r="U328" s="18">
        <v>0</v>
      </c>
      <c r="V328" s="18">
        <v>0</v>
      </c>
      <c r="W328" s="18">
        <v>0</v>
      </c>
      <c r="X328" s="18">
        <v>0</v>
      </c>
      <c r="Y328" s="18">
        <v>0</v>
      </c>
      <c r="Z328" s="18">
        <v>0</v>
      </c>
      <c r="AA328" s="18">
        <v>0</v>
      </c>
      <c r="AB328" s="18">
        <v>0</v>
      </c>
      <c r="AC328" s="18">
        <v>0</v>
      </c>
      <c r="AD328" s="18">
        <v>0</v>
      </c>
      <c r="AE328" s="18">
        <v>0</v>
      </c>
      <c r="AF328" s="18">
        <v>0</v>
      </c>
      <c r="AG328" s="18">
        <v>0</v>
      </c>
      <c r="AH328" s="18">
        <v>0</v>
      </c>
      <c r="AI328" s="18">
        <v>0</v>
      </c>
      <c r="AJ328" s="18">
        <v>0</v>
      </c>
      <c r="AK328" s="18">
        <v>0</v>
      </c>
      <c r="AL328" s="18">
        <v>0</v>
      </c>
      <c r="AM328" s="18">
        <v>0</v>
      </c>
      <c r="AN328" s="18">
        <v>0</v>
      </c>
      <c r="AO328" s="18">
        <v>0</v>
      </c>
      <c r="AP328" s="18">
        <v>0</v>
      </c>
      <c r="AQ328" s="18">
        <v>0</v>
      </c>
      <c r="AR328" s="18">
        <v>0</v>
      </c>
      <c r="AS328" s="18">
        <v>0</v>
      </c>
      <c r="AT328" s="18">
        <v>0</v>
      </c>
      <c r="AU328" s="18">
        <v>0</v>
      </c>
      <c r="AV328" s="18">
        <v>0</v>
      </c>
      <c r="AW328" s="18">
        <v>0</v>
      </c>
      <c r="AX328" s="18">
        <v>0</v>
      </c>
    </row>
    <row r="329" spans="1:50" x14ac:dyDescent="0.25">
      <c r="A329" s="8" t="s">
        <v>370</v>
      </c>
      <c r="B329" s="10" t="s">
        <v>57</v>
      </c>
      <c r="C329" s="18">
        <v>0</v>
      </c>
      <c r="D329" s="18">
        <v>0</v>
      </c>
      <c r="E329" s="18">
        <v>0</v>
      </c>
      <c r="F329" s="18">
        <v>0</v>
      </c>
      <c r="G329" s="18">
        <v>0</v>
      </c>
      <c r="H329" s="18">
        <v>0</v>
      </c>
      <c r="I329" s="18">
        <v>0</v>
      </c>
      <c r="J329" s="18">
        <v>0</v>
      </c>
      <c r="K329" s="18">
        <v>0</v>
      </c>
      <c r="L329" s="18">
        <v>0</v>
      </c>
      <c r="M329" s="18">
        <v>0</v>
      </c>
      <c r="N329" s="18">
        <v>0</v>
      </c>
      <c r="O329" s="18">
        <v>0</v>
      </c>
      <c r="P329" s="18">
        <v>0</v>
      </c>
      <c r="Q329" s="18">
        <v>0</v>
      </c>
      <c r="R329" s="18">
        <v>0</v>
      </c>
      <c r="S329" s="18">
        <v>0</v>
      </c>
      <c r="T329" s="18">
        <v>0</v>
      </c>
      <c r="U329" s="18">
        <v>0</v>
      </c>
      <c r="V329" s="18">
        <v>0</v>
      </c>
      <c r="W329" s="18">
        <v>0</v>
      </c>
      <c r="X329" s="18">
        <v>0</v>
      </c>
      <c r="Y329" s="18">
        <v>0</v>
      </c>
      <c r="Z329" s="18">
        <v>0</v>
      </c>
      <c r="AA329" s="18">
        <v>0</v>
      </c>
      <c r="AB329" s="18">
        <v>0</v>
      </c>
      <c r="AC329" s="18">
        <v>0</v>
      </c>
      <c r="AD329" s="18">
        <v>0</v>
      </c>
      <c r="AE329" s="18">
        <v>0</v>
      </c>
      <c r="AF329" s="18">
        <v>0</v>
      </c>
      <c r="AG329" s="18">
        <v>0</v>
      </c>
      <c r="AH329" s="18">
        <v>0</v>
      </c>
      <c r="AI329" s="18">
        <v>0</v>
      </c>
      <c r="AJ329" s="18">
        <v>0</v>
      </c>
      <c r="AK329" s="18">
        <v>0</v>
      </c>
      <c r="AL329" s="18">
        <v>0</v>
      </c>
      <c r="AM329" s="18">
        <v>0</v>
      </c>
      <c r="AN329" s="18">
        <v>0</v>
      </c>
      <c r="AO329" s="18">
        <v>0</v>
      </c>
      <c r="AP329" s="18">
        <v>0</v>
      </c>
      <c r="AQ329" s="18">
        <v>0</v>
      </c>
      <c r="AR329" s="18">
        <v>0</v>
      </c>
      <c r="AS329" s="18">
        <v>0</v>
      </c>
      <c r="AT329" s="18">
        <v>0</v>
      </c>
      <c r="AU329" s="18">
        <v>0</v>
      </c>
      <c r="AV329" s="18">
        <v>0</v>
      </c>
      <c r="AW329" s="18">
        <v>0</v>
      </c>
      <c r="AX329" s="18">
        <v>0</v>
      </c>
    </row>
    <row r="330" spans="1:50" x14ac:dyDescent="0.25">
      <c r="A330" s="8" t="s">
        <v>372</v>
      </c>
      <c r="B330" s="10" t="s">
        <v>57</v>
      </c>
      <c r="C330" s="18">
        <v>0</v>
      </c>
      <c r="D330" s="18">
        <v>0</v>
      </c>
      <c r="E330" s="18">
        <v>0</v>
      </c>
      <c r="F330" s="18">
        <v>0</v>
      </c>
      <c r="G330" s="18">
        <v>0</v>
      </c>
      <c r="H330" s="18">
        <v>0</v>
      </c>
      <c r="I330" s="18">
        <v>0</v>
      </c>
      <c r="J330" s="18">
        <v>0</v>
      </c>
      <c r="K330" s="18">
        <v>0</v>
      </c>
      <c r="L330" s="18">
        <v>0</v>
      </c>
      <c r="M330" s="18">
        <v>0</v>
      </c>
      <c r="N330" s="18">
        <v>0</v>
      </c>
      <c r="O330" s="18">
        <v>0</v>
      </c>
      <c r="P330" s="18">
        <v>0</v>
      </c>
      <c r="Q330" s="18">
        <v>0</v>
      </c>
      <c r="R330" s="18">
        <v>0</v>
      </c>
      <c r="S330" s="18">
        <v>0</v>
      </c>
      <c r="T330" s="18">
        <v>0</v>
      </c>
      <c r="U330" s="18">
        <v>0</v>
      </c>
      <c r="V330" s="18">
        <v>0</v>
      </c>
      <c r="W330" s="18">
        <v>0</v>
      </c>
      <c r="X330" s="18">
        <v>0</v>
      </c>
      <c r="Y330" s="18">
        <v>0</v>
      </c>
      <c r="Z330" s="18">
        <v>0</v>
      </c>
      <c r="AA330" s="18">
        <v>0</v>
      </c>
      <c r="AB330" s="18">
        <v>0</v>
      </c>
      <c r="AC330" s="18">
        <v>0</v>
      </c>
      <c r="AD330" s="18">
        <v>0</v>
      </c>
      <c r="AE330" s="18">
        <v>0</v>
      </c>
      <c r="AF330" s="18">
        <v>0</v>
      </c>
      <c r="AG330" s="18">
        <v>0</v>
      </c>
      <c r="AH330" s="18">
        <v>0</v>
      </c>
      <c r="AI330" s="18">
        <v>0</v>
      </c>
      <c r="AJ330" s="18">
        <v>0</v>
      </c>
      <c r="AK330" s="18">
        <v>0</v>
      </c>
      <c r="AL330" s="18">
        <v>0</v>
      </c>
      <c r="AM330" s="18">
        <v>0</v>
      </c>
      <c r="AN330" s="18">
        <v>0</v>
      </c>
      <c r="AO330" s="18">
        <v>0</v>
      </c>
      <c r="AP330" s="18">
        <v>0</v>
      </c>
      <c r="AQ330" s="18">
        <v>0</v>
      </c>
      <c r="AR330" s="18">
        <v>0</v>
      </c>
      <c r="AS330" s="18">
        <v>0</v>
      </c>
      <c r="AT330" s="18">
        <v>0</v>
      </c>
      <c r="AU330" s="18">
        <v>0</v>
      </c>
      <c r="AV330" s="18">
        <v>0</v>
      </c>
      <c r="AW330" s="18">
        <v>0</v>
      </c>
      <c r="AX330" s="18">
        <v>0</v>
      </c>
    </row>
    <row r="331" spans="1:50" x14ac:dyDescent="0.25">
      <c r="A331" s="8" t="s">
        <v>374</v>
      </c>
      <c r="B331" s="10" t="s">
        <v>57</v>
      </c>
      <c r="C331" s="18">
        <v>0</v>
      </c>
      <c r="D331" s="18">
        <v>0</v>
      </c>
      <c r="E331" s="18">
        <v>0</v>
      </c>
      <c r="F331" s="18">
        <v>0</v>
      </c>
      <c r="G331" s="18">
        <v>0</v>
      </c>
      <c r="H331" s="18">
        <v>0</v>
      </c>
      <c r="I331" s="18">
        <v>0</v>
      </c>
      <c r="J331" s="18">
        <v>0</v>
      </c>
      <c r="K331" s="18">
        <v>0</v>
      </c>
      <c r="L331" s="18">
        <v>0</v>
      </c>
      <c r="M331" s="18">
        <v>0</v>
      </c>
      <c r="N331" s="18">
        <v>0</v>
      </c>
      <c r="O331" s="18">
        <v>0</v>
      </c>
      <c r="P331" s="18">
        <v>0</v>
      </c>
      <c r="Q331" s="18">
        <v>0</v>
      </c>
      <c r="R331" s="18">
        <v>0</v>
      </c>
      <c r="S331" s="18">
        <v>0</v>
      </c>
      <c r="T331" s="18">
        <v>0</v>
      </c>
      <c r="U331" s="18">
        <v>0</v>
      </c>
      <c r="V331" s="18">
        <v>0</v>
      </c>
      <c r="W331" s="18">
        <v>0</v>
      </c>
      <c r="X331" s="18">
        <v>0</v>
      </c>
      <c r="Y331" s="18">
        <v>0</v>
      </c>
      <c r="Z331" s="18">
        <v>0</v>
      </c>
      <c r="AA331" s="18">
        <v>0</v>
      </c>
      <c r="AB331" s="18">
        <v>0</v>
      </c>
      <c r="AC331" s="18">
        <v>0</v>
      </c>
      <c r="AD331" s="18">
        <v>0</v>
      </c>
      <c r="AE331" s="18">
        <v>0</v>
      </c>
      <c r="AF331" s="18">
        <v>0</v>
      </c>
      <c r="AG331" s="18">
        <v>0</v>
      </c>
      <c r="AH331" s="18">
        <v>0</v>
      </c>
      <c r="AI331" s="18">
        <v>0</v>
      </c>
      <c r="AJ331" s="18">
        <v>0</v>
      </c>
      <c r="AK331" s="18">
        <v>0</v>
      </c>
      <c r="AL331" s="18">
        <v>0</v>
      </c>
      <c r="AM331" s="18">
        <v>0</v>
      </c>
      <c r="AN331" s="18">
        <v>0</v>
      </c>
      <c r="AO331" s="18">
        <v>0</v>
      </c>
      <c r="AP331" s="18">
        <v>0</v>
      </c>
      <c r="AQ331" s="18">
        <v>0</v>
      </c>
      <c r="AR331" s="18">
        <v>0</v>
      </c>
      <c r="AS331" s="18">
        <v>0</v>
      </c>
      <c r="AT331" s="18">
        <v>0</v>
      </c>
      <c r="AU331" s="18">
        <v>0</v>
      </c>
      <c r="AV331" s="18">
        <v>0</v>
      </c>
      <c r="AW331" s="18">
        <v>0</v>
      </c>
      <c r="AX331" s="18">
        <v>0</v>
      </c>
    </row>
    <row r="332" spans="1:50" x14ac:dyDescent="0.25">
      <c r="A332" s="16" t="s">
        <v>797</v>
      </c>
      <c r="B332" s="13" t="s">
        <v>464</v>
      </c>
      <c r="C332" s="17">
        <v>0</v>
      </c>
      <c r="D332" s="17">
        <v>0</v>
      </c>
      <c r="E332" s="17">
        <v>0</v>
      </c>
      <c r="F332" s="17">
        <v>0</v>
      </c>
      <c r="G332" s="17">
        <v>0</v>
      </c>
      <c r="H332" s="17">
        <v>0</v>
      </c>
      <c r="I332" s="17">
        <v>0</v>
      </c>
      <c r="J332" s="17">
        <v>3.3999999999999998E-3</v>
      </c>
      <c r="K332" s="17">
        <v>4.9700000000000001E-2</v>
      </c>
      <c r="L332" s="17">
        <v>0.2326</v>
      </c>
      <c r="M332" s="17">
        <v>0.46129999999999999</v>
      </c>
      <c r="N332" s="17">
        <v>0.7419</v>
      </c>
      <c r="O332" s="17">
        <v>1.0479000000000001</v>
      </c>
      <c r="P332" s="17">
        <v>1.3576999999999999</v>
      </c>
      <c r="Q332" s="17">
        <v>1.6659999999999999</v>
      </c>
      <c r="R332" s="17">
        <v>1.9745999999999999</v>
      </c>
      <c r="S332" s="17">
        <v>2.2643</v>
      </c>
      <c r="T332" s="17">
        <v>2.5367000000000002</v>
      </c>
      <c r="U332" s="17">
        <v>2.7686000000000002</v>
      </c>
      <c r="V332" s="17">
        <v>2.9664000000000001</v>
      </c>
      <c r="W332" s="17">
        <v>3.14</v>
      </c>
      <c r="X332" s="17">
        <v>3.2833000000000001</v>
      </c>
      <c r="Y332" s="17">
        <v>3.3849999999999998</v>
      </c>
      <c r="Z332" s="17">
        <v>3.4296000000000002</v>
      </c>
      <c r="AA332" s="17">
        <v>3.4424999999999999</v>
      </c>
      <c r="AB332" s="17">
        <v>3.4182999999999999</v>
      </c>
      <c r="AC332" s="17">
        <v>3.3372000000000002</v>
      </c>
      <c r="AD332" s="17">
        <v>3.2132999999999998</v>
      </c>
      <c r="AE332" s="17">
        <v>3.0655000000000001</v>
      </c>
      <c r="AF332" s="17">
        <v>2.8782000000000001</v>
      </c>
      <c r="AG332" s="17">
        <v>2.6791</v>
      </c>
      <c r="AH332" s="17">
        <v>2.4396</v>
      </c>
      <c r="AI332" s="17">
        <v>2.1698</v>
      </c>
      <c r="AJ332" s="17">
        <v>1.8441000000000001</v>
      </c>
      <c r="AK332" s="17">
        <v>1.5391999999999999</v>
      </c>
      <c r="AL332" s="17">
        <v>1.2259</v>
      </c>
      <c r="AM332" s="17">
        <v>0.92290000000000005</v>
      </c>
      <c r="AN332" s="17">
        <v>0.63080000000000003</v>
      </c>
      <c r="AO332" s="17">
        <v>0.36830000000000002</v>
      </c>
      <c r="AP332" s="17">
        <v>0.1072</v>
      </c>
      <c r="AQ332" s="17">
        <v>1.9800000000000002E-2</v>
      </c>
      <c r="AR332" s="17">
        <v>0</v>
      </c>
      <c r="AS332" s="17">
        <v>0</v>
      </c>
      <c r="AT332" s="17">
        <v>0</v>
      </c>
      <c r="AU332" s="17">
        <v>0</v>
      </c>
      <c r="AV332" s="17">
        <v>0</v>
      </c>
      <c r="AW332" s="17">
        <v>0</v>
      </c>
      <c r="AX332" s="17">
        <v>0</v>
      </c>
    </row>
    <row r="333" spans="1:50" x14ac:dyDescent="0.25">
      <c r="A333" s="16" t="s">
        <v>799</v>
      </c>
      <c r="B333" s="13" t="s">
        <v>464</v>
      </c>
      <c r="C333" s="17">
        <v>0</v>
      </c>
      <c r="D333" s="17">
        <v>0</v>
      </c>
      <c r="E333" s="17">
        <v>0</v>
      </c>
      <c r="F333" s="17">
        <v>0</v>
      </c>
      <c r="G333" s="17">
        <v>0</v>
      </c>
      <c r="H333" s="17">
        <v>0</v>
      </c>
      <c r="I333" s="17">
        <v>0</v>
      </c>
      <c r="J333" s="17">
        <v>1.6999999999999999E-3</v>
      </c>
      <c r="K333" s="17">
        <v>2.4899999999999999E-2</v>
      </c>
      <c r="L333" s="17">
        <v>0.1163</v>
      </c>
      <c r="M333" s="17">
        <v>0.23069999999999999</v>
      </c>
      <c r="N333" s="17">
        <v>0.37090000000000001</v>
      </c>
      <c r="O333" s="17">
        <v>0.52400000000000002</v>
      </c>
      <c r="P333" s="17">
        <v>0.67889999999999995</v>
      </c>
      <c r="Q333" s="17">
        <v>0.83299999999999996</v>
      </c>
      <c r="R333" s="17">
        <v>0.98729999999999996</v>
      </c>
      <c r="S333" s="17">
        <v>1.1322000000000001</v>
      </c>
      <c r="T333" s="17">
        <v>1.2683</v>
      </c>
      <c r="U333" s="17">
        <v>1.3843000000000001</v>
      </c>
      <c r="V333" s="17">
        <v>1.4832000000000001</v>
      </c>
      <c r="W333" s="17">
        <v>1.57</v>
      </c>
      <c r="X333" s="17">
        <v>1.6416999999999999</v>
      </c>
      <c r="Y333" s="17">
        <v>1.6924999999999999</v>
      </c>
      <c r="Z333" s="17">
        <v>1.7148000000000001</v>
      </c>
      <c r="AA333" s="17">
        <v>1.7212000000000001</v>
      </c>
      <c r="AB333" s="17">
        <v>1.7092000000000001</v>
      </c>
      <c r="AC333" s="17">
        <v>1.6686000000000001</v>
      </c>
      <c r="AD333" s="17">
        <v>1.6067</v>
      </c>
      <c r="AE333" s="17">
        <v>1.5327999999999999</v>
      </c>
      <c r="AF333" s="17">
        <v>1.4391</v>
      </c>
      <c r="AG333" s="17">
        <v>1.3395999999999999</v>
      </c>
      <c r="AH333" s="17">
        <v>1.2198</v>
      </c>
      <c r="AI333" s="17">
        <v>1.0849</v>
      </c>
      <c r="AJ333" s="17">
        <v>0.92200000000000004</v>
      </c>
      <c r="AK333" s="17">
        <v>0.76959999999999995</v>
      </c>
      <c r="AL333" s="17">
        <v>0.61299999999999999</v>
      </c>
      <c r="AM333" s="17">
        <v>0.46150000000000002</v>
      </c>
      <c r="AN333" s="17">
        <v>0.31540000000000001</v>
      </c>
      <c r="AO333" s="17">
        <v>0.1842</v>
      </c>
      <c r="AP333" s="17">
        <v>5.3600000000000002E-2</v>
      </c>
      <c r="AQ333" s="17">
        <v>9.9000000000000008E-3</v>
      </c>
      <c r="AR333" s="17">
        <v>0</v>
      </c>
      <c r="AS333" s="17">
        <v>0</v>
      </c>
      <c r="AT333" s="17">
        <v>0</v>
      </c>
      <c r="AU333" s="17">
        <v>0</v>
      </c>
      <c r="AV333" s="17">
        <v>0</v>
      </c>
      <c r="AW333" s="17">
        <v>0</v>
      </c>
      <c r="AX333" s="17">
        <v>0</v>
      </c>
    </row>
    <row r="334" spans="1:50" x14ac:dyDescent="0.25">
      <c r="A334" s="8" t="s">
        <v>376</v>
      </c>
      <c r="B334" s="10" t="s">
        <v>57</v>
      </c>
      <c r="C334" s="18">
        <v>0</v>
      </c>
      <c r="D334" s="18">
        <v>0</v>
      </c>
      <c r="E334" s="18">
        <v>0</v>
      </c>
      <c r="F334" s="18">
        <v>0</v>
      </c>
      <c r="G334" s="18">
        <v>0</v>
      </c>
      <c r="H334" s="18">
        <v>0</v>
      </c>
      <c r="I334" s="18">
        <v>0</v>
      </c>
      <c r="J334" s="18">
        <v>0</v>
      </c>
      <c r="K334" s="18">
        <v>0</v>
      </c>
      <c r="L334" s="18">
        <v>0</v>
      </c>
      <c r="M334" s="18">
        <v>0</v>
      </c>
      <c r="N334" s="18">
        <v>0</v>
      </c>
      <c r="O334" s="18">
        <v>0</v>
      </c>
      <c r="P334" s="18">
        <v>0</v>
      </c>
      <c r="Q334" s="18">
        <v>0</v>
      </c>
      <c r="R334" s="18">
        <v>0</v>
      </c>
      <c r="S334" s="18">
        <v>0</v>
      </c>
      <c r="T334" s="18">
        <v>0</v>
      </c>
      <c r="U334" s="18">
        <v>0</v>
      </c>
      <c r="V334" s="18">
        <v>0</v>
      </c>
      <c r="W334" s="18">
        <v>0</v>
      </c>
      <c r="X334" s="18">
        <v>0</v>
      </c>
      <c r="Y334" s="18">
        <v>0</v>
      </c>
      <c r="Z334" s="18">
        <v>0</v>
      </c>
      <c r="AA334" s="18">
        <v>0</v>
      </c>
      <c r="AB334" s="18">
        <v>0</v>
      </c>
      <c r="AC334" s="18">
        <v>0</v>
      </c>
      <c r="AD334" s="18">
        <v>0</v>
      </c>
      <c r="AE334" s="18">
        <v>0</v>
      </c>
      <c r="AF334" s="18">
        <v>0</v>
      </c>
      <c r="AG334" s="18">
        <v>0</v>
      </c>
      <c r="AH334" s="18">
        <v>0</v>
      </c>
      <c r="AI334" s="18">
        <v>0</v>
      </c>
      <c r="AJ334" s="18">
        <v>0</v>
      </c>
      <c r="AK334" s="18">
        <v>0</v>
      </c>
      <c r="AL334" s="18">
        <v>0</v>
      </c>
      <c r="AM334" s="18">
        <v>0</v>
      </c>
      <c r="AN334" s="18">
        <v>0</v>
      </c>
      <c r="AO334" s="18">
        <v>0</v>
      </c>
      <c r="AP334" s="18">
        <v>0</v>
      </c>
      <c r="AQ334" s="18">
        <v>0</v>
      </c>
      <c r="AR334" s="18">
        <v>0</v>
      </c>
      <c r="AS334" s="18">
        <v>0</v>
      </c>
      <c r="AT334" s="18">
        <v>0</v>
      </c>
      <c r="AU334" s="18">
        <v>0</v>
      </c>
      <c r="AV334" s="18">
        <v>0</v>
      </c>
      <c r="AW334" s="18">
        <v>0</v>
      </c>
      <c r="AX334" s="18">
        <v>0</v>
      </c>
    </row>
    <row r="335" spans="1:50" x14ac:dyDescent="0.25">
      <c r="A335" s="8" t="s">
        <v>378</v>
      </c>
      <c r="B335" s="10" t="s">
        <v>57</v>
      </c>
      <c r="C335" s="18">
        <v>0</v>
      </c>
      <c r="D335" s="18">
        <v>0</v>
      </c>
      <c r="E335" s="18">
        <v>0</v>
      </c>
      <c r="F335" s="18">
        <v>0</v>
      </c>
      <c r="G335" s="18">
        <v>0</v>
      </c>
      <c r="H335" s="18">
        <v>0</v>
      </c>
      <c r="I335" s="18">
        <v>0</v>
      </c>
      <c r="J335" s="18">
        <v>0</v>
      </c>
      <c r="K335" s="18">
        <v>0</v>
      </c>
      <c r="L335" s="18">
        <v>0</v>
      </c>
      <c r="M335" s="18">
        <v>0</v>
      </c>
      <c r="N335" s="18">
        <v>0</v>
      </c>
      <c r="O335" s="18">
        <v>0</v>
      </c>
      <c r="P335" s="18">
        <v>0</v>
      </c>
      <c r="Q335" s="18">
        <v>0</v>
      </c>
      <c r="R335" s="18">
        <v>0</v>
      </c>
      <c r="S335" s="18">
        <v>0</v>
      </c>
      <c r="T335" s="18">
        <v>0</v>
      </c>
      <c r="U335" s="18">
        <v>0</v>
      </c>
      <c r="V335" s="18">
        <v>0</v>
      </c>
      <c r="W335" s="18">
        <v>0</v>
      </c>
      <c r="X335" s="18">
        <v>0</v>
      </c>
      <c r="Y335" s="18">
        <v>0</v>
      </c>
      <c r="Z335" s="18">
        <v>0</v>
      </c>
      <c r="AA335" s="18">
        <v>0</v>
      </c>
      <c r="AB335" s="18">
        <v>0</v>
      </c>
      <c r="AC335" s="18">
        <v>0</v>
      </c>
      <c r="AD335" s="18">
        <v>0</v>
      </c>
      <c r="AE335" s="18">
        <v>0</v>
      </c>
      <c r="AF335" s="18">
        <v>0</v>
      </c>
      <c r="AG335" s="18">
        <v>0</v>
      </c>
      <c r="AH335" s="18">
        <v>0</v>
      </c>
      <c r="AI335" s="18">
        <v>0</v>
      </c>
      <c r="AJ335" s="18">
        <v>0</v>
      </c>
      <c r="AK335" s="18">
        <v>0</v>
      </c>
      <c r="AL335" s="18">
        <v>0</v>
      </c>
      <c r="AM335" s="18">
        <v>0</v>
      </c>
      <c r="AN335" s="18">
        <v>0</v>
      </c>
      <c r="AO335" s="18">
        <v>0</v>
      </c>
      <c r="AP335" s="18">
        <v>0</v>
      </c>
      <c r="AQ335" s="18">
        <v>0</v>
      </c>
      <c r="AR335" s="18">
        <v>0</v>
      </c>
      <c r="AS335" s="18">
        <v>0</v>
      </c>
      <c r="AT335" s="18">
        <v>0</v>
      </c>
      <c r="AU335" s="18">
        <v>0</v>
      </c>
      <c r="AV335" s="18">
        <v>0</v>
      </c>
      <c r="AW335" s="18">
        <v>0</v>
      </c>
      <c r="AX335" s="18">
        <v>0</v>
      </c>
    </row>
    <row r="336" spans="1:50" x14ac:dyDescent="0.25">
      <c r="A336" s="8" t="s">
        <v>380</v>
      </c>
      <c r="B336" s="10" t="s">
        <v>57</v>
      </c>
      <c r="C336" s="18">
        <v>0</v>
      </c>
      <c r="D336" s="18">
        <v>0</v>
      </c>
      <c r="E336" s="18">
        <v>0</v>
      </c>
      <c r="F336" s="18">
        <v>0</v>
      </c>
      <c r="G336" s="18">
        <v>0</v>
      </c>
      <c r="H336" s="18">
        <v>0</v>
      </c>
      <c r="I336" s="18">
        <v>0</v>
      </c>
      <c r="J336" s="18">
        <v>0</v>
      </c>
      <c r="K336" s="18">
        <v>0</v>
      </c>
      <c r="L336" s="18">
        <v>0</v>
      </c>
      <c r="M336" s="18">
        <v>0</v>
      </c>
      <c r="N336" s="18">
        <v>0</v>
      </c>
      <c r="O336" s="18">
        <v>0</v>
      </c>
      <c r="P336" s="18">
        <v>0</v>
      </c>
      <c r="Q336" s="18">
        <v>0</v>
      </c>
      <c r="R336" s="18">
        <v>0</v>
      </c>
      <c r="S336" s="18">
        <v>0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8">
        <v>0</v>
      </c>
      <c r="Z336" s="18">
        <v>0</v>
      </c>
      <c r="AA336" s="18">
        <v>0</v>
      </c>
      <c r="AB336" s="18">
        <v>0</v>
      </c>
      <c r="AC336" s="18">
        <v>0</v>
      </c>
      <c r="AD336" s="18">
        <v>0</v>
      </c>
      <c r="AE336" s="18">
        <v>0</v>
      </c>
      <c r="AF336" s="18">
        <v>0</v>
      </c>
      <c r="AG336" s="18">
        <v>0</v>
      </c>
      <c r="AH336" s="18">
        <v>0</v>
      </c>
      <c r="AI336" s="18">
        <v>0</v>
      </c>
      <c r="AJ336" s="18">
        <v>0</v>
      </c>
      <c r="AK336" s="18">
        <v>0</v>
      </c>
      <c r="AL336" s="18">
        <v>0</v>
      </c>
      <c r="AM336" s="18">
        <v>0</v>
      </c>
      <c r="AN336" s="18">
        <v>0</v>
      </c>
      <c r="AO336" s="18">
        <v>0</v>
      </c>
      <c r="AP336" s="18">
        <v>0</v>
      </c>
      <c r="AQ336" s="18">
        <v>0</v>
      </c>
      <c r="AR336" s="18">
        <v>0</v>
      </c>
      <c r="AS336" s="18">
        <v>0</v>
      </c>
      <c r="AT336" s="18">
        <v>0</v>
      </c>
      <c r="AU336" s="18">
        <v>0</v>
      </c>
      <c r="AV336" s="18">
        <v>0</v>
      </c>
      <c r="AW336" s="18">
        <v>0</v>
      </c>
      <c r="AX336" s="18">
        <v>0</v>
      </c>
    </row>
    <row r="337" spans="1:50" x14ac:dyDescent="0.25">
      <c r="A337" s="8" t="s">
        <v>382</v>
      </c>
      <c r="B337" s="10" t="s">
        <v>57</v>
      </c>
      <c r="C337" s="18">
        <v>0</v>
      </c>
      <c r="D337" s="18">
        <v>0</v>
      </c>
      <c r="E337" s="18">
        <v>0</v>
      </c>
      <c r="F337" s="18">
        <v>0</v>
      </c>
      <c r="G337" s="18">
        <v>0</v>
      </c>
      <c r="H337" s="18">
        <v>0</v>
      </c>
      <c r="I337" s="18">
        <v>0</v>
      </c>
      <c r="J337" s="18">
        <v>0</v>
      </c>
      <c r="K337" s="18">
        <v>0</v>
      </c>
      <c r="L337" s="18">
        <v>0</v>
      </c>
      <c r="M337" s="18">
        <v>0</v>
      </c>
      <c r="N337" s="18">
        <v>0</v>
      </c>
      <c r="O337" s="18">
        <v>0</v>
      </c>
      <c r="P337" s="18">
        <v>0</v>
      </c>
      <c r="Q337" s="18">
        <v>0</v>
      </c>
      <c r="R337" s="18">
        <v>0</v>
      </c>
      <c r="S337" s="18">
        <v>0</v>
      </c>
      <c r="T337" s="18">
        <v>0</v>
      </c>
      <c r="U337" s="18">
        <v>0</v>
      </c>
      <c r="V337" s="18">
        <v>0</v>
      </c>
      <c r="W337" s="18">
        <v>0</v>
      </c>
      <c r="X337" s="18">
        <v>0</v>
      </c>
      <c r="Y337" s="18">
        <v>0</v>
      </c>
      <c r="Z337" s="18">
        <v>0</v>
      </c>
      <c r="AA337" s="18">
        <v>0</v>
      </c>
      <c r="AB337" s="18">
        <v>0</v>
      </c>
      <c r="AC337" s="18">
        <v>0</v>
      </c>
      <c r="AD337" s="18">
        <v>0</v>
      </c>
      <c r="AE337" s="18">
        <v>0</v>
      </c>
      <c r="AF337" s="18">
        <v>0</v>
      </c>
      <c r="AG337" s="18">
        <v>0</v>
      </c>
      <c r="AH337" s="18">
        <v>0</v>
      </c>
      <c r="AI337" s="18">
        <v>0</v>
      </c>
      <c r="AJ337" s="18">
        <v>0</v>
      </c>
      <c r="AK337" s="18">
        <v>0</v>
      </c>
      <c r="AL337" s="18">
        <v>0</v>
      </c>
      <c r="AM337" s="18">
        <v>0</v>
      </c>
      <c r="AN337" s="18">
        <v>0</v>
      </c>
      <c r="AO337" s="18">
        <v>0</v>
      </c>
      <c r="AP337" s="18">
        <v>0</v>
      </c>
      <c r="AQ337" s="18">
        <v>0</v>
      </c>
      <c r="AR337" s="18">
        <v>0</v>
      </c>
      <c r="AS337" s="18">
        <v>0</v>
      </c>
      <c r="AT337" s="18">
        <v>0</v>
      </c>
      <c r="AU337" s="18">
        <v>0</v>
      </c>
      <c r="AV337" s="18">
        <v>0</v>
      </c>
      <c r="AW337" s="18">
        <v>0</v>
      </c>
      <c r="AX337" s="18">
        <v>0</v>
      </c>
    </row>
    <row r="338" spans="1:50" x14ac:dyDescent="0.25">
      <c r="A338" s="8" t="s">
        <v>384</v>
      </c>
      <c r="B338" s="10" t="s">
        <v>57</v>
      </c>
      <c r="C338" s="18">
        <v>0</v>
      </c>
      <c r="D338" s="18">
        <v>0</v>
      </c>
      <c r="E338" s="18">
        <v>0</v>
      </c>
      <c r="F338" s="18">
        <v>0</v>
      </c>
      <c r="G338" s="18">
        <v>0</v>
      </c>
      <c r="H338" s="18">
        <v>0</v>
      </c>
      <c r="I338" s="18">
        <v>0</v>
      </c>
      <c r="J338" s="18">
        <v>0</v>
      </c>
      <c r="K338" s="18">
        <v>0</v>
      </c>
      <c r="L338" s="18">
        <v>0</v>
      </c>
      <c r="M338" s="18">
        <v>0</v>
      </c>
      <c r="N338" s="18">
        <v>0</v>
      </c>
      <c r="O338" s="18">
        <v>0</v>
      </c>
      <c r="P338" s="18">
        <v>0</v>
      </c>
      <c r="Q338" s="18">
        <v>0</v>
      </c>
      <c r="R338" s="18">
        <v>0</v>
      </c>
      <c r="S338" s="18">
        <v>0</v>
      </c>
      <c r="T338" s="18">
        <v>0</v>
      </c>
      <c r="U338" s="18">
        <v>0</v>
      </c>
      <c r="V338" s="18">
        <v>0</v>
      </c>
      <c r="W338" s="18">
        <v>0</v>
      </c>
      <c r="X338" s="18">
        <v>0</v>
      </c>
      <c r="Y338" s="18">
        <v>0</v>
      </c>
      <c r="Z338" s="18">
        <v>0</v>
      </c>
      <c r="AA338" s="18">
        <v>0</v>
      </c>
      <c r="AB338" s="18">
        <v>0</v>
      </c>
      <c r="AC338" s="18">
        <v>0</v>
      </c>
      <c r="AD338" s="18">
        <v>0</v>
      </c>
      <c r="AE338" s="18">
        <v>0</v>
      </c>
      <c r="AF338" s="18">
        <v>0</v>
      </c>
      <c r="AG338" s="18">
        <v>0</v>
      </c>
      <c r="AH338" s="18">
        <v>0</v>
      </c>
      <c r="AI338" s="18">
        <v>0</v>
      </c>
      <c r="AJ338" s="18">
        <v>0</v>
      </c>
      <c r="AK338" s="18">
        <v>0</v>
      </c>
      <c r="AL338" s="18">
        <v>0</v>
      </c>
      <c r="AM338" s="18">
        <v>0</v>
      </c>
      <c r="AN338" s="18">
        <v>0</v>
      </c>
      <c r="AO338" s="18">
        <v>0</v>
      </c>
      <c r="AP338" s="18">
        <v>0</v>
      </c>
      <c r="AQ338" s="18">
        <v>0</v>
      </c>
      <c r="AR338" s="18">
        <v>0</v>
      </c>
      <c r="AS338" s="18">
        <v>0</v>
      </c>
      <c r="AT338" s="18">
        <v>0</v>
      </c>
      <c r="AU338" s="18">
        <v>0</v>
      </c>
      <c r="AV338" s="18">
        <v>0</v>
      </c>
      <c r="AW338" s="18">
        <v>0</v>
      </c>
      <c r="AX338" s="18">
        <v>0</v>
      </c>
    </row>
    <row r="339" spans="1:50" x14ac:dyDescent="0.25">
      <c r="A339" s="16" t="s">
        <v>801</v>
      </c>
      <c r="B339" s="13" t="s">
        <v>464</v>
      </c>
      <c r="C339" s="17">
        <v>0</v>
      </c>
      <c r="D339" s="17">
        <v>0</v>
      </c>
      <c r="E339" s="17">
        <v>0</v>
      </c>
      <c r="F339" s="17">
        <v>0</v>
      </c>
      <c r="G339" s="17">
        <v>0</v>
      </c>
      <c r="H339" s="17">
        <v>0</v>
      </c>
      <c r="I339" s="17">
        <v>0</v>
      </c>
      <c r="J339" s="17">
        <v>2.2000000000000001E-3</v>
      </c>
      <c r="K339" s="17">
        <v>3.1099999999999999E-2</v>
      </c>
      <c r="L339" s="17">
        <v>0.1454</v>
      </c>
      <c r="M339" s="17">
        <v>0.2883</v>
      </c>
      <c r="N339" s="17">
        <v>0.4637</v>
      </c>
      <c r="O339" s="17">
        <v>0.65490000000000004</v>
      </c>
      <c r="P339" s="17">
        <v>0.84860000000000002</v>
      </c>
      <c r="Q339" s="17">
        <v>1.0411999999999999</v>
      </c>
      <c r="R339" s="17">
        <v>1.2341</v>
      </c>
      <c r="S339" s="17">
        <v>1.4152</v>
      </c>
      <c r="T339" s="17">
        <v>1.5853999999999999</v>
      </c>
      <c r="U339" s="17">
        <v>1.7303999999999999</v>
      </c>
      <c r="V339" s="17">
        <v>1.8540000000000001</v>
      </c>
      <c r="W339" s="17">
        <v>1.9624999999999999</v>
      </c>
      <c r="X339" s="17">
        <v>2.0520999999999998</v>
      </c>
      <c r="Y339" s="17">
        <v>2.1156000000000001</v>
      </c>
      <c r="Z339" s="17">
        <v>2.1435</v>
      </c>
      <c r="AA339" s="17">
        <v>2.1516000000000002</v>
      </c>
      <c r="AB339" s="17">
        <v>2.1364999999999998</v>
      </c>
      <c r="AC339" s="17">
        <v>2.0857000000000001</v>
      </c>
      <c r="AD339" s="17">
        <v>2.0083000000000002</v>
      </c>
      <c r="AE339" s="17">
        <v>1.9158999999999999</v>
      </c>
      <c r="AF339" s="17">
        <v>1.7988999999999999</v>
      </c>
      <c r="AG339" s="17">
        <v>1.6745000000000001</v>
      </c>
      <c r="AH339" s="17">
        <v>1.5246999999999999</v>
      </c>
      <c r="AI339" s="17">
        <v>1.3561000000000001</v>
      </c>
      <c r="AJ339" s="17">
        <v>1.1525000000000001</v>
      </c>
      <c r="AK339" s="17">
        <v>0.96199999999999997</v>
      </c>
      <c r="AL339" s="17">
        <v>0.76619999999999999</v>
      </c>
      <c r="AM339" s="17">
        <v>0.57679999999999998</v>
      </c>
      <c r="AN339" s="17">
        <v>0.39419999999999999</v>
      </c>
      <c r="AO339" s="17">
        <v>0.23019999999999999</v>
      </c>
      <c r="AP339" s="17">
        <v>6.7000000000000004E-2</v>
      </c>
      <c r="AQ339" s="17">
        <v>1.24E-2</v>
      </c>
      <c r="AR339" s="17">
        <v>0</v>
      </c>
      <c r="AS339" s="17">
        <v>0</v>
      </c>
      <c r="AT339" s="17">
        <v>0</v>
      </c>
      <c r="AU339" s="17">
        <v>0</v>
      </c>
      <c r="AV339" s="17">
        <v>0</v>
      </c>
      <c r="AW339" s="17">
        <v>0</v>
      </c>
      <c r="AX339" s="17">
        <v>0</v>
      </c>
    </row>
    <row r="340" spans="1:50" x14ac:dyDescent="0.25">
      <c r="A340" s="8" t="s">
        <v>386</v>
      </c>
      <c r="B340" s="10" t="s">
        <v>57</v>
      </c>
      <c r="C340" s="18">
        <v>0</v>
      </c>
      <c r="D340" s="18">
        <v>0</v>
      </c>
      <c r="E340" s="18">
        <v>0</v>
      </c>
      <c r="F340" s="18">
        <v>0</v>
      </c>
      <c r="G340" s="18">
        <v>0</v>
      </c>
      <c r="H340" s="18">
        <v>0</v>
      </c>
      <c r="I340" s="18">
        <v>0</v>
      </c>
      <c r="J340" s="18">
        <v>0</v>
      </c>
      <c r="K340" s="18">
        <v>0</v>
      </c>
      <c r="L340" s="18">
        <v>0</v>
      </c>
      <c r="M340" s="18">
        <v>0</v>
      </c>
      <c r="N340" s="18">
        <v>0</v>
      </c>
      <c r="O340" s="18">
        <v>0</v>
      </c>
      <c r="P340" s="18">
        <v>0</v>
      </c>
      <c r="Q340" s="18">
        <v>0</v>
      </c>
      <c r="R340" s="18">
        <v>0</v>
      </c>
      <c r="S340" s="18">
        <v>0</v>
      </c>
      <c r="T340" s="18">
        <v>0</v>
      </c>
      <c r="U340" s="18">
        <v>0</v>
      </c>
      <c r="V340" s="18">
        <v>0</v>
      </c>
      <c r="W340" s="18">
        <v>0</v>
      </c>
      <c r="X340" s="18">
        <v>0</v>
      </c>
      <c r="Y340" s="18">
        <v>0</v>
      </c>
      <c r="Z340" s="18">
        <v>0</v>
      </c>
      <c r="AA340" s="18">
        <v>0</v>
      </c>
      <c r="AB340" s="18">
        <v>0</v>
      </c>
      <c r="AC340" s="18">
        <v>0</v>
      </c>
      <c r="AD340" s="18">
        <v>0</v>
      </c>
      <c r="AE340" s="18">
        <v>0</v>
      </c>
      <c r="AF340" s="18">
        <v>0</v>
      </c>
      <c r="AG340" s="18">
        <v>0</v>
      </c>
      <c r="AH340" s="18">
        <v>0</v>
      </c>
      <c r="AI340" s="18">
        <v>0</v>
      </c>
      <c r="AJ340" s="18">
        <v>0</v>
      </c>
      <c r="AK340" s="18">
        <v>0</v>
      </c>
      <c r="AL340" s="18">
        <v>0</v>
      </c>
      <c r="AM340" s="18">
        <v>0</v>
      </c>
      <c r="AN340" s="18">
        <v>0</v>
      </c>
      <c r="AO340" s="18">
        <v>0</v>
      </c>
      <c r="AP340" s="18">
        <v>0</v>
      </c>
      <c r="AQ340" s="18">
        <v>0</v>
      </c>
      <c r="AR340" s="18">
        <v>0</v>
      </c>
      <c r="AS340" s="18">
        <v>0</v>
      </c>
      <c r="AT340" s="18">
        <v>0</v>
      </c>
      <c r="AU340" s="18">
        <v>0</v>
      </c>
      <c r="AV340" s="18">
        <v>0</v>
      </c>
      <c r="AW340" s="18">
        <v>0</v>
      </c>
      <c r="AX340" s="18">
        <v>0</v>
      </c>
    </row>
    <row r="341" spans="1:50" x14ac:dyDescent="0.25">
      <c r="A341" s="16" t="s">
        <v>803</v>
      </c>
      <c r="B341" s="13" t="s">
        <v>464</v>
      </c>
      <c r="C341" s="17">
        <v>0</v>
      </c>
      <c r="D341" s="17">
        <v>0</v>
      </c>
      <c r="E341" s="17">
        <v>0</v>
      </c>
      <c r="F341" s="17">
        <v>0</v>
      </c>
      <c r="G341" s="17">
        <v>0</v>
      </c>
      <c r="H341" s="17">
        <v>0</v>
      </c>
      <c r="I341" s="17">
        <v>0</v>
      </c>
      <c r="J341" s="17">
        <v>2.5999999999999999E-3</v>
      </c>
      <c r="K341" s="17">
        <v>3.73E-2</v>
      </c>
      <c r="L341" s="17">
        <v>0.1744</v>
      </c>
      <c r="M341" s="17">
        <v>0.34599999999999997</v>
      </c>
      <c r="N341" s="17">
        <v>0.55640000000000001</v>
      </c>
      <c r="O341" s="17">
        <v>0.78590000000000004</v>
      </c>
      <c r="P341" s="17">
        <v>1.0183</v>
      </c>
      <c r="Q341" s="17">
        <v>1.2495000000000001</v>
      </c>
      <c r="R341" s="17">
        <v>1.4810000000000001</v>
      </c>
      <c r="S341" s="17">
        <v>1.6981999999999999</v>
      </c>
      <c r="T341" s="17">
        <v>1.9025000000000001</v>
      </c>
      <c r="U341" s="17">
        <v>2.0764</v>
      </c>
      <c r="V341" s="17">
        <v>2.2248000000000001</v>
      </c>
      <c r="W341" s="17">
        <v>2.355</v>
      </c>
      <c r="X341" s="17">
        <v>2.4624999999999999</v>
      </c>
      <c r="Y341" s="17">
        <v>2.5387</v>
      </c>
      <c r="Z341" s="17">
        <v>2.5722</v>
      </c>
      <c r="AA341" s="17">
        <v>2.5819000000000001</v>
      </c>
      <c r="AB341" s="17">
        <v>2.5636999999999999</v>
      </c>
      <c r="AC341" s="17">
        <v>2.5028999999999999</v>
      </c>
      <c r="AD341" s="17">
        <v>2.41</v>
      </c>
      <c r="AE341" s="17">
        <v>2.2991000000000001</v>
      </c>
      <c r="AF341" s="17">
        <v>2.1585999999999999</v>
      </c>
      <c r="AG341" s="17">
        <v>2.0093000000000001</v>
      </c>
      <c r="AH341" s="17">
        <v>1.8297000000000001</v>
      </c>
      <c r="AI341" s="17">
        <v>1.6274</v>
      </c>
      <c r="AJ341" s="17">
        <v>1.3831</v>
      </c>
      <c r="AK341" s="17">
        <v>1.1544000000000001</v>
      </c>
      <c r="AL341" s="17">
        <v>0.91949999999999998</v>
      </c>
      <c r="AM341" s="17">
        <v>0.69220000000000004</v>
      </c>
      <c r="AN341" s="17">
        <v>0.47310000000000002</v>
      </c>
      <c r="AO341" s="17">
        <v>0.2762</v>
      </c>
      <c r="AP341" s="17">
        <v>8.0399999999999999E-2</v>
      </c>
      <c r="AQ341" s="17">
        <v>1.4800000000000001E-2</v>
      </c>
      <c r="AR341" s="17">
        <v>0</v>
      </c>
      <c r="AS341" s="17">
        <v>0</v>
      </c>
      <c r="AT341" s="17">
        <v>0</v>
      </c>
      <c r="AU341" s="17">
        <v>0</v>
      </c>
      <c r="AV341" s="17">
        <v>0</v>
      </c>
      <c r="AW341" s="17">
        <v>0</v>
      </c>
      <c r="AX341" s="17">
        <v>0</v>
      </c>
    </row>
    <row r="342" spans="1:50" x14ac:dyDescent="0.25">
      <c r="A342" s="16" t="s">
        <v>805</v>
      </c>
      <c r="B342" s="13" t="s">
        <v>464</v>
      </c>
      <c r="C342" s="17">
        <v>0</v>
      </c>
      <c r="D342" s="17">
        <v>0</v>
      </c>
      <c r="E342" s="17">
        <v>0</v>
      </c>
      <c r="F342" s="17">
        <v>0</v>
      </c>
      <c r="G342" s="17">
        <v>0</v>
      </c>
      <c r="H342" s="17">
        <v>0</v>
      </c>
      <c r="I342" s="17">
        <v>0</v>
      </c>
      <c r="J342" s="17">
        <v>2.2000000000000001E-3</v>
      </c>
      <c r="K342" s="17">
        <v>3.1099999999999999E-2</v>
      </c>
      <c r="L342" s="17">
        <v>0.1454</v>
      </c>
      <c r="M342" s="17">
        <v>0.2883</v>
      </c>
      <c r="N342" s="17">
        <v>0.4637</v>
      </c>
      <c r="O342" s="17">
        <v>0.65490000000000004</v>
      </c>
      <c r="P342" s="17">
        <v>0.84860000000000002</v>
      </c>
      <c r="Q342" s="17">
        <v>1.0411999999999999</v>
      </c>
      <c r="R342" s="17">
        <v>1.2341</v>
      </c>
      <c r="S342" s="17">
        <v>1.4152</v>
      </c>
      <c r="T342" s="17">
        <v>1.5853999999999999</v>
      </c>
      <c r="U342" s="17">
        <v>1.7303999999999999</v>
      </c>
      <c r="V342" s="17">
        <v>1.8540000000000001</v>
      </c>
      <c r="W342" s="17">
        <v>1.9624999999999999</v>
      </c>
      <c r="X342" s="17">
        <v>2.0520999999999998</v>
      </c>
      <c r="Y342" s="17">
        <v>2.1156000000000001</v>
      </c>
      <c r="Z342" s="17">
        <v>2.1435</v>
      </c>
      <c r="AA342" s="17">
        <v>2.1516000000000002</v>
      </c>
      <c r="AB342" s="17">
        <v>2.1364999999999998</v>
      </c>
      <c r="AC342" s="17">
        <v>2.0857000000000001</v>
      </c>
      <c r="AD342" s="17">
        <v>2.0083000000000002</v>
      </c>
      <c r="AE342" s="17">
        <v>1.9158999999999999</v>
      </c>
      <c r="AF342" s="17">
        <v>1.7988999999999999</v>
      </c>
      <c r="AG342" s="17">
        <v>1.6745000000000001</v>
      </c>
      <c r="AH342" s="17">
        <v>1.5246999999999999</v>
      </c>
      <c r="AI342" s="17">
        <v>1.3561000000000001</v>
      </c>
      <c r="AJ342" s="17">
        <v>1.1525000000000001</v>
      </c>
      <c r="AK342" s="17">
        <v>0.96199999999999997</v>
      </c>
      <c r="AL342" s="17">
        <v>0.76619999999999999</v>
      </c>
      <c r="AM342" s="17">
        <v>0.57679999999999998</v>
      </c>
      <c r="AN342" s="17">
        <v>0.39419999999999999</v>
      </c>
      <c r="AO342" s="17">
        <v>0.23019999999999999</v>
      </c>
      <c r="AP342" s="17">
        <v>6.7000000000000004E-2</v>
      </c>
      <c r="AQ342" s="17">
        <v>1.24E-2</v>
      </c>
      <c r="AR342" s="17">
        <v>0</v>
      </c>
      <c r="AS342" s="17">
        <v>0</v>
      </c>
      <c r="AT342" s="17">
        <v>0</v>
      </c>
      <c r="AU342" s="17">
        <v>0</v>
      </c>
      <c r="AV342" s="17">
        <v>0</v>
      </c>
      <c r="AW342" s="17">
        <v>0</v>
      </c>
      <c r="AX342" s="17">
        <v>0</v>
      </c>
    </row>
    <row r="343" spans="1:50" x14ac:dyDescent="0.25">
      <c r="A343" s="8" t="s">
        <v>388</v>
      </c>
      <c r="B343" s="10" t="s">
        <v>57</v>
      </c>
      <c r="C343" s="18">
        <v>0</v>
      </c>
      <c r="D343" s="18">
        <v>0</v>
      </c>
      <c r="E343" s="18">
        <v>0</v>
      </c>
      <c r="F343" s="18">
        <v>0</v>
      </c>
      <c r="G343" s="18">
        <v>0</v>
      </c>
      <c r="H343" s="18">
        <v>0</v>
      </c>
      <c r="I343" s="18">
        <v>0</v>
      </c>
      <c r="J343" s="18">
        <v>0</v>
      </c>
      <c r="K343" s="18">
        <v>0</v>
      </c>
      <c r="L343" s="18">
        <v>0</v>
      </c>
      <c r="M343" s="18">
        <v>0</v>
      </c>
      <c r="N343" s="18">
        <v>0</v>
      </c>
      <c r="O343" s="18">
        <v>0</v>
      </c>
      <c r="P343" s="18">
        <v>0</v>
      </c>
      <c r="Q343" s="18">
        <v>0</v>
      </c>
      <c r="R343" s="18">
        <v>0</v>
      </c>
      <c r="S343" s="18">
        <v>0</v>
      </c>
      <c r="T343" s="18">
        <v>0</v>
      </c>
      <c r="U343" s="18">
        <v>0</v>
      </c>
      <c r="V343" s="18">
        <v>0</v>
      </c>
      <c r="W343" s="18">
        <v>0</v>
      </c>
      <c r="X343" s="18">
        <v>0</v>
      </c>
      <c r="Y343" s="18">
        <v>0</v>
      </c>
      <c r="Z343" s="18">
        <v>0</v>
      </c>
      <c r="AA343" s="18">
        <v>0</v>
      </c>
      <c r="AB343" s="18">
        <v>0</v>
      </c>
      <c r="AC343" s="18">
        <v>0</v>
      </c>
      <c r="AD343" s="18">
        <v>0</v>
      </c>
      <c r="AE343" s="18">
        <v>0</v>
      </c>
      <c r="AF343" s="18">
        <v>0</v>
      </c>
      <c r="AG343" s="18">
        <v>0</v>
      </c>
      <c r="AH343" s="18">
        <v>0</v>
      </c>
      <c r="AI343" s="18">
        <v>0</v>
      </c>
      <c r="AJ343" s="18">
        <v>0</v>
      </c>
      <c r="AK343" s="18">
        <v>0</v>
      </c>
      <c r="AL343" s="18">
        <v>0</v>
      </c>
      <c r="AM343" s="18">
        <v>0</v>
      </c>
      <c r="AN343" s="18">
        <v>0</v>
      </c>
      <c r="AO343" s="18">
        <v>0</v>
      </c>
      <c r="AP343" s="18">
        <v>0</v>
      </c>
      <c r="AQ343" s="18">
        <v>0</v>
      </c>
      <c r="AR343" s="18">
        <v>0</v>
      </c>
      <c r="AS343" s="18">
        <v>0</v>
      </c>
      <c r="AT343" s="18">
        <v>0</v>
      </c>
      <c r="AU343" s="18">
        <v>0</v>
      </c>
      <c r="AV343" s="18">
        <v>0</v>
      </c>
      <c r="AW343" s="18">
        <v>0</v>
      </c>
      <c r="AX343" s="18">
        <v>0</v>
      </c>
    </row>
    <row r="344" spans="1:50" x14ac:dyDescent="0.25">
      <c r="A344" s="16" t="s">
        <v>807</v>
      </c>
      <c r="B344" s="13" t="s">
        <v>464</v>
      </c>
      <c r="C344" s="17">
        <v>0</v>
      </c>
      <c r="D344" s="17">
        <v>0</v>
      </c>
      <c r="E344" s="17">
        <v>0</v>
      </c>
      <c r="F344" s="17">
        <v>0</v>
      </c>
      <c r="G344" s="17">
        <v>0</v>
      </c>
      <c r="H344" s="17">
        <v>0</v>
      </c>
      <c r="I344" s="17">
        <v>0</v>
      </c>
      <c r="J344" s="17">
        <v>2.2000000000000001E-3</v>
      </c>
      <c r="K344" s="17">
        <v>3.1099999999999999E-2</v>
      </c>
      <c r="L344" s="17">
        <v>0.1454</v>
      </c>
      <c r="M344" s="17">
        <v>0.2883</v>
      </c>
      <c r="N344" s="17">
        <v>0.4637</v>
      </c>
      <c r="O344" s="17">
        <v>0.65490000000000004</v>
      </c>
      <c r="P344" s="17">
        <v>0.84860000000000002</v>
      </c>
      <c r="Q344" s="17">
        <v>1.0411999999999999</v>
      </c>
      <c r="R344" s="17">
        <v>1.2341</v>
      </c>
      <c r="S344" s="17">
        <v>1.4152</v>
      </c>
      <c r="T344" s="17">
        <v>1.5853999999999999</v>
      </c>
      <c r="U344" s="17">
        <v>1.7303999999999999</v>
      </c>
      <c r="V344" s="17">
        <v>1.8540000000000001</v>
      </c>
      <c r="W344" s="17">
        <v>1.9624999999999999</v>
      </c>
      <c r="X344" s="17">
        <v>2.0520999999999998</v>
      </c>
      <c r="Y344" s="17">
        <v>2.1156000000000001</v>
      </c>
      <c r="Z344" s="17">
        <v>2.1435</v>
      </c>
      <c r="AA344" s="17">
        <v>2.1516000000000002</v>
      </c>
      <c r="AB344" s="17">
        <v>2.1364999999999998</v>
      </c>
      <c r="AC344" s="17">
        <v>2.0857000000000001</v>
      </c>
      <c r="AD344" s="17">
        <v>2.0083000000000002</v>
      </c>
      <c r="AE344" s="17">
        <v>1.9158999999999999</v>
      </c>
      <c r="AF344" s="17">
        <v>1.7988999999999999</v>
      </c>
      <c r="AG344" s="17">
        <v>1.6745000000000001</v>
      </c>
      <c r="AH344" s="17">
        <v>1.5246999999999999</v>
      </c>
      <c r="AI344" s="17">
        <v>1.3561000000000001</v>
      </c>
      <c r="AJ344" s="17">
        <v>1.1525000000000001</v>
      </c>
      <c r="AK344" s="17">
        <v>0.96199999999999997</v>
      </c>
      <c r="AL344" s="17">
        <v>0.76619999999999999</v>
      </c>
      <c r="AM344" s="17">
        <v>0.57679999999999998</v>
      </c>
      <c r="AN344" s="17">
        <v>0.39419999999999999</v>
      </c>
      <c r="AO344" s="17">
        <v>0.23019999999999999</v>
      </c>
      <c r="AP344" s="17">
        <v>6.7000000000000004E-2</v>
      </c>
      <c r="AQ344" s="17">
        <v>1.24E-2</v>
      </c>
      <c r="AR344" s="17">
        <v>0</v>
      </c>
      <c r="AS344" s="17">
        <v>0</v>
      </c>
      <c r="AT344" s="17">
        <v>0</v>
      </c>
      <c r="AU344" s="17">
        <v>0</v>
      </c>
      <c r="AV344" s="17">
        <v>0</v>
      </c>
      <c r="AW344" s="17">
        <v>0</v>
      </c>
      <c r="AX344" s="17">
        <v>0</v>
      </c>
    </row>
    <row r="345" spans="1:50" x14ac:dyDescent="0.25">
      <c r="A345" s="8" t="s">
        <v>390</v>
      </c>
      <c r="B345" s="10" t="s">
        <v>57</v>
      </c>
      <c r="C345" s="18">
        <v>0</v>
      </c>
      <c r="D345" s="18">
        <v>0</v>
      </c>
      <c r="E345" s="18">
        <v>0</v>
      </c>
      <c r="F345" s="18">
        <v>0</v>
      </c>
      <c r="G345" s="18">
        <v>0</v>
      </c>
      <c r="H345" s="18">
        <v>0</v>
      </c>
      <c r="I345" s="18">
        <v>0</v>
      </c>
      <c r="J345" s="18">
        <v>0</v>
      </c>
      <c r="K345" s="18">
        <v>0</v>
      </c>
      <c r="L345" s="18">
        <v>0</v>
      </c>
      <c r="M345" s="18">
        <v>0</v>
      </c>
      <c r="N345" s="18">
        <v>0</v>
      </c>
      <c r="O345" s="18">
        <v>0</v>
      </c>
      <c r="P345" s="18">
        <v>0</v>
      </c>
      <c r="Q345" s="18">
        <v>0</v>
      </c>
      <c r="R345" s="18">
        <v>0</v>
      </c>
      <c r="S345" s="18">
        <v>0</v>
      </c>
      <c r="T345" s="18">
        <v>0</v>
      </c>
      <c r="U345" s="18">
        <v>0</v>
      </c>
      <c r="V345" s="18">
        <v>0</v>
      </c>
      <c r="W345" s="18">
        <v>0</v>
      </c>
      <c r="X345" s="18">
        <v>0</v>
      </c>
      <c r="Y345" s="18">
        <v>0</v>
      </c>
      <c r="Z345" s="18">
        <v>0</v>
      </c>
      <c r="AA345" s="18">
        <v>0</v>
      </c>
      <c r="AB345" s="18">
        <v>0</v>
      </c>
      <c r="AC345" s="18">
        <v>0</v>
      </c>
      <c r="AD345" s="18">
        <v>0</v>
      </c>
      <c r="AE345" s="18">
        <v>0</v>
      </c>
      <c r="AF345" s="18">
        <v>0</v>
      </c>
      <c r="AG345" s="18">
        <v>0</v>
      </c>
      <c r="AH345" s="18">
        <v>0</v>
      </c>
      <c r="AI345" s="18">
        <v>0</v>
      </c>
      <c r="AJ345" s="18">
        <v>0</v>
      </c>
      <c r="AK345" s="18">
        <v>0</v>
      </c>
      <c r="AL345" s="18">
        <v>0</v>
      </c>
      <c r="AM345" s="18">
        <v>0</v>
      </c>
      <c r="AN345" s="18">
        <v>0</v>
      </c>
      <c r="AO345" s="18">
        <v>0</v>
      </c>
      <c r="AP345" s="18">
        <v>0</v>
      </c>
      <c r="AQ345" s="18">
        <v>0</v>
      </c>
      <c r="AR345" s="18">
        <v>0</v>
      </c>
      <c r="AS345" s="18">
        <v>0</v>
      </c>
      <c r="AT345" s="18">
        <v>0</v>
      </c>
      <c r="AU345" s="18">
        <v>0</v>
      </c>
      <c r="AV345" s="18">
        <v>0</v>
      </c>
      <c r="AW345" s="18">
        <v>0</v>
      </c>
      <c r="AX345" s="18">
        <v>0</v>
      </c>
    </row>
    <row r="346" spans="1:50" x14ac:dyDescent="0.25">
      <c r="A346" s="16" t="s">
        <v>809</v>
      </c>
      <c r="B346" s="13" t="s">
        <v>464</v>
      </c>
      <c r="C346" s="17">
        <v>0</v>
      </c>
      <c r="D346" s="17">
        <v>0</v>
      </c>
      <c r="E346" s="17">
        <v>0</v>
      </c>
      <c r="F346" s="17">
        <v>0</v>
      </c>
      <c r="G346" s="17">
        <v>0</v>
      </c>
      <c r="H346" s="17">
        <v>0</v>
      </c>
      <c r="I346" s="17">
        <v>0</v>
      </c>
      <c r="J346" s="17">
        <v>2.2000000000000001E-3</v>
      </c>
      <c r="K346" s="17">
        <v>3.1099999999999999E-2</v>
      </c>
      <c r="L346" s="17">
        <v>0.1454</v>
      </c>
      <c r="M346" s="17">
        <v>0.2883</v>
      </c>
      <c r="N346" s="17">
        <v>0.4637</v>
      </c>
      <c r="O346" s="17">
        <v>0.65490000000000004</v>
      </c>
      <c r="P346" s="17">
        <v>0.84860000000000002</v>
      </c>
      <c r="Q346" s="17">
        <v>1.0411999999999999</v>
      </c>
      <c r="R346" s="17">
        <v>1.2341</v>
      </c>
      <c r="S346" s="17">
        <v>1.4152</v>
      </c>
      <c r="T346" s="17">
        <v>1.5853999999999999</v>
      </c>
      <c r="U346" s="17">
        <v>1.7303999999999999</v>
      </c>
      <c r="V346" s="17">
        <v>1.8540000000000001</v>
      </c>
      <c r="W346" s="17">
        <v>1.9624999999999999</v>
      </c>
      <c r="X346" s="17">
        <v>2.0520999999999998</v>
      </c>
      <c r="Y346" s="17">
        <v>2.1156000000000001</v>
      </c>
      <c r="Z346" s="17">
        <v>2.1435</v>
      </c>
      <c r="AA346" s="17">
        <v>2.1516000000000002</v>
      </c>
      <c r="AB346" s="17">
        <v>2.1364999999999998</v>
      </c>
      <c r="AC346" s="17">
        <v>2.0857000000000001</v>
      </c>
      <c r="AD346" s="17">
        <v>2.0083000000000002</v>
      </c>
      <c r="AE346" s="17">
        <v>1.9158999999999999</v>
      </c>
      <c r="AF346" s="17">
        <v>1.7988999999999999</v>
      </c>
      <c r="AG346" s="17">
        <v>1.6745000000000001</v>
      </c>
      <c r="AH346" s="17">
        <v>1.5246999999999999</v>
      </c>
      <c r="AI346" s="17">
        <v>1.3561000000000001</v>
      </c>
      <c r="AJ346" s="17">
        <v>1.1525000000000001</v>
      </c>
      <c r="AK346" s="17">
        <v>0.96199999999999997</v>
      </c>
      <c r="AL346" s="17">
        <v>0.76619999999999999</v>
      </c>
      <c r="AM346" s="17">
        <v>0.57679999999999998</v>
      </c>
      <c r="AN346" s="17">
        <v>0.39419999999999999</v>
      </c>
      <c r="AO346" s="17">
        <v>0.23019999999999999</v>
      </c>
      <c r="AP346" s="17">
        <v>6.7000000000000004E-2</v>
      </c>
      <c r="AQ346" s="17">
        <v>1.24E-2</v>
      </c>
      <c r="AR346" s="17">
        <v>0</v>
      </c>
      <c r="AS346" s="17">
        <v>0</v>
      </c>
      <c r="AT346" s="17">
        <v>0</v>
      </c>
      <c r="AU346" s="17">
        <v>0</v>
      </c>
      <c r="AV346" s="17">
        <v>0</v>
      </c>
      <c r="AW346" s="17">
        <v>0</v>
      </c>
      <c r="AX346" s="17">
        <v>0</v>
      </c>
    </row>
    <row r="347" spans="1:50" x14ac:dyDescent="0.25">
      <c r="A347" s="16" t="s">
        <v>811</v>
      </c>
      <c r="B347" s="13" t="s">
        <v>464</v>
      </c>
      <c r="C347" s="17">
        <v>0</v>
      </c>
      <c r="D347" s="17">
        <v>0</v>
      </c>
      <c r="E347" s="17">
        <v>0</v>
      </c>
      <c r="F347" s="17">
        <v>0</v>
      </c>
      <c r="G347" s="17">
        <v>0</v>
      </c>
      <c r="H347" s="17">
        <v>0</v>
      </c>
      <c r="I347" s="17">
        <v>0</v>
      </c>
      <c r="J347" s="17">
        <v>2.2000000000000001E-3</v>
      </c>
      <c r="K347" s="17">
        <v>3.1099999999999999E-2</v>
      </c>
      <c r="L347" s="17">
        <v>0.1454</v>
      </c>
      <c r="M347" s="17">
        <v>0.2883</v>
      </c>
      <c r="N347" s="17">
        <v>0.4637</v>
      </c>
      <c r="O347" s="17">
        <v>0.65490000000000004</v>
      </c>
      <c r="P347" s="17">
        <v>0.84860000000000002</v>
      </c>
      <c r="Q347" s="17">
        <v>1.0411999999999999</v>
      </c>
      <c r="R347" s="17">
        <v>1.2341</v>
      </c>
      <c r="S347" s="17">
        <v>1.4152</v>
      </c>
      <c r="T347" s="17">
        <v>1.5853999999999999</v>
      </c>
      <c r="U347" s="17">
        <v>1.7303999999999999</v>
      </c>
      <c r="V347" s="17">
        <v>1.8540000000000001</v>
      </c>
      <c r="W347" s="17">
        <v>1.9624999999999999</v>
      </c>
      <c r="X347" s="17">
        <v>2.0520999999999998</v>
      </c>
      <c r="Y347" s="17">
        <v>2.1156000000000001</v>
      </c>
      <c r="Z347" s="17">
        <v>2.1435</v>
      </c>
      <c r="AA347" s="17">
        <v>2.1516000000000002</v>
      </c>
      <c r="AB347" s="17">
        <v>2.1364999999999998</v>
      </c>
      <c r="AC347" s="17">
        <v>2.0857000000000001</v>
      </c>
      <c r="AD347" s="17">
        <v>2.0083000000000002</v>
      </c>
      <c r="AE347" s="17">
        <v>1.9158999999999999</v>
      </c>
      <c r="AF347" s="17">
        <v>1.7988999999999999</v>
      </c>
      <c r="AG347" s="17">
        <v>1.6745000000000001</v>
      </c>
      <c r="AH347" s="17">
        <v>1.5246999999999999</v>
      </c>
      <c r="AI347" s="17">
        <v>1.3561000000000001</v>
      </c>
      <c r="AJ347" s="17">
        <v>1.1525000000000001</v>
      </c>
      <c r="AK347" s="17">
        <v>0.96199999999999997</v>
      </c>
      <c r="AL347" s="17">
        <v>0.76619999999999999</v>
      </c>
      <c r="AM347" s="17">
        <v>0.57679999999999998</v>
      </c>
      <c r="AN347" s="17">
        <v>0.39419999999999999</v>
      </c>
      <c r="AO347" s="17">
        <v>0.23019999999999999</v>
      </c>
      <c r="AP347" s="17">
        <v>6.7000000000000004E-2</v>
      </c>
      <c r="AQ347" s="17">
        <v>1.24E-2</v>
      </c>
      <c r="AR347" s="17">
        <v>0</v>
      </c>
      <c r="AS347" s="17">
        <v>0</v>
      </c>
      <c r="AT347" s="17">
        <v>0</v>
      </c>
      <c r="AU347" s="17">
        <v>0</v>
      </c>
      <c r="AV347" s="17">
        <v>0</v>
      </c>
      <c r="AW347" s="17">
        <v>0</v>
      </c>
      <c r="AX347" s="17">
        <v>0</v>
      </c>
    </row>
    <row r="348" spans="1:50" x14ac:dyDescent="0.25">
      <c r="A348" s="16" t="s">
        <v>813</v>
      </c>
      <c r="B348" s="13" t="s">
        <v>464</v>
      </c>
      <c r="C348" s="17">
        <v>0</v>
      </c>
      <c r="D348" s="17">
        <v>0</v>
      </c>
      <c r="E348" s="17">
        <v>0</v>
      </c>
      <c r="F348" s="17">
        <v>0</v>
      </c>
      <c r="G348" s="17">
        <v>0</v>
      </c>
      <c r="H348" s="17">
        <v>0</v>
      </c>
      <c r="I348" s="17">
        <v>0</v>
      </c>
      <c r="J348" s="17">
        <v>1.2999999999999999E-3</v>
      </c>
      <c r="K348" s="17">
        <v>1.8700000000000001E-2</v>
      </c>
      <c r="L348" s="17">
        <v>8.72E-2</v>
      </c>
      <c r="M348" s="17">
        <v>0.17299999999999999</v>
      </c>
      <c r="N348" s="17">
        <v>0.2782</v>
      </c>
      <c r="O348" s="17">
        <v>0.39300000000000002</v>
      </c>
      <c r="P348" s="17">
        <v>0.50919999999999999</v>
      </c>
      <c r="Q348" s="17">
        <v>0.62470000000000003</v>
      </c>
      <c r="R348" s="17">
        <v>0.74050000000000005</v>
      </c>
      <c r="S348" s="17">
        <v>0.84909999999999997</v>
      </c>
      <c r="T348" s="17">
        <v>0.95120000000000005</v>
      </c>
      <c r="U348" s="17">
        <v>1.0382</v>
      </c>
      <c r="V348" s="17">
        <v>1.1124000000000001</v>
      </c>
      <c r="W348" s="17">
        <v>1.1775</v>
      </c>
      <c r="X348" s="17">
        <v>1.2312000000000001</v>
      </c>
      <c r="Y348" s="17">
        <v>1.2694000000000001</v>
      </c>
      <c r="Z348" s="17">
        <v>1.2861</v>
      </c>
      <c r="AA348" s="17">
        <v>1.2908999999999999</v>
      </c>
      <c r="AB348" s="17">
        <v>1.2819</v>
      </c>
      <c r="AC348" s="17">
        <v>1.2514000000000001</v>
      </c>
      <c r="AD348" s="17">
        <v>1.2050000000000001</v>
      </c>
      <c r="AE348" s="17">
        <v>1.1496</v>
      </c>
      <c r="AF348" s="17">
        <v>1.0792999999999999</v>
      </c>
      <c r="AG348" s="17">
        <v>1.0046999999999999</v>
      </c>
      <c r="AH348" s="17">
        <v>0.91479999999999995</v>
      </c>
      <c r="AI348" s="17">
        <v>0.81369999999999998</v>
      </c>
      <c r="AJ348" s="17">
        <v>0.6915</v>
      </c>
      <c r="AK348" s="17">
        <v>0.57720000000000005</v>
      </c>
      <c r="AL348" s="17">
        <v>0.4597</v>
      </c>
      <c r="AM348" s="17">
        <v>0.34610000000000002</v>
      </c>
      <c r="AN348" s="17">
        <v>0.23649999999999999</v>
      </c>
      <c r="AO348" s="17">
        <v>0.1381</v>
      </c>
      <c r="AP348" s="17">
        <v>4.02E-2</v>
      </c>
      <c r="AQ348" s="17">
        <v>7.4000000000000003E-3</v>
      </c>
      <c r="AR348" s="17">
        <v>0</v>
      </c>
      <c r="AS348" s="17">
        <v>0</v>
      </c>
      <c r="AT348" s="17">
        <v>0</v>
      </c>
      <c r="AU348" s="17">
        <v>0</v>
      </c>
      <c r="AV348" s="17">
        <v>0</v>
      </c>
      <c r="AW348" s="17">
        <v>0</v>
      </c>
      <c r="AX348" s="17">
        <v>0</v>
      </c>
    </row>
    <row r="349" spans="1:50" x14ac:dyDescent="0.25">
      <c r="A349" s="8" t="s">
        <v>392</v>
      </c>
      <c r="B349" s="10" t="s">
        <v>57</v>
      </c>
      <c r="C349" s="18">
        <v>0</v>
      </c>
      <c r="D349" s="18">
        <v>0</v>
      </c>
      <c r="E349" s="18">
        <v>0</v>
      </c>
      <c r="F349" s="18">
        <v>0</v>
      </c>
      <c r="G349" s="18">
        <v>0</v>
      </c>
      <c r="H349" s="18">
        <v>0</v>
      </c>
      <c r="I349" s="18">
        <v>0</v>
      </c>
      <c r="J349" s="18">
        <v>0</v>
      </c>
      <c r="K349" s="18">
        <v>0</v>
      </c>
      <c r="L349" s="18">
        <v>0</v>
      </c>
      <c r="M349" s="18">
        <v>0</v>
      </c>
      <c r="N349" s="18">
        <v>0</v>
      </c>
      <c r="O349" s="18">
        <v>0</v>
      </c>
      <c r="P349" s="18">
        <v>0</v>
      </c>
      <c r="Q349" s="18">
        <v>0</v>
      </c>
      <c r="R349" s="18">
        <v>0</v>
      </c>
      <c r="S349" s="18">
        <v>0</v>
      </c>
      <c r="T349" s="18">
        <v>0</v>
      </c>
      <c r="U349" s="18">
        <v>0</v>
      </c>
      <c r="V349" s="18">
        <v>0</v>
      </c>
      <c r="W349" s="18">
        <v>0</v>
      </c>
      <c r="X349" s="18">
        <v>0</v>
      </c>
      <c r="Y349" s="18">
        <v>0</v>
      </c>
      <c r="Z349" s="18">
        <v>0</v>
      </c>
      <c r="AA349" s="18">
        <v>0</v>
      </c>
      <c r="AB349" s="18">
        <v>0</v>
      </c>
      <c r="AC349" s="18">
        <v>0</v>
      </c>
      <c r="AD349" s="18">
        <v>0</v>
      </c>
      <c r="AE349" s="18">
        <v>0</v>
      </c>
      <c r="AF349" s="18">
        <v>0</v>
      </c>
      <c r="AG349" s="18">
        <v>0</v>
      </c>
      <c r="AH349" s="18">
        <v>0</v>
      </c>
      <c r="AI349" s="18">
        <v>0</v>
      </c>
      <c r="AJ349" s="18">
        <v>0</v>
      </c>
      <c r="AK349" s="18">
        <v>0</v>
      </c>
      <c r="AL349" s="18">
        <v>0</v>
      </c>
      <c r="AM349" s="18">
        <v>0</v>
      </c>
      <c r="AN349" s="18">
        <v>0</v>
      </c>
      <c r="AO349" s="18">
        <v>0</v>
      </c>
      <c r="AP349" s="18">
        <v>0</v>
      </c>
      <c r="AQ349" s="18">
        <v>0</v>
      </c>
      <c r="AR349" s="18">
        <v>0</v>
      </c>
      <c r="AS349" s="18">
        <v>0</v>
      </c>
      <c r="AT349" s="18">
        <v>0</v>
      </c>
      <c r="AU349" s="18">
        <v>0</v>
      </c>
      <c r="AV349" s="18">
        <v>0</v>
      </c>
      <c r="AW349" s="18">
        <v>0</v>
      </c>
      <c r="AX349" s="18">
        <v>0</v>
      </c>
    </row>
    <row r="350" spans="1:50" x14ac:dyDescent="0.25">
      <c r="A350" s="16" t="s">
        <v>815</v>
      </c>
      <c r="B350" s="13" t="s">
        <v>464</v>
      </c>
      <c r="C350" s="17">
        <v>0</v>
      </c>
      <c r="D350" s="17">
        <v>0</v>
      </c>
      <c r="E350" s="17">
        <v>0</v>
      </c>
      <c r="F350" s="17">
        <v>0</v>
      </c>
      <c r="G350" s="17">
        <v>0</v>
      </c>
      <c r="H350" s="17">
        <v>0</v>
      </c>
      <c r="I350" s="17">
        <v>0</v>
      </c>
      <c r="J350" s="17">
        <v>2.5999999999999999E-3</v>
      </c>
      <c r="K350" s="17">
        <v>3.73E-2</v>
      </c>
      <c r="L350" s="17">
        <v>0.1744</v>
      </c>
      <c r="M350" s="17">
        <v>0.34599999999999997</v>
      </c>
      <c r="N350" s="17">
        <v>0.55640000000000001</v>
      </c>
      <c r="O350" s="17">
        <v>0.78590000000000004</v>
      </c>
      <c r="P350" s="17">
        <v>1.0183</v>
      </c>
      <c r="Q350" s="17">
        <v>1.2495000000000001</v>
      </c>
      <c r="R350" s="17">
        <v>1.4810000000000001</v>
      </c>
      <c r="S350" s="17">
        <v>1.6981999999999999</v>
      </c>
      <c r="T350" s="17">
        <v>1.9025000000000001</v>
      </c>
      <c r="U350" s="17">
        <v>2.0764</v>
      </c>
      <c r="V350" s="17">
        <v>2.2248000000000001</v>
      </c>
      <c r="W350" s="17">
        <v>2.355</v>
      </c>
      <c r="X350" s="17">
        <v>2.4624999999999999</v>
      </c>
      <c r="Y350" s="17">
        <v>2.5387</v>
      </c>
      <c r="Z350" s="17">
        <v>2.5722</v>
      </c>
      <c r="AA350" s="17">
        <v>2.5819000000000001</v>
      </c>
      <c r="AB350" s="17">
        <v>2.5636999999999999</v>
      </c>
      <c r="AC350" s="17">
        <v>2.5028999999999999</v>
      </c>
      <c r="AD350" s="17">
        <v>2.41</v>
      </c>
      <c r="AE350" s="17">
        <v>2.2991000000000001</v>
      </c>
      <c r="AF350" s="17">
        <v>2.1585999999999999</v>
      </c>
      <c r="AG350" s="17">
        <v>2.0093000000000001</v>
      </c>
      <c r="AH350" s="17">
        <v>1.8297000000000001</v>
      </c>
      <c r="AI350" s="17">
        <v>1.6274</v>
      </c>
      <c r="AJ350" s="17">
        <v>1.3831</v>
      </c>
      <c r="AK350" s="17">
        <v>1.1544000000000001</v>
      </c>
      <c r="AL350" s="17">
        <v>0.91949999999999998</v>
      </c>
      <c r="AM350" s="17">
        <v>0.69220000000000004</v>
      </c>
      <c r="AN350" s="17">
        <v>0.47310000000000002</v>
      </c>
      <c r="AO350" s="17">
        <v>0.2762</v>
      </c>
      <c r="AP350" s="17">
        <v>8.0399999999999999E-2</v>
      </c>
      <c r="AQ350" s="17">
        <v>1.4800000000000001E-2</v>
      </c>
      <c r="AR350" s="17">
        <v>0</v>
      </c>
      <c r="AS350" s="17">
        <v>0</v>
      </c>
      <c r="AT350" s="17">
        <v>0</v>
      </c>
      <c r="AU350" s="17">
        <v>0</v>
      </c>
      <c r="AV350" s="17">
        <v>0</v>
      </c>
      <c r="AW350" s="17">
        <v>0</v>
      </c>
      <c r="AX350" s="17">
        <v>0</v>
      </c>
    </row>
    <row r="351" spans="1:50" x14ac:dyDescent="0.25">
      <c r="A351" s="8" t="s">
        <v>394</v>
      </c>
      <c r="B351" s="10" t="s">
        <v>57</v>
      </c>
      <c r="C351" s="18">
        <v>0</v>
      </c>
      <c r="D351" s="18">
        <v>0</v>
      </c>
      <c r="E351" s="18">
        <v>0</v>
      </c>
      <c r="F351" s="18">
        <v>0</v>
      </c>
      <c r="G351" s="18">
        <v>0</v>
      </c>
      <c r="H351" s="18">
        <v>0</v>
      </c>
      <c r="I351" s="18">
        <v>0</v>
      </c>
      <c r="J351" s="18">
        <v>0</v>
      </c>
      <c r="K351" s="18">
        <v>0</v>
      </c>
      <c r="L351" s="18">
        <v>0</v>
      </c>
      <c r="M351" s="18">
        <v>0</v>
      </c>
      <c r="N351" s="18">
        <v>0</v>
      </c>
      <c r="O351" s="18">
        <v>0</v>
      </c>
      <c r="P351" s="18">
        <v>0</v>
      </c>
      <c r="Q351" s="18">
        <v>0</v>
      </c>
      <c r="R351" s="18">
        <v>0</v>
      </c>
      <c r="S351" s="18">
        <v>0</v>
      </c>
      <c r="T351" s="18">
        <v>0</v>
      </c>
      <c r="U351" s="18">
        <v>0</v>
      </c>
      <c r="V351" s="18">
        <v>0</v>
      </c>
      <c r="W351" s="18">
        <v>0</v>
      </c>
      <c r="X351" s="18">
        <v>0</v>
      </c>
      <c r="Y351" s="18">
        <v>0</v>
      </c>
      <c r="Z351" s="18">
        <v>0</v>
      </c>
      <c r="AA351" s="18">
        <v>0</v>
      </c>
      <c r="AB351" s="18">
        <v>0</v>
      </c>
      <c r="AC351" s="18">
        <v>0</v>
      </c>
      <c r="AD351" s="18">
        <v>0</v>
      </c>
      <c r="AE351" s="18">
        <v>0</v>
      </c>
      <c r="AF351" s="18">
        <v>0</v>
      </c>
      <c r="AG351" s="18">
        <v>0</v>
      </c>
      <c r="AH351" s="18">
        <v>0</v>
      </c>
      <c r="AI351" s="18">
        <v>0</v>
      </c>
      <c r="AJ351" s="18">
        <v>0</v>
      </c>
      <c r="AK351" s="18">
        <v>0</v>
      </c>
      <c r="AL351" s="18">
        <v>0</v>
      </c>
      <c r="AM351" s="18">
        <v>0</v>
      </c>
      <c r="AN351" s="18">
        <v>0</v>
      </c>
      <c r="AO351" s="18">
        <v>0</v>
      </c>
      <c r="AP351" s="18">
        <v>0</v>
      </c>
      <c r="AQ351" s="18">
        <v>0</v>
      </c>
      <c r="AR351" s="18">
        <v>0</v>
      </c>
      <c r="AS351" s="18">
        <v>0</v>
      </c>
      <c r="AT351" s="18">
        <v>0</v>
      </c>
      <c r="AU351" s="18">
        <v>0</v>
      </c>
      <c r="AV351" s="18">
        <v>0</v>
      </c>
      <c r="AW351" s="18">
        <v>0</v>
      </c>
      <c r="AX351" s="18">
        <v>0</v>
      </c>
    </row>
    <row r="352" spans="1:50" x14ac:dyDescent="0.25">
      <c r="A352" s="16" t="s">
        <v>817</v>
      </c>
      <c r="B352" s="13" t="s">
        <v>464</v>
      </c>
      <c r="C352" s="17">
        <v>0</v>
      </c>
      <c r="D352" s="17">
        <v>0</v>
      </c>
      <c r="E352" s="17">
        <v>0</v>
      </c>
      <c r="F352" s="17">
        <v>0</v>
      </c>
      <c r="G352" s="17">
        <v>0</v>
      </c>
      <c r="H352" s="17">
        <v>0</v>
      </c>
      <c r="I352" s="17">
        <v>0</v>
      </c>
      <c r="J352" s="17">
        <v>3.3999999999999998E-3</v>
      </c>
      <c r="K352" s="17">
        <v>4.9700000000000001E-2</v>
      </c>
      <c r="L352" s="17">
        <v>0.2326</v>
      </c>
      <c r="M352" s="17">
        <v>0.46129999999999999</v>
      </c>
      <c r="N352" s="17">
        <v>0.7419</v>
      </c>
      <c r="O352" s="17">
        <v>1.0479000000000001</v>
      </c>
      <c r="P352" s="17">
        <v>1.3576999999999999</v>
      </c>
      <c r="Q352" s="17">
        <v>1.6659999999999999</v>
      </c>
      <c r="R352" s="17">
        <v>1.9745999999999999</v>
      </c>
      <c r="S352" s="17">
        <v>2.2643</v>
      </c>
      <c r="T352" s="17">
        <v>2.5367000000000002</v>
      </c>
      <c r="U352" s="17">
        <v>2.7686000000000002</v>
      </c>
      <c r="V352" s="17">
        <v>2.9664000000000001</v>
      </c>
      <c r="W352" s="17">
        <v>3.14</v>
      </c>
      <c r="X352" s="17">
        <v>3.2833000000000001</v>
      </c>
      <c r="Y352" s="17">
        <v>3.3849999999999998</v>
      </c>
      <c r="Z352" s="17">
        <v>3.4296000000000002</v>
      </c>
      <c r="AA352" s="17">
        <v>3.4424999999999999</v>
      </c>
      <c r="AB352" s="17">
        <v>3.4182999999999999</v>
      </c>
      <c r="AC352" s="17">
        <v>3.3372000000000002</v>
      </c>
      <c r="AD352" s="17">
        <v>3.2132999999999998</v>
      </c>
      <c r="AE352" s="17">
        <v>3.0655000000000001</v>
      </c>
      <c r="AF352" s="17">
        <v>2.8782000000000001</v>
      </c>
      <c r="AG352" s="17">
        <v>2.6791</v>
      </c>
      <c r="AH352" s="17">
        <v>2.4396</v>
      </c>
      <c r="AI352" s="17">
        <v>2.1698</v>
      </c>
      <c r="AJ352" s="17">
        <v>1.8441000000000001</v>
      </c>
      <c r="AK352" s="17">
        <v>1.5391999999999999</v>
      </c>
      <c r="AL352" s="17">
        <v>1.2259</v>
      </c>
      <c r="AM352" s="17">
        <v>0.92290000000000005</v>
      </c>
      <c r="AN352" s="17">
        <v>0.63080000000000003</v>
      </c>
      <c r="AO352" s="17">
        <v>0.36830000000000002</v>
      </c>
      <c r="AP352" s="17">
        <v>0.1072</v>
      </c>
      <c r="AQ352" s="17">
        <v>1.9800000000000002E-2</v>
      </c>
      <c r="AR352" s="17">
        <v>0</v>
      </c>
      <c r="AS352" s="17">
        <v>0</v>
      </c>
      <c r="AT352" s="17">
        <v>0</v>
      </c>
      <c r="AU352" s="17">
        <v>0</v>
      </c>
      <c r="AV352" s="17">
        <v>0</v>
      </c>
      <c r="AW352" s="17">
        <v>0</v>
      </c>
      <c r="AX352" s="17">
        <v>0</v>
      </c>
    </row>
    <row r="353" spans="1:50" x14ac:dyDescent="0.25">
      <c r="A353" s="16" t="s">
        <v>819</v>
      </c>
      <c r="B353" s="13" t="s">
        <v>464</v>
      </c>
      <c r="C353" s="17">
        <v>0</v>
      </c>
      <c r="D353" s="17">
        <v>0</v>
      </c>
      <c r="E353" s="17">
        <v>0</v>
      </c>
      <c r="F353" s="17">
        <v>0</v>
      </c>
      <c r="G353" s="17">
        <v>0</v>
      </c>
      <c r="H353" s="17">
        <v>0</v>
      </c>
      <c r="I353" s="17">
        <v>0</v>
      </c>
      <c r="J353" s="17">
        <v>1.2999999999999999E-3</v>
      </c>
      <c r="K353" s="17">
        <v>1.8700000000000001E-2</v>
      </c>
      <c r="L353" s="17">
        <v>8.72E-2</v>
      </c>
      <c r="M353" s="17">
        <v>0.17299999999999999</v>
      </c>
      <c r="N353" s="17">
        <v>0.2782</v>
      </c>
      <c r="O353" s="17">
        <v>0.39300000000000002</v>
      </c>
      <c r="P353" s="17">
        <v>0.50919999999999999</v>
      </c>
      <c r="Q353" s="17">
        <v>0.62470000000000003</v>
      </c>
      <c r="R353" s="17">
        <v>0.74050000000000005</v>
      </c>
      <c r="S353" s="17">
        <v>0.84909999999999997</v>
      </c>
      <c r="T353" s="17">
        <v>0.95120000000000005</v>
      </c>
      <c r="U353" s="17">
        <v>1.0382</v>
      </c>
      <c r="V353" s="17">
        <v>1.1124000000000001</v>
      </c>
      <c r="W353" s="17">
        <v>1.1775</v>
      </c>
      <c r="X353" s="17">
        <v>1.2312000000000001</v>
      </c>
      <c r="Y353" s="17">
        <v>1.2694000000000001</v>
      </c>
      <c r="Z353" s="17">
        <v>1.2861</v>
      </c>
      <c r="AA353" s="17">
        <v>1.2908999999999999</v>
      </c>
      <c r="AB353" s="17">
        <v>1.2819</v>
      </c>
      <c r="AC353" s="17">
        <v>1.2514000000000001</v>
      </c>
      <c r="AD353" s="17">
        <v>1.2050000000000001</v>
      </c>
      <c r="AE353" s="17">
        <v>1.1496</v>
      </c>
      <c r="AF353" s="17">
        <v>1.0792999999999999</v>
      </c>
      <c r="AG353" s="17">
        <v>1.0046999999999999</v>
      </c>
      <c r="AH353" s="17">
        <v>0.91479999999999995</v>
      </c>
      <c r="AI353" s="17">
        <v>0.81369999999999998</v>
      </c>
      <c r="AJ353" s="17">
        <v>0.6915</v>
      </c>
      <c r="AK353" s="17">
        <v>0.57720000000000005</v>
      </c>
      <c r="AL353" s="17">
        <v>0.4597</v>
      </c>
      <c r="AM353" s="17">
        <v>0.34610000000000002</v>
      </c>
      <c r="AN353" s="17">
        <v>0.23649999999999999</v>
      </c>
      <c r="AO353" s="17">
        <v>0.1381</v>
      </c>
      <c r="AP353" s="17">
        <v>4.02E-2</v>
      </c>
      <c r="AQ353" s="17">
        <v>7.4000000000000003E-3</v>
      </c>
      <c r="AR353" s="17">
        <v>0</v>
      </c>
      <c r="AS353" s="17">
        <v>0</v>
      </c>
      <c r="AT353" s="17">
        <v>0</v>
      </c>
      <c r="AU353" s="17">
        <v>0</v>
      </c>
      <c r="AV353" s="17">
        <v>0</v>
      </c>
      <c r="AW353" s="17">
        <v>0</v>
      </c>
      <c r="AX353" s="17">
        <v>0</v>
      </c>
    </row>
    <row r="354" spans="1:50" x14ac:dyDescent="0.25">
      <c r="A354" s="8" t="s">
        <v>396</v>
      </c>
      <c r="B354" s="10" t="s">
        <v>57</v>
      </c>
      <c r="C354" s="18">
        <v>0</v>
      </c>
      <c r="D354" s="18">
        <v>0</v>
      </c>
      <c r="E354" s="18">
        <v>0</v>
      </c>
      <c r="F354" s="18">
        <v>0</v>
      </c>
      <c r="G354" s="18">
        <v>0</v>
      </c>
      <c r="H354" s="18">
        <v>0</v>
      </c>
      <c r="I354" s="18">
        <v>0</v>
      </c>
      <c r="J354" s="18">
        <v>0</v>
      </c>
      <c r="K354" s="18">
        <v>0</v>
      </c>
      <c r="L354" s="18">
        <v>0</v>
      </c>
      <c r="M354" s="18">
        <v>0</v>
      </c>
      <c r="N354" s="18">
        <v>0</v>
      </c>
      <c r="O354" s="18">
        <v>0</v>
      </c>
      <c r="P354" s="18">
        <v>0</v>
      </c>
      <c r="Q354" s="18">
        <v>0</v>
      </c>
      <c r="R354" s="18">
        <v>0</v>
      </c>
      <c r="S354" s="18">
        <v>0</v>
      </c>
      <c r="T354" s="18">
        <v>0</v>
      </c>
      <c r="U354" s="18">
        <v>0</v>
      </c>
      <c r="V354" s="18">
        <v>0</v>
      </c>
      <c r="W354" s="18">
        <v>0</v>
      </c>
      <c r="X354" s="18">
        <v>0</v>
      </c>
      <c r="Y354" s="18">
        <v>0</v>
      </c>
      <c r="Z354" s="18">
        <v>0</v>
      </c>
      <c r="AA354" s="18">
        <v>0</v>
      </c>
      <c r="AB354" s="18">
        <v>0</v>
      </c>
      <c r="AC354" s="18">
        <v>0</v>
      </c>
      <c r="AD354" s="18">
        <v>0</v>
      </c>
      <c r="AE354" s="18">
        <v>0</v>
      </c>
      <c r="AF354" s="18">
        <v>0</v>
      </c>
      <c r="AG354" s="18">
        <v>0</v>
      </c>
      <c r="AH354" s="18">
        <v>0</v>
      </c>
      <c r="AI354" s="18">
        <v>0</v>
      </c>
      <c r="AJ354" s="18">
        <v>0</v>
      </c>
      <c r="AK354" s="18">
        <v>0</v>
      </c>
      <c r="AL354" s="18">
        <v>0</v>
      </c>
      <c r="AM354" s="18">
        <v>0</v>
      </c>
      <c r="AN354" s="18">
        <v>0</v>
      </c>
      <c r="AO354" s="18">
        <v>0</v>
      </c>
      <c r="AP354" s="18">
        <v>0</v>
      </c>
      <c r="AQ354" s="18">
        <v>0</v>
      </c>
      <c r="AR354" s="18">
        <v>0</v>
      </c>
      <c r="AS354" s="18">
        <v>0</v>
      </c>
      <c r="AT354" s="18">
        <v>0</v>
      </c>
      <c r="AU354" s="18">
        <v>0</v>
      </c>
      <c r="AV354" s="18">
        <v>0</v>
      </c>
      <c r="AW354" s="18">
        <v>0</v>
      </c>
      <c r="AX354" s="18">
        <v>0</v>
      </c>
    </row>
    <row r="355" spans="1:50" x14ac:dyDescent="0.25">
      <c r="A355" s="16" t="s">
        <v>821</v>
      </c>
      <c r="B355" s="13" t="s">
        <v>464</v>
      </c>
      <c r="C355" s="17">
        <v>0</v>
      </c>
      <c r="D355" s="17">
        <v>0</v>
      </c>
      <c r="E355" s="17">
        <v>0</v>
      </c>
      <c r="F355" s="17">
        <v>0</v>
      </c>
      <c r="G355" s="17">
        <v>0</v>
      </c>
      <c r="H355" s="17">
        <v>0</v>
      </c>
      <c r="I355" s="17">
        <v>0</v>
      </c>
      <c r="J355" s="17">
        <v>3.3999999999999998E-3</v>
      </c>
      <c r="K355" s="17">
        <v>4.9700000000000001E-2</v>
      </c>
      <c r="L355" s="17">
        <v>0.2326</v>
      </c>
      <c r="M355" s="17">
        <v>0.46129999999999999</v>
      </c>
      <c r="N355" s="17">
        <v>0.7419</v>
      </c>
      <c r="O355" s="17">
        <v>1.0479000000000001</v>
      </c>
      <c r="P355" s="17">
        <v>1.3576999999999999</v>
      </c>
      <c r="Q355" s="17">
        <v>1.6659999999999999</v>
      </c>
      <c r="R355" s="17">
        <v>1.9745999999999999</v>
      </c>
      <c r="S355" s="17">
        <v>2.2643</v>
      </c>
      <c r="T355" s="17">
        <v>2.5367000000000002</v>
      </c>
      <c r="U355" s="17">
        <v>2.7686000000000002</v>
      </c>
      <c r="V355" s="17">
        <v>2.9664000000000001</v>
      </c>
      <c r="W355" s="17">
        <v>3.14</v>
      </c>
      <c r="X355" s="17">
        <v>3.2833000000000001</v>
      </c>
      <c r="Y355" s="17">
        <v>3.3849999999999998</v>
      </c>
      <c r="Z355" s="17">
        <v>3.4296000000000002</v>
      </c>
      <c r="AA355" s="17">
        <v>3.4424999999999999</v>
      </c>
      <c r="AB355" s="17">
        <v>3.4182999999999999</v>
      </c>
      <c r="AC355" s="17">
        <v>3.3372000000000002</v>
      </c>
      <c r="AD355" s="17">
        <v>3.2132999999999998</v>
      </c>
      <c r="AE355" s="17">
        <v>3.0655000000000001</v>
      </c>
      <c r="AF355" s="17">
        <v>2.8782000000000001</v>
      </c>
      <c r="AG355" s="17">
        <v>2.6791</v>
      </c>
      <c r="AH355" s="17">
        <v>2.4396</v>
      </c>
      <c r="AI355" s="17">
        <v>2.1698</v>
      </c>
      <c r="AJ355" s="17">
        <v>1.8441000000000001</v>
      </c>
      <c r="AK355" s="17">
        <v>1.5391999999999999</v>
      </c>
      <c r="AL355" s="17">
        <v>1.2259</v>
      </c>
      <c r="AM355" s="17">
        <v>0.92290000000000005</v>
      </c>
      <c r="AN355" s="17">
        <v>0.63080000000000003</v>
      </c>
      <c r="AO355" s="17">
        <v>0.36830000000000002</v>
      </c>
      <c r="AP355" s="17">
        <v>0.1072</v>
      </c>
      <c r="AQ355" s="17">
        <v>1.9800000000000002E-2</v>
      </c>
      <c r="AR355" s="17">
        <v>0</v>
      </c>
      <c r="AS355" s="17">
        <v>0</v>
      </c>
      <c r="AT355" s="17">
        <v>0</v>
      </c>
      <c r="AU355" s="17">
        <v>0</v>
      </c>
      <c r="AV355" s="17">
        <v>0</v>
      </c>
      <c r="AW355" s="17">
        <v>0</v>
      </c>
      <c r="AX355" s="17">
        <v>0</v>
      </c>
    </row>
    <row r="356" spans="1:50" x14ac:dyDescent="0.25">
      <c r="A356" s="8" t="s">
        <v>398</v>
      </c>
      <c r="B356" s="10" t="s">
        <v>57</v>
      </c>
      <c r="C356" s="18">
        <v>0</v>
      </c>
      <c r="D356" s="18">
        <v>0</v>
      </c>
      <c r="E356" s="18">
        <v>0</v>
      </c>
      <c r="F356" s="18">
        <v>0</v>
      </c>
      <c r="G356" s="18">
        <v>0</v>
      </c>
      <c r="H356" s="18">
        <v>0</v>
      </c>
      <c r="I356" s="18">
        <v>0</v>
      </c>
      <c r="J356" s="18">
        <v>0</v>
      </c>
      <c r="K356" s="18">
        <v>0</v>
      </c>
      <c r="L356" s="18">
        <v>0</v>
      </c>
      <c r="M356" s="18">
        <v>0</v>
      </c>
      <c r="N356" s="18">
        <v>0</v>
      </c>
      <c r="O356" s="18">
        <v>0</v>
      </c>
      <c r="P356" s="18">
        <v>0</v>
      </c>
      <c r="Q356" s="18">
        <v>0</v>
      </c>
      <c r="R356" s="18">
        <v>0</v>
      </c>
      <c r="S356" s="18">
        <v>0</v>
      </c>
      <c r="T356" s="18">
        <v>0</v>
      </c>
      <c r="U356" s="18">
        <v>0</v>
      </c>
      <c r="V356" s="18">
        <v>0</v>
      </c>
      <c r="W356" s="18">
        <v>0</v>
      </c>
      <c r="X356" s="18">
        <v>0</v>
      </c>
      <c r="Y356" s="18">
        <v>0</v>
      </c>
      <c r="Z356" s="18">
        <v>0</v>
      </c>
      <c r="AA356" s="18">
        <v>0</v>
      </c>
      <c r="AB356" s="18">
        <v>0</v>
      </c>
      <c r="AC356" s="18">
        <v>0</v>
      </c>
      <c r="AD356" s="18">
        <v>0</v>
      </c>
      <c r="AE356" s="18">
        <v>0</v>
      </c>
      <c r="AF356" s="18">
        <v>0</v>
      </c>
      <c r="AG356" s="18">
        <v>0</v>
      </c>
      <c r="AH356" s="18">
        <v>0</v>
      </c>
      <c r="AI356" s="18">
        <v>0</v>
      </c>
      <c r="AJ356" s="18">
        <v>0</v>
      </c>
      <c r="AK356" s="18">
        <v>0</v>
      </c>
      <c r="AL356" s="18">
        <v>0</v>
      </c>
      <c r="AM356" s="18">
        <v>0</v>
      </c>
      <c r="AN356" s="18">
        <v>0</v>
      </c>
      <c r="AO356" s="18">
        <v>0</v>
      </c>
      <c r="AP356" s="18">
        <v>0</v>
      </c>
      <c r="AQ356" s="18">
        <v>0</v>
      </c>
      <c r="AR356" s="18">
        <v>0</v>
      </c>
      <c r="AS356" s="18">
        <v>0</v>
      </c>
      <c r="AT356" s="18">
        <v>0</v>
      </c>
      <c r="AU356" s="18">
        <v>0</v>
      </c>
      <c r="AV356" s="18">
        <v>0</v>
      </c>
      <c r="AW356" s="18">
        <v>0</v>
      </c>
      <c r="AX356" s="18">
        <v>0</v>
      </c>
    </row>
    <row r="357" spans="1:50" x14ac:dyDescent="0.25">
      <c r="A357" s="16" t="s">
        <v>823</v>
      </c>
      <c r="B357" s="13" t="s">
        <v>464</v>
      </c>
      <c r="C357" s="17">
        <v>0</v>
      </c>
      <c r="D357" s="17">
        <v>0</v>
      </c>
      <c r="E357" s="17">
        <v>0</v>
      </c>
      <c r="F357" s="17">
        <v>0</v>
      </c>
      <c r="G357" s="17">
        <v>0</v>
      </c>
      <c r="H357" s="17">
        <v>0</v>
      </c>
      <c r="I357" s="17">
        <v>0</v>
      </c>
      <c r="J357" s="17">
        <v>2.2000000000000001E-3</v>
      </c>
      <c r="K357" s="17">
        <v>3.1099999999999999E-2</v>
      </c>
      <c r="L357" s="17">
        <v>0.1454</v>
      </c>
      <c r="M357" s="17">
        <v>0.2883</v>
      </c>
      <c r="N357" s="17">
        <v>0.4637</v>
      </c>
      <c r="O357" s="17">
        <v>0.65490000000000004</v>
      </c>
      <c r="P357" s="17">
        <v>0.84860000000000002</v>
      </c>
      <c r="Q357" s="17">
        <v>1.0411999999999999</v>
      </c>
      <c r="R357" s="17">
        <v>1.2341</v>
      </c>
      <c r="S357" s="17">
        <v>1.4152</v>
      </c>
      <c r="T357" s="17">
        <v>1.5853999999999999</v>
      </c>
      <c r="U357" s="17">
        <v>1.7303999999999999</v>
      </c>
      <c r="V357" s="17">
        <v>1.8540000000000001</v>
      </c>
      <c r="W357" s="17">
        <v>1.9624999999999999</v>
      </c>
      <c r="X357" s="17">
        <v>2.0520999999999998</v>
      </c>
      <c r="Y357" s="17">
        <v>2.1156000000000001</v>
      </c>
      <c r="Z357" s="17">
        <v>2.1435</v>
      </c>
      <c r="AA357" s="17">
        <v>2.1516000000000002</v>
      </c>
      <c r="AB357" s="17">
        <v>2.1364999999999998</v>
      </c>
      <c r="AC357" s="17">
        <v>2.0857000000000001</v>
      </c>
      <c r="AD357" s="17">
        <v>2.0083000000000002</v>
      </c>
      <c r="AE357" s="17">
        <v>1.9158999999999999</v>
      </c>
      <c r="AF357" s="17">
        <v>1.7988999999999999</v>
      </c>
      <c r="AG357" s="17">
        <v>1.6745000000000001</v>
      </c>
      <c r="AH357" s="17">
        <v>1.5246999999999999</v>
      </c>
      <c r="AI357" s="17">
        <v>1.3561000000000001</v>
      </c>
      <c r="AJ357" s="17">
        <v>1.1525000000000001</v>
      </c>
      <c r="AK357" s="17">
        <v>0.96199999999999997</v>
      </c>
      <c r="AL357" s="17">
        <v>0.76619999999999999</v>
      </c>
      <c r="AM357" s="17">
        <v>0.57679999999999998</v>
      </c>
      <c r="AN357" s="17">
        <v>0.39419999999999999</v>
      </c>
      <c r="AO357" s="17">
        <v>0.23019999999999999</v>
      </c>
      <c r="AP357" s="17">
        <v>6.7000000000000004E-2</v>
      </c>
      <c r="AQ357" s="17">
        <v>1.24E-2</v>
      </c>
      <c r="AR357" s="17">
        <v>0</v>
      </c>
      <c r="AS357" s="17">
        <v>0</v>
      </c>
      <c r="AT357" s="17">
        <v>0</v>
      </c>
      <c r="AU357" s="17">
        <v>0</v>
      </c>
      <c r="AV357" s="17">
        <v>0</v>
      </c>
      <c r="AW357" s="17">
        <v>0</v>
      </c>
      <c r="AX357" s="17">
        <v>0</v>
      </c>
    </row>
    <row r="358" spans="1:50" x14ac:dyDescent="0.25">
      <c r="A358" s="8" t="s">
        <v>400</v>
      </c>
      <c r="B358" s="10" t="s">
        <v>57</v>
      </c>
      <c r="C358" s="18">
        <v>0</v>
      </c>
      <c r="D358" s="18">
        <v>0</v>
      </c>
      <c r="E358" s="18">
        <v>0</v>
      </c>
      <c r="F358" s="18">
        <v>0</v>
      </c>
      <c r="G358" s="18">
        <v>0</v>
      </c>
      <c r="H358" s="18">
        <v>0</v>
      </c>
      <c r="I358" s="18">
        <v>0</v>
      </c>
      <c r="J358" s="18">
        <v>0</v>
      </c>
      <c r="K358" s="18">
        <v>0</v>
      </c>
      <c r="L358" s="18">
        <v>0</v>
      </c>
      <c r="M358" s="18">
        <v>0</v>
      </c>
      <c r="N358" s="18">
        <v>0</v>
      </c>
      <c r="O358" s="18">
        <v>0</v>
      </c>
      <c r="P358" s="18">
        <v>0</v>
      </c>
      <c r="Q358" s="18">
        <v>0</v>
      </c>
      <c r="R358" s="18">
        <v>0</v>
      </c>
      <c r="S358" s="18">
        <v>0</v>
      </c>
      <c r="T358" s="18">
        <v>0</v>
      </c>
      <c r="U358" s="18">
        <v>0</v>
      </c>
      <c r="V358" s="18">
        <v>0</v>
      </c>
      <c r="W358" s="18">
        <v>0</v>
      </c>
      <c r="X358" s="18">
        <v>0</v>
      </c>
      <c r="Y358" s="18">
        <v>0</v>
      </c>
      <c r="Z358" s="18">
        <v>0</v>
      </c>
      <c r="AA358" s="18">
        <v>0</v>
      </c>
      <c r="AB358" s="18">
        <v>0</v>
      </c>
      <c r="AC358" s="18">
        <v>0</v>
      </c>
      <c r="AD358" s="18">
        <v>0</v>
      </c>
      <c r="AE358" s="18">
        <v>0</v>
      </c>
      <c r="AF358" s="18">
        <v>0</v>
      </c>
      <c r="AG358" s="18">
        <v>0</v>
      </c>
      <c r="AH358" s="18">
        <v>0</v>
      </c>
      <c r="AI358" s="18">
        <v>0</v>
      </c>
      <c r="AJ358" s="18">
        <v>0</v>
      </c>
      <c r="AK358" s="18">
        <v>0</v>
      </c>
      <c r="AL358" s="18">
        <v>0</v>
      </c>
      <c r="AM358" s="18">
        <v>0</v>
      </c>
      <c r="AN358" s="18">
        <v>0</v>
      </c>
      <c r="AO358" s="18">
        <v>0</v>
      </c>
      <c r="AP358" s="18">
        <v>0</v>
      </c>
      <c r="AQ358" s="18">
        <v>0</v>
      </c>
      <c r="AR358" s="18">
        <v>0</v>
      </c>
      <c r="AS358" s="18">
        <v>0</v>
      </c>
      <c r="AT358" s="18">
        <v>0</v>
      </c>
      <c r="AU358" s="18">
        <v>0</v>
      </c>
      <c r="AV358" s="18">
        <v>0</v>
      </c>
      <c r="AW358" s="18">
        <v>0</v>
      </c>
      <c r="AX358" s="18">
        <v>0</v>
      </c>
    </row>
    <row r="359" spans="1:50" x14ac:dyDescent="0.25">
      <c r="A359" s="8" t="s">
        <v>402</v>
      </c>
      <c r="B359" s="10" t="s">
        <v>57</v>
      </c>
      <c r="C359" s="18">
        <v>0</v>
      </c>
      <c r="D359" s="18">
        <v>0</v>
      </c>
      <c r="E359" s="18">
        <v>0</v>
      </c>
      <c r="F359" s="18">
        <v>0</v>
      </c>
      <c r="G359" s="18">
        <v>0</v>
      </c>
      <c r="H359" s="18">
        <v>0</v>
      </c>
      <c r="I359" s="18">
        <v>0</v>
      </c>
      <c r="J359" s="18">
        <v>0</v>
      </c>
      <c r="K359" s="18">
        <v>0</v>
      </c>
      <c r="L359" s="18">
        <v>0</v>
      </c>
      <c r="M359" s="18">
        <v>0</v>
      </c>
      <c r="N359" s="18">
        <v>0</v>
      </c>
      <c r="O359" s="18">
        <v>0</v>
      </c>
      <c r="P359" s="18">
        <v>0</v>
      </c>
      <c r="Q359" s="18">
        <v>0</v>
      </c>
      <c r="R359" s="18">
        <v>0</v>
      </c>
      <c r="S359" s="18">
        <v>0</v>
      </c>
      <c r="T359" s="18">
        <v>0</v>
      </c>
      <c r="U359" s="18">
        <v>0</v>
      </c>
      <c r="V359" s="18">
        <v>0</v>
      </c>
      <c r="W359" s="18">
        <v>0</v>
      </c>
      <c r="X359" s="18">
        <v>0</v>
      </c>
      <c r="Y359" s="18">
        <v>0</v>
      </c>
      <c r="Z359" s="18">
        <v>0</v>
      </c>
      <c r="AA359" s="18">
        <v>0</v>
      </c>
      <c r="AB359" s="18">
        <v>0</v>
      </c>
      <c r="AC359" s="18">
        <v>0</v>
      </c>
      <c r="AD359" s="18">
        <v>0</v>
      </c>
      <c r="AE359" s="18">
        <v>0</v>
      </c>
      <c r="AF359" s="18">
        <v>0</v>
      </c>
      <c r="AG359" s="18">
        <v>0</v>
      </c>
      <c r="AH359" s="18">
        <v>0</v>
      </c>
      <c r="AI359" s="18">
        <v>0</v>
      </c>
      <c r="AJ359" s="18">
        <v>0</v>
      </c>
      <c r="AK359" s="18">
        <v>0</v>
      </c>
      <c r="AL359" s="18">
        <v>0</v>
      </c>
      <c r="AM359" s="18">
        <v>0</v>
      </c>
      <c r="AN359" s="18">
        <v>0</v>
      </c>
      <c r="AO359" s="18">
        <v>0</v>
      </c>
      <c r="AP359" s="18">
        <v>0</v>
      </c>
      <c r="AQ359" s="18">
        <v>0</v>
      </c>
      <c r="AR359" s="18">
        <v>0</v>
      </c>
      <c r="AS359" s="18">
        <v>0</v>
      </c>
      <c r="AT359" s="18">
        <v>0</v>
      </c>
      <c r="AU359" s="18">
        <v>0</v>
      </c>
      <c r="AV359" s="18">
        <v>0</v>
      </c>
      <c r="AW359" s="18">
        <v>0</v>
      </c>
      <c r="AX359" s="18">
        <v>0</v>
      </c>
    </row>
    <row r="360" spans="1:50" x14ac:dyDescent="0.25">
      <c r="A360" s="8" t="s">
        <v>404</v>
      </c>
      <c r="B360" s="10" t="s">
        <v>57</v>
      </c>
      <c r="C360" s="18">
        <v>0</v>
      </c>
      <c r="D360" s="18">
        <v>0</v>
      </c>
      <c r="E360" s="18">
        <v>0</v>
      </c>
      <c r="F360" s="18">
        <v>0</v>
      </c>
      <c r="G360" s="18">
        <v>0</v>
      </c>
      <c r="H360" s="18">
        <v>0</v>
      </c>
      <c r="I360" s="18">
        <v>0</v>
      </c>
      <c r="J360" s="18">
        <v>0</v>
      </c>
      <c r="K360" s="18">
        <v>0</v>
      </c>
      <c r="L360" s="18">
        <v>0</v>
      </c>
      <c r="M360" s="18">
        <v>0</v>
      </c>
      <c r="N360" s="18">
        <v>0</v>
      </c>
      <c r="O360" s="18">
        <v>0</v>
      </c>
      <c r="P360" s="18">
        <v>0</v>
      </c>
      <c r="Q360" s="18">
        <v>0</v>
      </c>
      <c r="R360" s="18">
        <v>0</v>
      </c>
      <c r="S360" s="18">
        <v>0</v>
      </c>
      <c r="T360" s="18">
        <v>0</v>
      </c>
      <c r="U360" s="18">
        <v>0</v>
      </c>
      <c r="V360" s="18">
        <v>0</v>
      </c>
      <c r="W360" s="18">
        <v>0</v>
      </c>
      <c r="X360" s="18">
        <v>0</v>
      </c>
      <c r="Y360" s="18">
        <v>0</v>
      </c>
      <c r="Z360" s="18">
        <v>0</v>
      </c>
      <c r="AA360" s="18">
        <v>0</v>
      </c>
      <c r="AB360" s="18">
        <v>0</v>
      </c>
      <c r="AC360" s="18">
        <v>0</v>
      </c>
      <c r="AD360" s="18">
        <v>0</v>
      </c>
      <c r="AE360" s="18">
        <v>0</v>
      </c>
      <c r="AF360" s="18">
        <v>0</v>
      </c>
      <c r="AG360" s="18">
        <v>0</v>
      </c>
      <c r="AH360" s="18">
        <v>0</v>
      </c>
      <c r="AI360" s="18">
        <v>0</v>
      </c>
      <c r="AJ360" s="18">
        <v>0</v>
      </c>
      <c r="AK360" s="18">
        <v>0</v>
      </c>
      <c r="AL360" s="18">
        <v>0</v>
      </c>
      <c r="AM360" s="18">
        <v>0</v>
      </c>
      <c r="AN360" s="18">
        <v>0</v>
      </c>
      <c r="AO360" s="18">
        <v>0</v>
      </c>
      <c r="AP360" s="18">
        <v>0</v>
      </c>
      <c r="AQ360" s="18">
        <v>0</v>
      </c>
      <c r="AR360" s="18">
        <v>0</v>
      </c>
      <c r="AS360" s="18">
        <v>0</v>
      </c>
      <c r="AT360" s="18">
        <v>0</v>
      </c>
      <c r="AU360" s="18">
        <v>0</v>
      </c>
      <c r="AV360" s="18">
        <v>0</v>
      </c>
      <c r="AW360" s="18">
        <v>0</v>
      </c>
      <c r="AX360" s="18">
        <v>0</v>
      </c>
    </row>
    <row r="361" spans="1:50" x14ac:dyDescent="0.25">
      <c r="A361" s="16" t="s">
        <v>825</v>
      </c>
      <c r="B361" s="13" t="s">
        <v>464</v>
      </c>
      <c r="C361" s="17">
        <v>0</v>
      </c>
      <c r="D361" s="17">
        <v>0</v>
      </c>
      <c r="E361" s="17">
        <v>0</v>
      </c>
      <c r="F361" s="17">
        <v>0</v>
      </c>
      <c r="G361" s="17">
        <v>0</v>
      </c>
      <c r="H361" s="17">
        <v>0</v>
      </c>
      <c r="I361" s="17">
        <v>0</v>
      </c>
      <c r="J361" s="17">
        <v>3.3999999999999998E-3</v>
      </c>
      <c r="K361" s="17">
        <v>4.9700000000000001E-2</v>
      </c>
      <c r="L361" s="17">
        <v>0.2326</v>
      </c>
      <c r="M361" s="17">
        <v>0.46129999999999999</v>
      </c>
      <c r="N361" s="17">
        <v>0.7419</v>
      </c>
      <c r="O361" s="17">
        <v>1.0479000000000001</v>
      </c>
      <c r="P361" s="17">
        <v>1.3576999999999999</v>
      </c>
      <c r="Q361" s="17">
        <v>1.6659999999999999</v>
      </c>
      <c r="R361" s="17">
        <v>1.9745999999999999</v>
      </c>
      <c r="S361" s="17">
        <v>2.2643</v>
      </c>
      <c r="T361" s="17">
        <v>2.5367000000000002</v>
      </c>
      <c r="U361" s="17">
        <v>2.7686000000000002</v>
      </c>
      <c r="V361" s="17">
        <v>2.9664000000000001</v>
      </c>
      <c r="W361" s="17">
        <v>3.14</v>
      </c>
      <c r="X361" s="17">
        <v>3.2833000000000001</v>
      </c>
      <c r="Y361" s="17">
        <v>3.3849999999999998</v>
      </c>
      <c r="Z361" s="17">
        <v>3.4296000000000002</v>
      </c>
      <c r="AA361" s="17">
        <v>3.4424999999999999</v>
      </c>
      <c r="AB361" s="17">
        <v>3.4182999999999999</v>
      </c>
      <c r="AC361" s="17">
        <v>3.3372000000000002</v>
      </c>
      <c r="AD361" s="17">
        <v>3.2132999999999998</v>
      </c>
      <c r="AE361" s="17">
        <v>3.0655000000000001</v>
      </c>
      <c r="AF361" s="17">
        <v>2.8782000000000001</v>
      </c>
      <c r="AG361" s="17">
        <v>2.6791</v>
      </c>
      <c r="AH361" s="17">
        <v>2.4396</v>
      </c>
      <c r="AI361" s="17">
        <v>2.1698</v>
      </c>
      <c r="AJ361" s="17">
        <v>1.8441000000000001</v>
      </c>
      <c r="AK361" s="17">
        <v>1.5391999999999999</v>
      </c>
      <c r="AL361" s="17">
        <v>1.2259</v>
      </c>
      <c r="AM361" s="17">
        <v>0.92290000000000005</v>
      </c>
      <c r="AN361" s="17">
        <v>0.63080000000000003</v>
      </c>
      <c r="AO361" s="17">
        <v>0.36830000000000002</v>
      </c>
      <c r="AP361" s="17">
        <v>0.1072</v>
      </c>
      <c r="AQ361" s="17">
        <v>1.9800000000000002E-2</v>
      </c>
      <c r="AR361" s="17">
        <v>0</v>
      </c>
      <c r="AS361" s="17">
        <v>0</v>
      </c>
      <c r="AT361" s="17">
        <v>0</v>
      </c>
      <c r="AU361" s="17">
        <v>0</v>
      </c>
      <c r="AV361" s="17">
        <v>0</v>
      </c>
      <c r="AW361" s="17">
        <v>0</v>
      </c>
      <c r="AX361" s="17">
        <v>0</v>
      </c>
    </row>
    <row r="362" spans="1:50" x14ac:dyDescent="0.25">
      <c r="A362" s="16" t="s">
        <v>827</v>
      </c>
      <c r="B362" s="13" t="s">
        <v>464</v>
      </c>
      <c r="C362" s="17">
        <v>0</v>
      </c>
      <c r="D362" s="17">
        <v>0</v>
      </c>
      <c r="E362" s="17">
        <v>0</v>
      </c>
      <c r="F362" s="17">
        <v>0</v>
      </c>
      <c r="G362" s="17">
        <v>0</v>
      </c>
      <c r="H362" s="17">
        <v>0</v>
      </c>
      <c r="I362" s="17">
        <v>0</v>
      </c>
      <c r="J362" s="17">
        <v>3.0000000000000001E-3</v>
      </c>
      <c r="K362" s="17">
        <v>4.3499999999999997E-2</v>
      </c>
      <c r="L362" s="17">
        <v>0.20349999999999999</v>
      </c>
      <c r="M362" s="17">
        <v>0.4037</v>
      </c>
      <c r="N362" s="17">
        <v>0.64910000000000001</v>
      </c>
      <c r="O362" s="17">
        <v>0.91690000000000005</v>
      </c>
      <c r="P362" s="17">
        <v>1.1879999999999999</v>
      </c>
      <c r="Q362" s="17">
        <v>1.4577</v>
      </c>
      <c r="R362" s="17">
        <v>1.7278</v>
      </c>
      <c r="S362" s="17">
        <v>1.9813000000000001</v>
      </c>
      <c r="T362" s="17">
        <v>2.2195999999999998</v>
      </c>
      <c r="U362" s="17">
        <v>2.4224999999999999</v>
      </c>
      <c r="V362" s="17">
        <v>2.5956000000000001</v>
      </c>
      <c r="W362" s="17">
        <v>2.7475000000000001</v>
      </c>
      <c r="X362" s="17">
        <v>2.8729</v>
      </c>
      <c r="Y362" s="17">
        <v>2.9619</v>
      </c>
      <c r="Z362" s="17">
        <v>3.0009000000000001</v>
      </c>
      <c r="AA362" s="17">
        <v>3.0122</v>
      </c>
      <c r="AB362" s="17">
        <v>2.9910000000000001</v>
      </c>
      <c r="AC362" s="17">
        <v>2.92</v>
      </c>
      <c r="AD362" s="17">
        <v>2.8117000000000001</v>
      </c>
      <c r="AE362" s="17">
        <v>2.6823000000000001</v>
      </c>
      <c r="AF362" s="17">
        <v>2.5184000000000002</v>
      </c>
      <c r="AG362" s="17">
        <v>2.3441999999999998</v>
      </c>
      <c r="AH362" s="17">
        <v>2.1345999999999998</v>
      </c>
      <c r="AI362" s="17">
        <v>1.8986000000000001</v>
      </c>
      <c r="AJ362" s="17">
        <v>1.6135999999999999</v>
      </c>
      <c r="AK362" s="17">
        <v>1.3468</v>
      </c>
      <c r="AL362" s="17">
        <v>1.0727</v>
      </c>
      <c r="AM362" s="17">
        <v>0.80759999999999998</v>
      </c>
      <c r="AN362" s="17">
        <v>0.55189999999999995</v>
      </c>
      <c r="AO362" s="17">
        <v>0.32229999999999998</v>
      </c>
      <c r="AP362" s="17">
        <v>9.3799999999999994E-2</v>
      </c>
      <c r="AQ362" s="17">
        <v>1.7299999999999999E-2</v>
      </c>
      <c r="AR362" s="17">
        <v>0</v>
      </c>
      <c r="AS362" s="17">
        <v>0</v>
      </c>
      <c r="AT362" s="17">
        <v>0</v>
      </c>
      <c r="AU362" s="17">
        <v>0</v>
      </c>
      <c r="AV362" s="17">
        <v>0</v>
      </c>
      <c r="AW362" s="17">
        <v>0</v>
      </c>
      <c r="AX362" s="17">
        <v>0</v>
      </c>
    </row>
    <row r="363" spans="1:50" x14ac:dyDescent="0.25">
      <c r="A363" s="16" t="s">
        <v>829</v>
      </c>
      <c r="B363" s="13" t="s">
        <v>464</v>
      </c>
      <c r="C363" s="17">
        <v>0</v>
      </c>
      <c r="D363" s="17">
        <v>0</v>
      </c>
      <c r="E363" s="17">
        <v>0</v>
      </c>
      <c r="F363" s="17">
        <v>0</v>
      </c>
      <c r="G363" s="17">
        <v>0</v>
      </c>
      <c r="H363" s="17">
        <v>0</v>
      </c>
      <c r="I363" s="17">
        <v>0</v>
      </c>
      <c r="J363" s="17">
        <v>2.2000000000000001E-3</v>
      </c>
      <c r="K363" s="17">
        <v>3.1099999999999999E-2</v>
      </c>
      <c r="L363" s="17">
        <v>0.1454</v>
      </c>
      <c r="M363" s="17">
        <v>0.2883</v>
      </c>
      <c r="N363" s="17">
        <v>0.4637</v>
      </c>
      <c r="O363" s="17">
        <v>0.65490000000000004</v>
      </c>
      <c r="P363" s="17">
        <v>0.84860000000000002</v>
      </c>
      <c r="Q363" s="17">
        <v>1.0411999999999999</v>
      </c>
      <c r="R363" s="17">
        <v>1.2341</v>
      </c>
      <c r="S363" s="17">
        <v>1.4152</v>
      </c>
      <c r="T363" s="17">
        <v>1.5853999999999999</v>
      </c>
      <c r="U363" s="17">
        <v>1.7303999999999999</v>
      </c>
      <c r="V363" s="17">
        <v>1.8540000000000001</v>
      </c>
      <c r="W363" s="17">
        <v>1.9624999999999999</v>
      </c>
      <c r="X363" s="17">
        <v>2.0520999999999998</v>
      </c>
      <c r="Y363" s="17">
        <v>2.1156000000000001</v>
      </c>
      <c r="Z363" s="17">
        <v>2.1435</v>
      </c>
      <c r="AA363" s="17">
        <v>2.1516000000000002</v>
      </c>
      <c r="AB363" s="17">
        <v>2.1364999999999998</v>
      </c>
      <c r="AC363" s="17">
        <v>2.0857000000000001</v>
      </c>
      <c r="AD363" s="17">
        <v>2.0083000000000002</v>
      </c>
      <c r="AE363" s="17">
        <v>1.9158999999999999</v>
      </c>
      <c r="AF363" s="17">
        <v>1.7988999999999999</v>
      </c>
      <c r="AG363" s="17">
        <v>1.6745000000000001</v>
      </c>
      <c r="AH363" s="17">
        <v>1.5246999999999999</v>
      </c>
      <c r="AI363" s="17">
        <v>1.3561000000000001</v>
      </c>
      <c r="AJ363" s="17">
        <v>1.1525000000000001</v>
      </c>
      <c r="AK363" s="17">
        <v>0.96199999999999997</v>
      </c>
      <c r="AL363" s="17">
        <v>0.76619999999999999</v>
      </c>
      <c r="AM363" s="17">
        <v>0.57679999999999998</v>
      </c>
      <c r="AN363" s="17">
        <v>0.39419999999999999</v>
      </c>
      <c r="AO363" s="17">
        <v>0.23019999999999999</v>
      </c>
      <c r="AP363" s="17">
        <v>6.7000000000000004E-2</v>
      </c>
      <c r="AQ363" s="17">
        <v>1.24E-2</v>
      </c>
      <c r="AR363" s="17">
        <v>0</v>
      </c>
      <c r="AS363" s="17">
        <v>0</v>
      </c>
      <c r="AT363" s="17">
        <v>0</v>
      </c>
      <c r="AU363" s="17">
        <v>0</v>
      </c>
      <c r="AV363" s="17">
        <v>0</v>
      </c>
      <c r="AW363" s="17">
        <v>0</v>
      </c>
      <c r="AX363" s="17">
        <v>0</v>
      </c>
    </row>
    <row r="364" spans="1:50" x14ac:dyDescent="0.25">
      <c r="A364" s="16" t="s">
        <v>831</v>
      </c>
      <c r="B364" s="13" t="s">
        <v>464</v>
      </c>
      <c r="C364" s="17">
        <v>0</v>
      </c>
      <c r="D364" s="17">
        <v>0</v>
      </c>
      <c r="E364" s="17">
        <v>0</v>
      </c>
      <c r="F364" s="17">
        <v>0</v>
      </c>
      <c r="G364" s="17">
        <v>0</v>
      </c>
      <c r="H364" s="17">
        <v>0</v>
      </c>
      <c r="I364" s="17">
        <v>0</v>
      </c>
      <c r="J364" s="17">
        <v>3.3999999999999998E-3</v>
      </c>
      <c r="K364" s="17">
        <v>4.9700000000000001E-2</v>
      </c>
      <c r="L364" s="17">
        <v>0.2326</v>
      </c>
      <c r="M364" s="17">
        <v>0.46129999999999999</v>
      </c>
      <c r="N364" s="17">
        <v>0.7419</v>
      </c>
      <c r="O364" s="17">
        <v>1.0479000000000001</v>
      </c>
      <c r="P364" s="17">
        <v>1.3576999999999999</v>
      </c>
      <c r="Q364" s="17">
        <v>1.6659999999999999</v>
      </c>
      <c r="R364" s="17">
        <v>1.9745999999999999</v>
      </c>
      <c r="S364" s="17">
        <v>2.2643</v>
      </c>
      <c r="T364" s="17">
        <v>2.5367000000000002</v>
      </c>
      <c r="U364" s="17">
        <v>2.7686000000000002</v>
      </c>
      <c r="V364" s="17">
        <v>2.9664000000000001</v>
      </c>
      <c r="W364" s="17">
        <v>3.14</v>
      </c>
      <c r="X364" s="17">
        <v>3.2833000000000001</v>
      </c>
      <c r="Y364" s="17">
        <v>3.3849999999999998</v>
      </c>
      <c r="Z364" s="17">
        <v>3.4296000000000002</v>
      </c>
      <c r="AA364" s="17">
        <v>3.4424999999999999</v>
      </c>
      <c r="AB364" s="17">
        <v>3.4182999999999999</v>
      </c>
      <c r="AC364" s="17">
        <v>3.3372000000000002</v>
      </c>
      <c r="AD364" s="17">
        <v>3.2132999999999998</v>
      </c>
      <c r="AE364" s="17">
        <v>3.0655000000000001</v>
      </c>
      <c r="AF364" s="17">
        <v>2.8782000000000001</v>
      </c>
      <c r="AG364" s="17">
        <v>2.6791</v>
      </c>
      <c r="AH364" s="17">
        <v>2.4396</v>
      </c>
      <c r="AI364" s="17">
        <v>2.1698</v>
      </c>
      <c r="AJ364" s="17">
        <v>1.8441000000000001</v>
      </c>
      <c r="AK364" s="17">
        <v>1.5391999999999999</v>
      </c>
      <c r="AL364" s="17">
        <v>1.2259</v>
      </c>
      <c r="AM364" s="17">
        <v>0.92290000000000005</v>
      </c>
      <c r="AN364" s="17">
        <v>0.63080000000000003</v>
      </c>
      <c r="AO364" s="17">
        <v>0.36830000000000002</v>
      </c>
      <c r="AP364" s="17">
        <v>0.1072</v>
      </c>
      <c r="AQ364" s="17">
        <v>1.9800000000000002E-2</v>
      </c>
      <c r="AR364" s="17">
        <v>0</v>
      </c>
      <c r="AS364" s="17">
        <v>0</v>
      </c>
      <c r="AT364" s="17">
        <v>0</v>
      </c>
      <c r="AU364" s="17">
        <v>0</v>
      </c>
      <c r="AV364" s="17">
        <v>0</v>
      </c>
      <c r="AW364" s="17">
        <v>0</v>
      </c>
      <c r="AX364" s="17">
        <v>0</v>
      </c>
    </row>
    <row r="365" spans="1:50" x14ac:dyDescent="0.25">
      <c r="A365" s="8" t="s">
        <v>406</v>
      </c>
      <c r="B365" s="10" t="s">
        <v>57</v>
      </c>
      <c r="C365" s="18">
        <v>0</v>
      </c>
      <c r="D365" s="18">
        <v>0</v>
      </c>
      <c r="E365" s="18">
        <v>0</v>
      </c>
      <c r="F365" s="18">
        <v>0</v>
      </c>
      <c r="G365" s="18">
        <v>0</v>
      </c>
      <c r="H365" s="18">
        <v>0</v>
      </c>
      <c r="I365" s="18">
        <v>0</v>
      </c>
      <c r="J365" s="18">
        <v>0</v>
      </c>
      <c r="K365" s="18">
        <v>0</v>
      </c>
      <c r="L365" s="18">
        <v>0</v>
      </c>
      <c r="M365" s="18">
        <v>0</v>
      </c>
      <c r="N365" s="18">
        <v>0</v>
      </c>
      <c r="O365" s="18">
        <v>0</v>
      </c>
      <c r="P365" s="18">
        <v>0</v>
      </c>
      <c r="Q365" s="18">
        <v>0</v>
      </c>
      <c r="R365" s="18">
        <v>0</v>
      </c>
      <c r="S365" s="18">
        <v>0</v>
      </c>
      <c r="T365" s="18">
        <v>0</v>
      </c>
      <c r="U365" s="18">
        <v>0</v>
      </c>
      <c r="V365" s="18">
        <v>0</v>
      </c>
      <c r="W365" s="18">
        <v>0</v>
      </c>
      <c r="X365" s="18">
        <v>0</v>
      </c>
      <c r="Y365" s="18">
        <v>0</v>
      </c>
      <c r="Z365" s="18">
        <v>0</v>
      </c>
      <c r="AA365" s="18">
        <v>0</v>
      </c>
      <c r="AB365" s="18">
        <v>0</v>
      </c>
      <c r="AC365" s="18">
        <v>0</v>
      </c>
      <c r="AD365" s="18">
        <v>0</v>
      </c>
      <c r="AE365" s="18">
        <v>0</v>
      </c>
      <c r="AF365" s="18">
        <v>0</v>
      </c>
      <c r="AG365" s="18">
        <v>0</v>
      </c>
      <c r="AH365" s="18">
        <v>0</v>
      </c>
      <c r="AI365" s="18">
        <v>0</v>
      </c>
      <c r="AJ365" s="18">
        <v>0</v>
      </c>
      <c r="AK365" s="18">
        <v>0</v>
      </c>
      <c r="AL365" s="18">
        <v>0</v>
      </c>
      <c r="AM365" s="18">
        <v>0</v>
      </c>
      <c r="AN365" s="18">
        <v>0</v>
      </c>
      <c r="AO365" s="18">
        <v>0</v>
      </c>
      <c r="AP365" s="18">
        <v>0</v>
      </c>
      <c r="AQ365" s="18">
        <v>0</v>
      </c>
      <c r="AR365" s="18">
        <v>0</v>
      </c>
      <c r="AS365" s="18">
        <v>0</v>
      </c>
      <c r="AT365" s="18">
        <v>0</v>
      </c>
      <c r="AU365" s="18">
        <v>0</v>
      </c>
      <c r="AV365" s="18">
        <v>0</v>
      </c>
      <c r="AW365" s="18">
        <v>0</v>
      </c>
      <c r="AX365" s="18">
        <v>0</v>
      </c>
    </row>
    <row r="366" spans="1:50" x14ac:dyDescent="0.25">
      <c r="A366" s="16" t="s">
        <v>833</v>
      </c>
      <c r="B366" s="13" t="s">
        <v>464</v>
      </c>
      <c r="C366" s="17">
        <v>0</v>
      </c>
      <c r="D366" s="17">
        <v>0</v>
      </c>
      <c r="E366" s="17">
        <v>0</v>
      </c>
      <c r="F366" s="17">
        <v>0</v>
      </c>
      <c r="G366" s="17">
        <v>0</v>
      </c>
      <c r="H366" s="17">
        <v>0</v>
      </c>
      <c r="I366" s="17">
        <v>0</v>
      </c>
      <c r="J366" s="17">
        <v>1.2999999999999999E-3</v>
      </c>
      <c r="K366" s="17">
        <v>1.8700000000000001E-2</v>
      </c>
      <c r="L366" s="17">
        <v>8.72E-2</v>
      </c>
      <c r="M366" s="17">
        <v>0.17299999999999999</v>
      </c>
      <c r="N366" s="17">
        <v>0.2782</v>
      </c>
      <c r="O366" s="17">
        <v>0.39300000000000002</v>
      </c>
      <c r="P366" s="17">
        <v>0.50919999999999999</v>
      </c>
      <c r="Q366" s="17">
        <v>0.62470000000000003</v>
      </c>
      <c r="R366" s="17">
        <v>0.74050000000000005</v>
      </c>
      <c r="S366" s="17">
        <v>0.84909999999999997</v>
      </c>
      <c r="T366" s="17">
        <v>0.95120000000000005</v>
      </c>
      <c r="U366" s="17">
        <v>1.0382</v>
      </c>
      <c r="V366" s="17">
        <v>1.1124000000000001</v>
      </c>
      <c r="W366" s="17">
        <v>1.1775</v>
      </c>
      <c r="X366" s="17">
        <v>1.2312000000000001</v>
      </c>
      <c r="Y366" s="17">
        <v>1.2694000000000001</v>
      </c>
      <c r="Z366" s="17">
        <v>1.2861</v>
      </c>
      <c r="AA366" s="17">
        <v>1.2908999999999999</v>
      </c>
      <c r="AB366" s="17">
        <v>1.2819</v>
      </c>
      <c r="AC366" s="17">
        <v>1.2514000000000001</v>
      </c>
      <c r="AD366" s="17">
        <v>1.2050000000000001</v>
      </c>
      <c r="AE366" s="17">
        <v>1.1496</v>
      </c>
      <c r="AF366" s="17">
        <v>1.0792999999999999</v>
      </c>
      <c r="AG366" s="17">
        <v>1.0046999999999999</v>
      </c>
      <c r="AH366" s="17">
        <v>0.91479999999999995</v>
      </c>
      <c r="AI366" s="17">
        <v>0.81369999999999998</v>
      </c>
      <c r="AJ366" s="17">
        <v>0.6915</v>
      </c>
      <c r="AK366" s="17">
        <v>0.57720000000000005</v>
      </c>
      <c r="AL366" s="17">
        <v>0.4597</v>
      </c>
      <c r="AM366" s="17">
        <v>0.34610000000000002</v>
      </c>
      <c r="AN366" s="17">
        <v>0.23649999999999999</v>
      </c>
      <c r="AO366" s="17">
        <v>0.1381</v>
      </c>
      <c r="AP366" s="17">
        <v>4.02E-2</v>
      </c>
      <c r="AQ366" s="17">
        <v>7.4000000000000003E-3</v>
      </c>
      <c r="AR366" s="17">
        <v>0</v>
      </c>
      <c r="AS366" s="17">
        <v>0</v>
      </c>
      <c r="AT366" s="17">
        <v>0</v>
      </c>
      <c r="AU366" s="17">
        <v>0</v>
      </c>
      <c r="AV366" s="17">
        <v>0</v>
      </c>
      <c r="AW366" s="17">
        <v>0</v>
      </c>
      <c r="AX366" s="17">
        <v>0</v>
      </c>
    </row>
    <row r="367" spans="1:50" x14ac:dyDescent="0.25">
      <c r="A367" s="16" t="s">
        <v>835</v>
      </c>
      <c r="B367" s="13" t="s">
        <v>464</v>
      </c>
      <c r="C367" s="17">
        <v>0</v>
      </c>
      <c r="D367" s="17">
        <v>0</v>
      </c>
      <c r="E367" s="17">
        <v>0</v>
      </c>
      <c r="F367" s="17">
        <v>0</v>
      </c>
      <c r="G367" s="17">
        <v>0</v>
      </c>
      <c r="H367" s="17">
        <v>0</v>
      </c>
      <c r="I367" s="17">
        <v>0</v>
      </c>
      <c r="J367" s="17">
        <v>1.6999999999999999E-3</v>
      </c>
      <c r="K367" s="17">
        <v>2.4899999999999999E-2</v>
      </c>
      <c r="L367" s="17">
        <v>0.1163</v>
      </c>
      <c r="M367" s="17">
        <v>0.23069999999999999</v>
      </c>
      <c r="N367" s="17">
        <v>0.37090000000000001</v>
      </c>
      <c r="O367" s="17">
        <v>0.52400000000000002</v>
      </c>
      <c r="P367" s="17">
        <v>0.67889999999999995</v>
      </c>
      <c r="Q367" s="17">
        <v>0.83299999999999996</v>
      </c>
      <c r="R367" s="17">
        <v>0.98729999999999996</v>
      </c>
      <c r="S367" s="17">
        <v>1.1322000000000001</v>
      </c>
      <c r="T367" s="17">
        <v>1.2683</v>
      </c>
      <c r="U367" s="17">
        <v>1.3843000000000001</v>
      </c>
      <c r="V367" s="17">
        <v>1.4832000000000001</v>
      </c>
      <c r="W367" s="17">
        <v>1.57</v>
      </c>
      <c r="X367" s="17">
        <v>1.6416999999999999</v>
      </c>
      <c r="Y367" s="17">
        <v>1.6924999999999999</v>
      </c>
      <c r="Z367" s="17">
        <v>1.7148000000000001</v>
      </c>
      <c r="AA367" s="17">
        <v>1.7212000000000001</v>
      </c>
      <c r="AB367" s="17">
        <v>1.7092000000000001</v>
      </c>
      <c r="AC367" s="17">
        <v>1.6686000000000001</v>
      </c>
      <c r="AD367" s="17">
        <v>1.6067</v>
      </c>
      <c r="AE367" s="17">
        <v>1.5327999999999999</v>
      </c>
      <c r="AF367" s="17">
        <v>1.4391</v>
      </c>
      <c r="AG367" s="17">
        <v>1.3395999999999999</v>
      </c>
      <c r="AH367" s="17">
        <v>1.2198</v>
      </c>
      <c r="AI367" s="17">
        <v>1.0849</v>
      </c>
      <c r="AJ367" s="17">
        <v>0.92200000000000004</v>
      </c>
      <c r="AK367" s="17">
        <v>0.76959999999999995</v>
      </c>
      <c r="AL367" s="17">
        <v>0.61299999999999999</v>
      </c>
      <c r="AM367" s="17">
        <v>0.46150000000000002</v>
      </c>
      <c r="AN367" s="17">
        <v>0.31540000000000001</v>
      </c>
      <c r="AO367" s="17">
        <v>0.1842</v>
      </c>
      <c r="AP367" s="17">
        <v>5.3600000000000002E-2</v>
      </c>
      <c r="AQ367" s="17">
        <v>9.9000000000000008E-3</v>
      </c>
      <c r="AR367" s="17">
        <v>0</v>
      </c>
      <c r="AS367" s="17">
        <v>0</v>
      </c>
      <c r="AT367" s="17">
        <v>0</v>
      </c>
      <c r="AU367" s="17">
        <v>0</v>
      </c>
      <c r="AV367" s="17">
        <v>0</v>
      </c>
      <c r="AW367" s="17">
        <v>0</v>
      </c>
      <c r="AX367" s="17">
        <v>0</v>
      </c>
    </row>
    <row r="368" spans="1:50" x14ac:dyDescent="0.25">
      <c r="A368" s="8" t="s">
        <v>408</v>
      </c>
      <c r="B368" s="10" t="s">
        <v>57</v>
      </c>
      <c r="C368" s="18">
        <v>0</v>
      </c>
      <c r="D368" s="18">
        <v>0</v>
      </c>
      <c r="E368" s="18">
        <v>0</v>
      </c>
      <c r="F368" s="18">
        <v>0</v>
      </c>
      <c r="G368" s="18">
        <v>0</v>
      </c>
      <c r="H368" s="18">
        <v>0</v>
      </c>
      <c r="I368" s="18">
        <v>0</v>
      </c>
      <c r="J368" s="18">
        <v>0</v>
      </c>
      <c r="K368" s="18">
        <v>0</v>
      </c>
      <c r="L368" s="18">
        <v>0</v>
      </c>
      <c r="M368" s="18">
        <v>0</v>
      </c>
      <c r="N368" s="18">
        <v>0</v>
      </c>
      <c r="O368" s="18">
        <v>0</v>
      </c>
      <c r="P368" s="18">
        <v>0</v>
      </c>
      <c r="Q368" s="18">
        <v>0</v>
      </c>
      <c r="R368" s="18">
        <v>0</v>
      </c>
      <c r="S368" s="18">
        <v>0</v>
      </c>
      <c r="T368" s="18">
        <v>0</v>
      </c>
      <c r="U368" s="18">
        <v>0</v>
      </c>
      <c r="V368" s="18">
        <v>0</v>
      </c>
      <c r="W368" s="18">
        <v>0</v>
      </c>
      <c r="X368" s="18">
        <v>0</v>
      </c>
      <c r="Y368" s="18">
        <v>0</v>
      </c>
      <c r="Z368" s="18">
        <v>0</v>
      </c>
      <c r="AA368" s="18">
        <v>0</v>
      </c>
      <c r="AB368" s="18">
        <v>0</v>
      </c>
      <c r="AC368" s="18">
        <v>0</v>
      </c>
      <c r="AD368" s="18">
        <v>0</v>
      </c>
      <c r="AE368" s="18">
        <v>0</v>
      </c>
      <c r="AF368" s="18">
        <v>0</v>
      </c>
      <c r="AG368" s="18">
        <v>0</v>
      </c>
      <c r="AH368" s="18">
        <v>0</v>
      </c>
      <c r="AI368" s="18">
        <v>0</v>
      </c>
      <c r="AJ368" s="18">
        <v>0</v>
      </c>
      <c r="AK368" s="18">
        <v>0</v>
      </c>
      <c r="AL368" s="18">
        <v>0</v>
      </c>
      <c r="AM368" s="18">
        <v>0</v>
      </c>
      <c r="AN368" s="18">
        <v>0</v>
      </c>
      <c r="AO368" s="18">
        <v>0</v>
      </c>
      <c r="AP368" s="18">
        <v>0</v>
      </c>
      <c r="AQ368" s="18">
        <v>0</v>
      </c>
      <c r="AR368" s="18">
        <v>0</v>
      </c>
      <c r="AS368" s="18">
        <v>0</v>
      </c>
      <c r="AT368" s="18">
        <v>0</v>
      </c>
      <c r="AU368" s="18">
        <v>0</v>
      </c>
      <c r="AV368" s="18">
        <v>0</v>
      </c>
      <c r="AW368" s="18">
        <v>0</v>
      </c>
      <c r="AX368" s="18">
        <v>0</v>
      </c>
    </row>
    <row r="369" spans="1:50" x14ac:dyDescent="0.25">
      <c r="A369" s="8" t="s">
        <v>410</v>
      </c>
      <c r="B369" s="10" t="s">
        <v>57</v>
      </c>
      <c r="C369" s="18">
        <v>0</v>
      </c>
      <c r="D369" s="18">
        <v>0</v>
      </c>
      <c r="E369" s="18">
        <v>0</v>
      </c>
      <c r="F369" s="18">
        <v>0</v>
      </c>
      <c r="G369" s="18">
        <v>0</v>
      </c>
      <c r="H369" s="18">
        <v>0</v>
      </c>
      <c r="I369" s="18">
        <v>0</v>
      </c>
      <c r="J369" s="18">
        <v>0</v>
      </c>
      <c r="K369" s="18">
        <v>0</v>
      </c>
      <c r="L369" s="18">
        <v>0</v>
      </c>
      <c r="M369" s="18">
        <v>0</v>
      </c>
      <c r="N369" s="18">
        <v>0</v>
      </c>
      <c r="O369" s="18">
        <v>0</v>
      </c>
      <c r="P369" s="18">
        <v>0</v>
      </c>
      <c r="Q369" s="18">
        <v>0</v>
      </c>
      <c r="R369" s="18">
        <v>0</v>
      </c>
      <c r="S369" s="18">
        <v>0</v>
      </c>
      <c r="T369" s="18">
        <v>0</v>
      </c>
      <c r="U369" s="18">
        <v>0</v>
      </c>
      <c r="V369" s="18">
        <v>0</v>
      </c>
      <c r="W369" s="18">
        <v>0</v>
      </c>
      <c r="X369" s="18">
        <v>0</v>
      </c>
      <c r="Y369" s="18">
        <v>0</v>
      </c>
      <c r="Z369" s="18">
        <v>0</v>
      </c>
      <c r="AA369" s="18">
        <v>0</v>
      </c>
      <c r="AB369" s="18">
        <v>0</v>
      </c>
      <c r="AC369" s="18">
        <v>0</v>
      </c>
      <c r="AD369" s="18">
        <v>0</v>
      </c>
      <c r="AE369" s="18">
        <v>0</v>
      </c>
      <c r="AF369" s="18">
        <v>0</v>
      </c>
      <c r="AG369" s="18">
        <v>0</v>
      </c>
      <c r="AH369" s="18">
        <v>0</v>
      </c>
      <c r="AI369" s="18">
        <v>0</v>
      </c>
      <c r="AJ369" s="18">
        <v>0</v>
      </c>
      <c r="AK369" s="18">
        <v>0</v>
      </c>
      <c r="AL369" s="18">
        <v>0</v>
      </c>
      <c r="AM369" s="18">
        <v>0</v>
      </c>
      <c r="AN369" s="18">
        <v>0</v>
      </c>
      <c r="AO369" s="18">
        <v>0</v>
      </c>
      <c r="AP369" s="18">
        <v>0</v>
      </c>
      <c r="AQ369" s="18">
        <v>0</v>
      </c>
      <c r="AR369" s="18">
        <v>0</v>
      </c>
      <c r="AS369" s="18">
        <v>0</v>
      </c>
      <c r="AT369" s="18">
        <v>0</v>
      </c>
      <c r="AU369" s="18">
        <v>0</v>
      </c>
      <c r="AV369" s="18">
        <v>0</v>
      </c>
      <c r="AW369" s="18">
        <v>0</v>
      </c>
      <c r="AX369" s="18">
        <v>0</v>
      </c>
    </row>
    <row r="370" spans="1:50" x14ac:dyDescent="0.25">
      <c r="A370" s="16" t="s">
        <v>837</v>
      </c>
      <c r="B370" s="13" t="s">
        <v>464</v>
      </c>
      <c r="C370" s="17">
        <v>0</v>
      </c>
      <c r="D370" s="17">
        <v>0</v>
      </c>
      <c r="E370" s="17">
        <v>0</v>
      </c>
      <c r="F370" s="17">
        <v>0</v>
      </c>
      <c r="G370" s="17">
        <v>0</v>
      </c>
      <c r="H370" s="17">
        <v>0</v>
      </c>
      <c r="I370" s="17">
        <v>0</v>
      </c>
      <c r="J370" s="17">
        <v>2.2000000000000001E-3</v>
      </c>
      <c r="K370" s="17">
        <v>3.1099999999999999E-2</v>
      </c>
      <c r="L370" s="17">
        <v>0.1454</v>
      </c>
      <c r="M370" s="17">
        <v>0.2883</v>
      </c>
      <c r="N370" s="17">
        <v>0.4637</v>
      </c>
      <c r="O370" s="17">
        <v>0.65490000000000004</v>
      </c>
      <c r="P370" s="17">
        <v>0.84860000000000002</v>
      </c>
      <c r="Q370" s="17">
        <v>1.0411999999999999</v>
      </c>
      <c r="R370" s="17">
        <v>1.2341</v>
      </c>
      <c r="S370" s="17">
        <v>1.4152</v>
      </c>
      <c r="T370" s="17">
        <v>1.5853999999999999</v>
      </c>
      <c r="U370" s="17">
        <v>1.7303999999999999</v>
      </c>
      <c r="V370" s="17">
        <v>1.8540000000000001</v>
      </c>
      <c r="W370" s="17">
        <v>1.9624999999999999</v>
      </c>
      <c r="X370" s="17">
        <v>2.0520999999999998</v>
      </c>
      <c r="Y370" s="17">
        <v>2.1156000000000001</v>
      </c>
      <c r="Z370" s="17">
        <v>2.1435</v>
      </c>
      <c r="AA370" s="17">
        <v>2.1516000000000002</v>
      </c>
      <c r="AB370" s="17">
        <v>2.1364999999999998</v>
      </c>
      <c r="AC370" s="17">
        <v>2.0857000000000001</v>
      </c>
      <c r="AD370" s="17">
        <v>2.0083000000000002</v>
      </c>
      <c r="AE370" s="17">
        <v>1.9158999999999999</v>
      </c>
      <c r="AF370" s="17">
        <v>1.7988999999999999</v>
      </c>
      <c r="AG370" s="17">
        <v>1.6745000000000001</v>
      </c>
      <c r="AH370" s="17">
        <v>1.5246999999999999</v>
      </c>
      <c r="AI370" s="17">
        <v>1.3561000000000001</v>
      </c>
      <c r="AJ370" s="17">
        <v>1.1525000000000001</v>
      </c>
      <c r="AK370" s="17">
        <v>0.96199999999999997</v>
      </c>
      <c r="AL370" s="17">
        <v>0.76619999999999999</v>
      </c>
      <c r="AM370" s="17">
        <v>0.57679999999999998</v>
      </c>
      <c r="AN370" s="17">
        <v>0.39419999999999999</v>
      </c>
      <c r="AO370" s="17">
        <v>0.23019999999999999</v>
      </c>
      <c r="AP370" s="17">
        <v>6.7000000000000004E-2</v>
      </c>
      <c r="AQ370" s="17">
        <v>1.24E-2</v>
      </c>
      <c r="AR370" s="17">
        <v>0</v>
      </c>
      <c r="AS370" s="17">
        <v>0</v>
      </c>
      <c r="AT370" s="17">
        <v>0</v>
      </c>
      <c r="AU370" s="17">
        <v>0</v>
      </c>
      <c r="AV370" s="17">
        <v>0</v>
      </c>
      <c r="AW370" s="17">
        <v>0</v>
      </c>
      <c r="AX370" s="17">
        <v>0</v>
      </c>
    </row>
    <row r="371" spans="1:50" x14ac:dyDescent="0.25">
      <c r="A371" s="16" t="s">
        <v>839</v>
      </c>
      <c r="B371" s="13" t="s">
        <v>464</v>
      </c>
      <c r="C371" s="17">
        <v>0</v>
      </c>
      <c r="D371" s="17">
        <v>0</v>
      </c>
      <c r="E371" s="17">
        <v>0</v>
      </c>
      <c r="F371" s="17">
        <v>0</v>
      </c>
      <c r="G371" s="17">
        <v>0</v>
      </c>
      <c r="H371" s="17">
        <v>0</v>
      </c>
      <c r="I371" s="17">
        <v>0</v>
      </c>
      <c r="J371" s="17">
        <v>3.3999999999999998E-3</v>
      </c>
      <c r="K371" s="17">
        <v>4.9700000000000001E-2</v>
      </c>
      <c r="L371" s="17">
        <v>0.2326</v>
      </c>
      <c r="M371" s="17">
        <v>0.46129999999999999</v>
      </c>
      <c r="N371" s="17">
        <v>0.7419</v>
      </c>
      <c r="O371" s="17">
        <v>1.0479000000000001</v>
      </c>
      <c r="P371" s="17">
        <v>1.3576999999999999</v>
      </c>
      <c r="Q371" s="17">
        <v>1.6659999999999999</v>
      </c>
      <c r="R371" s="17">
        <v>1.9745999999999999</v>
      </c>
      <c r="S371" s="17">
        <v>2.2643</v>
      </c>
      <c r="T371" s="17">
        <v>2.5367000000000002</v>
      </c>
      <c r="U371" s="17">
        <v>2.7686000000000002</v>
      </c>
      <c r="V371" s="17">
        <v>2.9664000000000001</v>
      </c>
      <c r="W371" s="17">
        <v>3.14</v>
      </c>
      <c r="X371" s="17">
        <v>3.2833000000000001</v>
      </c>
      <c r="Y371" s="17">
        <v>3.3849999999999998</v>
      </c>
      <c r="Z371" s="17">
        <v>3.4296000000000002</v>
      </c>
      <c r="AA371" s="17">
        <v>3.4424999999999999</v>
      </c>
      <c r="AB371" s="17">
        <v>3.4182999999999999</v>
      </c>
      <c r="AC371" s="17">
        <v>3.3372000000000002</v>
      </c>
      <c r="AD371" s="17">
        <v>3.2132999999999998</v>
      </c>
      <c r="AE371" s="17">
        <v>3.0655000000000001</v>
      </c>
      <c r="AF371" s="17">
        <v>2.8782000000000001</v>
      </c>
      <c r="AG371" s="17">
        <v>2.6791</v>
      </c>
      <c r="AH371" s="17">
        <v>2.4396</v>
      </c>
      <c r="AI371" s="17">
        <v>2.1698</v>
      </c>
      <c r="AJ371" s="17">
        <v>1.8441000000000001</v>
      </c>
      <c r="AK371" s="17">
        <v>1.5391999999999999</v>
      </c>
      <c r="AL371" s="17">
        <v>1.2259</v>
      </c>
      <c r="AM371" s="17">
        <v>0.92290000000000005</v>
      </c>
      <c r="AN371" s="17">
        <v>0.63080000000000003</v>
      </c>
      <c r="AO371" s="17">
        <v>0.36830000000000002</v>
      </c>
      <c r="AP371" s="17">
        <v>0.1072</v>
      </c>
      <c r="AQ371" s="17">
        <v>1.9800000000000002E-2</v>
      </c>
      <c r="AR371" s="17">
        <v>0</v>
      </c>
      <c r="AS371" s="17">
        <v>0</v>
      </c>
      <c r="AT371" s="17">
        <v>0</v>
      </c>
      <c r="AU371" s="17">
        <v>0</v>
      </c>
      <c r="AV371" s="17">
        <v>0</v>
      </c>
      <c r="AW371" s="17">
        <v>0</v>
      </c>
      <c r="AX371" s="17">
        <v>0</v>
      </c>
    </row>
    <row r="372" spans="1:50" x14ac:dyDescent="0.25">
      <c r="A372" s="8" t="s">
        <v>412</v>
      </c>
      <c r="B372" s="10" t="s">
        <v>57</v>
      </c>
      <c r="C372" s="18">
        <v>0</v>
      </c>
      <c r="D372" s="18">
        <v>0</v>
      </c>
      <c r="E372" s="18">
        <v>0</v>
      </c>
      <c r="F372" s="18">
        <v>0</v>
      </c>
      <c r="G372" s="18">
        <v>0</v>
      </c>
      <c r="H372" s="18">
        <v>0</v>
      </c>
      <c r="I372" s="18">
        <v>0</v>
      </c>
      <c r="J372" s="18">
        <v>0</v>
      </c>
      <c r="K372" s="18">
        <v>0</v>
      </c>
      <c r="L372" s="18">
        <v>0</v>
      </c>
      <c r="M372" s="18">
        <v>0</v>
      </c>
      <c r="N372" s="18">
        <v>0</v>
      </c>
      <c r="O372" s="18">
        <v>0</v>
      </c>
      <c r="P372" s="18">
        <v>0</v>
      </c>
      <c r="Q372" s="18">
        <v>0</v>
      </c>
      <c r="R372" s="18">
        <v>0</v>
      </c>
      <c r="S372" s="18">
        <v>0</v>
      </c>
      <c r="T372" s="18">
        <v>0</v>
      </c>
      <c r="U372" s="18">
        <v>0</v>
      </c>
      <c r="V372" s="18">
        <v>0</v>
      </c>
      <c r="W372" s="18">
        <v>0</v>
      </c>
      <c r="X372" s="18">
        <v>0</v>
      </c>
      <c r="Y372" s="18">
        <v>0</v>
      </c>
      <c r="Z372" s="18">
        <v>0</v>
      </c>
      <c r="AA372" s="18">
        <v>0</v>
      </c>
      <c r="AB372" s="18">
        <v>0</v>
      </c>
      <c r="AC372" s="18">
        <v>0</v>
      </c>
      <c r="AD372" s="18">
        <v>0</v>
      </c>
      <c r="AE372" s="18">
        <v>0</v>
      </c>
      <c r="AF372" s="18">
        <v>0</v>
      </c>
      <c r="AG372" s="18">
        <v>0</v>
      </c>
      <c r="AH372" s="18">
        <v>0</v>
      </c>
      <c r="AI372" s="18">
        <v>0</v>
      </c>
      <c r="AJ372" s="18">
        <v>0</v>
      </c>
      <c r="AK372" s="18">
        <v>0</v>
      </c>
      <c r="AL372" s="18">
        <v>0</v>
      </c>
      <c r="AM372" s="18">
        <v>0</v>
      </c>
      <c r="AN372" s="18">
        <v>0</v>
      </c>
      <c r="AO372" s="18">
        <v>0</v>
      </c>
      <c r="AP372" s="18">
        <v>0</v>
      </c>
      <c r="AQ372" s="18">
        <v>0</v>
      </c>
      <c r="AR372" s="18">
        <v>0</v>
      </c>
      <c r="AS372" s="18">
        <v>0</v>
      </c>
      <c r="AT372" s="18">
        <v>0</v>
      </c>
      <c r="AU372" s="18">
        <v>0</v>
      </c>
      <c r="AV372" s="18">
        <v>0</v>
      </c>
      <c r="AW372" s="18">
        <v>0</v>
      </c>
      <c r="AX372" s="18">
        <v>0</v>
      </c>
    </row>
    <row r="373" spans="1:50" x14ac:dyDescent="0.25">
      <c r="A373" s="16" t="s">
        <v>841</v>
      </c>
      <c r="B373" s="13" t="s">
        <v>464</v>
      </c>
      <c r="C373" s="17">
        <v>0</v>
      </c>
      <c r="D373" s="17">
        <v>0</v>
      </c>
      <c r="E373" s="17">
        <v>0</v>
      </c>
      <c r="F373" s="17">
        <v>0</v>
      </c>
      <c r="G373" s="17">
        <v>0</v>
      </c>
      <c r="H373" s="17">
        <v>0</v>
      </c>
      <c r="I373" s="17">
        <v>0</v>
      </c>
      <c r="J373" s="17">
        <v>1.6999999999999999E-3</v>
      </c>
      <c r="K373" s="17">
        <v>2.4899999999999999E-2</v>
      </c>
      <c r="L373" s="17">
        <v>0.1163</v>
      </c>
      <c r="M373" s="17">
        <v>0.23069999999999999</v>
      </c>
      <c r="N373" s="17">
        <v>0.37090000000000001</v>
      </c>
      <c r="O373" s="17">
        <v>0.52400000000000002</v>
      </c>
      <c r="P373" s="17">
        <v>0.67889999999999995</v>
      </c>
      <c r="Q373" s="17">
        <v>0.83299999999999996</v>
      </c>
      <c r="R373" s="17">
        <v>0.98729999999999996</v>
      </c>
      <c r="S373" s="17">
        <v>1.1322000000000001</v>
      </c>
      <c r="T373" s="17">
        <v>1.2683</v>
      </c>
      <c r="U373" s="17">
        <v>1.3843000000000001</v>
      </c>
      <c r="V373" s="17">
        <v>1.4832000000000001</v>
      </c>
      <c r="W373" s="17">
        <v>1.57</v>
      </c>
      <c r="X373" s="17">
        <v>1.6416999999999999</v>
      </c>
      <c r="Y373" s="17">
        <v>1.6924999999999999</v>
      </c>
      <c r="Z373" s="17">
        <v>1.7148000000000001</v>
      </c>
      <c r="AA373" s="17">
        <v>1.7212000000000001</v>
      </c>
      <c r="AB373" s="17">
        <v>1.7092000000000001</v>
      </c>
      <c r="AC373" s="17">
        <v>1.6686000000000001</v>
      </c>
      <c r="AD373" s="17">
        <v>1.6067</v>
      </c>
      <c r="AE373" s="17">
        <v>1.5327999999999999</v>
      </c>
      <c r="AF373" s="17">
        <v>1.4391</v>
      </c>
      <c r="AG373" s="17">
        <v>1.3395999999999999</v>
      </c>
      <c r="AH373" s="17">
        <v>1.2198</v>
      </c>
      <c r="AI373" s="17">
        <v>1.0849</v>
      </c>
      <c r="AJ373" s="17">
        <v>0.92200000000000004</v>
      </c>
      <c r="AK373" s="17">
        <v>0.76959999999999995</v>
      </c>
      <c r="AL373" s="17">
        <v>0.61299999999999999</v>
      </c>
      <c r="AM373" s="17">
        <v>0.46150000000000002</v>
      </c>
      <c r="AN373" s="17">
        <v>0.31540000000000001</v>
      </c>
      <c r="AO373" s="17">
        <v>0.1842</v>
      </c>
      <c r="AP373" s="17">
        <v>5.3600000000000002E-2</v>
      </c>
      <c r="AQ373" s="17">
        <v>9.9000000000000008E-3</v>
      </c>
      <c r="AR373" s="17">
        <v>0</v>
      </c>
      <c r="AS373" s="17">
        <v>0</v>
      </c>
      <c r="AT373" s="17">
        <v>0</v>
      </c>
      <c r="AU373" s="17">
        <v>0</v>
      </c>
      <c r="AV373" s="17">
        <v>0</v>
      </c>
      <c r="AW373" s="17">
        <v>0</v>
      </c>
      <c r="AX373" s="17">
        <v>0</v>
      </c>
    </row>
    <row r="374" spans="1:50" x14ac:dyDescent="0.25">
      <c r="A374" s="16" t="s">
        <v>843</v>
      </c>
      <c r="B374" s="13" t="s">
        <v>464</v>
      </c>
      <c r="C374" s="17">
        <v>0</v>
      </c>
      <c r="D374" s="17">
        <v>0</v>
      </c>
      <c r="E374" s="17">
        <v>0</v>
      </c>
      <c r="F374" s="17">
        <v>0</v>
      </c>
      <c r="G374" s="17">
        <v>0</v>
      </c>
      <c r="H374" s="17">
        <v>0</v>
      </c>
      <c r="I374" s="17">
        <v>0</v>
      </c>
      <c r="J374" s="17">
        <v>1.6999999999999999E-3</v>
      </c>
      <c r="K374" s="17">
        <v>2.4899999999999999E-2</v>
      </c>
      <c r="L374" s="17">
        <v>0.1163</v>
      </c>
      <c r="M374" s="17">
        <v>0.23069999999999999</v>
      </c>
      <c r="N374" s="17">
        <v>0.37090000000000001</v>
      </c>
      <c r="O374" s="17">
        <v>0.52400000000000002</v>
      </c>
      <c r="P374" s="17">
        <v>0.67889999999999995</v>
      </c>
      <c r="Q374" s="17">
        <v>0.83299999999999996</v>
      </c>
      <c r="R374" s="17">
        <v>0.98729999999999996</v>
      </c>
      <c r="S374" s="17">
        <v>1.1322000000000001</v>
      </c>
      <c r="T374" s="17">
        <v>1.2683</v>
      </c>
      <c r="U374" s="17">
        <v>1.3843000000000001</v>
      </c>
      <c r="V374" s="17">
        <v>1.4832000000000001</v>
      </c>
      <c r="W374" s="17">
        <v>1.57</v>
      </c>
      <c r="X374" s="17">
        <v>1.6416999999999999</v>
      </c>
      <c r="Y374" s="17">
        <v>1.6924999999999999</v>
      </c>
      <c r="Z374" s="17">
        <v>1.7148000000000001</v>
      </c>
      <c r="AA374" s="17">
        <v>1.7212000000000001</v>
      </c>
      <c r="AB374" s="17">
        <v>1.7092000000000001</v>
      </c>
      <c r="AC374" s="17">
        <v>1.6686000000000001</v>
      </c>
      <c r="AD374" s="17">
        <v>1.6067</v>
      </c>
      <c r="AE374" s="17">
        <v>1.5327999999999999</v>
      </c>
      <c r="AF374" s="17">
        <v>1.4391</v>
      </c>
      <c r="AG374" s="17">
        <v>1.3395999999999999</v>
      </c>
      <c r="AH374" s="17">
        <v>1.2198</v>
      </c>
      <c r="AI374" s="17">
        <v>1.0849</v>
      </c>
      <c r="AJ374" s="17">
        <v>0.92200000000000004</v>
      </c>
      <c r="AK374" s="17">
        <v>0.76959999999999995</v>
      </c>
      <c r="AL374" s="17">
        <v>0.61299999999999999</v>
      </c>
      <c r="AM374" s="17">
        <v>0.46150000000000002</v>
      </c>
      <c r="AN374" s="17">
        <v>0.31540000000000001</v>
      </c>
      <c r="AO374" s="17">
        <v>0.1842</v>
      </c>
      <c r="AP374" s="17">
        <v>5.3600000000000002E-2</v>
      </c>
      <c r="AQ374" s="17">
        <v>9.9000000000000008E-3</v>
      </c>
      <c r="AR374" s="17">
        <v>0</v>
      </c>
      <c r="AS374" s="17">
        <v>0</v>
      </c>
      <c r="AT374" s="17">
        <v>0</v>
      </c>
      <c r="AU374" s="17">
        <v>0</v>
      </c>
      <c r="AV374" s="17">
        <v>0</v>
      </c>
      <c r="AW374" s="17">
        <v>0</v>
      </c>
      <c r="AX374" s="17">
        <v>0</v>
      </c>
    </row>
    <row r="375" spans="1:50" x14ac:dyDescent="0.25">
      <c r="A375" s="8" t="s">
        <v>414</v>
      </c>
      <c r="B375" s="10" t="s">
        <v>57</v>
      </c>
      <c r="C375" s="18">
        <v>0</v>
      </c>
      <c r="D375" s="18">
        <v>0</v>
      </c>
      <c r="E375" s="18">
        <v>0</v>
      </c>
      <c r="F375" s="18">
        <v>0</v>
      </c>
      <c r="G375" s="18">
        <v>0</v>
      </c>
      <c r="H375" s="18">
        <v>0</v>
      </c>
      <c r="I375" s="18">
        <v>0</v>
      </c>
      <c r="J375" s="18">
        <v>0</v>
      </c>
      <c r="K375" s="18">
        <v>0</v>
      </c>
      <c r="L375" s="18">
        <v>0</v>
      </c>
      <c r="M375" s="18">
        <v>0</v>
      </c>
      <c r="N375" s="18">
        <v>0</v>
      </c>
      <c r="O375" s="18">
        <v>0</v>
      </c>
      <c r="P375" s="18">
        <v>0</v>
      </c>
      <c r="Q375" s="18">
        <v>0</v>
      </c>
      <c r="R375" s="18">
        <v>0</v>
      </c>
      <c r="S375" s="18">
        <v>0</v>
      </c>
      <c r="T375" s="18">
        <v>0</v>
      </c>
      <c r="U375" s="18">
        <v>0</v>
      </c>
      <c r="V375" s="18">
        <v>0</v>
      </c>
      <c r="W375" s="18">
        <v>0</v>
      </c>
      <c r="X375" s="18">
        <v>0</v>
      </c>
      <c r="Y375" s="18">
        <v>0</v>
      </c>
      <c r="Z375" s="18">
        <v>0</v>
      </c>
      <c r="AA375" s="18">
        <v>0</v>
      </c>
      <c r="AB375" s="18">
        <v>0</v>
      </c>
      <c r="AC375" s="18">
        <v>0</v>
      </c>
      <c r="AD375" s="18">
        <v>0</v>
      </c>
      <c r="AE375" s="18">
        <v>0</v>
      </c>
      <c r="AF375" s="18">
        <v>0</v>
      </c>
      <c r="AG375" s="18">
        <v>0</v>
      </c>
      <c r="AH375" s="18">
        <v>0</v>
      </c>
      <c r="AI375" s="18">
        <v>0</v>
      </c>
      <c r="AJ375" s="18">
        <v>0</v>
      </c>
      <c r="AK375" s="18">
        <v>0</v>
      </c>
      <c r="AL375" s="18">
        <v>0</v>
      </c>
      <c r="AM375" s="18">
        <v>0</v>
      </c>
      <c r="AN375" s="18">
        <v>0</v>
      </c>
      <c r="AO375" s="18">
        <v>0</v>
      </c>
      <c r="AP375" s="18">
        <v>0</v>
      </c>
      <c r="AQ375" s="18">
        <v>0</v>
      </c>
      <c r="AR375" s="18">
        <v>0</v>
      </c>
      <c r="AS375" s="18">
        <v>0</v>
      </c>
      <c r="AT375" s="18">
        <v>0</v>
      </c>
      <c r="AU375" s="18">
        <v>0</v>
      </c>
      <c r="AV375" s="18">
        <v>0</v>
      </c>
      <c r="AW375" s="18">
        <v>0</v>
      </c>
      <c r="AX375" s="18">
        <v>0</v>
      </c>
    </row>
    <row r="376" spans="1:50" x14ac:dyDescent="0.25">
      <c r="A376" s="8" t="s">
        <v>416</v>
      </c>
      <c r="B376" s="10" t="s">
        <v>57</v>
      </c>
      <c r="C376" s="18">
        <v>0</v>
      </c>
      <c r="D376" s="18">
        <v>0</v>
      </c>
      <c r="E376" s="18">
        <v>0</v>
      </c>
      <c r="F376" s="18">
        <v>0</v>
      </c>
      <c r="G376" s="18">
        <v>0</v>
      </c>
      <c r="H376" s="18">
        <v>0</v>
      </c>
      <c r="I376" s="18">
        <v>0</v>
      </c>
      <c r="J376" s="18">
        <v>0</v>
      </c>
      <c r="K376" s="18">
        <v>0</v>
      </c>
      <c r="L376" s="18">
        <v>0</v>
      </c>
      <c r="M376" s="18">
        <v>0</v>
      </c>
      <c r="N376" s="18">
        <v>0</v>
      </c>
      <c r="O376" s="18">
        <v>0</v>
      </c>
      <c r="P376" s="18">
        <v>0</v>
      </c>
      <c r="Q376" s="18">
        <v>0</v>
      </c>
      <c r="R376" s="18">
        <v>0</v>
      </c>
      <c r="S376" s="18">
        <v>0</v>
      </c>
      <c r="T376" s="18">
        <v>0</v>
      </c>
      <c r="U376" s="18">
        <v>0</v>
      </c>
      <c r="V376" s="18">
        <v>0</v>
      </c>
      <c r="W376" s="18">
        <v>0</v>
      </c>
      <c r="X376" s="18">
        <v>0</v>
      </c>
      <c r="Y376" s="18">
        <v>0</v>
      </c>
      <c r="Z376" s="18">
        <v>0</v>
      </c>
      <c r="AA376" s="18">
        <v>0</v>
      </c>
      <c r="AB376" s="18">
        <v>0</v>
      </c>
      <c r="AC376" s="18">
        <v>0</v>
      </c>
      <c r="AD376" s="18">
        <v>0</v>
      </c>
      <c r="AE376" s="18">
        <v>0</v>
      </c>
      <c r="AF376" s="18">
        <v>0</v>
      </c>
      <c r="AG376" s="18">
        <v>0</v>
      </c>
      <c r="AH376" s="18">
        <v>0</v>
      </c>
      <c r="AI376" s="18">
        <v>0</v>
      </c>
      <c r="AJ376" s="18">
        <v>0</v>
      </c>
      <c r="AK376" s="18">
        <v>0</v>
      </c>
      <c r="AL376" s="18">
        <v>0</v>
      </c>
      <c r="AM376" s="18">
        <v>0</v>
      </c>
      <c r="AN376" s="18">
        <v>0</v>
      </c>
      <c r="AO376" s="18">
        <v>0</v>
      </c>
      <c r="AP376" s="18">
        <v>0</v>
      </c>
      <c r="AQ376" s="18">
        <v>0</v>
      </c>
      <c r="AR376" s="18">
        <v>0</v>
      </c>
      <c r="AS376" s="18">
        <v>0</v>
      </c>
      <c r="AT376" s="18">
        <v>0</v>
      </c>
      <c r="AU376" s="18">
        <v>0</v>
      </c>
      <c r="AV376" s="18">
        <v>0</v>
      </c>
      <c r="AW376" s="18">
        <v>0</v>
      </c>
      <c r="AX376" s="18">
        <v>0</v>
      </c>
    </row>
    <row r="377" spans="1:50" x14ac:dyDescent="0.25">
      <c r="A377" s="16" t="s">
        <v>845</v>
      </c>
      <c r="B377" s="13" t="s">
        <v>464</v>
      </c>
      <c r="C377" s="17">
        <v>0</v>
      </c>
      <c r="D377" s="17">
        <v>0</v>
      </c>
      <c r="E377" s="17">
        <v>0</v>
      </c>
      <c r="F377" s="17">
        <v>0</v>
      </c>
      <c r="G377" s="17">
        <v>0</v>
      </c>
      <c r="H377" s="17">
        <v>0</v>
      </c>
      <c r="I377" s="17">
        <v>0</v>
      </c>
      <c r="J377" s="17">
        <v>1.6999999999999999E-3</v>
      </c>
      <c r="K377" s="17">
        <v>2.4899999999999999E-2</v>
      </c>
      <c r="L377" s="17">
        <v>0.1163</v>
      </c>
      <c r="M377" s="17">
        <v>0.23069999999999999</v>
      </c>
      <c r="N377" s="17">
        <v>0.37090000000000001</v>
      </c>
      <c r="O377" s="17">
        <v>0.52400000000000002</v>
      </c>
      <c r="P377" s="17">
        <v>0.67889999999999995</v>
      </c>
      <c r="Q377" s="17">
        <v>0.83299999999999996</v>
      </c>
      <c r="R377" s="17">
        <v>0.98729999999999996</v>
      </c>
      <c r="S377" s="17">
        <v>1.1322000000000001</v>
      </c>
      <c r="T377" s="17">
        <v>1.2683</v>
      </c>
      <c r="U377" s="17">
        <v>1.3843000000000001</v>
      </c>
      <c r="V377" s="17">
        <v>1.4832000000000001</v>
      </c>
      <c r="W377" s="17">
        <v>1.57</v>
      </c>
      <c r="X377" s="17">
        <v>1.6416999999999999</v>
      </c>
      <c r="Y377" s="17">
        <v>1.6924999999999999</v>
      </c>
      <c r="Z377" s="17">
        <v>1.7148000000000001</v>
      </c>
      <c r="AA377" s="17">
        <v>1.7212000000000001</v>
      </c>
      <c r="AB377" s="17">
        <v>1.7092000000000001</v>
      </c>
      <c r="AC377" s="17">
        <v>1.6686000000000001</v>
      </c>
      <c r="AD377" s="17">
        <v>1.6067</v>
      </c>
      <c r="AE377" s="17">
        <v>1.5327999999999999</v>
      </c>
      <c r="AF377" s="17">
        <v>1.4391</v>
      </c>
      <c r="AG377" s="17">
        <v>1.3395999999999999</v>
      </c>
      <c r="AH377" s="17">
        <v>1.2198</v>
      </c>
      <c r="AI377" s="17">
        <v>1.0849</v>
      </c>
      <c r="AJ377" s="17">
        <v>0.92200000000000004</v>
      </c>
      <c r="AK377" s="17">
        <v>0.76959999999999995</v>
      </c>
      <c r="AL377" s="17">
        <v>0.61299999999999999</v>
      </c>
      <c r="AM377" s="17">
        <v>0.46150000000000002</v>
      </c>
      <c r="AN377" s="17">
        <v>0.31540000000000001</v>
      </c>
      <c r="AO377" s="17">
        <v>0.1842</v>
      </c>
      <c r="AP377" s="17">
        <v>5.3600000000000002E-2</v>
      </c>
      <c r="AQ377" s="17">
        <v>9.9000000000000008E-3</v>
      </c>
      <c r="AR377" s="17">
        <v>0</v>
      </c>
      <c r="AS377" s="17">
        <v>0</v>
      </c>
      <c r="AT377" s="17">
        <v>0</v>
      </c>
      <c r="AU377" s="17">
        <v>0</v>
      </c>
      <c r="AV377" s="17">
        <v>0</v>
      </c>
      <c r="AW377" s="17">
        <v>0</v>
      </c>
      <c r="AX377" s="17">
        <v>0</v>
      </c>
    </row>
    <row r="378" spans="1:50" x14ac:dyDescent="0.25">
      <c r="A378" s="16" t="s">
        <v>847</v>
      </c>
      <c r="B378" s="13" t="s">
        <v>464</v>
      </c>
      <c r="C378" s="17">
        <v>0</v>
      </c>
      <c r="D378" s="17">
        <v>0</v>
      </c>
      <c r="E378" s="17">
        <v>0</v>
      </c>
      <c r="F378" s="17">
        <v>0</v>
      </c>
      <c r="G378" s="17">
        <v>0</v>
      </c>
      <c r="H378" s="17">
        <v>0</v>
      </c>
      <c r="I378" s="17">
        <v>0</v>
      </c>
      <c r="J378" s="17">
        <v>1.2999999999999999E-3</v>
      </c>
      <c r="K378" s="17">
        <v>1.8700000000000001E-2</v>
      </c>
      <c r="L378" s="17">
        <v>8.72E-2</v>
      </c>
      <c r="M378" s="17">
        <v>0.17299999999999999</v>
      </c>
      <c r="N378" s="17">
        <v>0.2782</v>
      </c>
      <c r="O378" s="17">
        <v>0.39300000000000002</v>
      </c>
      <c r="P378" s="17">
        <v>0.50919999999999999</v>
      </c>
      <c r="Q378" s="17">
        <v>0.62470000000000003</v>
      </c>
      <c r="R378" s="17">
        <v>0.74050000000000005</v>
      </c>
      <c r="S378" s="17">
        <v>0.84909999999999997</v>
      </c>
      <c r="T378" s="17">
        <v>0.95120000000000005</v>
      </c>
      <c r="U378" s="17">
        <v>1.0382</v>
      </c>
      <c r="V378" s="17">
        <v>1.1124000000000001</v>
      </c>
      <c r="W378" s="17">
        <v>1.1775</v>
      </c>
      <c r="X378" s="17">
        <v>1.2312000000000001</v>
      </c>
      <c r="Y378" s="17">
        <v>1.2694000000000001</v>
      </c>
      <c r="Z378" s="17">
        <v>1.2861</v>
      </c>
      <c r="AA378" s="17">
        <v>1.2908999999999999</v>
      </c>
      <c r="AB378" s="17">
        <v>1.2819</v>
      </c>
      <c r="AC378" s="17">
        <v>1.2514000000000001</v>
      </c>
      <c r="AD378" s="17">
        <v>1.2050000000000001</v>
      </c>
      <c r="AE378" s="17">
        <v>1.1496</v>
      </c>
      <c r="AF378" s="17">
        <v>1.0792999999999999</v>
      </c>
      <c r="AG378" s="17">
        <v>1.0046999999999999</v>
      </c>
      <c r="AH378" s="17">
        <v>0.91479999999999995</v>
      </c>
      <c r="AI378" s="17">
        <v>0.81369999999999998</v>
      </c>
      <c r="AJ378" s="17">
        <v>0.6915</v>
      </c>
      <c r="AK378" s="17">
        <v>0.57720000000000005</v>
      </c>
      <c r="AL378" s="17">
        <v>0.4597</v>
      </c>
      <c r="AM378" s="17">
        <v>0.34610000000000002</v>
      </c>
      <c r="AN378" s="17">
        <v>0.23649999999999999</v>
      </c>
      <c r="AO378" s="17">
        <v>0.1381</v>
      </c>
      <c r="AP378" s="17">
        <v>4.02E-2</v>
      </c>
      <c r="AQ378" s="17">
        <v>7.4000000000000003E-3</v>
      </c>
      <c r="AR378" s="17">
        <v>0</v>
      </c>
      <c r="AS378" s="17">
        <v>0</v>
      </c>
      <c r="AT378" s="17">
        <v>0</v>
      </c>
      <c r="AU378" s="17">
        <v>0</v>
      </c>
      <c r="AV378" s="17">
        <v>0</v>
      </c>
      <c r="AW378" s="17">
        <v>0</v>
      </c>
      <c r="AX378" s="17">
        <v>0</v>
      </c>
    </row>
    <row r="379" spans="1:50" x14ac:dyDescent="0.25">
      <c r="A379" s="8" t="s">
        <v>418</v>
      </c>
      <c r="B379" s="10" t="s">
        <v>57</v>
      </c>
      <c r="C379" s="18">
        <v>0</v>
      </c>
      <c r="D379" s="18">
        <v>0</v>
      </c>
      <c r="E379" s="18">
        <v>0</v>
      </c>
      <c r="F379" s="18">
        <v>0</v>
      </c>
      <c r="G379" s="18">
        <v>0</v>
      </c>
      <c r="H379" s="18">
        <v>0</v>
      </c>
      <c r="I379" s="18">
        <v>0</v>
      </c>
      <c r="J379" s="18">
        <v>0</v>
      </c>
      <c r="K379" s="18">
        <v>0</v>
      </c>
      <c r="L379" s="18">
        <v>0</v>
      </c>
      <c r="M379" s="18">
        <v>0</v>
      </c>
      <c r="N379" s="18">
        <v>0</v>
      </c>
      <c r="O379" s="18">
        <v>0</v>
      </c>
      <c r="P379" s="18">
        <v>0</v>
      </c>
      <c r="Q379" s="18">
        <v>0</v>
      </c>
      <c r="R379" s="18">
        <v>0</v>
      </c>
      <c r="S379" s="18">
        <v>0</v>
      </c>
      <c r="T379" s="18">
        <v>0</v>
      </c>
      <c r="U379" s="18">
        <v>0</v>
      </c>
      <c r="V379" s="18">
        <v>0</v>
      </c>
      <c r="W379" s="18">
        <v>0</v>
      </c>
      <c r="X379" s="18">
        <v>0</v>
      </c>
      <c r="Y379" s="18">
        <v>0</v>
      </c>
      <c r="Z379" s="18">
        <v>0</v>
      </c>
      <c r="AA379" s="18">
        <v>0</v>
      </c>
      <c r="AB379" s="18">
        <v>0</v>
      </c>
      <c r="AC379" s="18">
        <v>0</v>
      </c>
      <c r="AD379" s="18">
        <v>0</v>
      </c>
      <c r="AE379" s="18">
        <v>0</v>
      </c>
      <c r="AF379" s="18">
        <v>0</v>
      </c>
      <c r="AG379" s="18">
        <v>0</v>
      </c>
      <c r="AH379" s="18">
        <v>0</v>
      </c>
      <c r="AI379" s="18">
        <v>0</v>
      </c>
      <c r="AJ379" s="18">
        <v>0</v>
      </c>
      <c r="AK379" s="18">
        <v>0</v>
      </c>
      <c r="AL379" s="18">
        <v>0</v>
      </c>
      <c r="AM379" s="18">
        <v>0</v>
      </c>
      <c r="AN379" s="18">
        <v>0</v>
      </c>
      <c r="AO379" s="18">
        <v>0</v>
      </c>
      <c r="AP379" s="18">
        <v>0</v>
      </c>
      <c r="AQ379" s="18">
        <v>0</v>
      </c>
      <c r="AR379" s="18">
        <v>0</v>
      </c>
      <c r="AS379" s="18">
        <v>0</v>
      </c>
      <c r="AT379" s="18">
        <v>0</v>
      </c>
      <c r="AU379" s="18">
        <v>0</v>
      </c>
      <c r="AV379" s="18">
        <v>0</v>
      </c>
      <c r="AW379" s="18">
        <v>0</v>
      </c>
      <c r="AX379" s="18">
        <v>0</v>
      </c>
    </row>
    <row r="380" spans="1:50" x14ac:dyDescent="0.25">
      <c r="A380" s="16" t="s">
        <v>849</v>
      </c>
      <c r="B380" s="13" t="s">
        <v>464</v>
      </c>
      <c r="C380" s="17">
        <v>0</v>
      </c>
      <c r="D380" s="17">
        <v>0</v>
      </c>
      <c r="E380" s="17">
        <v>0</v>
      </c>
      <c r="F380" s="17">
        <v>0</v>
      </c>
      <c r="G380" s="17">
        <v>0</v>
      </c>
      <c r="H380" s="17">
        <v>0</v>
      </c>
      <c r="I380" s="17">
        <v>0</v>
      </c>
      <c r="J380" s="17">
        <v>3.3999999999999998E-3</v>
      </c>
      <c r="K380" s="17">
        <v>4.9700000000000001E-2</v>
      </c>
      <c r="L380" s="17">
        <v>0.2326</v>
      </c>
      <c r="M380" s="17">
        <v>0.46129999999999999</v>
      </c>
      <c r="N380" s="17">
        <v>0.7419</v>
      </c>
      <c r="O380" s="17">
        <v>1.0479000000000001</v>
      </c>
      <c r="P380" s="17">
        <v>1.3576999999999999</v>
      </c>
      <c r="Q380" s="17">
        <v>1.6659999999999999</v>
      </c>
      <c r="R380" s="17">
        <v>1.9745999999999999</v>
      </c>
      <c r="S380" s="17">
        <v>2.2643</v>
      </c>
      <c r="T380" s="17">
        <v>2.5367000000000002</v>
      </c>
      <c r="U380" s="17">
        <v>2.7686000000000002</v>
      </c>
      <c r="V380" s="17">
        <v>2.9664000000000001</v>
      </c>
      <c r="W380" s="17">
        <v>3.14</v>
      </c>
      <c r="X380" s="17">
        <v>3.2833000000000001</v>
      </c>
      <c r="Y380" s="17">
        <v>3.3849999999999998</v>
      </c>
      <c r="Z380" s="17">
        <v>3.4296000000000002</v>
      </c>
      <c r="AA380" s="17">
        <v>3.4424999999999999</v>
      </c>
      <c r="AB380" s="17">
        <v>3.4182999999999999</v>
      </c>
      <c r="AC380" s="17">
        <v>3.3372000000000002</v>
      </c>
      <c r="AD380" s="17">
        <v>3.2132999999999998</v>
      </c>
      <c r="AE380" s="17">
        <v>3.0655000000000001</v>
      </c>
      <c r="AF380" s="17">
        <v>2.8782000000000001</v>
      </c>
      <c r="AG380" s="17">
        <v>2.6791</v>
      </c>
      <c r="AH380" s="17">
        <v>2.4396</v>
      </c>
      <c r="AI380" s="17">
        <v>2.1698</v>
      </c>
      <c r="AJ380" s="17">
        <v>1.8441000000000001</v>
      </c>
      <c r="AK380" s="17">
        <v>1.5391999999999999</v>
      </c>
      <c r="AL380" s="17">
        <v>1.2259</v>
      </c>
      <c r="AM380" s="17">
        <v>0.92290000000000005</v>
      </c>
      <c r="AN380" s="17">
        <v>0.63080000000000003</v>
      </c>
      <c r="AO380" s="17">
        <v>0.36830000000000002</v>
      </c>
      <c r="AP380" s="17">
        <v>0.1072</v>
      </c>
      <c r="AQ380" s="17">
        <v>1.9800000000000002E-2</v>
      </c>
      <c r="AR380" s="17">
        <v>0</v>
      </c>
      <c r="AS380" s="17">
        <v>0</v>
      </c>
      <c r="AT380" s="17">
        <v>0</v>
      </c>
      <c r="AU380" s="17">
        <v>0</v>
      </c>
      <c r="AV380" s="17">
        <v>0</v>
      </c>
      <c r="AW380" s="17">
        <v>0</v>
      </c>
      <c r="AX380" s="17">
        <v>0</v>
      </c>
    </row>
    <row r="381" spans="1:50" x14ac:dyDescent="0.25">
      <c r="A381" s="16" t="s">
        <v>851</v>
      </c>
      <c r="B381" s="13" t="s">
        <v>464</v>
      </c>
      <c r="C381" s="17">
        <v>0</v>
      </c>
      <c r="D381" s="17">
        <v>0</v>
      </c>
      <c r="E381" s="17">
        <v>0</v>
      </c>
      <c r="F381" s="17">
        <v>0</v>
      </c>
      <c r="G381" s="17">
        <v>0</v>
      </c>
      <c r="H381" s="17">
        <v>0</v>
      </c>
      <c r="I381" s="17">
        <v>0</v>
      </c>
      <c r="J381" s="17">
        <v>3.3999999999999998E-3</v>
      </c>
      <c r="K381" s="17">
        <v>4.9700000000000001E-2</v>
      </c>
      <c r="L381" s="17">
        <v>0.2326</v>
      </c>
      <c r="M381" s="17">
        <v>0.46129999999999999</v>
      </c>
      <c r="N381" s="17">
        <v>0.7419</v>
      </c>
      <c r="O381" s="17">
        <v>1.0479000000000001</v>
      </c>
      <c r="P381" s="17">
        <v>1.3576999999999999</v>
      </c>
      <c r="Q381" s="17">
        <v>1.6659999999999999</v>
      </c>
      <c r="R381" s="17">
        <v>1.9745999999999999</v>
      </c>
      <c r="S381" s="17">
        <v>2.2643</v>
      </c>
      <c r="T381" s="17">
        <v>2.5367000000000002</v>
      </c>
      <c r="U381" s="17">
        <v>2.7686000000000002</v>
      </c>
      <c r="V381" s="17">
        <v>2.9664000000000001</v>
      </c>
      <c r="W381" s="17">
        <v>3.14</v>
      </c>
      <c r="X381" s="17">
        <v>3.2833000000000001</v>
      </c>
      <c r="Y381" s="17">
        <v>3.3849999999999998</v>
      </c>
      <c r="Z381" s="17">
        <v>3.4296000000000002</v>
      </c>
      <c r="AA381" s="17">
        <v>3.4424999999999999</v>
      </c>
      <c r="AB381" s="17">
        <v>3.4182999999999999</v>
      </c>
      <c r="AC381" s="17">
        <v>3.3372000000000002</v>
      </c>
      <c r="AD381" s="17">
        <v>3.2132999999999998</v>
      </c>
      <c r="AE381" s="17">
        <v>3.0655000000000001</v>
      </c>
      <c r="AF381" s="17">
        <v>2.8782000000000001</v>
      </c>
      <c r="AG381" s="17">
        <v>2.6791</v>
      </c>
      <c r="AH381" s="17">
        <v>2.4396</v>
      </c>
      <c r="AI381" s="17">
        <v>2.1698</v>
      </c>
      <c r="AJ381" s="17">
        <v>1.8441000000000001</v>
      </c>
      <c r="AK381" s="17">
        <v>1.5391999999999999</v>
      </c>
      <c r="AL381" s="17">
        <v>1.2259</v>
      </c>
      <c r="AM381" s="17">
        <v>0.92290000000000005</v>
      </c>
      <c r="AN381" s="17">
        <v>0.63080000000000003</v>
      </c>
      <c r="AO381" s="17">
        <v>0.36830000000000002</v>
      </c>
      <c r="AP381" s="17">
        <v>0.1072</v>
      </c>
      <c r="AQ381" s="17">
        <v>1.9800000000000002E-2</v>
      </c>
      <c r="AR381" s="17">
        <v>0</v>
      </c>
      <c r="AS381" s="17">
        <v>0</v>
      </c>
      <c r="AT381" s="17">
        <v>0</v>
      </c>
      <c r="AU381" s="17">
        <v>0</v>
      </c>
      <c r="AV381" s="17">
        <v>0</v>
      </c>
      <c r="AW381" s="17">
        <v>0</v>
      </c>
      <c r="AX381" s="17">
        <v>0</v>
      </c>
    </row>
    <row r="382" spans="1:50" x14ac:dyDescent="0.25">
      <c r="A382" s="16" t="s">
        <v>853</v>
      </c>
      <c r="B382" s="13" t="s">
        <v>464</v>
      </c>
      <c r="C382" s="17">
        <v>0</v>
      </c>
      <c r="D382" s="17">
        <v>0</v>
      </c>
      <c r="E382" s="17">
        <v>0</v>
      </c>
      <c r="F382" s="17">
        <v>0</v>
      </c>
      <c r="G382" s="17">
        <v>0</v>
      </c>
      <c r="H382" s="17">
        <v>0</v>
      </c>
      <c r="I382" s="17">
        <v>0</v>
      </c>
      <c r="J382" s="17">
        <v>3.3999999999999998E-3</v>
      </c>
      <c r="K382" s="17">
        <v>4.9700000000000001E-2</v>
      </c>
      <c r="L382" s="17">
        <v>0.2326</v>
      </c>
      <c r="M382" s="17">
        <v>0.46129999999999999</v>
      </c>
      <c r="N382" s="17">
        <v>0.7419</v>
      </c>
      <c r="O382" s="17">
        <v>1.0479000000000001</v>
      </c>
      <c r="P382" s="17">
        <v>1.3576999999999999</v>
      </c>
      <c r="Q382" s="17">
        <v>1.6659999999999999</v>
      </c>
      <c r="R382" s="17">
        <v>1.9745999999999999</v>
      </c>
      <c r="S382" s="17">
        <v>2.2643</v>
      </c>
      <c r="T382" s="17">
        <v>2.5367000000000002</v>
      </c>
      <c r="U382" s="17">
        <v>2.7686000000000002</v>
      </c>
      <c r="V382" s="17">
        <v>2.9664000000000001</v>
      </c>
      <c r="W382" s="17">
        <v>3.14</v>
      </c>
      <c r="X382" s="17">
        <v>3.2833000000000001</v>
      </c>
      <c r="Y382" s="17">
        <v>3.3849999999999998</v>
      </c>
      <c r="Z382" s="17">
        <v>3.4296000000000002</v>
      </c>
      <c r="AA382" s="17">
        <v>3.4424999999999999</v>
      </c>
      <c r="AB382" s="17">
        <v>3.4182999999999999</v>
      </c>
      <c r="AC382" s="17">
        <v>3.3372000000000002</v>
      </c>
      <c r="AD382" s="17">
        <v>3.2132999999999998</v>
      </c>
      <c r="AE382" s="17">
        <v>3.0655000000000001</v>
      </c>
      <c r="AF382" s="17">
        <v>2.8782000000000001</v>
      </c>
      <c r="AG382" s="17">
        <v>2.6791</v>
      </c>
      <c r="AH382" s="17">
        <v>2.4396</v>
      </c>
      <c r="AI382" s="17">
        <v>2.1698</v>
      </c>
      <c r="AJ382" s="17">
        <v>1.8441000000000001</v>
      </c>
      <c r="AK382" s="17">
        <v>1.5391999999999999</v>
      </c>
      <c r="AL382" s="17">
        <v>1.2259</v>
      </c>
      <c r="AM382" s="17">
        <v>0.92290000000000005</v>
      </c>
      <c r="AN382" s="17">
        <v>0.63080000000000003</v>
      </c>
      <c r="AO382" s="17">
        <v>0.36830000000000002</v>
      </c>
      <c r="AP382" s="17">
        <v>0.1072</v>
      </c>
      <c r="AQ382" s="17">
        <v>1.9800000000000002E-2</v>
      </c>
      <c r="AR382" s="17">
        <v>0</v>
      </c>
      <c r="AS382" s="17">
        <v>0</v>
      </c>
      <c r="AT382" s="17">
        <v>0</v>
      </c>
      <c r="AU382" s="17">
        <v>0</v>
      </c>
      <c r="AV382" s="17">
        <v>0</v>
      </c>
      <c r="AW382" s="17">
        <v>0</v>
      </c>
      <c r="AX382" s="17">
        <v>0</v>
      </c>
    </row>
    <row r="383" spans="1:50" x14ac:dyDescent="0.25">
      <c r="A383" s="16" t="s">
        <v>855</v>
      </c>
      <c r="B383" s="13" t="s">
        <v>464</v>
      </c>
      <c r="C383" s="17">
        <v>0</v>
      </c>
      <c r="D383" s="17">
        <v>0</v>
      </c>
      <c r="E383" s="17">
        <v>0</v>
      </c>
      <c r="F383" s="17">
        <v>0</v>
      </c>
      <c r="G383" s="17">
        <v>0</v>
      </c>
      <c r="H383" s="17">
        <v>0</v>
      </c>
      <c r="I383" s="17">
        <v>0</v>
      </c>
      <c r="J383" s="17">
        <v>2.5999999999999999E-3</v>
      </c>
      <c r="K383" s="17">
        <v>3.73E-2</v>
      </c>
      <c r="L383" s="17">
        <v>0.1744</v>
      </c>
      <c r="M383" s="17">
        <v>0.34599999999999997</v>
      </c>
      <c r="N383" s="17">
        <v>0.55640000000000001</v>
      </c>
      <c r="O383" s="17">
        <v>0.78590000000000004</v>
      </c>
      <c r="P383" s="17">
        <v>1.0183</v>
      </c>
      <c r="Q383" s="17">
        <v>1.2495000000000001</v>
      </c>
      <c r="R383" s="17">
        <v>1.4810000000000001</v>
      </c>
      <c r="S383" s="17">
        <v>1.6981999999999999</v>
      </c>
      <c r="T383" s="17">
        <v>1.9025000000000001</v>
      </c>
      <c r="U383" s="17">
        <v>2.0764</v>
      </c>
      <c r="V383" s="17">
        <v>2.2248000000000001</v>
      </c>
      <c r="W383" s="17">
        <v>2.355</v>
      </c>
      <c r="X383" s="17">
        <v>2.4624999999999999</v>
      </c>
      <c r="Y383" s="17">
        <v>2.5387</v>
      </c>
      <c r="Z383" s="17">
        <v>2.5722</v>
      </c>
      <c r="AA383" s="17">
        <v>2.5819000000000001</v>
      </c>
      <c r="AB383" s="17">
        <v>2.5636999999999999</v>
      </c>
      <c r="AC383" s="17">
        <v>2.5028999999999999</v>
      </c>
      <c r="AD383" s="17">
        <v>2.41</v>
      </c>
      <c r="AE383" s="17">
        <v>2.2991000000000001</v>
      </c>
      <c r="AF383" s="17">
        <v>2.1585999999999999</v>
      </c>
      <c r="AG383" s="17">
        <v>2.0093000000000001</v>
      </c>
      <c r="AH383" s="17">
        <v>1.8297000000000001</v>
      </c>
      <c r="AI383" s="17">
        <v>1.6274</v>
      </c>
      <c r="AJ383" s="17">
        <v>1.3831</v>
      </c>
      <c r="AK383" s="17">
        <v>1.1544000000000001</v>
      </c>
      <c r="AL383" s="17">
        <v>0.91949999999999998</v>
      </c>
      <c r="AM383" s="17">
        <v>0.69220000000000004</v>
      </c>
      <c r="AN383" s="17">
        <v>0.47310000000000002</v>
      </c>
      <c r="AO383" s="17">
        <v>0.2762</v>
      </c>
      <c r="AP383" s="17">
        <v>8.0399999999999999E-2</v>
      </c>
      <c r="AQ383" s="17">
        <v>1.4800000000000001E-2</v>
      </c>
      <c r="AR383" s="17">
        <v>0</v>
      </c>
      <c r="AS383" s="17">
        <v>0</v>
      </c>
      <c r="AT383" s="17">
        <v>0</v>
      </c>
      <c r="AU383" s="17">
        <v>0</v>
      </c>
      <c r="AV383" s="17">
        <v>0</v>
      </c>
      <c r="AW383" s="17">
        <v>0</v>
      </c>
      <c r="AX383" s="17">
        <v>0</v>
      </c>
    </row>
    <row r="384" spans="1:50" x14ac:dyDescent="0.25">
      <c r="A384" s="8" t="s">
        <v>420</v>
      </c>
      <c r="B384" s="10" t="s">
        <v>57</v>
      </c>
      <c r="C384" s="18">
        <v>0</v>
      </c>
      <c r="D384" s="18">
        <v>0</v>
      </c>
      <c r="E384" s="18">
        <v>0</v>
      </c>
      <c r="F384" s="18">
        <v>0</v>
      </c>
      <c r="G384" s="18">
        <v>0</v>
      </c>
      <c r="H384" s="18">
        <v>0</v>
      </c>
      <c r="I384" s="18">
        <v>0</v>
      </c>
      <c r="J384" s="18">
        <v>0</v>
      </c>
      <c r="K384" s="18">
        <v>0</v>
      </c>
      <c r="L384" s="18">
        <v>0</v>
      </c>
      <c r="M384" s="18">
        <v>0</v>
      </c>
      <c r="N384" s="18">
        <v>0</v>
      </c>
      <c r="O384" s="18">
        <v>0</v>
      </c>
      <c r="P384" s="18">
        <v>0</v>
      </c>
      <c r="Q384" s="18">
        <v>0</v>
      </c>
      <c r="R384" s="18">
        <v>0</v>
      </c>
      <c r="S384" s="18">
        <v>0</v>
      </c>
      <c r="T384" s="18">
        <v>0</v>
      </c>
      <c r="U384" s="18">
        <v>0</v>
      </c>
      <c r="V384" s="18">
        <v>0</v>
      </c>
      <c r="W384" s="18">
        <v>0</v>
      </c>
      <c r="X384" s="18">
        <v>0</v>
      </c>
      <c r="Y384" s="18">
        <v>0</v>
      </c>
      <c r="Z384" s="18">
        <v>0</v>
      </c>
      <c r="AA384" s="18">
        <v>0</v>
      </c>
      <c r="AB384" s="18">
        <v>0</v>
      </c>
      <c r="AC384" s="18">
        <v>0</v>
      </c>
      <c r="AD384" s="18">
        <v>0</v>
      </c>
      <c r="AE384" s="18">
        <v>0</v>
      </c>
      <c r="AF384" s="18">
        <v>0</v>
      </c>
      <c r="AG384" s="18">
        <v>0</v>
      </c>
      <c r="AH384" s="18">
        <v>0</v>
      </c>
      <c r="AI384" s="18">
        <v>0</v>
      </c>
      <c r="AJ384" s="18">
        <v>0</v>
      </c>
      <c r="AK384" s="18">
        <v>0</v>
      </c>
      <c r="AL384" s="18">
        <v>0</v>
      </c>
      <c r="AM384" s="18">
        <v>0</v>
      </c>
      <c r="AN384" s="18">
        <v>0</v>
      </c>
      <c r="AO384" s="18">
        <v>0</v>
      </c>
      <c r="AP384" s="18">
        <v>0</v>
      </c>
      <c r="AQ384" s="18">
        <v>0</v>
      </c>
      <c r="AR384" s="18">
        <v>0</v>
      </c>
      <c r="AS384" s="18">
        <v>0</v>
      </c>
      <c r="AT384" s="18">
        <v>0</v>
      </c>
      <c r="AU384" s="18">
        <v>0</v>
      </c>
      <c r="AV384" s="18">
        <v>0</v>
      </c>
      <c r="AW384" s="18">
        <v>0</v>
      </c>
      <c r="AX384" s="18">
        <v>0</v>
      </c>
    </row>
    <row r="385" spans="1:50" x14ac:dyDescent="0.25">
      <c r="A385" s="16" t="s">
        <v>857</v>
      </c>
      <c r="B385" s="13" t="s">
        <v>464</v>
      </c>
      <c r="C385" s="17">
        <v>0</v>
      </c>
      <c r="D385" s="17">
        <v>0</v>
      </c>
      <c r="E385" s="17">
        <v>0</v>
      </c>
      <c r="F385" s="17">
        <v>0</v>
      </c>
      <c r="G385" s="17">
        <v>0</v>
      </c>
      <c r="H385" s="17">
        <v>0</v>
      </c>
      <c r="I385" s="17">
        <v>0</v>
      </c>
      <c r="J385" s="17">
        <v>3.3999999999999998E-3</v>
      </c>
      <c r="K385" s="17">
        <v>4.9700000000000001E-2</v>
      </c>
      <c r="L385" s="17">
        <v>0.2326</v>
      </c>
      <c r="M385" s="17">
        <v>0.46129999999999999</v>
      </c>
      <c r="N385" s="17">
        <v>0.7419</v>
      </c>
      <c r="O385" s="17">
        <v>1.0479000000000001</v>
      </c>
      <c r="P385" s="17">
        <v>1.3576999999999999</v>
      </c>
      <c r="Q385" s="17">
        <v>1.6659999999999999</v>
      </c>
      <c r="R385" s="17">
        <v>1.9745999999999999</v>
      </c>
      <c r="S385" s="17">
        <v>2.2643</v>
      </c>
      <c r="T385" s="17">
        <v>2.5367000000000002</v>
      </c>
      <c r="U385" s="17">
        <v>2.7686000000000002</v>
      </c>
      <c r="V385" s="17">
        <v>2.9664000000000001</v>
      </c>
      <c r="W385" s="17">
        <v>3.14</v>
      </c>
      <c r="X385" s="17">
        <v>3.2833000000000001</v>
      </c>
      <c r="Y385" s="17">
        <v>3.3849999999999998</v>
      </c>
      <c r="Z385" s="17">
        <v>3.4296000000000002</v>
      </c>
      <c r="AA385" s="17">
        <v>3.4424999999999999</v>
      </c>
      <c r="AB385" s="17">
        <v>3.4182999999999999</v>
      </c>
      <c r="AC385" s="17">
        <v>3.3372000000000002</v>
      </c>
      <c r="AD385" s="17">
        <v>3.2132999999999998</v>
      </c>
      <c r="AE385" s="17">
        <v>3.0655000000000001</v>
      </c>
      <c r="AF385" s="17">
        <v>2.8782000000000001</v>
      </c>
      <c r="AG385" s="17">
        <v>2.6791</v>
      </c>
      <c r="AH385" s="17">
        <v>2.4396</v>
      </c>
      <c r="AI385" s="17">
        <v>2.1698</v>
      </c>
      <c r="AJ385" s="17">
        <v>1.8441000000000001</v>
      </c>
      <c r="AK385" s="17">
        <v>1.5391999999999999</v>
      </c>
      <c r="AL385" s="17">
        <v>1.2259</v>
      </c>
      <c r="AM385" s="17">
        <v>0.92290000000000005</v>
      </c>
      <c r="AN385" s="17">
        <v>0.63080000000000003</v>
      </c>
      <c r="AO385" s="17">
        <v>0.36830000000000002</v>
      </c>
      <c r="AP385" s="17">
        <v>0.1072</v>
      </c>
      <c r="AQ385" s="17">
        <v>1.9800000000000002E-2</v>
      </c>
      <c r="AR385" s="17">
        <v>0</v>
      </c>
      <c r="AS385" s="17">
        <v>0</v>
      </c>
      <c r="AT385" s="17">
        <v>0</v>
      </c>
      <c r="AU385" s="17">
        <v>0</v>
      </c>
      <c r="AV385" s="17">
        <v>0</v>
      </c>
      <c r="AW385" s="17">
        <v>0</v>
      </c>
      <c r="AX385" s="17">
        <v>0</v>
      </c>
    </row>
    <row r="386" spans="1:50" x14ac:dyDescent="0.25">
      <c r="A386" s="8" t="s">
        <v>422</v>
      </c>
      <c r="B386" s="10" t="s">
        <v>57</v>
      </c>
      <c r="C386" s="18">
        <v>0</v>
      </c>
      <c r="D386" s="18">
        <v>0</v>
      </c>
      <c r="E386" s="18">
        <v>0</v>
      </c>
      <c r="F386" s="18">
        <v>0</v>
      </c>
      <c r="G386" s="18">
        <v>0</v>
      </c>
      <c r="H386" s="18">
        <v>0</v>
      </c>
      <c r="I386" s="18">
        <v>0</v>
      </c>
      <c r="J386" s="18">
        <v>0</v>
      </c>
      <c r="K386" s="18">
        <v>0</v>
      </c>
      <c r="L386" s="18">
        <v>0</v>
      </c>
      <c r="M386" s="18">
        <v>0</v>
      </c>
      <c r="N386" s="18">
        <v>0</v>
      </c>
      <c r="O386" s="18">
        <v>0</v>
      </c>
      <c r="P386" s="18">
        <v>0</v>
      </c>
      <c r="Q386" s="18">
        <v>0</v>
      </c>
      <c r="R386" s="18">
        <v>0</v>
      </c>
      <c r="S386" s="18">
        <v>0</v>
      </c>
      <c r="T386" s="18">
        <v>0</v>
      </c>
      <c r="U386" s="18">
        <v>0</v>
      </c>
      <c r="V386" s="18">
        <v>0</v>
      </c>
      <c r="W386" s="18">
        <v>0</v>
      </c>
      <c r="X386" s="18">
        <v>0</v>
      </c>
      <c r="Y386" s="18">
        <v>0</v>
      </c>
      <c r="Z386" s="18">
        <v>0</v>
      </c>
      <c r="AA386" s="18">
        <v>0</v>
      </c>
      <c r="AB386" s="18">
        <v>0</v>
      </c>
      <c r="AC386" s="18">
        <v>0</v>
      </c>
      <c r="AD386" s="18">
        <v>0</v>
      </c>
      <c r="AE386" s="18">
        <v>0</v>
      </c>
      <c r="AF386" s="18">
        <v>0</v>
      </c>
      <c r="AG386" s="18">
        <v>0</v>
      </c>
      <c r="AH386" s="18">
        <v>0</v>
      </c>
      <c r="AI386" s="18">
        <v>0</v>
      </c>
      <c r="AJ386" s="18">
        <v>0</v>
      </c>
      <c r="AK386" s="18">
        <v>0</v>
      </c>
      <c r="AL386" s="18">
        <v>0</v>
      </c>
      <c r="AM386" s="18">
        <v>0</v>
      </c>
      <c r="AN386" s="18">
        <v>0</v>
      </c>
      <c r="AO386" s="18">
        <v>0</v>
      </c>
      <c r="AP386" s="18">
        <v>0</v>
      </c>
      <c r="AQ386" s="18">
        <v>0</v>
      </c>
      <c r="AR386" s="18">
        <v>0</v>
      </c>
      <c r="AS386" s="18">
        <v>0</v>
      </c>
      <c r="AT386" s="18">
        <v>0</v>
      </c>
      <c r="AU386" s="18">
        <v>0</v>
      </c>
      <c r="AV386" s="18">
        <v>0</v>
      </c>
      <c r="AW386" s="18">
        <v>0</v>
      </c>
      <c r="AX386" s="18">
        <v>0</v>
      </c>
    </row>
    <row r="387" spans="1:50" x14ac:dyDescent="0.25">
      <c r="A387" s="8" t="s">
        <v>424</v>
      </c>
      <c r="B387" s="10" t="s">
        <v>57</v>
      </c>
      <c r="C387" s="18">
        <v>0</v>
      </c>
      <c r="D387" s="18">
        <v>0</v>
      </c>
      <c r="E387" s="18">
        <v>0</v>
      </c>
      <c r="F387" s="18">
        <v>0</v>
      </c>
      <c r="G387" s="18">
        <v>0</v>
      </c>
      <c r="H387" s="18">
        <v>0</v>
      </c>
      <c r="I387" s="18">
        <v>0</v>
      </c>
      <c r="J387" s="18">
        <v>0</v>
      </c>
      <c r="K387" s="18">
        <v>0</v>
      </c>
      <c r="L387" s="18">
        <v>0</v>
      </c>
      <c r="M387" s="18">
        <v>0</v>
      </c>
      <c r="N387" s="18">
        <v>0</v>
      </c>
      <c r="O387" s="18">
        <v>0</v>
      </c>
      <c r="P387" s="18">
        <v>0</v>
      </c>
      <c r="Q387" s="18">
        <v>0</v>
      </c>
      <c r="R387" s="18">
        <v>0</v>
      </c>
      <c r="S387" s="18">
        <v>0</v>
      </c>
      <c r="T387" s="18">
        <v>0</v>
      </c>
      <c r="U387" s="18">
        <v>0</v>
      </c>
      <c r="V387" s="18">
        <v>0</v>
      </c>
      <c r="W387" s="18">
        <v>0</v>
      </c>
      <c r="X387" s="18">
        <v>0</v>
      </c>
      <c r="Y387" s="18">
        <v>0</v>
      </c>
      <c r="Z387" s="18">
        <v>0</v>
      </c>
      <c r="AA387" s="18">
        <v>0</v>
      </c>
      <c r="AB387" s="18">
        <v>0</v>
      </c>
      <c r="AC387" s="18">
        <v>0</v>
      </c>
      <c r="AD387" s="18">
        <v>0</v>
      </c>
      <c r="AE387" s="18">
        <v>0</v>
      </c>
      <c r="AF387" s="18">
        <v>0</v>
      </c>
      <c r="AG387" s="18">
        <v>0</v>
      </c>
      <c r="AH387" s="18">
        <v>0</v>
      </c>
      <c r="AI387" s="18">
        <v>0</v>
      </c>
      <c r="AJ387" s="18">
        <v>0</v>
      </c>
      <c r="AK387" s="18">
        <v>0</v>
      </c>
      <c r="AL387" s="18">
        <v>0</v>
      </c>
      <c r="AM387" s="18">
        <v>0</v>
      </c>
      <c r="AN387" s="18">
        <v>0</v>
      </c>
      <c r="AO387" s="18">
        <v>0</v>
      </c>
      <c r="AP387" s="18">
        <v>0</v>
      </c>
      <c r="AQ387" s="18">
        <v>0</v>
      </c>
      <c r="AR387" s="18">
        <v>0</v>
      </c>
      <c r="AS387" s="18">
        <v>0</v>
      </c>
      <c r="AT387" s="18">
        <v>0</v>
      </c>
      <c r="AU387" s="18">
        <v>0</v>
      </c>
      <c r="AV387" s="18">
        <v>0</v>
      </c>
      <c r="AW387" s="18">
        <v>0</v>
      </c>
      <c r="AX387" s="18">
        <v>0</v>
      </c>
    </row>
    <row r="388" spans="1:50" x14ac:dyDescent="0.25">
      <c r="A388" s="16" t="s">
        <v>859</v>
      </c>
      <c r="B388" s="13" t="s">
        <v>464</v>
      </c>
      <c r="C388" s="17">
        <v>0</v>
      </c>
      <c r="D388" s="17">
        <v>0</v>
      </c>
      <c r="E388" s="17">
        <v>0</v>
      </c>
      <c r="F388" s="17">
        <v>0</v>
      </c>
      <c r="G388" s="17">
        <v>0</v>
      </c>
      <c r="H388" s="17">
        <v>0</v>
      </c>
      <c r="I388" s="17">
        <v>0</v>
      </c>
      <c r="J388" s="17">
        <v>3.0000000000000001E-3</v>
      </c>
      <c r="K388" s="17">
        <v>4.3499999999999997E-2</v>
      </c>
      <c r="L388" s="17">
        <v>0.20349999999999999</v>
      </c>
      <c r="M388" s="17">
        <v>0.4037</v>
      </c>
      <c r="N388" s="17">
        <v>0.64910000000000001</v>
      </c>
      <c r="O388" s="17">
        <v>0.91690000000000005</v>
      </c>
      <c r="P388" s="17">
        <v>1.1879999999999999</v>
      </c>
      <c r="Q388" s="17">
        <v>1.4577</v>
      </c>
      <c r="R388" s="17">
        <v>1.7278</v>
      </c>
      <c r="S388" s="17">
        <v>1.9813000000000001</v>
      </c>
      <c r="T388" s="17">
        <v>2.2195999999999998</v>
      </c>
      <c r="U388" s="17">
        <v>2.4224999999999999</v>
      </c>
      <c r="V388" s="17">
        <v>2.5956000000000001</v>
      </c>
      <c r="W388" s="17">
        <v>2.7475000000000001</v>
      </c>
      <c r="X388" s="17">
        <v>2.8729</v>
      </c>
      <c r="Y388" s="17">
        <v>2.9619</v>
      </c>
      <c r="Z388" s="17">
        <v>3.0009000000000001</v>
      </c>
      <c r="AA388" s="17">
        <v>3.0122</v>
      </c>
      <c r="AB388" s="17">
        <v>2.9910000000000001</v>
      </c>
      <c r="AC388" s="17">
        <v>2.92</v>
      </c>
      <c r="AD388" s="17">
        <v>2.8117000000000001</v>
      </c>
      <c r="AE388" s="17">
        <v>2.6823000000000001</v>
      </c>
      <c r="AF388" s="17">
        <v>2.5184000000000002</v>
      </c>
      <c r="AG388" s="17">
        <v>2.3441999999999998</v>
      </c>
      <c r="AH388" s="17">
        <v>2.1345999999999998</v>
      </c>
      <c r="AI388" s="17">
        <v>1.8986000000000001</v>
      </c>
      <c r="AJ388" s="17">
        <v>1.6135999999999999</v>
      </c>
      <c r="AK388" s="17">
        <v>1.3468</v>
      </c>
      <c r="AL388" s="17">
        <v>1.0727</v>
      </c>
      <c r="AM388" s="17">
        <v>0.80759999999999998</v>
      </c>
      <c r="AN388" s="17">
        <v>0.55189999999999995</v>
      </c>
      <c r="AO388" s="17">
        <v>0.32229999999999998</v>
      </c>
      <c r="AP388" s="17">
        <v>9.3799999999999994E-2</v>
      </c>
      <c r="AQ388" s="17">
        <v>1.7299999999999999E-2</v>
      </c>
      <c r="AR388" s="17">
        <v>0</v>
      </c>
      <c r="AS388" s="17">
        <v>0</v>
      </c>
      <c r="AT388" s="17">
        <v>0</v>
      </c>
      <c r="AU388" s="17">
        <v>0</v>
      </c>
      <c r="AV388" s="17">
        <v>0</v>
      </c>
      <c r="AW388" s="17">
        <v>0</v>
      </c>
      <c r="AX388" s="17">
        <v>0</v>
      </c>
    </row>
    <row r="389" spans="1:50" x14ac:dyDescent="0.25">
      <c r="A389" s="16" t="s">
        <v>861</v>
      </c>
      <c r="B389" s="13" t="s">
        <v>464</v>
      </c>
      <c r="C389" s="17">
        <v>0</v>
      </c>
      <c r="D389" s="17">
        <v>0</v>
      </c>
      <c r="E389" s="17">
        <v>0</v>
      </c>
      <c r="F389" s="17">
        <v>0</v>
      </c>
      <c r="G389" s="17">
        <v>0</v>
      </c>
      <c r="H389" s="17">
        <v>0</v>
      </c>
      <c r="I389" s="17">
        <v>0</v>
      </c>
      <c r="J389" s="17">
        <v>2.2000000000000001E-3</v>
      </c>
      <c r="K389" s="17">
        <v>3.1099999999999999E-2</v>
      </c>
      <c r="L389" s="17">
        <v>0.1454</v>
      </c>
      <c r="M389" s="17">
        <v>0.2883</v>
      </c>
      <c r="N389" s="17">
        <v>0.4637</v>
      </c>
      <c r="O389" s="17">
        <v>0.65490000000000004</v>
      </c>
      <c r="P389" s="17">
        <v>0.84860000000000002</v>
      </c>
      <c r="Q389" s="17">
        <v>1.0411999999999999</v>
      </c>
      <c r="R389" s="17">
        <v>1.2341</v>
      </c>
      <c r="S389" s="17">
        <v>1.4152</v>
      </c>
      <c r="T389" s="17">
        <v>1.5853999999999999</v>
      </c>
      <c r="U389" s="17">
        <v>1.7303999999999999</v>
      </c>
      <c r="V389" s="17">
        <v>1.8540000000000001</v>
      </c>
      <c r="W389" s="17">
        <v>1.9624999999999999</v>
      </c>
      <c r="X389" s="17">
        <v>2.0520999999999998</v>
      </c>
      <c r="Y389" s="17">
        <v>2.1156000000000001</v>
      </c>
      <c r="Z389" s="17">
        <v>2.1435</v>
      </c>
      <c r="AA389" s="17">
        <v>2.1516000000000002</v>
      </c>
      <c r="AB389" s="17">
        <v>2.1364999999999998</v>
      </c>
      <c r="AC389" s="17">
        <v>2.0857000000000001</v>
      </c>
      <c r="AD389" s="17">
        <v>2.0083000000000002</v>
      </c>
      <c r="AE389" s="17">
        <v>1.9158999999999999</v>
      </c>
      <c r="AF389" s="17">
        <v>1.7988999999999999</v>
      </c>
      <c r="AG389" s="17">
        <v>1.6745000000000001</v>
      </c>
      <c r="AH389" s="17">
        <v>1.5246999999999999</v>
      </c>
      <c r="AI389" s="17">
        <v>1.3561000000000001</v>
      </c>
      <c r="AJ389" s="17">
        <v>1.1525000000000001</v>
      </c>
      <c r="AK389" s="17">
        <v>0.96199999999999997</v>
      </c>
      <c r="AL389" s="17">
        <v>0.76619999999999999</v>
      </c>
      <c r="AM389" s="17">
        <v>0.57679999999999998</v>
      </c>
      <c r="AN389" s="17">
        <v>0.39419999999999999</v>
      </c>
      <c r="AO389" s="17">
        <v>0.23019999999999999</v>
      </c>
      <c r="AP389" s="17">
        <v>6.7000000000000004E-2</v>
      </c>
      <c r="AQ389" s="17">
        <v>1.24E-2</v>
      </c>
      <c r="AR389" s="17">
        <v>0</v>
      </c>
      <c r="AS389" s="17">
        <v>0</v>
      </c>
      <c r="AT389" s="17">
        <v>0</v>
      </c>
      <c r="AU389" s="17">
        <v>0</v>
      </c>
      <c r="AV389" s="17">
        <v>0</v>
      </c>
      <c r="AW389" s="17">
        <v>0</v>
      </c>
      <c r="AX389" s="17">
        <v>0</v>
      </c>
    </row>
    <row r="390" spans="1:50" x14ac:dyDescent="0.25">
      <c r="A390" s="16" t="s">
        <v>863</v>
      </c>
      <c r="B390" s="13" t="s">
        <v>464</v>
      </c>
      <c r="C390" s="17">
        <v>0</v>
      </c>
      <c r="D390" s="17">
        <v>0</v>
      </c>
      <c r="E390" s="17">
        <v>0</v>
      </c>
      <c r="F390" s="17">
        <v>0</v>
      </c>
      <c r="G390" s="17">
        <v>0</v>
      </c>
      <c r="H390" s="17">
        <v>0</v>
      </c>
      <c r="I390" s="17">
        <v>0</v>
      </c>
      <c r="J390" s="17">
        <v>2.2000000000000001E-3</v>
      </c>
      <c r="K390" s="17">
        <v>3.1099999999999999E-2</v>
      </c>
      <c r="L390" s="17">
        <v>0.1454</v>
      </c>
      <c r="M390" s="17">
        <v>0.2883</v>
      </c>
      <c r="N390" s="17">
        <v>0.4637</v>
      </c>
      <c r="O390" s="17">
        <v>0.65490000000000004</v>
      </c>
      <c r="P390" s="17">
        <v>0.84860000000000002</v>
      </c>
      <c r="Q390" s="17">
        <v>1.0411999999999999</v>
      </c>
      <c r="R390" s="17">
        <v>1.2341</v>
      </c>
      <c r="S390" s="17">
        <v>1.4152</v>
      </c>
      <c r="T390" s="17">
        <v>1.5853999999999999</v>
      </c>
      <c r="U390" s="17">
        <v>1.7303999999999999</v>
      </c>
      <c r="V390" s="17">
        <v>1.8540000000000001</v>
      </c>
      <c r="W390" s="17">
        <v>1.9624999999999999</v>
      </c>
      <c r="X390" s="17">
        <v>2.0520999999999998</v>
      </c>
      <c r="Y390" s="17">
        <v>2.1156000000000001</v>
      </c>
      <c r="Z390" s="17">
        <v>2.1435</v>
      </c>
      <c r="AA390" s="17">
        <v>2.1516000000000002</v>
      </c>
      <c r="AB390" s="17">
        <v>2.1364999999999998</v>
      </c>
      <c r="AC390" s="17">
        <v>2.0857000000000001</v>
      </c>
      <c r="AD390" s="17">
        <v>2.0083000000000002</v>
      </c>
      <c r="AE390" s="17">
        <v>1.9158999999999999</v>
      </c>
      <c r="AF390" s="17">
        <v>1.7988999999999999</v>
      </c>
      <c r="AG390" s="17">
        <v>1.6745000000000001</v>
      </c>
      <c r="AH390" s="17">
        <v>1.5246999999999999</v>
      </c>
      <c r="AI390" s="17">
        <v>1.3561000000000001</v>
      </c>
      <c r="AJ390" s="17">
        <v>1.1525000000000001</v>
      </c>
      <c r="AK390" s="17">
        <v>0.96199999999999997</v>
      </c>
      <c r="AL390" s="17">
        <v>0.76619999999999999</v>
      </c>
      <c r="AM390" s="17">
        <v>0.57679999999999998</v>
      </c>
      <c r="AN390" s="17">
        <v>0.39419999999999999</v>
      </c>
      <c r="AO390" s="17">
        <v>0.23019999999999999</v>
      </c>
      <c r="AP390" s="17">
        <v>6.7000000000000004E-2</v>
      </c>
      <c r="AQ390" s="17">
        <v>1.24E-2</v>
      </c>
      <c r="AR390" s="17">
        <v>0</v>
      </c>
      <c r="AS390" s="17">
        <v>0</v>
      </c>
      <c r="AT390" s="17">
        <v>0</v>
      </c>
      <c r="AU390" s="17">
        <v>0</v>
      </c>
      <c r="AV390" s="17">
        <v>0</v>
      </c>
      <c r="AW390" s="17">
        <v>0</v>
      </c>
      <c r="AX390" s="17">
        <v>0</v>
      </c>
    </row>
    <row r="391" spans="1:50" x14ac:dyDescent="0.25">
      <c r="A391" s="16" t="s">
        <v>865</v>
      </c>
      <c r="B391" s="13" t="s">
        <v>464</v>
      </c>
      <c r="C391" s="17">
        <v>0</v>
      </c>
      <c r="D391" s="17">
        <v>0</v>
      </c>
      <c r="E391" s="17">
        <v>0</v>
      </c>
      <c r="F391" s="17">
        <v>0</v>
      </c>
      <c r="G391" s="17">
        <v>0</v>
      </c>
      <c r="H391" s="17">
        <v>0</v>
      </c>
      <c r="I391" s="17">
        <v>0</v>
      </c>
      <c r="J391" s="17">
        <v>2.2000000000000001E-3</v>
      </c>
      <c r="K391" s="17">
        <v>3.1099999999999999E-2</v>
      </c>
      <c r="L391" s="17">
        <v>0.1454</v>
      </c>
      <c r="M391" s="17">
        <v>0.2883</v>
      </c>
      <c r="N391" s="17">
        <v>0.4637</v>
      </c>
      <c r="O391" s="17">
        <v>0.65490000000000004</v>
      </c>
      <c r="P391" s="17">
        <v>0.84860000000000002</v>
      </c>
      <c r="Q391" s="17">
        <v>1.0411999999999999</v>
      </c>
      <c r="R391" s="17">
        <v>1.2341</v>
      </c>
      <c r="S391" s="17">
        <v>1.4152</v>
      </c>
      <c r="T391" s="17">
        <v>1.5853999999999999</v>
      </c>
      <c r="U391" s="17">
        <v>1.7303999999999999</v>
      </c>
      <c r="V391" s="17">
        <v>1.8540000000000001</v>
      </c>
      <c r="W391" s="17">
        <v>1.9624999999999999</v>
      </c>
      <c r="X391" s="17">
        <v>2.0520999999999998</v>
      </c>
      <c r="Y391" s="17">
        <v>2.1156000000000001</v>
      </c>
      <c r="Z391" s="17">
        <v>2.1435</v>
      </c>
      <c r="AA391" s="17">
        <v>2.1516000000000002</v>
      </c>
      <c r="AB391" s="17">
        <v>2.1364999999999998</v>
      </c>
      <c r="AC391" s="17">
        <v>2.0857000000000001</v>
      </c>
      <c r="AD391" s="17">
        <v>2.0083000000000002</v>
      </c>
      <c r="AE391" s="17">
        <v>1.9158999999999999</v>
      </c>
      <c r="AF391" s="17">
        <v>1.7988999999999999</v>
      </c>
      <c r="AG391" s="17">
        <v>1.6745000000000001</v>
      </c>
      <c r="AH391" s="17">
        <v>1.5246999999999999</v>
      </c>
      <c r="AI391" s="17">
        <v>1.3561000000000001</v>
      </c>
      <c r="AJ391" s="17">
        <v>1.1525000000000001</v>
      </c>
      <c r="AK391" s="17">
        <v>0.96199999999999997</v>
      </c>
      <c r="AL391" s="17">
        <v>0.76619999999999999</v>
      </c>
      <c r="AM391" s="17">
        <v>0.57679999999999998</v>
      </c>
      <c r="AN391" s="17">
        <v>0.39419999999999999</v>
      </c>
      <c r="AO391" s="17">
        <v>0.23019999999999999</v>
      </c>
      <c r="AP391" s="17">
        <v>6.7000000000000004E-2</v>
      </c>
      <c r="AQ391" s="17">
        <v>1.24E-2</v>
      </c>
      <c r="AR391" s="17">
        <v>0</v>
      </c>
      <c r="AS391" s="17">
        <v>0</v>
      </c>
      <c r="AT391" s="17">
        <v>0</v>
      </c>
      <c r="AU391" s="17">
        <v>0</v>
      </c>
      <c r="AV391" s="17">
        <v>0</v>
      </c>
      <c r="AW391" s="17">
        <v>0</v>
      </c>
      <c r="AX391" s="17">
        <v>0</v>
      </c>
    </row>
    <row r="392" spans="1:50" x14ac:dyDescent="0.25">
      <c r="A392" s="8" t="s">
        <v>426</v>
      </c>
      <c r="B392" s="10" t="s">
        <v>57</v>
      </c>
      <c r="C392" s="18">
        <v>0</v>
      </c>
      <c r="D392" s="18">
        <v>0</v>
      </c>
      <c r="E392" s="18">
        <v>0</v>
      </c>
      <c r="F392" s="18">
        <v>0</v>
      </c>
      <c r="G392" s="18">
        <v>0</v>
      </c>
      <c r="H392" s="18">
        <v>0</v>
      </c>
      <c r="I392" s="18">
        <v>0</v>
      </c>
      <c r="J392" s="18">
        <v>0</v>
      </c>
      <c r="K392" s="18">
        <v>0</v>
      </c>
      <c r="L392" s="18">
        <v>0</v>
      </c>
      <c r="M392" s="18">
        <v>0</v>
      </c>
      <c r="N392" s="18">
        <v>0</v>
      </c>
      <c r="O392" s="18">
        <v>0</v>
      </c>
      <c r="P392" s="18">
        <v>0</v>
      </c>
      <c r="Q392" s="18">
        <v>0</v>
      </c>
      <c r="R392" s="18">
        <v>0</v>
      </c>
      <c r="S392" s="18">
        <v>0</v>
      </c>
      <c r="T392" s="18">
        <v>0</v>
      </c>
      <c r="U392" s="18">
        <v>0</v>
      </c>
      <c r="V392" s="18">
        <v>0</v>
      </c>
      <c r="W392" s="18">
        <v>0</v>
      </c>
      <c r="X392" s="18">
        <v>0</v>
      </c>
      <c r="Y392" s="18">
        <v>0</v>
      </c>
      <c r="Z392" s="18">
        <v>0</v>
      </c>
      <c r="AA392" s="18">
        <v>0</v>
      </c>
      <c r="AB392" s="18">
        <v>0</v>
      </c>
      <c r="AC392" s="18">
        <v>0</v>
      </c>
      <c r="AD392" s="18">
        <v>0</v>
      </c>
      <c r="AE392" s="18">
        <v>0</v>
      </c>
      <c r="AF392" s="18">
        <v>0</v>
      </c>
      <c r="AG392" s="18">
        <v>0</v>
      </c>
      <c r="AH392" s="18">
        <v>0</v>
      </c>
      <c r="AI392" s="18">
        <v>0</v>
      </c>
      <c r="AJ392" s="18">
        <v>0</v>
      </c>
      <c r="AK392" s="18">
        <v>0</v>
      </c>
      <c r="AL392" s="18">
        <v>0</v>
      </c>
      <c r="AM392" s="18">
        <v>0</v>
      </c>
      <c r="AN392" s="18">
        <v>0</v>
      </c>
      <c r="AO392" s="18">
        <v>0</v>
      </c>
      <c r="AP392" s="18">
        <v>0</v>
      </c>
      <c r="AQ392" s="18">
        <v>0</v>
      </c>
      <c r="AR392" s="18">
        <v>0</v>
      </c>
      <c r="AS392" s="18">
        <v>0</v>
      </c>
      <c r="AT392" s="18">
        <v>0</v>
      </c>
      <c r="AU392" s="18">
        <v>0</v>
      </c>
      <c r="AV392" s="18">
        <v>0</v>
      </c>
      <c r="AW392" s="18">
        <v>0</v>
      </c>
      <c r="AX392" s="18">
        <v>0</v>
      </c>
    </row>
    <row r="393" spans="1:50" x14ac:dyDescent="0.25">
      <c r="A393" s="8" t="s">
        <v>428</v>
      </c>
      <c r="B393" s="10" t="s">
        <v>57</v>
      </c>
      <c r="C393" s="18">
        <v>0</v>
      </c>
      <c r="D393" s="18">
        <v>0</v>
      </c>
      <c r="E393" s="18">
        <v>0</v>
      </c>
      <c r="F393" s="18">
        <v>0</v>
      </c>
      <c r="G393" s="18">
        <v>0</v>
      </c>
      <c r="H393" s="18">
        <v>0</v>
      </c>
      <c r="I393" s="18">
        <v>0</v>
      </c>
      <c r="J393" s="18">
        <v>0</v>
      </c>
      <c r="K393" s="18">
        <v>0</v>
      </c>
      <c r="L393" s="18">
        <v>0</v>
      </c>
      <c r="M393" s="18">
        <v>0</v>
      </c>
      <c r="N393" s="18">
        <v>0</v>
      </c>
      <c r="O393" s="18">
        <v>0</v>
      </c>
      <c r="P393" s="18">
        <v>0</v>
      </c>
      <c r="Q393" s="18">
        <v>0</v>
      </c>
      <c r="R393" s="18">
        <v>0</v>
      </c>
      <c r="S393" s="18">
        <v>0</v>
      </c>
      <c r="T393" s="18">
        <v>0</v>
      </c>
      <c r="U393" s="18">
        <v>0</v>
      </c>
      <c r="V393" s="18">
        <v>0</v>
      </c>
      <c r="W393" s="18">
        <v>0</v>
      </c>
      <c r="X393" s="18">
        <v>0</v>
      </c>
      <c r="Y393" s="18">
        <v>0</v>
      </c>
      <c r="Z393" s="18">
        <v>0</v>
      </c>
      <c r="AA393" s="18">
        <v>0</v>
      </c>
      <c r="AB393" s="18">
        <v>0</v>
      </c>
      <c r="AC393" s="18">
        <v>0</v>
      </c>
      <c r="AD393" s="18">
        <v>0</v>
      </c>
      <c r="AE393" s="18">
        <v>0</v>
      </c>
      <c r="AF393" s="18">
        <v>0</v>
      </c>
      <c r="AG393" s="18">
        <v>0</v>
      </c>
      <c r="AH393" s="18">
        <v>0</v>
      </c>
      <c r="AI393" s="18">
        <v>0</v>
      </c>
      <c r="AJ393" s="18">
        <v>0</v>
      </c>
      <c r="AK393" s="18">
        <v>0</v>
      </c>
      <c r="AL393" s="18">
        <v>0</v>
      </c>
      <c r="AM393" s="18">
        <v>0</v>
      </c>
      <c r="AN393" s="18">
        <v>0</v>
      </c>
      <c r="AO393" s="18">
        <v>0</v>
      </c>
      <c r="AP393" s="18">
        <v>0</v>
      </c>
      <c r="AQ393" s="18">
        <v>0</v>
      </c>
      <c r="AR393" s="18">
        <v>0</v>
      </c>
      <c r="AS393" s="18">
        <v>0</v>
      </c>
      <c r="AT393" s="18">
        <v>0</v>
      </c>
      <c r="AU393" s="18">
        <v>0</v>
      </c>
      <c r="AV393" s="18">
        <v>0</v>
      </c>
      <c r="AW393" s="18">
        <v>0</v>
      </c>
      <c r="AX393" s="18">
        <v>0</v>
      </c>
    </row>
    <row r="394" spans="1:50" x14ac:dyDescent="0.25">
      <c r="A394" s="8" t="s">
        <v>430</v>
      </c>
      <c r="B394" s="10" t="s">
        <v>57</v>
      </c>
      <c r="C394" s="18">
        <v>0</v>
      </c>
      <c r="D394" s="18">
        <v>0</v>
      </c>
      <c r="E394" s="18">
        <v>0</v>
      </c>
      <c r="F394" s="18">
        <v>0</v>
      </c>
      <c r="G394" s="18">
        <v>0</v>
      </c>
      <c r="H394" s="18">
        <v>0</v>
      </c>
      <c r="I394" s="18">
        <v>0</v>
      </c>
      <c r="J394" s="18">
        <v>0</v>
      </c>
      <c r="K394" s="18">
        <v>0</v>
      </c>
      <c r="L394" s="18">
        <v>0</v>
      </c>
      <c r="M394" s="18">
        <v>0</v>
      </c>
      <c r="N394" s="18">
        <v>0</v>
      </c>
      <c r="O394" s="18">
        <v>0</v>
      </c>
      <c r="P394" s="18">
        <v>0</v>
      </c>
      <c r="Q394" s="18">
        <v>0</v>
      </c>
      <c r="R394" s="18">
        <v>0</v>
      </c>
      <c r="S394" s="18">
        <v>0</v>
      </c>
      <c r="T394" s="18">
        <v>0</v>
      </c>
      <c r="U394" s="18">
        <v>0</v>
      </c>
      <c r="V394" s="18">
        <v>0</v>
      </c>
      <c r="W394" s="18">
        <v>0</v>
      </c>
      <c r="X394" s="18">
        <v>0</v>
      </c>
      <c r="Y394" s="18">
        <v>0</v>
      </c>
      <c r="Z394" s="18">
        <v>0</v>
      </c>
      <c r="AA394" s="18">
        <v>0</v>
      </c>
      <c r="AB394" s="18">
        <v>0</v>
      </c>
      <c r="AC394" s="18">
        <v>0</v>
      </c>
      <c r="AD394" s="18">
        <v>0</v>
      </c>
      <c r="AE394" s="18">
        <v>0</v>
      </c>
      <c r="AF394" s="18">
        <v>0</v>
      </c>
      <c r="AG394" s="18">
        <v>0</v>
      </c>
      <c r="AH394" s="18">
        <v>0</v>
      </c>
      <c r="AI394" s="18">
        <v>0</v>
      </c>
      <c r="AJ394" s="18">
        <v>0</v>
      </c>
      <c r="AK394" s="18">
        <v>0</v>
      </c>
      <c r="AL394" s="18">
        <v>0</v>
      </c>
      <c r="AM394" s="18">
        <v>0</v>
      </c>
      <c r="AN394" s="18">
        <v>0</v>
      </c>
      <c r="AO394" s="18">
        <v>0</v>
      </c>
      <c r="AP394" s="18">
        <v>0</v>
      </c>
      <c r="AQ394" s="18">
        <v>0</v>
      </c>
      <c r="AR394" s="18">
        <v>0</v>
      </c>
      <c r="AS394" s="18">
        <v>0</v>
      </c>
      <c r="AT394" s="18">
        <v>0</v>
      </c>
      <c r="AU394" s="18">
        <v>0</v>
      </c>
      <c r="AV394" s="18">
        <v>0</v>
      </c>
      <c r="AW394" s="18">
        <v>0</v>
      </c>
      <c r="AX394" s="18">
        <v>0</v>
      </c>
    </row>
    <row r="395" spans="1:50" x14ac:dyDescent="0.25">
      <c r="A395" s="16" t="s">
        <v>867</v>
      </c>
      <c r="B395" s="13" t="s">
        <v>464</v>
      </c>
      <c r="C395" s="17">
        <v>0</v>
      </c>
      <c r="D395" s="17">
        <v>0</v>
      </c>
      <c r="E395" s="17">
        <v>0</v>
      </c>
      <c r="F395" s="17">
        <v>0</v>
      </c>
      <c r="G395" s="17">
        <v>0</v>
      </c>
      <c r="H395" s="17">
        <v>0</v>
      </c>
      <c r="I395" s="17">
        <v>0</v>
      </c>
      <c r="J395" s="17">
        <v>3.3999999999999998E-3</v>
      </c>
      <c r="K395" s="17">
        <v>4.9700000000000001E-2</v>
      </c>
      <c r="L395" s="17">
        <v>0.2326</v>
      </c>
      <c r="M395" s="17">
        <v>0.46129999999999999</v>
      </c>
      <c r="N395" s="17">
        <v>0.7419</v>
      </c>
      <c r="O395" s="17">
        <v>1.0479000000000001</v>
      </c>
      <c r="P395" s="17">
        <v>1.3576999999999999</v>
      </c>
      <c r="Q395" s="17">
        <v>1.6659999999999999</v>
      </c>
      <c r="R395" s="17">
        <v>1.9745999999999999</v>
      </c>
      <c r="S395" s="17">
        <v>2.2643</v>
      </c>
      <c r="T395" s="17">
        <v>2.5367000000000002</v>
      </c>
      <c r="U395" s="17">
        <v>2.7686000000000002</v>
      </c>
      <c r="V395" s="17">
        <v>2.9664000000000001</v>
      </c>
      <c r="W395" s="17">
        <v>3.14</v>
      </c>
      <c r="X395" s="17">
        <v>3.2833000000000001</v>
      </c>
      <c r="Y395" s="17">
        <v>3.3849999999999998</v>
      </c>
      <c r="Z395" s="17">
        <v>3.4296000000000002</v>
      </c>
      <c r="AA395" s="17">
        <v>3.4424999999999999</v>
      </c>
      <c r="AB395" s="17">
        <v>3.4182999999999999</v>
      </c>
      <c r="AC395" s="17">
        <v>3.3372000000000002</v>
      </c>
      <c r="AD395" s="17">
        <v>3.2132999999999998</v>
      </c>
      <c r="AE395" s="17">
        <v>3.0655000000000001</v>
      </c>
      <c r="AF395" s="17">
        <v>2.8782000000000001</v>
      </c>
      <c r="AG395" s="17">
        <v>2.6791</v>
      </c>
      <c r="AH395" s="17">
        <v>2.4396</v>
      </c>
      <c r="AI395" s="17">
        <v>2.1698</v>
      </c>
      <c r="AJ395" s="17">
        <v>1.8441000000000001</v>
      </c>
      <c r="AK395" s="17">
        <v>1.5391999999999999</v>
      </c>
      <c r="AL395" s="17">
        <v>1.2259</v>
      </c>
      <c r="AM395" s="17">
        <v>0.92290000000000005</v>
      </c>
      <c r="AN395" s="17">
        <v>0.63080000000000003</v>
      </c>
      <c r="AO395" s="17">
        <v>0.36830000000000002</v>
      </c>
      <c r="AP395" s="17">
        <v>0.1072</v>
      </c>
      <c r="AQ395" s="17">
        <v>1.9800000000000002E-2</v>
      </c>
      <c r="AR395" s="17">
        <v>0</v>
      </c>
      <c r="AS395" s="17">
        <v>0</v>
      </c>
      <c r="AT395" s="17">
        <v>0</v>
      </c>
      <c r="AU395" s="17">
        <v>0</v>
      </c>
      <c r="AV395" s="17">
        <v>0</v>
      </c>
      <c r="AW395" s="17">
        <v>0</v>
      </c>
      <c r="AX395" s="17">
        <v>0</v>
      </c>
    </row>
    <row r="396" spans="1:50" x14ac:dyDescent="0.25">
      <c r="A396" s="8" t="s">
        <v>432</v>
      </c>
      <c r="B396" s="10" t="s">
        <v>57</v>
      </c>
      <c r="C396" s="18">
        <v>0</v>
      </c>
      <c r="D396" s="18">
        <v>0</v>
      </c>
      <c r="E396" s="18">
        <v>0</v>
      </c>
      <c r="F396" s="18">
        <v>0</v>
      </c>
      <c r="G396" s="18">
        <v>0</v>
      </c>
      <c r="H396" s="18">
        <v>0</v>
      </c>
      <c r="I396" s="18">
        <v>0</v>
      </c>
      <c r="J396" s="18">
        <v>0</v>
      </c>
      <c r="K396" s="18">
        <v>0</v>
      </c>
      <c r="L396" s="18">
        <v>0</v>
      </c>
      <c r="M396" s="18">
        <v>0</v>
      </c>
      <c r="N396" s="18">
        <v>0</v>
      </c>
      <c r="O396" s="18">
        <v>0</v>
      </c>
      <c r="P396" s="18">
        <v>0</v>
      </c>
      <c r="Q396" s="18">
        <v>0</v>
      </c>
      <c r="R396" s="18">
        <v>0</v>
      </c>
      <c r="S396" s="18">
        <v>0</v>
      </c>
      <c r="T396" s="18">
        <v>0</v>
      </c>
      <c r="U396" s="18">
        <v>0</v>
      </c>
      <c r="V396" s="18">
        <v>0</v>
      </c>
      <c r="W396" s="18">
        <v>0</v>
      </c>
      <c r="X396" s="18">
        <v>0</v>
      </c>
      <c r="Y396" s="18">
        <v>0</v>
      </c>
      <c r="Z396" s="18">
        <v>0</v>
      </c>
      <c r="AA396" s="18">
        <v>0</v>
      </c>
      <c r="AB396" s="18">
        <v>0</v>
      </c>
      <c r="AC396" s="18">
        <v>0</v>
      </c>
      <c r="AD396" s="18">
        <v>0</v>
      </c>
      <c r="AE396" s="18">
        <v>0</v>
      </c>
      <c r="AF396" s="18">
        <v>0</v>
      </c>
      <c r="AG396" s="18">
        <v>0</v>
      </c>
      <c r="AH396" s="18">
        <v>0</v>
      </c>
      <c r="AI396" s="18">
        <v>0</v>
      </c>
      <c r="AJ396" s="18">
        <v>0</v>
      </c>
      <c r="AK396" s="18">
        <v>0</v>
      </c>
      <c r="AL396" s="18">
        <v>0</v>
      </c>
      <c r="AM396" s="18">
        <v>0</v>
      </c>
      <c r="AN396" s="18">
        <v>0</v>
      </c>
      <c r="AO396" s="18">
        <v>0</v>
      </c>
      <c r="AP396" s="18">
        <v>0</v>
      </c>
      <c r="AQ396" s="18">
        <v>0</v>
      </c>
      <c r="AR396" s="18">
        <v>0</v>
      </c>
      <c r="AS396" s="18">
        <v>0</v>
      </c>
      <c r="AT396" s="18">
        <v>0</v>
      </c>
      <c r="AU396" s="18">
        <v>0</v>
      </c>
      <c r="AV396" s="18">
        <v>0</v>
      </c>
      <c r="AW396" s="18">
        <v>0</v>
      </c>
      <c r="AX396" s="18">
        <v>0</v>
      </c>
    </row>
    <row r="397" spans="1:50" x14ac:dyDescent="0.25">
      <c r="A397" s="16" t="s">
        <v>869</v>
      </c>
      <c r="B397" s="13" t="s">
        <v>464</v>
      </c>
      <c r="C397" s="17">
        <v>0</v>
      </c>
      <c r="D397" s="17">
        <v>0</v>
      </c>
      <c r="E397" s="17">
        <v>0</v>
      </c>
      <c r="F397" s="17">
        <v>0</v>
      </c>
      <c r="G397" s="17">
        <v>0</v>
      </c>
      <c r="H397" s="17">
        <v>0</v>
      </c>
      <c r="I397" s="17">
        <v>0</v>
      </c>
      <c r="J397" s="17">
        <v>2.5999999999999999E-3</v>
      </c>
      <c r="K397" s="17">
        <v>3.73E-2</v>
      </c>
      <c r="L397" s="17">
        <v>0.1744</v>
      </c>
      <c r="M397" s="17">
        <v>0.34599999999999997</v>
      </c>
      <c r="N397" s="17">
        <v>0.55640000000000001</v>
      </c>
      <c r="O397" s="17">
        <v>0.78590000000000004</v>
      </c>
      <c r="P397" s="17">
        <v>1.0183</v>
      </c>
      <c r="Q397" s="17">
        <v>1.2495000000000001</v>
      </c>
      <c r="R397" s="17">
        <v>1.4810000000000001</v>
      </c>
      <c r="S397" s="17">
        <v>1.6981999999999999</v>
      </c>
      <c r="T397" s="17">
        <v>1.9025000000000001</v>
      </c>
      <c r="U397" s="17">
        <v>2.0764</v>
      </c>
      <c r="V397" s="17">
        <v>2.2248000000000001</v>
      </c>
      <c r="W397" s="17">
        <v>2.355</v>
      </c>
      <c r="X397" s="17">
        <v>2.4624999999999999</v>
      </c>
      <c r="Y397" s="17">
        <v>2.5387</v>
      </c>
      <c r="Z397" s="17">
        <v>2.5722</v>
      </c>
      <c r="AA397" s="17">
        <v>2.5819000000000001</v>
      </c>
      <c r="AB397" s="17">
        <v>2.5636999999999999</v>
      </c>
      <c r="AC397" s="17">
        <v>2.5028999999999999</v>
      </c>
      <c r="AD397" s="17">
        <v>2.41</v>
      </c>
      <c r="AE397" s="17">
        <v>2.2991000000000001</v>
      </c>
      <c r="AF397" s="17">
        <v>2.1585999999999999</v>
      </c>
      <c r="AG397" s="17">
        <v>2.0093000000000001</v>
      </c>
      <c r="AH397" s="17">
        <v>1.8297000000000001</v>
      </c>
      <c r="AI397" s="17">
        <v>1.6274</v>
      </c>
      <c r="AJ397" s="17">
        <v>1.3831</v>
      </c>
      <c r="AK397" s="17">
        <v>1.1544000000000001</v>
      </c>
      <c r="AL397" s="17">
        <v>0.91949999999999998</v>
      </c>
      <c r="AM397" s="17">
        <v>0.69220000000000004</v>
      </c>
      <c r="AN397" s="17">
        <v>0.47310000000000002</v>
      </c>
      <c r="AO397" s="17">
        <v>0.2762</v>
      </c>
      <c r="AP397" s="17">
        <v>8.0399999999999999E-2</v>
      </c>
      <c r="AQ397" s="17">
        <v>1.4800000000000001E-2</v>
      </c>
      <c r="AR397" s="17">
        <v>0</v>
      </c>
      <c r="AS397" s="17">
        <v>0</v>
      </c>
      <c r="AT397" s="17">
        <v>0</v>
      </c>
      <c r="AU397" s="17">
        <v>0</v>
      </c>
      <c r="AV397" s="17">
        <v>0</v>
      </c>
      <c r="AW397" s="17">
        <v>0</v>
      </c>
      <c r="AX397" s="17">
        <v>0</v>
      </c>
    </row>
    <row r="398" spans="1:50" x14ac:dyDescent="0.25">
      <c r="A398" s="8" t="s">
        <v>434</v>
      </c>
      <c r="B398" s="10" t="s">
        <v>57</v>
      </c>
      <c r="C398" s="18">
        <v>0</v>
      </c>
      <c r="D398" s="18">
        <v>0</v>
      </c>
      <c r="E398" s="18">
        <v>0</v>
      </c>
      <c r="F398" s="18">
        <v>0</v>
      </c>
      <c r="G398" s="18">
        <v>0</v>
      </c>
      <c r="H398" s="18">
        <v>0</v>
      </c>
      <c r="I398" s="18">
        <v>0</v>
      </c>
      <c r="J398" s="18">
        <v>0</v>
      </c>
      <c r="K398" s="18">
        <v>0</v>
      </c>
      <c r="L398" s="18">
        <v>0</v>
      </c>
      <c r="M398" s="18">
        <v>0</v>
      </c>
      <c r="N398" s="18">
        <v>0</v>
      </c>
      <c r="O398" s="18">
        <v>0</v>
      </c>
      <c r="P398" s="18">
        <v>0</v>
      </c>
      <c r="Q398" s="18">
        <v>0</v>
      </c>
      <c r="R398" s="18">
        <v>0</v>
      </c>
      <c r="S398" s="18">
        <v>0</v>
      </c>
      <c r="T398" s="18">
        <v>0</v>
      </c>
      <c r="U398" s="18">
        <v>0</v>
      </c>
      <c r="V398" s="18">
        <v>0</v>
      </c>
      <c r="W398" s="18">
        <v>0</v>
      </c>
      <c r="X398" s="18">
        <v>0</v>
      </c>
      <c r="Y398" s="18">
        <v>0</v>
      </c>
      <c r="Z398" s="18">
        <v>0</v>
      </c>
      <c r="AA398" s="18">
        <v>0</v>
      </c>
      <c r="AB398" s="18">
        <v>0</v>
      </c>
      <c r="AC398" s="18">
        <v>0</v>
      </c>
      <c r="AD398" s="18">
        <v>0</v>
      </c>
      <c r="AE398" s="18">
        <v>0</v>
      </c>
      <c r="AF398" s="18">
        <v>0</v>
      </c>
      <c r="AG398" s="18">
        <v>0</v>
      </c>
      <c r="AH398" s="18">
        <v>0</v>
      </c>
      <c r="AI398" s="18">
        <v>0</v>
      </c>
      <c r="AJ398" s="18">
        <v>0</v>
      </c>
      <c r="AK398" s="18">
        <v>0</v>
      </c>
      <c r="AL398" s="18">
        <v>0</v>
      </c>
      <c r="AM398" s="18">
        <v>0</v>
      </c>
      <c r="AN398" s="18">
        <v>0</v>
      </c>
      <c r="AO398" s="18">
        <v>0</v>
      </c>
      <c r="AP398" s="18">
        <v>0</v>
      </c>
      <c r="AQ398" s="18">
        <v>0</v>
      </c>
      <c r="AR398" s="18">
        <v>0</v>
      </c>
      <c r="AS398" s="18">
        <v>0</v>
      </c>
      <c r="AT398" s="18">
        <v>0</v>
      </c>
      <c r="AU398" s="18">
        <v>0</v>
      </c>
      <c r="AV398" s="18">
        <v>0</v>
      </c>
      <c r="AW398" s="18">
        <v>0</v>
      </c>
      <c r="AX398" s="18">
        <v>0</v>
      </c>
    </row>
    <row r="399" spans="1:50" x14ac:dyDescent="0.25">
      <c r="A399" s="16" t="s">
        <v>871</v>
      </c>
      <c r="B399" s="13" t="s">
        <v>464</v>
      </c>
      <c r="C399" s="17">
        <v>0</v>
      </c>
      <c r="D399" s="17">
        <v>0</v>
      </c>
      <c r="E399" s="17">
        <v>0</v>
      </c>
      <c r="F399" s="17">
        <v>0</v>
      </c>
      <c r="G399" s="17">
        <v>0</v>
      </c>
      <c r="H399" s="17">
        <v>0</v>
      </c>
      <c r="I399" s="17">
        <v>0</v>
      </c>
      <c r="J399" s="17">
        <v>2.5999999999999999E-3</v>
      </c>
      <c r="K399" s="17">
        <v>3.73E-2</v>
      </c>
      <c r="L399" s="17">
        <v>0.1744</v>
      </c>
      <c r="M399" s="17">
        <v>0.34599999999999997</v>
      </c>
      <c r="N399" s="17">
        <v>0.55640000000000001</v>
      </c>
      <c r="O399" s="17">
        <v>0.78590000000000004</v>
      </c>
      <c r="P399" s="17">
        <v>1.0183</v>
      </c>
      <c r="Q399" s="17">
        <v>1.2495000000000001</v>
      </c>
      <c r="R399" s="17">
        <v>1.4810000000000001</v>
      </c>
      <c r="S399" s="17">
        <v>1.6981999999999999</v>
      </c>
      <c r="T399" s="17">
        <v>1.9025000000000001</v>
      </c>
      <c r="U399" s="17">
        <v>2.0764</v>
      </c>
      <c r="V399" s="17">
        <v>2.2248000000000001</v>
      </c>
      <c r="W399" s="17">
        <v>2.355</v>
      </c>
      <c r="X399" s="17">
        <v>2.4624999999999999</v>
      </c>
      <c r="Y399" s="17">
        <v>2.5387</v>
      </c>
      <c r="Z399" s="17">
        <v>2.5722</v>
      </c>
      <c r="AA399" s="17">
        <v>2.5819000000000001</v>
      </c>
      <c r="AB399" s="17">
        <v>2.5636999999999999</v>
      </c>
      <c r="AC399" s="17">
        <v>2.5028999999999999</v>
      </c>
      <c r="AD399" s="17">
        <v>2.41</v>
      </c>
      <c r="AE399" s="17">
        <v>2.2991000000000001</v>
      </c>
      <c r="AF399" s="17">
        <v>2.1585999999999999</v>
      </c>
      <c r="AG399" s="17">
        <v>2.0093000000000001</v>
      </c>
      <c r="AH399" s="17">
        <v>1.8297000000000001</v>
      </c>
      <c r="AI399" s="17">
        <v>1.6274</v>
      </c>
      <c r="AJ399" s="17">
        <v>1.3831</v>
      </c>
      <c r="AK399" s="17">
        <v>1.1544000000000001</v>
      </c>
      <c r="AL399" s="17">
        <v>0.91949999999999998</v>
      </c>
      <c r="AM399" s="17">
        <v>0.69220000000000004</v>
      </c>
      <c r="AN399" s="17">
        <v>0.47310000000000002</v>
      </c>
      <c r="AO399" s="17">
        <v>0.2762</v>
      </c>
      <c r="AP399" s="17">
        <v>8.0399999999999999E-2</v>
      </c>
      <c r="AQ399" s="17">
        <v>1.4800000000000001E-2</v>
      </c>
      <c r="AR399" s="17">
        <v>0</v>
      </c>
      <c r="AS399" s="17">
        <v>0</v>
      </c>
      <c r="AT399" s="17">
        <v>0</v>
      </c>
      <c r="AU399" s="17">
        <v>0</v>
      </c>
      <c r="AV399" s="17">
        <v>0</v>
      </c>
      <c r="AW399" s="17">
        <v>0</v>
      </c>
      <c r="AX399" s="17">
        <v>0</v>
      </c>
    </row>
    <row r="400" spans="1:50" x14ac:dyDescent="0.25">
      <c r="A400" s="16" t="s">
        <v>873</v>
      </c>
      <c r="B400" s="13" t="s">
        <v>464</v>
      </c>
      <c r="C400" s="17">
        <v>0</v>
      </c>
      <c r="D400" s="17">
        <v>0</v>
      </c>
      <c r="E400" s="17">
        <v>0</v>
      </c>
      <c r="F400" s="17">
        <v>0</v>
      </c>
      <c r="G400" s="17">
        <v>0</v>
      </c>
      <c r="H400" s="17">
        <v>0</v>
      </c>
      <c r="I400" s="17">
        <v>0</v>
      </c>
      <c r="J400" s="17">
        <v>3.3999999999999998E-3</v>
      </c>
      <c r="K400" s="17">
        <v>4.9700000000000001E-2</v>
      </c>
      <c r="L400" s="17">
        <v>0.2326</v>
      </c>
      <c r="M400" s="17">
        <v>0.46129999999999999</v>
      </c>
      <c r="N400" s="17">
        <v>0.7419</v>
      </c>
      <c r="O400" s="17">
        <v>1.0479000000000001</v>
      </c>
      <c r="P400" s="17">
        <v>1.3576999999999999</v>
      </c>
      <c r="Q400" s="17">
        <v>1.6659999999999999</v>
      </c>
      <c r="R400" s="17">
        <v>1.9745999999999999</v>
      </c>
      <c r="S400" s="17">
        <v>2.2643</v>
      </c>
      <c r="T400" s="17">
        <v>2.5367000000000002</v>
      </c>
      <c r="U400" s="17">
        <v>2.7686000000000002</v>
      </c>
      <c r="V400" s="17">
        <v>2.9664000000000001</v>
      </c>
      <c r="W400" s="17">
        <v>3.14</v>
      </c>
      <c r="X400" s="17">
        <v>3.2833000000000001</v>
      </c>
      <c r="Y400" s="17">
        <v>3.3849999999999998</v>
      </c>
      <c r="Z400" s="17">
        <v>3.4296000000000002</v>
      </c>
      <c r="AA400" s="17">
        <v>3.4424999999999999</v>
      </c>
      <c r="AB400" s="17">
        <v>3.4182999999999999</v>
      </c>
      <c r="AC400" s="17">
        <v>3.3372000000000002</v>
      </c>
      <c r="AD400" s="17">
        <v>3.2132999999999998</v>
      </c>
      <c r="AE400" s="17">
        <v>3.0655000000000001</v>
      </c>
      <c r="AF400" s="17">
        <v>2.8782000000000001</v>
      </c>
      <c r="AG400" s="17">
        <v>2.6791</v>
      </c>
      <c r="AH400" s="17">
        <v>2.4396</v>
      </c>
      <c r="AI400" s="17">
        <v>2.1698</v>
      </c>
      <c r="AJ400" s="17">
        <v>1.8441000000000001</v>
      </c>
      <c r="AK400" s="17">
        <v>1.5391999999999999</v>
      </c>
      <c r="AL400" s="17">
        <v>1.2259</v>
      </c>
      <c r="AM400" s="17">
        <v>0.92290000000000005</v>
      </c>
      <c r="AN400" s="17">
        <v>0.63080000000000003</v>
      </c>
      <c r="AO400" s="17">
        <v>0.36830000000000002</v>
      </c>
      <c r="AP400" s="17">
        <v>0.1072</v>
      </c>
      <c r="AQ400" s="17">
        <v>1.9800000000000002E-2</v>
      </c>
      <c r="AR400" s="17">
        <v>0</v>
      </c>
      <c r="AS400" s="17">
        <v>0</v>
      </c>
      <c r="AT400" s="17">
        <v>0</v>
      </c>
      <c r="AU400" s="17">
        <v>0</v>
      </c>
      <c r="AV400" s="17">
        <v>0</v>
      </c>
      <c r="AW400" s="17">
        <v>0</v>
      </c>
      <c r="AX400" s="17">
        <v>0</v>
      </c>
    </row>
    <row r="401" spans="1:50" x14ac:dyDescent="0.25">
      <c r="A401" s="8" t="s">
        <v>436</v>
      </c>
      <c r="B401" s="10" t="s">
        <v>57</v>
      </c>
      <c r="C401" s="18">
        <v>0</v>
      </c>
      <c r="D401" s="18">
        <v>0</v>
      </c>
      <c r="E401" s="18">
        <v>0</v>
      </c>
      <c r="F401" s="18">
        <v>0</v>
      </c>
      <c r="G401" s="18">
        <v>0</v>
      </c>
      <c r="H401" s="18">
        <v>0</v>
      </c>
      <c r="I401" s="18">
        <v>0</v>
      </c>
      <c r="J401" s="18">
        <v>0</v>
      </c>
      <c r="K401" s="18">
        <v>0</v>
      </c>
      <c r="L401" s="18">
        <v>0</v>
      </c>
      <c r="M401" s="18">
        <v>0</v>
      </c>
      <c r="N401" s="18">
        <v>0</v>
      </c>
      <c r="O401" s="18">
        <v>0</v>
      </c>
      <c r="P401" s="18">
        <v>0</v>
      </c>
      <c r="Q401" s="18">
        <v>0</v>
      </c>
      <c r="R401" s="18">
        <v>0</v>
      </c>
      <c r="S401" s="18">
        <v>0</v>
      </c>
      <c r="T401" s="18">
        <v>0</v>
      </c>
      <c r="U401" s="18">
        <v>0</v>
      </c>
      <c r="V401" s="18">
        <v>0</v>
      </c>
      <c r="W401" s="18">
        <v>0</v>
      </c>
      <c r="X401" s="18">
        <v>0</v>
      </c>
      <c r="Y401" s="18">
        <v>0</v>
      </c>
      <c r="Z401" s="18">
        <v>0</v>
      </c>
      <c r="AA401" s="18">
        <v>0</v>
      </c>
      <c r="AB401" s="18">
        <v>0</v>
      </c>
      <c r="AC401" s="18">
        <v>0</v>
      </c>
      <c r="AD401" s="18">
        <v>0</v>
      </c>
      <c r="AE401" s="18">
        <v>0</v>
      </c>
      <c r="AF401" s="18">
        <v>0</v>
      </c>
      <c r="AG401" s="18">
        <v>0</v>
      </c>
      <c r="AH401" s="18">
        <v>0</v>
      </c>
      <c r="AI401" s="18">
        <v>0</v>
      </c>
      <c r="AJ401" s="18">
        <v>0</v>
      </c>
      <c r="AK401" s="18">
        <v>0</v>
      </c>
      <c r="AL401" s="18">
        <v>0</v>
      </c>
      <c r="AM401" s="18">
        <v>0</v>
      </c>
      <c r="AN401" s="18">
        <v>0</v>
      </c>
      <c r="AO401" s="18">
        <v>0</v>
      </c>
      <c r="AP401" s="18">
        <v>0</v>
      </c>
      <c r="AQ401" s="18">
        <v>0</v>
      </c>
      <c r="AR401" s="18">
        <v>0</v>
      </c>
      <c r="AS401" s="18">
        <v>0</v>
      </c>
      <c r="AT401" s="18">
        <v>0</v>
      </c>
      <c r="AU401" s="18">
        <v>0</v>
      </c>
      <c r="AV401" s="18">
        <v>0</v>
      </c>
      <c r="AW401" s="18">
        <v>0</v>
      </c>
      <c r="AX401" s="18">
        <v>0</v>
      </c>
    </row>
    <row r="402" spans="1:50" x14ac:dyDescent="0.25">
      <c r="A402" s="16" t="s">
        <v>875</v>
      </c>
      <c r="B402" s="13" t="s">
        <v>464</v>
      </c>
      <c r="C402" s="17">
        <v>0</v>
      </c>
      <c r="D402" s="17">
        <v>0</v>
      </c>
      <c r="E402" s="17">
        <v>0</v>
      </c>
      <c r="F402" s="17">
        <v>0</v>
      </c>
      <c r="G402" s="17">
        <v>0</v>
      </c>
      <c r="H402" s="17">
        <v>0</v>
      </c>
      <c r="I402" s="17">
        <v>0</v>
      </c>
      <c r="J402" s="17">
        <v>2.5999999999999999E-3</v>
      </c>
      <c r="K402" s="17">
        <v>3.73E-2</v>
      </c>
      <c r="L402" s="17">
        <v>0.1744</v>
      </c>
      <c r="M402" s="17">
        <v>0.34599999999999997</v>
      </c>
      <c r="N402" s="17">
        <v>0.55640000000000001</v>
      </c>
      <c r="O402" s="17">
        <v>0.78590000000000004</v>
      </c>
      <c r="P402" s="17">
        <v>1.0183</v>
      </c>
      <c r="Q402" s="17">
        <v>1.2495000000000001</v>
      </c>
      <c r="R402" s="17">
        <v>1.4810000000000001</v>
      </c>
      <c r="S402" s="17">
        <v>1.6981999999999999</v>
      </c>
      <c r="T402" s="17">
        <v>1.9025000000000001</v>
      </c>
      <c r="U402" s="17">
        <v>2.0764</v>
      </c>
      <c r="V402" s="17">
        <v>2.2248000000000001</v>
      </c>
      <c r="W402" s="17">
        <v>2.355</v>
      </c>
      <c r="X402" s="17">
        <v>2.4624999999999999</v>
      </c>
      <c r="Y402" s="17">
        <v>2.5387</v>
      </c>
      <c r="Z402" s="17">
        <v>2.5722</v>
      </c>
      <c r="AA402" s="17">
        <v>2.5819000000000001</v>
      </c>
      <c r="AB402" s="17">
        <v>2.5636999999999999</v>
      </c>
      <c r="AC402" s="17">
        <v>2.5028999999999999</v>
      </c>
      <c r="AD402" s="17">
        <v>2.41</v>
      </c>
      <c r="AE402" s="17">
        <v>2.2991000000000001</v>
      </c>
      <c r="AF402" s="17">
        <v>2.1585999999999999</v>
      </c>
      <c r="AG402" s="17">
        <v>2.0093000000000001</v>
      </c>
      <c r="AH402" s="17">
        <v>1.8297000000000001</v>
      </c>
      <c r="AI402" s="17">
        <v>1.6274</v>
      </c>
      <c r="AJ402" s="17">
        <v>1.3831</v>
      </c>
      <c r="AK402" s="17">
        <v>1.1544000000000001</v>
      </c>
      <c r="AL402" s="17">
        <v>0.91949999999999998</v>
      </c>
      <c r="AM402" s="17">
        <v>0.69220000000000004</v>
      </c>
      <c r="AN402" s="17">
        <v>0.47310000000000002</v>
      </c>
      <c r="AO402" s="17">
        <v>0.2762</v>
      </c>
      <c r="AP402" s="17">
        <v>8.0399999999999999E-2</v>
      </c>
      <c r="AQ402" s="17">
        <v>1.4800000000000001E-2</v>
      </c>
      <c r="AR402" s="17">
        <v>0</v>
      </c>
      <c r="AS402" s="17">
        <v>0</v>
      </c>
      <c r="AT402" s="17">
        <v>0</v>
      </c>
      <c r="AU402" s="17">
        <v>0</v>
      </c>
      <c r="AV402" s="17">
        <v>0</v>
      </c>
      <c r="AW402" s="17">
        <v>0</v>
      </c>
      <c r="AX402" s="17">
        <v>0</v>
      </c>
    </row>
    <row r="403" spans="1:50" x14ac:dyDescent="0.25">
      <c r="A403" s="8" t="s">
        <v>438</v>
      </c>
      <c r="B403" s="10" t="s">
        <v>57</v>
      </c>
      <c r="C403" s="18">
        <v>0</v>
      </c>
      <c r="D403" s="18">
        <v>0</v>
      </c>
      <c r="E403" s="18">
        <v>0</v>
      </c>
      <c r="F403" s="18">
        <v>0</v>
      </c>
      <c r="G403" s="18">
        <v>0</v>
      </c>
      <c r="H403" s="18">
        <v>0</v>
      </c>
      <c r="I403" s="18">
        <v>0</v>
      </c>
      <c r="J403" s="18">
        <v>0</v>
      </c>
      <c r="K403" s="18">
        <v>0</v>
      </c>
      <c r="L403" s="18">
        <v>0</v>
      </c>
      <c r="M403" s="18">
        <v>0</v>
      </c>
      <c r="N403" s="18">
        <v>0</v>
      </c>
      <c r="O403" s="18">
        <v>0</v>
      </c>
      <c r="P403" s="18">
        <v>0</v>
      </c>
      <c r="Q403" s="18">
        <v>0</v>
      </c>
      <c r="R403" s="18">
        <v>0</v>
      </c>
      <c r="S403" s="18">
        <v>0</v>
      </c>
      <c r="T403" s="18">
        <v>0</v>
      </c>
      <c r="U403" s="18">
        <v>0</v>
      </c>
      <c r="V403" s="18">
        <v>0</v>
      </c>
      <c r="W403" s="18">
        <v>0</v>
      </c>
      <c r="X403" s="18">
        <v>0</v>
      </c>
      <c r="Y403" s="18">
        <v>0</v>
      </c>
      <c r="Z403" s="18">
        <v>0</v>
      </c>
      <c r="AA403" s="18">
        <v>0</v>
      </c>
      <c r="AB403" s="18">
        <v>0</v>
      </c>
      <c r="AC403" s="18">
        <v>0</v>
      </c>
      <c r="AD403" s="18">
        <v>0</v>
      </c>
      <c r="AE403" s="18">
        <v>0</v>
      </c>
      <c r="AF403" s="18">
        <v>0</v>
      </c>
      <c r="AG403" s="18">
        <v>0</v>
      </c>
      <c r="AH403" s="18">
        <v>0</v>
      </c>
      <c r="AI403" s="18">
        <v>0</v>
      </c>
      <c r="AJ403" s="18">
        <v>0</v>
      </c>
      <c r="AK403" s="18">
        <v>0</v>
      </c>
      <c r="AL403" s="18">
        <v>0</v>
      </c>
      <c r="AM403" s="18">
        <v>0</v>
      </c>
      <c r="AN403" s="18">
        <v>0</v>
      </c>
      <c r="AO403" s="18">
        <v>0</v>
      </c>
      <c r="AP403" s="18">
        <v>0</v>
      </c>
      <c r="AQ403" s="18">
        <v>0</v>
      </c>
      <c r="AR403" s="18">
        <v>0</v>
      </c>
      <c r="AS403" s="18">
        <v>0</v>
      </c>
      <c r="AT403" s="18">
        <v>0</v>
      </c>
      <c r="AU403" s="18">
        <v>0</v>
      </c>
      <c r="AV403" s="18">
        <v>0</v>
      </c>
      <c r="AW403" s="18">
        <v>0</v>
      </c>
      <c r="AX403" s="18">
        <v>0</v>
      </c>
    </row>
    <row r="404" spans="1:50" x14ac:dyDescent="0.25">
      <c r="A404" s="16" t="s">
        <v>877</v>
      </c>
      <c r="B404" s="13" t="s">
        <v>464</v>
      </c>
      <c r="C404" s="17">
        <v>0</v>
      </c>
      <c r="D404" s="17">
        <v>0</v>
      </c>
      <c r="E404" s="17">
        <v>0</v>
      </c>
      <c r="F404" s="17">
        <v>0</v>
      </c>
      <c r="G404" s="17">
        <v>0</v>
      </c>
      <c r="H404" s="17">
        <v>0</v>
      </c>
      <c r="I404" s="17">
        <v>0</v>
      </c>
      <c r="J404" s="17">
        <v>2.5999999999999999E-3</v>
      </c>
      <c r="K404" s="17">
        <v>3.73E-2</v>
      </c>
      <c r="L404" s="17">
        <v>0.1744</v>
      </c>
      <c r="M404" s="17">
        <v>0.34599999999999997</v>
      </c>
      <c r="N404" s="17">
        <v>0.55640000000000001</v>
      </c>
      <c r="O404" s="17">
        <v>0.78590000000000004</v>
      </c>
      <c r="P404" s="17">
        <v>1.0183</v>
      </c>
      <c r="Q404" s="17">
        <v>1.2495000000000001</v>
      </c>
      <c r="R404" s="17">
        <v>1.4810000000000001</v>
      </c>
      <c r="S404" s="17">
        <v>1.6981999999999999</v>
      </c>
      <c r="T404" s="17">
        <v>1.9025000000000001</v>
      </c>
      <c r="U404" s="17">
        <v>2.0764</v>
      </c>
      <c r="V404" s="17">
        <v>2.2248000000000001</v>
      </c>
      <c r="W404" s="17">
        <v>2.355</v>
      </c>
      <c r="X404" s="17">
        <v>2.4624999999999999</v>
      </c>
      <c r="Y404" s="17">
        <v>2.5387</v>
      </c>
      <c r="Z404" s="17">
        <v>2.5722</v>
      </c>
      <c r="AA404" s="17">
        <v>2.5819000000000001</v>
      </c>
      <c r="AB404" s="17">
        <v>2.5636999999999999</v>
      </c>
      <c r="AC404" s="17">
        <v>2.5028999999999999</v>
      </c>
      <c r="AD404" s="17">
        <v>2.41</v>
      </c>
      <c r="AE404" s="17">
        <v>2.2991000000000001</v>
      </c>
      <c r="AF404" s="17">
        <v>2.1585999999999999</v>
      </c>
      <c r="AG404" s="17">
        <v>2.0093000000000001</v>
      </c>
      <c r="AH404" s="17">
        <v>1.8297000000000001</v>
      </c>
      <c r="AI404" s="17">
        <v>1.6274</v>
      </c>
      <c r="AJ404" s="17">
        <v>1.3831</v>
      </c>
      <c r="AK404" s="17">
        <v>1.1544000000000001</v>
      </c>
      <c r="AL404" s="17">
        <v>0.91949999999999998</v>
      </c>
      <c r="AM404" s="17">
        <v>0.69220000000000004</v>
      </c>
      <c r="AN404" s="17">
        <v>0.47310000000000002</v>
      </c>
      <c r="AO404" s="17">
        <v>0.2762</v>
      </c>
      <c r="AP404" s="17">
        <v>8.0399999999999999E-2</v>
      </c>
      <c r="AQ404" s="17">
        <v>1.4800000000000001E-2</v>
      </c>
      <c r="AR404" s="17">
        <v>0</v>
      </c>
      <c r="AS404" s="17">
        <v>0</v>
      </c>
      <c r="AT404" s="17">
        <v>0</v>
      </c>
      <c r="AU404" s="17">
        <v>0</v>
      </c>
      <c r="AV404" s="17">
        <v>0</v>
      </c>
      <c r="AW404" s="17">
        <v>0</v>
      </c>
      <c r="AX404" s="17">
        <v>0</v>
      </c>
    </row>
    <row r="405" spans="1:50" x14ac:dyDescent="0.25">
      <c r="A405" s="8" t="s">
        <v>440</v>
      </c>
      <c r="B405" s="10" t="s">
        <v>57</v>
      </c>
      <c r="C405" s="18">
        <v>0</v>
      </c>
      <c r="D405" s="18">
        <v>0</v>
      </c>
      <c r="E405" s="18">
        <v>0</v>
      </c>
      <c r="F405" s="18">
        <v>0</v>
      </c>
      <c r="G405" s="18">
        <v>0</v>
      </c>
      <c r="H405" s="18">
        <v>0</v>
      </c>
      <c r="I405" s="18">
        <v>0</v>
      </c>
      <c r="J405" s="18">
        <v>0</v>
      </c>
      <c r="K405" s="18">
        <v>0</v>
      </c>
      <c r="L405" s="18">
        <v>0</v>
      </c>
      <c r="M405" s="18">
        <v>0</v>
      </c>
      <c r="N405" s="18">
        <v>0</v>
      </c>
      <c r="O405" s="18">
        <v>0</v>
      </c>
      <c r="P405" s="18">
        <v>0</v>
      </c>
      <c r="Q405" s="18">
        <v>0</v>
      </c>
      <c r="R405" s="18">
        <v>0</v>
      </c>
      <c r="S405" s="18">
        <v>0</v>
      </c>
      <c r="T405" s="18">
        <v>0</v>
      </c>
      <c r="U405" s="18">
        <v>0</v>
      </c>
      <c r="V405" s="18">
        <v>0</v>
      </c>
      <c r="W405" s="18">
        <v>0</v>
      </c>
      <c r="X405" s="18">
        <v>0</v>
      </c>
      <c r="Y405" s="18">
        <v>0</v>
      </c>
      <c r="Z405" s="18">
        <v>0</v>
      </c>
      <c r="AA405" s="18">
        <v>0</v>
      </c>
      <c r="AB405" s="18">
        <v>0</v>
      </c>
      <c r="AC405" s="18">
        <v>0</v>
      </c>
      <c r="AD405" s="18">
        <v>0</v>
      </c>
      <c r="AE405" s="18">
        <v>0</v>
      </c>
      <c r="AF405" s="18">
        <v>0</v>
      </c>
      <c r="AG405" s="18">
        <v>0</v>
      </c>
      <c r="AH405" s="18">
        <v>0</v>
      </c>
      <c r="AI405" s="18">
        <v>0</v>
      </c>
      <c r="AJ405" s="18">
        <v>0</v>
      </c>
      <c r="AK405" s="18">
        <v>0</v>
      </c>
      <c r="AL405" s="18">
        <v>0</v>
      </c>
      <c r="AM405" s="18">
        <v>0</v>
      </c>
      <c r="AN405" s="18">
        <v>0</v>
      </c>
      <c r="AO405" s="18">
        <v>0</v>
      </c>
      <c r="AP405" s="18">
        <v>0</v>
      </c>
      <c r="AQ405" s="18">
        <v>0</v>
      </c>
      <c r="AR405" s="18">
        <v>0</v>
      </c>
      <c r="AS405" s="18">
        <v>0</v>
      </c>
      <c r="AT405" s="18">
        <v>0</v>
      </c>
      <c r="AU405" s="18">
        <v>0</v>
      </c>
      <c r="AV405" s="18">
        <v>0</v>
      </c>
      <c r="AW405" s="18">
        <v>0</v>
      </c>
      <c r="AX405" s="18">
        <v>0</v>
      </c>
    </row>
    <row r="406" spans="1:50" x14ac:dyDescent="0.25">
      <c r="A406" s="8" t="s">
        <v>442</v>
      </c>
      <c r="B406" s="10" t="s">
        <v>57</v>
      </c>
      <c r="C406" s="18">
        <v>0</v>
      </c>
      <c r="D406" s="18">
        <v>0</v>
      </c>
      <c r="E406" s="18">
        <v>0</v>
      </c>
      <c r="F406" s="18">
        <v>0</v>
      </c>
      <c r="G406" s="18">
        <v>0</v>
      </c>
      <c r="H406" s="18">
        <v>0</v>
      </c>
      <c r="I406" s="18">
        <v>0</v>
      </c>
      <c r="J406" s="18">
        <v>0</v>
      </c>
      <c r="K406" s="18">
        <v>0</v>
      </c>
      <c r="L406" s="18">
        <v>0</v>
      </c>
      <c r="M406" s="18">
        <v>0</v>
      </c>
      <c r="N406" s="18">
        <v>0</v>
      </c>
      <c r="O406" s="18">
        <v>0</v>
      </c>
      <c r="P406" s="18">
        <v>0</v>
      </c>
      <c r="Q406" s="18">
        <v>0</v>
      </c>
      <c r="R406" s="18">
        <v>0</v>
      </c>
      <c r="S406" s="18">
        <v>0</v>
      </c>
      <c r="T406" s="18">
        <v>0</v>
      </c>
      <c r="U406" s="18">
        <v>0</v>
      </c>
      <c r="V406" s="18">
        <v>0</v>
      </c>
      <c r="W406" s="18">
        <v>0</v>
      </c>
      <c r="X406" s="18">
        <v>0</v>
      </c>
      <c r="Y406" s="18">
        <v>0</v>
      </c>
      <c r="Z406" s="18">
        <v>0</v>
      </c>
      <c r="AA406" s="18">
        <v>0</v>
      </c>
      <c r="AB406" s="18">
        <v>0</v>
      </c>
      <c r="AC406" s="18">
        <v>0</v>
      </c>
      <c r="AD406" s="18">
        <v>0</v>
      </c>
      <c r="AE406" s="18">
        <v>0</v>
      </c>
      <c r="AF406" s="18">
        <v>0</v>
      </c>
      <c r="AG406" s="18">
        <v>0</v>
      </c>
      <c r="AH406" s="18">
        <v>0</v>
      </c>
      <c r="AI406" s="18">
        <v>0</v>
      </c>
      <c r="AJ406" s="18">
        <v>0</v>
      </c>
      <c r="AK406" s="18">
        <v>0</v>
      </c>
      <c r="AL406" s="18">
        <v>0</v>
      </c>
      <c r="AM406" s="18">
        <v>0</v>
      </c>
      <c r="AN406" s="18">
        <v>0</v>
      </c>
      <c r="AO406" s="18">
        <v>0</v>
      </c>
      <c r="AP406" s="18">
        <v>0</v>
      </c>
      <c r="AQ406" s="18">
        <v>0</v>
      </c>
      <c r="AR406" s="18">
        <v>0</v>
      </c>
      <c r="AS406" s="18">
        <v>0</v>
      </c>
      <c r="AT406" s="18">
        <v>0</v>
      </c>
      <c r="AU406" s="18">
        <v>0</v>
      </c>
      <c r="AV406" s="18">
        <v>0</v>
      </c>
      <c r="AW406" s="18">
        <v>0</v>
      </c>
      <c r="AX406" s="18">
        <v>0</v>
      </c>
    </row>
    <row r="407" spans="1:50" x14ac:dyDescent="0.25">
      <c r="A407" s="16" t="s">
        <v>879</v>
      </c>
      <c r="B407" s="13" t="s">
        <v>464</v>
      </c>
      <c r="C407" s="17">
        <v>0</v>
      </c>
      <c r="D407" s="17">
        <v>0</v>
      </c>
      <c r="E407" s="17">
        <v>0</v>
      </c>
      <c r="F407" s="17">
        <v>0</v>
      </c>
      <c r="G407" s="17">
        <v>0</v>
      </c>
      <c r="H407" s="17">
        <v>0</v>
      </c>
      <c r="I407" s="17">
        <v>0</v>
      </c>
      <c r="J407" s="17">
        <v>1.6999999999999999E-3</v>
      </c>
      <c r="K407" s="17">
        <v>2.4899999999999999E-2</v>
      </c>
      <c r="L407" s="17">
        <v>0.1163</v>
      </c>
      <c r="M407" s="17">
        <v>0.23069999999999999</v>
      </c>
      <c r="N407" s="17">
        <v>0.37090000000000001</v>
      </c>
      <c r="O407" s="17">
        <v>0.52400000000000002</v>
      </c>
      <c r="P407" s="17">
        <v>0.67889999999999995</v>
      </c>
      <c r="Q407" s="17">
        <v>0.83299999999999996</v>
      </c>
      <c r="R407" s="17">
        <v>0.98729999999999996</v>
      </c>
      <c r="S407" s="17">
        <v>1.1322000000000001</v>
      </c>
      <c r="T407" s="17">
        <v>1.2683</v>
      </c>
      <c r="U407" s="17">
        <v>1.3843000000000001</v>
      </c>
      <c r="V407" s="17">
        <v>1.4832000000000001</v>
      </c>
      <c r="W407" s="17">
        <v>1.57</v>
      </c>
      <c r="X407" s="17">
        <v>1.6416999999999999</v>
      </c>
      <c r="Y407" s="17">
        <v>1.6924999999999999</v>
      </c>
      <c r="Z407" s="17">
        <v>1.7148000000000001</v>
      </c>
      <c r="AA407" s="17">
        <v>1.7212000000000001</v>
      </c>
      <c r="AB407" s="17">
        <v>1.7092000000000001</v>
      </c>
      <c r="AC407" s="17">
        <v>1.6686000000000001</v>
      </c>
      <c r="AD407" s="17">
        <v>1.6067</v>
      </c>
      <c r="AE407" s="17">
        <v>1.5327999999999999</v>
      </c>
      <c r="AF407" s="17">
        <v>1.4391</v>
      </c>
      <c r="AG407" s="17">
        <v>1.3395999999999999</v>
      </c>
      <c r="AH407" s="17">
        <v>1.2198</v>
      </c>
      <c r="AI407" s="17">
        <v>1.0849</v>
      </c>
      <c r="AJ407" s="17">
        <v>0.92200000000000004</v>
      </c>
      <c r="AK407" s="17">
        <v>0.76959999999999995</v>
      </c>
      <c r="AL407" s="17">
        <v>0.61299999999999999</v>
      </c>
      <c r="AM407" s="17">
        <v>0.46150000000000002</v>
      </c>
      <c r="AN407" s="17">
        <v>0.31540000000000001</v>
      </c>
      <c r="AO407" s="17">
        <v>0.1842</v>
      </c>
      <c r="AP407" s="17">
        <v>5.3600000000000002E-2</v>
      </c>
      <c r="AQ407" s="17">
        <v>9.9000000000000008E-3</v>
      </c>
      <c r="AR407" s="17">
        <v>0</v>
      </c>
      <c r="AS407" s="17">
        <v>0</v>
      </c>
      <c r="AT407" s="17">
        <v>0</v>
      </c>
      <c r="AU407" s="17">
        <v>0</v>
      </c>
      <c r="AV407" s="17">
        <v>0</v>
      </c>
      <c r="AW407" s="17">
        <v>0</v>
      </c>
      <c r="AX407" s="17">
        <v>0</v>
      </c>
    </row>
    <row r="408" spans="1:50" x14ac:dyDescent="0.25">
      <c r="A408" s="16" t="s">
        <v>881</v>
      </c>
      <c r="B408" s="13" t="s">
        <v>464</v>
      </c>
      <c r="C408" s="17">
        <v>0</v>
      </c>
      <c r="D408" s="17">
        <v>0</v>
      </c>
      <c r="E408" s="17">
        <v>0</v>
      </c>
      <c r="F408" s="17">
        <v>0</v>
      </c>
      <c r="G408" s="17">
        <v>0</v>
      </c>
      <c r="H408" s="17">
        <v>0</v>
      </c>
      <c r="I408" s="17">
        <v>0</v>
      </c>
      <c r="J408" s="17">
        <v>3.3999999999999998E-3</v>
      </c>
      <c r="K408" s="17">
        <v>4.9700000000000001E-2</v>
      </c>
      <c r="L408" s="17">
        <v>0.2326</v>
      </c>
      <c r="M408" s="17">
        <v>0.46129999999999999</v>
      </c>
      <c r="N408" s="17">
        <v>0.7419</v>
      </c>
      <c r="O408" s="17">
        <v>1.0479000000000001</v>
      </c>
      <c r="P408" s="17">
        <v>1.3576999999999999</v>
      </c>
      <c r="Q408" s="17">
        <v>1.6659999999999999</v>
      </c>
      <c r="R408" s="17">
        <v>1.9745999999999999</v>
      </c>
      <c r="S408" s="17">
        <v>2.2643</v>
      </c>
      <c r="T408" s="17">
        <v>2.5367000000000002</v>
      </c>
      <c r="U408" s="17">
        <v>2.7686000000000002</v>
      </c>
      <c r="V408" s="17">
        <v>2.9664000000000001</v>
      </c>
      <c r="W408" s="17">
        <v>3.14</v>
      </c>
      <c r="X408" s="17">
        <v>3.2833000000000001</v>
      </c>
      <c r="Y408" s="17">
        <v>3.3849999999999998</v>
      </c>
      <c r="Z408" s="17">
        <v>3.4296000000000002</v>
      </c>
      <c r="AA408" s="17">
        <v>3.4424999999999999</v>
      </c>
      <c r="AB408" s="17">
        <v>3.4182999999999999</v>
      </c>
      <c r="AC408" s="17">
        <v>3.3372000000000002</v>
      </c>
      <c r="AD408" s="17">
        <v>3.2132999999999998</v>
      </c>
      <c r="AE408" s="17">
        <v>3.0655000000000001</v>
      </c>
      <c r="AF408" s="17">
        <v>2.8782000000000001</v>
      </c>
      <c r="AG408" s="17">
        <v>2.6791</v>
      </c>
      <c r="AH408" s="17">
        <v>2.4396</v>
      </c>
      <c r="AI408" s="17">
        <v>2.1698</v>
      </c>
      <c r="AJ408" s="17">
        <v>1.8441000000000001</v>
      </c>
      <c r="AK408" s="17">
        <v>1.5391999999999999</v>
      </c>
      <c r="AL408" s="17">
        <v>1.2259</v>
      </c>
      <c r="AM408" s="17">
        <v>0.92290000000000005</v>
      </c>
      <c r="AN408" s="17">
        <v>0.63080000000000003</v>
      </c>
      <c r="AO408" s="17">
        <v>0.36830000000000002</v>
      </c>
      <c r="AP408" s="17">
        <v>0.1072</v>
      </c>
      <c r="AQ408" s="17">
        <v>1.9800000000000002E-2</v>
      </c>
      <c r="AR408" s="17">
        <v>0</v>
      </c>
      <c r="AS408" s="17">
        <v>0</v>
      </c>
      <c r="AT408" s="17">
        <v>0</v>
      </c>
      <c r="AU408" s="17">
        <v>0</v>
      </c>
      <c r="AV408" s="17">
        <v>0</v>
      </c>
      <c r="AW408" s="17">
        <v>0</v>
      </c>
      <c r="AX408" s="17">
        <v>0</v>
      </c>
    </row>
    <row r="409" spans="1:50" x14ac:dyDescent="0.25">
      <c r="A409" s="8" t="s">
        <v>444</v>
      </c>
      <c r="B409" s="10" t="s">
        <v>57</v>
      </c>
      <c r="C409" s="18">
        <v>0</v>
      </c>
      <c r="D409" s="18">
        <v>0</v>
      </c>
      <c r="E409" s="18">
        <v>0</v>
      </c>
      <c r="F409" s="18">
        <v>0</v>
      </c>
      <c r="G409" s="18">
        <v>0</v>
      </c>
      <c r="H409" s="18">
        <v>0</v>
      </c>
      <c r="I409" s="18">
        <v>0</v>
      </c>
      <c r="J409" s="18">
        <v>0</v>
      </c>
      <c r="K409" s="18">
        <v>0</v>
      </c>
      <c r="L409" s="18">
        <v>0</v>
      </c>
      <c r="M409" s="18">
        <v>0</v>
      </c>
      <c r="N409" s="18">
        <v>0</v>
      </c>
      <c r="O409" s="18">
        <v>0</v>
      </c>
      <c r="P409" s="18">
        <v>0</v>
      </c>
      <c r="Q409" s="18">
        <v>0</v>
      </c>
      <c r="R409" s="18">
        <v>0</v>
      </c>
      <c r="S409" s="18">
        <v>0</v>
      </c>
      <c r="T409" s="18">
        <v>0</v>
      </c>
      <c r="U409" s="18">
        <v>0</v>
      </c>
      <c r="V409" s="18">
        <v>0</v>
      </c>
      <c r="W409" s="18">
        <v>0</v>
      </c>
      <c r="X409" s="18">
        <v>0</v>
      </c>
      <c r="Y409" s="18">
        <v>0</v>
      </c>
      <c r="Z409" s="18">
        <v>0</v>
      </c>
      <c r="AA409" s="18">
        <v>0</v>
      </c>
      <c r="AB409" s="18">
        <v>0</v>
      </c>
      <c r="AC409" s="18">
        <v>0</v>
      </c>
      <c r="AD409" s="18">
        <v>0</v>
      </c>
      <c r="AE409" s="18">
        <v>0</v>
      </c>
      <c r="AF409" s="18">
        <v>0</v>
      </c>
      <c r="AG409" s="18">
        <v>0</v>
      </c>
      <c r="AH409" s="18">
        <v>0</v>
      </c>
      <c r="AI409" s="18">
        <v>0</v>
      </c>
      <c r="AJ409" s="18">
        <v>0</v>
      </c>
      <c r="AK409" s="18">
        <v>0</v>
      </c>
      <c r="AL409" s="18">
        <v>0</v>
      </c>
      <c r="AM409" s="18">
        <v>0</v>
      </c>
      <c r="AN409" s="18">
        <v>0</v>
      </c>
      <c r="AO409" s="18">
        <v>0</v>
      </c>
      <c r="AP409" s="18">
        <v>0</v>
      </c>
      <c r="AQ409" s="18">
        <v>0</v>
      </c>
      <c r="AR409" s="18">
        <v>0</v>
      </c>
      <c r="AS409" s="18">
        <v>0</v>
      </c>
      <c r="AT409" s="18">
        <v>0</v>
      </c>
      <c r="AU409" s="18">
        <v>0</v>
      </c>
      <c r="AV409" s="18">
        <v>0</v>
      </c>
      <c r="AW409" s="18">
        <v>0</v>
      </c>
      <c r="AX409" s="18">
        <v>0</v>
      </c>
    </row>
    <row r="410" spans="1:50" x14ac:dyDescent="0.25">
      <c r="A410" s="8" t="s">
        <v>446</v>
      </c>
      <c r="B410" s="10" t="s">
        <v>57</v>
      </c>
      <c r="C410" s="18">
        <v>0</v>
      </c>
      <c r="D410" s="18">
        <v>0</v>
      </c>
      <c r="E410" s="18">
        <v>0</v>
      </c>
      <c r="F410" s="18">
        <v>0</v>
      </c>
      <c r="G410" s="18">
        <v>0</v>
      </c>
      <c r="H410" s="18">
        <v>0</v>
      </c>
      <c r="I410" s="18">
        <v>0</v>
      </c>
      <c r="J410" s="18">
        <v>0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8">
        <v>0</v>
      </c>
      <c r="Q410" s="18">
        <v>0</v>
      </c>
      <c r="R410" s="18">
        <v>0</v>
      </c>
      <c r="S410" s="18">
        <v>0</v>
      </c>
      <c r="T410" s="18">
        <v>0</v>
      </c>
      <c r="U410" s="18">
        <v>0</v>
      </c>
      <c r="V410" s="18">
        <v>0</v>
      </c>
      <c r="W410" s="18">
        <v>0</v>
      </c>
      <c r="X410" s="18">
        <v>0</v>
      </c>
      <c r="Y410" s="18">
        <v>0</v>
      </c>
      <c r="Z410" s="18">
        <v>0</v>
      </c>
      <c r="AA410" s="18">
        <v>0</v>
      </c>
      <c r="AB410" s="18">
        <v>0</v>
      </c>
      <c r="AC410" s="18">
        <v>0</v>
      </c>
      <c r="AD410" s="18">
        <v>0</v>
      </c>
      <c r="AE410" s="18">
        <v>0</v>
      </c>
      <c r="AF410" s="18">
        <v>0</v>
      </c>
      <c r="AG410" s="18">
        <v>0</v>
      </c>
      <c r="AH410" s="18">
        <v>0</v>
      </c>
      <c r="AI410" s="18">
        <v>0</v>
      </c>
      <c r="AJ410" s="18">
        <v>0</v>
      </c>
      <c r="AK410" s="18">
        <v>0</v>
      </c>
      <c r="AL410" s="18">
        <v>0</v>
      </c>
      <c r="AM410" s="18">
        <v>0</v>
      </c>
      <c r="AN410" s="18">
        <v>0</v>
      </c>
      <c r="AO410" s="18">
        <v>0</v>
      </c>
      <c r="AP410" s="18">
        <v>0</v>
      </c>
      <c r="AQ410" s="18">
        <v>0</v>
      </c>
      <c r="AR410" s="18">
        <v>0</v>
      </c>
      <c r="AS410" s="18">
        <v>0</v>
      </c>
      <c r="AT410" s="18">
        <v>0</v>
      </c>
      <c r="AU410" s="18">
        <v>0</v>
      </c>
      <c r="AV410" s="18">
        <v>0</v>
      </c>
      <c r="AW410" s="18">
        <v>0</v>
      </c>
      <c r="AX410" s="18">
        <v>0</v>
      </c>
    </row>
    <row r="411" spans="1:50" x14ac:dyDescent="0.25">
      <c r="A411" s="16" t="s">
        <v>883</v>
      </c>
      <c r="B411" s="13" t="s">
        <v>464</v>
      </c>
      <c r="C411" s="17">
        <v>0</v>
      </c>
      <c r="D411" s="17">
        <v>0</v>
      </c>
      <c r="E411" s="17">
        <v>0</v>
      </c>
      <c r="F411" s="17">
        <v>0</v>
      </c>
      <c r="G411" s="17">
        <v>0</v>
      </c>
      <c r="H411" s="17">
        <v>0</v>
      </c>
      <c r="I411" s="17">
        <v>0</v>
      </c>
      <c r="J411" s="17">
        <v>2.2000000000000001E-3</v>
      </c>
      <c r="K411" s="17">
        <v>3.1099999999999999E-2</v>
      </c>
      <c r="L411" s="17">
        <v>0.1454</v>
      </c>
      <c r="M411" s="17">
        <v>0.2883</v>
      </c>
      <c r="N411" s="17">
        <v>0.4637</v>
      </c>
      <c r="O411" s="17">
        <v>0.65490000000000004</v>
      </c>
      <c r="P411" s="17">
        <v>0.84860000000000002</v>
      </c>
      <c r="Q411" s="17">
        <v>1.0411999999999999</v>
      </c>
      <c r="R411" s="17">
        <v>1.2341</v>
      </c>
      <c r="S411" s="17">
        <v>1.4152</v>
      </c>
      <c r="T411" s="17">
        <v>1.5853999999999999</v>
      </c>
      <c r="U411" s="17">
        <v>1.7303999999999999</v>
      </c>
      <c r="V411" s="17">
        <v>1.8540000000000001</v>
      </c>
      <c r="W411" s="17">
        <v>1.9624999999999999</v>
      </c>
      <c r="X411" s="17">
        <v>2.0520999999999998</v>
      </c>
      <c r="Y411" s="17">
        <v>2.1156000000000001</v>
      </c>
      <c r="Z411" s="17">
        <v>2.1435</v>
      </c>
      <c r="AA411" s="17">
        <v>2.1516000000000002</v>
      </c>
      <c r="AB411" s="17">
        <v>2.1364999999999998</v>
      </c>
      <c r="AC411" s="17">
        <v>2.0857000000000001</v>
      </c>
      <c r="AD411" s="17">
        <v>2.0083000000000002</v>
      </c>
      <c r="AE411" s="17">
        <v>1.9158999999999999</v>
      </c>
      <c r="AF411" s="17">
        <v>1.7988999999999999</v>
      </c>
      <c r="AG411" s="17">
        <v>1.6745000000000001</v>
      </c>
      <c r="AH411" s="17">
        <v>1.5246999999999999</v>
      </c>
      <c r="AI411" s="17">
        <v>1.3561000000000001</v>
      </c>
      <c r="AJ411" s="17">
        <v>1.1525000000000001</v>
      </c>
      <c r="AK411" s="17">
        <v>0.96199999999999997</v>
      </c>
      <c r="AL411" s="17">
        <v>0.76619999999999999</v>
      </c>
      <c r="AM411" s="17">
        <v>0.57679999999999998</v>
      </c>
      <c r="AN411" s="17">
        <v>0.39419999999999999</v>
      </c>
      <c r="AO411" s="17">
        <v>0.23019999999999999</v>
      </c>
      <c r="AP411" s="17">
        <v>6.7000000000000004E-2</v>
      </c>
      <c r="AQ411" s="17">
        <v>1.24E-2</v>
      </c>
      <c r="AR411" s="17">
        <v>0</v>
      </c>
      <c r="AS411" s="17">
        <v>0</v>
      </c>
      <c r="AT411" s="17">
        <v>0</v>
      </c>
      <c r="AU411" s="17">
        <v>0</v>
      </c>
      <c r="AV411" s="17">
        <v>0</v>
      </c>
      <c r="AW411" s="17">
        <v>0</v>
      </c>
      <c r="AX411" s="17">
        <v>0</v>
      </c>
    </row>
    <row r="412" spans="1:50" x14ac:dyDescent="0.25">
      <c r="A412" s="16" t="s">
        <v>885</v>
      </c>
      <c r="B412" s="13" t="s">
        <v>464</v>
      </c>
      <c r="C412" s="17">
        <v>0</v>
      </c>
      <c r="D412" s="17">
        <v>0</v>
      </c>
      <c r="E412" s="17">
        <v>0</v>
      </c>
      <c r="F412" s="17">
        <v>0</v>
      </c>
      <c r="G412" s="17">
        <v>0</v>
      </c>
      <c r="H412" s="17">
        <v>0</v>
      </c>
      <c r="I412" s="17">
        <v>0</v>
      </c>
      <c r="J412" s="17">
        <v>3.3999999999999998E-3</v>
      </c>
      <c r="K412" s="17">
        <v>4.9700000000000001E-2</v>
      </c>
      <c r="L412" s="17">
        <v>0.2326</v>
      </c>
      <c r="M412" s="17">
        <v>0.46129999999999999</v>
      </c>
      <c r="N412" s="17">
        <v>0.7419</v>
      </c>
      <c r="O412" s="17">
        <v>1.0479000000000001</v>
      </c>
      <c r="P412" s="17">
        <v>1.3576999999999999</v>
      </c>
      <c r="Q412" s="17">
        <v>1.6659999999999999</v>
      </c>
      <c r="R412" s="17">
        <v>1.9745999999999999</v>
      </c>
      <c r="S412" s="17">
        <v>2.2643</v>
      </c>
      <c r="T412" s="17">
        <v>2.5367000000000002</v>
      </c>
      <c r="U412" s="17">
        <v>2.7686000000000002</v>
      </c>
      <c r="V412" s="17">
        <v>2.9664000000000001</v>
      </c>
      <c r="W412" s="17">
        <v>3.14</v>
      </c>
      <c r="X412" s="17">
        <v>3.2833000000000001</v>
      </c>
      <c r="Y412" s="17">
        <v>3.3849999999999998</v>
      </c>
      <c r="Z412" s="17">
        <v>3.4296000000000002</v>
      </c>
      <c r="AA412" s="17">
        <v>3.4424999999999999</v>
      </c>
      <c r="AB412" s="17">
        <v>3.4182999999999999</v>
      </c>
      <c r="AC412" s="17">
        <v>3.3372000000000002</v>
      </c>
      <c r="AD412" s="17">
        <v>3.2132999999999998</v>
      </c>
      <c r="AE412" s="17">
        <v>3.0655000000000001</v>
      </c>
      <c r="AF412" s="17">
        <v>2.8782000000000001</v>
      </c>
      <c r="AG412" s="17">
        <v>2.6791</v>
      </c>
      <c r="AH412" s="17">
        <v>2.4396</v>
      </c>
      <c r="AI412" s="17">
        <v>2.1698</v>
      </c>
      <c r="AJ412" s="17">
        <v>1.8441000000000001</v>
      </c>
      <c r="AK412" s="17">
        <v>1.5391999999999999</v>
      </c>
      <c r="AL412" s="17">
        <v>1.2259</v>
      </c>
      <c r="AM412" s="17">
        <v>0.92290000000000005</v>
      </c>
      <c r="AN412" s="17">
        <v>0.63080000000000003</v>
      </c>
      <c r="AO412" s="17">
        <v>0.36830000000000002</v>
      </c>
      <c r="AP412" s="17">
        <v>0.1072</v>
      </c>
      <c r="AQ412" s="17">
        <v>1.9800000000000002E-2</v>
      </c>
      <c r="AR412" s="17">
        <v>0</v>
      </c>
      <c r="AS412" s="17">
        <v>0</v>
      </c>
      <c r="AT412" s="17">
        <v>0</v>
      </c>
      <c r="AU412" s="17">
        <v>0</v>
      </c>
      <c r="AV412" s="17">
        <v>0</v>
      </c>
      <c r="AW412" s="17">
        <v>0</v>
      </c>
      <c r="AX412" s="17">
        <v>0</v>
      </c>
    </row>
    <row r="413" spans="1:50" x14ac:dyDescent="0.25">
      <c r="A413" s="8" t="s">
        <v>448</v>
      </c>
      <c r="B413" s="10" t="s">
        <v>57</v>
      </c>
      <c r="C413" s="18">
        <v>0</v>
      </c>
      <c r="D413" s="18">
        <v>0</v>
      </c>
      <c r="E413" s="18">
        <v>0</v>
      </c>
      <c r="F413" s="18">
        <v>0</v>
      </c>
      <c r="G413" s="18">
        <v>0</v>
      </c>
      <c r="H413" s="18">
        <v>0</v>
      </c>
      <c r="I413" s="18">
        <v>0</v>
      </c>
      <c r="J413" s="18">
        <v>0</v>
      </c>
      <c r="K413" s="18">
        <v>0</v>
      </c>
      <c r="L413" s="18">
        <v>0</v>
      </c>
      <c r="M413" s="18">
        <v>0</v>
      </c>
      <c r="N413" s="18">
        <v>0</v>
      </c>
      <c r="O413" s="18">
        <v>0</v>
      </c>
      <c r="P413" s="18">
        <v>0</v>
      </c>
      <c r="Q413" s="18">
        <v>0</v>
      </c>
      <c r="R413" s="18">
        <v>0</v>
      </c>
      <c r="S413" s="18">
        <v>0</v>
      </c>
      <c r="T413" s="18">
        <v>0</v>
      </c>
      <c r="U413" s="18">
        <v>0</v>
      </c>
      <c r="V413" s="18">
        <v>0</v>
      </c>
      <c r="W413" s="18">
        <v>0</v>
      </c>
      <c r="X413" s="18">
        <v>0</v>
      </c>
      <c r="Y413" s="18">
        <v>0</v>
      </c>
      <c r="Z413" s="18">
        <v>0</v>
      </c>
      <c r="AA413" s="18">
        <v>0</v>
      </c>
      <c r="AB413" s="18">
        <v>0</v>
      </c>
      <c r="AC413" s="18">
        <v>0</v>
      </c>
      <c r="AD413" s="18">
        <v>0</v>
      </c>
      <c r="AE413" s="18">
        <v>0</v>
      </c>
      <c r="AF413" s="18">
        <v>0</v>
      </c>
      <c r="AG413" s="18">
        <v>0</v>
      </c>
      <c r="AH413" s="18">
        <v>0</v>
      </c>
      <c r="AI413" s="18">
        <v>0</v>
      </c>
      <c r="AJ413" s="18">
        <v>0</v>
      </c>
      <c r="AK413" s="18">
        <v>0</v>
      </c>
      <c r="AL413" s="18">
        <v>0</v>
      </c>
      <c r="AM413" s="18">
        <v>0</v>
      </c>
      <c r="AN413" s="18">
        <v>0</v>
      </c>
      <c r="AO413" s="18">
        <v>0</v>
      </c>
      <c r="AP413" s="18">
        <v>0</v>
      </c>
      <c r="AQ413" s="18">
        <v>0</v>
      </c>
      <c r="AR413" s="18">
        <v>0</v>
      </c>
      <c r="AS413" s="18">
        <v>0</v>
      </c>
      <c r="AT413" s="18">
        <v>0</v>
      </c>
      <c r="AU413" s="18">
        <v>0</v>
      </c>
      <c r="AV413" s="18">
        <v>0</v>
      </c>
      <c r="AW413" s="18">
        <v>0</v>
      </c>
      <c r="AX413" s="18">
        <v>0</v>
      </c>
    </row>
    <row r="414" spans="1:50" x14ac:dyDescent="0.25">
      <c r="A414" s="8" t="s">
        <v>450</v>
      </c>
      <c r="B414" s="10" t="s">
        <v>57</v>
      </c>
      <c r="C414" s="18">
        <v>0</v>
      </c>
      <c r="D414" s="18">
        <v>0</v>
      </c>
      <c r="E414" s="18">
        <v>0</v>
      </c>
      <c r="F414" s="18">
        <v>0</v>
      </c>
      <c r="G414" s="18">
        <v>0</v>
      </c>
      <c r="H414" s="18">
        <v>0</v>
      </c>
      <c r="I414" s="18">
        <v>0</v>
      </c>
      <c r="J414" s="18">
        <v>0</v>
      </c>
      <c r="K414" s="18">
        <v>0</v>
      </c>
      <c r="L414" s="18">
        <v>0</v>
      </c>
      <c r="M414" s="18">
        <v>0</v>
      </c>
      <c r="N414" s="18">
        <v>0</v>
      </c>
      <c r="O414" s="18">
        <v>0</v>
      </c>
      <c r="P414" s="18">
        <v>0</v>
      </c>
      <c r="Q414" s="18">
        <v>0</v>
      </c>
      <c r="R414" s="18">
        <v>0</v>
      </c>
      <c r="S414" s="18">
        <v>0</v>
      </c>
      <c r="T414" s="18">
        <v>0</v>
      </c>
      <c r="U414" s="18">
        <v>0</v>
      </c>
      <c r="V414" s="18">
        <v>0</v>
      </c>
      <c r="W414" s="18">
        <v>0</v>
      </c>
      <c r="X414" s="18">
        <v>0</v>
      </c>
      <c r="Y414" s="18">
        <v>0</v>
      </c>
      <c r="Z414" s="18">
        <v>0</v>
      </c>
      <c r="AA414" s="18">
        <v>0</v>
      </c>
      <c r="AB414" s="18">
        <v>0</v>
      </c>
      <c r="AC414" s="18">
        <v>0</v>
      </c>
      <c r="AD414" s="18">
        <v>0</v>
      </c>
      <c r="AE414" s="18">
        <v>0</v>
      </c>
      <c r="AF414" s="18">
        <v>0</v>
      </c>
      <c r="AG414" s="18">
        <v>0</v>
      </c>
      <c r="AH414" s="18">
        <v>0</v>
      </c>
      <c r="AI414" s="18">
        <v>0</v>
      </c>
      <c r="AJ414" s="18">
        <v>0</v>
      </c>
      <c r="AK414" s="18">
        <v>0</v>
      </c>
      <c r="AL414" s="18">
        <v>0</v>
      </c>
      <c r="AM414" s="18">
        <v>0</v>
      </c>
      <c r="AN414" s="18">
        <v>0</v>
      </c>
      <c r="AO414" s="18">
        <v>0</v>
      </c>
      <c r="AP414" s="18">
        <v>0</v>
      </c>
      <c r="AQ414" s="18">
        <v>0</v>
      </c>
      <c r="AR414" s="18">
        <v>0</v>
      </c>
      <c r="AS414" s="18">
        <v>0</v>
      </c>
      <c r="AT414" s="18">
        <v>0</v>
      </c>
      <c r="AU414" s="18">
        <v>0</v>
      </c>
      <c r="AV414" s="18">
        <v>0</v>
      </c>
      <c r="AW414" s="18">
        <v>0</v>
      </c>
      <c r="AX414" s="18">
        <v>0</v>
      </c>
    </row>
    <row r="415" spans="1:50" x14ac:dyDescent="0.25">
      <c r="A415" s="8" t="s">
        <v>452</v>
      </c>
      <c r="B415" s="10" t="s">
        <v>57</v>
      </c>
      <c r="C415" s="18">
        <v>0</v>
      </c>
      <c r="D415" s="18">
        <v>0</v>
      </c>
      <c r="E415" s="18">
        <v>0</v>
      </c>
      <c r="F415" s="18">
        <v>0</v>
      </c>
      <c r="G415" s="18">
        <v>0</v>
      </c>
      <c r="H415" s="18">
        <v>0</v>
      </c>
      <c r="I415" s="18">
        <v>0</v>
      </c>
      <c r="J415" s="18">
        <v>0</v>
      </c>
      <c r="K415" s="18">
        <v>0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8">
        <v>0</v>
      </c>
      <c r="R415" s="18">
        <v>0</v>
      </c>
      <c r="S415" s="18">
        <v>0</v>
      </c>
      <c r="T415" s="18">
        <v>0</v>
      </c>
      <c r="U415" s="18">
        <v>0</v>
      </c>
      <c r="V415" s="18">
        <v>0</v>
      </c>
      <c r="W415" s="18">
        <v>0</v>
      </c>
      <c r="X415" s="18">
        <v>0</v>
      </c>
      <c r="Y415" s="18">
        <v>0</v>
      </c>
      <c r="Z415" s="18">
        <v>0</v>
      </c>
      <c r="AA415" s="18">
        <v>0</v>
      </c>
      <c r="AB415" s="18">
        <v>0</v>
      </c>
      <c r="AC415" s="18">
        <v>0</v>
      </c>
      <c r="AD415" s="18">
        <v>0</v>
      </c>
      <c r="AE415" s="18">
        <v>0</v>
      </c>
      <c r="AF415" s="18">
        <v>0</v>
      </c>
      <c r="AG415" s="18">
        <v>0</v>
      </c>
      <c r="AH415" s="18">
        <v>0</v>
      </c>
      <c r="AI415" s="18">
        <v>0</v>
      </c>
      <c r="AJ415" s="18">
        <v>0</v>
      </c>
      <c r="AK415" s="18">
        <v>0</v>
      </c>
      <c r="AL415" s="18">
        <v>0</v>
      </c>
      <c r="AM415" s="18">
        <v>0</v>
      </c>
      <c r="AN415" s="18">
        <v>0</v>
      </c>
      <c r="AO415" s="18">
        <v>0</v>
      </c>
      <c r="AP415" s="18">
        <v>0</v>
      </c>
      <c r="AQ415" s="18">
        <v>0</v>
      </c>
      <c r="AR415" s="18">
        <v>0</v>
      </c>
      <c r="AS415" s="18">
        <v>0</v>
      </c>
      <c r="AT415" s="18">
        <v>0</v>
      </c>
      <c r="AU415" s="18">
        <v>0</v>
      </c>
      <c r="AV415" s="18">
        <v>0</v>
      </c>
      <c r="AW415" s="18">
        <v>0</v>
      </c>
      <c r="AX415" s="18">
        <v>0</v>
      </c>
    </row>
    <row r="416" spans="1:50" x14ac:dyDescent="0.25">
      <c r="A416" s="16" t="s">
        <v>887</v>
      </c>
      <c r="B416" s="13" t="s">
        <v>464</v>
      </c>
      <c r="C416" s="17">
        <v>0</v>
      </c>
      <c r="D416" s="17">
        <v>0</v>
      </c>
      <c r="E416" s="17">
        <v>0</v>
      </c>
      <c r="F416" s="17">
        <v>0</v>
      </c>
      <c r="G416" s="17">
        <v>0</v>
      </c>
      <c r="H416" s="17">
        <v>0</v>
      </c>
      <c r="I416" s="17">
        <v>0</v>
      </c>
      <c r="J416" s="17">
        <v>3.3999999999999998E-3</v>
      </c>
      <c r="K416" s="17">
        <v>4.9700000000000001E-2</v>
      </c>
      <c r="L416" s="17">
        <v>0.2326</v>
      </c>
      <c r="M416" s="17">
        <v>0.46129999999999999</v>
      </c>
      <c r="N416" s="17">
        <v>0.7419</v>
      </c>
      <c r="O416" s="17">
        <v>1.0479000000000001</v>
      </c>
      <c r="P416" s="17">
        <v>1.3576999999999999</v>
      </c>
      <c r="Q416" s="17">
        <v>1.6659999999999999</v>
      </c>
      <c r="R416" s="17">
        <v>1.9745999999999999</v>
      </c>
      <c r="S416" s="17">
        <v>2.2643</v>
      </c>
      <c r="T416" s="17">
        <v>2.5367000000000002</v>
      </c>
      <c r="U416" s="17">
        <v>2.7686000000000002</v>
      </c>
      <c r="V416" s="17">
        <v>2.9664000000000001</v>
      </c>
      <c r="W416" s="17">
        <v>3.14</v>
      </c>
      <c r="X416" s="17">
        <v>3.2833000000000001</v>
      </c>
      <c r="Y416" s="17">
        <v>3.3849999999999998</v>
      </c>
      <c r="Z416" s="17">
        <v>3.4296000000000002</v>
      </c>
      <c r="AA416" s="17">
        <v>3.4424999999999999</v>
      </c>
      <c r="AB416" s="17">
        <v>3.4182999999999999</v>
      </c>
      <c r="AC416" s="17">
        <v>3.3372000000000002</v>
      </c>
      <c r="AD416" s="17">
        <v>3.2132999999999998</v>
      </c>
      <c r="AE416" s="17">
        <v>3.0655000000000001</v>
      </c>
      <c r="AF416" s="17">
        <v>2.8782000000000001</v>
      </c>
      <c r="AG416" s="17">
        <v>2.6791</v>
      </c>
      <c r="AH416" s="17">
        <v>2.4396</v>
      </c>
      <c r="AI416" s="17">
        <v>2.1698</v>
      </c>
      <c r="AJ416" s="17">
        <v>1.8441000000000001</v>
      </c>
      <c r="AK416" s="17">
        <v>1.5391999999999999</v>
      </c>
      <c r="AL416" s="17">
        <v>1.2259</v>
      </c>
      <c r="AM416" s="17">
        <v>0.92290000000000005</v>
      </c>
      <c r="AN416" s="17">
        <v>0.63080000000000003</v>
      </c>
      <c r="AO416" s="17">
        <v>0.36830000000000002</v>
      </c>
      <c r="AP416" s="17">
        <v>0.1072</v>
      </c>
      <c r="AQ416" s="17">
        <v>1.9800000000000002E-2</v>
      </c>
      <c r="AR416" s="17">
        <v>0</v>
      </c>
      <c r="AS416" s="17">
        <v>0</v>
      </c>
      <c r="AT416" s="17">
        <v>0</v>
      </c>
      <c r="AU416" s="17">
        <v>0</v>
      </c>
      <c r="AV416" s="17">
        <v>0</v>
      </c>
      <c r="AW416" s="17">
        <v>0</v>
      </c>
      <c r="AX416" s="17">
        <v>0</v>
      </c>
    </row>
    <row r="417" spans="1:50" x14ac:dyDescent="0.25">
      <c r="A417" s="16" t="s">
        <v>889</v>
      </c>
      <c r="B417" s="13" t="s">
        <v>464</v>
      </c>
      <c r="C417" s="17">
        <v>0</v>
      </c>
      <c r="D417" s="17">
        <v>0</v>
      </c>
      <c r="E417" s="17">
        <v>0</v>
      </c>
      <c r="F417" s="17">
        <v>0</v>
      </c>
      <c r="G417" s="17">
        <v>0</v>
      </c>
      <c r="H417" s="17">
        <v>0</v>
      </c>
      <c r="I417" s="17">
        <v>0</v>
      </c>
      <c r="J417" s="17">
        <v>2.5999999999999999E-3</v>
      </c>
      <c r="K417" s="17">
        <v>3.73E-2</v>
      </c>
      <c r="L417" s="17">
        <v>0.1744</v>
      </c>
      <c r="M417" s="17">
        <v>0.34599999999999997</v>
      </c>
      <c r="N417" s="17">
        <v>0.55640000000000001</v>
      </c>
      <c r="O417" s="17">
        <v>0.78590000000000004</v>
      </c>
      <c r="P417" s="17">
        <v>1.0183</v>
      </c>
      <c r="Q417" s="17">
        <v>1.2495000000000001</v>
      </c>
      <c r="R417" s="17">
        <v>1.4810000000000001</v>
      </c>
      <c r="S417" s="17">
        <v>1.6981999999999999</v>
      </c>
      <c r="T417" s="17">
        <v>1.9025000000000001</v>
      </c>
      <c r="U417" s="17">
        <v>2.0764</v>
      </c>
      <c r="V417" s="17">
        <v>2.2248000000000001</v>
      </c>
      <c r="W417" s="17">
        <v>2.355</v>
      </c>
      <c r="X417" s="17">
        <v>2.4624999999999999</v>
      </c>
      <c r="Y417" s="17">
        <v>2.5387</v>
      </c>
      <c r="Z417" s="17">
        <v>2.5722</v>
      </c>
      <c r="AA417" s="17">
        <v>2.5819000000000001</v>
      </c>
      <c r="AB417" s="17">
        <v>2.5636999999999999</v>
      </c>
      <c r="AC417" s="17">
        <v>2.5028999999999999</v>
      </c>
      <c r="AD417" s="17">
        <v>2.41</v>
      </c>
      <c r="AE417" s="17">
        <v>2.2991000000000001</v>
      </c>
      <c r="AF417" s="17">
        <v>2.1585999999999999</v>
      </c>
      <c r="AG417" s="17">
        <v>2.0093000000000001</v>
      </c>
      <c r="AH417" s="17">
        <v>1.8297000000000001</v>
      </c>
      <c r="AI417" s="17">
        <v>1.6274</v>
      </c>
      <c r="AJ417" s="17">
        <v>1.3831</v>
      </c>
      <c r="AK417" s="17">
        <v>1.1544000000000001</v>
      </c>
      <c r="AL417" s="17">
        <v>0.91949999999999998</v>
      </c>
      <c r="AM417" s="17">
        <v>0.69220000000000004</v>
      </c>
      <c r="AN417" s="17">
        <v>0.47310000000000002</v>
      </c>
      <c r="AO417" s="17">
        <v>0.2762</v>
      </c>
      <c r="AP417" s="17">
        <v>8.0399999999999999E-2</v>
      </c>
      <c r="AQ417" s="17">
        <v>1.4800000000000001E-2</v>
      </c>
      <c r="AR417" s="17">
        <v>0</v>
      </c>
      <c r="AS417" s="17">
        <v>0</v>
      </c>
      <c r="AT417" s="17">
        <v>0</v>
      </c>
      <c r="AU417" s="17">
        <v>0</v>
      </c>
      <c r="AV417" s="17">
        <v>0</v>
      </c>
      <c r="AW417" s="17">
        <v>0</v>
      </c>
      <c r="AX417" s="17">
        <v>0</v>
      </c>
    </row>
    <row r="418" spans="1:50" x14ac:dyDescent="0.25">
      <c r="A418" s="8" t="s">
        <v>454</v>
      </c>
      <c r="B418" s="10" t="s">
        <v>57</v>
      </c>
      <c r="C418" s="18">
        <v>0</v>
      </c>
      <c r="D418" s="18">
        <v>0</v>
      </c>
      <c r="E418" s="18">
        <v>0</v>
      </c>
      <c r="F418" s="18">
        <v>0</v>
      </c>
      <c r="G418" s="18">
        <v>0</v>
      </c>
      <c r="H418" s="18">
        <v>0</v>
      </c>
      <c r="I418" s="18">
        <v>0</v>
      </c>
      <c r="J418" s="18">
        <v>0</v>
      </c>
      <c r="K418" s="18">
        <v>0</v>
      </c>
      <c r="L418" s="18">
        <v>0</v>
      </c>
      <c r="M418" s="18">
        <v>0</v>
      </c>
      <c r="N418" s="18">
        <v>0</v>
      </c>
      <c r="O418" s="18">
        <v>0</v>
      </c>
      <c r="P418" s="18">
        <v>0</v>
      </c>
      <c r="Q418" s="18">
        <v>0</v>
      </c>
      <c r="R418" s="18">
        <v>0</v>
      </c>
      <c r="S418" s="18">
        <v>0</v>
      </c>
      <c r="T418" s="18">
        <v>0</v>
      </c>
      <c r="U418" s="18">
        <v>0</v>
      </c>
      <c r="V418" s="18">
        <v>0</v>
      </c>
      <c r="W418" s="18">
        <v>0</v>
      </c>
      <c r="X418" s="18">
        <v>0</v>
      </c>
      <c r="Y418" s="18">
        <v>0</v>
      </c>
      <c r="Z418" s="18">
        <v>0</v>
      </c>
      <c r="AA418" s="18">
        <v>0</v>
      </c>
      <c r="AB418" s="18">
        <v>0</v>
      </c>
      <c r="AC418" s="18">
        <v>0</v>
      </c>
      <c r="AD418" s="18">
        <v>0</v>
      </c>
      <c r="AE418" s="18">
        <v>0</v>
      </c>
      <c r="AF418" s="18">
        <v>0</v>
      </c>
      <c r="AG418" s="18">
        <v>0</v>
      </c>
      <c r="AH418" s="18">
        <v>0</v>
      </c>
      <c r="AI418" s="18">
        <v>0</v>
      </c>
      <c r="AJ418" s="18">
        <v>0</v>
      </c>
      <c r="AK418" s="18">
        <v>0</v>
      </c>
      <c r="AL418" s="18">
        <v>0</v>
      </c>
      <c r="AM418" s="18">
        <v>0</v>
      </c>
      <c r="AN418" s="18">
        <v>0</v>
      </c>
      <c r="AO418" s="18">
        <v>0</v>
      </c>
      <c r="AP418" s="18">
        <v>0</v>
      </c>
      <c r="AQ418" s="18">
        <v>0</v>
      </c>
      <c r="AR418" s="18">
        <v>0</v>
      </c>
      <c r="AS418" s="18">
        <v>0</v>
      </c>
      <c r="AT418" s="18">
        <v>0</v>
      </c>
      <c r="AU418" s="18">
        <v>0</v>
      </c>
      <c r="AV418" s="18">
        <v>0</v>
      </c>
      <c r="AW418" s="18">
        <v>0</v>
      </c>
      <c r="AX418" s="18">
        <v>0</v>
      </c>
    </row>
    <row r="419" spans="1:50" x14ac:dyDescent="0.25">
      <c r="A419" s="8" t="s">
        <v>456</v>
      </c>
      <c r="B419" s="10" t="s">
        <v>57</v>
      </c>
      <c r="C419" s="18">
        <v>0</v>
      </c>
      <c r="D419" s="18">
        <v>0</v>
      </c>
      <c r="E419" s="18">
        <v>0</v>
      </c>
      <c r="F419" s="18">
        <v>0</v>
      </c>
      <c r="G419" s="18">
        <v>0</v>
      </c>
      <c r="H419" s="18">
        <v>0</v>
      </c>
      <c r="I419" s="18">
        <v>0</v>
      </c>
      <c r="J419" s="18">
        <v>0</v>
      </c>
      <c r="K419" s="18">
        <v>0</v>
      </c>
      <c r="L419" s="18">
        <v>0</v>
      </c>
      <c r="M419" s="18">
        <v>0</v>
      </c>
      <c r="N419" s="18">
        <v>0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0</v>
      </c>
      <c r="U419" s="18">
        <v>0</v>
      </c>
      <c r="V419" s="18">
        <v>0</v>
      </c>
      <c r="W419" s="18">
        <v>0</v>
      </c>
      <c r="X419" s="18">
        <v>0</v>
      </c>
      <c r="Y419" s="18">
        <v>0</v>
      </c>
      <c r="Z419" s="18">
        <v>0</v>
      </c>
      <c r="AA419" s="18">
        <v>0</v>
      </c>
      <c r="AB419" s="18">
        <v>0</v>
      </c>
      <c r="AC419" s="18">
        <v>0</v>
      </c>
      <c r="AD419" s="18">
        <v>0</v>
      </c>
      <c r="AE419" s="18">
        <v>0</v>
      </c>
      <c r="AF419" s="18">
        <v>0</v>
      </c>
      <c r="AG419" s="18">
        <v>0</v>
      </c>
      <c r="AH419" s="18">
        <v>0</v>
      </c>
      <c r="AI419" s="18">
        <v>0</v>
      </c>
      <c r="AJ419" s="18">
        <v>0</v>
      </c>
      <c r="AK419" s="18">
        <v>0</v>
      </c>
      <c r="AL419" s="18">
        <v>0</v>
      </c>
      <c r="AM419" s="18">
        <v>0</v>
      </c>
      <c r="AN419" s="18">
        <v>0</v>
      </c>
      <c r="AO419" s="18">
        <v>0</v>
      </c>
      <c r="AP419" s="18">
        <v>0</v>
      </c>
      <c r="AQ419" s="18">
        <v>0</v>
      </c>
      <c r="AR419" s="18">
        <v>0</v>
      </c>
      <c r="AS419" s="18">
        <v>0</v>
      </c>
      <c r="AT419" s="18">
        <v>0</v>
      </c>
      <c r="AU419" s="18">
        <v>0</v>
      </c>
      <c r="AV419" s="18">
        <v>0</v>
      </c>
      <c r="AW419" s="18">
        <v>0</v>
      </c>
      <c r="AX419" s="18">
        <v>0</v>
      </c>
    </row>
    <row r="420" spans="1:50" x14ac:dyDescent="0.25">
      <c r="A420" s="8" t="s">
        <v>458</v>
      </c>
      <c r="B420" s="10" t="s">
        <v>57</v>
      </c>
      <c r="C420" s="18">
        <v>0</v>
      </c>
      <c r="D420" s="18">
        <v>0</v>
      </c>
      <c r="E420" s="18">
        <v>0</v>
      </c>
      <c r="F420" s="18">
        <v>0</v>
      </c>
      <c r="G420" s="18">
        <v>0</v>
      </c>
      <c r="H420" s="18">
        <v>0</v>
      </c>
      <c r="I420" s="18">
        <v>0</v>
      </c>
      <c r="J420" s="18">
        <v>0</v>
      </c>
      <c r="K420" s="18">
        <v>0</v>
      </c>
      <c r="L420" s="18">
        <v>0</v>
      </c>
      <c r="M420" s="18">
        <v>0</v>
      </c>
      <c r="N420" s="18">
        <v>0</v>
      </c>
      <c r="O420" s="18">
        <v>0</v>
      </c>
      <c r="P420" s="18">
        <v>0</v>
      </c>
      <c r="Q420" s="18">
        <v>0</v>
      </c>
      <c r="R420" s="18">
        <v>0</v>
      </c>
      <c r="S420" s="18">
        <v>0</v>
      </c>
      <c r="T420" s="18">
        <v>0</v>
      </c>
      <c r="U420" s="18">
        <v>0</v>
      </c>
      <c r="V420" s="18">
        <v>0</v>
      </c>
      <c r="W420" s="18">
        <v>0</v>
      </c>
      <c r="X420" s="18">
        <v>0</v>
      </c>
      <c r="Y420" s="18">
        <v>0</v>
      </c>
      <c r="Z420" s="18">
        <v>0</v>
      </c>
      <c r="AA420" s="18">
        <v>0</v>
      </c>
      <c r="AB420" s="18">
        <v>0</v>
      </c>
      <c r="AC420" s="18">
        <v>0</v>
      </c>
      <c r="AD420" s="18">
        <v>0</v>
      </c>
      <c r="AE420" s="18">
        <v>0</v>
      </c>
      <c r="AF420" s="18">
        <v>0</v>
      </c>
      <c r="AG420" s="18">
        <v>0</v>
      </c>
      <c r="AH420" s="18">
        <v>0</v>
      </c>
      <c r="AI420" s="18">
        <v>0</v>
      </c>
      <c r="AJ420" s="18">
        <v>0</v>
      </c>
      <c r="AK420" s="18">
        <v>0</v>
      </c>
      <c r="AL420" s="18">
        <v>0</v>
      </c>
      <c r="AM420" s="18">
        <v>0</v>
      </c>
      <c r="AN420" s="18">
        <v>0</v>
      </c>
      <c r="AO420" s="18">
        <v>0</v>
      </c>
      <c r="AP420" s="18">
        <v>0</v>
      </c>
      <c r="AQ420" s="18">
        <v>0</v>
      </c>
      <c r="AR420" s="18">
        <v>0</v>
      </c>
      <c r="AS420" s="18">
        <v>0</v>
      </c>
      <c r="AT420" s="18">
        <v>0</v>
      </c>
      <c r="AU420" s="18">
        <v>0</v>
      </c>
      <c r="AV420" s="18">
        <v>0</v>
      </c>
      <c r="AW420" s="18">
        <v>0</v>
      </c>
      <c r="AX420" s="18">
        <v>0</v>
      </c>
    </row>
    <row r="421" spans="1:50" x14ac:dyDescent="0.25">
      <c r="A421" s="8" t="s">
        <v>460</v>
      </c>
      <c r="B421" s="10" t="s">
        <v>57</v>
      </c>
      <c r="C421" s="18">
        <v>0</v>
      </c>
      <c r="D421" s="18">
        <v>0</v>
      </c>
      <c r="E421" s="18">
        <v>0</v>
      </c>
      <c r="F421" s="18">
        <v>0</v>
      </c>
      <c r="G421" s="18">
        <v>0</v>
      </c>
      <c r="H421" s="18">
        <v>0</v>
      </c>
      <c r="I421" s="18">
        <v>0</v>
      </c>
      <c r="J421" s="18">
        <v>0</v>
      </c>
      <c r="K421" s="18">
        <v>0</v>
      </c>
      <c r="L421" s="18">
        <v>0</v>
      </c>
      <c r="M421" s="18">
        <v>0</v>
      </c>
      <c r="N421" s="18">
        <v>0</v>
      </c>
      <c r="O421" s="18">
        <v>0</v>
      </c>
      <c r="P421" s="18">
        <v>0</v>
      </c>
      <c r="Q421" s="18">
        <v>0</v>
      </c>
      <c r="R421" s="18">
        <v>0</v>
      </c>
      <c r="S421" s="18">
        <v>0</v>
      </c>
      <c r="T421" s="18">
        <v>0</v>
      </c>
      <c r="U421" s="18">
        <v>0</v>
      </c>
      <c r="V421" s="18">
        <v>0</v>
      </c>
      <c r="W421" s="18">
        <v>0</v>
      </c>
      <c r="X421" s="18">
        <v>0</v>
      </c>
      <c r="Y421" s="18">
        <v>0</v>
      </c>
      <c r="Z421" s="18">
        <v>0</v>
      </c>
      <c r="AA421" s="18">
        <v>0</v>
      </c>
      <c r="AB421" s="18">
        <v>0</v>
      </c>
      <c r="AC421" s="18">
        <v>0</v>
      </c>
      <c r="AD421" s="18">
        <v>0</v>
      </c>
      <c r="AE421" s="18">
        <v>0</v>
      </c>
      <c r="AF421" s="18">
        <v>0</v>
      </c>
      <c r="AG421" s="18">
        <v>0</v>
      </c>
      <c r="AH421" s="18">
        <v>0</v>
      </c>
      <c r="AI421" s="18">
        <v>0</v>
      </c>
      <c r="AJ421" s="18">
        <v>0</v>
      </c>
      <c r="AK421" s="18">
        <v>0</v>
      </c>
      <c r="AL421" s="18">
        <v>0</v>
      </c>
      <c r="AM421" s="18">
        <v>0</v>
      </c>
      <c r="AN421" s="18">
        <v>0</v>
      </c>
      <c r="AO421" s="18">
        <v>0</v>
      </c>
      <c r="AP421" s="18">
        <v>0</v>
      </c>
      <c r="AQ421" s="18">
        <v>0</v>
      </c>
      <c r="AR421" s="18">
        <v>0</v>
      </c>
      <c r="AS421" s="18">
        <v>0</v>
      </c>
      <c r="AT421" s="18">
        <v>0</v>
      </c>
      <c r="AU421" s="18">
        <v>0</v>
      </c>
      <c r="AV421" s="18">
        <v>0</v>
      </c>
      <c r="AW421" s="18">
        <v>0</v>
      </c>
      <c r="AX421" s="18">
        <v>0</v>
      </c>
    </row>
  </sheetData>
  <mergeCells count="1">
    <mergeCell ref="A2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X421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24" customWidth="1"/>
    <col min="2" max="2" width="11" customWidth="1"/>
    <col min="3" max="50" width="7" customWidth="1"/>
  </cols>
  <sheetData>
    <row r="1" spans="1:50" ht="19.5" x14ac:dyDescent="0.3">
      <c r="A1" s="1" t="s">
        <v>941</v>
      </c>
    </row>
    <row r="2" spans="1:50" x14ac:dyDescent="0.25">
      <c r="A2" s="29" t="s">
        <v>942</v>
      </c>
      <c r="B2" s="27"/>
      <c r="C2" s="27"/>
      <c r="D2" s="27"/>
      <c r="E2" s="27"/>
      <c r="F2" s="27"/>
    </row>
    <row r="4" spans="1:50" x14ac:dyDescent="0.25">
      <c r="A4" s="5" t="s">
        <v>50</v>
      </c>
      <c r="B4" s="5" t="s">
        <v>54</v>
      </c>
      <c r="C4" s="5" t="s">
        <v>893</v>
      </c>
      <c r="D4" s="5" t="s">
        <v>894</v>
      </c>
      <c r="E4" s="5" t="s">
        <v>895</v>
      </c>
      <c r="F4" s="5" t="s">
        <v>896</v>
      </c>
      <c r="G4" s="5" t="s">
        <v>897</v>
      </c>
      <c r="H4" s="5" t="s">
        <v>898</v>
      </c>
      <c r="I4" s="5" t="s">
        <v>899</v>
      </c>
      <c r="J4" s="5" t="s">
        <v>900</v>
      </c>
      <c r="K4" s="5" t="s">
        <v>901</v>
      </c>
      <c r="L4" s="5" t="s">
        <v>902</v>
      </c>
      <c r="M4" s="5" t="s">
        <v>903</v>
      </c>
      <c r="N4" s="5" t="s">
        <v>904</v>
      </c>
      <c r="O4" s="5" t="s">
        <v>905</v>
      </c>
      <c r="P4" s="5" t="s">
        <v>906</v>
      </c>
      <c r="Q4" s="5" t="s">
        <v>907</v>
      </c>
      <c r="R4" s="5" t="s">
        <v>908</v>
      </c>
      <c r="S4" s="5" t="s">
        <v>909</v>
      </c>
      <c r="T4" s="5" t="s">
        <v>910</v>
      </c>
      <c r="U4" s="5" t="s">
        <v>911</v>
      </c>
      <c r="V4" s="5" t="s">
        <v>912</v>
      </c>
      <c r="W4" s="5" t="s">
        <v>913</v>
      </c>
      <c r="X4" s="5" t="s">
        <v>914</v>
      </c>
      <c r="Y4" s="5" t="s">
        <v>915</v>
      </c>
      <c r="Z4" s="5" t="s">
        <v>916</v>
      </c>
      <c r="AA4" s="5" t="s">
        <v>917</v>
      </c>
      <c r="AB4" s="5" t="s">
        <v>918</v>
      </c>
      <c r="AC4" s="5" t="s">
        <v>919</v>
      </c>
      <c r="AD4" s="5" t="s">
        <v>920</v>
      </c>
      <c r="AE4" s="5" t="s">
        <v>921</v>
      </c>
      <c r="AF4" s="5" t="s">
        <v>922</v>
      </c>
      <c r="AG4" s="5" t="s">
        <v>923</v>
      </c>
      <c r="AH4" s="5" t="s">
        <v>924</v>
      </c>
      <c r="AI4" s="5" t="s">
        <v>925</v>
      </c>
      <c r="AJ4" s="5" t="s">
        <v>926</v>
      </c>
      <c r="AK4" s="5" t="s">
        <v>927</v>
      </c>
      <c r="AL4" s="5" t="s">
        <v>928</v>
      </c>
      <c r="AM4" s="5" t="s">
        <v>929</v>
      </c>
      <c r="AN4" s="5" t="s">
        <v>930</v>
      </c>
      <c r="AO4" s="5" t="s">
        <v>931</v>
      </c>
      <c r="AP4" s="5" t="s">
        <v>932</v>
      </c>
      <c r="AQ4" s="5" t="s">
        <v>933</v>
      </c>
      <c r="AR4" s="5" t="s">
        <v>934</v>
      </c>
      <c r="AS4" s="5" t="s">
        <v>935</v>
      </c>
      <c r="AT4" s="5" t="s">
        <v>936</v>
      </c>
      <c r="AU4" s="5" t="s">
        <v>937</v>
      </c>
      <c r="AV4" s="5" t="s">
        <v>938</v>
      </c>
      <c r="AW4" s="5" t="s">
        <v>939</v>
      </c>
      <c r="AX4" s="5" t="s">
        <v>940</v>
      </c>
    </row>
    <row r="5" spans="1:50" x14ac:dyDescent="0.25">
      <c r="A5" s="16" t="s">
        <v>462</v>
      </c>
      <c r="B5" s="13" t="s">
        <v>464</v>
      </c>
      <c r="C5" s="17">
        <v>0.23549999999999999</v>
      </c>
      <c r="D5" s="17">
        <v>5.1999999999999998E-2</v>
      </c>
      <c r="E5" s="17">
        <v>0.16039999999999999</v>
      </c>
      <c r="F5" s="17">
        <v>0.12709999999999999</v>
      </c>
      <c r="G5" s="17">
        <v>5.1999999999999998E-2</v>
      </c>
      <c r="H5" s="17">
        <v>9.3700000000000006E-2</v>
      </c>
      <c r="I5" s="17">
        <v>0.1938</v>
      </c>
      <c r="J5" s="17">
        <v>5.1999999999999998E-2</v>
      </c>
      <c r="K5" s="17">
        <v>5.1999999999999998E-2</v>
      </c>
      <c r="L5" s="17">
        <v>0.23549999999999999</v>
      </c>
      <c r="M5" s="17">
        <v>5.1999999999999998E-2</v>
      </c>
      <c r="N5" s="17">
        <v>5.1999999999999998E-2</v>
      </c>
      <c r="O5" s="17">
        <v>0.22720000000000001</v>
      </c>
      <c r="P5" s="17">
        <v>6.0299999999999999E-2</v>
      </c>
      <c r="Q5" s="17">
        <v>0.245</v>
      </c>
      <c r="R5" s="17">
        <v>1.0888</v>
      </c>
      <c r="S5" s="17">
        <v>0.22600000000000001</v>
      </c>
      <c r="T5" s="17">
        <v>0.36530000000000001</v>
      </c>
      <c r="U5" s="17">
        <v>0.39360000000000001</v>
      </c>
      <c r="V5" s="17">
        <v>0.29210000000000003</v>
      </c>
      <c r="W5" s="17">
        <v>0.47299999999999998</v>
      </c>
      <c r="X5" s="17">
        <v>0.434</v>
      </c>
      <c r="Y5" s="17">
        <v>0.21290000000000001</v>
      </c>
      <c r="Z5" s="17">
        <v>0.60470000000000002</v>
      </c>
      <c r="AA5" s="17">
        <v>0.2452</v>
      </c>
      <c r="AB5" s="17">
        <v>2.0194000000000001</v>
      </c>
      <c r="AC5" s="17">
        <v>0.58179999999999998</v>
      </c>
      <c r="AD5" s="17">
        <v>0.41880000000000001</v>
      </c>
      <c r="AE5" s="17">
        <v>0.30909999999999999</v>
      </c>
      <c r="AF5" s="17">
        <v>0.1</v>
      </c>
      <c r="AG5" s="17">
        <v>0.3997</v>
      </c>
      <c r="AH5" s="17">
        <v>0.16650000000000001</v>
      </c>
      <c r="AI5" s="17">
        <v>0.94589999999999996</v>
      </c>
      <c r="AJ5" s="17">
        <v>2.1714000000000002</v>
      </c>
      <c r="AK5" s="17">
        <v>1.8219000000000001</v>
      </c>
      <c r="AL5" s="17">
        <v>0.28060000000000002</v>
      </c>
      <c r="AM5" s="17">
        <v>0.38350000000000001</v>
      </c>
      <c r="AN5" s="17">
        <v>0.52669999999999995</v>
      </c>
      <c r="AO5" s="17">
        <v>0.56100000000000005</v>
      </c>
      <c r="AP5" s="17">
        <v>0.3291</v>
      </c>
      <c r="AQ5" s="17">
        <v>8.0600000000000005E-2</v>
      </c>
      <c r="AR5" s="17">
        <v>0.13539999999999999</v>
      </c>
      <c r="AS5" s="17">
        <v>0.15210000000000001</v>
      </c>
      <c r="AT5" s="17">
        <v>5.1999999999999998E-2</v>
      </c>
      <c r="AU5" s="17">
        <v>0.36049999999999999</v>
      </c>
      <c r="AV5" s="17">
        <v>0.5645</v>
      </c>
      <c r="AW5" s="17">
        <v>0.67759999999999998</v>
      </c>
      <c r="AX5" s="17">
        <v>0.68440000000000001</v>
      </c>
    </row>
    <row r="6" spans="1:50" x14ac:dyDescent="0.25">
      <c r="A6" s="16" t="s">
        <v>465</v>
      </c>
      <c r="B6" s="13" t="s">
        <v>464</v>
      </c>
      <c r="C6" s="17">
        <v>0.75800000000000001</v>
      </c>
      <c r="D6" s="17">
        <v>0.62760000000000005</v>
      </c>
      <c r="E6" s="17">
        <v>0.77690000000000003</v>
      </c>
      <c r="F6" s="17">
        <v>0.23119999999999999</v>
      </c>
      <c r="G6" s="17">
        <v>0.26640000000000003</v>
      </c>
      <c r="H6" s="17">
        <v>0.17460000000000001</v>
      </c>
      <c r="I6" s="17">
        <v>0.13439999999999999</v>
      </c>
      <c r="J6" s="17">
        <v>0.21579999999999999</v>
      </c>
      <c r="K6" s="17">
        <v>0.1482</v>
      </c>
      <c r="L6" s="17">
        <v>0.26650000000000001</v>
      </c>
      <c r="M6" s="17">
        <v>7.0699999999999999E-2</v>
      </c>
      <c r="N6" s="17">
        <v>0.15029999999999999</v>
      </c>
      <c r="O6" s="17">
        <v>0.17449999999999999</v>
      </c>
      <c r="P6" s="17">
        <v>0.16059999999999999</v>
      </c>
      <c r="Q6" s="17">
        <v>0.23580000000000001</v>
      </c>
      <c r="R6" s="17">
        <v>0.19969999999999999</v>
      </c>
      <c r="S6" s="17">
        <v>9.0800000000000006E-2</v>
      </c>
      <c r="T6" s="17">
        <v>0.17130000000000001</v>
      </c>
      <c r="U6" s="17">
        <v>1.6536999999999999</v>
      </c>
      <c r="V6" s="17">
        <v>0.39929999999999999</v>
      </c>
      <c r="W6" s="17">
        <v>0.28520000000000001</v>
      </c>
      <c r="X6" s="17">
        <v>0.22939999999999999</v>
      </c>
      <c r="Y6" s="17">
        <v>0.42709999999999998</v>
      </c>
      <c r="Z6" s="17">
        <v>0.31190000000000001</v>
      </c>
      <c r="AA6" s="17">
        <v>1.5015000000000001</v>
      </c>
      <c r="AB6" s="17">
        <v>0.26600000000000001</v>
      </c>
      <c r="AC6" s="17">
        <v>1.319</v>
      </c>
      <c r="AD6" s="17">
        <v>0.42720000000000002</v>
      </c>
      <c r="AE6" s="17">
        <v>0.18809999999999999</v>
      </c>
      <c r="AF6" s="17">
        <v>0.22320000000000001</v>
      </c>
      <c r="AG6" s="17">
        <v>0.21160000000000001</v>
      </c>
      <c r="AH6" s="17">
        <v>0.10299999999999999</v>
      </c>
      <c r="AI6" s="17">
        <v>0.1951</v>
      </c>
      <c r="AJ6" s="17">
        <v>0.23499999999999999</v>
      </c>
      <c r="AK6" s="17">
        <v>0.12809999999999999</v>
      </c>
      <c r="AL6" s="17">
        <v>0.17449999999999999</v>
      </c>
      <c r="AM6" s="17">
        <v>0.22869999999999999</v>
      </c>
      <c r="AN6" s="17">
        <v>0.35499999999999998</v>
      </c>
      <c r="AO6" s="17">
        <v>0.27289999999999998</v>
      </c>
      <c r="AP6" s="17">
        <v>0.47399999999999998</v>
      </c>
      <c r="AQ6" s="17">
        <v>0.27310000000000001</v>
      </c>
      <c r="AR6" s="17">
        <v>0.39140000000000003</v>
      </c>
      <c r="AS6" s="17">
        <v>0.1678</v>
      </c>
      <c r="AT6" s="17">
        <v>5.1999999999999998E-2</v>
      </c>
      <c r="AU6" s="17">
        <v>0.61419999999999997</v>
      </c>
      <c r="AV6" s="17">
        <v>0.15190000000000001</v>
      </c>
      <c r="AW6" s="17">
        <v>0.1658</v>
      </c>
      <c r="AX6" s="17">
        <v>0.2155</v>
      </c>
    </row>
    <row r="7" spans="1:50" x14ac:dyDescent="0.25">
      <c r="A7" s="16" t="s">
        <v>467</v>
      </c>
      <c r="B7" s="13" t="s">
        <v>464</v>
      </c>
      <c r="C7" s="17">
        <v>0.1706</v>
      </c>
      <c r="D7" s="17">
        <v>0.18820000000000001</v>
      </c>
      <c r="E7" s="17">
        <v>0.1154</v>
      </c>
      <c r="F7" s="17">
        <v>0.1154</v>
      </c>
      <c r="G7" s="17">
        <v>0.1759</v>
      </c>
      <c r="H7" s="17">
        <v>4.8000000000000001E-2</v>
      </c>
      <c r="I7" s="17">
        <v>0.31080000000000002</v>
      </c>
      <c r="J7" s="17">
        <v>4.8000000000000001E-2</v>
      </c>
      <c r="K7" s="17">
        <v>4.8000000000000001E-2</v>
      </c>
      <c r="L7" s="17">
        <v>0.31080000000000002</v>
      </c>
      <c r="M7" s="17">
        <v>4.8000000000000001E-2</v>
      </c>
      <c r="N7" s="17">
        <v>0.16309999999999999</v>
      </c>
      <c r="O7" s="17">
        <v>0.1956</v>
      </c>
      <c r="P7" s="17">
        <v>4.8000000000000001E-2</v>
      </c>
      <c r="Q7" s="17">
        <v>4.8000000000000001E-2</v>
      </c>
      <c r="R7" s="17">
        <v>4.8000000000000001E-2</v>
      </c>
      <c r="S7" s="17">
        <v>0.1399</v>
      </c>
      <c r="T7" s="17">
        <v>9.0899999999999995E-2</v>
      </c>
      <c r="U7" s="17">
        <v>1.7715000000000001</v>
      </c>
      <c r="V7" s="17">
        <v>0.77629999999999999</v>
      </c>
      <c r="W7" s="17">
        <v>0.1759</v>
      </c>
      <c r="X7" s="17">
        <v>0.14610000000000001</v>
      </c>
      <c r="Y7" s="17">
        <v>0.15509999999999999</v>
      </c>
      <c r="Z7" s="17">
        <v>1.0045999999999999</v>
      </c>
      <c r="AA7" s="17">
        <v>0.73560000000000003</v>
      </c>
      <c r="AB7" s="17">
        <v>1.2214</v>
      </c>
      <c r="AC7" s="17">
        <v>0.19719999999999999</v>
      </c>
      <c r="AD7" s="17">
        <v>0.59089999999999998</v>
      </c>
      <c r="AE7" s="17">
        <v>1.2305999999999999</v>
      </c>
      <c r="AF7" s="17">
        <v>0.41849999999999998</v>
      </c>
      <c r="AG7" s="17">
        <v>0.26219999999999999</v>
      </c>
      <c r="AH7" s="17">
        <v>0.37830000000000003</v>
      </c>
      <c r="AI7" s="17">
        <v>0.1215</v>
      </c>
      <c r="AJ7" s="17">
        <v>4.8000000000000001E-2</v>
      </c>
      <c r="AK7" s="17">
        <v>0.1706</v>
      </c>
      <c r="AL7" s="17">
        <v>0.18820000000000001</v>
      </c>
      <c r="AM7" s="17">
        <v>0.1928</v>
      </c>
      <c r="AN7" s="17">
        <v>0.53610000000000002</v>
      </c>
      <c r="AO7" s="17">
        <v>0.39729999999999999</v>
      </c>
      <c r="AP7" s="17">
        <v>0.4698</v>
      </c>
      <c r="AQ7" s="17">
        <v>0.45290000000000002</v>
      </c>
      <c r="AR7" s="17">
        <v>0.56940000000000002</v>
      </c>
      <c r="AS7" s="17">
        <v>0.1338</v>
      </c>
      <c r="AT7" s="17">
        <v>0.22489999999999999</v>
      </c>
      <c r="AU7" s="17">
        <v>4.8000000000000001E-2</v>
      </c>
      <c r="AV7" s="17">
        <v>0.18279999999999999</v>
      </c>
      <c r="AW7" s="17">
        <v>6.7199999999999996E-2</v>
      </c>
      <c r="AX7" s="17">
        <v>0.24249999999999999</v>
      </c>
    </row>
    <row r="8" spans="1:50" x14ac:dyDescent="0.25">
      <c r="A8" s="8" t="s">
        <v>55</v>
      </c>
      <c r="B8" s="10" t="s">
        <v>57</v>
      </c>
      <c r="C8" s="18">
        <v>5.0999999999999997E-2</v>
      </c>
      <c r="D8" s="18">
        <v>5.0999999999999997E-2</v>
      </c>
      <c r="E8" s="18">
        <v>5.0999999999999997E-2</v>
      </c>
      <c r="F8" s="18">
        <v>5.0999999999999997E-2</v>
      </c>
      <c r="G8" s="18">
        <v>5.0999999999999997E-2</v>
      </c>
      <c r="H8" s="18">
        <v>6.4100000000000004E-2</v>
      </c>
      <c r="I8" s="18">
        <v>0.25459999999999999</v>
      </c>
      <c r="J8" s="18">
        <v>0.29399999999999998</v>
      </c>
      <c r="K8" s="18">
        <v>5.0999999999999997E-2</v>
      </c>
      <c r="L8" s="18">
        <v>5.0999999999999997E-2</v>
      </c>
      <c r="M8" s="18">
        <v>5.0999999999999997E-2</v>
      </c>
      <c r="N8" s="18">
        <v>5.0999999999999997E-2</v>
      </c>
      <c r="O8" s="18">
        <v>5.0999999999999997E-2</v>
      </c>
      <c r="P8" s="18">
        <v>5.0999999999999997E-2</v>
      </c>
      <c r="Q8" s="18">
        <v>5.0999999999999997E-2</v>
      </c>
      <c r="R8" s="18">
        <v>5.6099999999999997E-2</v>
      </c>
      <c r="S8" s="18">
        <v>6.4899999999999999E-2</v>
      </c>
      <c r="T8" s="18">
        <v>5.9799999999999999E-2</v>
      </c>
      <c r="U8" s="18">
        <v>0.18729999999999999</v>
      </c>
      <c r="V8" s="18">
        <v>0.28120000000000001</v>
      </c>
      <c r="W8" s="18">
        <v>0.28120000000000001</v>
      </c>
      <c r="X8" s="18">
        <v>0.42270000000000002</v>
      </c>
      <c r="Y8" s="18">
        <v>0.2999</v>
      </c>
      <c r="Z8" s="18">
        <v>0.3755</v>
      </c>
      <c r="AA8" s="18">
        <v>0.35720000000000002</v>
      </c>
      <c r="AB8" s="18">
        <v>1.0993999999999999</v>
      </c>
      <c r="AC8" s="18">
        <v>0.31819999999999998</v>
      </c>
      <c r="AD8" s="18">
        <v>0.49340000000000001</v>
      </c>
      <c r="AE8" s="18">
        <v>0.311</v>
      </c>
      <c r="AF8" s="18">
        <v>0.13250000000000001</v>
      </c>
      <c r="AG8" s="18">
        <v>0.32500000000000001</v>
      </c>
      <c r="AH8" s="18">
        <v>5.4399999999999997E-2</v>
      </c>
      <c r="AI8" s="18">
        <v>6.4899999999999999E-2</v>
      </c>
      <c r="AJ8" s="18">
        <v>6.3500000000000001E-2</v>
      </c>
      <c r="AK8" s="18">
        <v>1.2496</v>
      </c>
      <c r="AL8" s="18">
        <v>1.2152000000000001</v>
      </c>
      <c r="AM8" s="18">
        <v>2.6869000000000001</v>
      </c>
      <c r="AN8" s="18">
        <v>2.8111000000000002</v>
      </c>
      <c r="AO8" s="18">
        <v>0.52659999999999996</v>
      </c>
      <c r="AP8" s="18">
        <v>0.36559999999999998</v>
      </c>
      <c r="AQ8" s="18">
        <v>0.41510000000000002</v>
      </c>
      <c r="AR8" s="18">
        <v>5.0999999999999997E-2</v>
      </c>
      <c r="AS8" s="18">
        <v>0.2036</v>
      </c>
      <c r="AT8" s="18">
        <v>0.37019999999999997</v>
      </c>
      <c r="AU8" s="18">
        <v>5.0999999999999997E-2</v>
      </c>
      <c r="AV8" s="18">
        <v>5.0999999999999997E-2</v>
      </c>
      <c r="AW8" s="18">
        <v>5.0999999999999997E-2</v>
      </c>
      <c r="AX8" s="18">
        <v>5.0999999999999997E-2</v>
      </c>
    </row>
    <row r="9" spans="1:50" x14ac:dyDescent="0.25">
      <c r="A9" s="8" t="s">
        <v>58</v>
      </c>
      <c r="B9" s="10" t="s">
        <v>57</v>
      </c>
      <c r="C9" s="18">
        <v>0.19719999999999999</v>
      </c>
      <c r="D9" s="18">
        <v>5.0999999999999997E-2</v>
      </c>
      <c r="E9" s="18">
        <v>9.7500000000000003E-2</v>
      </c>
      <c r="F9" s="18">
        <v>0.1507</v>
      </c>
      <c r="G9" s="18">
        <v>5.0999999999999997E-2</v>
      </c>
      <c r="H9" s="18">
        <v>5.0999999999999997E-2</v>
      </c>
      <c r="I9" s="18">
        <v>0.19719999999999999</v>
      </c>
      <c r="J9" s="18">
        <v>5.0999999999999997E-2</v>
      </c>
      <c r="K9" s="18">
        <v>0.1706</v>
      </c>
      <c r="L9" s="18">
        <v>7.7600000000000002E-2</v>
      </c>
      <c r="M9" s="18">
        <v>7.0900000000000005E-2</v>
      </c>
      <c r="N9" s="18">
        <v>0.17730000000000001</v>
      </c>
      <c r="O9" s="18">
        <v>5.0999999999999997E-2</v>
      </c>
      <c r="P9" s="18">
        <v>0.1174</v>
      </c>
      <c r="Q9" s="18">
        <v>0.13070000000000001</v>
      </c>
      <c r="R9" s="18">
        <v>1.4152</v>
      </c>
      <c r="S9" s="18">
        <v>0.84830000000000005</v>
      </c>
      <c r="T9" s="18">
        <v>0.2132</v>
      </c>
      <c r="U9" s="18">
        <v>8.3099999999999993E-2</v>
      </c>
      <c r="V9" s="18">
        <v>1.8108</v>
      </c>
      <c r="W9" s="18">
        <v>6.4399999999999999E-2</v>
      </c>
      <c r="X9" s="18">
        <v>1.1724000000000001</v>
      </c>
      <c r="Y9" s="18">
        <v>0.40820000000000001</v>
      </c>
      <c r="Z9" s="18">
        <v>0.27479999999999999</v>
      </c>
      <c r="AA9" s="18">
        <v>0.27479999999999999</v>
      </c>
      <c r="AB9" s="18">
        <v>0.2515</v>
      </c>
      <c r="AC9" s="18">
        <v>8.4199999999999997E-2</v>
      </c>
      <c r="AD9" s="18">
        <v>0.1108</v>
      </c>
      <c r="AE9" s="18">
        <v>0.13739999999999999</v>
      </c>
      <c r="AF9" s="18">
        <v>0.71499999999999997</v>
      </c>
      <c r="AG9" s="18">
        <v>0.9264</v>
      </c>
      <c r="AH9" s="18">
        <v>0.23469999999999999</v>
      </c>
      <c r="AI9" s="18">
        <v>1.4661999999999999</v>
      </c>
      <c r="AJ9" s="18">
        <v>0.92559999999999998</v>
      </c>
      <c r="AK9" s="18">
        <v>0.2762</v>
      </c>
      <c r="AL9" s="18">
        <v>0.59289999999999998</v>
      </c>
      <c r="AM9" s="18">
        <v>0.92810000000000004</v>
      </c>
      <c r="AN9" s="18">
        <v>2.2631999999999999</v>
      </c>
      <c r="AO9" s="18">
        <v>0.96360000000000001</v>
      </c>
      <c r="AP9" s="18">
        <v>0.81499999999999995</v>
      </c>
      <c r="AQ9" s="18">
        <v>0.3145</v>
      </c>
      <c r="AR9" s="18">
        <v>1.2263999999999999</v>
      </c>
      <c r="AS9" s="18">
        <v>0.71650000000000003</v>
      </c>
      <c r="AT9" s="18">
        <v>0.5151</v>
      </c>
      <c r="AU9" s="18">
        <v>0.2296</v>
      </c>
      <c r="AV9" s="18">
        <v>0.1212</v>
      </c>
      <c r="AW9" s="18">
        <v>0.1144</v>
      </c>
      <c r="AX9" s="18">
        <v>0.1507</v>
      </c>
    </row>
    <row r="10" spans="1:50" x14ac:dyDescent="0.25">
      <c r="A10" s="16" t="s">
        <v>469</v>
      </c>
      <c r="B10" s="13" t="s">
        <v>464</v>
      </c>
      <c r="C10" s="17">
        <v>0.28989999999999999</v>
      </c>
      <c r="D10" s="17">
        <v>6.0199999999999997E-2</v>
      </c>
      <c r="E10" s="17">
        <v>0.3614</v>
      </c>
      <c r="F10" s="17">
        <v>3.9E-2</v>
      </c>
      <c r="G10" s="17">
        <v>0.10249999999999999</v>
      </c>
      <c r="H10" s="17">
        <v>0.2661</v>
      </c>
      <c r="I10" s="17">
        <v>9.1999999999999998E-2</v>
      </c>
      <c r="J10" s="17">
        <v>0.28899999999999998</v>
      </c>
      <c r="K10" s="17">
        <v>0.1326</v>
      </c>
      <c r="L10" s="17">
        <v>8.7999999999999995E-2</v>
      </c>
      <c r="M10" s="17">
        <v>9.8900000000000002E-2</v>
      </c>
      <c r="N10" s="17">
        <v>0.2737</v>
      </c>
      <c r="O10" s="17">
        <v>3.9E-2</v>
      </c>
      <c r="P10" s="17">
        <v>8.3599999999999994E-2</v>
      </c>
      <c r="Q10" s="17">
        <v>0.25850000000000001</v>
      </c>
      <c r="R10" s="17">
        <v>0.11849999999999999</v>
      </c>
      <c r="S10" s="17">
        <v>0.4194</v>
      </c>
      <c r="T10" s="17">
        <v>0.24560000000000001</v>
      </c>
      <c r="U10" s="17">
        <v>0.72240000000000004</v>
      </c>
      <c r="V10" s="17">
        <v>0.52359999999999995</v>
      </c>
      <c r="W10" s="17">
        <v>0.2177</v>
      </c>
      <c r="X10" s="17">
        <v>0.34420000000000001</v>
      </c>
      <c r="Y10" s="17">
        <v>0.41020000000000001</v>
      </c>
      <c r="Z10" s="17">
        <v>1.2541</v>
      </c>
      <c r="AA10" s="17">
        <v>0.81420000000000003</v>
      </c>
      <c r="AB10" s="17">
        <v>0.60599999999999998</v>
      </c>
      <c r="AC10" s="17">
        <v>0.30930000000000002</v>
      </c>
      <c r="AD10" s="17">
        <v>0.59789999999999999</v>
      </c>
      <c r="AE10" s="17">
        <v>0.27989999999999998</v>
      </c>
      <c r="AF10" s="17">
        <v>0.4289</v>
      </c>
      <c r="AG10" s="17">
        <v>0.2918</v>
      </c>
      <c r="AH10" s="17">
        <v>0.1169</v>
      </c>
      <c r="AI10" s="17">
        <v>0.59030000000000005</v>
      </c>
      <c r="AJ10" s="17">
        <v>0.2261</v>
      </c>
      <c r="AK10" s="17">
        <v>0.57130000000000003</v>
      </c>
      <c r="AL10" s="17">
        <v>0.90969999999999995</v>
      </c>
      <c r="AM10" s="17">
        <v>0.1434</v>
      </c>
      <c r="AN10" s="17">
        <v>0.35610000000000003</v>
      </c>
      <c r="AO10" s="17">
        <v>0.33660000000000001</v>
      </c>
      <c r="AP10" s="17">
        <v>0.4829</v>
      </c>
      <c r="AQ10" s="17">
        <v>0.40110000000000001</v>
      </c>
      <c r="AR10" s="17">
        <v>0.44440000000000002</v>
      </c>
      <c r="AS10" s="17">
        <v>0.66379999999999995</v>
      </c>
      <c r="AT10" s="17">
        <v>0.4451</v>
      </c>
      <c r="AU10" s="17">
        <v>0.3604</v>
      </c>
      <c r="AV10" s="17">
        <v>0.2301</v>
      </c>
      <c r="AW10" s="17">
        <v>0.18629999999999999</v>
      </c>
      <c r="AX10" s="17">
        <v>0.13639999999999999</v>
      </c>
    </row>
    <row r="11" spans="1:50" x14ac:dyDescent="0.25">
      <c r="A11" s="16" t="s">
        <v>471</v>
      </c>
      <c r="B11" s="13" t="s">
        <v>464</v>
      </c>
      <c r="C11" s="17">
        <v>0.122</v>
      </c>
      <c r="D11" s="17">
        <v>4.8000000000000001E-2</v>
      </c>
      <c r="E11" s="17">
        <v>0.122</v>
      </c>
      <c r="F11" s="17">
        <v>4.8000000000000001E-2</v>
      </c>
      <c r="G11" s="17">
        <v>4.8000000000000001E-2</v>
      </c>
      <c r="H11" s="17">
        <v>7.6799999999999993E-2</v>
      </c>
      <c r="I11" s="17">
        <v>9.3200000000000005E-2</v>
      </c>
      <c r="J11" s="17">
        <v>4.8000000000000001E-2</v>
      </c>
      <c r="K11" s="17">
        <v>0.122</v>
      </c>
      <c r="L11" s="17">
        <v>4.8000000000000001E-2</v>
      </c>
      <c r="M11" s="17">
        <v>4.8000000000000001E-2</v>
      </c>
      <c r="N11" s="17">
        <v>4.8000000000000001E-2</v>
      </c>
      <c r="O11" s="17">
        <v>4.8000000000000001E-2</v>
      </c>
      <c r="P11" s="17">
        <v>4.8000000000000001E-2</v>
      </c>
      <c r="Q11" s="17">
        <v>0.316</v>
      </c>
      <c r="R11" s="17">
        <v>0.22500000000000001</v>
      </c>
      <c r="S11" s="17">
        <v>7.6399999999999996E-2</v>
      </c>
      <c r="T11" s="17">
        <v>0.51180000000000003</v>
      </c>
      <c r="U11" s="17">
        <v>1.306</v>
      </c>
      <c r="V11" s="17">
        <v>0.37290000000000001</v>
      </c>
      <c r="W11" s="17">
        <v>1.1358999999999999</v>
      </c>
      <c r="X11" s="17">
        <v>0.1101</v>
      </c>
      <c r="Y11" s="17">
        <v>6.9099999999999995E-2</v>
      </c>
      <c r="Z11" s="17">
        <v>0.17080000000000001</v>
      </c>
      <c r="AA11" s="17">
        <v>0.7349</v>
      </c>
      <c r="AB11" s="17">
        <v>0.59060000000000001</v>
      </c>
      <c r="AC11" s="17">
        <v>0.25290000000000001</v>
      </c>
      <c r="AD11" s="17">
        <v>0.1075</v>
      </c>
      <c r="AE11" s="17">
        <v>0.3266</v>
      </c>
      <c r="AF11" s="17">
        <v>0.1116</v>
      </c>
      <c r="AG11" s="17">
        <v>0.1028</v>
      </c>
      <c r="AH11" s="17">
        <v>0.1211</v>
      </c>
      <c r="AI11" s="17">
        <v>0.56589999999999996</v>
      </c>
      <c r="AJ11" s="17">
        <v>1.3082</v>
      </c>
      <c r="AK11" s="17">
        <v>0.94140000000000001</v>
      </c>
      <c r="AL11" s="17">
        <v>1.8842000000000001</v>
      </c>
      <c r="AM11" s="17">
        <v>0.93420000000000003</v>
      </c>
      <c r="AN11" s="17">
        <v>1.1448</v>
      </c>
      <c r="AO11" s="17">
        <v>0.5917</v>
      </c>
      <c r="AP11" s="17">
        <v>0.54339999999999999</v>
      </c>
      <c r="AQ11" s="17">
        <v>0.57999999999999996</v>
      </c>
      <c r="AR11" s="17">
        <v>0.57279999999999998</v>
      </c>
      <c r="AS11" s="17">
        <v>1.1420999999999999</v>
      </c>
      <c r="AT11" s="17">
        <v>0.70169999999999999</v>
      </c>
      <c r="AU11" s="17">
        <v>0.50339999999999996</v>
      </c>
      <c r="AV11" s="17">
        <v>0.44190000000000002</v>
      </c>
      <c r="AW11" s="17">
        <v>0.38840000000000002</v>
      </c>
      <c r="AX11" s="17">
        <v>0.1056</v>
      </c>
    </row>
    <row r="12" spans="1:50" x14ac:dyDescent="0.25">
      <c r="A12" s="8" t="s">
        <v>60</v>
      </c>
      <c r="B12" s="10" t="s">
        <v>57</v>
      </c>
      <c r="C12" s="18">
        <v>4.3999999999999997E-2</v>
      </c>
      <c r="D12" s="18">
        <v>0.183</v>
      </c>
      <c r="E12" s="18">
        <v>7.4899999999999994E-2</v>
      </c>
      <c r="F12" s="18">
        <v>4.3999999999999997E-2</v>
      </c>
      <c r="G12" s="18">
        <v>0.1135</v>
      </c>
      <c r="H12" s="18">
        <v>0.1444</v>
      </c>
      <c r="I12" s="18">
        <v>5.9400000000000001E-2</v>
      </c>
      <c r="J12" s="18">
        <v>0.19850000000000001</v>
      </c>
      <c r="K12" s="18">
        <v>4.3999999999999997E-2</v>
      </c>
      <c r="L12" s="18">
        <v>5.1700000000000003E-2</v>
      </c>
      <c r="M12" s="18">
        <v>0.20619999999999999</v>
      </c>
      <c r="N12" s="18">
        <v>4.3999999999999997E-2</v>
      </c>
      <c r="O12" s="18">
        <v>4.3999999999999997E-2</v>
      </c>
      <c r="P12" s="18">
        <v>0.21390000000000001</v>
      </c>
      <c r="Q12" s="18">
        <v>4.3999999999999997E-2</v>
      </c>
      <c r="R12" s="18">
        <v>0.1095</v>
      </c>
      <c r="S12" s="18">
        <v>0.17680000000000001</v>
      </c>
      <c r="T12" s="18">
        <v>8.2600000000000007E-2</v>
      </c>
      <c r="U12" s="18">
        <v>0.05</v>
      </c>
      <c r="V12" s="18">
        <v>0.1847</v>
      </c>
      <c r="W12" s="18">
        <v>7.4899999999999994E-2</v>
      </c>
      <c r="X12" s="18">
        <v>4.3999999999999997E-2</v>
      </c>
      <c r="Y12" s="18">
        <v>5.1700000000000003E-2</v>
      </c>
      <c r="Z12" s="18">
        <v>0.20619999999999999</v>
      </c>
      <c r="AA12" s="18">
        <v>4.3999999999999997E-2</v>
      </c>
      <c r="AB12" s="18">
        <v>0.19070000000000001</v>
      </c>
      <c r="AC12" s="18">
        <v>0.15720000000000001</v>
      </c>
      <c r="AD12" s="18">
        <v>0.1404</v>
      </c>
      <c r="AE12" s="18">
        <v>0.2636</v>
      </c>
      <c r="AF12" s="18">
        <v>0.19789999999999999</v>
      </c>
      <c r="AG12" s="18">
        <v>0.14940000000000001</v>
      </c>
      <c r="AH12" s="18">
        <v>0.27950000000000003</v>
      </c>
      <c r="AI12" s="18">
        <v>4.3999999999999997E-2</v>
      </c>
      <c r="AJ12" s="18">
        <v>0.21390000000000001</v>
      </c>
      <c r="AK12" s="18">
        <v>7.7799999999999994E-2</v>
      </c>
      <c r="AL12" s="18">
        <v>0.25090000000000001</v>
      </c>
      <c r="AM12" s="18">
        <v>0.40050000000000002</v>
      </c>
      <c r="AN12" s="18">
        <v>4.3999999999999997E-2</v>
      </c>
      <c r="AO12" s="18">
        <v>0.22789999999999999</v>
      </c>
      <c r="AP12" s="18">
        <v>0.14779999999999999</v>
      </c>
      <c r="AQ12" s="18">
        <v>0.4657</v>
      </c>
      <c r="AR12" s="18">
        <v>0.4239</v>
      </c>
      <c r="AS12" s="18">
        <v>0.25719999999999998</v>
      </c>
      <c r="AT12" s="18">
        <v>0.51200000000000001</v>
      </c>
      <c r="AU12" s="18">
        <v>0.32179999999999997</v>
      </c>
      <c r="AV12" s="18">
        <v>0.48280000000000001</v>
      </c>
      <c r="AW12" s="18">
        <v>4.3999999999999997E-2</v>
      </c>
      <c r="AX12" s="18">
        <v>4.3999999999999997E-2</v>
      </c>
    </row>
    <row r="13" spans="1:50" x14ac:dyDescent="0.25">
      <c r="A13" s="16" t="s">
        <v>473</v>
      </c>
      <c r="B13" s="13" t="s">
        <v>464</v>
      </c>
      <c r="C13" s="17">
        <v>0.38030000000000003</v>
      </c>
      <c r="D13" s="17">
        <v>3.6999999999999998E-2</v>
      </c>
      <c r="E13" s="17">
        <v>3.6999999999999998E-2</v>
      </c>
      <c r="F13" s="17">
        <v>3.6999999999999998E-2</v>
      </c>
      <c r="G13" s="17">
        <v>3.6999999999999998E-2</v>
      </c>
      <c r="H13" s="17">
        <v>3.6999999999999998E-2</v>
      </c>
      <c r="I13" s="17">
        <v>3.6999999999999998E-2</v>
      </c>
      <c r="J13" s="17">
        <v>3.6999999999999998E-2</v>
      </c>
      <c r="K13" s="17">
        <v>3.6999999999999998E-2</v>
      </c>
      <c r="L13" s="17">
        <v>3.6999999999999998E-2</v>
      </c>
      <c r="M13" s="17">
        <v>3.6999999999999998E-2</v>
      </c>
      <c r="N13" s="17">
        <v>3.6999999999999998E-2</v>
      </c>
      <c r="O13" s="17">
        <v>3.6999999999999998E-2</v>
      </c>
      <c r="P13" s="17">
        <v>3.6999999999999998E-2</v>
      </c>
      <c r="Q13" s="17">
        <v>3.6999999999999998E-2</v>
      </c>
      <c r="R13" s="17">
        <v>3.6999999999999998E-2</v>
      </c>
      <c r="S13" s="17">
        <v>3.6999999999999998E-2</v>
      </c>
      <c r="T13" s="17">
        <v>0.54049999999999998</v>
      </c>
      <c r="U13" s="17">
        <v>2.1166</v>
      </c>
      <c r="V13" s="17">
        <v>0.15609999999999999</v>
      </c>
      <c r="W13" s="17">
        <v>0.13969999999999999</v>
      </c>
      <c r="X13" s="17">
        <v>0.1464</v>
      </c>
      <c r="Y13" s="17">
        <v>0.13159999999999999</v>
      </c>
      <c r="Z13" s="17">
        <v>0.1404</v>
      </c>
      <c r="AA13" s="17">
        <v>0.127</v>
      </c>
      <c r="AB13" s="17">
        <v>9.7000000000000003E-2</v>
      </c>
      <c r="AC13" s="17">
        <v>5.0999999999999997E-2</v>
      </c>
      <c r="AD13" s="17">
        <v>0.26879999999999998</v>
      </c>
      <c r="AE13" s="17">
        <v>8.5199999999999998E-2</v>
      </c>
      <c r="AF13" s="17">
        <v>0.29070000000000001</v>
      </c>
      <c r="AG13" s="17">
        <v>0.27200000000000002</v>
      </c>
      <c r="AH13" s="17">
        <v>8.8800000000000004E-2</v>
      </c>
      <c r="AI13" s="17">
        <v>0.09</v>
      </c>
      <c r="AJ13" s="17">
        <v>5.7700000000000001E-2</v>
      </c>
      <c r="AK13" s="17">
        <v>0.161</v>
      </c>
      <c r="AL13" s="17">
        <v>0.1341</v>
      </c>
      <c r="AM13" s="17">
        <v>7.6700000000000004E-2</v>
      </c>
      <c r="AN13" s="17">
        <v>0.15290000000000001</v>
      </c>
      <c r="AO13" s="17">
        <v>0.1429</v>
      </c>
      <c r="AP13" s="17">
        <v>0.25729999999999997</v>
      </c>
      <c r="AQ13" s="17">
        <v>0.54700000000000004</v>
      </c>
      <c r="AR13" s="17">
        <v>0.32140000000000002</v>
      </c>
      <c r="AS13" s="17">
        <v>0.34970000000000001</v>
      </c>
      <c r="AT13" s="17">
        <v>0.45190000000000002</v>
      </c>
      <c r="AU13" s="17">
        <v>0.52010000000000001</v>
      </c>
      <c r="AV13" s="17">
        <v>0.56840000000000002</v>
      </c>
      <c r="AW13" s="17">
        <v>0.65720000000000001</v>
      </c>
      <c r="AX13" s="17">
        <v>0.7238</v>
      </c>
    </row>
    <row r="14" spans="1:50" x14ac:dyDescent="0.25">
      <c r="A14" s="16" t="s">
        <v>475</v>
      </c>
      <c r="B14" s="13" t="s">
        <v>464</v>
      </c>
      <c r="C14" s="17">
        <v>5.6000000000000001E-2</v>
      </c>
      <c r="D14" s="17">
        <v>0.29110000000000003</v>
      </c>
      <c r="E14" s="17">
        <v>5.6000000000000001E-2</v>
      </c>
      <c r="F14" s="17">
        <v>5.6000000000000001E-2</v>
      </c>
      <c r="G14" s="17">
        <v>0.1711</v>
      </c>
      <c r="H14" s="17">
        <v>8.9899999999999994E-2</v>
      </c>
      <c r="I14" s="17">
        <v>0.1421</v>
      </c>
      <c r="J14" s="17">
        <v>5.6000000000000001E-2</v>
      </c>
      <c r="K14" s="17">
        <v>0.22889999999999999</v>
      </c>
      <c r="L14" s="17">
        <v>0.1182</v>
      </c>
      <c r="M14" s="17">
        <v>0.13730000000000001</v>
      </c>
      <c r="N14" s="17">
        <v>0.20979999999999999</v>
      </c>
      <c r="O14" s="17">
        <v>5.6000000000000001E-2</v>
      </c>
      <c r="P14" s="17">
        <v>0.1421</v>
      </c>
      <c r="Q14" s="17">
        <v>0.1237</v>
      </c>
      <c r="R14" s="17">
        <v>0.46339999999999998</v>
      </c>
      <c r="S14" s="17">
        <v>1.0527</v>
      </c>
      <c r="T14" s="17">
        <v>1.3246</v>
      </c>
      <c r="U14" s="17">
        <v>0.20699999999999999</v>
      </c>
      <c r="V14" s="17">
        <v>0.1381</v>
      </c>
      <c r="W14" s="17">
        <v>0.30020000000000002</v>
      </c>
      <c r="X14" s="17">
        <v>0.18809999999999999</v>
      </c>
      <c r="Y14" s="17">
        <v>0.14649999999999999</v>
      </c>
      <c r="Z14" s="17">
        <v>0.22090000000000001</v>
      </c>
      <c r="AA14" s="17">
        <v>0.14849999999999999</v>
      </c>
      <c r="AB14" s="17">
        <v>0.1196</v>
      </c>
      <c r="AC14" s="17">
        <v>1.5255000000000001</v>
      </c>
      <c r="AD14" s="17">
        <v>5.6000000000000001E-2</v>
      </c>
      <c r="AE14" s="17">
        <v>0.1628</v>
      </c>
      <c r="AF14" s="17">
        <v>0.60440000000000005</v>
      </c>
      <c r="AG14" s="17">
        <v>0.34160000000000001</v>
      </c>
      <c r="AH14" s="17">
        <v>0.29799999999999999</v>
      </c>
      <c r="AI14" s="17">
        <v>0.70199999999999996</v>
      </c>
      <c r="AJ14" s="17">
        <v>0.59819999999999995</v>
      </c>
      <c r="AK14" s="17">
        <v>0.80349999999999999</v>
      </c>
      <c r="AL14" s="17">
        <v>1.0931</v>
      </c>
      <c r="AM14" s="17">
        <v>5.6000000000000001E-2</v>
      </c>
      <c r="AN14" s="17">
        <v>0.29110000000000003</v>
      </c>
      <c r="AO14" s="17">
        <v>0.90820000000000001</v>
      </c>
      <c r="AP14" s="17">
        <v>0.53869999999999996</v>
      </c>
      <c r="AQ14" s="17">
        <v>0.8105</v>
      </c>
      <c r="AR14" s="17">
        <v>0.55640000000000001</v>
      </c>
      <c r="AS14" s="17">
        <v>0.88019999999999998</v>
      </c>
      <c r="AT14" s="17">
        <v>0.71220000000000006</v>
      </c>
      <c r="AU14" s="17">
        <v>0.99260000000000004</v>
      </c>
      <c r="AV14" s="17">
        <v>0.85640000000000005</v>
      </c>
      <c r="AW14" s="17">
        <v>1.1063000000000001</v>
      </c>
      <c r="AX14" s="17">
        <v>1.2062999999999999</v>
      </c>
    </row>
    <row r="15" spans="1:50" x14ac:dyDescent="0.25">
      <c r="A15" s="16" t="s">
        <v>477</v>
      </c>
      <c r="B15" s="13" t="s">
        <v>464</v>
      </c>
      <c r="C15" s="17">
        <v>0.16220000000000001</v>
      </c>
      <c r="D15" s="17">
        <v>0.1946</v>
      </c>
      <c r="E15" s="17">
        <v>5.6000000000000001E-2</v>
      </c>
      <c r="F15" s="17">
        <v>0.26179999999999998</v>
      </c>
      <c r="G15" s="17">
        <v>9.5000000000000001E-2</v>
      </c>
      <c r="H15" s="17">
        <v>0.15240000000000001</v>
      </c>
      <c r="I15" s="17">
        <v>0.2044</v>
      </c>
      <c r="J15" s="17">
        <v>8.6300000000000002E-2</v>
      </c>
      <c r="K15" s="17">
        <v>0.24879999999999999</v>
      </c>
      <c r="L15" s="17">
        <v>7.7600000000000002E-2</v>
      </c>
      <c r="M15" s="17">
        <v>0.1394</v>
      </c>
      <c r="N15" s="17">
        <v>0.21740000000000001</v>
      </c>
      <c r="O15" s="17">
        <v>5.6000000000000001E-2</v>
      </c>
      <c r="P15" s="17">
        <v>5.6000000000000001E-2</v>
      </c>
      <c r="Q15" s="17">
        <v>0.40110000000000001</v>
      </c>
      <c r="R15" s="17">
        <v>7.8799999999999995E-2</v>
      </c>
      <c r="S15" s="17">
        <v>0.1167</v>
      </c>
      <c r="T15" s="17">
        <v>0.61129999999999995</v>
      </c>
      <c r="U15" s="17">
        <v>0.105</v>
      </c>
      <c r="V15" s="17">
        <v>0.51370000000000005</v>
      </c>
      <c r="W15" s="17">
        <v>0.26819999999999999</v>
      </c>
      <c r="X15" s="17">
        <v>0.23219999999999999</v>
      </c>
      <c r="Y15" s="17">
        <v>0.30020000000000002</v>
      </c>
      <c r="Z15" s="17">
        <v>0.33310000000000001</v>
      </c>
      <c r="AA15" s="17">
        <v>0.2001</v>
      </c>
      <c r="AB15" s="17">
        <v>5.6000000000000001E-2</v>
      </c>
      <c r="AC15" s="17">
        <v>7.7600000000000002E-2</v>
      </c>
      <c r="AD15" s="17">
        <v>0.1123</v>
      </c>
      <c r="AE15" s="17">
        <v>0.25319999999999998</v>
      </c>
      <c r="AF15" s="17">
        <v>0.1036</v>
      </c>
      <c r="AG15" s="17">
        <v>0.13830000000000001</v>
      </c>
      <c r="AH15" s="17">
        <v>0.2185</v>
      </c>
      <c r="AI15" s="17">
        <v>7.7600000000000002E-2</v>
      </c>
      <c r="AJ15" s="17">
        <v>0.1123</v>
      </c>
      <c r="AK15" s="17">
        <v>0.2001</v>
      </c>
      <c r="AL15" s="17">
        <v>0.25879999999999997</v>
      </c>
      <c r="AM15" s="17">
        <v>0.84209999999999996</v>
      </c>
      <c r="AN15" s="17">
        <v>0.68769999999999998</v>
      </c>
      <c r="AO15" s="17">
        <v>0.54449999999999998</v>
      </c>
      <c r="AP15" s="17">
        <v>0.67269999999999996</v>
      </c>
      <c r="AQ15" s="17">
        <v>1.1172</v>
      </c>
      <c r="AR15" s="17">
        <v>0.97989999999999999</v>
      </c>
      <c r="AS15" s="17">
        <v>0.1774</v>
      </c>
      <c r="AT15" s="17">
        <v>0.17949999999999999</v>
      </c>
      <c r="AU15" s="17">
        <v>7.8799999999999995E-2</v>
      </c>
      <c r="AV15" s="17">
        <v>0.25209999999999999</v>
      </c>
      <c r="AW15" s="17">
        <v>8.2000000000000003E-2</v>
      </c>
      <c r="AX15" s="17">
        <v>0.24660000000000001</v>
      </c>
    </row>
    <row r="16" spans="1:50" x14ac:dyDescent="0.25">
      <c r="A16" s="8" t="s">
        <v>62</v>
      </c>
      <c r="B16" s="10" t="s">
        <v>57</v>
      </c>
      <c r="C16" s="18">
        <v>6.3799999999999996E-2</v>
      </c>
      <c r="D16" s="18">
        <v>0.10589999999999999</v>
      </c>
      <c r="E16" s="18">
        <v>4.7E-2</v>
      </c>
      <c r="F16" s="18">
        <v>6.8000000000000005E-2</v>
      </c>
      <c r="G16" s="18">
        <v>0.1017</v>
      </c>
      <c r="H16" s="18">
        <v>4.7E-2</v>
      </c>
      <c r="I16" s="18">
        <v>4.7E-2</v>
      </c>
      <c r="J16" s="18">
        <v>0.1143</v>
      </c>
      <c r="K16" s="18">
        <v>5.5399999999999998E-2</v>
      </c>
      <c r="L16" s="18">
        <v>0.1227</v>
      </c>
      <c r="M16" s="18">
        <v>4.7E-2</v>
      </c>
      <c r="N16" s="18">
        <v>4.7E-2</v>
      </c>
      <c r="O16" s="18">
        <v>4.7E-2</v>
      </c>
      <c r="P16" s="18">
        <v>0.2145</v>
      </c>
      <c r="Q16" s="18">
        <v>1.3606</v>
      </c>
      <c r="R16" s="18">
        <v>0.95579999999999998</v>
      </c>
      <c r="S16" s="18">
        <v>9.98E-2</v>
      </c>
      <c r="T16" s="18">
        <v>7.3099999999999998E-2</v>
      </c>
      <c r="U16" s="18">
        <v>0.12709999999999999</v>
      </c>
      <c r="V16" s="18">
        <v>0.28249999999999997</v>
      </c>
      <c r="W16" s="18">
        <v>0.19620000000000001</v>
      </c>
      <c r="X16" s="18">
        <v>4.7E-2</v>
      </c>
      <c r="Y16" s="18">
        <v>0.1143</v>
      </c>
      <c r="Z16" s="18">
        <v>5.5399999999999998E-2</v>
      </c>
      <c r="AA16" s="18">
        <v>6.5199999999999994E-2</v>
      </c>
      <c r="AB16" s="18">
        <v>8.7400000000000005E-2</v>
      </c>
      <c r="AC16" s="18">
        <v>0.25629999999999997</v>
      </c>
      <c r="AD16" s="18">
        <v>7.0099999999999996E-2</v>
      </c>
      <c r="AE16" s="18">
        <v>0.247</v>
      </c>
      <c r="AF16" s="18">
        <v>0.31390000000000001</v>
      </c>
      <c r="AG16" s="18">
        <v>1.5972999999999999</v>
      </c>
      <c r="AH16" s="18">
        <v>3.0872000000000002</v>
      </c>
      <c r="AI16" s="18">
        <v>1.5225</v>
      </c>
      <c r="AJ16" s="18">
        <v>0.2828</v>
      </c>
      <c r="AK16" s="18">
        <v>0.15110000000000001</v>
      </c>
      <c r="AL16" s="18">
        <v>0.2064</v>
      </c>
      <c r="AM16" s="18">
        <v>0.1545</v>
      </c>
      <c r="AN16" s="18">
        <v>0.22159999999999999</v>
      </c>
      <c r="AO16" s="18">
        <v>0.17660000000000001</v>
      </c>
      <c r="AP16" s="18">
        <v>0.46589999999999998</v>
      </c>
      <c r="AQ16" s="18">
        <v>0.34160000000000001</v>
      </c>
      <c r="AR16" s="18">
        <v>0.37030000000000002</v>
      </c>
      <c r="AS16" s="18">
        <v>0.46439999999999998</v>
      </c>
      <c r="AT16" s="18">
        <v>0.46960000000000002</v>
      </c>
      <c r="AU16" s="18">
        <v>4.7E-2</v>
      </c>
      <c r="AV16" s="18">
        <v>8.4900000000000003E-2</v>
      </c>
      <c r="AW16" s="18">
        <v>0.18729999999999999</v>
      </c>
      <c r="AX16" s="18">
        <v>0.1099</v>
      </c>
    </row>
    <row r="17" spans="1:50" x14ac:dyDescent="0.25">
      <c r="A17" s="16" t="s">
        <v>479</v>
      </c>
      <c r="B17" s="13" t="s">
        <v>464</v>
      </c>
      <c r="C17" s="17">
        <v>4.9000000000000002E-2</v>
      </c>
      <c r="D17" s="17">
        <v>0.40010000000000001</v>
      </c>
      <c r="E17" s="17">
        <v>9.7699999999999995E-2</v>
      </c>
      <c r="F17" s="17">
        <v>0.1618</v>
      </c>
      <c r="G17" s="17">
        <v>0.2258</v>
      </c>
      <c r="H17" s="17">
        <v>0.17519999999999999</v>
      </c>
      <c r="I17" s="17">
        <v>0.2422</v>
      </c>
      <c r="J17" s="17">
        <v>0.23949999999999999</v>
      </c>
      <c r="K17" s="17">
        <v>0.186</v>
      </c>
      <c r="L17" s="17">
        <v>0.2072</v>
      </c>
      <c r="M17" s="17">
        <v>0.15359999999999999</v>
      </c>
      <c r="N17" s="17">
        <v>0.3387</v>
      </c>
      <c r="O17" s="17">
        <v>4.9000000000000002E-2</v>
      </c>
      <c r="P17" s="17">
        <v>0.2019</v>
      </c>
      <c r="Q17" s="17">
        <v>0.26840000000000003</v>
      </c>
      <c r="R17" s="17">
        <v>7.6499999999999999E-2</v>
      </c>
      <c r="S17" s="17">
        <v>0.3871</v>
      </c>
      <c r="T17" s="17">
        <v>0.12609999999999999</v>
      </c>
      <c r="U17" s="17">
        <v>0.13739999999999999</v>
      </c>
      <c r="V17" s="17">
        <v>0.2666</v>
      </c>
      <c r="W17" s="17">
        <v>0.1643</v>
      </c>
      <c r="X17" s="17">
        <v>0.32740000000000002</v>
      </c>
      <c r="Y17" s="17">
        <v>0.41639999999999999</v>
      </c>
      <c r="Z17" s="17">
        <v>0.23630000000000001</v>
      </c>
      <c r="AA17" s="17">
        <v>0.1019</v>
      </c>
      <c r="AB17" s="17">
        <v>0.33589999999999998</v>
      </c>
      <c r="AC17" s="17">
        <v>0.1699</v>
      </c>
      <c r="AD17" s="17">
        <v>0.1615</v>
      </c>
      <c r="AE17" s="17">
        <v>0.33629999999999999</v>
      </c>
      <c r="AF17" s="17">
        <v>0.1053</v>
      </c>
      <c r="AG17" s="17">
        <v>0.20180000000000001</v>
      </c>
      <c r="AH17" s="17">
        <v>0.12959999999999999</v>
      </c>
      <c r="AI17" s="17">
        <v>0.20730000000000001</v>
      </c>
      <c r="AJ17" s="17">
        <v>0.29039999999999999</v>
      </c>
      <c r="AK17" s="17">
        <v>0.15909999999999999</v>
      </c>
      <c r="AL17" s="17">
        <v>0.2258</v>
      </c>
      <c r="AM17" s="17">
        <v>4.9000000000000002E-2</v>
      </c>
      <c r="AN17" s="17">
        <v>0.27200000000000002</v>
      </c>
      <c r="AO17" s="17">
        <v>0.2258</v>
      </c>
      <c r="AP17" s="17">
        <v>0.15909999999999999</v>
      </c>
      <c r="AQ17" s="17">
        <v>0.32119999999999999</v>
      </c>
      <c r="AR17" s="17">
        <v>0.54700000000000004</v>
      </c>
      <c r="AS17" s="17">
        <v>0.83750000000000002</v>
      </c>
      <c r="AT17" s="17">
        <v>0.76170000000000004</v>
      </c>
      <c r="AU17" s="17">
        <v>6.8000000000000005E-2</v>
      </c>
      <c r="AV17" s="17">
        <v>0.1618</v>
      </c>
      <c r="AW17" s="17">
        <v>0.22589999999999999</v>
      </c>
      <c r="AX17" s="17">
        <v>0.13159999999999999</v>
      </c>
    </row>
    <row r="18" spans="1:50" x14ac:dyDescent="0.25">
      <c r="A18" s="16" t="s">
        <v>481</v>
      </c>
      <c r="B18" s="13" t="s">
        <v>464</v>
      </c>
      <c r="C18" s="17">
        <v>0.2787</v>
      </c>
      <c r="D18" s="17">
        <v>0.12</v>
      </c>
      <c r="E18" s="17">
        <v>0.16589999999999999</v>
      </c>
      <c r="F18" s="17">
        <v>0.219</v>
      </c>
      <c r="G18" s="17">
        <v>5.5E-2</v>
      </c>
      <c r="H18" s="17">
        <v>9.6600000000000005E-2</v>
      </c>
      <c r="I18" s="17">
        <v>0.24890000000000001</v>
      </c>
      <c r="J18" s="17">
        <v>0.1221</v>
      </c>
      <c r="K18" s="17">
        <v>0.14510000000000001</v>
      </c>
      <c r="L18" s="17">
        <v>0.193</v>
      </c>
      <c r="M18" s="17">
        <v>0.1295</v>
      </c>
      <c r="N18" s="17">
        <v>5.5E-2</v>
      </c>
      <c r="O18" s="17">
        <v>9.6600000000000005E-2</v>
      </c>
      <c r="P18" s="17">
        <v>0.316</v>
      </c>
      <c r="Q18" s="17">
        <v>8.2699999999999996E-2</v>
      </c>
      <c r="R18" s="17">
        <v>0.28510000000000002</v>
      </c>
      <c r="S18" s="17">
        <v>9.9699999999999997E-2</v>
      </c>
      <c r="T18" s="17">
        <v>0.31209999999999999</v>
      </c>
      <c r="U18" s="17">
        <v>0.23680000000000001</v>
      </c>
      <c r="V18" s="17">
        <v>0.19670000000000001</v>
      </c>
      <c r="W18" s="17">
        <v>5.5E-2</v>
      </c>
      <c r="X18" s="17">
        <v>0.28499999999999998</v>
      </c>
      <c r="Y18" s="17">
        <v>0.18809999999999999</v>
      </c>
      <c r="Z18" s="17">
        <v>0.14729999999999999</v>
      </c>
      <c r="AA18" s="17">
        <v>0.18909999999999999</v>
      </c>
      <c r="AB18" s="17">
        <v>5.5E-2</v>
      </c>
      <c r="AC18" s="17">
        <v>0.36530000000000001</v>
      </c>
      <c r="AD18" s="17">
        <v>1.5517000000000001</v>
      </c>
      <c r="AE18" s="17">
        <v>4.9454000000000002</v>
      </c>
      <c r="AF18" s="17">
        <v>2.1709999999999998</v>
      </c>
      <c r="AG18" s="17">
        <v>0.26900000000000002</v>
      </c>
      <c r="AH18" s="17">
        <v>0.3513</v>
      </c>
      <c r="AI18" s="17">
        <v>7.2099999999999997E-2</v>
      </c>
      <c r="AJ18" s="17">
        <v>1.6363000000000001</v>
      </c>
      <c r="AK18" s="17">
        <v>0.34920000000000001</v>
      </c>
      <c r="AL18" s="17">
        <v>0.39889999999999998</v>
      </c>
      <c r="AM18" s="17">
        <v>0.29480000000000001</v>
      </c>
      <c r="AN18" s="17">
        <v>0.31619999999999998</v>
      </c>
      <c r="AO18" s="17">
        <v>0.44429999999999997</v>
      </c>
      <c r="AP18" s="17">
        <v>0.42259999999999998</v>
      </c>
      <c r="AQ18" s="17">
        <v>0.56840000000000002</v>
      </c>
      <c r="AR18" s="17">
        <v>0.40749999999999997</v>
      </c>
      <c r="AS18" s="17">
        <v>0.2959</v>
      </c>
      <c r="AT18" s="17">
        <v>0.28620000000000001</v>
      </c>
      <c r="AU18" s="17">
        <v>8.48E-2</v>
      </c>
      <c r="AV18" s="17">
        <v>0.19359999999999999</v>
      </c>
      <c r="AW18" s="17">
        <v>8.48E-2</v>
      </c>
      <c r="AX18" s="17">
        <v>0.32779999999999998</v>
      </c>
    </row>
    <row r="19" spans="1:50" x14ac:dyDescent="0.25">
      <c r="A19" s="8" t="s">
        <v>64</v>
      </c>
      <c r="B19" s="10" t="s">
        <v>57</v>
      </c>
      <c r="C19" s="18">
        <v>0.29770000000000002</v>
      </c>
      <c r="D19" s="18">
        <v>0.13320000000000001</v>
      </c>
      <c r="E19" s="18">
        <v>0.2092</v>
      </c>
      <c r="F19" s="18">
        <v>0.2525</v>
      </c>
      <c r="G19" s="18">
        <v>0.2777</v>
      </c>
      <c r="H19" s="18">
        <v>0.39140000000000003</v>
      </c>
      <c r="I19" s="18">
        <v>0.46139999999999998</v>
      </c>
      <c r="J19" s="18">
        <v>0.21879999999999999</v>
      </c>
      <c r="K19" s="18">
        <v>0.14360000000000001</v>
      </c>
      <c r="L19" s="18">
        <v>0.1249</v>
      </c>
      <c r="M19" s="18">
        <v>5.8000000000000003E-2</v>
      </c>
      <c r="N19" s="18">
        <v>0.4037</v>
      </c>
      <c r="O19" s="18">
        <v>5.8000000000000003E-2</v>
      </c>
      <c r="P19" s="18">
        <v>0.222</v>
      </c>
      <c r="Q19" s="18">
        <v>0.2195</v>
      </c>
      <c r="R19" s="18">
        <v>7.8200000000000006E-2</v>
      </c>
      <c r="S19" s="18">
        <v>0.23599999999999999</v>
      </c>
      <c r="T19" s="18">
        <v>0.1042</v>
      </c>
      <c r="U19" s="18">
        <v>0.3553</v>
      </c>
      <c r="V19" s="18">
        <v>1.2248000000000001</v>
      </c>
      <c r="W19" s="18">
        <v>0.4627</v>
      </c>
      <c r="X19" s="18">
        <v>1.5450999999999999</v>
      </c>
      <c r="Y19" s="18">
        <v>0.80489999999999995</v>
      </c>
      <c r="Z19" s="18">
        <v>1.8387</v>
      </c>
      <c r="AA19" s="18">
        <v>0.4864</v>
      </c>
      <c r="AB19" s="18">
        <v>0.1956</v>
      </c>
      <c r="AC19" s="18">
        <v>0.28289999999999998</v>
      </c>
      <c r="AD19" s="18">
        <v>0.36230000000000001</v>
      </c>
      <c r="AE19" s="18">
        <v>0.15970000000000001</v>
      </c>
      <c r="AF19" s="18">
        <v>0.1671</v>
      </c>
      <c r="AG19" s="18">
        <v>0.6532</v>
      </c>
      <c r="AH19" s="18">
        <v>1.0598000000000001</v>
      </c>
      <c r="AI19" s="18">
        <v>0.5776</v>
      </c>
      <c r="AJ19" s="18">
        <v>1.3371999999999999</v>
      </c>
      <c r="AK19" s="18">
        <v>0.33610000000000001</v>
      </c>
      <c r="AL19" s="18">
        <v>0.14699999999999999</v>
      </c>
      <c r="AM19" s="18">
        <v>0.1588</v>
      </c>
      <c r="AN19" s="18">
        <v>0.25440000000000002</v>
      </c>
      <c r="AO19" s="18">
        <v>0.13070000000000001</v>
      </c>
      <c r="AP19" s="18">
        <v>5.8000000000000003E-2</v>
      </c>
      <c r="AQ19" s="18">
        <v>0.18479999999999999</v>
      </c>
      <c r="AR19" s="18">
        <v>0.27689999999999998</v>
      </c>
      <c r="AS19" s="18">
        <v>5.8000000000000003E-2</v>
      </c>
      <c r="AT19" s="18">
        <v>7.6600000000000001E-2</v>
      </c>
      <c r="AU19" s="18">
        <v>0.13569999999999999</v>
      </c>
      <c r="AV19" s="18">
        <v>0.3075</v>
      </c>
      <c r="AW19" s="18">
        <v>0.1249</v>
      </c>
      <c r="AX19" s="18">
        <v>0.19919999999999999</v>
      </c>
    </row>
    <row r="20" spans="1:50" x14ac:dyDescent="0.25">
      <c r="A20" s="16" t="s">
        <v>483</v>
      </c>
      <c r="B20" s="13" t="s">
        <v>464</v>
      </c>
      <c r="C20" s="17">
        <v>0.69989999999999997</v>
      </c>
      <c r="D20" s="17">
        <v>0.59830000000000005</v>
      </c>
      <c r="E20" s="17">
        <v>0.70179999999999998</v>
      </c>
      <c r="F20" s="17">
        <v>0.35110000000000002</v>
      </c>
      <c r="G20" s="17">
        <v>0.48580000000000001</v>
      </c>
      <c r="H20" s="17">
        <v>0.38169999999999998</v>
      </c>
      <c r="I20" s="17">
        <v>0.24629999999999999</v>
      </c>
      <c r="J20" s="17">
        <v>0.53239999999999998</v>
      </c>
      <c r="K20" s="17">
        <v>0.05</v>
      </c>
      <c r="L20" s="17">
        <v>0.18090000000000001</v>
      </c>
      <c r="M20" s="17">
        <v>0.1152</v>
      </c>
      <c r="N20" s="17">
        <v>0.14649999999999999</v>
      </c>
      <c r="O20" s="17">
        <v>0.20810000000000001</v>
      </c>
      <c r="P20" s="17">
        <v>0.15479999999999999</v>
      </c>
      <c r="Q20" s="17">
        <v>0.16139999999999999</v>
      </c>
      <c r="R20" s="17">
        <v>0.31630000000000003</v>
      </c>
      <c r="S20" s="17">
        <v>8.3799999999999999E-2</v>
      </c>
      <c r="T20" s="17">
        <v>0.22789999999999999</v>
      </c>
      <c r="U20" s="17">
        <v>0.23150000000000001</v>
      </c>
      <c r="V20" s="17">
        <v>0.05</v>
      </c>
      <c r="W20" s="17">
        <v>0.17599999999999999</v>
      </c>
      <c r="X20" s="17">
        <v>0.27739999999999998</v>
      </c>
      <c r="Y20" s="17">
        <v>0.18579999999999999</v>
      </c>
      <c r="Z20" s="17">
        <v>0.25180000000000002</v>
      </c>
      <c r="AA20" s="17">
        <v>0.251</v>
      </c>
      <c r="AB20" s="17">
        <v>0.3231</v>
      </c>
      <c r="AC20" s="17">
        <v>0.23350000000000001</v>
      </c>
      <c r="AD20" s="17">
        <v>0.1845</v>
      </c>
      <c r="AE20" s="17">
        <v>0.27489999999999998</v>
      </c>
      <c r="AF20" s="17">
        <v>6.9599999999999995E-2</v>
      </c>
      <c r="AG20" s="17">
        <v>0.21079999999999999</v>
      </c>
      <c r="AH20" s="17">
        <v>0.1103</v>
      </c>
      <c r="AI20" s="17">
        <v>0.23880000000000001</v>
      </c>
      <c r="AJ20" s="17">
        <v>0.15720000000000001</v>
      </c>
      <c r="AK20" s="17">
        <v>0.1724</v>
      </c>
      <c r="AL20" s="17">
        <v>0.28620000000000001</v>
      </c>
      <c r="AM20" s="17">
        <v>0.17380000000000001</v>
      </c>
      <c r="AN20" s="17">
        <v>0.30370000000000003</v>
      </c>
      <c r="AO20" s="17">
        <v>0.28189999999999998</v>
      </c>
      <c r="AP20" s="17">
        <v>0.52529999999999999</v>
      </c>
      <c r="AQ20" s="17">
        <v>0.52259999999999995</v>
      </c>
      <c r="AR20" s="17">
        <v>0.65849999999999997</v>
      </c>
      <c r="AS20" s="17">
        <v>0.48099999999999998</v>
      </c>
      <c r="AT20" s="17">
        <v>0.66890000000000005</v>
      </c>
      <c r="AU20" s="17">
        <v>0.35</v>
      </c>
      <c r="AV20" s="17">
        <v>0.05</v>
      </c>
      <c r="AW20" s="17">
        <v>0.31069999999999998</v>
      </c>
      <c r="AX20" s="17">
        <v>5.74E-2</v>
      </c>
    </row>
    <row r="21" spans="1:50" x14ac:dyDescent="0.25">
      <c r="A21" s="8" t="s">
        <v>66</v>
      </c>
      <c r="B21" s="10" t="s">
        <v>57</v>
      </c>
      <c r="C21" s="18">
        <v>0.15210000000000001</v>
      </c>
      <c r="D21" s="18">
        <v>5.4199999999999998E-2</v>
      </c>
      <c r="E21" s="18">
        <v>4.2000000000000003E-2</v>
      </c>
      <c r="F21" s="18">
        <v>0.1643</v>
      </c>
      <c r="G21" s="18">
        <v>4.2000000000000003E-2</v>
      </c>
      <c r="H21" s="18">
        <v>0.1643</v>
      </c>
      <c r="I21" s="18">
        <v>4.2000000000000003E-2</v>
      </c>
      <c r="J21" s="18">
        <v>0.1643</v>
      </c>
      <c r="K21" s="18">
        <v>4.2000000000000003E-2</v>
      </c>
      <c r="L21" s="18">
        <v>0.1215</v>
      </c>
      <c r="M21" s="18">
        <v>8.48E-2</v>
      </c>
      <c r="N21" s="18">
        <v>4.8099999999999997E-2</v>
      </c>
      <c r="O21" s="18">
        <v>0.15820000000000001</v>
      </c>
      <c r="P21" s="18">
        <v>4.2000000000000003E-2</v>
      </c>
      <c r="Q21" s="18">
        <v>0.1643</v>
      </c>
      <c r="R21" s="18">
        <v>0.34439999999999998</v>
      </c>
      <c r="S21" s="18">
        <v>0.34989999999999999</v>
      </c>
      <c r="T21" s="18">
        <v>0.2969</v>
      </c>
      <c r="U21" s="18">
        <v>4.2799999999999998E-2</v>
      </c>
      <c r="V21" s="18">
        <v>4.2000000000000003E-2</v>
      </c>
      <c r="W21" s="18">
        <v>4.2000000000000003E-2</v>
      </c>
      <c r="X21" s="18">
        <v>0.1643</v>
      </c>
      <c r="Y21" s="18">
        <v>4.2000000000000003E-2</v>
      </c>
      <c r="Z21" s="18">
        <v>6.0299999999999999E-2</v>
      </c>
      <c r="AA21" s="18">
        <v>0.1459</v>
      </c>
      <c r="AB21" s="18">
        <v>4.2000000000000003E-2</v>
      </c>
      <c r="AC21" s="18">
        <v>0.19420000000000001</v>
      </c>
      <c r="AD21" s="18">
        <v>0.44779999999999998</v>
      </c>
      <c r="AE21" s="18">
        <v>8.1600000000000006E-2</v>
      </c>
      <c r="AF21" s="18">
        <v>0.15210000000000001</v>
      </c>
      <c r="AG21" s="18">
        <v>4.2000000000000003E-2</v>
      </c>
      <c r="AH21" s="18">
        <v>4.2000000000000003E-2</v>
      </c>
      <c r="AI21" s="18">
        <v>0.12759999999999999</v>
      </c>
      <c r="AJ21" s="18">
        <v>7.8700000000000006E-2</v>
      </c>
      <c r="AK21" s="18">
        <v>4.2000000000000003E-2</v>
      </c>
      <c r="AL21" s="18">
        <v>4.8099999999999997E-2</v>
      </c>
      <c r="AM21" s="18">
        <v>0.15820000000000001</v>
      </c>
      <c r="AN21" s="18">
        <v>4.2000000000000003E-2</v>
      </c>
      <c r="AO21" s="18">
        <v>0.15820000000000001</v>
      </c>
      <c r="AP21" s="18">
        <v>4.8099999999999997E-2</v>
      </c>
      <c r="AQ21" s="18">
        <v>4.2000000000000003E-2</v>
      </c>
      <c r="AR21" s="18">
        <v>0.1643</v>
      </c>
      <c r="AS21" s="18">
        <v>4.2000000000000003E-2</v>
      </c>
      <c r="AT21" s="18">
        <v>0.16289999999999999</v>
      </c>
      <c r="AU21" s="18">
        <v>0.49659999999999999</v>
      </c>
      <c r="AV21" s="18">
        <v>1.4533</v>
      </c>
      <c r="AW21" s="18">
        <v>0.55569999999999997</v>
      </c>
      <c r="AX21" s="18">
        <v>4.2000000000000003E-2</v>
      </c>
    </row>
    <row r="22" spans="1:50" x14ac:dyDescent="0.25">
      <c r="A22" s="16" t="s">
        <v>485</v>
      </c>
      <c r="B22" s="13" t="s">
        <v>464</v>
      </c>
      <c r="C22" s="17">
        <v>0.16209999999999999</v>
      </c>
      <c r="D22" s="17">
        <v>6.7299999999999999E-2</v>
      </c>
      <c r="E22" s="17">
        <v>0.1215</v>
      </c>
      <c r="F22" s="17">
        <v>0.108</v>
      </c>
      <c r="G22" s="17">
        <v>4.7E-2</v>
      </c>
      <c r="H22" s="17">
        <v>4.7E-2</v>
      </c>
      <c r="I22" s="17">
        <v>0.1215</v>
      </c>
      <c r="J22" s="17">
        <v>0.108</v>
      </c>
      <c r="K22" s="17">
        <v>4.7E-2</v>
      </c>
      <c r="L22" s="17">
        <v>4.7E-2</v>
      </c>
      <c r="M22" s="17">
        <v>0.1825</v>
      </c>
      <c r="N22" s="17">
        <v>4.7E-2</v>
      </c>
      <c r="O22" s="17">
        <v>0.1825</v>
      </c>
      <c r="P22" s="17">
        <v>4.7E-2</v>
      </c>
      <c r="Q22" s="17">
        <v>0.1825</v>
      </c>
      <c r="R22" s="17">
        <v>4.7E-2</v>
      </c>
      <c r="S22" s="17">
        <v>4.7E-2</v>
      </c>
      <c r="T22" s="17">
        <v>6.7299999999999999E-2</v>
      </c>
      <c r="U22" s="17">
        <v>0.16209999999999999</v>
      </c>
      <c r="V22" s="17">
        <v>6.5699999999999995E-2</v>
      </c>
      <c r="W22" s="17">
        <v>5.4899999999999997E-2</v>
      </c>
      <c r="X22" s="17">
        <v>0.16170000000000001</v>
      </c>
      <c r="Y22" s="17">
        <v>0.1236</v>
      </c>
      <c r="Z22" s="17">
        <v>0.14149999999999999</v>
      </c>
      <c r="AA22" s="17">
        <v>0.3367</v>
      </c>
      <c r="AB22" s="17">
        <v>0.28870000000000001</v>
      </c>
      <c r="AC22" s="17">
        <v>0.18579999999999999</v>
      </c>
      <c r="AD22" s="17">
        <v>5.3800000000000001E-2</v>
      </c>
      <c r="AE22" s="17">
        <v>0.1757</v>
      </c>
      <c r="AF22" s="17">
        <v>4.7E-2</v>
      </c>
      <c r="AG22" s="17">
        <v>0.1825</v>
      </c>
      <c r="AH22" s="17">
        <v>4.7E-2</v>
      </c>
      <c r="AI22" s="17">
        <v>7.17E-2</v>
      </c>
      <c r="AJ22" s="17">
        <v>0.78990000000000005</v>
      </c>
      <c r="AK22" s="17">
        <v>9.2299999999999993E-2</v>
      </c>
      <c r="AL22" s="17">
        <v>0.29170000000000001</v>
      </c>
      <c r="AM22" s="17">
        <v>0.35220000000000001</v>
      </c>
      <c r="AN22" s="17">
        <v>0.4037</v>
      </c>
      <c r="AO22" s="17">
        <v>0.1673</v>
      </c>
      <c r="AP22" s="17">
        <v>4.7E-2</v>
      </c>
      <c r="AQ22" s="17">
        <v>0.14180000000000001</v>
      </c>
      <c r="AR22" s="17">
        <v>8.7599999999999997E-2</v>
      </c>
      <c r="AS22" s="17">
        <v>4.7E-2</v>
      </c>
      <c r="AT22" s="17">
        <v>0.108</v>
      </c>
      <c r="AU22" s="17">
        <v>0.1215</v>
      </c>
      <c r="AV22" s="17">
        <v>9.4399999999999998E-2</v>
      </c>
      <c r="AW22" s="17">
        <v>0.1351</v>
      </c>
      <c r="AX22" s="17">
        <v>4.7E-2</v>
      </c>
    </row>
    <row r="23" spans="1:50" x14ac:dyDescent="0.25">
      <c r="A23" s="16" t="s">
        <v>487</v>
      </c>
      <c r="B23" s="13" t="s">
        <v>464</v>
      </c>
      <c r="C23" s="17">
        <v>0.15579999999999999</v>
      </c>
      <c r="D23" s="17">
        <v>0.1023</v>
      </c>
      <c r="E23" s="17">
        <v>7.7700000000000005E-2</v>
      </c>
      <c r="F23" s="17">
        <v>5.0999999999999997E-2</v>
      </c>
      <c r="G23" s="17">
        <v>5.0999999999999997E-2</v>
      </c>
      <c r="H23" s="17">
        <v>5.0999999999999997E-2</v>
      </c>
      <c r="I23" s="17">
        <v>5.0999999999999997E-2</v>
      </c>
      <c r="J23" s="17">
        <v>5.0999999999999997E-2</v>
      </c>
      <c r="K23" s="17">
        <v>5.0999999999999997E-2</v>
      </c>
      <c r="L23" s="17">
        <v>5.0999999999999997E-2</v>
      </c>
      <c r="M23" s="17">
        <v>5.0999999999999997E-2</v>
      </c>
      <c r="N23" s="17">
        <v>5.0999999999999997E-2</v>
      </c>
      <c r="O23" s="17">
        <v>5.0999999999999997E-2</v>
      </c>
      <c r="P23" s="17">
        <v>9.8000000000000004E-2</v>
      </c>
      <c r="Q23" s="17">
        <v>5.0999999999999997E-2</v>
      </c>
      <c r="R23" s="17">
        <v>5.0999999999999997E-2</v>
      </c>
      <c r="S23" s="17">
        <v>5.0999999999999997E-2</v>
      </c>
      <c r="T23" s="17">
        <v>5.0999999999999997E-2</v>
      </c>
      <c r="U23" s="17">
        <v>5.0999999999999997E-2</v>
      </c>
      <c r="V23" s="17">
        <v>5.0999999999999997E-2</v>
      </c>
      <c r="W23" s="17">
        <v>5.2299999999999999E-2</v>
      </c>
      <c r="X23" s="17">
        <v>0.1452</v>
      </c>
      <c r="Y23" s="17">
        <v>1.4200999999999999</v>
      </c>
      <c r="Z23" s="17">
        <v>5.0999999999999997E-2</v>
      </c>
      <c r="AA23" s="17">
        <v>5.0999999999999997E-2</v>
      </c>
      <c r="AB23" s="17">
        <v>5.0999999999999997E-2</v>
      </c>
      <c r="AC23" s="17">
        <v>5.0999999999999997E-2</v>
      </c>
      <c r="AD23" s="17">
        <v>5.0999999999999997E-2</v>
      </c>
      <c r="AE23" s="17">
        <v>5.0999999999999997E-2</v>
      </c>
      <c r="AF23" s="17">
        <v>0.29160000000000003</v>
      </c>
      <c r="AG23" s="17">
        <v>5.0999999999999997E-2</v>
      </c>
      <c r="AH23" s="17">
        <v>0.10780000000000001</v>
      </c>
      <c r="AI23" s="17">
        <v>0.14990000000000001</v>
      </c>
      <c r="AJ23" s="17">
        <v>0.26929999999999998</v>
      </c>
      <c r="AK23" s="17">
        <v>0.16189999999999999</v>
      </c>
      <c r="AL23" s="17">
        <v>0.1447</v>
      </c>
      <c r="AM23" s="17">
        <v>0.59519999999999995</v>
      </c>
      <c r="AN23" s="17">
        <v>0.99</v>
      </c>
      <c r="AO23" s="17">
        <v>2.5038</v>
      </c>
      <c r="AP23" s="17">
        <v>0.1978</v>
      </c>
      <c r="AQ23" s="17">
        <v>0.46079999999999999</v>
      </c>
      <c r="AR23" s="17">
        <v>0.56220000000000003</v>
      </c>
      <c r="AS23" s="17">
        <v>0.44850000000000001</v>
      </c>
      <c r="AT23" s="17">
        <v>0.32950000000000002</v>
      </c>
      <c r="AU23" s="17">
        <v>0.30969999999999998</v>
      </c>
      <c r="AV23" s="17">
        <v>0.3377</v>
      </c>
      <c r="AW23" s="17">
        <v>0.14879999999999999</v>
      </c>
      <c r="AX23" s="17">
        <v>5.0999999999999997E-2</v>
      </c>
    </row>
    <row r="24" spans="1:50" x14ac:dyDescent="0.25">
      <c r="A24" s="16" t="s">
        <v>489</v>
      </c>
      <c r="B24" s="13" t="s">
        <v>464</v>
      </c>
      <c r="C24" s="17">
        <v>5.0999999999999997E-2</v>
      </c>
      <c r="D24" s="17">
        <v>5.0999999999999997E-2</v>
      </c>
      <c r="E24" s="17">
        <v>5.0999999999999997E-2</v>
      </c>
      <c r="F24" s="17">
        <v>5.0999999999999997E-2</v>
      </c>
      <c r="G24" s="17">
        <v>5.0999999999999997E-2</v>
      </c>
      <c r="H24" s="17">
        <v>5.0999999999999997E-2</v>
      </c>
      <c r="I24" s="17">
        <v>5.0999999999999997E-2</v>
      </c>
      <c r="J24" s="17">
        <v>5.0999999999999997E-2</v>
      </c>
      <c r="K24" s="17">
        <v>5.0999999999999997E-2</v>
      </c>
      <c r="L24" s="17">
        <v>5.0999999999999997E-2</v>
      </c>
      <c r="M24" s="17">
        <v>5.0999999999999997E-2</v>
      </c>
      <c r="N24" s="17">
        <v>5.0999999999999997E-2</v>
      </c>
      <c r="O24" s="17">
        <v>5.0999999999999997E-2</v>
      </c>
      <c r="P24" s="17">
        <v>5.0999999999999997E-2</v>
      </c>
      <c r="Q24" s="17">
        <v>5.0999999999999997E-2</v>
      </c>
      <c r="R24" s="17">
        <v>5.0999999999999997E-2</v>
      </c>
      <c r="S24" s="17">
        <v>5.0999999999999997E-2</v>
      </c>
      <c r="T24" s="17">
        <v>8.9200000000000002E-2</v>
      </c>
      <c r="U24" s="17">
        <v>0.49769999999999998</v>
      </c>
      <c r="V24" s="17">
        <v>0.56320000000000003</v>
      </c>
      <c r="W24" s="17">
        <v>0.1865</v>
      </c>
      <c r="X24" s="17">
        <v>0.1086</v>
      </c>
      <c r="Y24" s="17">
        <v>0.08</v>
      </c>
      <c r="Z24" s="17">
        <v>5.2900000000000003E-2</v>
      </c>
      <c r="AA24" s="17">
        <v>0.1615</v>
      </c>
      <c r="AB24" s="17">
        <v>0.432</v>
      </c>
      <c r="AC24" s="17">
        <v>0.22420000000000001</v>
      </c>
      <c r="AD24" s="17">
        <v>0.20200000000000001</v>
      </c>
      <c r="AE24" s="17">
        <v>0.1946</v>
      </c>
      <c r="AF24" s="17">
        <v>0.20169999999999999</v>
      </c>
      <c r="AG24" s="17">
        <v>0.2064</v>
      </c>
      <c r="AH24" s="17">
        <v>0.2248</v>
      </c>
      <c r="AI24" s="17">
        <v>0.32200000000000001</v>
      </c>
      <c r="AJ24" s="17">
        <v>0.22420000000000001</v>
      </c>
      <c r="AK24" s="17">
        <v>0.222</v>
      </c>
      <c r="AL24" s="17">
        <v>0.12620000000000001</v>
      </c>
      <c r="AM24" s="17">
        <v>0.14219999999999999</v>
      </c>
      <c r="AN24" s="17">
        <v>0.10979999999999999</v>
      </c>
      <c r="AO24" s="17">
        <v>0.1739</v>
      </c>
      <c r="AP24" s="17">
        <v>0.3201</v>
      </c>
      <c r="AQ24" s="17">
        <v>0.36009999999999998</v>
      </c>
      <c r="AR24" s="17">
        <v>0.66590000000000005</v>
      </c>
      <c r="AS24" s="17">
        <v>0.38400000000000001</v>
      </c>
      <c r="AT24" s="17">
        <v>0.30270000000000002</v>
      </c>
      <c r="AU24" s="17">
        <v>0.26219999999999999</v>
      </c>
      <c r="AV24" s="17">
        <v>0.40229999999999999</v>
      </c>
      <c r="AW24" s="17">
        <v>0.748</v>
      </c>
      <c r="AX24" s="17">
        <v>0.29370000000000002</v>
      </c>
    </row>
    <row r="25" spans="1:50" x14ac:dyDescent="0.25">
      <c r="A25" s="16" t="s">
        <v>491</v>
      </c>
      <c r="B25" s="13" t="s">
        <v>464</v>
      </c>
      <c r="C25" s="17">
        <v>0.19270000000000001</v>
      </c>
      <c r="D25" s="17">
        <v>0.13739999999999999</v>
      </c>
      <c r="E25" s="17">
        <v>4.4999999999999998E-2</v>
      </c>
      <c r="F25" s="17">
        <v>0.19489999999999999</v>
      </c>
      <c r="G25" s="17">
        <v>0.24079999999999999</v>
      </c>
      <c r="H25" s="17">
        <v>6.1600000000000002E-2</v>
      </c>
      <c r="I25" s="17">
        <v>0.25340000000000001</v>
      </c>
      <c r="J25" s="17">
        <v>0.16569999999999999</v>
      </c>
      <c r="K25" s="17">
        <v>4.4999999999999998E-2</v>
      </c>
      <c r="L25" s="17">
        <v>0.14979999999999999</v>
      </c>
      <c r="M25" s="17">
        <v>4.4999999999999998E-2</v>
      </c>
      <c r="N25" s="17">
        <v>0.28589999999999999</v>
      </c>
      <c r="O25" s="17">
        <v>0.14979999999999999</v>
      </c>
      <c r="P25" s="17">
        <v>4.4999999999999998E-2</v>
      </c>
      <c r="Q25" s="17">
        <v>0.06</v>
      </c>
      <c r="R25" s="17">
        <v>0.38419999999999999</v>
      </c>
      <c r="S25" s="17">
        <v>1.1953</v>
      </c>
      <c r="T25" s="17">
        <v>1.2618</v>
      </c>
      <c r="U25" s="17">
        <v>0.72899999999999998</v>
      </c>
      <c r="V25" s="17">
        <v>0.28670000000000001</v>
      </c>
      <c r="W25" s="17">
        <v>0.24229999999999999</v>
      </c>
      <c r="X25" s="17">
        <v>0.1706</v>
      </c>
      <c r="Y25" s="17">
        <v>0.1983</v>
      </c>
      <c r="Z25" s="17">
        <v>0.1431</v>
      </c>
      <c r="AA25" s="17">
        <v>0.14979999999999999</v>
      </c>
      <c r="AB25" s="17">
        <v>0.21179999999999999</v>
      </c>
      <c r="AC25" s="17">
        <v>0.1191</v>
      </c>
      <c r="AD25" s="17">
        <v>0.14979999999999999</v>
      </c>
      <c r="AE25" s="17">
        <v>0.2104</v>
      </c>
      <c r="AF25" s="17">
        <v>0.2253</v>
      </c>
      <c r="AG25" s="17">
        <v>4.4999999999999998E-2</v>
      </c>
      <c r="AH25" s="17">
        <v>0.2034</v>
      </c>
      <c r="AI25" s="17">
        <v>0.1583</v>
      </c>
      <c r="AJ25" s="17">
        <v>0.15670000000000001</v>
      </c>
      <c r="AK25" s="17">
        <v>0.27079999999999999</v>
      </c>
      <c r="AL25" s="17">
        <v>0.1573</v>
      </c>
      <c r="AM25" s="17">
        <v>0.2034</v>
      </c>
      <c r="AN25" s="17">
        <v>0.1757</v>
      </c>
      <c r="AO25" s="17">
        <v>0.1242</v>
      </c>
      <c r="AP25" s="17">
        <v>0.1883</v>
      </c>
      <c r="AQ25" s="17">
        <v>0.14979999999999999</v>
      </c>
      <c r="AR25" s="17">
        <v>0.1431</v>
      </c>
      <c r="AS25" s="17">
        <v>0.18779999999999999</v>
      </c>
      <c r="AT25" s="17">
        <v>0.14979999999999999</v>
      </c>
      <c r="AU25" s="17">
        <v>4.4999999999999998E-2</v>
      </c>
      <c r="AV25" s="17">
        <v>0.31580000000000003</v>
      </c>
      <c r="AW25" s="17">
        <v>0.11990000000000001</v>
      </c>
      <c r="AX25" s="17">
        <v>0.12740000000000001</v>
      </c>
    </row>
    <row r="26" spans="1:50" x14ac:dyDescent="0.25">
      <c r="A26" s="8" t="s">
        <v>68</v>
      </c>
      <c r="B26" s="10" t="s">
        <v>57</v>
      </c>
      <c r="C26" s="18">
        <v>4.3999999999999997E-2</v>
      </c>
      <c r="D26" s="18">
        <v>9.7100000000000006E-2</v>
      </c>
      <c r="E26" s="18">
        <v>9.7100000000000006E-2</v>
      </c>
      <c r="F26" s="18">
        <v>4.3999999999999997E-2</v>
      </c>
      <c r="G26" s="18">
        <v>0.19309999999999999</v>
      </c>
      <c r="H26" s="18">
        <v>0.3896</v>
      </c>
      <c r="I26" s="18">
        <v>0.109</v>
      </c>
      <c r="J26" s="18">
        <v>1.0063</v>
      </c>
      <c r="K26" s="18">
        <v>4.3999999999999997E-2</v>
      </c>
      <c r="L26" s="18">
        <v>4.3999999999999997E-2</v>
      </c>
      <c r="M26" s="18">
        <v>4.3999999999999997E-2</v>
      </c>
      <c r="N26" s="18">
        <v>0.1502</v>
      </c>
      <c r="O26" s="18">
        <v>4.3999999999999997E-2</v>
      </c>
      <c r="P26" s="18">
        <v>4.3999999999999997E-2</v>
      </c>
      <c r="Q26" s="18">
        <v>0.1502</v>
      </c>
      <c r="R26" s="18">
        <v>5.1999999999999998E-2</v>
      </c>
      <c r="S26" s="18">
        <v>0.39779999999999999</v>
      </c>
      <c r="T26" s="18">
        <v>0.19900000000000001</v>
      </c>
      <c r="U26" s="18">
        <v>4.3999999999999997E-2</v>
      </c>
      <c r="V26" s="18">
        <v>0.23769999999999999</v>
      </c>
      <c r="W26" s="18">
        <v>0.26590000000000003</v>
      </c>
      <c r="X26" s="18">
        <v>4.3999999999999997E-2</v>
      </c>
      <c r="Y26" s="18">
        <v>4.3999999999999997E-2</v>
      </c>
      <c r="Z26" s="18">
        <v>0.1502</v>
      </c>
      <c r="AA26" s="18">
        <v>4.3999999999999997E-2</v>
      </c>
      <c r="AB26" s="18">
        <v>4.3999999999999997E-2</v>
      </c>
      <c r="AC26" s="18">
        <v>4.3999999999999997E-2</v>
      </c>
      <c r="AD26" s="18">
        <v>0.1502</v>
      </c>
      <c r="AE26" s="18">
        <v>4.3999999999999997E-2</v>
      </c>
      <c r="AF26" s="18">
        <v>4.3999999999999997E-2</v>
      </c>
      <c r="AG26" s="18">
        <v>0.1502</v>
      </c>
      <c r="AH26" s="18">
        <v>0.14649999999999999</v>
      </c>
      <c r="AI26" s="18">
        <v>0.37880000000000003</v>
      </c>
      <c r="AJ26" s="18">
        <v>0.65349999999999997</v>
      </c>
      <c r="AK26" s="18">
        <v>0.38179999999999997</v>
      </c>
      <c r="AL26" s="18">
        <v>0.46689999999999998</v>
      </c>
      <c r="AM26" s="18">
        <v>0.37459999999999999</v>
      </c>
      <c r="AN26" s="18">
        <v>0.23280000000000001</v>
      </c>
      <c r="AO26" s="18">
        <v>0.52049999999999996</v>
      </c>
      <c r="AP26" s="18">
        <v>0.68959999999999999</v>
      </c>
      <c r="AQ26" s="18">
        <v>1.0245</v>
      </c>
      <c r="AR26" s="18">
        <v>0.84019999999999995</v>
      </c>
      <c r="AS26" s="18">
        <v>0.22919999999999999</v>
      </c>
      <c r="AT26" s="18">
        <v>0.54759999999999998</v>
      </c>
      <c r="AU26" s="18">
        <v>0.5544</v>
      </c>
      <c r="AV26" s="18">
        <v>0.59089999999999998</v>
      </c>
      <c r="AW26" s="18">
        <v>4.3999999999999997E-2</v>
      </c>
      <c r="AX26" s="18">
        <v>0.1502</v>
      </c>
    </row>
    <row r="27" spans="1:50" x14ac:dyDescent="0.25">
      <c r="A27" s="16" t="s">
        <v>493</v>
      </c>
      <c r="B27" s="13" t="s">
        <v>464</v>
      </c>
      <c r="C27" s="17">
        <v>4.5199999999999997E-2</v>
      </c>
      <c r="D27" s="17">
        <v>8.48E-2</v>
      </c>
      <c r="E27" s="17">
        <v>0.16789999999999999</v>
      </c>
      <c r="F27" s="17">
        <v>3.1E-2</v>
      </c>
      <c r="G27" s="17">
        <v>0.2218</v>
      </c>
      <c r="H27" s="17">
        <v>3.1E-2</v>
      </c>
      <c r="I27" s="17">
        <v>0.1212</v>
      </c>
      <c r="J27" s="17">
        <v>4.5999999999999999E-2</v>
      </c>
      <c r="K27" s="17">
        <v>3.5700000000000003E-2</v>
      </c>
      <c r="L27" s="17">
        <v>0.217</v>
      </c>
      <c r="M27" s="17">
        <v>3.1E-2</v>
      </c>
      <c r="N27" s="17">
        <v>0.14660000000000001</v>
      </c>
      <c r="O27" s="17">
        <v>0.1062</v>
      </c>
      <c r="P27" s="17">
        <v>0.1118</v>
      </c>
      <c r="Q27" s="17">
        <v>0.1479</v>
      </c>
      <c r="R27" s="17">
        <v>0.54110000000000003</v>
      </c>
      <c r="S27" s="17">
        <v>0.1699</v>
      </c>
      <c r="T27" s="17">
        <v>0.18140000000000001</v>
      </c>
      <c r="U27" s="17">
        <v>1.1648000000000001</v>
      </c>
      <c r="V27" s="17">
        <v>0.23619999999999999</v>
      </c>
      <c r="W27" s="17">
        <v>0.53510000000000002</v>
      </c>
      <c r="X27" s="17">
        <v>0.22289999999999999</v>
      </c>
      <c r="Y27" s="17">
        <v>0.16039999999999999</v>
      </c>
      <c r="Z27" s="17">
        <v>0.2492</v>
      </c>
      <c r="AA27" s="17">
        <v>0.4375</v>
      </c>
      <c r="AB27" s="17">
        <v>0.14369999999999999</v>
      </c>
      <c r="AC27" s="17">
        <v>0.88780000000000003</v>
      </c>
      <c r="AD27" s="17">
        <v>0.98409999999999997</v>
      </c>
      <c r="AE27" s="17">
        <v>1.7038</v>
      </c>
      <c r="AF27" s="17">
        <v>0.35120000000000001</v>
      </c>
      <c r="AG27" s="17">
        <v>0.1321</v>
      </c>
      <c r="AH27" s="17">
        <v>0.29399999999999998</v>
      </c>
      <c r="AI27" s="17">
        <v>0.1454</v>
      </c>
      <c r="AJ27" s="17">
        <v>0.16259999999999999</v>
      </c>
      <c r="AK27" s="17">
        <v>0.1363</v>
      </c>
      <c r="AL27" s="17">
        <v>3.1E-2</v>
      </c>
      <c r="AM27" s="17">
        <v>3.1E-2</v>
      </c>
      <c r="AN27" s="17">
        <v>0.2218</v>
      </c>
      <c r="AO27" s="17">
        <v>3.1E-2</v>
      </c>
      <c r="AP27" s="17">
        <v>6.1100000000000002E-2</v>
      </c>
      <c r="AQ27" s="17">
        <v>0.1062</v>
      </c>
      <c r="AR27" s="17">
        <v>0.1862</v>
      </c>
      <c r="AS27" s="17">
        <v>0.56030000000000002</v>
      </c>
      <c r="AT27" s="17">
        <v>0.49930000000000002</v>
      </c>
      <c r="AU27" s="17">
        <v>1.6543000000000001</v>
      </c>
      <c r="AV27" s="17">
        <v>1.2479</v>
      </c>
      <c r="AW27" s="17">
        <v>1.3113999999999999</v>
      </c>
      <c r="AX27" s="17">
        <v>5.28E-2</v>
      </c>
    </row>
    <row r="28" spans="1:50" x14ac:dyDescent="0.25">
      <c r="A28" s="16" t="s">
        <v>495</v>
      </c>
      <c r="B28" s="13" t="s">
        <v>464</v>
      </c>
      <c r="C28" s="17">
        <v>0.1452</v>
      </c>
      <c r="D28" s="17">
        <v>4.1000000000000002E-2</v>
      </c>
      <c r="E28" s="17">
        <v>0.2162</v>
      </c>
      <c r="F28" s="17">
        <v>0.11749999999999999</v>
      </c>
      <c r="G28" s="17">
        <v>0.1183</v>
      </c>
      <c r="H28" s="17">
        <v>0.21540000000000001</v>
      </c>
      <c r="I28" s="17">
        <v>4.1000000000000002E-2</v>
      </c>
      <c r="J28" s="17">
        <v>4.1000000000000002E-2</v>
      </c>
      <c r="K28" s="17">
        <v>0.24410000000000001</v>
      </c>
      <c r="L28" s="17">
        <v>8.9599999999999999E-2</v>
      </c>
      <c r="M28" s="17">
        <v>0.15340000000000001</v>
      </c>
      <c r="N28" s="17">
        <v>0.18029999999999999</v>
      </c>
      <c r="O28" s="17">
        <v>4.1000000000000002E-2</v>
      </c>
      <c r="P28" s="17">
        <v>4.1000000000000002E-2</v>
      </c>
      <c r="Q28" s="17">
        <v>0.1943</v>
      </c>
      <c r="R28" s="17">
        <v>0.13930000000000001</v>
      </c>
      <c r="S28" s="17">
        <v>0.1439</v>
      </c>
      <c r="T28" s="17">
        <v>0.25890000000000002</v>
      </c>
      <c r="U28" s="17">
        <v>0.17960000000000001</v>
      </c>
      <c r="V28" s="17">
        <v>0.17730000000000001</v>
      </c>
      <c r="W28" s="17">
        <v>0.33360000000000001</v>
      </c>
      <c r="X28" s="17">
        <v>0.1356</v>
      </c>
      <c r="Y28" s="17">
        <v>0.35389999999999999</v>
      </c>
      <c r="Z28" s="17">
        <v>0.19389999999999999</v>
      </c>
      <c r="AA28" s="17">
        <v>0.31940000000000002</v>
      </c>
      <c r="AB28" s="17">
        <v>0.1988</v>
      </c>
      <c r="AC28" s="17">
        <v>0.15820000000000001</v>
      </c>
      <c r="AD28" s="17">
        <v>0.47970000000000002</v>
      </c>
      <c r="AE28" s="17">
        <v>0.50029999999999997</v>
      </c>
      <c r="AF28" s="17">
        <v>0.13059999999999999</v>
      </c>
      <c r="AG28" s="17">
        <v>4.1000000000000002E-2</v>
      </c>
      <c r="AH28" s="17">
        <v>0.10349999999999999</v>
      </c>
      <c r="AI28" s="17">
        <v>0.2407</v>
      </c>
      <c r="AJ28" s="17">
        <v>9.69E-2</v>
      </c>
      <c r="AK28" s="17">
        <v>0.98299999999999998</v>
      </c>
      <c r="AL28" s="17">
        <v>0.1113</v>
      </c>
      <c r="AM28" s="17">
        <v>0.32790000000000002</v>
      </c>
      <c r="AN28" s="17">
        <v>0.20250000000000001</v>
      </c>
      <c r="AO28" s="17">
        <v>4.1000000000000002E-2</v>
      </c>
      <c r="AP28" s="17">
        <v>9.7199999999999995E-2</v>
      </c>
      <c r="AQ28" s="17">
        <v>0.13930000000000001</v>
      </c>
      <c r="AR28" s="17">
        <v>0.13819999999999999</v>
      </c>
      <c r="AS28" s="17">
        <v>0.19550000000000001</v>
      </c>
      <c r="AT28" s="17">
        <v>0.13819999999999999</v>
      </c>
      <c r="AU28" s="17">
        <v>0.25750000000000001</v>
      </c>
      <c r="AV28" s="17">
        <v>6.9099999999999995E-2</v>
      </c>
      <c r="AW28" s="17">
        <v>0.1173</v>
      </c>
      <c r="AX28" s="17">
        <v>0.1321</v>
      </c>
    </row>
    <row r="29" spans="1:50" x14ac:dyDescent="0.25">
      <c r="A29" s="8" t="s">
        <v>70</v>
      </c>
      <c r="B29" s="10" t="s">
        <v>57</v>
      </c>
      <c r="C29" s="18">
        <v>0.69510000000000005</v>
      </c>
      <c r="D29" s="18">
        <v>0.1181</v>
      </c>
      <c r="E29" s="18">
        <v>0.1246</v>
      </c>
      <c r="F29" s="18">
        <v>0.13789999999999999</v>
      </c>
      <c r="G29" s="18">
        <v>0.1193</v>
      </c>
      <c r="H29" s="18">
        <v>9.5899999999999999E-2</v>
      </c>
      <c r="I29" s="18">
        <v>0.16539999999999999</v>
      </c>
      <c r="J29" s="18">
        <v>9.1800000000000007E-2</v>
      </c>
      <c r="K29" s="18">
        <v>0.17849999999999999</v>
      </c>
      <c r="L29" s="18">
        <v>7.8600000000000003E-2</v>
      </c>
      <c r="M29" s="18">
        <v>5.5E-2</v>
      </c>
      <c r="N29" s="18">
        <v>0.12870000000000001</v>
      </c>
      <c r="O29" s="18">
        <v>0.16539999999999999</v>
      </c>
      <c r="P29" s="18">
        <v>0.12870000000000001</v>
      </c>
      <c r="Q29" s="18">
        <v>0.16539999999999999</v>
      </c>
      <c r="R29" s="18">
        <v>5.5E-2</v>
      </c>
      <c r="S29" s="18">
        <v>0.24679999999999999</v>
      </c>
      <c r="T29" s="18">
        <v>0.16539999999999999</v>
      </c>
      <c r="U29" s="18">
        <v>0.12870000000000001</v>
      </c>
      <c r="V29" s="18">
        <v>0.2283</v>
      </c>
      <c r="W29" s="18">
        <v>0.57299999999999995</v>
      </c>
      <c r="X29" s="18">
        <v>0.31869999999999998</v>
      </c>
      <c r="Y29" s="18">
        <v>0.2964</v>
      </c>
      <c r="Z29" s="18">
        <v>0.18729999999999999</v>
      </c>
      <c r="AA29" s="18">
        <v>0.41880000000000001</v>
      </c>
      <c r="AB29" s="18">
        <v>0.12479999999999999</v>
      </c>
      <c r="AC29" s="18">
        <v>0.1007</v>
      </c>
      <c r="AD29" s="18">
        <v>0.47789999999999999</v>
      </c>
      <c r="AE29" s="18">
        <v>0.66969999999999996</v>
      </c>
      <c r="AF29" s="18">
        <v>0.48549999999999999</v>
      </c>
      <c r="AG29" s="18">
        <v>0.36749999999999999</v>
      </c>
      <c r="AH29" s="18">
        <v>0.2011</v>
      </c>
      <c r="AI29" s="18">
        <v>0.3861</v>
      </c>
      <c r="AJ29" s="18">
        <v>0.29389999999999999</v>
      </c>
      <c r="AK29" s="18">
        <v>0.53520000000000001</v>
      </c>
      <c r="AL29" s="18">
        <v>0.55669999999999997</v>
      </c>
      <c r="AM29" s="18">
        <v>7.4700000000000003E-2</v>
      </c>
      <c r="AN29" s="18">
        <v>0.35510000000000003</v>
      </c>
      <c r="AO29" s="18">
        <v>0.57320000000000004</v>
      </c>
      <c r="AP29" s="18">
        <v>0.64670000000000005</v>
      </c>
      <c r="AQ29" s="18">
        <v>0.65939999999999999</v>
      </c>
      <c r="AR29" s="18">
        <v>0.62719999999999998</v>
      </c>
      <c r="AS29" s="18">
        <v>0.13819999999999999</v>
      </c>
      <c r="AT29" s="18">
        <v>0.15579999999999999</v>
      </c>
      <c r="AU29" s="18">
        <v>0.1973</v>
      </c>
      <c r="AV29" s="18">
        <v>0.16539999999999999</v>
      </c>
      <c r="AW29" s="18">
        <v>0.12870000000000001</v>
      </c>
      <c r="AX29" s="18">
        <v>9.4399999999999998E-2</v>
      </c>
    </row>
    <row r="30" spans="1:50" x14ac:dyDescent="0.25">
      <c r="A30" s="16" t="s">
        <v>497</v>
      </c>
      <c r="B30" s="13" t="s">
        <v>464</v>
      </c>
      <c r="C30" s="17">
        <v>0.1668</v>
      </c>
      <c r="D30" s="17">
        <v>0.28960000000000002</v>
      </c>
      <c r="E30" s="17">
        <v>0.12609999999999999</v>
      </c>
      <c r="F30" s="17">
        <v>0.17480000000000001</v>
      </c>
      <c r="G30" s="17">
        <v>0.21820000000000001</v>
      </c>
      <c r="H30" s="17">
        <v>0.1555</v>
      </c>
      <c r="I30" s="17">
        <v>6.4399999999999999E-2</v>
      </c>
      <c r="J30" s="17">
        <v>0.1797</v>
      </c>
      <c r="K30" s="17">
        <v>0.16769999999999999</v>
      </c>
      <c r="L30" s="17">
        <v>9.9599999999999994E-2</v>
      </c>
      <c r="M30" s="17">
        <v>0.2752</v>
      </c>
      <c r="N30" s="17">
        <v>0.13950000000000001</v>
      </c>
      <c r="O30" s="17">
        <v>0.1221</v>
      </c>
      <c r="P30" s="17">
        <v>0.25269999999999998</v>
      </c>
      <c r="Q30" s="17">
        <v>5.2999999999999999E-2</v>
      </c>
      <c r="R30" s="17">
        <v>0.2581</v>
      </c>
      <c r="S30" s="17">
        <v>0.20319999999999999</v>
      </c>
      <c r="T30" s="17">
        <v>5.2999999999999999E-2</v>
      </c>
      <c r="U30" s="17">
        <v>0.32169999999999999</v>
      </c>
      <c r="V30" s="17">
        <v>0.15160000000000001</v>
      </c>
      <c r="W30" s="17">
        <v>0.43290000000000001</v>
      </c>
      <c r="X30" s="17">
        <v>0.26240000000000002</v>
      </c>
      <c r="Y30" s="17">
        <v>0.71220000000000006</v>
      </c>
      <c r="Z30" s="17">
        <v>0.75660000000000005</v>
      </c>
      <c r="AA30" s="17">
        <v>1.1665000000000001</v>
      </c>
      <c r="AB30" s="17">
        <v>2.1044999999999998</v>
      </c>
      <c r="AC30" s="17">
        <v>0.68579999999999997</v>
      </c>
      <c r="AD30" s="17">
        <v>0.57450000000000001</v>
      </c>
      <c r="AE30" s="17">
        <v>0.33579999999999999</v>
      </c>
      <c r="AF30" s="17">
        <v>0.5615</v>
      </c>
      <c r="AG30" s="17">
        <v>0.23719999999999999</v>
      </c>
      <c r="AH30" s="17">
        <v>0.16769999999999999</v>
      </c>
      <c r="AI30" s="17">
        <v>0.30759999999999998</v>
      </c>
      <c r="AJ30" s="17">
        <v>0.95220000000000005</v>
      </c>
      <c r="AK30" s="17">
        <v>0.35899999999999999</v>
      </c>
      <c r="AL30" s="17">
        <v>0.42730000000000001</v>
      </c>
      <c r="AM30" s="17">
        <v>0.16220000000000001</v>
      </c>
      <c r="AN30" s="17">
        <v>0.12509999999999999</v>
      </c>
      <c r="AO30" s="17">
        <v>0.1663</v>
      </c>
      <c r="AP30" s="17">
        <v>5.2999999999999999E-2</v>
      </c>
      <c r="AQ30" s="17">
        <v>0.32169999999999999</v>
      </c>
      <c r="AR30" s="17">
        <v>5.2999999999999999E-2</v>
      </c>
      <c r="AS30" s="17">
        <v>0.16350000000000001</v>
      </c>
      <c r="AT30" s="17">
        <v>0.3926</v>
      </c>
      <c r="AU30" s="17">
        <v>0.4829</v>
      </c>
      <c r="AV30" s="17">
        <v>0.60409999999999997</v>
      </c>
      <c r="AW30" s="17">
        <v>0.16569999999999999</v>
      </c>
      <c r="AX30" s="17">
        <v>0.14410000000000001</v>
      </c>
    </row>
    <row r="31" spans="1:50" x14ac:dyDescent="0.25">
      <c r="A31" s="8" t="s">
        <v>72</v>
      </c>
      <c r="B31" s="10" t="s">
        <v>57</v>
      </c>
      <c r="C31" s="18">
        <v>5.5E-2</v>
      </c>
      <c r="D31" s="18">
        <v>5.5E-2</v>
      </c>
      <c r="E31" s="18">
        <v>5.5E-2</v>
      </c>
      <c r="F31" s="18">
        <v>5.5E-2</v>
      </c>
      <c r="G31" s="18">
        <v>5.5E-2</v>
      </c>
      <c r="H31" s="18">
        <v>5.5E-2</v>
      </c>
      <c r="I31" s="18">
        <v>5.5E-2</v>
      </c>
      <c r="J31" s="18">
        <v>5.5E-2</v>
      </c>
      <c r="K31" s="18">
        <v>5.5E-2</v>
      </c>
      <c r="L31" s="18">
        <v>5.5E-2</v>
      </c>
      <c r="M31" s="18">
        <v>5.5E-2</v>
      </c>
      <c r="N31" s="18">
        <v>5.5E-2</v>
      </c>
      <c r="O31" s="18">
        <v>5.5E-2</v>
      </c>
      <c r="P31" s="18">
        <v>5.5E-2</v>
      </c>
      <c r="Q31" s="18">
        <v>5.5E-2</v>
      </c>
      <c r="R31" s="18">
        <v>5.5E-2</v>
      </c>
      <c r="S31" s="18">
        <v>5.5E-2</v>
      </c>
      <c r="T31" s="18">
        <v>5.5E-2</v>
      </c>
      <c r="U31" s="18">
        <v>5.5E-2</v>
      </c>
      <c r="V31" s="18">
        <v>5.5E-2</v>
      </c>
      <c r="W31" s="18">
        <v>5.5E-2</v>
      </c>
      <c r="X31" s="18">
        <v>5.5E-2</v>
      </c>
      <c r="Y31" s="18">
        <v>0.30059999999999998</v>
      </c>
      <c r="Z31" s="18">
        <v>0.28470000000000001</v>
      </c>
      <c r="AA31" s="18">
        <v>0.2087</v>
      </c>
      <c r="AB31" s="18">
        <v>0.20499999999999999</v>
      </c>
      <c r="AC31" s="18">
        <v>0.2059</v>
      </c>
      <c r="AD31" s="18">
        <v>0.28789999999999999</v>
      </c>
      <c r="AE31" s="18">
        <v>0.30570000000000003</v>
      </c>
      <c r="AF31" s="18">
        <v>0.13239999999999999</v>
      </c>
      <c r="AG31" s="18">
        <v>0.14380000000000001</v>
      </c>
      <c r="AH31" s="18">
        <v>0.2555</v>
      </c>
      <c r="AI31" s="18">
        <v>0.44309999999999999</v>
      </c>
      <c r="AJ31" s="18">
        <v>0.13</v>
      </c>
      <c r="AK31" s="18">
        <v>0.17430000000000001</v>
      </c>
      <c r="AL31" s="18">
        <v>0.34429999999999999</v>
      </c>
      <c r="AM31" s="18">
        <v>0.49530000000000002</v>
      </c>
      <c r="AN31" s="18">
        <v>0.52510000000000001</v>
      </c>
      <c r="AO31" s="18">
        <v>1.1424000000000001</v>
      </c>
      <c r="AP31" s="18">
        <v>0.59619999999999995</v>
      </c>
      <c r="AQ31" s="18">
        <v>0.71850000000000003</v>
      </c>
      <c r="AR31" s="18">
        <v>0.5776</v>
      </c>
      <c r="AS31" s="18">
        <v>0.53310000000000002</v>
      </c>
      <c r="AT31" s="18">
        <v>1.8481000000000001</v>
      </c>
      <c r="AU31" s="18">
        <v>0.35849999999999999</v>
      </c>
      <c r="AV31" s="18">
        <v>0.3926</v>
      </c>
      <c r="AW31" s="18">
        <v>0.38640000000000002</v>
      </c>
      <c r="AX31" s="18">
        <v>0.33900000000000002</v>
      </c>
    </row>
    <row r="32" spans="1:50" x14ac:dyDescent="0.25">
      <c r="A32" s="16" t="s">
        <v>499</v>
      </c>
      <c r="B32" s="13" t="s">
        <v>464</v>
      </c>
      <c r="C32" s="17">
        <v>9.6100000000000005E-2</v>
      </c>
      <c r="D32" s="17">
        <v>0.16950000000000001</v>
      </c>
      <c r="E32" s="17">
        <v>5.1999999999999998E-2</v>
      </c>
      <c r="F32" s="17">
        <v>5.1999999999999998E-2</v>
      </c>
      <c r="G32" s="17">
        <v>0.2135</v>
      </c>
      <c r="H32" s="17">
        <v>5.1999999999999998E-2</v>
      </c>
      <c r="I32" s="17">
        <v>5.1999999999999998E-2</v>
      </c>
      <c r="J32" s="17">
        <v>0.12540000000000001</v>
      </c>
      <c r="K32" s="17">
        <v>0.1401</v>
      </c>
      <c r="L32" s="17">
        <v>5.1999999999999998E-2</v>
      </c>
      <c r="M32" s="17">
        <v>5.1999999999999998E-2</v>
      </c>
      <c r="N32" s="17">
        <v>0.1915</v>
      </c>
      <c r="O32" s="17">
        <v>7.3999999999999996E-2</v>
      </c>
      <c r="P32" s="17">
        <v>0.14749999999999999</v>
      </c>
      <c r="Q32" s="17">
        <v>0.1181</v>
      </c>
      <c r="R32" s="17">
        <v>0.10340000000000001</v>
      </c>
      <c r="S32" s="17">
        <v>0.16209999999999999</v>
      </c>
      <c r="T32" s="17">
        <v>5.1999999999999998E-2</v>
      </c>
      <c r="U32" s="17">
        <v>0.16209999999999999</v>
      </c>
      <c r="V32" s="17">
        <v>1.4472</v>
      </c>
      <c r="W32" s="17">
        <v>0.9506</v>
      </c>
      <c r="X32" s="17">
        <v>0.24460000000000001</v>
      </c>
      <c r="Y32" s="17">
        <v>0.20530000000000001</v>
      </c>
      <c r="Z32" s="17">
        <v>0.33910000000000001</v>
      </c>
      <c r="AA32" s="17">
        <v>0.26550000000000001</v>
      </c>
      <c r="AB32" s="17">
        <v>0.30009999999999998</v>
      </c>
      <c r="AC32" s="17">
        <v>0.34079999999999999</v>
      </c>
      <c r="AD32" s="17">
        <v>0.32329999999999998</v>
      </c>
      <c r="AE32" s="17">
        <v>0.42030000000000001</v>
      </c>
      <c r="AF32" s="17">
        <v>0.22819999999999999</v>
      </c>
      <c r="AG32" s="17">
        <v>0.36809999999999998</v>
      </c>
      <c r="AH32" s="17">
        <v>0.17879999999999999</v>
      </c>
      <c r="AI32" s="17">
        <v>0.12889999999999999</v>
      </c>
      <c r="AJ32" s="17">
        <v>0.17680000000000001</v>
      </c>
      <c r="AK32" s="17">
        <v>5.1999999999999998E-2</v>
      </c>
      <c r="AL32" s="17">
        <v>5.5500000000000001E-2</v>
      </c>
      <c r="AM32" s="17">
        <v>0.3483</v>
      </c>
      <c r="AN32" s="17">
        <v>0.2021</v>
      </c>
      <c r="AO32" s="17">
        <v>0.29099999999999998</v>
      </c>
      <c r="AP32" s="17">
        <v>0.41549999999999998</v>
      </c>
      <c r="AQ32" s="17">
        <v>0.85970000000000002</v>
      </c>
      <c r="AR32" s="17">
        <v>0.77049999999999996</v>
      </c>
      <c r="AS32" s="17">
        <v>0.51890000000000003</v>
      </c>
      <c r="AT32" s="17">
        <v>0.54910000000000003</v>
      </c>
      <c r="AU32" s="17">
        <v>0.58609999999999995</v>
      </c>
      <c r="AV32" s="17">
        <v>0.57689999999999997</v>
      </c>
      <c r="AW32" s="17">
        <v>0.36580000000000001</v>
      </c>
      <c r="AX32" s="17">
        <v>5.1999999999999998E-2</v>
      </c>
    </row>
    <row r="33" spans="1:50" x14ac:dyDescent="0.25">
      <c r="A33" s="8" t="s">
        <v>74</v>
      </c>
      <c r="B33" s="10" t="s">
        <v>57</v>
      </c>
      <c r="C33" s="18">
        <v>5.8000000000000003E-2</v>
      </c>
      <c r="D33" s="18">
        <v>0.12670000000000001</v>
      </c>
      <c r="E33" s="18">
        <v>7.7600000000000002E-2</v>
      </c>
      <c r="F33" s="18">
        <v>5.8000000000000003E-2</v>
      </c>
      <c r="G33" s="18">
        <v>0.14630000000000001</v>
      </c>
      <c r="H33" s="18">
        <v>5.8000000000000003E-2</v>
      </c>
      <c r="I33" s="18">
        <v>5.8000000000000003E-2</v>
      </c>
      <c r="J33" s="18">
        <v>0.1022</v>
      </c>
      <c r="K33" s="18">
        <v>0.1022</v>
      </c>
      <c r="L33" s="18">
        <v>6.7799999999999999E-2</v>
      </c>
      <c r="M33" s="18">
        <v>0.13650000000000001</v>
      </c>
      <c r="N33" s="18">
        <v>5.8000000000000003E-2</v>
      </c>
      <c r="O33" s="18">
        <v>0.14630000000000001</v>
      </c>
      <c r="P33" s="18">
        <v>5.8000000000000003E-2</v>
      </c>
      <c r="Q33" s="18">
        <v>6.54E-2</v>
      </c>
      <c r="R33" s="18">
        <v>1.0992</v>
      </c>
      <c r="S33" s="18">
        <v>1.1933</v>
      </c>
      <c r="T33" s="18">
        <v>0.28639999999999999</v>
      </c>
      <c r="U33" s="18">
        <v>0.20319999999999999</v>
      </c>
      <c r="V33" s="18">
        <v>0.29370000000000002</v>
      </c>
      <c r="W33" s="18">
        <v>0.17180000000000001</v>
      </c>
      <c r="X33" s="18">
        <v>0.25950000000000001</v>
      </c>
      <c r="Y33" s="18">
        <v>0.33979999999999999</v>
      </c>
      <c r="Z33" s="18">
        <v>0.18390000000000001</v>
      </c>
      <c r="AA33" s="18">
        <v>0.34160000000000001</v>
      </c>
      <c r="AB33" s="18">
        <v>0.2361</v>
      </c>
      <c r="AC33" s="18">
        <v>0.88349999999999995</v>
      </c>
      <c r="AD33" s="18">
        <v>5.8000000000000003E-2</v>
      </c>
      <c r="AE33" s="18">
        <v>0.13650000000000001</v>
      </c>
      <c r="AF33" s="18">
        <v>6.7799999999999999E-2</v>
      </c>
      <c r="AG33" s="18">
        <v>5.8000000000000003E-2</v>
      </c>
      <c r="AH33" s="18">
        <v>1.6588000000000001</v>
      </c>
      <c r="AI33" s="18">
        <v>5.8000000000000003E-2</v>
      </c>
      <c r="AJ33" s="18">
        <v>8.7400000000000005E-2</v>
      </c>
      <c r="AK33" s="18">
        <v>0.1169</v>
      </c>
      <c r="AL33" s="18">
        <v>8.5999999999999993E-2</v>
      </c>
      <c r="AM33" s="18">
        <v>0.14630000000000001</v>
      </c>
      <c r="AN33" s="18">
        <v>0.21479999999999999</v>
      </c>
      <c r="AO33" s="18">
        <v>0.26279999999999998</v>
      </c>
      <c r="AP33" s="18">
        <v>0.28799999999999998</v>
      </c>
      <c r="AQ33" s="18">
        <v>0.5232</v>
      </c>
      <c r="AR33" s="18">
        <v>0.65480000000000005</v>
      </c>
      <c r="AS33" s="18">
        <v>0.47299999999999998</v>
      </c>
      <c r="AT33" s="18">
        <v>0.2369</v>
      </c>
      <c r="AU33" s="18">
        <v>0.36899999999999999</v>
      </c>
      <c r="AV33" s="18">
        <v>0.31369999999999998</v>
      </c>
      <c r="AW33" s="18">
        <v>0.26829999999999998</v>
      </c>
      <c r="AX33" s="18">
        <v>0.35589999999999999</v>
      </c>
    </row>
    <row r="34" spans="1:50" x14ac:dyDescent="0.25">
      <c r="A34" s="8" t="s">
        <v>76</v>
      </c>
      <c r="B34" s="10" t="s">
        <v>57</v>
      </c>
      <c r="C34" s="18">
        <v>0.184</v>
      </c>
      <c r="D34" s="18">
        <v>0.14000000000000001</v>
      </c>
      <c r="E34" s="18">
        <v>6.1499999999999999E-2</v>
      </c>
      <c r="F34" s="18">
        <v>0.26250000000000001</v>
      </c>
      <c r="G34" s="18">
        <v>5.5E-2</v>
      </c>
      <c r="H34" s="18">
        <v>0.12520000000000001</v>
      </c>
      <c r="I34" s="18">
        <v>0.1923</v>
      </c>
      <c r="J34" s="18">
        <v>0.13170000000000001</v>
      </c>
      <c r="K34" s="18">
        <v>5.5E-2</v>
      </c>
      <c r="L34" s="18">
        <v>0.26119999999999999</v>
      </c>
      <c r="M34" s="18">
        <v>6.2799999999999995E-2</v>
      </c>
      <c r="N34" s="18">
        <v>0.1857</v>
      </c>
      <c r="O34" s="18">
        <v>0.26679999999999998</v>
      </c>
      <c r="P34" s="18">
        <v>0.37390000000000001</v>
      </c>
      <c r="Q34" s="18">
        <v>0.31340000000000001</v>
      </c>
      <c r="R34" s="18">
        <v>0.218</v>
      </c>
      <c r="S34" s="18">
        <v>1.6168</v>
      </c>
      <c r="T34" s="18">
        <v>0.26200000000000001</v>
      </c>
      <c r="U34" s="18">
        <v>0.2278</v>
      </c>
      <c r="V34" s="18">
        <v>0.2918</v>
      </c>
      <c r="W34" s="18">
        <v>0.26960000000000001</v>
      </c>
      <c r="X34" s="18">
        <v>0.48949999999999999</v>
      </c>
      <c r="Y34" s="18">
        <v>0.57169999999999999</v>
      </c>
      <c r="Z34" s="18">
        <v>0.81040000000000001</v>
      </c>
      <c r="AA34" s="18">
        <v>1.2746</v>
      </c>
      <c r="AB34" s="18">
        <v>0.41010000000000002</v>
      </c>
      <c r="AC34" s="18">
        <v>1.3911</v>
      </c>
      <c r="AD34" s="18">
        <v>5.8900000000000001E-2</v>
      </c>
      <c r="AE34" s="18">
        <v>0.13339999999999999</v>
      </c>
      <c r="AF34" s="18">
        <v>0.45240000000000002</v>
      </c>
      <c r="AG34" s="18">
        <v>0.60529999999999995</v>
      </c>
      <c r="AH34" s="18">
        <v>0.51490000000000002</v>
      </c>
      <c r="AI34" s="18">
        <v>0.3906</v>
      </c>
      <c r="AJ34" s="18">
        <v>0.38569999999999999</v>
      </c>
      <c r="AK34" s="18">
        <v>0.54210000000000003</v>
      </c>
      <c r="AL34" s="18">
        <v>0.1028</v>
      </c>
      <c r="AM34" s="18">
        <v>0.1837</v>
      </c>
      <c r="AN34" s="18">
        <v>0.27129999999999999</v>
      </c>
      <c r="AO34" s="18">
        <v>0.33029999999999998</v>
      </c>
      <c r="AP34" s="18">
        <v>0.72060000000000002</v>
      </c>
      <c r="AQ34" s="18">
        <v>1.0740000000000001</v>
      </c>
      <c r="AR34" s="18">
        <v>0.83799999999999997</v>
      </c>
      <c r="AS34" s="18">
        <v>1.105</v>
      </c>
      <c r="AT34" s="18">
        <v>0.76470000000000005</v>
      </c>
      <c r="AU34" s="18">
        <v>0.90229999999999999</v>
      </c>
      <c r="AV34" s="18">
        <v>1.2318</v>
      </c>
      <c r="AW34" s="18">
        <v>0.95150000000000001</v>
      </c>
      <c r="AX34" s="18">
        <v>0.1032</v>
      </c>
    </row>
    <row r="35" spans="1:50" x14ac:dyDescent="0.25">
      <c r="A35" s="16" t="s">
        <v>501</v>
      </c>
      <c r="B35" s="13" t="s">
        <v>464</v>
      </c>
      <c r="C35" s="17">
        <v>0.73280000000000001</v>
      </c>
      <c r="D35" s="17">
        <v>5.5E-2</v>
      </c>
      <c r="E35" s="17">
        <v>5.5E-2</v>
      </c>
      <c r="F35" s="17">
        <v>0.21029999999999999</v>
      </c>
      <c r="G35" s="17">
        <v>5.5E-2</v>
      </c>
      <c r="H35" s="17">
        <v>7.6200000000000004E-2</v>
      </c>
      <c r="I35" s="17">
        <v>0.18909999999999999</v>
      </c>
      <c r="J35" s="17">
        <v>5.5E-2</v>
      </c>
      <c r="K35" s="17">
        <v>5.5E-2</v>
      </c>
      <c r="L35" s="17">
        <v>0.18909999999999999</v>
      </c>
      <c r="M35" s="17">
        <v>7.6200000000000004E-2</v>
      </c>
      <c r="N35" s="17">
        <v>5.5E-2</v>
      </c>
      <c r="O35" s="17">
        <v>0.21029999999999999</v>
      </c>
      <c r="P35" s="17">
        <v>5.5E-2</v>
      </c>
      <c r="Q35" s="17">
        <v>0.13969999999999999</v>
      </c>
      <c r="R35" s="17">
        <v>0.4894</v>
      </c>
      <c r="S35" s="17">
        <v>8.2500000000000004E-2</v>
      </c>
      <c r="T35" s="17">
        <v>0.21029999999999999</v>
      </c>
      <c r="U35" s="17">
        <v>5.5E-2</v>
      </c>
      <c r="V35" s="17">
        <v>0.13969999999999999</v>
      </c>
      <c r="W35" s="17">
        <v>0.1293</v>
      </c>
      <c r="X35" s="17">
        <v>0.36520000000000002</v>
      </c>
      <c r="Y35" s="17">
        <v>1.3166</v>
      </c>
      <c r="Z35" s="17">
        <v>0.1825</v>
      </c>
      <c r="AA35" s="17">
        <v>0.36030000000000001</v>
      </c>
      <c r="AB35" s="17">
        <v>0.28239999999999998</v>
      </c>
      <c r="AC35" s="17">
        <v>1.3561000000000001</v>
      </c>
      <c r="AD35" s="17">
        <v>0.25030000000000002</v>
      </c>
      <c r="AE35" s="17">
        <v>5.5E-2</v>
      </c>
      <c r="AF35" s="17">
        <v>1.4081999999999999</v>
      </c>
      <c r="AG35" s="17">
        <v>0.45069999999999999</v>
      </c>
      <c r="AH35" s="17">
        <v>5.5E-2</v>
      </c>
      <c r="AI35" s="17">
        <v>0.39240000000000003</v>
      </c>
      <c r="AJ35" s="17">
        <v>0.58889999999999998</v>
      </c>
      <c r="AK35" s="17">
        <v>0.27</v>
      </c>
      <c r="AL35" s="17">
        <v>0.22220000000000001</v>
      </c>
      <c r="AM35" s="17">
        <v>1.6244000000000001</v>
      </c>
      <c r="AN35" s="17">
        <v>2.4060999999999999</v>
      </c>
      <c r="AO35" s="17">
        <v>0.84530000000000005</v>
      </c>
      <c r="AP35" s="17">
        <v>0.11169999999999999</v>
      </c>
      <c r="AQ35" s="17">
        <v>0.1731</v>
      </c>
      <c r="AR35" s="17">
        <v>1.6949000000000001</v>
      </c>
      <c r="AS35" s="17">
        <v>3.5059999999999998</v>
      </c>
      <c r="AT35" s="17">
        <v>2.3506</v>
      </c>
      <c r="AU35" s="17">
        <v>0.93720000000000003</v>
      </c>
      <c r="AV35" s="17">
        <v>0.61140000000000005</v>
      </c>
      <c r="AW35" s="17">
        <v>0.57979999999999998</v>
      </c>
      <c r="AX35" s="17">
        <v>0.56110000000000004</v>
      </c>
    </row>
    <row r="36" spans="1:50" x14ac:dyDescent="0.25">
      <c r="A36" s="16" t="s">
        <v>503</v>
      </c>
      <c r="B36" s="13" t="s">
        <v>464</v>
      </c>
      <c r="C36" s="17">
        <v>0.18459999999999999</v>
      </c>
      <c r="D36" s="17">
        <v>5.1999999999999998E-2</v>
      </c>
      <c r="E36" s="17">
        <v>0.13819999999999999</v>
      </c>
      <c r="F36" s="17">
        <v>9.8400000000000001E-2</v>
      </c>
      <c r="G36" s="17">
        <v>0.11169999999999999</v>
      </c>
      <c r="H36" s="17">
        <v>0.125</v>
      </c>
      <c r="I36" s="17">
        <v>5.1999999999999998E-2</v>
      </c>
      <c r="J36" s="17">
        <v>0.15809999999999999</v>
      </c>
      <c r="K36" s="17">
        <v>7.85E-2</v>
      </c>
      <c r="L36" s="17">
        <v>5.1999999999999998E-2</v>
      </c>
      <c r="M36" s="17">
        <v>0.1051</v>
      </c>
      <c r="N36" s="17">
        <v>0.13159999999999999</v>
      </c>
      <c r="O36" s="17">
        <v>9.8400000000000001E-2</v>
      </c>
      <c r="P36" s="17">
        <v>0.13819999999999999</v>
      </c>
      <c r="Q36" s="17">
        <v>8.6599999999999996E-2</v>
      </c>
      <c r="R36" s="17">
        <v>0.1948</v>
      </c>
      <c r="S36" s="17">
        <v>0.76300000000000001</v>
      </c>
      <c r="T36" s="17">
        <v>0.18459999999999999</v>
      </c>
      <c r="U36" s="17">
        <v>0.1172</v>
      </c>
      <c r="V36" s="17">
        <v>0.32150000000000001</v>
      </c>
      <c r="W36" s="17">
        <v>5.1999999999999998E-2</v>
      </c>
      <c r="X36" s="17">
        <v>5.1999999999999998E-2</v>
      </c>
      <c r="Y36" s="17">
        <v>0.3039</v>
      </c>
      <c r="Z36" s="17">
        <v>5.1999999999999998E-2</v>
      </c>
      <c r="AA36" s="17">
        <v>0.13159999999999999</v>
      </c>
      <c r="AB36" s="17">
        <v>0.1051</v>
      </c>
      <c r="AC36" s="17">
        <v>0.1183</v>
      </c>
      <c r="AD36" s="17">
        <v>0.1183</v>
      </c>
      <c r="AE36" s="17">
        <v>9.1800000000000007E-2</v>
      </c>
      <c r="AF36" s="17">
        <v>0.14480000000000001</v>
      </c>
      <c r="AG36" s="17">
        <v>5.1999999999999998E-2</v>
      </c>
      <c r="AH36" s="17">
        <v>0.2949</v>
      </c>
      <c r="AI36" s="17">
        <v>0.21540000000000001</v>
      </c>
      <c r="AJ36" s="17">
        <v>1.5007999999999999</v>
      </c>
      <c r="AK36" s="17">
        <v>0.23669999999999999</v>
      </c>
      <c r="AL36" s="17">
        <v>0.33929999999999999</v>
      </c>
      <c r="AM36" s="17">
        <v>0.1532</v>
      </c>
      <c r="AN36" s="17">
        <v>8.5199999999999998E-2</v>
      </c>
      <c r="AO36" s="17">
        <v>0.1515</v>
      </c>
      <c r="AP36" s="17">
        <v>5.1999999999999998E-2</v>
      </c>
      <c r="AQ36" s="17">
        <v>0.17799999999999999</v>
      </c>
      <c r="AR36" s="17">
        <v>5.8599999999999999E-2</v>
      </c>
      <c r="AS36" s="17">
        <v>0.32629999999999998</v>
      </c>
      <c r="AT36" s="17">
        <v>0.3473</v>
      </c>
      <c r="AU36" s="17">
        <v>0.33500000000000002</v>
      </c>
      <c r="AV36" s="17">
        <v>0.79110000000000003</v>
      </c>
      <c r="AW36" s="17">
        <v>5.1999999999999998E-2</v>
      </c>
      <c r="AX36" s="17">
        <v>0.1051</v>
      </c>
    </row>
    <row r="37" spans="1:50" x14ac:dyDescent="0.25">
      <c r="A37" s="8" t="s">
        <v>78</v>
      </c>
      <c r="B37" s="10" t="s">
        <v>57</v>
      </c>
      <c r="C37" s="18">
        <v>5.1999999999999998E-2</v>
      </c>
      <c r="D37" s="18">
        <v>5.5199999999999999E-2</v>
      </c>
      <c r="E37" s="18">
        <v>0.26119999999999999</v>
      </c>
      <c r="F37" s="18">
        <v>5.1999999999999998E-2</v>
      </c>
      <c r="G37" s="18">
        <v>0.15920000000000001</v>
      </c>
      <c r="H37" s="18">
        <v>0.1734</v>
      </c>
      <c r="I37" s="18">
        <v>9.4E-2</v>
      </c>
      <c r="J37" s="18">
        <v>0.1857</v>
      </c>
      <c r="K37" s="18">
        <v>0.13070000000000001</v>
      </c>
      <c r="L37" s="18">
        <v>5.1999999999999998E-2</v>
      </c>
      <c r="M37" s="18">
        <v>8.7499999999999994E-2</v>
      </c>
      <c r="N37" s="18">
        <v>7.46E-2</v>
      </c>
      <c r="O37" s="18">
        <v>5.1999999999999998E-2</v>
      </c>
      <c r="P37" s="18">
        <v>0.20630000000000001</v>
      </c>
      <c r="Q37" s="18">
        <v>0.1101</v>
      </c>
      <c r="R37" s="18">
        <v>0.20630000000000001</v>
      </c>
      <c r="S37" s="18">
        <v>0.1101</v>
      </c>
      <c r="T37" s="18">
        <v>1.0974999999999999</v>
      </c>
      <c r="U37" s="18">
        <v>0.18820000000000001</v>
      </c>
      <c r="V37" s="18">
        <v>5.8500000000000003E-2</v>
      </c>
      <c r="W37" s="18">
        <v>0.1643</v>
      </c>
      <c r="X37" s="18">
        <v>9.4100000000000003E-2</v>
      </c>
      <c r="Y37" s="18">
        <v>0.1101</v>
      </c>
      <c r="Z37" s="18">
        <v>0.158</v>
      </c>
      <c r="AA37" s="18">
        <v>0.1318</v>
      </c>
      <c r="AB37" s="18">
        <v>0.1004</v>
      </c>
      <c r="AC37" s="18">
        <v>0.20630000000000001</v>
      </c>
      <c r="AD37" s="18">
        <v>5.1999999999999998E-2</v>
      </c>
      <c r="AE37" s="18">
        <v>0.19159999999999999</v>
      </c>
      <c r="AF37" s="18">
        <v>0.12479999999999999</v>
      </c>
      <c r="AG37" s="18">
        <v>0.1804</v>
      </c>
      <c r="AH37" s="18">
        <v>0.379</v>
      </c>
      <c r="AI37" s="18">
        <v>1.3816999999999999</v>
      </c>
      <c r="AJ37" s="18">
        <v>0.3342</v>
      </c>
      <c r="AK37" s="18">
        <v>0.54010000000000002</v>
      </c>
      <c r="AL37" s="18">
        <v>0.69420000000000004</v>
      </c>
      <c r="AM37" s="18">
        <v>0.41560000000000002</v>
      </c>
      <c r="AN37" s="18">
        <v>0.1031</v>
      </c>
      <c r="AO37" s="18">
        <v>0.379</v>
      </c>
      <c r="AP37" s="18">
        <v>0.2581</v>
      </c>
      <c r="AQ37" s="18">
        <v>0.61699999999999999</v>
      </c>
      <c r="AR37" s="18">
        <v>0.61799999999999999</v>
      </c>
      <c r="AS37" s="18">
        <v>0.43130000000000002</v>
      </c>
      <c r="AT37" s="18">
        <v>1.3940999999999999</v>
      </c>
      <c r="AU37" s="18">
        <v>0.78580000000000005</v>
      </c>
      <c r="AV37" s="18">
        <v>1.0612999999999999</v>
      </c>
      <c r="AW37" s="18">
        <v>0.96279999999999999</v>
      </c>
      <c r="AX37" s="18">
        <v>5.1999999999999998E-2</v>
      </c>
    </row>
    <row r="38" spans="1:50" x14ac:dyDescent="0.25">
      <c r="A38" s="8" t="s">
        <v>80</v>
      </c>
      <c r="B38" s="10" t="s">
        <v>57</v>
      </c>
      <c r="C38" s="18">
        <v>0.22770000000000001</v>
      </c>
      <c r="D38" s="18">
        <v>0.12429999999999999</v>
      </c>
      <c r="E38" s="18">
        <v>0.1656</v>
      </c>
      <c r="F38" s="18">
        <v>0.20469999999999999</v>
      </c>
      <c r="G38" s="18">
        <v>9.2700000000000005E-2</v>
      </c>
      <c r="H38" s="18">
        <v>0.19850000000000001</v>
      </c>
      <c r="I38" s="18">
        <v>0.1444</v>
      </c>
      <c r="J38" s="18">
        <v>0.1454</v>
      </c>
      <c r="K38" s="18">
        <v>0.1152</v>
      </c>
      <c r="L38" s="18">
        <v>4.7E-2</v>
      </c>
      <c r="M38" s="18">
        <v>0.25019999999999998</v>
      </c>
      <c r="N38" s="18">
        <v>9.2700000000000005E-2</v>
      </c>
      <c r="O38" s="18">
        <v>9.2700000000000005E-2</v>
      </c>
      <c r="P38" s="18">
        <v>8.3599999999999994E-2</v>
      </c>
      <c r="Q38" s="18">
        <v>4.7E-2</v>
      </c>
      <c r="R38" s="18">
        <v>0.25929999999999997</v>
      </c>
      <c r="S38" s="18">
        <v>0.25919999999999999</v>
      </c>
      <c r="T38" s="18">
        <v>0.94450000000000001</v>
      </c>
      <c r="U38" s="18">
        <v>2.7829000000000002</v>
      </c>
      <c r="V38" s="18">
        <v>2.7612999999999999</v>
      </c>
      <c r="W38" s="18">
        <v>0.27629999999999999</v>
      </c>
      <c r="X38" s="18">
        <v>0.11</v>
      </c>
      <c r="Y38" s="18">
        <v>0.13500000000000001</v>
      </c>
      <c r="Z38" s="18">
        <v>0.2079</v>
      </c>
      <c r="AA38" s="18">
        <v>4.7E-2</v>
      </c>
      <c r="AB38" s="18">
        <v>0.15959999999999999</v>
      </c>
      <c r="AC38" s="18">
        <v>0.18329999999999999</v>
      </c>
      <c r="AD38" s="18">
        <v>7.9000000000000001E-2</v>
      </c>
      <c r="AE38" s="18">
        <v>0.1124</v>
      </c>
      <c r="AF38" s="18">
        <v>0.2442</v>
      </c>
      <c r="AG38" s="18">
        <v>8.3599999999999994E-2</v>
      </c>
      <c r="AH38" s="18">
        <v>1.0066999999999999</v>
      </c>
      <c r="AI38" s="18">
        <v>0.1857</v>
      </c>
      <c r="AJ38" s="18">
        <v>0.25080000000000002</v>
      </c>
      <c r="AK38" s="18">
        <v>0.114</v>
      </c>
      <c r="AL38" s="18">
        <v>0.33750000000000002</v>
      </c>
      <c r="AM38" s="18">
        <v>8.3199999999999996E-2</v>
      </c>
      <c r="AN38" s="18">
        <v>0.33429999999999999</v>
      </c>
      <c r="AO38" s="18">
        <v>0.56359999999999999</v>
      </c>
      <c r="AP38" s="18">
        <v>0.36520000000000002</v>
      </c>
      <c r="AQ38" s="18">
        <v>0.51519999999999999</v>
      </c>
      <c r="AR38" s="18">
        <v>1.5357000000000001</v>
      </c>
      <c r="AS38" s="18">
        <v>0.36809999999999998</v>
      </c>
      <c r="AT38" s="18">
        <v>0.88800000000000001</v>
      </c>
      <c r="AU38" s="18">
        <v>0.76429999999999998</v>
      </c>
      <c r="AV38" s="18">
        <v>0.74229999999999996</v>
      </c>
      <c r="AW38" s="18">
        <v>0.89049999999999996</v>
      </c>
      <c r="AX38" s="18">
        <v>0.55420000000000003</v>
      </c>
    </row>
    <row r="39" spans="1:50" x14ac:dyDescent="0.25">
      <c r="A39" s="8" t="s">
        <v>82</v>
      </c>
      <c r="B39" s="10" t="s">
        <v>57</v>
      </c>
      <c r="C39" s="18">
        <v>0.23380000000000001</v>
      </c>
      <c r="D39" s="18">
        <v>5.0999999999999997E-2</v>
      </c>
      <c r="E39" s="18">
        <v>0.29420000000000002</v>
      </c>
      <c r="F39" s="18">
        <v>5.0999999999999997E-2</v>
      </c>
      <c r="G39" s="18">
        <v>0.1216</v>
      </c>
      <c r="H39" s="18">
        <v>5.0999999999999997E-2</v>
      </c>
      <c r="I39" s="18">
        <v>0.26679999999999998</v>
      </c>
      <c r="J39" s="18">
        <v>7.8399999999999997E-2</v>
      </c>
      <c r="K39" s="18">
        <v>5.0999999999999997E-2</v>
      </c>
      <c r="L39" s="18">
        <v>0.153</v>
      </c>
      <c r="M39" s="18">
        <v>0.1216</v>
      </c>
      <c r="N39" s="18">
        <v>5.0999999999999997E-2</v>
      </c>
      <c r="O39" s="18">
        <v>0.14119999999999999</v>
      </c>
      <c r="P39" s="18">
        <v>0.20399999999999999</v>
      </c>
      <c r="Q39" s="18">
        <v>5.0999999999999997E-2</v>
      </c>
      <c r="R39" s="18">
        <v>0.255</v>
      </c>
      <c r="S39" s="18">
        <v>9.0200000000000002E-2</v>
      </c>
      <c r="T39" s="18">
        <v>9.8000000000000004E-2</v>
      </c>
      <c r="U39" s="18">
        <v>0.2394</v>
      </c>
      <c r="V39" s="18">
        <v>2.6012</v>
      </c>
      <c r="W39" s="18">
        <v>1.3969</v>
      </c>
      <c r="X39" s="18">
        <v>0.2445</v>
      </c>
      <c r="Y39" s="18">
        <v>0.91390000000000005</v>
      </c>
      <c r="Z39" s="18">
        <v>0.60129999999999995</v>
      </c>
      <c r="AA39" s="18">
        <v>6.1899999999999997E-2</v>
      </c>
      <c r="AB39" s="18">
        <v>0.22370000000000001</v>
      </c>
      <c r="AC39" s="18">
        <v>5.0999999999999997E-2</v>
      </c>
      <c r="AD39" s="18">
        <v>0.1666</v>
      </c>
      <c r="AE39" s="18">
        <v>9.6600000000000005E-2</v>
      </c>
      <c r="AF39" s="18">
        <v>0.24890000000000001</v>
      </c>
      <c r="AG39" s="18">
        <v>0.1522</v>
      </c>
      <c r="AH39" s="18">
        <v>0.18</v>
      </c>
      <c r="AI39" s="18">
        <v>0.20119999999999999</v>
      </c>
      <c r="AJ39" s="18">
        <v>5.0999999999999997E-2</v>
      </c>
      <c r="AK39" s="18">
        <v>9.8100000000000007E-2</v>
      </c>
      <c r="AL39" s="18">
        <v>0.2472</v>
      </c>
      <c r="AM39" s="18">
        <v>7.4499999999999997E-2</v>
      </c>
      <c r="AN39" s="18">
        <v>9.8000000000000004E-2</v>
      </c>
      <c r="AO39" s="18">
        <v>9.0800000000000006E-2</v>
      </c>
      <c r="AP39" s="18">
        <v>0.72899999999999998</v>
      </c>
      <c r="AQ39" s="18">
        <v>0.43990000000000001</v>
      </c>
      <c r="AR39" s="18">
        <v>2.4672999999999998</v>
      </c>
      <c r="AS39" s="18">
        <v>0.99309999999999998</v>
      </c>
      <c r="AT39" s="18">
        <v>0.81340000000000001</v>
      </c>
      <c r="AU39" s="18">
        <v>0.751</v>
      </c>
      <c r="AV39" s="18">
        <v>0.3876</v>
      </c>
      <c r="AW39" s="18">
        <v>0.53349999999999997</v>
      </c>
      <c r="AX39" s="18">
        <v>0.42499999999999999</v>
      </c>
    </row>
    <row r="40" spans="1:50" x14ac:dyDescent="0.25">
      <c r="A40" s="8" t="s">
        <v>84</v>
      </c>
      <c r="B40" s="10" t="s">
        <v>57</v>
      </c>
      <c r="C40" s="18">
        <v>0.16370000000000001</v>
      </c>
      <c r="D40" s="18">
        <v>7.8100000000000003E-2</v>
      </c>
      <c r="E40" s="18">
        <v>0.1623</v>
      </c>
      <c r="F40" s="18">
        <v>4.2999999999999997E-2</v>
      </c>
      <c r="G40" s="18">
        <v>0.19739999999999999</v>
      </c>
      <c r="H40" s="18">
        <v>4.2999999999999997E-2</v>
      </c>
      <c r="I40" s="18">
        <v>4.2999999999999997E-2</v>
      </c>
      <c r="J40" s="18">
        <v>4.2999999999999997E-2</v>
      </c>
      <c r="K40" s="18">
        <v>7.1099999999999997E-2</v>
      </c>
      <c r="L40" s="18">
        <v>0.1694</v>
      </c>
      <c r="M40" s="18">
        <v>4.2999999999999997E-2</v>
      </c>
      <c r="N40" s="18">
        <v>0.1623</v>
      </c>
      <c r="O40" s="18">
        <v>7.8100000000000003E-2</v>
      </c>
      <c r="P40" s="18">
        <v>4.2999999999999997E-2</v>
      </c>
      <c r="Q40" s="18">
        <v>0.19739999999999999</v>
      </c>
      <c r="R40" s="18">
        <v>4.2999999999999997E-2</v>
      </c>
      <c r="S40" s="18">
        <v>4.2999999999999997E-2</v>
      </c>
      <c r="T40" s="18">
        <v>7.8100000000000003E-2</v>
      </c>
      <c r="U40" s="18">
        <v>0.1623</v>
      </c>
      <c r="V40" s="18">
        <v>4.2999999999999997E-2</v>
      </c>
      <c r="W40" s="18">
        <v>0.19739999999999999</v>
      </c>
      <c r="X40" s="18">
        <v>4.2999999999999997E-2</v>
      </c>
      <c r="Y40" s="18">
        <v>0.1062</v>
      </c>
      <c r="Z40" s="18">
        <v>0.1343</v>
      </c>
      <c r="AA40" s="18">
        <v>6.08E-2</v>
      </c>
      <c r="AB40" s="18">
        <v>0.2026</v>
      </c>
      <c r="AC40" s="18">
        <v>0.13719999999999999</v>
      </c>
      <c r="AD40" s="18">
        <v>4.58E-2</v>
      </c>
      <c r="AE40" s="18">
        <v>0.1439</v>
      </c>
      <c r="AF40" s="18">
        <v>1.1536999999999999</v>
      </c>
      <c r="AG40" s="18">
        <v>0.99</v>
      </c>
      <c r="AH40" s="18">
        <v>0.71540000000000004</v>
      </c>
      <c r="AI40" s="18">
        <v>0.84719999999999995</v>
      </c>
      <c r="AJ40" s="18">
        <v>0.16789999999999999</v>
      </c>
      <c r="AK40" s="18">
        <v>1.5339</v>
      </c>
      <c r="AL40" s="18">
        <v>0.22700000000000001</v>
      </c>
      <c r="AM40" s="18">
        <v>5.5899999999999998E-2</v>
      </c>
      <c r="AN40" s="18">
        <v>0.1062</v>
      </c>
      <c r="AO40" s="18">
        <v>0.1913</v>
      </c>
      <c r="AP40" s="18">
        <v>0.1283</v>
      </c>
      <c r="AQ40" s="18">
        <v>0.28760000000000002</v>
      </c>
      <c r="AR40" s="18">
        <v>0.36849999999999999</v>
      </c>
      <c r="AS40" s="18">
        <v>0.18790000000000001</v>
      </c>
      <c r="AT40" s="18">
        <v>0.16320000000000001</v>
      </c>
      <c r="AU40" s="18">
        <v>0.38019999999999998</v>
      </c>
      <c r="AV40" s="18">
        <v>0.1527</v>
      </c>
      <c r="AW40" s="18">
        <v>0.1623</v>
      </c>
      <c r="AX40" s="18">
        <v>7.8100000000000003E-2</v>
      </c>
    </row>
    <row r="41" spans="1:50" x14ac:dyDescent="0.25">
      <c r="A41" s="16" t="s">
        <v>505</v>
      </c>
      <c r="B41" s="13" t="s">
        <v>464</v>
      </c>
      <c r="C41" s="17">
        <v>0.38890000000000002</v>
      </c>
      <c r="D41" s="17">
        <v>3.5999999999999997E-2</v>
      </c>
      <c r="E41" s="17">
        <v>6.5799999999999997E-2</v>
      </c>
      <c r="F41" s="17">
        <v>0.28029999999999999</v>
      </c>
      <c r="G41" s="17">
        <v>3.5999999999999997E-2</v>
      </c>
      <c r="H41" s="17">
        <v>0.251</v>
      </c>
      <c r="I41" s="17">
        <v>9.5100000000000004E-2</v>
      </c>
      <c r="J41" s="17">
        <v>0.14510000000000001</v>
      </c>
      <c r="K41" s="17">
        <v>0.19359999999999999</v>
      </c>
      <c r="L41" s="17">
        <v>4.3299999999999998E-2</v>
      </c>
      <c r="M41" s="17">
        <v>0.20749999999999999</v>
      </c>
      <c r="N41" s="17">
        <v>0.13850000000000001</v>
      </c>
      <c r="O41" s="17">
        <v>0.17630000000000001</v>
      </c>
      <c r="P41" s="17">
        <v>0.1404</v>
      </c>
      <c r="Q41" s="17">
        <v>0.16520000000000001</v>
      </c>
      <c r="R41" s="17">
        <v>0.34599999999999997</v>
      </c>
      <c r="S41" s="17">
        <v>0.17699999999999999</v>
      </c>
      <c r="T41" s="17">
        <v>0.2036</v>
      </c>
      <c r="U41" s="17">
        <v>6.8099999999999994E-2</v>
      </c>
      <c r="V41" s="17">
        <v>0.27289999999999998</v>
      </c>
      <c r="W41" s="17">
        <v>4.3799999999999999E-2</v>
      </c>
      <c r="X41" s="17">
        <v>0.64980000000000004</v>
      </c>
      <c r="Y41" s="17">
        <v>0.5867</v>
      </c>
      <c r="Z41" s="17">
        <v>0.18410000000000001</v>
      </c>
      <c r="AA41" s="17">
        <v>0.18840000000000001</v>
      </c>
      <c r="AB41" s="17">
        <v>0.18529999999999999</v>
      </c>
      <c r="AC41" s="17">
        <v>3.5999999999999997E-2</v>
      </c>
      <c r="AD41" s="17">
        <v>0.47860000000000003</v>
      </c>
      <c r="AE41" s="17">
        <v>1.071</v>
      </c>
      <c r="AF41" s="17">
        <v>4.1599999999999998E-2</v>
      </c>
      <c r="AG41" s="17">
        <v>0.17549999999999999</v>
      </c>
      <c r="AH41" s="17">
        <v>0.5927</v>
      </c>
      <c r="AI41" s="17">
        <v>0.48230000000000001</v>
      </c>
      <c r="AJ41" s="17">
        <v>0.15720000000000001</v>
      </c>
      <c r="AK41" s="17">
        <v>0.41149999999999998</v>
      </c>
      <c r="AL41" s="17">
        <v>0.19550000000000001</v>
      </c>
      <c r="AM41" s="17">
        <v>0.44350000000000001</v>
      </c>
      <c r="AN41" s="17">
        <v>0.4027</v>
      </c>
      <c r="AO41" s="17">
        <v>0.9073</v>
      </c>
      <c r="AP41" s="17">
        <v>0.55979999999999996</v>
      </c>
      <c r="AQ41" s="17">
        <v>0.4798</v>
      </c>
      <c r="AR41" s="17">
        <v>0.4657</v>
      </c>
      <c r="AS41" s="17">
        <v>0.6704</v>
      </c>
      <c r="AT41" s="17">
        <v>0.47970000000000002</v>
      </c>
      <c r="AU41" s="17">
        <v>0.79979999999999996</v>
      </c>
      <c r="AV41" s="17">
        <v>0.53759999999999997</v>
      </c>
      <c r="AW41" s="17">
        <v>0.32179999999999997</v>
      </c>
      <c r="AX41" s="17">
        <v>0.49440000000000001</v>
      </c>
    </row>
    <row r="42" spans="1:50" x14ac:dyDescent="0.25">
      <c r="A42" s="8" t="s">
        <v>86</v>
      </c>
      <c r="B42" s="10" t="s">
        <v>57</v>
      </c>
      <c r="C42" s="18">
        <v>0.33550000000000002</v>
      </c>
      <c r="D42" s="18">
        <v>0.03</v>
      </c>
      <c r="E42" s="18">
        <v>0.23519999999999999</v>
      </c>
      <c r="F42" s="18">
        <v>0.1303</v>
      </c>
      <c r="G42" s="18">
        <v>0.03</v>
      </c>
      <c r="H42" s="18">
        <v>0.27650000000000002</v>
      </c>
      <c r="I42" s="18">
        <v>8.8999999999999996E-2</v>
      </c>
      <c r="J42" s="18">
        <v>0.106</v>
      </c>
      <c r="K42" s="18">
        <v>0.25940000000000002</v>
      </c>
      <c r="L42" s="18">
        <v>0.03</v>
      </c>
      <c r="M42" s="18">
        <v>0.28039999999999998</v>
      </c>
      <c r="N42" s="18">
        <v>8.5099999999999995E-2</v>
      </c>
      <c r="O42" s="18">
        <v>0.11260000000000001</v>
      </c>
      <c r="P42" s="18">
        <v>0.25290000000000001</v>
      </c>
      <c r="Q42" s="18">
        <v>0.1008</v>
      </c>
      <c r="R42" s="18">
        <v>0.188</v>
      </c>
      <c r="S42" s="18">
        <v>0.1244</v>
      </c>
      <c r="T42" s="18">
        <v>0.18</v>
      </c>
      <c r="U42" s="18">
        <v>0.2235</v>
      </c>
      <c r="V42" s="18">
        <v>0.1676</v>
      </c>
      <c r="W42" s="18">
        <v>0.28589999999999999</v>
      </c>
      <c r="X42" s="18">
        <v>5.5399999999999998E-2</v>
      </c>
      <c r="Y42" s="18">
        <v>0.49459999999999998</v>
      </c>
      <c r="Z42" s="18">
        <v>0.1009</v>
      </c>
      <c r="AA42" s="18">
        <v>1.28</v>
      </c>
      <c r="AB42" s="18">
        <v>0.64049999999999996</v>
      </c>
      <c r="AC42" s="18">
        <v>0.13600000000000001</v>
      </c>
      <c r="AD42" s="18">
        <v>0.2261</v>
      </c>
      <c r="AE42" s="18">
        <v>0.3831</v>
      </c>
      <c r="AF42" s="18">
        <v>0.28570000000000001</v>
      </c>
      <c r="AG42" s="18">
        <v>0.1736</v>
      </c>
      <c r="AH42" s="18">
        <v>0.44280000000000003</v>
      </c>
      <c r="AI42" s="18">
        <v>8.3099999999999993E-2</v>
      </c>
      <c r="AJ42" s="18">
        <v>0.2742</v>
      </c>
      <c r="AK42" s="18">
        <v>0.23300000000000001</v>
      </c>
      <c r="AL42" s="18">
        <v>0.12939999999999999</v>
      </c>
      <c r="AM42" s="18">
        <v>0.15890000000000001</v>
      </c>
      <c r="AN42" s="18">
        <v>0.2132</v>
      </c>
      <c r="AO42" s="18">
        <v>3.73E-2</v>
      </c>
      <c r="AP42" s="18">
        <v>8.9700000000000002E-2</v>
      </c>
      <c r="AQ42" s="18">
        <v>0.23019999999999999</v>
      </c>
      <c r="AR42" s="18">
        <v>0.47799999999999998</v>
      </c>
      <c r="AS42" s="18">
        <v>0.30430000000000001</v>
      </c>
      <c r="AT42" s="18">
        <v>0.55589999999999995</v>
      </c>
      <c r="AU42" s="18">
        <v>0.54679999999999995</v>
      </c>
      <c r="AV42" s="18">
        <v>8.1100000000000005E-2</v>
      </c>
      <c r="AW42" s="18">
        <v>0.20180000000000001</v>
      </c>
      <c r="AX42" s="18">
        <v>0.11260000000000001</v>
      </c>
    </row>
    <row r="43" spans="1:50" x14ac:dyDescent="0.25">
      <c r="A43" s="8" t="s">
        <v>88</v>
      </c>
      <c r="B43" s="10" t="s">
        <v>57</v>
      </c>
      <c r="C43" s="18">
        <v>0.23330000000000001</v>
      </c>
      <c r="D43" s="18">
        <v>3.9E-2</v>
      </c>
      <c r="E43" s="18">
        <v>3.9E-2</v>
      </c>
      <c r="F43" s="18">
        <v>0.26050000000000001</v>
      </c>
      <c r="G43" s="18">
        <v>4.8099999999999997E-2</v>
      </c>
      <c r="H43" s="18">
        <v>0.1115</v>
      </c>
      <c r="I43" s="18">
        <v>0.1598</v>
      </c>
      <c r="J43" s="18">
        <v>0.13969999999999999</v>
      </c>
      <c r="K43" s="18">
        <v>3.9E-2</v>
      </c>
      <c r="L43" s="18">
        <v>0.1643</v>
      </c>
      <c r="M43" s="18">
        <v>0.13519999999999999</v>
      </c>
      <c r="N43" s="18">
        <v>3.9E-2</v>
      </c>
      <c r="O43" s="18">
        <v>0.18149999999999999</v>
      </c>
      <c r="P43" s="18">
        <v>0.11799999999999999</v>
      </c>
      <c r="Q43" s="18">
        <v>4.8099999999999997E-2</v>
      </c>
      <c r="R43" s="18">
        <v>0.1242</v>
      </c>
      <c r="S43" s="18">
        <v>0.16619999999999999</v>
      </c>
      <c r="T43" s="18">
        <v>9.7900000000000001E-2</v>
      </c>
      <c r="U43" s="18">
        <v>0.2016</v>
      </c>
      <c r="V43" s="18">
        <v>8.43E-2</v>
      </c>
      <c r="W43" s="18">
        <v>0.28539999999999999</v>
      </c>
      <c r="X43" s="18">
        <v>0.2661</v>
      </c>
      <c r="Y43" s="18">
        <v>0.18940000000000001</v>
      </c>
      <c r="Z43" s="18">
        <v>0.65969999999999995</v>
      </c>
      <c r="AA43" s="18">
        <v>1.181</v>
      </c>
      <c r="AB43" s="18">
        <v>0.13880000000000001</v>
      </c>
      <c r="AC43" s="18">
        <v>0.16070000000000001</v>
      </c>
      <c r="AD43" s="18">
        <v>9.3399999999999997E-2</v>
      </c>
      <c r="AE43" s="18">
        <v>0.16789999999999999</v>
      </c>
      <c r="AF43" s="18">
        <v>0.15870000000000001</v>
      </c>
      <c r="AG43" s="18">
        <v>3.9E-2</v>
      </c>
      <c r="AH43" s="18">
        <v>0.14330000000000001</v>
      </c>
      <c r="AI43" s="18">
        <v>0.16589999999999999</v>
      </c>
      <c r="AJ43" s="18">
        <v>0.16800000000000001</v>
      </c>
      <c r="AK43" s="18">
        <v>0.1903</v>
      </c>
      <c r="AL43" s="18">
        <v>0.2389</v>
      </c>
      <c r="AM43" s="18">
        <v>0.13109999999999999</v>
      </c>
      <c r="AN43" s="18">
        <v>3.9E-2</v>
      </c>
      <c r="AO43" s="18">
        <v>0.14979999999999999</v>
      </c>
      <c r="AP43" s="18">
        <v>0.14979999999999999</v>
      </c>
      <c r="AQ43" s="18">
        <v>7.9799999999999996E-2</v>
      </c>
      <c r="AR43" s="18">
        <v>0.18149999999999999</v>
      </c>
      <c r="AS43" s="18">
        <v>7.7200000000000005E-2</v>
      </c>
      <c r="AT43" s="18">
        <v>0.15240000000000001</v>
      </c>
      <c r="AU43" s="18">
        <v>0.48180000000000001</v>
      </c>
      <c r="AV43" s="18">
        <v>0.26690000000000003</v>
      </c>
      <c r="AW43" s="18">
        <v>0.33029999999999998</v>
      </c>
      <c r="AX43" s="18">
        <v>0.16689999999999999</v>
      </c>
    </row>
    <row r="44" spans="1:50" x14ac:dyDescent="0.25">
      <c r="A44" s="16" t="s">
        <v>507</v>
      </c>
      <c r="B44" s="13" t="s">
        <v>464</v>
      </c>
      <c r="C44" s="17">
        <v>5.0999999999999997E-2</v>
      </c>
      <c r="D44" s="17">
        <v>0.4264</v>
      </c>
      <c r="E44" s="17">
        <v>0.40200000000000002</v>
      </c>
      <c r="F44" s="17">
        <v>0.34699999999999998</v>
      </c>
      <c r="G44" s="17">
        <v>5.0999999999999997E-2</v>
      </c>
      <c r="H44" s="17">
        <v>0.1084</v>
      </c>
      <c r="I44" s="17">
        <v>0.15140000000000001</v>
      </c>
      <c r="J44" s="17">
        <v>5.8200000000000002E-2</v>
      </c>
      <c r="K44" s="17">
        <v>0.2016</v>
      </c>
      <c r="L44" s="17">
        <v>5.0999999999999997E-2</v>
      </c>
      <c r="M44" s="17">
        <v>5.0999999999999997E-2</v>
      </c>
      <c r="N44" s="17">
        <v>0.19439999999999999</v>
      </c>
      <c r="O44" s="17">
        <v>6.5299999999999997E-2</v>
      </c>
      <c r="P44" s="17">
        <v>5.0999999999999997E-2</v>
      </c>
      <c r="Q44" s="17">
        <v>0.16569999999999999</v>
      </c>
      <c r="R44" s="17">
        <v>0.1298</v>
      </c>
      <c r="S44" s="17">
        <v>8.0399999999999999E-2</v>
      </c>
      <c r="T44" s="17">
        <v>0.45540000000000003</v>
      </c>
      <c r="U44" s="17">
        <v>1.2735000000000001</v>
      </c>
      <c r="V44" s="17">
        <v>0.623</v>
      </c>
      <c r="W44" s="17">
        <v>0.27810000000000001</v>
      </c>
      <c r="X44" s="17">
        <v>0.18890000000000001</v>
      </c>
      <c r="Y44" s="17">
        <v>0.30270000000000002</v>
      </c>
      <c r="Z44" s="17">
        <v>0.1012</v>
      </c>
      <c r="AA44" s="17">
        <v>0.22270000000000001</v>
      </c>
      <c r="AB44" s="17">
        <v>0.31859999999999999</v>
      </c>
      <c r="AC44" s="17">
        <v>0.20130000000000001</v>
      </c>
      <c r="AD44" s="17">
        <v>0.59760000000000002</v>
      </c>
      <c r="AE44" s="17">
        <v>5.0999999999999997E-2</v>
      </c>
      <c r="AF44" s="17">
        <v>5.0999999999999997E-2</v>
      </c>
      <c r="AG44" s="17">
        <v>0.34910000000000002</v>
      </c>
      <c r="AH44" s="17">
        <v>5.0999999999999997E-2</v>
      </c>
      <c r="AI44" s="17">
        <v>0.84460000000000002</v>
      </c>
      <c r="AJ44" s="17">
        <v>1.0398000000000001</v>
      </c>
      <c r="AK44" s="17">
        <v>0.41959999999999997</v>
      </c>
      <c r="AL44" s="17">
        <v>0.2601</v>
      </c>
      <c r="AM44" s="17">
        <v>5.0999999999999997E-2</v>
      </c>
      <c r="AN44" s="17">
        <v>5.0999999999999997E-2</v>
      </c>
      <c r="AO44" s="17">
        <v>0.15140000000000001</v>
      </c>
      <c r="AP44" s="17">
        <v>0.1084</v>
      </c>
      <c r="AQ44" s="17">
        <v>5.0999999999999997E-2</v>
      </c>
      <c r="AR44" s="17">
        <v>0.20880000000000001</v>
      </c>
      <c r="AS44" s="17">
        <v>5.0999999999999997E-2</v>
      </c>
      <c r="AT44" s="17">
        <v>0.18010000000000001</v>
      </c>
      <c r="AU44" s="17">
        <v>7.9699999999999993E-2</v>
      </c>
      <c r="AV44" s="17">
        <v>0.12989999999999999</v>
      </c>
      <c r="AW44" s="17">
        <v>0.12989999999999999</v>
      </c>
      <c r="AX44" s="17">
        <v>5.0999999999999997E-2</v>
      </c>
    </row>
    <row r="45" spans="1:50" x14ac:dyDescent="0.25">
      <c r="A45" s="16" t="s">
        <v>509</v>
      </c>
      <c r="B45" s="13" t="s">
        <v>464</v>
      </c>
      <c r="C45" s="17">
        <v>8.2799999999999999E-2</v>
      </c>
      <c r="D45" s="17">
        <v>0.30049999999999999</v>
      </c>
      <c r="E45" s="17">
        <v>0.1203</v>
      </c>
      <c r="F45" s="17">
        <v>0.18609999999999999</v>
      </c>
      <c r="G45" s="17">
        <v>0.26440000000000002</v>
      </c>
      <c r="H45" s="17">
        <v>5.2999999999999999E-2</v>
      </c>
      <c r="I45" s="17">
        <v>0.39750000000000002</v>
      </c>
      <c r="J45" s="17">
        <v>5.2999999999999999E-2</v>
      </c>
      <c r="K45" s="17">
        <v>0.29859999999999998</v>
      </c>
      <c r="L45" s="17">
        <v>0.15190000000000001</v>
      </c>
      <c r="M45" s="17">
        <v>0.1125</v>
      </c>
      <c r="N45" s="17">
        <v>0.1736</v>
      </c>
      <c r="O45" s="17">
        <v>0.21740000000000001</v>
      </c>
      <c r="P45" s="17">
        <v>0.192</v>
      </c>
      <c r="Q45" s="17">
        <v>0.1618</v>
      </c>
      <c r="R45" s="17">
        <v>0.28499999999999998</v>
      </c>
      <c r="S45" s="17">
        <v>1.0411999999999999</v>
      </c>
      <c r="T45" s="17">
        <v>0.45040000000000002</v>
      </c>
      <c r="U45" s="17">
        <v>0.3785</v>
      </c>
      <c r="V45" s="17">
        <v>0.50390000000000001</v>
      </c>
      <c r="W45" s="17">
        <v>1.8385</v>
      </c>
      <c r="X45" s="17">
        <v>0.30309999999999998</v>
      </c>
      <c r="Y45" s="17">
        <v>0.50890000000000002</v>
      </c>
      <c r="Z45" s="17">
        <v>0.49490000000000001</v>
      </c>
      <c r="AA45" s="17">
        <v>0.187</v>
      </c>
      <c r="AB45" s="17">
        <v>0.33360000000000001</v>
      </c>
      <c r="AC45" s="17">
        <v>0.25259999999999999</v>
      </c>
      <c r="AD45" s="17">
        <v>0.62560000000000004</v>
      </c>
      <c r="AE45" s="17">
        <v>0.2402</v>
      </c>
      <c r="AF45" s="17">
        <v>0.2999</v>
      </c>
      <c r="AG45" s="17">
        <v>0.33239999999999997</v>
      </c>
      <c r="AH45" s="17">
        <v>0.36799999999999999</v>
      </c>
      <c r="AI45" s="17">
        <v>0.24629999999999999</v>
      </c>
      <c r="AJ45" s="17">
        <v>0.39200000000000002</v>
      </c>
      <c r="AK45" s="17">
        <v>0.3135</v>
      </c>
      <c r="AL45" s="17">
        <v>1.2219</v>
      </c>
      <c r="AM45" s="17">
        <v>0.55630000000000002</v>
      </c>
      <c r="AN45" s="17">
        <v>0.43099999999999999</v>
      </c>
      <c r="AO45" s="17">
        <v>0.71919999999999995</v>
      </c>
      <c r="AP45" s="17">
        <v>0.57830000000000004</v>
      </c>
      <c r="AQ45" s="17">
        <v>0.87239999999999995</v>
      </c>
      <c r="AR45" s="17">
        <v>0.83560000000000001</v>
      </c>
      <c r="AS45" s="17">
        <v>2.3936999999999999</v>
      </c>
      <c r="AT45" s="17">
        <v>1.1209</v>
      </c>
      <c r="AU45" s="17">
        <v>0.70879999999999999</v>
      </c>
      <c r="AV45" s="17">
        <v>0.3251</v>
      </c>
      <c r="AW45" s="17">
        <v>0.68979999999999997</v>
      </c>
      <c r="AX45" s="17">
        <v>1.4502999999999999</v>
      </c>
    </row>
    <row r="46" spans="1:50" x14ac:dyDescent="0.25">
      <c r="A46" s="16" t="s">
        <v>511</v>
      </c>
      <c r="B46" s="13" t="s">
        <v>464</v>
      </c>
      <c r="C46" s="17">
        <v>4.5999999999999999E-2</v>
      </c>
      <c r="D46" s="17">
        <v>4.5999999999999999E-2</v>
      </c>
      <c r="E46" s="17">
        <v>4.5999999999999999E-2</v>
      </c>
      <c r="F46" s="17">
        <v>4.5999999999999999E-2</v>
      </c>
      <c r="G46" s="17">
        <v>4.5999999999999999E-2</v>
      </c>
      <c r="H46" s="17">
        <v>4.5999999999999999E-2</v>
      </c>
      <c r="I46" s="17">
        <v>4.5999999999999999E-2</v>
      </c>
      <c r="J46" s="17">
        <v>4.5999999999999999E-2</v>
      </c>
      <c r="K46" s="17">
        <v>4.5999999999999999E-2</v>
      </c>
      <c r="L46" s="17">
        <v>4.5999999999999999E-2</v>
      </c>
      <c r="M46" s="17">
        <v>4.5999999999999999E-2</v>
      </c>
      <c r="N46" s="17">
        <v>4.5999999999999999E-2</v>
      </c>
      <c r="O46" s="17">
        <v>4.5999999999999999E-2</v>
      </c>
      <c r="P46" s="17">
        <v>4.5999999999999999E-2</v>
      </c>
      <c r="Q46" s="17">
        <v>4.5999999999999999E-2</v>
      </c>
      <c r="R46" s="17">
        <v>4.5999999999999999E-2</v>
      </c>
      <c r="S46" s="17">
        <v>4.5999999999999999E-2</v>
      </c>
      <c r="T46" s="17">
        <v>5.2499999999999998E-2</v>
      </c>
      <c r="U46" s="17">
        <v>2.016</v>
      </c>
      <c r="V46" s="17">
        <v>1.9701</v>
      </c>
      <c r="W46" s="17">
        <v>0.87980000000000003</v>
      </c>
      <c r="X46" s="17">
        <v>4.5999999999999999E-2</v>
      </c>
      <c r="Y46" s="17">
        <v>4.5999999999999999E-2</v>
      </c>
      <c r="Z46" s="17">
        <v>0.56279999999999997</v>
      </c>
      <c r="AA46" s="17">
        <v>0.1847</v>
      </c>
      <c r="AB46" s="17">
        <v>0.36670000000000003</v>
      </c>
      <c r="AC46" s="17">
        <v>0.23860000000000001</v>
      </c>
      <c r="AD46" s="17">
        <v>0.25990000000000002</v>
      </c>
      <c r="AE46" s="17">
        <v>0.25340000000000001</v>
      </c>
      <c r="AF46" s="17">
        <v>4.5999999999999999E-2</v>
      </c>
      <c r="AG46" s="17">
        <v>4.5999999999999999E-2</v>
      </c>
      <c r="AH46" s="17">
        <v>4.5999999999999999E-2</v>
      </c>
      <c r="AI46" s="17">
        <v>4.5999999999999999E-2</v>
      </c>
      <c r="AJ46" s="17">
        <v>4.5999999999999999E-2</v>
      </c>
      <c r="AK46" s="17">
        <v>7.3200000000000001E-2</v>
      </c>
      <c r="AL46" s="17">
        <v>0.68269999999999997</v>
      </c>
      <c r="AM46" s="17">
        <v>1.4866999999999999</v>
      </c>
      <c r="AN46" s="17">
        <v>1.7547999999999999</v>
      </c>
      <c r="AO46" s="17">
        <v>0.1454</v>
      </c>
      <c r="AP46" s="17">
        <v>0.2021</v>
      </c>
      <c r="AQ46" s="17">
        <v>0.29859999999999998</v>
      </c>
      <c r="AR46" s="17">
        <v>0.32269999999999999</v>
      </c>
      <c r="AS46" s="17">
        <v>0.35720000000000002</v>
      </c>
      <c r="AT46" s="17">
        <v>0.2727</v>
      </c>
      <c r="AU46" s="17">
        <v>0.30630000000000002</v>
      </c>
      <c r="AV46" s="17">
        <v>0.32690000000000002</v>
      </c>
      <c r="AW46" s="17">
        <v>0.33090000000000003</v>
      </c>
      <c r="AX46" s="17">
        <v>0.27189999999999998</v>
      </c>
    </row>
    <row r="47" spans="1:50" x14ac:dyDescent="0.25">
      <c r="A47" s="16" t="s">
        <v>513</v>
      </c>
      <c r="B47" s="13" t="s">
        <v>464</v>
      </c>
      <c r="C47" s="17">
        <v>0.14230000000000001</v>
      </c>
      <c r="D47" s="17">
        <v>4.9000000000000002E-2</v>
      </c>
      <c r="E47" s="17">
        <v>4.9000000000000002E-2</v>
      </c>
      <c r="F47" s="17">
        <v>4.9000000000000002E-2</v>
      </c>
      <c r="G47" s="17">
        <v>4.9000000000000002E-2</v>
      </c>
      <c r="H47" s="17">
        <v>4.9000000000000002E-2</v>
      </c>
      <c r="I47" s="17">
        <v>4.9000000000000002E-2</v>
      </c>
      <c r="J47" s="17">
        <v>4.9000000000000002E-2</v>
      </c>
      <c r="K47" s="17">
        <v>4.9000000000000002E-2</v>
      </c>
      <c r="L47" s="17">
        <v>4.9000000000000002E-2</v>
      </c>
      <c r="M47" s="17">
        <v>4.9000000000000002E-2</v>
      </c>
      <c r="N47" s="17">
        <v>4.9000000000000002E-2</v>
      </c>
      <c r="O47" s="17">
        <v>4.9000000000000002E-2</v>
      </c>
      <c r="P47" s="17">
        <v>4.9000000000000002E-2</v>
      </c>
      <c r="Q47" s="17">
        <v>4.9000000000000002E-2</v>
      </c>
      <c r="R47" s="17">
        <v>4.9000000000000002E-2</v>
      </c>
      <c r="S47" s="17">
        <v>0.27710000000000001</v>
      </c>
      <c r="T47" s="17">
        <v>0.93320000000000003</v>
      </c>
      <c r="U47" s="17">
        <v>0.64749999999999996</v>
      </c>
      <c r="V47" s="17">
        <v>1.6374</v>
      </c>
      <c r="W47" s="17">
        <v>4.9000000000000002E-2</v>
      </c>
      <c r="X47" s="17">
        <v>4.9000000000000002E-2</v>
      </c>
      <c r="Y47" s="17">
        <v>4.9000000000000002E-2</v>
      </c>
      <c r="Z47" s="17">
        <v>4.9000000000000002E-2</v>
      </c>
      <c r="AA47" s="17">
        <v>4.9000000000000002E-2</v>
      </c>
      <c r="AB47" s="17">
        <v>5.4600000000000003E-2</v>
      </c>
      <c r="AC47" s="17">
        <v>4.9000000000000002E-2</v>
      </c>
      <c r="AD47" s="17">
        <v>4.9000000000000002E-2</v>
      </c>
      <c r="AE47" s="17">
        <v>0.30740000000000001</v>
      </c>
      <c r="AF47" s="17">
        <v>0.28420000000000001</v>
      </c>
      <c r="AG47" s="17">
        <v>1.5805</v>
      </c>
      <c r="AH47" s="17">
        <v>0.21010000000000001</v>
      </c>
      <c r="AI47" s="17">
        <v>1.2582</v>
      </c>
      <c r="AJ47" s="17">
        <v>0.8357</v>
      </c>
      <c r="AK47" s="17">
        <v>0.71899999999999997</v>
      </c>
      <c r="AL47" s="17">
        <v>1.6428</v>
      </c>
      <c r="AM47" s="17">
        <v>0.29270000000000002</v>
      </c>
      <c r="AN47" s="17">
        <v>6.0499999999999998E-2</v>
      </c>
      <c r="AO47" s="17">
        <v>6.8199999999999997E-2</v>
      </c>
      <c r="AP47" s="17">
        <v>0.1691</v>
      </c>
      <c r="AQ47" s="17">
        <v>0.19320000000000001</v>
      </c>
      <c r="AR47" s="17">
        <v>0.16900000000000001</v>
      </c>
      <c r="AS47" s="17">
        <v>0.28199999999999997</v>
      </c>
      <c r="AT47" s="17">
        <v>0.2293</v>
      </c>
      <c r="AU47" s="17">
        <v>4.9000000000000002E-2</v>
      </c>
      <c r="AV47" s="17">
        <v>4.9000000000000002E-2</v>
      </c>
      <c r="AW47" s="17">
        <v>4.9000000000000002E-2</v>
      </c>
      <c r="AX47" s="17">
        <v>4.9000000000000002E-2</v>
      </c>
    </row>
    <row r="48" spans="1:50" x14ac:dyDescent="0.25">
      <c r="A48" s="8" t="s">
        <v>90</v>
      </c>
      <c r="B48" s="10" t="s">
        <v>57</v>
      </c>
      <c r="C48" s="18">
        <v>0.24</v>
      </c>
      <c r="D48" s="18">
        <v>0.1051</v>
      </c>
      <c r="E48" s="18">
        <v>0.1162</v>
      </c>
      <c r="F48" s="18">
        <v>0.2351</v>
      </c>
      <c r="G48" s="18">
        <v>8.0600000000000005E-2</v>
      </c>
      <c r="H48" s="18">
        <v>0.20630000000000001</v>
      </c>
      <c r="I48" s="18">
        <v>9.2499999999999999E-2</v>
      </c>
      <c r="J48" s="18">
        <v>0.13830000000000001</v>
      </c>
      <c r="K48" s="18">
        <v>0.2137</v>
      </c>
      <c r="L48" s="18">
        <v>0.15570000000000001</v>
      </c>
      <c r="M48" s="18">
        <v>0.1575</v>
      </c>
      <c r="N48" s="18">
        <v>0.23139999999999999</v>
      </c>
      <c r="O48" s="18">
        <v>6.7500000000000004E-2</v>
      </c>
      <c r="P48" s="18">
        <v>0.44569999999999999</v>
      </c>
      <c r="Q48" s="18">
        <v>0.155</v>
      </c>
      <c r="R48" s="18">
        <v>0.2006</v>
      </c>
      <c r="S48" s="18">
        <v>0.11269999999999999</v>
      </c>
      <c r="T48" s="18">
        <v>0.12740000000000001</v>
      </c>
      <c r="U48" s="18">
        <v>0.22450000000000001</v>
      </c>
      <c r="V48" s="18">
        <v>0.1663</v>
      </c>
      <c r="W48" s="18">
        <v>0.26069999999999999</v>
      </c>
      <c r="X48" s="18">
        <v>0.14749999999999999</v>
      </c>
      <c r="Y48" s="18">
        <v>0.2412</v>
      </c>
      <c r="Z48" s="18">
        <v>0.17130000000000001</v>
      </c>
      <c r="AA48" s="18">
        <v>0.12740000000000001</v>
      </c>
      <c r="AB48" s="18">
        <v>0.31090000000000001</v>
      </c>
      <c r="AC48" s="18">
        <v>0.10059999999999999</v>
      </c>
      <c r="AD48" s="18">
        <v>0.48759999999999998</v>
      </c>
      <c r="AE48" s="18">
        <v>0.22109999999999999</v>
      </c>
      <c r="AF48" s="18">
        <v>0.19950000000000001</v>
      </c>
      <c r="AG48" s="18">
        <v>0.1241</v>
      </c>
      <c r="AH48" s="18">
        <v>0.26419999999999999</v>
      </c>
      <c r="AI48" s="18">
        <v>0.14810000000000001</v>
      </c>
      <c r="AJ48" s="18">
        <v>0.1764</v>
      </c>
      <c r="AK48" s="18">
        <v>0.1575</v>
      </c>
      <c r="AL48" s="18">
        <v>0.15029999999999999</v>
      </c>
      <c r="AM48" s="18">
        <v>0.24349999999999999</v>
      </c>
      <c r="AN48" s="18">
        <v>0.42509999999999998</v>
      </c>
      <c r="AO48" s="18">
        <v>0.26819999999999999</v>
      </c>
      <c r="AP48" s="18">
        <v>0.54239999999999999</v>
      </c>
      <c r="AQ48" s="18">
        <v>0.72819999999999996</v>
      </c>
      <c r="AR48" s="18">
        <v>0.70430000000000004</v>
      </c>
      <c r="AS48" s="18">
        <v>1.4914000000000001</v>
      </c>
      <c r="AT48" s="18">
        <v>0.42209999999999998</v>
      </c>
      <c r="AU48" s="18">
        <v>0.6774</v>
      </c>
      <c r="AV48" s="18">
        <v>0.53080000000000005</v>
      </c>
      <c r="AW48" s="18">
        <v>9.98E-2</v>
      </c>
      <c r="AX48" s="18">
        <v>0.29099999999999998</v>
      </c>
    </row>
    <row r="49" spans="1:50" x14ac:dyDescent="0.25">
      <c r="A49" s="16" t="s">
        <v>515</v>
      </c>
      <c r="B49" s="13" t="s">
        <v>464</v>
      </c>
      <c r="C49" s="17">
        <v>0.60409999999999997</v>
      </c>
      <c r="D49" s="17">
        <v>0.47770000000000001</v>
      </c>
      <c r="E49" s="17">
        <v>5.5E-2</v>
      </c>
      <c r="F49" s="17">
        <v>5.5E-2</v>
      </c>
      <c r="G49" s="17">
        <v>5.5E-2</v>
      </c>
      <c r="H49" s="17">
        <v>5.5E-2</v>
      </c>
      <c r="I49" s="17">
        <v>5.5E-2</v>
      </c>
      <c r="J49" s="17">
        <v>5.5E-2</v>
      </c>
      <c r="K49" s="17">
        <v>5.5E-2</v>
      </c>
      <c r="L49" s="17">
        <v>5.5E-2</v>
      </c>
      <c r="M49" s="17">
        <v>5.5E-2</v>
      </c>
      <c r="N49" s="17">
        <v>5.5E-2</v>
      </c>
      <c r="O49" s="17">
        <v>9.6699999999999994E-2</v>
      </c>
      <c r="P49" s="17">
        <v>0.40629999999999999</v>
      </c>
      <c r="Q49" s="17">
        <v>0.1012</v>
      </c>
      <c r="R49" s="17">
        <v>0.1653</v>
      </c>
      <c r="S49" s="17">
        <v>0.27729999999999999</v>
      </c>
      <c r="T49" s="17">
        <v>0.39350000000000002</v>
      </c>
      <c r="U49" s="17">
        <v>0.1885</v>
      </c>
      <c r="V49" s="17">
        <v>6.3899999999999998E-2</v>
      </c>
      <c r="W49" s="17">
        <v>5.5899999999999998E-2</v>
      </c>
      <c r="X49" s="17">
        <v>0.1099</v>
      </c>
      <c r="Y49" s="17">
        <v>0.1234</v>
      </c>
      <c r="Z49" s="17">
        <v>5.8000000000000003E-2</v>
      </c>
      <c r="AA49" s="17">
        <v>0.16650000000000001</v>
      </c>
      <c r="AB49" s="17">
        <v>9.5600000000000004E-2</v>
      </c>
      <c r="AC49" s="17">
        <v>0.13100000000000001</v>
      </c>
      <c r="AD49" s="17">
        <v>0.2195</v>
      </c>
      <c r="AE49" s="17">
        <v>0.26600000000000001</v>
      </c>
      <c r="AF49" s="17">
        <v>0.4829</v>
      </c>
      <c r="AG49" s="17">
        <v>0.32419999999999999</v>
      </c>
      <c r="AH49" s="17">
        <v>5.5E-2</v>
      </c>
      <c r="AI49" s="17">
        <v>5.5E-2</v>
      </c>
      <c r="AJ49" s="17">
        <v>5.5E-2</v>
      </c>
      <c r="AK49" s="17">
        <v>5.5E-2</v>
      </c>
      <c r="AL49" s="17">
        <v>5.5E-2</v>
      </c>
      <c r="AM49" s="17">
        <v>5.5E-2</v>
      </c>
      <c r="AN49" s="17">
        <v>5.5E-2</v>
      </c>
      <c r="AO49" s="17">
        <v>5.5E-2</v>
      </c>
      <c r="AP49" s="17">
        <v>5.5E-2</v>
      </c>
      <c r="AQ49" s="17">
        <v>5.5E-2</v>
      </c>
      <c r="AR49" s="17">
        <v>5.5E-2</v>
      </c>
      <c r="AS49" s="17">
        <v>5.5E-2</v>
      </c>
      <c r="AT49" s="17">
        <v>0.1323</v>
      </c>
      <c r="AU49" s="17">
        <v>0.3962</v>
      </c>
      <c r="AV49" s="17">
        <v>0.57609999999999995</v>
      </c>
      <c r="AW49" s="17">
        <v>0.74490000000000001</v>
      </c>
      <c r="AX49" s="17">
        <v>1.0218</v>
      </c>
    </row>
    <row r="50" spans="1:50" x14ac:dyDescent="0.25">
      <c r="A50" s="16" t="s">
        <v>517</v>
      </c>
      <c r="B50" s="13" t="s">
        <v>464</v>
      </c>
      <c r="C50" s="17">
        <v>0.1144</v>
      </c>
      <c r="D50" s="17">
        <v>5.2999999999999999E-2</v>
      </c>
      <c r="E50" s="17">
        <v>0.15529999999999999</v>
      </c>
      <c r="F50" s="17">
        <v>0.1007</v>
      </c>
      <c r="G50" s="17">
        <v>7.3499999999999996E-2</v>
      </c>
      <c r="H50" s="17">
        <v>0.18260000000000001</v>
      </c>
      <c r="I50" s="17">
        <v>5.2999999999999999E-2</v>
      </c>
      <c r="J50" s="17">
        <v>0.18260000000000001</v>
      </c>
      <c r="K50" s="17">
        <v>7.3499999999999996E-2</v>
      </c>
      <c r="L50" s="17">
        <v>5.2999999999999999E-2</v>
      </c>
      <c r="M50" s="17">
        <v>0.19620000000000001</v>
      </c>
      <c r="N50" s="17">
        <v>5.9799999999999999E-2</v>
      </c>
      <c r="O50" s="17">
        <v>0.14169999999999999</v>
      </c>
      <c r="P50" s="17">
        <v>0.1144</v>
      </c>
      <c r="Q50" s="17">
        <v>5.4100000000000002E-2</v>
      </c>
      <c r="R50" s="17">
        <v>0.38650000000000001</v>
      </c>
      <c r="S50" s="17">
        <v>1.5645</v>
      </c>
      <c r="T50" s="17">
        <v>1.6284000000000001</v>
      </c>
      <c r="U50" s="17">
        <v>0.95450000000000002</v>
      </c>
      <c r="V50" s="17">
        <v>0.48599999999999999</v>
      </c>
      <c r="W50" s="17">
        <v>0.98450000000000004</v>
      </c>
      <c r="X50" s="17">
        <v>0.92769999999999997</v>
      </c>
      <c r="Y50" s="17">
        <v>0.34689999999999999</v>
      </c>
      <c r="Z50" s="17">
        <v>0.31840000000000002</v>
      </c>
      <c r="AA50" s="17">
        <v>1.5284</v>
      </c>
      <c r="AB50" s="17">
        <v>0.86839999999999995</v>
      </c>
      <c r="AC50" s="17">
        <v>0.98960000000000004</v>
      </c>
      <c r="AD50" s="17">
        <v>0.73060000000000003</v>
      </c>
      <c r="AE50" s="17">
        <v>0.13950000000000001</v>
      </c>
      <c r="AF50" s="17">
        <v>0.13950000000000001</v>
      </c>
      <c r="AG50" s="17">
        <v>0.23649999999999999</v>
      </c>
      <c r="AH50" s="17">
        <v>0.29980000000000001</v>
      </c>
      <c r="AI50" s="17">
        <v>0.45250000000000001</v>
      </c>
      <c r="AJ50" s="17">
        <v>0.56630000000000003</v>
      </c>
      <c r="AK50" s="17">
        <v>1.9813000000000001</v>
      </c>
      <c r="AL50" s="17">
        <v>0.62360000000000004</v>
      </c>
      <c r="AM50" s="17">
        <v>0.26269999999999999</v>
      </c>
      <c r="AN50" s="17">
        <v>1.6272</v>
      </c>
      <c r="AO50" s="17">
        <v>0.43330000000000002</v>
      </c>
      <c r="AP50" s="17">
        <v>0.53749999999999998</v>
      </c>
      <c r="AQ50" s="17">
        <v>0.47899999999999998</v>
      </c>
      <c r="AR50" s="17">
        <v>0.69159999999999999</v>
      </c>
      <c r="AS50" s="17">
        <v>0.48930000000000001</v>
      </c>
      <c r="AT50" s="17">
        <v>0.54139999999999999</v>
      </c>
      <c r="AU50" s="17">
        <v>0.35089999999999999</v>
      </c>
      <c r="AV50" s="17">
        <v>0.62929999999999997</v>
      </c>
      <c r="AW50" s="17">
        <v>0.43890000000000001</v>
      </c>
      <c r="AX50" s="17">
        <v>5.2999999999999999E-2</v>
      </c>
    </row>
    <row r="51" spans="1:50" x14ac:dyDescent="0.25">
      <c r="A51" s="16" t="s">
        <v>519</v>
      </c>
      <c r="B51" s="13" t="s">
        <v>464</v>
      </c>
      <c r="C51" s="17">
        <v>8.4500000000000006E-2</v>
      </c>
      <c r="D51" s="17">
        <v>0.19819999999999999</v>
      </c>
      <c r="E51" s="17">
        <v>0.12870000000000001</v>
      </c>
      <c r="F51" s="17">
        <v>6.1600000000000002E-2</v>
      </c>
      <c r="G51" s="17">
        <v>7.1199999999999999E-2</v>
      </c>
      <c r="H51" s="17">
        <v>0.1191</v>
      </c>
      <c r="I51" s="17">
        <v>8.0799999999999997E-2</v>
      </c>
      <c r="J51" s="17">
        <v>1.1052999999999999</v>
      </c>
      <c r="K51" s="17">
        <v>5.1999999999999998E-2</v>
      </c>
      <c r="L51" s="17">
        <v>0.27629999999999999</v>
      </c>
      <c r="M51" s="17">
        <v>9.2600000000000002E-2</v>
      </c>
      <c r="N51" s="17">
        <v>0.14610000000000001</v>
      </c>
      <c r="O51" s="17">
        <v>0.2228</v>
      </c>
      <c r="P51" s="17">
        <v>7.5999999999999998E-2</v>
      </c>
      <c r="Q51" s="17">
        <v>0.29289999999999999</v>
      </c>
      <c r="R51" s="17">
        <v>6.1600000000000002E-2</v>
      </c>
      <c r="S51" s="17">
        <v>0.56779999999999997</v>
      </c>
      <c r="T51" s="17">
        <v>0.2903</v>
      </c>
      <c r="U51" s="17">
        <v>0.1734</v>
      </c>
      <c r="V51" s="17">
        <v>0.18740000000000001</v>
      </c>
      <c r="W51" s="17">
        <v>0.19109999999999999</v>
      </c>
      <c r="X51" s="17">
        <v>0.1047</v>
      </c>
      <c r="Y51" s="17">
        <v>0.21110000000000001</v>
      </c>
      <c r="Z51" s="17">
        <v>0.1578</v>
      </c>
      <c r="AA51" s="17">
        <v>0.1928</v>
      </c>
      <c r="AB51" s="17">
        <v>0.43330000000000002</v>
      </c>
      <c r="AC51" s="17">
        <v>0.36</v>
      </c>
      <c r="AD51" s="17">
        <v>0.70569999999999999</v>
      </c>
      <c r="AE51" s="17">
        <v>0.73080000000000001</v>
      </c>
      <c r="AF51" s="17">
        <v>0.83899999999999997</v>
      </c>
      <c r="AG51" s="17">
        <v>0.80500000000000005</v>
      </c>
      <c r="AH51" s="17">
        <v>0.14960000000000001</v>
      </c>
      <c r="AI51" s="17">
        <v>0.13830000000000001</v>
      </c>
      <c r="AJ51" s="17">
        <v>0.2306</v>
      </c>
      <c r="AK51" s="17">
        <v>0.20960000000000001</v>
      </c>
      <c r="AL51" s="17">
        <v>0.37169999999999997</v>
      </c>
      <c r="AM51" s="17">
        <v>9.0899999999999995E-2</v>
      </c>
      <c r="AN51" s="17">
        <v>6.3399999999999998E-2</v>
      </c>
      <c r="AO51" s="17">
        <v>0.34849999999999998</v>
      </c>
      <c r="AP51" s="17">
        <v>0.41789999999999999</v>
      </c>
      <c r="AQ51" s="17">
        <v>0.2974</v>
      </c>
      <c r="AR51" s="17">
        <v>0.26819999999999999</v>
      </c>
      <c r="AS51" s="17">
        <v>5.1999999999999998E-2</v>
      </c>
      <c r="AT51" s="17">
        <v>0.35360000000000003</v>
      </c>
      <c r="AU51" s="17">
        <v>1.0552999999999999</v>
      </c>
      <c r="AV51" s="17">
        <v>0.68359999999999999</v>
      </c>
      <c r="AW51" s="17">
        <v>0.17380000000000001</v>
      </c>
      <c r="AX51" s="17">
        <v>0.27279999999999999</v>
      </c>
    </row>
    <row r="52" spans="1:50" x14ac:dyDescent="0.25">
      <c r="A52" s="8" t="s">
        <v>92</v>
      </c>
      <c r="B52" s="10" t="s">
        <v>57</v>
      </c>
      <c r="C52" s="18">
        <v>0.2913</v>
      </c>
      <c r="D52" s="18">
        <v>0.16389999999999999</v>
      </c>
      <c r="E52" s="18">
        <v>0.10539999999999999</v>
      </c>
      <c r="F52" s="18">
        <v>0.2354</v>
      </c>
      <c r="G52" s="18">
        <v>5.0700000000000002E-2</v>
      </c>
      <c r="H52" s="18">
        <v>0.15559999999999999</v>
      </c>
      <c r="I52" s="18">
        <v>0.17849999999999999</v>
      </c>
      <c r="J52" s="18">
        <v>0.16339999999999999</v>
      </c>
      <c r="K52" s="18">
        <v>5.6300000000000003E-2</v>
      </c>
      <c r="L52" s="18">
        <v>0.21310000000000001</v>
      </c>
      <c r="M52" s="18">
        <v>0.12770000000000001</v>
      </c>
      <c r="N52" s="18">
        <v>7.8600000000000003E-2</v>
      </c>
      <c r="O52" s="18">
        <v>0.26889999999999997</v>
      </c>
      <c r="P52" s="18">
        <v>4.3999999999999997E-2</v>
      </c>
      <c r="Q52" s="18">
        <v>1.2126999999999999</v>
      </c>
      <c r="R52" s="18">
        <v>0.192</v>
      </c>
      <c r="S52" s="18">
        <v>0.11799999999999999</v>
      </c>
      <c r="T52" s="18">
        <v>0.34539999999999998</v>
      </c>
      <c r="U52" s="18">
        <v>0.11650000000000001</v>
      </c>
      <c r="V52" s="18">
        <v>0.128</v>
      </c>
      <c r="W52" s="18">
        <v>0.4899</v>
      </c>
      <c r="X52" s="18">
        <v>0.72119999999999995</v>
      </c>
      <c r="Y52" s="18">
        <v>0.1447</v>
      </c>
      <c r="Z52" s="18">
        <v>0.20280000000000001</v>
      </c>
      <c r="AA52" s="18">
        <v>4.3999999999999997E-2</v>
      </c>
      <c r="AB52" s="18">
        <v>0.11799999999999999</v>
      </c>
      <c r="AC52" s="18">
        <v>0.11799999999999999</v>
      </c>
      <c r="AD52" s="18">
        <v>0.45129999999999998</v>
      </c>
      <c r="AE52" s="18">
        <v>0.37019999999999997</v>
      </c>
      <c r="AF52" s="18">
        <v>0.18970000000000001</v>
      </c>
      <c r="AG52" s="18">
        <v>0.1221</v>
      </c>
      <c r="AH52" s="18">
        <v>0.22539999999999999</v>
      </c>
      <c r="AI52" s="18">
        <v>4.3999999999999997E-2</v>
      </c>
      <c r="AJ52" s="18">
        <v>7.7499999999999999E-2</v>
      </c>
      <c r="AK52" s="18">
        <v>0.1221</v>
      </c>
      <c r="AL52" s="18">
        <v>0.13139999999999999</v>
      </c>
      <c r="AM52" s="18">
        <v>0.67779999999999996</v>
      </c>
      <c r="AN52" s="18">
        <v>5.2600000000000001E-2</v>
      </c>
      <c r="AO52" s="18">
        <v>0.33410000000000001</v>
      </c>
      <c r="AP52" s="18">
        <v>0.25890000000000002</v>
      </c>
      <c r="AQ52" s="18">
        <v>0.51380000000000003</v>
      </c>
      <c r="AR52" s="18">
        <v>0.4047</v>
      </c>
      <c r="AS52" s="18">
        <v>0.40279999999999999</v>
      </c>
      <c r="AT52" s="18">
        <v>0.67049999999999998</v>
      </c>
      <c r="AU52" s="18">
        <v>4.3999999999999997E-2</v>
      </c>
      <c r="AV52" s="18">
        <v>4.3999999999999997E-2</v>
      </c>
      <c r="AW52" s="18">
        <v>0.19189999999999999</v>
      </c>
      <c r="AX52" s="18">
        <v>0.15559999999999999</v>
      </c>
    </row>
    <row r="53" spans="1:50" x14ac:dyDescent="0.25">
      <c r="A53" s="16" t="s">
        <v>521</v>
      </c>
      <c r="B53" s="13" t="s">
        <v>464</v>
      </c>
      <c r="C53" s="17">
        <v>2.0270999999999999</v>
      </c>
      <c r="D53" s="17">
        <v>1.2574000000000001</v>
      </c>
      <c r="E53" s="17">
        <v>0.61040000000000005</v>
      </c>
      <c r="F53" s="17">
        <v>0.06</v>
      </c>
      <c r="G53" s="17">
        <v>0.13</v>
      </c>
      <c r="H53" s="17">
        <v>0.06</v>
      </c>
      <c r="I53" s="17">
        <v>0.13</v>
      </c>
      <c r="J53" s="17">
        <v>0.06</v>
      </c>
      <c r="K53" s="17">
        <v>0.06</v>
      </c>
      <c r="L53" s="17">
        <v>0.13</v>
      </c>
      <c r="M53" s="17">
        <v>0.06</v>
      </c>
      <c r="N53" s="17">
        <v>9.5000000000000001E-2</v>
      </c>
      <c r="O53" s="17">
        <v>9.5000000000000001E-2</v>
      </c>
      <c r="P53" s="17">
        <v>9.8900000000000002E-2</v>
      </c>
      <c r="Q53" s="17">
        <v>9.11E-2</v>
      </c>
      <c r="R53" s="17">
        <v>0.06</v>
      </c>
      <c r="S53" s="17">
        <v>9.5000000000000001E-2</v>
      </c>
      <c r="T53" s="17">
        <v>9.5000000000000001E-2</v>
      </c>
      <c r="U53" s="17">
        <v>0.1183</v>
      </c>
      <c r="V53" s="17">
        <v>7.17E-2</v>
      </c>
      <c r="W53" s="17">
        <v>7.9399999999999998E-2</v>
      </c>
      <c r="X53" s="17">
        <v>0.1105</v>
      </c>
      <c r="Y53" s="17">
        <v>8.72E-2</v>
      </c>
      <c r="Z53" s="17">
        <v>0.1028</v>
      </c>
      <c r="AA53" s="17">
        <v>0.06</v>
      </c>
      <c r="AB53" s="17">
        <v>0.06</v>
      </c>
      <c r="AC53" s="17">
        <v>0.13</v>
      </c>
      <c r="AD53" s="17">
        <v>0.06</v>
      </c>
      <c r="AE53" s="17">
        <v>0.06</v>
      </c>
      <c r="AF53" s="17">
        <v>0.06</v>
      </c>
      <c r="AG53" s="17">
        <v>0.26669999999999999</v>
      </c>
      <c r="AH53" s="17">
        <v>0.64459999999999995</v>
      </c>
      <c r="AI53" s="17">
        <v>2.0459000000000001</v>
      </c>
      <c r="AJ53" s="17">
        <v>0.77049999999999996</v>
      </c>
      <c r="AK53" s="17">
        <v>8.5300000000000001E-2</v>
      </c>
      <c r="AL53" s="17">
        <v>0.27529999999999999</v>
      </c>
      <c r="AM53" s="17">
        <v>0.41760000000000003</v>
      </c>
      <c r="AN53" s="17">
        <v>0.50429999999999997</v>
      </c>
      <c r="AO53" s="17">
        <v>1.3708</v>
      </c>
      <c r="AP53" s="17">
        <v>1.3785000000000001</v>
      </c>
      <c r="AQ53" s="17">
        <v>1.6999</v>
      </c>
      <c r="AR53" s="17">
        <v>1.2519</v>
      </c>
      <c r="AS53" s="17">
        <v>1.1477999999999999</v>
      </c>
      <c r="AT53" s="17">
        <v>0.57310000000000005</v>
      </c>
      <c r="AU53" s="17">
        <v>0.99150000000000005</v>
      </c>
      <c r="AV53" s="17">
        <v>9.5000000000000001E-2</v>
      </c>
      <c r="AW53" s="17">
        <v>0.06</v>
      </c>
      <c r="AX53" s="17">
        <v>0.13</v>
      </c>
    </row>
    <row r="54" spans="1:50" x14ac:dyDescent="0.25">
      <c r="A54" s="8" t="s">
        <v>94</v>
      </c>
      <c r="B54" s="10" t="s">
        <v>57</v>
      </c>
      <c r="C54" s="18">
        <v>4.8000000000000001E-2</v>
      </c>
      <c r="D54" s="18">
        <v>9.2399999999999996E-2</v>
      </c>
      <c r="E54" s="18">
        <v>0.13039999999999999</v>
      </c>
      <c r="F54" s="18">
        <v>4.8000000000000001E-2</v>
      </c>
      <c r="G54" s="18">
        <v>0.17469999999999999</v>
      </c>
      <c r="H54" s="18">
        <v>4.8000000000000001E-2</v>
      </c>
      <c r="I54" s="18">
        <v>0.13669999999999999</v>
      </c>
      <c r="J54" s="18">
        <v>8.5999999999999993E-2</v>
      </c>
      <c r="K54" s="18">
        <v>0.13669999999999999</v>
      </c>
      <c r="L54" s="18">
        <v>8.5999999999999993E-2</v>
      </c>
      <c r="M54" s="18">
        <v>4.8000000000000001E-2</v>
      </c>
      <c r="N54" s="18">
        <v>4.8000000000000001E-2</v>
      </c>
      <c r="O54" s="18">
        <v>6.7000000000000004E-2</v>
      </c>
      <c r="P54" s="18">
        <v>0.15570000000000001</v>
      </c>
      <c r="Q54" s="18">
        <v>0.96760000000000002</v>
      </c>
      <c r="R54" s="18">
        <v>0.17469999999999999</v>
      </c>
      <c r="S54" s="18">
        <v>4.8000000000000001E-2</v>
      </c>
      <c r="T54" s="18">
        <v>0.20050000000000001</v>
      </c>
      <c r="U54" s="18">
        <v>4.8000000000000001E-2</v>
      </c>
      <c r="V54" s="18">
        <v>9.0999999999999998E-2</v>
      </c>
      <c r="W54" s="18">
        <v>0.27700000000000002</v>
      </c>
      <c r="X54" s="18">
        <v>0.15570000000000001</v>
      </c>
      <c r="Y54" s="18">
        <v>4.8000000000000001E-2</v>
      </c>
      <c r="Z54" s="18">
        <v>0.17469999999999999</v>
      </c>
      <c r="AA54" s="18">
        <v>0.60580000000000001</v>
      </c>
      <c r="AB54" s="18">
        <v>0.2467</v>
      </c>
      <c r="AC54" s="18">
        <v>0.4461</v>
      </c>
      <c r="AD54" s="18">
        <v>0.23300000000000001</v>
      </c>
      <c r="AE54" s="18">
        <v>0.57240000000000002</v>
      </c>
      <c r="AF54" s="18">
        <v>0.3604</v>
      </c>
      <c r="AG54" s="18">
        <v>4.8000000000000001E-2</v>
      </c>
      <c r="AH54" s="18">
        <v>0.17469999999999999</v>
      </c>
      <c r="AI54" s="18">
        <v>4.8000000000000001E-2</v>
      </c>
      <c r="AJ54" s="18">
        <v>4.8000000000000001E-2</v>
      </c>
      <c r="AK54" s="18">
        <v>0.30370000000000003</v>
      </c>
      <c r="AL54" s="18">
        <v>0.27360000000000001</v>
      </c>
      <c r="AM54" s="18">
        <v>0.2772</v>
      </c>
      <c r="AN54" s="18">
        <v>0.16209999999999999</v>
      </c>
      <c r="AO54" s="18">
        <v>6.0699999999999997E-2</v>
      </c>
      <c r="AP54" s="18">
        <v>0.13789999999999999</v>
      </c>
      <c r="AQ54" s="18">
        <v>0.31990000000000002</v>
      </c>
      <c r="AR54" s="18">
        <v>0.31030000000000002</v>
      </c>
      <c r="AS54" s="18">
        <v>0.22770000000000001</v>
      </c>
      <c r="AT54" s="18">
        <v>0.38069999999999998</v>
      </c>
      <c r="AU54" s="18">
        <v>0.37540000000000001</v>
      </c>
      <c r="AV54" s="18">
        <v>0.41420000000000001</v>
      </c>
      <c r="AW54" s="18">
        <v>4.8000000000000001E-2</v>
      </c>
      <c r="AX54" s="18">
        <v>4.8000000000000001E-2</v>
      </c>
    </row>
    <row r="55" spans="1:50" x14ac:dyDescent="0.25">
      <c r="A55" s="16" t="s">
        <v>523</v>
      </c>
      <c r="B55" s="13" t="s">
        <v>464</v>
      </c>
      <c r="C55" s="17">
        <v>0.34710000000000002</v>
      </c>
      <c r="D55" s="17">
        <v>0.27329999999999999</v>
      </c>
      <c r="E55" s="17">
        <v>4.3999999999999997E-2</v>
      </c>
      <c r="F55" s="17">
        <v>4.3999999999999997E-2</v>
      </c>
      <c r="G55" s="17">
        <v>4.3999999999999997E-2</v>
      </c>
      <c r="H55" s="17">
        <v>4.3999999999999997E-2</v>
      </c>
      <c r="I55" s="17">
        <v>4.3999999999999997E-2</v>
      </c>
      <c r="J55" s="17">
        <v>4.3999999999999997E-2</v>
      </c>
      <c r="K55" s="17">
        <v>4.3999999999999997E-2</v>
      </c>
      <c r="L55" s="17">
        <v>4.3999999999999997E-2</v>
      </c>
      <c r="M55" s="17">
        <v>4.3999999999999997E-2</v>
      </c>
      <c r="N55" s="17">
        <v>4.3999999999999997E-2</v>
      </c>
      <c r="O55" s="17">
        <v>4.3999999999999997E-2</v>
      </c>
      <c r="P55" s="17">
        <v>4.3999999999999997E-2</v>
      </c>
      <c r="Q55" s="17">
        <v>4.3999999999999997E-2</v>
      </c>
      <c r="R55" s="17">
        <v>4.3999999999999997E-2</v>
      </c>
      <c r="S55" s="17">
        <v>4.3999999999999997E-2</v>
      </c>
      <c r="T55" s="17">
        <v>4.3999999999999997E-2</v>
      </c>
      <c r="U55" s="17">
        <v>4.3999999999999997E-2</v>
      </c>
      <c r="V55" s="17">
        <v>4.3999999999999997E-2</v>
      </c>
      <c r="W55" s="17">
        <v>4.3999999999999997E-2</v>
      </c>
      <c r="X55" s="17">
        <v>4.3999999999999997E-2</v>
      </c>
      <c r="Y55" s="17">
        <v>4.3999999999999997E-2</v>
      </c>
      <c r="Z55" s="17">
        <v>4.3999999999999997E-2</v>
      </c>
      <c r="AA55" s="17">
        <v>4.3999999999999997E-2</v>
      </c>
      <c r="AB55" s="17">
        <v>0.26629999999999998</v>
      </c>
      <c r="AC55" s="17">
        <v>4.3999999999999997E-2</v>
      </c>
      <c r="AD55" s="17">
        <v>9.3100000000000002E-2</v>
      </c>
      <c r="AE55" s="17">
        <v>0.3009</v>
      </c>
      <c r="AF55" s="17">
        <v>4.3999999999999997E-2</v>
      </c>
      <c r="AG55" s="17">
        <v>4.3999999999999997E-2</v>
      </c>
      <c r="AH55" s="17">
        <v>4.3999999999999997E-2</v>
      </c>
      <c r="AI55" s="17">
        <v>4.3999999999999997E-2</v>
      </c>
      <c r="AJ55" s="17">
        <v>4.3999999999999997E-2</v>
      </c>
      <c r="AK55" s="17">
        <v>4.3999999999999997E-2</v>
      </c>
      <c r="AL55" s="17">
        <v>4.3999999999999997E-2</v>
      </c>
      <c r="AM55" s="17">
        <v>4.3999999999999997E-2</v>
      </c>
      <c r="AN55" s="17">
        <v>4.3999999999999997E-2</v>
      </c>
      <c r="AO55" s="17">
        <v>4.3999999999999997E-2</v>
      </c>
      <c r="AP55" s="17">
        <v>6.1499999999999999E-2</v>
      </c>
      <c r="AQ55" s="17">
        <v>0.23069999999999999</v>
      </c>
      <c r="AR55" s="17">
        <v>0.23599999999999999</v>
      </c>
      <c r="AS55" s="17">
        <v>0.18179999999999999</v>
      </c>
      <c r="AT55" s="17">
        <v>0.46739999999999998</v>
      </c>
      <c r="AU55" s="17">
        <v>0.35959999999999998</v>
      </c>
      <c r="AV55" s="17">
        <v>0.3306</v>
      </c>
      <c r="AW55" s="17">
        <v>0.26900000000000002</v>
      </c>
      <c r="AX55" s="17">
        <v>0.58630000000000004</v>
      </c>
    </row>
    <row r="56" spans="1:50" x14ac:dyDescent="0.25">
      <c r="A56" s="16" t="s">
        <v>525</v>
      </c>
      <c r="B56" s="13" t="s">
        <v>464</v>
      </c>
      <c r="C56" s="17">
        <v>0.51019999999999999</v>
      </c>
      <c r="D56" s="17">
        <v>5.6000000000000001E-2</v>
      </c>
      <c r="E56" s="17">
        <v>5.6000000000000001E-2</v>
      </c>
      <c r="F56" s="17">
        <v>5.6000000000000001E-2</v>
      </c>
      <c r="G56" s="17">
        <v>5.6000000000000001E-2</v>
      </c>
      <c r="H56" s="17">
        <v>5.6000000000000001E-2</v>
      </c>
      <c r="I56" s="17">
        <v>5.6000000000000001E-2</v>
      </c>
      <c r="J56" s="17">
        <v>5.6000000000000001E-2</v>
      </c>
      <c r="K56" s="17">
        <v>5.6000000000000001E-2</v>
      </c>
      <c r="L56" s="17">
        <v>5.6000000000000001E-2</v>
      </c>
      <c r="M56" s="17">
        <v>5.6000000000000001E-2</v>
      </c>
      <c r="N56" s="17">
        <v>5.6000000000000001E-2</v>
      </c>
      <c r="O56" s="17">
        <v>7.9899999999999999E-2</v>
      </c>
      <c r="P56" s="17">
        <v>6.4299999999999996E-2</v>
      </c>
      <c r="Q56" s="17">
        <v>5.6000000000000001E-2</v>
      </c>
      <c r="R56" s="17">
        <v>5.6000000000000001E-2</v>
      </c>
      <c r="S56" s="17">
        <v>5.6000000000000001E-2</v>
      </c>
      <c r="T56" s="17">
        <v>6.8599999999999994E-2</v>
      </c>
      <c r="U56" s="17">
        <v>0.13120000000000001</v>
      </c>
      <c r="V56" s="17">
        <v>0.123</v>
      </c>
      <c r="W56" s="17">
        <v>5.6000000000000001E-2</v>
      </c>
      <c r="X56" s="17">
        <v>0.12959999999999999</v>
      </c>
      <c r="Y56" s="17">
        <v>1.0819000000000001</v>
      </c>
      <c r="Z56" s="17">
        <v>6.4600000000000005E-2</v>
      </c>
      <c r="AA56" s="17">
        <v>0.16550000000000001</v>
      </c>
      <c r="AB56" s="17">
        <v>6.5699999999999995E-2</v>
      </c>
      <c r="AC56" s="17">
        <v>6.2100000000000002E-2</v>
      </c>
      <c r="AD56" s="17">
        <v>7.5999999999999998E-2</v>
      </c>
      <c r="AE56" s="17">
        <v>5.6000000000000001E-2</v>
      </c>
      <c r="AF56" s="17">
        <v>5.6000000000000001E-2</v>
      </c>
      <c r="AG56" s="17">
        <v>0.25309999999999999</v>
      </c>
      <c r="AH56" s="17">
        <v>0.11219999999999999</v>
      </c>
      <c r="AI56" s="17">
        <v>0.2102</v>
      </c>
      <c r="AJ56" s="17">
        <v>0.29949999999999999</v>
      </c>
      <c r="AK56" s="17">
        <v>7.1400000000000005E-2</v>
      </c>
      <c r="AL56" s="17">
        <v>0.1981</v>
      </c>
      <c r="AM56" s="17">
        <v>0.25990000000000002</v>
      </c>
      <c r="AN56" s="17">
        <v>0.66990000000000005</v>
      </c>
      <c r="AO56" s="17">
        <v>0.97209999999999996</v>
      </c>
      <c r="AP56" s="17">
        <v>0.3589</v>
      </c>
      <c r="AQ56" s="17">
        <v>0.44340000000000002</v>
      </c>
      <c r="AR56" s="17">
        <v>0.71240000000000003</v>
      </c>
      <c r="AS56" s="17">
        <v>0.49940000000000001</v>
      </c>
      <c r="AT56" s="17">
        <v>2.2345999999999999</v>
      </c>
      <c r="AU56" s="17">
        <v>0.5222</v>
      </c>
      <c r="AV56" s="17">
        <v>0.52569999999999995</v>
      </c>
      <c r="AW56" s="17">
        <v>0.43419999999999997</v>
      </c>
      <c r="AX56" s="17">
        <v>0.3977</v>
      </c>
    </row>
    <row r="57" spans="1:50" x14ac:dyDescent="0.25">
      <c r="A57" s="8" t="s">
        <v>96</v>
      </c>
      <c r="B57" s="10" t="s">
        <v>57</v>
      </c>
      <c r="C57" s="18">
        <v>0.16009999999999999</v>
      </c>
      <c r="D57" s="18">
        <v>5.0999999999999997E-2</v>
      </c>
      <c r="E57" s="18">
        <v>5.0999999999999997E-2</v>
      </c>
      <c r="F57" s="18">
        <v>0.1409</v>
      </c>
      <c r="G57" s="18">
        <v>0.1024</v>
      </c>
      <c r="H57" s="18">
        <v>8.9399999999999993E-2</v>
      </c>
      <c r="I57" s="18">
        <v>0.15310000000000001</v>
      </c>
      <c r="J57" s="18">
        <v>0.13450000000000001</v>
      </c>
      <c r="K57" s="18">
        <v>5.0999999999999997E-2</v>
      </c>
      <c r="L57" s="18">
        <v>0.1024</v>
      </c>
      <c r="M57" s="18">
        <v>0.1409</v>
      </c>
      <c r="N57" s="18">
        <v>5.0999999999999997E-2</v>
      </c>
      <c r="O57" s="18">
        <v>0.10879999999999999</v>
      </c>
      <c r="P57" s="18">
        <v>0.13450000000000001</v>
      </c>
      <c r="Q57" s="18">
        <v>5.74E-2</v>
      </c>
      <c r="R57" s="18">
        <v>0.18579999999999999</v>
      </c>
      <c r="S57" s="18">
        <v>1.3861000000000001</v>
      </c>
      <c r="T57" s="18">
        <v>1.1272</v>
      </c>
      <c r="U57" s="18">
        <v>0.82720000000000005</v>
      </c>
      <c r="V57" s="18">
        <v>0.1024</v>
      </c>
      <c r="W57" s="18">
        <v>1.0378000000000001</v>
      </c>
      <c r="X57" s="18">
        <v>0.4506</v>
      </c>
      <c r="Y57" s="18">
        <v>1.5144</v>
      </c>
      <c r="Z57" s="18">
        <v>1.3071999999999999</v>
      </c>
      <c r="AA57" s="18">
        <v>0.76980000000000004</v>
      </c>
      <c r="AB57" s="18">
        <v>0.27050000000000002</v>
      </c>
      <c r="AC57" s="18">
        <v>0.23619999999999999</v>
      </c>
      <c r="AD57" s="18">
        <v>0.19220000000000001</v>
      </c>
      <c r="AE57" s="18">
        <v>5.0999999999999997E-2</v>
      </c>
      <c r="AF57" s="18">
        <v>0.1152</v>
      </c>
      <c r="AG57" s="18">
        <v>0.128</v>
      </c>
      <c r="AH57" s="18">
        <v>5.0999999999999997E-2</v>
      </c>
      <c r="AI57" s="18">
        <v>0.39860000000000001</v>
      </c>
      <c r="AJ57" s="18">
        <v>0.22090000000000001</v>
      </c>
      <c r="AK57" s="18">
        <v>0.17299999999999999</v>
      </c>
      <c r="AL57" s="18">
        <v>1.2587999999999999</v>
      </c>
      <c r="AM57" s="18">
        <v>5.0999999999999997E-2</v>
      </c>
      <c r="AN57" s="18">
        <v>5.0999999999999997E-2</v>
      </c>
      <c r="AO57" s="18">
        <v>0.16009999999999999</v>
      </c>
      <c r="AP57" s="18">
        <v>8.3099999999999993E-2</v>
      </c>
      <c r="AQ57" s="18">
        <v>0.1216</v>
      </c>
      <c r="AR57" s="18">
        <v>0.1216</v>
      </c>
      <c r="AS57" s="18">
        <v>0.32550000000000001</v>
      </c>
      <c r="AT57" s="18">
        <v>0.3417</v>
      </c>
      <c r="AU57" s="18">
        <v>0.55479999999999996</v>
      </c>
      <c r="AV57" s="18">
        <v>0.6603</v>
      </c>
      <c r="AW57" s="18">
        <v>0.53080000000000005</v>
      </c>
      <c r="AX57" s="18">
        <v>0.43109999999999998</v>
      </c>
    </row>
    <row r="58" spans="1:50" x14ac:dyDescent="0.25">
      <c r="A58" s="16" t="s">
        <v>527</v>
      </c>
      <c r="B58" s="13" t="s">
        <v>464</v>
      </c>
      <c r="C58" s="17">
        <v>0.15279999999999999</v>
      </c>
      <c r="D58" s="17">
        <v>0.19009999999999999</v>
      </c>
      <c r="E58" s="17">
        <v>5.0999999999999997E-2</v>
      </c>
      <c r="F58" s="17">
        <v>0.24759999999999999</v>
      </c>
      <c r="G58" s="17">
        <v>9.5399999999999999E-2</v>
      </c>
      <c r="H58" s="17">
        <v>5.0999999999999997E-2</v>
      </c>
      <c r="I58" s="17">
        <v>0.21870000000000001</v>
      </c>
      <c r="J58" s="17">
        <v>0.1242</v>
      </c>
      <c r="K58" s="17">
        <v>5.0999999999999997E-2</v>
      </c>
      <c r="L58" s="17">
        <v>8.0299999999999996E-2</v>
      </c>
      <c r="M58" s="17">
        <v>0.2361</v>
      </c>
      <c r="N58" s="17">
        <v>7.7600000000000002E-2</v>
      </c>
      <c r="O58" s="17">
        <v>5.0999999999999997E-2</v>
      </c>
      <c r="P58" s="17">
        <v>0.1169</v>
      </c>
      <c r="Q58" s="17">
        <v>0.1462</v>
      </c>
      <c r="R58" s="17">
        <v>6.5600000000000006E-2</v>
      </c>
      <c r="S58" s="17">
        <v>0.44829999999999998</v>
      </c>
      <c r="T58" s="17">
        <v>0.11310000000000001</v>
      </c>
      <c r="U58" s="17">
        <v>0.1169</v>
      </c>
      <c r="V58" s="17">
        <v>0.1462</v>
      </c>
      <c r="W58" s="17">
        <v>0.13819999999999999</v>
      </c>
      <c r="X58" s="17">
        <v>0.20480000000000001</v>
      </c>
      <c r="Y58" s="17">
        <v>0.13089999999999999</v>
      </c>
      <c r="Z58" s="17">
        <v>0.1535</v>
      </c>
      <c r="AA58" s="17">
        <v>0.99109999999999998</v>
      </c>
      <c r="AB58" s="17">
        <v>0.91459999999999997</v>
      </c>
      <c r="AC58" s="17">
        <v>1.534</v>
      </c>
      <c r="AD58" s="17">
        <v>0.42359999999999998</v>
      </c>
      <c r="AE58" s="17">
        <v>0.2702</v>
      </c>
      <c r="AF58" s="17">
        <v>0.25890000000000002</v>
      </c>
      <c r="AG58" s="17">
        <v>0.22339999999999999</v>
      </c>
      <c r="AH58" s="17">
        <v>0.19889999999999999</v>
      </c>
      <c r="AI58" s="17">
        <v>0.26400000000000001</v>
      </c>
      <c r="AJ58" s="17">
        <v>0.37090000000000001</v>
      </c>
      <c r="AK58" s="17">
        <v>0.11210000000000001</v>
      </c>
      <c r="AL58" s="17">
        <v>0.18279999999999999</v>
      </c>
      <c r="AM58" s="17">
        <v>0.13089999999999999</v>
      </c>
      <c r="AN58" s="17">
        <v>5.0999999999999997E-2</v>
      </c>
      <c r="AO58" s="17">
        <v>0.1242</v>
      </c>
      <c r="AP58" s="17">
        <v>0.21870000000000001</v>
      </c>
      <c r="AQ58" s="17">
        <v>5.0999999999999997E-2</v>
      </c>
      <c r="AR58" s="17">
        <v>5.0999999999999997E-2</v>
      </c>
      <c r="AS58" s="17">
        <v>0.25359999999999999</v>
      </c>
      <c r="AT58" s="17">
        <v>0.23180000000000001</v>
      </c>
      <c r="AU58" s="17">
        <v>0.14169999999999999</v>
      </c>
      <c r="AV58" s="17">
        <v>0.26400000000000001</v>
      </c>
      <c r="AW58" s="17">
        <v>0.98619999999999997</v>
      </c>
      <c r="AX58" s="17">
        <v>0.1744</v>
      </c>
    </row>
    <row r="59" spans="1:50" x14ac:dyDescent="0.25">
      <c r="A59" s="16" t="s">
        <v>529</v>
      </c>
      <c r="B59" s="13" t="s">
        <v>464</v>
      </c>
      <c r="C59" s="17">
        <v>0.13039999999999999</v>
      </c>
      <c r="D59" s="17">
        <v>9.6000000000000002E-2</v>
      </c>
      <c r="E59" s="17">
        <v>0.1661</v>
      </c>
      <c r="F59" s="17">
        <v>8.1000000000000003E-2</v>
      </c>
      <c r="G59" s="17">
        <v>0.20150000000000001</v>
      </c>
      <c r="H59" s="17">
        <v>0.13769999999999999</v>
      </c>
      <c r="I59" s="17">
        <v>8.8700000000000001E-2</v>
      </c>
      <c r="J59" s="17">
        <v>0.20810000000000001</v>
      </c>
      <c r="K59" s="17">
        <v>8.48E-2</v>
      </c>
      <c r="L59" s="17">
        <v>0.1976</v>
      </c>
      <c r="M59" s="17">
        <v>0.11849999999999999</v>
      </c>
      <c r="N59" s="17">
        <v>0.108</v>
      </c>
      <c r="O59" s="17">
        <v>7.2800000000000004E-2</v>
      </c>
      <c r="P59" s="17">
        <v>0.24249999999999999</v>
      </c>
      <c r="Q59" s="17">
        <v>8.8999999999999996E-2</v>
      </c>
      <c r="R59" s="17">
        <v>5.3999999999999999E-2</v>
      </c>
      <c r="S59" s="17">
        <v>0.18010000000000001</v>
      </c>
      <c r="T59" s="17">
        <v>9.1399999999999995E-2</v>
      </c>
      <c r="U59" s="17">
        <v>0.32829999999999998</v>
      </c>
      <c r="V59" s="17">
        <v>5.3999999999999999E-2</v>
      </c>
      <c r="W59" s="17">
        <v>0.1195</v>
      </c>
      <c r="X59" s="17">
        <v>0.19800000000000001</v>
      </c>
      <c r="Y59" s="17">
        <v>0.14219999999999999</v>
      </c>
      <c r="Z59" s="17">
        <v>0.18260000000000001</v>
      </c>
      <c r="AA59" s="17">
        <v>0.22570000000000001</v>
      </c>
      <c r="AB59" s="17">
        <v>0.1119</v>
      </c>
      <c r="AC59" s="17">
        <v>0.25580000000000003</v>
      </c>
      <c r="AD59" s="17">
        <v>6.1699999999999998E-2</v>
      </c>
      <c r="AE59" s="17">
        <v>0.26590000000000003</v>
      </c>
      <c r="AF59" s="17">
        <v>6.5600000000000006E-2</v>
      </c>
      <c r="AG59" s="17">
        <v>8.48E-2</v>
      </c>
      <c r="AH59" s="17">
        <v>9.2499999999999999E-2</v>
      </c>
      <c r="AI59" s="17">
        <v>0.20810000000000001</v>
      </c>
      <c r="AJ59" s="17">
        <v>7.7100000000000002E-2</v>
      </c>
      <c r="AK59" s="17">
        <v>0.1077</v>
      </c>
      <c r="AL59" s="17">
        <v>0.2288</v>
      </c>
      <c r="AM59" s="17">
        <v>0.15890000000000001</v>
      </c>
      <c r="AN59" s="17">
        <v>6.2700000000000006E-2</v>
      </c>
      <c r="AO59" s="17">
        <v>0.20810000000000001</v>
      </c>
      <c r="AP59" s="17">
        <v>0.108</v>
      </c>
      <c r="AQ59" s="17">
        <v>0.20250000000000001</v>
      </c>
      <c r="AR59" s="17">
        <v>0.15029999999999999</v>
      </c>
      <c r="AS59" s="17">
        <v>0.1198</v>
      </c>
      <c r="AT59" s="17">
        <v>0.30659999999999998</v>
      </c>
      <c r="AU59" s="17">
        <v>0.82040000000000002</v>
      </c>
      <c r="AV59" s="17">
        <v>0.63460000000000005</v>
      </c>
      <c r="AW59" s="17">
        <v>0.1797</v>
      </c>
      <c r="AX59" s="17">
        <v>0.17150000000000001</v>
      </c>
    </row>
    <row r="60" spans="1:50" x14ac:dyDescent="0.25">
      <c r="A60" s="16" t="s">
        <v>531</v>
      </c>
      <c r="B60" s="13" t="s">
        <v>464</v>
      </c>
      <c r="C60" s="17">
        <v>0.59150000000000003</v>
      </c>
      <c r="D60" s="17">
        <v>0.3745</v>
      </c>
      <c r="E60" s="17">
        <v>0.44840000000000002</v>
      </c>
      <c r="F60" s="17">
        <v>0.20699999999999999</v>
      </c>
      <c r="G60" s="17">
        <v>0.17019999999999999</v>
      </c>
      <c r="H60" s="17">
        <v>6.3600000000000004E-2</v>
      </c>
      <c r="I60" s="17">
        <v>0.35410000000000003</v>
      </c>
      <c r="J60" s="17">
        <v>0.2626</v>
      </c>
      <c r="K60" s="17">
        <v>0.26900000000000002</v>
      </c>
      <c r="L60" s="17">
        <v>0.22889999999999999</v>
      </c>
      <c r="M60" s="17">
        <v>0.26860000000000001</v>
      </c>
      <c r="N60" s="17">
        <v>0.26479999999999998</v>
      </c>
      <c r="O60" s="17">
        <v>0.2661</v>
      </c>
      <c r="P60" s="17">
        <v>0.25290000000000001</v>
      </c>
      <c r="Q60" s="17">
        <v>0.30690000000000001</v>
      </c>
      <c r="R60" s="17">
        <v>0.1288</v>
      </c>
      <c r="S60" s="17">
        <v>0.71799999999999997</v>
      </c>
      <c r="T60" s="17">
        <v>0.94030000000000002</v>
      </c>
      <c r="U60" s="17">
        <v>1.3475999999999999</v>
      </c>
      <c r="V60" s="17">
        <v>0.54469999999999996</v>
      </c>
      <c r="W60" s="17">
        <v>0.32319999999999999</v>
      </c>
      <c r="X60" s="17">
        <v>0.61329999999999996</v>
      </c>
      <c r="Y60" s="17">
        <v>0.39589999999999997</v>
      </c>
      <c r="Z60" s="17">
        <v>0.4299</v>
      </c>
      <c r="AA60" s="17">
        <v>0.2492</v>
      </c>
      <c r="AB60" s="17">
        <v>0.29859999999999998</v>
      </c>
      <c r="AC60" s="17">
        <v>0.15770000000000001</v>
      </c>
      <c r="AD60" s="17">
        <v>0.24540000000000001</v>
      </c>
      <c r="AE60" s="17">
        <v>0.36349999999999999</v>
      </c>
      <c r="AF60" s="17">
        <v>9.9299999999999999E-2</v>
      </c>
      <c r="AG60" s="17">
        <v>0.37130000000000002</v>
      </c>
      <c r="AH60" s="17">
        <v>0.23669999999999999</v>
      </c>
      <c r="AI60" s="17">
        <v>0.17910000000000001</v>
      </c>
      <c r="AJ60" s="17">
        <v>0.24510000000000001</v>
      </c>
      <c r="AK60" s="17">
        <v>1.5217000000000001</v>
      </c>
      <c r="AL60" s="17">
        <v>1.2628999999999999</v>
      </c>
      <c r="AM60" s="17">
        <v>1.2366999999999999</v>
      </c>
      <c r="AN60" s="17">
        <v>0.36630000000000001</v>
      </c>
      <c r="AO60" s="17">
        <v>0.36870000000000003</v>
      </c>
      <c r="AP60" s="17">
        <v>0.41670000000000001</v>
      </c>
      <c r="AQ60" s="17">
        <v>0.71879999999999999</v>
      </c>
      <c r="AR60" s="17">
        <v>0.41320000000000001</v>
      </c>
      <c r="AS60" s="17">
        <v>0.25659999999999999</v>
      </c>
      <c r="AT60" s="17">
        <v>0.22739999999999999</v>
      </c>
      <c r="AU60" s="17">
        <v>0.20910000000000001</v>
      </c>
      <c r="AV60" s="17">
        <v>0.24390000000000001</v>
      </c>
      <c r="AW60" s="17">
        <v>7.2700000000000001E-2</v>
      </c>
      <c r="AX60" s="17">
        <v>0.45229999999999998</v>
      </c>
    </row>
    <row r="61" spans="1:50" x14ac:dyDescent="0.25">
      <c r="A61" s="16" t="s">
        <v>533</v>
      </c>
      <c r="B61" s="13" t="s">
        <v>464</v>
      </c>
      <c r="C61" s="17">
        <v>5.0999999999999997E-2</v>
      </c>
      <c r="D61" s="17">
        <v>0.183</v>
      </c>
      <c r="E61" s="17">
        <v>5.0999999999999997E-2</v>
      </c>
      <c r="F61" s="17">
        <v>5.0999999999999997E-2</v>
      </c>
      <c r="G61" s="17">
        <v>0.11700000000000001</v>
      </c>
      <c r="H61" s="17">
        <v>0.11700000000000001</v>
      </c>
      <c r="I61" s="17">
        <v>7.4999999999999997E-2</v>
      </c>
      <c r="J61" s="17">
        <v>0.159</v>
      </c>
      <c r="K61" s="17">
        <v>5.0999999999999997E-2</v>
      </c>
      <c r="L61" s="17">
        <v>5.0999999999999997E-2</v>
      </c>
      <c r="M61" s="17">
        <v>0.183</v>
      </c>
      <c r="N61" s="17">
        <v>5.0999999999999997E-2</v>
      </c>
      <c r="O61" s="17">
        <v>7.4999999999999997E-2</v>
      </c>
      <c r="P61" s="17">
        <v>0.24410000000000001</v>
      </c>
      <c r="Q61" s="17">
        <v>5.8999999999999997E-2</v>
      </c>
      <c r="R61" s="17">
        <v>0.1706</v>
      </c>
      <c r="S61" s="17">
        <v>0.32829999999999998</v>
      </c>
      <c r="T61" s="17">
        <v>9.0999999999999998E-2</v>
      </c>
      <c r="U61" s="17">
        <v>0.183</v>
      </c>
      <c r="V61" s="17">
        <v>7.8200000000000006E-2</v>
      </c>
      <c r="W61" s="17">
        <v>0.20499999999999999</v>
      </c>
      <c r="X61" s="17">
        <v>9.7000000000000003E-2</v>
      </c>
      <c r="Y61" s="17">
        <v>0.105</v>
      </c>
      <c r="Z61" s="17">
        <v>0.129</v>
      </c>
      <c r="AA61" s="17">
        <v>0.72009999999999996</v>
      </c>
      <c r="AB61" s="17">
        <v>1.0765</v>
      </c>
      <c r="AC61" s="17">
        <v>1.7122999999999999</v>
      </c>
      <c r="AD61" s="17">
        <v>0.13500000000000001</v>
      </c>
      <c r="AE61" s="17">
        <v>9.9000000000000005E-2</v>
      </c>
      <c r="AF61" s="17">
        <v>8.9800000000000005E-2</v>
      </c>
      <c r="AG61" s="17">
        <v>0.21099999999999999</v>
      </c>
      <c r="AH61" s="17">
        <v>1.0226</v>
      </c>
      <c r="AI61" s="17">
        <v>0.27300000000000002</v>
      </c>
      <c r="AJ61" s="17">
        <v>0.16470000000000001</v>
      </c>
      <c r="AK61" s="17">
        <v>0.375</v>
      </c>
      <c r="AL61" s="17">
        <v>0.1545</v>
      </c>
      <c r="AM61" s="17">
        <v>0.317</v>
      </c>
      <c r="AN61" s="17">
        <v>0.20549999999999999</v>
      </c>
      <c r="AO61" s="17">
        <v>0.29880000000000001</v>
      </c>
      <c r="AP61" s="17">
        <v>0.3377</v>
      </c>
      <c r="AQ61" s="17">
        <v>0.46850000000000003</v>
      </c>
      <c r="AR61" s="17">
        <v>0.45839999999999997</v>
      </c>
      <c r="AS61" s="17">
        <v>0.37530000000000002</v>
      </c>
      <c r="AT61" s="17">
        <v>0.42299999999999999</v>
      </c>
      <c r="AU61" s="17">
        <v>0.20749999999999999</v>
      </c>
      <c r="AV61" s="17">
        <v>0.14699999999999999</v>
      </c>
      <c r="AW61" s="17">
        <v>8.6999999999999994E-2</v>
      </c>
      <c r="AX61" s="17">
        <v>5.0999999999999997E-2</v>
      </c>
    </row>
    <row r="62" spans="1:50" x14ac:dyDescent="0.25">
      <c r="A62" s="8" t="s">
        <v>98</v>
      </c>
      <c r="B62" s="10" t="s">
        <v>57</v>
      </c>
      <c r="C62" s="18">
        <v>0.19889999999999999</v>
      </c>
      <c r="D62" s="18">
        <v>0.1303</v>
      </c>
      <c r="E62" s="18">
        <v>0.10440000000000001</v>
      </c>
      <c r="F62" s="18">
        <v>0.22470000000000001</v>
      </c>
      <c r="G62" s="18">
        <v>5.2999999999999999E-2</v>
      </c>
      <c r="H62" s="18">
        <v>0.17330000000000001</v>
      </c>
      <c r="I62" s="18">
        <v>0.15579999999999999</v>
      </c>
      <c r="J62" s="18">
        <v>5.2999999999999999E-2</v>
      </c>
      <c r="K62" s="18">
        <v>0.27800000000000002</v>
      </c>
      <c r="L62" s="18">
        <v>7.3099999999999998E-2</v>
      </c>
      <c r="M62" s="18">
        <v>0.22209999999999999</v>
      </c>
      <c r="N62" s="18">
        <v>0.1298</v>
      </c>
      <c r="O62" s="18">
        <v>0.10299999999999999</v>
      </c>
      <c r="P62" s="18">
        <v>5.2999999999999999E-2</v>
      </c>
      <c r="Q62" s="18">
        <v>0.19289999999999999</v>
      </c>
      <c r="R62" s="18">
        <v>0.57350000000000001</v>
      </c>
      <c r="S62" s="18">
        <v>0.63139999999999996</v>
      </c>
      <c r="T62" s="18">
        <v>1.1819</v>
      </c>
      <c r="U62" s="18">
        <v>1.1535</v>
      </c>
      <c r="V62" s="18">
        <v>3.3692000000000002</v>
      </c>
      <c r="W62" s="18">
        <v>0.1172</v>
      </c>
      <c r="X62" s="18">
        <v>0.14119999999999999</v>
      </c>
      <c r="Y62" s="18">
        <v>0.18790000000000001</v>
      </c>
      <c r="Z62" s="18">
        <v>0.1348</v>
      </c>
      <c r="AA62" s="18">
        <v>0.14929999999999999</v>
      </c>
      <c r="AB62" s="18">
        <v>0.1298</v>
      </c>
      <c r="AC62" s="18">
        <v>0.10299999999999999</v>
      </c>
      <c r="AD62" s="18">
        <v>0.22159999999999999</v>
      </c>
      <c r="AE62" s="18">
        <v>0.1075</v>
      </c>
      <c r="AF62" s="18">
        <v>0.1517</v>
      </c>
      <c r="AG62" s="18">
        <v>0.41830000000000001</v>
      </c>
      <c r="AH62" s="18">
        <v>6.5600000000000006E-2</v>
      </c>
      <c r="AI62" s="18">
        <v>0.23319999999999999</v>
      </c>
      <c r="AJ62" s="18">
        <v>1.1137999999999999</v>
      </c>
      <c r="AK62" s="18">
        <v>0.19270000000000001</v>
      </c>
      <c r="AL62" s="18">
        <v>5.2999999999999999E-2</v>
      </c>
      <c r="AM62" s="18">
        <v>0.25340000000000001</v>
      </c>
      <c r="AN62" s="18">
        <v>7.5700000000000003E-2</v>
      </c>
      <c r="AO62" s="18">
        <v>0.22470000000000001</v>
      </c>
      <c r="AP62" s="18">
        <v>0.38490000000000002</v>
      </c>
      <c r="AQ62" s="18">
        <v>0.56659999999999999</v>
      </c>
      <c r="AR62" s="18">
        <v>0.54259999999999997</v>
      </c>
      <c r="AS62" s="18">
        <v>0.42809999999999998</v>
      </c>
      <c r="AT62" s="18">
        <v>0.76800000000000002</v>
      </c>
      <c r="AU62" s="18">
        <v>0.40389999999999998</v>
      </c>
      <c r="AV62" s="18">
        <v>0.4995</v>
      </c>
      <c r="AW62" s="18">
        <v>0.21560000000000001</v>
      </c>
      <c r="AX62" s="18">
        <v>0.10440000000000001</v>
      </c>
    </row>
    <row r="63" spans="1:50" x14ac:dyDescent="0.25">
      <c r="A63" s="8" t="s">
        <v>100</v>
      </c>
      <c r="B63" s="10" t="s">
        <v>57</v>
      </c>
      <c r="C63" s="18">
        <v>0.1507</v>
      </c>
      <c r="D63" s="18">
        <v>0.1704</v>
      </c>
      <c r="E63" s="18">
        <v>0.17199999999999999</v>
      </c>
      <c r="F63" s="18">
        <v>0.1225</v>
      </c>
      <c r="G63" s="18">
        <v>0.16220000000000001</v>
      </c>
      <c r="H63" s="18">
        <v>0.2326</v>
      </c>
      <c r="I63" s="18">
        <v>8.0600000000000005E-2</v>
      </c>
      <c r="J63" s="18">
        <v>0.31419999999999998</v>
      </c>
      <c r="K63" s="18">
        <v>8.5000000000000006E-2</v>
      </c>
      <c r="L63" s="18">
        <v>0.2787</v>
      </c>
      <c r="M63" s="18">
        <v>0.13120000000000001</v>
      </c>
      <c r="N63" s="18">
        <v>0.14799999999999999</v>
      </c>
      <c r="O63" s="18">
        <v>0.26179999999999998</v>
      </c>
      <c r="P63" s="18">
        <v>5.5E-2</v>
      </c>
      <c r="Q63" s="18">
        <v>0.16689999999999999</v>
      </c>
      <c r="R63" s="18">
        <v>0.16789999999999999</v>
      </c>
      <c r="S63" s="18">
        <v>0.29930000000000001</v>
      </c>
      <c r="T63" s="18">
        <v>0.3775</v>
      </c>
      <c r="U63" s="18">
        <v>0.39079999999999998</v>
      </c>
      <c r="V63" s="18">
        <v>0.2893</v>
      </c>
      <c r="W63" s="18">
        <v>0.41299999999999998</v>
      </c>
      <c r="X63" s="18">
        <v>0.2782</v>
      </c>
      <c r="Y63" s="18">
        <v>0.32579999999999998</v>
      </c>
      <c r="Z63" s="18">
        <v>0.25309999999999999</v>
      </c>
      <c r="AA63" s="18">
        <v>0.4924</v>
      </c>
      <c r="AB63" s="18">
        <v>0.9133</v>
      </c>
      <c r="AC63" s="18">
        <v>0.85950000000000004</v>
      </c>
      <c r="AD63" s="18">
        <v>0.50970000000000004</v>
      </c>
      <c r="AE63" s="18">
        <v>0.2288</v>
      </c>
      <c r="AF63" s="18">
        <v>0.1515</v>
      </c>
      <c r="AG63" s="18">
        <v>0.3362</v>
      </c>
      <c r="AH63" s="18">
        <v>0.10199999999999999</v>
      </c>
      <c r="AI63" s="18">
        <v>1.2301</v>
      </c>
      <c r="AJ63" s="18">
        <v>0.41410000000000002</v>
      </c>
      <c r="AK63" s="18">
        <v>0.63749999999999996</v>
      </c>
      <c r="AL63" s="18">
        <v>0.22570000000000001</v>
      </c>
      <c r="AM63" s="18">
        <v>0.49540000000000001</v>
      </c>
      <c r="AN63" s="18">
        <v>0.5625</v>
      </c>
      <c r="AO63" s="18">
        <v>0.73629999999999995</v>
      </c>
      <c r="AP63" s="18">
        <v>1.0162</v>
      </c>
      <c r="AQ63" s="18">
        <v>0.91190000000000004</v>
      </c>
      <c r="AR63" s="18">
        <v>0.70430000000000004</v>
      </c>
      <c r="AS63" s="18">
        <v>0.69059999999999999</v>
      </c>
      <c r="AT63" s="18">
        <v>0.76080000000000003</v>
      </c>
      <c r="AU63" s="18">
        <v>1.018</v>
      </c>
      <c r="AV63" s="18">
        <v>0.55559999999999998</v>
      </c>
      <c r="AW63" s="18">
        <v>0.53920000000000001</v>
      </c>
      <c r="AX63" s="18">
        <v>0.39989999999999998</v>
      </c>
    </row>
    <row r="64" spans="1:50" x14ac:dyDescent="0.25">
      <c r="A64" s="8" t="s">
        <v>102</v>
      </c>
      <c r="B64" s="10" t="s">
        <v>57</v>
      </c>
      <c r="C64" s="18">
        <v>0.12909999999999999</v>
      </c>
      <c r="D64" s="18">
        <v>0.12759999999999999</v>
      </c>
      <c r="E64" s="18">
        <v>0.12759999999999999</v>
      </c>
      <c r="F64" s="18">
        <v>9.98E-2</v>
      </c>
      <c r="G64" s="18">
        <v>0.2354</v>
      </c>
      <c r="H64" s="18">
        <v>4.9000000000000002E-2</v>
      </c>
      <c r="I64" s="18">
        <v>0.25059999999999999</v>
      </c>
      <c r="J64" s="18">
        <v>8.4599999999999995E-2</v>
      </c>
      <c r="K64" s="18">
        <v>0.15240000000000001</v>
      </c>
      <c r="L64" s="18">
        <v>0.18279999999999999</v>
      </c>
      <c r="M64" s="18">
        <v>4.9000000000000002E-2</v>
      </c>
      <c r="N64" s="18">
        <v>0.24679999999999999</v>
      </c>
      <c r="O64" s="18">
        <v>8.2500000000000004E-2</v>
      </c>
      <c r="P64" s="18">
        <v>0.1552</v>
      </c>
      <c r="Q64" s="18">
        <v>0.40129999999999999</v>
      </c>
      <c r="R64" s="18">
        <v>5.0999999999999997E-2</v>
      </c>
      <c r="S64" s="18">
        <v>0.24229999999999999</v>
      </c>
      <c r="T64" s="18">
        <v>0.43959999999999999</v>
      </c>
      <c r="U64" s="18">
        <v>0.32019999999999998</v>
      </c>
      <c r="V64" s="18">
        <v>0.20799999999999999</v>
      </c>
      <c r="W64" s="18">
        <v>0.36430000000000001</v>
      </c>
      <c r="X64" s="18">
        <v>2.0817999999999999</v>
      </c>
      <c r="Y64" s="18">
        <v>3.0903</v>
      </c>
      <c r="Z64" s="18">
        <v>3.8191000000000002</v>
      </c>
      <c r="AA64" s="18">
        <v>0.28989999999999999</v>
      </c>
      <c r="AB64" s="18">
        <v>0.54300000000000004</v>
      </c>
      <c r="AC64" s="18">
        <v>0.22070000000000001</v>
      </c>
      <c r="AD64" s="18">
        <v>0.43530000000000002</v>
      </c>
      <c r="AE64" s="18">
        <v>0.39689999999999998</v>
      </c>
      <c r="AF64" s="18">
        <v>0.41739999999999999</v>
      </c>
      <c r="AG64" s="18">
        <v>0.1905</v>
      </c>
      <c r="AH64" s="18">
        <v>0.50380000000000003</v>
      </c>
      <c r="AI64" s="18">
        <v>0.28939999999999999</v>
      </c>
      <c r="AJ64" s="18">
        <v>0.59230000000000005</v>
      </c>
      <c r="AK64" s="18">
        <v>1.6549</v>
      </c>
      <c r="AL64" s="18">
        <v>2.9331</v>
      </c>
      <c r="AM64" s="18">
        <v>2.8048000000000002</v>
      </c>
      <c r="AN64" s="18">
        <v>0.54590000000000005</v>
      </c>
      <c r="AO64" s="18">
        <v>0.3604</v>
      </c>
      <c r="AP64" s="18">
        <v>0.56569999999999998</v>
      </c>
      <c r="AQ64" s="18">
        <v>0.88149999999999995</v>
      </c>
      <c r="AR64" s="18">
        <v>0.35089999999999999</v>
      </c>
      <c r="AS64" s="18">
        <v>0.66890000000000005</v>
      </c>
      <c r="AT64" s="18">
        <v>0.72409999999999997</v>
      </c>
      <c r="AU64" s="18">
        <v>0.73150000000000004</v>
      </c>
      <c r="AV64" s="18">
        <v>1.1944999999999999</v>
      </c>
      <c r="AW64" s="18">
        <v>0.83009999999999995</v>
      </c>
      <c r="AX64" s="18">
        <v>0.85389999999999999</v>
      </c>
    </row>
    <row r="65" spans="1:50" x14ac:dyDescent="0.25">
      <c r="A65" s="16" t="s">
        <v>535</v>
      </c>
      <c r="B65" s="13" t="s">
        <v>464</v>
      </c>
      <c r="C65" s="17">
        <v>4.9000000000000002E-2</v>
      </c>
      <c r="D65" s="17">
        <v>4.9000000000000002E-2</v>
      </c>
      <c r="E65" s="17">
        <v>4.9000000000000002E-2</v>
      </c>
      <c r="F65" s="17">
        <v>4.9000000000000002E-2</v>
      </c>
      <c r="G65" s="17">
        <v>4.9000000000000002E-2</v>
      </c>
      <c r="H65" s="17">
        <v>4.9000000000000002E-2</v>
      </c>
      <c r="I65" s="17">
        <v>4.9000000000000002E-2</v>
      </c>
      <c r="J65" s="17">
        <v>4.9000000000000002E-2</v>
      </c>
      <c r="K65" s="17">
        <v>4.9000000000000002E-2</v>
      </c>
      <c r="L65" s="17">
        <v>4.9000000000000002E-2</v>
      </c>
      <c r="M65" s="17">
        <v>4.9000000000000002E-2</v>
      </c>
      <c r="N65" s="17">
        <v>4.9000000000000002E-2</v>
      </c>
      <c r="O65" s="17">
        <v>4.9000000000000002E-2</v>
      </c>
      <c r="P65" s="17">
        <v>4.9000000000000002E-2</v>
      </c>
      <c r="Q65" s="17">
        <v>4.9000000000000002E-2</v>
      </c>
      <c r="R65" s="17">
        <v>4.9000000000000002E-2</v>
      </c>
      <c r="S65" s="17">
        <v>4.9000000000000002E-2</v>
      </c>
      <c r="T65" s="17">
        <v>4.9000000000000002E-2</v>
      </c>
      <c r="U65" s="17">
        <v>5.3199999999999997E-2</v>
      </c>
      <c r="V65" s="17">
        <v>5.9499999999999997E-2</v>
      </c>
      <c r="W65" s="17">
        <v>5.2999999999999999E-2</v>
      </c>
      <c r="X65" s="17">
        <v>4.9000000000000002E-2</v>
      </c>
      <c r="Y65" s="17">
        <v>4.9000000000000002E-2</v>
      </c>
      <c r="Z65" s="17">
        <v>4.9000000000000002E-2</v>
      </c>
      <c r="AA65" s="17">
        <v>4.9000000000000002E-2</v>
      </c>
      <c r="AB65" s="17">
        <v>4.9000000000000002E-2</v>
      </c>
      <c r="AC65" s="17">
        <v>4.9000000000000002E-2</v>
      </c>
      <c r="AD65" s="17">
        <v>4.9000000000000002E-2</v>
      </c>
      <c r="AE65" s="17">
        <v>4.9000000000000002E-2</v>
      </c>
      <c r="AF65" s="17">
        <v>0.1353</v>
      </c>
      <c r="AG65" s="17">
        <v>0.21970000000000001</v>
      </c>
      <c r="AH65" s="17">
        <v>0.4123</v>
      </c>
      <c r="AI65" s="17">
        <v>1.1480999999999999</v>
      </c>
      <c r="AJ65" s="17">
        <v>0.14990000000000001</v>
      </c>
      <c r="AK65" s="17">
        <v>0.31709999999999999</v>
      </c>
      <c r="AL65" s="17">
        <v>4.9000000000000002E-2</v>
      </c>
      <c r="AM65" s="17">
        <v>7.51E-2</v>
      </c>
      <c r="AN65" s="17">
        <v>0.1171</v>
      </c>
      <c r="AO65" s="17">
        <v>0.187</v>
      </c>
      <c r="AP65" s="17">
        <v>0.60199999999999998</v>
      </c>
      <c r="AQ65" s="17">
        <v>0.43759999999999999</v>
      </c>
      <c r="AR65" s="17">
        <v>0.50249999999999995</v>
      </c>
      <c r="AS65" s="17">
        <v>0.41099999999999998</v>
      </c>
      <c r="AT65" s="17">
        <v>0.53080000000000005</v>
      </c>
      <c r="AU65" s="17">
        <v>0.40379999999999999</v>
      </c>
      <c r="AV65" s="17">
        <v>0.29630000000000001</v>
      </c>
      <c r="AW65" s="17">
        <v>4.9000000000000002E-2</v>
      </c>
      <c r="AX65" s="17">
        <v>4.9000000000000002E-2</v>
      </c>
    </row>
    <row r="66" spans="1:50" x14ac:dyDescent="0.25">
      <c r="A66" s="16" t="s">
        <v>537</v>
      </c>
      <c r="B66" s="13" t="s">
        <v>464</v>
      </c>
      <c r="C66" s="17">
        <v>0.68410000000000004</v>
      </c>
      <c r="D66" s="17">
        <v>4.2000000000000003E-2</v>
      </c>
      <c r="E66" s="17">
        <v>0.17549999999999999</v>
      </c>
      <c r="F66" s="17">
        <v>1.1465000000000001</v>
      </c>
      <c r="G66" s="17">
        <v>5.7299999999999997E-2</v>
      </c>
      <c r="H66" s="17">
        <v>0.19450000000000001</v>
      </c>
      <c r="I66" s="17">
        <v>4.2000000000000003E-2</v>
      </c>
      <c r="J66" s="17">
        <v>0.20979999999999999</v>
      </c>
      <c r="K66" s="17">
        <v>4.2000000000000003E-2</v>
      </c>
      <c r="L66" s="17">
        <v>8.7800000000000003E-2</v>
      </c>
      <c r="M66" s="17">
        <v>0.16400000000000001</v>
      </c>
      <c r="N66" s="17">
        <v>4.2000000000000003E-2</v>
      </c>
      <c r="O66" s="17">
        <v>0.12590000000000001</v>
      </c>
      <c r="P66" s="17">
        <v>0.12590000000000001</v>
      </c>
      <c r="Q66" s="17">
        <v>4.2000000000000003E-2</v>
      </c>
      <c r="R66" s="17">
        <v>0.14369999999999999</v>
      </c>
      <c r="S66" s="17">
        <v>0.31359999999999999</v>
      </c>
      <c r="T66" s="17">
        <v>1.5228999999999999</v>
      </c>
      <c r="U66" s="17">
        <v>3.9419</v>
      </c>
      <c r="V66" s="17">
        <v>1.8629</v>
      </c>
      <c r="W66" s="17">
        <v>0.72350000000000003</v>
      </c>
      <c r="X66" s="17">
        <v>1.7822</v>
      </c>
      <c r="Y66" s="17">
        <v>0.5827</v>
      </c>
      <c r="Z66" s="17">
        <v>1.2677</v>
      </c>
      <c r="AA66" s="17">
        <v>3.3365999999999998</v>
      </c>
      <c r="AB66" s="17">
        <v>3.3048999999999999</v>
      </c>
      <c r="AC66" s="17">
        <v>0.39460000000000001</v>
      </c>
      <c r="AD66" s="17">
        <v>0.1406</v>
      </c>
      <c r="AE66" s="17">
        <v>0.27539999999999998</v>
      </c>
      <c r="AF66" s="17">
        <v>0.44390000000000002</v>
      </c>
      <c r="AG66" s="17">
        <v>9.4700000000000006E-2</v>
      </c>
      <c r="AH66" s="17">
        <v>0.40379999999999999</v>
      </c>
      <c r="AI66" s="17">
        <v>1.5653999999999999</v>
      </c>
      <c r="AJ66" s="17">
        <v>0.65959999999999996</v>
      </c>
      <c r="AK66" s="17">
        <v>0.43419999999999997</v>
      </c>
      <c r="AL66" s="17">
        <v>1.4636</v>
      </c>
      <c r="AM66" s="17">
        <v>0.50490000000000002</v>
      </c>
      <c r="AN66" s="17">
        <v>0.89700000000000002</v>
      </c>
      <c r="AO66" s="17">
        <v>1.5530999999999999</v>
      </c>
      <c r="AP66" s="17">
        <v>0.48580000000000001</v>
      </c>
      <c r="AQ66" s="17">
        <v>0.626</v>
      </c>
      <c r="AR66" s="17">
        <v>0.63280000000000003</v>
      </c>
      <c r="AS66" s="17">
        <v>0.92220000000000002</v>
      </c>
      <c r="AT66" s="17">
        <v>0.86029999999999995</v>
      </c>
      <c r="AU66" s="17">
        <v>0.52590000000000003</v>
      </c>
      <c r="AV66" s="17">
        <v>0.73109999999999997</v>
      </c>
      <c r="AW66" s="17">
        <v>0.49819999999999998</v>
      </c>
      <c r="AX66" s="17">
        <v>0.1411</v>
      </c>
    </row>
    <row r="67" spans="1:50" x14ac:dyDescent="0.25">
      <c r="A67" s="16" t="s">
        <v>539</v>
      </c>
      <c r="B67" s="13" t="s">
        <v>464</v>
      </c>
      <c r="C67" s="17">
        <v>0.1333</v>
      </c>
      <c r="D67" s="17">
        <v>5.5E-2</v>
      </c>
      <c r="E67" s="17">
        <v>7.2400000000000006E-2</v>
      </c>
      <c r="F67" s="17">
        <v>0.1159</v>
      </c>
      <c r="G67" s="17">
        <v>5.5E-2</v>
      </c>
      <c r="H67" s="17">
        <v>0.1333</v>
      </c>
      <c r="I67" s="17">
        <v>5.5E-2</v>
      </c>
      <c r="J67" s="17">
        <v>5.5E-2</v>
      </c>
      <c r="K67" s="17">
        <v>0.1333</v>
      </c>
      <c r="L67" s="17">
        <v>5.5E-2</v>
      </c>
      <c r="M67" s="17">
        <v>5.5E-2</v>
      </c>
      <c r="N67" s="17">
        <v>5.5E-2</v>
      </c>
      <c r="O67" s="17">
        <v>9.4200000000000006E-2</v>
      </c>
      <c r="P67" s="17">
        <v>0.13819999999999999</v>
      </c>
      <c r="Q67" s="17">
        <v>5.5E-2</v>
      </c>
      <c r="R67" s="17">
        <v>8.5500000000000007E-2</v>
      </c>
      <c r="S67" s="17">
        <v>0.10290000000000001</v>
      </c>
      <c r="T67" s="17">
        <v>7.2400000000000006E-2</v>
      </c>
      <c r="U67" s="17">
        <v>0.1159</v>
      </c>
      <c r="V67" s="17">
        <v>5.5E-2</v>
      </c>
      <c r="W67" s="17">
        <v>6.3700000000000007E-2</v>
      </c>
      <c r="X67" s="17">
        <v>0.1246</v>
      </c>
      <c r="Y67" s="17">
        <v>5.5E-2</v>
      </c>
      <c r="Z67" s="17">
        <v>0.1203</v>
      </c>
      <c r="AA67" s="17">
        <v>6.8099999999999994E-2</v>
      </c>
      <c r="AB67" s="17">
        <v>5.5E-2</v>
      </c>
      <c r="AC67" s="17">
        <v>5.5E-2</v>
      </c>
      <c r="AD67" s="17">
        <v>5.5E-2</v>
      </c>
      <c r="AE67" s="17">
        <v>0.1333</v>
      </c>
      <c r="AF67" s="17">
        <v>6.3700000000000007E-2</v>
      </c>
      <c r="AG67" s="17">
        <v>0.1246</v>
      </c>
      <c r="AH67" s="17">
        <v>8.1100000000000005E-2</v>
      </c>
      <c r="AI67" s="17">
        <v>0.1072</v>
      </c>
      <c r="AJ67" s="17">
        <v>5.5E-2</v>
      </c>
      <c r="AK67" s="17">
        <v>5.5E-2</v>
      </c>
      <c r="AL67" s="17">
        <v>5.5E-2</v>
      </c>
      <c r="AM67" s="17">
        <v>5.5E-2</v>
      </c>
      <c r="AN67" s="17">
        <v>5.8999999999999997E-2</v>
      </c>
      <c r="AO67" s="17">
        <v>0.28110000000000002</v>
      </c>
      <c r="AP67" s="17">
        <v>0.35920000000000002</v>
      </c>
      <c r="AQ67" s="17">
        <v>0.2424</v>
      </c>
      <c r="AR67" s="17">
        <v>0.36130000000000001</v>
      </c>
      <c r="AS67" s="17">
        <v>0.30599999999999999</v>
      </c>
      <c r="AT67" s="17">
        <v>0.48159999999999997</v>
      </c>
      <c r="AU67" s="17">
        <v>5.5E-2</v>
      </c>
      <c r="AV67" s="17">
        <v>5.5E-2</v>
      </c>
      <c r="AW67" s="17">
        <v>0.1333</v>
      </c>
      <c r="AX67" s="17">
        <v>5.5E-2</v>
      </c>
    </row>
    <row r="68" spans="1:50" x14ac:dyDescent="0.25">
      <c r="A68" s="8" t="s">
        <v>104</v>
      </c>
      <c r="B68" s="10" t="s">
        <v>57</v>
      </c>
      <c r="C68" s="18">
        <v>0.45040000000000002</v>
      </c>
      <c r="D68" s="18">
        <v>0.82769999999999999</v>
      </c>
      <c r="E68" s="18">
        <v>0.3266</v>
      </c>
      <c r="F68" s="18">
        <v>0.1017</v>
      </c>
      <c r="G68" s="18">
        <v>0.17549999999999999</v>
      </c>
      <c r="H68" s="18">
        <v>0.24679999999999999</v>
      </c>
      <c r="I68" s="18">
        <v>8.3199999999999996E-2</v>
      </c>
      <c r="J68" s="18">
        <v>0.17860000000000001</v>
      </c>
      <c r="K68" s="18">
        <v>9.0700000000000003E-2</v>
      </c>
      <c r="L68" s="18">
        <v>0.33160000000000001</v>
      </c>
      <c r="M68" s="18">
        <v>5.6000000000000001E-2</v>
      </c>
      <c r="N68" s="18">
        <v>0.29120000000000001</v>
      </c>
      <c r="O68" s="18">
        <v>0.13109999999999999</v>
      </c>
      <c r="P68" s="18">
        <v>7.0099999999999996E-2</v>
      </c>
      <c r="Q68" s="18">
        <v>0.5827</v>
      </c>
      <c r="R68" s="18">
        <v>0.32750000000000001</v>
      </c>
      <c r="S68" s="18">
        <v>0.27750000000000002</v>
      </c>
      <c r="T68" s="18">
        <v>0.52129999999999999</v>
      </c>
      <c r="U68" s="18">
        <v>0.30530000000000002</v>
      </c>
      <c r="V68" s="18">
        <v>1.1494</v>
      </c>
      <c r="W68" s="18">
        <v>0.379</v>
      </c>
      <c r="X68" s="18">
        <v>0.1157</v>
      </c>
      <c r="Y68" s="18">
        <v>0.19650000000000001</v>
      </c>
      <c r="Z68" s="18">
        <v>0.22570000000000001</v>
      </c>
      <c r="AA68" s="18">
        <v>5.6000000000000001E-2</v>
      </c>
      <c r="AB68" s="18">
        <v>0.25690000000000002</v>
      </c>
      <c r="AC68" s="18">
        <v>0.16539999999999999</v>
      </c>
      <c r="AD68" s="18">
        <v>0.32800000000000001</v>
      </c>
      <c r="AE68" s="18">
        <v>1.6611</v>
      </c>
      <c r="AF68" s="18">
        <v>0.1787</v>
      </c>
      <c r="AG68" s="18">
        <v>0.30449999999999999</v>
      </c>
      <c r="AH68" s="18">
        <v>0.2387</v>
      </c>
      <c r="AI68" s="18">
        <v>6.0699999999999997E-2</v>
      </c>
      <c r="AJ68" s="18">
        <v>0.22819999999999999</v>
      </c>
      <c r="AK68" s="18">
        <v>0.1976</v>
      </c>
      <c r="AL68" s="18">
        <v>0.1157</v>
      </c>
      <c r="AM68" s="18">
        <v>0.13800000000000001</v>
      </c>
      <c r="AN68" s="18">
        <v>0.2843</v>
      </c>
      <c r="AO68" s="18">
        <v>5.6000000000000001E-2</v>
      </c>
      <c r="AP68" s="18">
        <v>0.2616</v>
      </c>
      <c r="AQ68" s="18">
        <v>0.16070000000000001</v>
      </c>
      <c r="AR68" s="18">
        <v>5.6000000000000001E-2</v>
      </c>
      <c r="AS68" s="18">
        <v>0.30299999999999999</v>
      </c>
      <c r="AT68" s="18">
        <v>5.6000000000000001E-2</v>
      </c>
      <c r="AU68" s="18">
        <v>0.2177</v>
      </c>
      <c r="AV68" s="18">
        <v>0.2046</v>
      </c>
      <c r="AW68" s="18">
        <v>5.6000000000000001E-2</v>
      </c>
      <c r="AX68" s="18">
        <v>0.15</v>
      </c>
    </row>
    <row r="69" spans="1:50" x14ac:dyDescent="0.25">
      <c r="A69" s="8" t="s">
        <v>106</v>
      </c>
      <c r="B69" s="10" t="s">
        <v>57</v>
      </c>
      <c r="C69" s="18">
        <v>5.7000000000000002E-2</v>
      </c>
      <c r="D69" s="18">
        <v>5.7000000000000002E-2</v>
      </c>
      <c r="E69" s="18">
        <v>5.7000000000000002E-2</v>
      </c>
      <c r="F69" s="18">
        <v>5.7000000000000002E-2</v>
      </c>
      <c r="G69" s="18">
        <v>5.7000000000000002E-2</v>
      </c>
      <c r="H69" s="18">
        <v>5.7000000000000002E-2</v>
      </c>
      <c r="I69" s="18">
        <v>5.7000000000000002E-2</v>
      </c>
      <c r="J69" s="18">
        <v>5.7000000000000002E-2</v>
      </c>
      <c r="K69" s="18">
        <v>5.7000000000000002E-2</v>
      </c>
      <c r="L69" s="18">
        <v>5.7000000000000002E-2</v>
      </c>
      <c r="M69" s="18">
        <v>5.7000000000000002E-2</v>
      </c>
      <c r="N69" s="18">
        <v>0.152</v>
      </c>
      <c r="O69" s="18">
        <v>5.7000000000000002E-2</v>
      </c>
      <c r="P69" s="18">
        <v>5.7000000000000002E-2</v>
      </c>
      <c r="Q69" s="18">
        <v>5.7000000000000002E-2</v>
      </c>
      <c r="R69" s="18">
        <v>5.7000000000000002E-2</v>
      </c>
      <c r="S69" s="18">
        <v>5.7000000000000002E-2</v>
      </c>
      <c r="T69" s="18">
        <v>5.7000000000000002E-2</v>
      </c>
      <c r="U69" s="18">
        <v>6.3600000000000004E-2</v>
      </c>
      <c r="V69" s="18">
        <v>0.4703</v>
      </c>
      <c r="W69" s="18">
        <v>0.71730000000000005</v>
      </c>
      <c r="X69" s="18">
        <v>1.5513999999999999</v>
      </c>
      <c r="Y69" s="18">
        <v>1.1889000000000001</v>
      </c>
      <c r="Z69" s="18">
        <v>5.7000000000000002E-2</v>
      </c>
      <c r="AA69" s="18">
        <v>1.0732999999999999</v>
      </c>
      <c r="AB69" s="18">
        <v>1.423</v>
      </c>
      <c r="AC69" s="18">
        <v>5.7000000000000002E-2</v>
      </c>
      <c r="AD69" s="18">
        <v>6.6000000000000003E-2</v>
      </c>
      <c r="AE69" s="18">
        <v>5.7000000000000002E-2</v>
      </c>
      <c r="AF69" s="18">
        <v>0.52470000000000006</v>
      </c>
      <c r="AG69" s="18">
        <v>6.9800000000000001E-2</v>
      </c>
      <c r="AH69" s="18">
        <v>0.11119999999999999</v>
      </c>
      <c r="AI69" s="18">
        <v>0.69440000000000002</v>
      </c>
      <c r="AJ69" s="18">
        <v>0.42880000000000001</v>
      </c>
      <c r="AK69" s="18">
        <v>6.9000000000000006E-2</v>
      </c>
      <c r="AL69" s="18">
        <v>7.0800000000000002E-2</v>
      </c>
      <c r="AM69" s="18">
        <v>6.3E-2</v>
      </c>
      <c r="AN69" s="18">
        <v>7.1800000000000003E-2</v>
      </c>
      <c r="AO69" s="18">
        <v>8.9599999999999999E-2</v>
      </c>
      <c r="AP69" s="18">
        <v>0.13650000000000001</v>
      </c>
      <c r="AQ69" s="18">
        <v>0.18140000000000001</v>
      </c>
      <c r="AR69" s="18">
        <v>0.25340000000000001</v>
      </c>
      <c r="AS69" s="18">
        <v>0.1172</v>
      </c>
      <c r="AT69" s="18">
        <v>0.28389999999999999</v>
      </c>
      <c r="AU69" s="18">
        <v>0.33839999999999998</v>
      </c>
      <c r="AV69" s="18">
        <v>5.7000000000000002E-2</v>
      </c>
      <c r="AW69" s="18">
        <v>5.7000000000000002E-2</v>
      </c>
      <c r="AX69" s="18">
        <v>5.7000000000000002E-2</v>
      </c>
    </row>
    <row r="70" spans="1:50" x14ac:dyDescent="0.25">
      <c r="A70" s="8" t="s">
        <v>108</v>
      </c>
      <c r="B70" s="10" t="s">
        <v>57</v>
      </c>
      <c r="C70" s="18">
        <v>0.20019999999999999</v>
      </c>
      <c r="D70" s="18">
        <v>0.14399999999999999</v>
      </c>
      <c r="E70" s="18">
        <v>5.8000000000000003E-2</v>
      </c>
      <c r="F70" s="18">
        <v>5.8000000000000003E-2</v>
      </c>
      <c r="G70" s="18">
        <v>0.1201</v>
      </c>
      <c r="H70" s="18">
        <v>8.1900000000000001E-2</v>
      </c>
      <c r="I70" s="18">
        <v>5.8000000000000003E-2</v>
      </c>
      <c r="J70" s="18">
        <v>0.14399999999999999</v>
      </c>
      <c r="K70" s="18">
        <v>5.8000000000000003E-2</v>
      </c>
      <c r="L70" s="18">
        <v>5.8000000000000003E-2</v>
      </c>
      <c r="M70" s="18">
        <v>5.8000000000000003E-2</v>
      </c>
      <c r="N70" s="18">
        <v>5.8000000000000003E-2</v>
      </c>
      <c r="O70" s="18">
        <v>0.14399999999999999</v>
      </c>
      <c r="P70" s="18">
        <v>5.8000000000000003E-2</v>
      </c>
      <c r="Q70" s="18">
        <v>0.1201</v>
      </c>
      <c r="R70" s="18">
        <v>0.3609</v>
      </c>
      <c r="S70" s="18">
        <v>0.14480000000000001</v>
      </c>
      <c r="T70" s="18">
        <v>9.1300000000000006E-2</v>
      </c>
      <c r="U70" s="18">
        <v>0.1072</v>
      </c>
      <c r="V70" s="18">
        <v>0.10580000000000001</v>
      </c>
      <c r="W70" s="18">
        <v>5.8000000000000003E-2</v>
      </c>
      <c r="X70" s="18">
        <v>5.8000000000000003E-2</v>
      </c>
      <c r="Y70" s="18">
        <v>0.14399999999999999</v>
      </c>
      <c r="Z70" s="18">
        <v>5.8000000000000003E-2</v>
      </c>
      <c r="AA70" s="18">
        <v>9.1399999999999995E-2</v>
      </c>
      <c r="AB70" s="18">
        <v>0.1106</v>
      </c>
      <c r="AC70" s="18">
        <v>5.8000000000000003E-2</v>
      </c>
      <c r="AD70" s="18">
        <v>5.8000000000000003E-2</v>
      </c>
      <c r="AE70" s="18">
        <v>0.14399999999999999</v>
      </c>
      <c r="AF70" s="18">
        <v>5.8000000000000003E-2</v>
      </c>
      <c r="AG70" s="18">
        <v>8.6699999999999999E-2</v>
      </c>
      <c r="AH70" s="18">
        <v>0.1153</v>
      </c>
      <c r="AI70" s="18">
        <v>6.7599999999999993E-2</v>
      </c>
      <c r="AJ70" s="18">
        <v>0.13439999999999999</v>
      </c>
      <c r="AK70" s="18">
        <v>6.9699999999999998E-2</v>
      </c>
      <c r="AL70" s="18">
        <v>0.1174</v>
      </c>
      <c r="AM70" s="18">
        <v>9.7799999999999998E-2</v>
      </c>
      <c r="AN70" s="18">
        <v>0.1176</v>
      </c>
      <c r="AO70" s="18">
        <v>1.5884</v>
      </c>
      <c r="AP70" s="18">
        <v>0.47170000000000001</v>
      </c>
      <c r="AQ70" s="18">
        <v>0.3775</v>
      </c>
      <c r="AR70" s="18">
        <v>0.3866</v>
      </c>
      <c r="AS70" s="18">
        <v>0.43340000000000001</v>
      </c>
      <c r="AT70" s="18">
        <v>0.26129999999999998</v>
      </c>
      <c r="AU70" s="18">
        <v>0.10100000000000001</v>
      </c>
      <c r="AV70" s="18">
        <v>5.8000000000000003E-2</v>
      </c>
      <c r="AW70" s="18">
        <v>5.8000000000000003E-2</v>
      </c>
      <c r="AX70" s="18">
        <v>7.7100000000000002E-2</v>
      </c>
    </row>
    <row r="71" spans="1:50" x14ac:dyDescent="0.25">
      <c r="A71" s="8" t="s">
        <v>110</v>
      </c>
      <c r="B71" s="10" t="s">
        <v>57</v>
      </c>
      <c r="C71" s="18">
        <v>5.1999999999999998E-2</v>
      </c>
      <c r="D71" s="18">
        <v>0.1318</v>
      </c>
      <c r="E71" s="18">
        <v>5.1999999999999998E-2</v>
      </c>
      <c r="F71" s="18">
        <v>5.1999999999999998E-2</v>
      </c>
      <c r="G71" s="18">
        <v>5.1999999999999998E-2</v>
      </c>
      <c r="H71" s="18">
        <v>5.1999999999999998E-2</v>
      </c>
      <c r="I71" s="18">
        <v>0.11849999999999999</v>
      </c>
      <c r="J71" s="18">
        <v>6.5299999999999997E-2</v>
      </c>
      <c r="K71" s="18">
        <v>0.114</v>
      </c>
      <c r="L71" s="18">
        <v>6.9699999999999998E-2</v>
      </c>
      <c r="M71" s="18">
        <v>5.1999999999999998E-2</v>
      </c>
      <c r="N71" s="18">
        <v>5.1999999999999998E-2</v>
      </c>
      <c r="O71" s="18">
        <v>0.1318</v>
      </c>
      <c r="P71" s="18">
        <v>5.1999999999999998E-2</v>
      </c>
      <c r="Q71" s="18">
        <v>5.1999999999999998E-2</v>
      </c>
      <c r="R71" s="18">
        <v>0.1318</v>
      </c>
      <c r="S71" s="18">
        <v>5.1999999999999998E-2</v>
      </c>
      <c r="T71" s="18">
        <v>0.1318</v>
      </c>
      <c r="U71" s="18">
        <v>5.1999999999999998E-2</v>
      </c>
      <c r="V71" s="18">
        <v>0.1318</v>
      </c>
      <c r="W71" s="18">
        <v>5.1999999999999998E-2</v>
      </c>
      <c r="X71" s="18">
        <v>8.7499999999999994E-2</v>
      </c>
      <c r="Y71" s="18">
        <v>9.6299999999999997E-2</v>
      </c>
      <c r="Z71" s="18">
        <v>5.1999999999999998E-2</v>
      </c>
      <c r="AA71" s="18">
        <v>5.1999999999999998E-2</v>
      </c>
      <c r="AB71" s="18">
        <v>0.1318</v>
      </c>
      <c r="AC71" s="18">
        <v>5.1999999999999998E-2</v>
      </c>
      <c r="AD71" s="18">
        <v>0.1318</v>
      </c>
      <c r="AE71" s="18">
        <v>5.1999999999999998E-2</v>
      </c>
      <c r="AF71" s="18">
        <v>0.1318</v>
      </c>
      <c r="AG71" s="18">
        <v>0.10589999999999999</v>
      </c>
      <c r="AH71" s="18">
        <v>0.21390000000000001</v>
      </c>
      <c r="AI71" s="18">
        <v>9.6299999999999997E-2</v>
      </c>
      <c r="AJ71" s="18">
        <v>8.7499999999999994E-2</v>
      </c>
      <c r="AK71" s="18">
        <v>5.1999999999999998E-2</v>
      </c>
      <c r="AL71" s="18">
        <v>9.1899999999999996E-2</v>
      </c>
      <c r="AM71" s="18">
        <v>9.1899999999999996E-2</v>
      </c>
      <c r="AN71" s="18">
        <v>5.1999999999999998E-2</v>
      </c>
      <c r="AO71" s="18">
        <v>0.1318</v>
      </c>
      <c r="AP71" s="18">
        <v>5.1999999999999998E-2</v>
      </c>
      <c r="AQ71" s="18">
        <v>5.1999999999999998E-2</v>
      </c>
      <c r="AR71" s="18">
        <v>5.1999999999999998E-2</v>
      </c>
      <c r="AS71" s="18">
        <v>9.1899999999999996E-2</v>
      </c>
      <c r="AT71" s="18">
        <v>9.1899999999999996E-2</v>
      </c>
      <c r="AU71" s="18">
        <v>5.6399999999999999E-2</v>
      </c>
      <c r="AV71" s="18">
        <v>0.1273</v>
      </c>
      <c r="AW71" s="18">
        <v>5.1999999999999998E-2</v>
      </c>
      <c r="AX71" s="18">
        <v>0.1318</v>
      </c>
    </row>
    <row r="72" spans="1:50" x14ac:dyDescent="0.25">
      <c r="A72" s="16" t="s">
        <v>541</v>
      </c>
      <c r="B72" s="13" t="s">
        <v>464</v>
      </c>
      <c r="C72" s="17">
        <v>0.26119999999999999</v>
      </c>
      <c r="D72" s="17">
        <v>8.8700000000000001E-2</v>
      </c>
      <c r="E72" s="17">
        <v>8.4099999999999994E-2</v>
      </c>
      <c r="F72" s="17">
        <v>0.10249999999999999</v>
      </c>
      <c r="G72" s="17">
        <v>7.5300000000000006E-2</v>
      </c>
      <c r="H72" s="17">
        <v>0.19969999999999999</v>
      </c>
      <c r="I72" s="17">
        <v>0.1346</v>
      </c>
      <c r="J72" s="17">
        <v>5.1999999999999998E-2</v>
      </c>
      <c r="K72" s="17">
        <v>0.223</v>
      </c>
      <c r="L72" s="17">
        <v>5.1999999999999998E-2</v>
      </c>
      <c r="M72" s="17">
        <v>0.2046</v>
      </c>
      <c r="N72" s="17">
        <v>0.15310000000000001</v>
      </c>
      <c r="O72" s="17">
        <v>5.1999999999999998E-2</v>
      </c>
      <c r="P72" s="17">
        <v>0.223</v>
      </c>
      <c r="Q72" s="17">
        <v>5.1999999999999998E-2</v>
      </c>
      <c r="R72" s="17">
        <v>5.1999999999999998E-2</v>
      </c>
      <c r="S72" s="17">
        <v>0.223</v>
      </c>
      <c r="T72" s="17">
        <v>1.5374000000000001</v>
      </c>
      <c r="U72" s="17">
        <v>1.0583</v>
      </c>
      <c r="V72" s="17">
        <v>1.6796</v>
      </c>
      <c r="W72" s="17">
        <v>0.48970000000000002</v>
      </c>
      <c r="X72" s="17">
        <v>0.38529999999999998</v>
      </c>
      <c r="Y72" s="17">
        <v>0.25280000000000002</v>
      </c>
      <c r="Z72" s="17">
        <v>0.60960000000000003</v>
      </c>
      <c r="AA72" s="17">
        <v>1.6211</v>
      </c>
      <c r="AB72" s="17">
        <v>1.2582</v>
      </c>
      <c r="AC72" s="17">
        <v>1.1135999999999999</v>
      </c>
      <c r="AD72" s="17">
        <v>0.46850000000000003</v>
      </c>
      <c r="AE72" s="17">
        <v>0.34960000000000002</v>
      </c>
      <c r="AF72" s="17">
        <v>0.45579999999999998</v>
      </c>
      <c r="AG72" s="17">
        <v>0.29160000000000003</v>
      </c>
      <c r="AH72" s="17">
        <v>0.31900000000000001</v>
      </c>
      <c r="AI72" s="17">
        <v>0.11749999999999999</v>
      </c>
      <c r="AJ72" s="17">
        <v>6.2100000000000002E-2</v>
      </c>
      <c r="AK72" s="17">
        <v>0.21829999999999999</v>
      </c>
      <c r="AL72" s="17">
        <v>0.94789999999999996</v>
      </c>
      <c r="AM72" s="17">
        <v>1.3586</v>
      </c>
      <c r="AN72" s="17">
        <v>0.61680000000000001</v>
      </c>
      <c r="AO72" s="17">
        <v>0.54479999999999995</v>
      </c>
      <c r="AP72" s="17">
        <v>0.49759999999999999</v>
      </c>
      <c r="AQ72" s="17">
        <v>0.41170000000000001</v>
      </c>
      <c r="AR72" s="17">
        <v>0.56859999999999999</v>
      </c>
      <c r="AS72" s="17">
        <v>0.54979999999999996</v>
      </c>
      <c r="AT72" s="17">
        <v>0.61040000000000005</v>
      </c>
      <c r="AU72" s="17">
        <v>0.54700000000000004</v>
      </c>
      <c r="AV72" s="17">
        <v>0.48280000000000001</v>
      </c>
      <c r="AW72" s="17">
        <v>5.1999999999999998E-2</v>
      </c>
      <c r="AX72" s="17">
        <v>0.21529999999999999</v>
      </c>
    </row>
    <row r="73" spans="1:50" x14ac:dyDescent="0.25">
      <c r="A73" s="16" t="s">
        <v>543</v>
      </c>
      <c r="B73" s="13" t="s">
        <v>464</v>
      </c>
      <c r="C73" s="17">
        <v>0.13020000000000001</v>
      </c>
      <c r="D73" s="17">
        <v>0.23480000000000001</v>
      </c>
      <c r="E73" s="17">
        <v>0.1105</v>
      </c>
      <c r="F73" s="17">
        <v>0.1502</v>
      </c>
      <c r="G73" s="17">
        <v>9.7799999999999998E-2</v>
      </c>
      <c r="H73" s="17">
        <v>7.8200000000000006E-2</v>
      </c>
      <c r="I73" s="17">
        <v>0.2999</v>
      </c>
      <c r="J73" s="17">
        <v>5.1999999999999998E-2</v>
      </c>
      <c r="K73" s="17">
        <v>0.3</v>
      </c>
      <c r="L73" s="17">
        <v>7.8E-2</v>
      </c>
      <c r="M73" s="17">
        <v>0.104</v>
      </c>
      <c r="N73" s="17">
        <v>0.27400000000000002</v>
      </c>
      <c r="O73" s="17">
        <v>5.1999999999999998E-2</v>
      </c>
      <c r="P73" s="17">
        <v>0.1827</v>
      </c>
      <c r="Q73" s="17">
        <v>0.1953</v>
      </c>
      <c r="R73" s="17">
        <v>5.8500000000000003E-2</v>
      </c>
      <c r="S73" s="17">
        <v>0.31950000000000001</v>
      </c>
      <c r="T73" s="17">
        <v>5.1999999999999998E-2</v>
      </c>
      <c r="U73" s="17">
        <v>5.1999999999999998E-2</v>
      </c>
      <c r="V73" s="17">
        <v>0.2606</v>
      </c>
      <c r="W73" s="17">
        <v>0.11749999999999999</v>
      </c>
      <c r="X73" s="17">
        <v>0.44080000000000003</v>
      </c>
      <c r="Y73" s="17">
        <v>0.20469999999999999</v>
      </c>
      <c r="Z73" s="17">
        <v>6.4299999999999996E-2</v>
      </c>
      <c r="AA73" s="17">
        <v>0.2752</v>
      </c>
      <c r="AB73" s="17">
        <v>0.30459999999999998</v>
      </c>
      <c r="AC73" s="17">
        <v>0.27439999999999998</v>
      </c>
      <c r="AD73" s="17">
        <v>0.20630000000000001</v>
      </c>
      <c r="AE73" s="17">
        <v>0.31790000000000002</v>
      </c>
      <c r="AF73" s="17">
        <v>0.17630000000000001</v>
      </c>
      <c r="AG73" s="17">
        <v>0.26490000000000002</v>
      </c>
      <c r="AH73" s="17">
        <v>0.20880000000000001</v>
      </c>
      <c r="AI73" s="17">
        <v>7.8200000000000006E-2</v>
      </c>
      <c r="AJ73" s="17">
        <v>0.2346</v>
      </c>
      <c r="AK73" s="17">
        <v>0.14349999999999999</v>
      </c>
      <c r="AL73" s="17">
        <v>5.1999999999999998E-2</v>
      </c>
      <c r="AM73" s="17">
        <v>0.32600000000000001</v>
      </c>
      <c r="AN73" s="17">
        <v>5.1999999999999998E-2</v>
      </c>
      <c r="AO73" s="17">
        <v>0.2505</v>
      </c>
      <c r="AP73" s="17">
        <v>0.20880000000000001</v>
      </c>
      <c r="AQ73" s="17">
        <v>5.1999999999999998E-2</v>
      </c>
      <c r="AR73" s="17">
        <v>0.2999</v>
      </c>
      <c r="AS73" s="17">
        <v>7.8200000000000006E-2</v>
      </c>
      <c r="AT73" s="17">
        <v>0.2082</v>
      </c>
      <c r="AU73" s="17">
        <v>0.16980000000000001</v>
      </c>
      <c r="AV73" s="17">
        <v>5.1999999999999998E-2</v>
      </c>
      <c r="AW73" s="17">
        <v>0.19600000000000001</v>
      </c>
      <c r="AX73" s="17">
        <v>0.182</v>
      </c>
    </row>
    <row r="74" spans="1:50" x14ac:dyDescent="0.25">
      <c r="A74" s="8" t="s">
        <v>112</v>
      </c>
      <c r="B74" s="10" t="s">
        <v>57</v>
      </c>
      <c r="C74" s="18">
        <v>0.1012</v>
      </c>
      <c r="D74" s="18">
        <v>5.8999999999999997E-2</v>
      </c>
      <c r="E74" s="18">
        <v>5.8999999999999997E-2</v>
      </c>
      <c r="F74" s="18">
        <v>0.1749</v>
      </c>
      <c r="G74" s="18">
        <v>5.8999999999999997E-2</v>
      </c>
      <c r="H74" s="18">
        <v>0.15390000000000001</v>
      </c>
      <c r="I74" s="18">
        <v>8.0100000000000005E-2</v>
      </c>
      <c r="J74" s="18">
        <v>5.8999999999999997E-2</v>
      </c>
      <c r="K74" s="18">
        <v>0.1749</v>
      </c>
      <c r="L74" s="18">
        <v>5.8999999999999997E-2</v>
      </c>
      <c r="M74" s="18">
        <v>6.4299999999999996E-2</v>
      </c>
      <c r="N74" s="18">
        <v>0.16969999999999999</v>
      </c>
      <c r="O74" s="18">
        <v>5.8999999999999997E-2</v>
      </c>
      <c r="P74" s="18">
        <v>8.0100000000000005E-2</v>
      </c>
      <c r="Q74" s="18">
        <v>0.15390000000000001</v>
      </c>
      <c r="R74" s="18">
        <v>5.8999999999999997E-2</v>
      </c>
      <c r="S74" s="18">
        <v>0.54369999999999996</v>
      </c>
      <c r="T74" s="18">
        <v>0.6522</v>
      </c>
      <c r="U74" s="18">
        <v>0.15770000000000001</v>
      </c>
      <c r="V74" s="18">
        <v>5.8999999999999997E-2</v>
      </c>
      <c r="W74" s="18">
        <v>0.1903</v>
      </c>
      <c r="X74" s="18">
        <v>0.2404</v>
      </c>
      <c r="Y74" s="18">
        <v>9.7900000000000001E-2</v>
      </c>
      <c r="Z74" s="18">
        <v>0.16439999999999999</v>
      </c>
      <c r="AA74" s="18">
        <v>5.8999999999999997E-2</v>
      </c>
      <c r="AB74" s="18">
        <v>6.4299999999999996E-2</v>
      </c>
      <c r="AC74" s="18">
        <v>0.16969999999999999</v>
      </c>
      <c r="AD74" s="18">
        <v>5.8999999999999997E-2</v>
      </c>
      <c r="AE74" s="18">
        <v>0.1749</v>
      </c>
      <c r="AF74" s="18">
        <v>5.8999999999999997E-2</v>
      </c>
      <c r="AG74" s="18">
        <v>0.1328</v>
      </c>
      <c r="AH74" s="18">
        <v>0.1012</v>
      </c>
      <c r="AI74" s="18">
        <v>5.8999999999999997E-2</v>
      </c>
      <c r="AJ74" s="18">
        <v>0.13800000000000001</v>
      </c>
      <c r="AK74" s="18">
        <v>0.45019999999999999</v>
      </c>
      <c r="AL74" s="18">
        <v>1.8376999999999999</v>
      </c>
      <c r="AM74" s="18">
        <v>1.4449000000000001</v>
      </c>
      <c r="AN74" s="18">
        <v>0.40100000000000002</v>
      </c>
      <c r="AO74" s="18">
        <v>0.1757</v>
      </c>
      <c r="AP74" s="18">
        <v>0.1588</v>
      </c>
      <c r="AQ74" s="18">
        <v>0.31769999999999998</v>
      </c>
      <c r="AR74" s="18">
        <v>1.1583000000000001</v>
      </c>
      <c r="AS74" s="18">
        <v>0.35899999999999999</v>
      </c>
      <c r="AT74" s="18">
        <v>0.1661</v>
      </c>
      <c r="AU74" s="18">
        <v>0.1275</v>
      </c>
      <c r="AV74" s="18">
        <v>0.10639999999999999</v>
      </c>
      <c r="AW74" s="18">
        <v>5.8999999999999997E-2</v>
      </c>
      <c r="AX74" s="18">
        <v>0.1012</v>
      </c>
    </row>
    <row r="75" spans="1:50" x14ac:dyDescent="0.25">
      <c r="A75" s="8" t="s">
        <v>114</v>
      </c>
      <c r="B75" s="10" t="s">
        <v>57</v>
      </c>
      <c r="C75" s="18">
        <v>0.24349999999999999</v>
      </c>
      <c r="D75" s="18">
        <v>0.1346</v>
      </c>
      <c r="E75" s="18">
        <v>0.18540000000000001</v>
      </c>
      <c r="F75" s="18">
        <v>0.13</v>
      </c>
      <c r="G75" s="18">
        <v>0.16739999999999999</v>
      </c>
      <c r="H75" s="18">
        <v>0.22770000000000001</v>
      </c>
      <c r="I75" s="18">
        <v>9.2399999999999996E-2</v>
      </c>
      <c r="J75" s="18">
        <v>0.22309999999999999</v>
      </c>
      <c r="K75" s="18">
        <v>0.1346</v>
      </c>
      <c r="L75" s="18">
        <v>0.12280000000000001</v>
      </c>
      <c r="M75" s="18">
        <v>0.17280000000000001</v>
      </c>
      <c r="N75" s="18">
        <v>0.1246</v>
      </c>
      <c r="O75" s="18">
        <v>9.2700000000000005E-2</v>
      </c>
      <c r="P75" s="18">
        <v>0.21779999999999999</v>
      </c>
      <c r="Q75" s="18">
        <v>0.10970000000000001</v>
      </c>
      <c r="R75" s="18">
        <v>0.22070000000000001</v>
      </c>
      <c r="S75" s="18">
        <v>0.12959999999999999</v>
      </c>
      <c r="T75" s="18">
        <v>0.1076</v>
      </c>
      <c r="U75" s="18">
        <v>0.19789999999999999</v>
      </c>
      <c r="V75" s="18">
        <v>0.12959999999999999</v>
      </c>
      <c r="W75" s="18">
        <v>0.26050000000000001</v>
      </c>
      <c r="X75" s="18">
        <v>0.1047</v>
      </c>
      <c r="Y75" s="18">
        <v>0.16289999999999999</v>
      </c>
      <c r="Z75" s="18">
        <v>0.2024</v>
      </c>
      <c r="AA75" s="18">
        <v>5.5E-2</v>
      </c>
      <c r="AB75" s="18">
        <v>5.5E-2</v>
      </c>
      <c r="AC75" s="18">
        <v>0.16800000000000001</v>
      </c>
      <c r="AD75" s="18">
        <v>0.1973</v>
      </c>
      <c r="AE75" s="18">
        <v>0.1002</v>
      </c>
      <c r="AF75" s="18">
        <v>0.17549999999999999</v>
      </c>
      <c r="AG75" s="18">
        <v>0.17460000000000001</v>
      </c>
      <c r="AH75" s="18">
        <v>0.15840000000000001</v>
      </c>
      <c r="AI75" s="18">
        <v>0.16039999999999999</v>
      </c>
      <c r="AJ75" s="18">
        <v>0.1152</v>
      </c>
      <c r="AK75" s="18">
        <v>0.1401</v>
      </c>
      <c r="AL75" s="18">
        <v>0.22509999999999999</v>
      </c>
      <c r="AM75" s="18">
        <v>7.5600000000000001E-2</v>
      </c>
      <c r="AN75" s="18">
        <v>0.38080000000000003</v>
      </c>
      <c r="AO75" s="18">
        <v>0.1895</v>
      </c>
      <c r="AP75" s="18">
        <v>0.3846</v>
      </c>
      <c r="AQ75" s="18">
        <v>0.22070000000000001</v>
      </c>
      <c r="AR75" s="18">
        <v>0.06</v>
      </c>
      <c r="AS75" s="18">
        <v>0.20730000000000001</v>
      </c>
      <c r="AT75" s="18">
        <v>0.15290000000000001</v>
      </c>
      <c r="AU75" s="18">
        <v>0.14449999999999999</v>
      </c>
      <c r="AV75" s="18">
        <v>0.22070000000000001</v>
      </c>
      <c r="AW75" s="18">
        <v>5.5E-2</v>
      </c>
      <c r="AX75" s="18">
        <v>9.2700000000000005E-2</v>
      </c>
    </row>
    <row r="76" spans="1:50" x14ac:dyDescent="0.25">
      <c r="A76" s="16" t="s">
        <v>545</v>
      </c>
      <c r="B76" s="13" t="s">
        <v>464</v>
      </c>
      <c r="C76" s="17">
        <v>0.1215</v>
      </c>
      <c r="D76" s="17">
        <v>0.34310000000000002</v>
      </c>
      <c r="E76" s="17">
        <v>4.9000000000000002E-2</v>
      </c>
      <c r="F76" s="17">
        <v>8.5599999999999996E-2</v>
      </c>
      <c r="G76" s="17">
        <v>0.27660000000000001</v>
      </c>
      <c r="H76" s="17">
        <v>4.9000000000000002E-2</v>
      </c>
      <c r="I76" s="17">
        <v>0.23719999999999999</v>
      </c>
      <c r="J76" s="17">
        <v>0.1249</v>
      </c>
      <c r="K76" s="17">
        <v>9.3700000000000006E-2</v>
      </c>
      <c r="L76" s="17">
        <v>7.7499999999999999E-2</v>
      </c>
      <c r="M76" s="17">
        <v>0.14410000000000001</v>
      </c>
      <c r="N76" s="17">
        <v>0.218</v>
      </c>
      <c r="O76" s="17">
        <v>4.9000000000000002E-2</v>
      </c>
      <c r="P76" s="17">
        <v>0.2177</v>
      </c>
      <c r="Q76" s="17">
        <v>0.24030000000000001</v>
      </c>
      <c r="R76" s="17">
        <v>0.26040000000000002</v>
      </c>
      <c r="S76" s="17">
        <v>0.4375</v>
      </c>
      <c r="T76" s="17">
        <v>0.29149999999999998</v>
      </c>
      <c r="U76" s="17">
        <v>0.23219999999999999</v>
      </c>
      <c r="V76" s="17">
        <v>0.2064</v>
      </c>
      <c r="W76" s="17">
        <v>0.5212</v>
      </c>
      <c r="X76" s="17">
        <v>0.4022</v>
      </c>
      <c r="Y76" s="17">
        <v>0.59709999999999996</v>
      </c>
      <c r="Z76" s="17">
        <v>0.56540000000000001</v>
      </c>
      <c r="AA76" s="17">
        <v>0.55600000000000005</v>
      </c>
      <c r="AB76" s="17">
        <v>0.33229999999999998</v>
      </c>
      <c r="AC76" s="17">
        <v>7.3400000000000007E-2</v>
      </c>
      <c r="AD76" s="17">
        <v>0.21659999999999999</v>
      </c>
      <c r="AE76" s="17">
        <v>0.2162</v>
      </c>
      <c r="AF76" s="17">
        <v>0.28939999999999999</v>
      </c>
      <c r="AG76" s="17">
        <v>0.28949999999999998</v>
      </c>
      <c r="AH76" s="17">
        <v>1.0522</v>
      </c>
      <c r="AI76" s="17">
        <v>0.183</v>
      </c>
      <c r="AJ76" s="17">
        <v>0.51280000000000003</v>
      </c>
      <c r="AK76" s="17">
        <v>0.2384</v>
      </c>
      <c r="AL76" s="17">
        <v>0.24840000000000001</v>
      </c>
      <c r="AM76" s="17">
        <v>0.36680000000000001</v>
      </c>
      <c r="AN76" s="17">
        <v>0.24959999999999999</v>
      </c>
      <c r="AO76" s="17">
        <v>0.41720000000000002</v>
      </c>
      <c r="AP76" s="17">
        <v>0.38240000000000002</v>
      </c>
      <c r="AQ76" s="17">
        <v>0.4541</v>
      </c>
      <c r="AR76" s="17">
        <v>0.5373</v>
      </c>
      <c r="AS76" s="17">
        <v>0.58120000000000005</v>
      </c>
      <c r="AT76" s="17">
        <v>0.83930000000000005</v>
      </c>
      <c r="AU76" s="17">
        <v>0.48130000000000001</v>
      </c>
      <c r="AV76" s="17">
        <v>0.37069999999999997</v>
      </c>
      <c r="AW76" s="17">
        <v>0.43130000000000002</v>
      </c>
      <c r="AX76" s="17">
        <v>0.10979999999999999</v>
      </c>
    </row>
    <row r="77" spans="1:50" x14ac:dyDescent="0.25">
      <c r="A77" s="8" t="s">
        <v>116</v>
      </c>
      <c r="B77" s="10" t="s">
        <v>57</v>
      </c>
      <c r="C77" s="18">
        <v>0.34010000000000001</v>
      </c>
      <c r="D77" s="18">
        <v>4.8000000000000001E-2</v>
      </c>
      <c r="E77" s="18">
        <v>0.3417</v>
      </c>
      <c r="F77" s="18">
        <v>0.11550000000000001</v>
      </c>
      <c r="G77" s="18">
        <v>0.13039999999999999</v>
      </c>
      <c r="H77" s="18">
        <v>0.32679999999999998</v>
      </c>
      <c r="I77" s="18">
        <v>4.8000000000000001E-2</v>
      </c>
      <c r="J77" s="18">
        <v>0.2293</v>
      </c>
      <c r="K77" s="18">
        <v>0.1593</v>
      </c>
      <c r="L77" s="18">
        <v>0.22989999999999999</v>
      </c>
      <c r="M77" s="18">
        <v>0.28489999999999999</v>
      </c>
      <c r="N77" s="18">
        <v>0.1229</v>
      </c>
      <c r="O77" s="18">
        <v>0.2893</v>
      </c>
      <c r="P77" s="18">
        <v>0.16789999999999999</v>
      </c>
      <c r="Q77" s="18">
        <v>8.9200000000000002E-2</v>
      </c>
      <c r="R77" s="18">
        <v>0.29310000000000003</v>
      </c>
      <c r="S77" s="18">
        <v>4.8000000000000001E-2</v>
      </c>
      <c r="T77" s="18">
        <v>0.26889999999999997</v>
      </c>
      <c r="U77" s="18">
        <v>0.14949999999999999</v>
      </c>
      <c r="V77" s="18">
        <v>0.30590000000000001</v>
      </c>
      <c r="W77" s="18">
        <v>0.30159999999999998</v>
      </c>
      <c r="X77" s="18">
        <v>0.29220000000000002</v>
      </c>
      <c r="Y77" s="18">
        <v>0.13950000000000001</v>
      </c>
      <c r="Z77" s="18">
        <v>0.25769999999999998</v>
      </c>
      <c r="AA77" s="18">
        <v>0.13539999999999999</v>
      </c>
      <c r="AB77" s="18">
        <v>0.25340000000000001</v>
      </c>
      <c r="AC77" s="18">
        <v>0.60619999999999996</v>
      </c>
      <c r="AD77" s="18">
        <v>1.8694</v>
      </c>
      <c r="AE77" s="18">
        <v>2.97</v>
      </c>
      <c r="AF77" s="18">
        <v>2.5697000000000001</v>
      </c>
      <c r="AG77" s="18">
        <v>9.8000000000000004E-2</v>
      </c>
      <c r="AH77" s="18">
        <v>0.63649999999999995</v>
      </c>
      <c r="AI77" s="18">
        <v>1.7809999999999999</v>
      </c>
      <c r="AJ77" s="18">
        <v>0.64100000000000001</v>
      </c>
      <c r="AK77" s="18">
        <v>0.40510000000000002</v>
      </c>
      <c r="AL77" s="18">
        <v>5.7700000000000001E-2</v>
      </c>
      <c r="AM77" s="18">
        <v>0.41189999999999999</v>
      </c>
      <c r="AN77" s="18">
        <v>0.13039999999999999</v>
      </c>
      <c r="AO77" s="18">
        <v>8.9300000000000004E-2</v>
      </c>
      <c r="AP77" s="18">
        <v>0.45290000000000002</v>
      </c>
      <c r="AQ77" s="18">
        <v>0.48409999999999997</v>
      </c>
      <c r="AR77" s="18">
        <v>0.63370000000000004</v>
      </c>
      <c r="AS77" s="18">
        <v>0.47910000000000003</v>
      </c>
      <c r="AT77" s="18">
        <v>0.56950000000000001</v>
      </c>
      <c r="AU77" s="18">
        <v>0.81499999999999995</v>
      </c>
      <c r="AV77" s="18">
        <v>0.2994</v>
      </c>
      <c r="AW77" s="18">
        <v>0.32229999999999998</v>
      </c>
      <c r="AX77" s="18">
        <v>0.19839999999999999</v>
      </c>
    </row>
    <row r="78" spans="1:50" x14ac:dyDescent="0.25">
      <c r="A78" s="8" t="s">
        <v>118</v>
      </c>
      <c r="B78" s="10" t="s">
        <v>57</v>
      </c>
      <c r="C78" s="18">
        <v>0.2407</v>
      </c>
      <c r="D78" s="18">
        <v>5.1499999999999997E-2</v>
      </c>
      <c r="E78" s="18">
        <v>0.15529999999999999</v>
      </c>
      <c r="F78" s="18">
        <v>3.2000000000000001E-2</v>
      </c>
      <c r="G78" s="18">
        <v>4.4999999999999998E-2</v>
      </c>
      <c r="H78" s="18">
        <v>0.1618</v>
      </c>
      <c r="I78" s="18">
        <v>3.2000000000000001E-2</v>
      </c>
      <c r="J78" s="18">
        <v>3.2000000000000001E-2</v>
      </c>
      <c r="K78" s="18">
        <v>0.1099</v>
      </c>
      <c r="L78" s="18">
        <v>9.69E-2</v>
      </c>
      <c r="M78" s="18">
        <v>3.2000000000000001E-2</v>
      </c>
      <c r="N78" s="18">
        <v>0.17480000000000001</v>
      </c>
      <c r="O78" s="18">
        <v>3.2000000000000001E-2</v>
      </c>
      <c r="P78" s="18">
        <v>4.4999999999999998E-2</v>
      </c>
      <c r="Q78" s="18">
        <v>0.19020000000000001</v>
      </c>
      <c r="R78" s="18">
        <v>0.1326</v>
      </c>
      <c r="S78" s="18">
        <v>0.32369999999999999</v>
      </c>
      <c r="T78" s="18">
        <v>0.1177</v>
      </c>
      <c r="U78" s="18">
        <v>0.35849999999999999</v>
      </c>
      <c r="V78" s="18">
        <v>0.33169999999999999</v>
      </c>
      <c r="W78" s="18">
        <v>0.108</v>
      </c>
      <c r="X78" s="18">
        <v>5.1999999999999998E-2</v>
      </c>
      <c r="Y78" s="18">
        <v>0.17480000000000001</v>
      </c>
      <c r="Z78" s="18">
        <v>3.2000000000000001E-2</v>
      </c>
      <c r="AA78" s="18">
        <v>0.1099</v>
      </c>
      <c r="AB78" s="18">
        <v>9.69E-2</v>
      </c>
      <c r="AC78" s="18">
        <v>6.4500000000000002E-2</v>
      </c>
      <c r="AD78" s="18">
        <v>0.1424</v>
      </c>
      <c r="AE78" s="18">
        <v>3.2000000000000001E-2</v>
      </c>
      <c r="AF78" s="18">
        <v>0.16830000000000001</v>
      </c>
      <c r="AG78" s="18">
        <v>3.85E-2</v>
      </c>
      <c r="AH78" s="18">
        <v>4.4600000000000001E-2</v>
      </c>
      <c r="AI78" s="18">
        <v>0.67230000000000001</v>
      </c>
      <c r="AJ78" s="18">
        <v>0.24809999999999999</v>
      </c>
      <c r="AK78" s="18">
        <v>0.53580000000000005</v>
      </c>
      <c r="AL78" s="18">
        <v>7.4999999999999997E-2</v>
      </c>
      <c r="AM78" s="18">
        <v>8.77E-2</v>
      </c>
      <c r="AN78" s="18">
        <v>0.1731</v>
      </c>
      <c r="AO78" s="18">
        <v>0.1575</v>
      </c>
      <c r="AP78" s="18">
        <v>1.7609999999999999</v>
      </c>
      <c r="AQ78" s="18">
        <v>1.3029999999999999</v>
      </c>
      <c r="AR78" s="18">
        <v>0.73250000000000004</v>
      </c>
      <c r="AS78" s="18">
        <v>9.69E-2</v>
      </c>
      <c r="AT78" s="18">
        <v>0.1099</v>
      </c>
      <c r="AU78" s="18">
        <v>3.2000000000000001E-2</v>
      </c>
      <c r="AV78" s="18">
        <v>0.17480000000000001</v>
      </c>
      <c r="AW78" s="18">
        <v>3.2000000000000001E-2</v>
      </c>
      <c r="AX78" s="18">
        <v>7.7399999999999997E-2</v>
      </c>
    </row>
    <row r="79" spans="1:50" x14ac:dyDescent="0.25">
      <c r="A79" s="8" t="s">
        <v>120</v>
      </c>
      <c r="B79" s="10" t="s">
        <v>57</v>
      </c>
      <c r="C79" s="18">
        <v>0.1457</v>
      </c>
      <c r="D79" s="18">
        <v>0.16520000000000001</v>
      </c>
      <c r="E79" s="18">
        <v>9.0999999999999998E-2</v>
      </c>
      <c r="F79" s="18">
        <v>0.21990000000000001</v>
      </c>
      <c r="G79" s="18">
        <v>0.05</v>
      </c>
      <c r="H79" s="18">
        <v>0.17449999999999999</v>
      </c>
      <c r="I79" s="18">
        <v>0.13639999999999999</v>
      </c>
      <c r="J79" s="18">
        <v>0.05</v>
      </c>
      <c r="K79" s="18">
        <v>0.26100000000000001</v>
      </c>
      <c r="L79" s="18">
        <v>0.05</v>
      </c>
      <c r="M79" s="18">
        <v>0.2278</v>
      </c>
      <c r="N79" s="18">
        <v>8.3099999999999993E-2</v>
      </c>
      <c r="O79" s="18">
        <v>0.05</v>
      </c>
      <c r="P79" s="18">
        <v>0.26100000000000001</v>
      </c>
      <c r="Q79" s="18">
        <v>0.05</v>
      </c>
      <c r="R79" s="18">
        <v>0.16339999999999999</v>
      </c>
      <c r="S79" s="18">
        <v>0.41020000000000001</v>
      </c>
      <c r="T79" s="18">
        <v>0.87390000000000001</v>
      </c>
      <c r="U79" s="18">
        <v>0.22939999999999999</v>
      </c>
      <c r="V79" s="18">
        <v>0.11840000000000001</v>
      </c>
      <c r="W79" s="18">
        <v>0.16520000000000001</v>
      </c>
      <c r="X79" s="18">
        <v>0.1457</v>
      </c>
      <c r="Y79" s="18">
        <v>0.05</v>
      </c>
      <c r="Z79" s="18">
        <v>0.25409999999999999</v>
      </c>
      <c r="AA79" s="18">
        <v>5.6800000000000003E-2</v>
      </c>
      <c r="AB79" s="18">
        <v>6.3700000000000007E-2</v>
      </c>
      <c r="AC79" s="18">
        <v>0.24729999999999999</v>
      </c>
      <c r="AD79" s="18">
        <v>0.05</v>
      </c>
      <c r="AE79" s="18">
        <v>0.1457</v>
      </c>
      <c r="AF79" s="18">
        <v>0.13070000000000001</v>
      </c>
      <c r="AG79" s="18">
        <v>0.13930000000000001</v>
      </c>
      <c r="AH79" s="18">
        <v>9.0999999999999998E-2</v>
      </c>
      <c r="AI79" s="18">
        <v>0.38490000000000002</v>
      </c>
      <c r="AJ79" s="18">
        <v>1.7713000000000001</v>
      </c>
      <c r="AK79" s="18">
        <v>0.18759999999999999</v>
      </c>
      <c r="AL79" s="18">
        <v>0.1128</v>
      </c>
      <c r="AM79" s="18">
        <v>0.50270000000000004</v>
      </c>
      <c r="AN79" s="18">
        <v>1.2823</v>
      </c>
      <c r="AO79" s="18">
        <v>1.5660000000000001</v>
      </c>
      <c r="AP79" s="18">
        <v>0.24579999999999999</v>
      </c>
      <c r="AQ79" s="18">
        <v>0.16520000000000001</v>
      </c>
      <c r="AR79" s="18">
        <v>6.3700000000000007E-2</v>
      </c>
      <c r="AS79" s="18">
        <v>0.1321</v>
      </c>
      <c r="AT79" s="18">
        <v>0.05</v>
      </c>
      <c r="AU79" s="18">
        <v>8.4599999999999995E-2</v>
      </c>
      <c r="AV79" s="18">
        <v>0.22639999999999999</v>
      </c>
      <c r="AW79" s="18">
        <v>6.1499999999999999E-2</v>
      </c>
      <c r="AX79" s="18">
        <v>0.24940000000000001</v>
      </c>
    </row>
    <row r="80" spans="1:50" x14ac:dyDescent="0.25">
      <c r="A80" s="8" t="s">
        <v>122</v>
      </c>
      <c r="B80" s="10" t="s">
        <v>57</v>
      </c>
      <c r="C80" s="18">
        <v>0.26329999999999998</v>
      </c>
      <c r="D80" s="18">
        <v>0.1011</v>
      </c>
      <c r="E80" s="18">
        <v>0.19689999999999999</v>
      </c>
      <c r="F80" s="18">
        <v>0.16739999999999999</v>
      </c>
      <c r="G80" s="18">
        <v>4.5999999999999999E-2</v>
      </c>
      <c r="H80" s="18">
        <v>0.1341</v>
      </c>
      <c r="I80" s="18">
        <v>0.17860000000000001</v>
      </c>
      <c r="J80" s="18">
        <v>9.7600000000000006E-2</v>
      </c>
      <c r="K80" s="18">
        <v>0.15440000000000001</v>
      </c>
      <c r="L80" s="18">
        <v>0.21</v>
      </c>
      <c r="M80" s="18">
        <v>4.5999999999999999E-2</v>
      </c>
      <c r="N80" s="18">
        <v>0.15620000000000001</v>
      </c>
      <c r="O80" s="18">
        <v>0.16400000000000001</v>
      </c>
      <c r="P80" s="18">
        <v>0.12330000000000001</v>
      </c>
      <c r="Q80" s="18">
        <v>0.1231</v>
      </c>
      <c r="R80" s="18">
        <v>0.2248</v>
      </c>
      <c r="S80" s="18">
        <v>6.8000000000000005E-2</v>
      </c>
      <c r="T80" s="18">
        <v>0.17100000000000001</v>
      </c>
      <c r="U80" s="18">
        <v>0.39850000000000002</v>
      </c>
      <c r="V80" s="18">
        <v>0.1011</v>
      </c>
      <c r="W80" s="18">
        <v>0.28010000000000002</v>
      </c>
      <c r="X80" s="18">
        <v>0.32119999999999999</v>
      </c>
      <c r="Y80" s="18">
        <v>0.1343</v>
      </c>
      <c r="Z80" s="18">
        <v>6.0999999999999999E-2</v>
      </c>
      <c r="AA80" s="18">
        <v>1.1349</v>
      </c>
      <c r="AB80" s="18">
        <v>1.4962</v>
      </c>
      <c r="AC80" s="18">
        <v>0.4798</v>
      </c>
      <c r="AD80" s="18">
        <v>0.40550000000000003</v>
      </c>
      <c r="AE80" s="18">
        <v>0.2054</v>
      </c>
      <c r="AF80" s="18">
        <v>0.2747</v>
      </c>
      <c r="AG80" s="18">
        <v>0.38369999999999999</v>
      </c>
      <c r="AH80" s="18">
        <v>0.18720000000000001</v>
      </c>
      <c r="AI80" s="18">
        <v>0.31990000000000002</v>
      </c>
      <c r="AJ80" s="18">
        <v>0.2888</v>
      </c>
      <c r="AK80" s="18">
        <v>0.50639999999999996</v>
      </c>
      <c r="AL80" s="18">
        <v>0.21859999999999999</v>
      </c>
      <c r="AM80" s="18">
        <v>0.1472</v>
      </c>
      <c r="AN80" s="18">
        <v>0.2281</v>
      </c>
      <c r="AO80" s="18">
        <v>0.28670000000000001</v>
      </c>
      <c r="AP80" s="18">
        <v>0.16350000000000001</v>
      </c>
      <c r="AQ80" s="18">
        <v>0.105</v>
      </c>
      <c r="AR80" s="18">
        <v>0.1492</v>
      </c>
      <c r="AS80" s="18">
        <v>0.1176</v>
      </c>
      <c r="AT80" s="18">
        <v>8.4599999999999995E-2</v>
      </c>
      <c r="AU80" s="18">
        <v>0.2082</v>
      </c>
      <c r="AV80" s="18">
        <v>0.1817</v>
      </c>
      <c r="AW80" s="18">
        <v>0.2341</v>
      </c>
      <c r="AX80" s="18">
        <v>0.44640000000000002</v>
      </c>
    </row>
    <row r="81" spans="1:50" x14ac:dyDescent="0.25">
      <c r="A81" s="8" t="s">
        <v>124</v>
      </c>
      <c r="B81" s="10" t="s">
        <v>57</v>
      </c>
      <c r="C81" s="18">
        <v>0.26150000000000001</v>
      </c>
      <c r="D81" s="18">
        <v>0.14530000000000001</v>
      </c>
      <c r="E81" s="18">
        <v>0.1845</v>
      </c>
      <c r="F81" s="18">
        <v>0.23549999999999999</v>
      </c>
      <c r="G81" s="18">
        <v>0.20300000000000001</v>
      </c>
      <c r="H81" s="18">
        <v>0.17100000000000001</v>
      </c>
      <c r="I81" s="18">
        <v>0.29160000000000003</v>
      </c>
      <c r="J81" s="18">
        <v>5.2999999999999999E-2</v>
      </c>
      <c r="K81" s="18">
        <v>0.20130000000000001</v>
      </c>
      <c r="L81" s="18">
        <v>0.27860000000000001</v>
      </c>
      <c r="M81" s="18">
        <v>5.2999999999999999E-2</v>
      </c>
      <c r="N81" s="18">
        <v>0.29980000000000001</v>
      </c>
      <c r="O81" s="18">
        <v>0.1181</v>
      </c>
      <c r="P81" s="18">
        <v>0.1128</v>
      </c>
      <c r="Q81" s="18">
        <v>0.36709999999999998</v>
      </c>
      <c r="R81" s="18">
        <v>9.2799999999999994E-2</v>
      </c>
      <c r="S81" s="18">
        <v>0.14599999999999999</v>
      </c>
      <c r="T81" s="18">
        <v>0.39100000000000001</v>
      </c>
      <c r="U81" s="18">
        <v>0.34260000000000002</v>
      </c>
      <c r="V81" s="18">
        <v>7.3899999999999993E-2</v>
      </c>
      <c r="W81" s="18">
        <v>0.3881</v>
      </c>
      <c r="X81" s="18">
        <v>1.9036</v>
      </c>
      <c r="Y81" s="18">
        <v>0.91339999999999999</v>
      </c>
      <c r="Z81" s="18">
        <v>0.64800000000000002</v>
      </c>
      <c r="AA81" s="18">
        <v>0.1426</v>
      </c>
      <c r="AB81" s="18">
        <v>9.4299999999999995E-2</v>
      </c>
      <c r="AC81" s="18">
        <v>0.35239999999999999</v>
      </c>
      <c r="AD81" s="18">
        <v>8.6199999999999999E-2</v>
      </c>
      <c r="AE81" s="18">
        <v>0.20130000000000001</v>
      </c>
      <c r="AF81" s="18">
        <v>0.27860000000000001</v>
      </c>
      <c r="AG81" s="18">
        <v>7.0199999999999999E-2</v>
      </c>
      <c r="AH81" s="18">
        <v>0.24429999999999999</v>
      </c>
      <c r="AI81" s="18">
        <v>0.1055</v>
      </c>
      <c r="AJ81" s="18">
        <v>0.31740000000000002</v>
      </c>
      <c r="AK81" s="18">
        <v>0.1426</v>
      </c>
      <c r="AL81" s="18">
        <v>0.2525</v>
      </c>
      <c r="AM81" s="18">
        <v>0.22739999999999999</v>
      </c>
      <c r="AN81" s="18">
        <v>0.16689999999999999</v>
      </c>
      <c r="AO81" s="18">
        <v>0.313</v>
      </c>
      <c r="AP81" s="18">
        <v>5.2999999999999999E-2</v>
      </c>
      <c r="AQ81" s="18">
        <v>0.24779999999999999</v>
      </c>
      <c r="AR81" s="18">
        <v>5.2999999999999999E-2</v>
      </c>
      <c r="AS81" s="18">
        <v>0.31180000000000002</v>
      </c>
      <c r="AT81" s="18">
        <v>0.1061</v>
      </c>
      <c r="AU81" s="18">
        <v>0.1913</v>
      </c>
      <c r="AV81" s="18">
        <v>0.63539999999999996</v>
      </c>
      <c r="AW81" s="18">
        <v>0.55810000000000004</v>
      </c>
      <c r="AX81" s="18">
        <v>0.39279999999999998</v>
      </c>
    </row>
    <row r="82" spans="1:50" x14ac:dyDescent="0.25">
      <c r="A82" s="8" t="s">
        <v>126</v>
      </c>
      <c r="B82" s="10" t="s">
        <v>57</v>
      </c>
      <c r="C82" s="18">
        <v>0.15670000000000001</v>
      </c>
      <c r="D82" s="18">
        <v>0.1153</v>
      </c>
      <c r="E82" s="18">
        <v>8.5000000000000006E-2</v>
      </c>
      <c r="F82" s="18">
        <v>0.18640000000000001</v>
      </c>
      <c r="G82" s="18">
        <v>0.1153</v>
      </c>
      <c r="H82" s="18">
        <v>0.12759999999999999</v>
      </c>
      <c r="I82" s="18">
        <v>0.2082</v>
      </c>
      <c r="J82" s="18">
        <v>5.0999999999999997E-2</v>
      </c>
      <c r="K82" s="18">
        <v>5.0999999999999997E-2</v>
      </c>
      <c r="L82" s="18">
        <v>0.81540000000000001</v>
      </c>
      <c r="M82" s="18">
        <v>0.182</v>
      </c>
      <c r="N82" s="18">
        <v>5.0999999999999997E-2</v>
      </c>
      <c r="O82" s="18">
        <v>0.2082</v>
      </c>
      <c r="P82" s="18">
        <v>5.0999999999999997E-2</v>
      </c>
      <c r="Q82" s="18">
        <v>0.2419</v>
      </c>
      <c r="R82" s="18">
        <v>9.3899999999999997E-2</v>
      </c>
      <c r="S82" s="18">
        <v>5.8099999999999999E-2</v>
      </c>
      <c r="T82" s="18">
        <v>0.26490000000000002</v>
      </c>
      <c r="U82" s="18">
        <v>0.37140000000000001</v>
      </c>
      <c r="V82" s="18">
        <v>0.4128</v>
      </c>
      <c r="W82" s="18">
        <v>0.28849999999999998</v>
      </c>
      <c r="X82" s="18">
        <v>0.43130000000000002</v>
      </c>
      <c r="Y82" s="18">
        <v>1.2907999999999999</v>
      </c>
      <c r="Z82" s="18">
        <v>1.4749000000000001</v>
      </c>
      <c r="AA82" s="18">
        <v>0.54769999999999996</v>
      </c>
      <c r="AB82" s="18">
        <v>0.2046</v>
      </c>
      <c r="AC82" s="18">
        <v>1.7778</v>
      </c>
      <c r="AD82" s="18">
        <v>1.2717000000000001</v>
      </c>
      <c r="AE82" s="18">
        <v>0.34399999999999997</v>
      </c>
      <c r="AF82" s="18">
        <v>0.2016</v>
      </c>
      <c r="AG82" s="18">
        <v>0.15909999999999999</v>
      </c>
      <c r="AH82" s="18">
        <v>5.0999999999999997E-2</v>
      </c>
      <c r="AI82" s="18">
        <v>0.35520000000000002</v>
      </c>
      <c r="AJ82" s="18">
        <v>0.4088</v>
      </c>
      <c r="AK82" s="18">
        <v>0.1555</v>
      </c>
      <c r="AL82" s="18">
        <v>7.7700000000000005E-2</v>
      </c>
      <c r="AM82" s="18">
        <v>0.24379999999999999</v>
      </c>
      <c r="AN82" s="18">
        <v>8.6599999999999996E-2</v>
      </c>
      <c r="AO82" s="18">
        <v>0.50360000000000005</v>
      </c>
      <c r="AP82" s="18">
        <v>0.5111</v>
      </c>
      <c r="AQ82" s="18">
        <v>0.38629999999999998</v>
      </c>
      <c r="AR82" s="18">
        <v>1.0942000000000001</v>
      </c>
      <c r="AS82" s="18">
        <v>0.85299999999999998</v>
      </c>
      <c r="AT82" s="18">
        <v>0.63639999999999997</v>
      </c>
      <c r="AU82" s="18">
        <v>0.8508</v>
      </c>
      <c r="AV82" s="18">
        <v>0.32729999999999998</v>
      </c>
      <c r="AW82" s="18">
        <v>1.5761000000000001</v>
      </c>
      <c r="AX82" s="18">
        <v>0.624</v>
      </c>
    </row>
    <row r="83" spans="1:50" x14ac:dyDescent="0.25">
      <c r="A83" s="8" t="s">
        <v>128</v>
      </c>
      <c r="B83" s="10" t="s">
        <v>57</v>
      </c>
      <c r="C83" s="18">
        <v>2.9000000000000001E-2</v>
      </c>
      <c r="D83" s="18">
        <v>8.7400000000000005E-2</v>
      </c>
      <c r="E83" s="18">
        <v>4.07E-2</v>
      </c>
      <c r="F83" s="18">
        <v>4.8500000000000001E-2</v>
      </c>
      <c r="G83" s="18">
        <v>7.9600000000000004E-2</v>
      </c>
      <c r="H83" s="18">
        <v>2.9000000000000001E-2</v>
      </c>
      <c r="I83" s="18">
        <v>2.9000000000000001E-2</v>
      </c>
      <c r="J83" s="18">
        <v>7.5700000000000003E-2</v>
      </c>
      <c r="K83" s="18">
        <v>5.2299999999999999E-2</v>
      </c>
      <c r="L83" s="18">
        <v>2.9000000000000001E-2</v>
      </c>
      <c r="M83" s="18">
        <v>9.9000000000000005E-2</v>
      </c>
      <c r="N83" s="18">
        <v>2.9000000000000001E-2</v>
      </c>
      <c r="O83" s="18">
        <v>9.9000000000000005E-2</v>
      </c>
      <c r="P83" s="18">
        <v>2.9000000000000001E-2</v>
      </c>
      <c r="Q83" s="18">
        <v>8.8099999999999998E-2</v>
      </c>
      <c r="R83" s="18">
        <v>6.1899999999999997E-2</v>
      </c>
      <c r="S83" s="18">
        <v>6.5100000000000005E-2</v>
      </c>
      <c r="T83" s="18">
        <v>0.1104</v>
      </c>
      <c r="U83" s="18">
        <v>1.3677999999999999</v>
      </c>
      <c r="V83" s="18">
        <v>0.2823</v>
      </c>
      <c r="W83" s="18">
        <v>1.4858</v>
      </c>
      <c r="X83" s="18">
        <v>0.32090000000000002</v>
      </c>
      <c r="Y83" s="18">
        <v>2.9000000000000001E-2</v>
      </c>
      <c r="Z83" s="18">
        <v>0.76759999999999995</v>
      </c>
      <c r="AA83" s="18">
        <v>0.64049999999999996</v>
      </c>
      <c r="AB83" s="18">
        <v>0.88019999999999998</v>
      </c>
      <c r="AC83" s="18">
        <v>1.1557999999999999</v>
      </c>
      <c r="AD83" s="18">
        <v>1.1272</v>
      </c>
      <c r="AE83" s="18">
        <v>0.99019999999999997</v>
      </c>
      <c r="AF83" s="18">
        <v>9.9000000000000005E-2</v>
      </c>
      <c r="AG83" s="18">
        <v>0.252</v>
      </c>
      <c r="AH83" s="18">
        <v>0.13420000000000001</v>
      </c>
      <c r="AI83" s="18">
        <v>2.9000000000000001E-2</v>
      </c>
      <c r="AJ83" s="18">
        <v>0.24579999999999999</v>
      </c>
      <c r="AK83" s="18">
        <v>0.30659999999999998</v>
      </c>
      <c r="AL83" s="18">
        <v>0.80800000000000005</v>
      </c>
      <c r="AM83" s="18">
        <v>0.6179</v>
      </c>
      <c r="AN83" s="18">
        <v>1.7028000000000001</v>
      </c>
      <c r="AO83" s="18">
        <v>0.19769999999999999</v>
      </c>
      <c r="AP83" s="18">
        <v>0.23</v>
      </c>
      <c r="AQ83" s="18">
        <v>0.31979999999999997</v>
      </c>
      <c r="AR83" s="18">
        <v>0.25009999999999999</v>
      </c>
      <c r="AS83" s="18">
        <v>0.23330000000000001</v>
      </c>
      <c r="AT83" s="18">
        <v>0.4451</v>
      </c>
      <c r="AU83" s="18">
        <v>0.2102</v>
      </c>
      <c r="AV83" s="18">
        <v>5.62E-2</v>
      </c>
      <c r="AW83" s="18">
        <v>7.1800000000000003E-2</v>
      </c>
      <c r="AX83" s="18">
        <v>7.5700000000000003E-2</v>
      </c>
    </row>
    <row r="84" spans="1:50" x14ac:dyDescent="0.25">
      <c r="A84" s="16" t="s">
        <v>547</v>
      </c>
      <c r="B84" s="13" t="s">
        <v>464</v>
      </c>
      <c r="C84" s="17">
        <v>8.2799999999999999E-2</v>
      </c>
      <c r="D84" s="17">
        <v>0.2447</v>
      </c>
      <c r="E84" s="17">
        <v>0.19800000000000001</v>
      </c>
      <c r="F84" s="17">
        <v>0.2374</v>
      </c>
      <c r="G84" s="17">
        <v>0.2351</v>
      </c>
      <c r="H84" s="17">
        <v>0.14230000000000001</v>
      </c>
      <c r="I84" s="17">
        <v>0.23849999999999999</v>
      </c>
      <c r="J84" s="17">
        <v>0.14460000000000001</v>
      </c>
      <c r="K84" s="17">
        <v>0.2019</v>
      </c>
      <c r="L84" s="17">
        <v>0.27060000000000001</v>
      </c>
      <c r="M84" s="17">
        <v>5.2999999999999999E-2</v>
      </c>
      <c r="N84" s="17">
        <v>0.2306</v>
      </c>
      <c r="O84" s="17">
        <v>0.1134</v>
      </c>
      <c r="P84" s="17">
        <v>0.25330000000000003</v>
      </c>
      <c r="Q84" s="17">
        <v>0.21920000000000001</v>
      </c>
      <c r="R84" s="17">
        <v>5.2999999999999999E-2</v>
      </c>
      <c r="S84" s="17">
        <v>0.29530000000000001</v>
      </c>
      <c r="T84" s="17">
        <v>1.466</v>
      </c>
      <c r="U84" s="17">
        <v>0.60419999999999996</v>
      </c>
      <c r="V84" s="17">
        <v>0.4713</v>
      </c>
      <c r="W84" s="17">
        <v>0.13830000000000001</v>
      </c>
      <c r="X84" s="17">
        <v>0.12720000000000001</v>
      </c>
      <c r="Y84" s="17">
        <v>0.2228</v>
      </c>
      <c r="Z84" s="17">
        <v>2.1385000000000001</v>
      </c>
      <c r="AA84" s="17">
        <v>1.3627</v>
      </c>
      <c r="AB84" s="17">
        <v>0.56459999999999999</v>
      </c>
      <c r="AC84" s="17">
        <v>0.45290000000000002</v>
      </c>
      <c r="AD84" s="17">
        <v>0.38729999999999998</v>
      </c>
      <c r="AE84" s="17">
        <v>1.4349000000000001</v>
      </c>
      <c r="AF84" s="17">
        <v>0.56010000000000004</v>
      </c>
      <c r="AG84" s="17">
        <v>0.46660000000000001</v>
      </c>
      <c r="AH84" s="17">
        <v>0.38390000000000002</v>
      </c>
      <c r="AI84" s="17">
        <v>0.4178</v>
      </c>
      <c r="AJ84" s="17">
        <v>0.64400000000000002</v>
      </c>
      <c r="AK84" s="17">
        <v>0.96660000000000001</v>
      </c>
      <c r="AL84" s="17">
        <v>0.2606</v>
      </c>
      <c r="AM84" s="17">
        <v>0.2238</v>
      </c>
      <c r="AN84" s="17">
        <v>0.28889999999999999</v>
      </c>
      <c r="AO84" s="17">
        <v>0.17380000000000001</v>
      </c>
      <c r="AP84" s="17">
        <v>0.2893</v>
      </c>
      <c r="AQ84" s="17">
        <v>0.46929999999999999</v>
      </c>
      <c r="AR84" s="17">
        <v>0.32390000000000002</v>
      </c>
      <c r="AS84" s="17">
        <v>0.23330000000000001</v>
      </c>
      <c r="AT84" s="17">
        <v>0.18140000000000001</v>
      </c>
      <c r="AU84" s="17">
        <v>0.1149</v>
      </c>
      <c r="AV84" s="17">
        <v>0.2868</v>
      </c>
      <c r="AW84" s="17">
        <v>5.2999999999999999E-2</v>
      </c>
      <c r="AX84" s="17">
        <v>5.2999999999999999E-2</v>
      </c>
    </row>
    <row r="85" spans="1:50" x14ac:dyDescent="0.25">
      <c r="A85" s="16" t="s">
        <v>549</v>
      </c>
      <c r="B85" s="13" t="s">
        <v>464</v>
      </c>
      <c r="C85" s="17">
        <v>0.1391</v>
      </c>
      <c r="D85" s="17">
        <v>6.9800000000000001E-2</v>
      </c>
      <c r="E85" s="17">
        <v>5.5E-2</v>
      </c>
      <c r="F85" s="17">
        <v>0.12920000000000001</v>
      </c>
      <c r="G85" s="17">
        <v>7.9699999999999993E-2</v>
      </c>
      <c r="H85" s="17">
        <v>0.12429999999999999</v>
      </c>
      <c r="I85" s="17">
        <v>8.4699999999999998E-2</v>
      </c>
      <c r="J85" s="17">
        <v>7.4800000000000005E-2</v>
      </c>
      <c r="K85" s="17">
        <v>0.13420000000000001</v>
      </c>
      <c r="L85" s="17">
        <v>5.5E-2</v>
      </c>
      <c r="M85" s="17">
        <v>5.5E-2</v>
      </c>
      <c r="N85" s="17">
        <v>5.5E-2</v>
      </c>
      <c r="O85" s="17">
        <v>5.5E-2</v>
      </c>
      <c r="P85" s="17">
        <v>0.154</v>
      </c>
      <c r="Q85" s="17">
        <v>5.5E-2</v>
      </c>
      <c r="R85" s="17">
        <v>0.154</v>
      </c>
      <c r="S85" s="17">
        <v>5.5E-2</v>
      </c>
      <c r="T85" s="17">
        <v>6.9800000000000001E-2</v>
      </c>
      <c r="U85" s="17">
        <v>0.15490000000000001</v>
      </c>
      <c r="V85" s="17">
        <v>8.09E-2</v>
      </c>
      <c r="W85" s="17">
        <v>0.15060000000000001</v>
      </c>
      <c r="X85" s="17">
        <v>0.30230000000000001</v>
      </c>
      <c r="Y85" s="17">
        <v>0.13339999999999999</v>
      </c>
      <c r="Z85" s="17">
        <v>9.9500000000000005E-2</v>
      </c>
      <c r="AA85" s="17">
        <v>5.5E-2</v>
      </c>
      <c r="AB85" s="17">
        <v>0.14899999999999999</v>
      </c>
      <c r="AC85" s="17">
        <v>5.9900000000000002E-2</v>
      </c>
      <c r="AD85" s="17">
        <v>7.4800000000000005E-2</v>
      </c>
      <c r="AE85" s="17">
        <v>0.13420000000000001</v>
      </c>
      <c r="AF85" s="17">
        <v>5.5E-2</v>
      </c>
      <c r="AG85" s="17">
        <v>0.154</v>
      </c>
      <c r="AH85" s="17">
        <v>5.5E-2</v>
      </c>
      <c r="AI85" s="17">
        <v>0.1328</v>
      </c>
      <c r="AJ85" s="17">
        <v>7.9699999999999993E-2</v>
      </c>
      <c r="AK85" s="17">
        <v>5.5E-2</v>
      </c>
      <c r="AL85" s="17">
        <v>5.5E-2</v>
      </c>
      <c r="AM85" s="17">
        <v>0.18429999999999999</v>
      </c>
      <c r="AN85" s="17">
        <v>0.33629999999999999</v>
      </c>
      <c r="AO85" s="17">
        <v>0.75309999999999999</v>
      </c>
      <c r="AP85" s="17">
        <v>0.54590000000000005</v>
      </c>
      <c r="AQ85" s="17">
        <v>0.40849999999999997</v>
      </c>
      <c r="AR85" s="17">
        <v>0.52759999999999996</v>
      </c>
      <c r="AS85" s="17">
        <v>0.67630000000000001</v>
      </c>
      <c r="AT85" s="17">
        <v>0.88839999999999997</v>
      </c>
      <c r="AU85" s="17">
        <v>1.4785999999999999</v>
      </c>
      <c r="AV85" s="17">
        <v>0.95120000000000005</v>
      </c>
      <c r="AW85" s="17">
        <v>0.22989999999999999</v>
      </c>
      <c r="AX85" s="17">
        <v>6.9800000000000001E-2</v>
      </c>
    </row>
    <row r="86" spans="1:50" x14ac:dyDescent="0.25">
      <c r="A86" s="16" t="s">
        <v>551</v>
      </c>
      <c r="B86" s="13" t="s">
        <v>464</v>
      </c>
      <c r="C86" s="17">
        <v>0.19059999999999999</v>
      </c>
      <c r="D86" s="17">
        <v>0.15690000000000001</v>
      </c>
      <c r="E86" s="17">
        <v>4.1000000000000002E-2</v>
      </c>
      <c r="F86" s="17">
        <v>0.2571</v>
      </c>
      <c r="G86" s="17">
        <v>4.1000000000000002E-2</v>
      </c>
      <c r="H86" s="17">
        <v>4.1000000000000002E-2</v>
      </c>
      <c r="I86" s="17">
        <v>0.2571</v>
      </c>
      <c r="J86" s="17">
        <v>4.1000000000000002E-2</v>
      </c>
      <c r="K86" s="17">
        <v>8.3699999999999997E-2</v>
      </c>
      <c r="L86" s="17">
        <v>0.1643</v>
      </c>
      <c r="M86" s="17">
        <v>9.0999999999999998E-2</v>
      </c>
      <c r="N86" s="17">
        <v>0.1691</v>
      </c>
      <c r="O86" s="17">
        <v>0.12889999999999999</v>
      </c>
      <c r="P86" s="17">
        <v>4.1000000000000002E-2</v>
      </c>
      <c r="Q86" s="17">
        <v>0.1855</v>
      </c>
      <c r="R86" s="17">
        <v>0.1125</v>
      </c>
      <c r="S86" s="17">
        <v>0.41699999999999998</v>
      </c>
      <c r="T86" s="17">
        <v>0.4713</v>
      </c>
      <c r="U86" s="17">
        <v>0.317</v>
      </c>
      <c r="V86" s="17">
        <v>0.76880000000000004</v>
      </c>
      <c r="W86" s="17">
        <v>0.55789999999999995</v>
      </c>
      <c r="X86" s="17">
        <v>0.1128</v>
      </c>
      <c r="Y86" s="17">
        <v>0.20250000000000001</v>
      </c>
      <c r="Z86" s="17">
        <v>0.14699999999999999</v>
      </c>
      <c r="AA86" s="17">
        <v>0.26900000000000002</v>
      </c>
      <c r="AB86" s="17">
        <v>0.30980000000000002</v>
      </c>
      <c r="AC86" s="17">
        <v>6.2399999999999997E-2</v>
      </c>
      <c r="AD86" s="17">
        <v>0.56220000000000003</v>
      </c>
      <c r="AE86" s="17">
        <v>0.2379</v>
      </c>
      <c r="AF86" s="17">
        <v>0.30719999999999997</v>
      </c>
      <c r="AG86" s="17">
        <v>0.1749</v>
      </c>
      <c r="AH86" s="17">
        <v>0.22120000000000001</v>
      </c>
      <c r="AI86" s="17">
        <v>0.39760000000000001</v>
      </c>
      <c r="AJ86" s="17">
        <v>0.26769999999999999</v>
      </c>
      <c r="AK86" s="17">
        <v>1.54</v>
      </c>
      <c r="AL86" s="17">
        <v>0.89349999999999996</v>
      </c>
      <c r="AM86" s="17">
        <v>0.30059999999999998</v>
      </c>
      <c r="AN86" s="17">
        <v>0.2074</v>
      </c>
      <c r="AO86" s="17">
        <v>0.28120000000000001</v>
      </c>
      <c r="AP86" s="17">
        <v>0.70909999999999995</v>
      </c>
      <c r="AQ86" s="17">
        <v>0.66449999999999998</v>
      </c>
      <c r="AR86" s="17">
        <v>0.56130000000000002</v>
      </c>
      <c r="AS86" s="17">
        <v>0.502</v>
      </c>
      <c r="AT86" s="17">
        <v>0.37319999999999998</v>
      </c>
      <c r="AU86" s="17">
        <v>0.54049999999999998</v>
      </c>
      <c r="AV86" s="17">
        <v>0.60819999999999996</v>
      </c>
      <c r="AW86" s="17">
        <v>2.0001000000000002</v>
      </c>
      <c r="AX86" s="17">
        <v>0.84899999999999998</v>
      </c>
    </row>
    <row r="87" spans="1:50" x14ac:dyDescent="0.25">
      <c r="A87" s="16" t="s">
        <v>553</v>
      </c>
      <c r="B87" s="13" t="s">
        <v>464</v>
      </c>
      <c r="C87" s="17">
        <v>5.8999999999999997E-2</v>
      </c>
      <c r="D87" s="17">
        <v>5.8999999999999997E-2</v>
      </c>
      <c r="E87" s="17">
        <v>0.2356</v>
      </c>
      <c r="F87" s="17">
        <v>5.8999999999999997E-2</v>
      </c>
      <c r="G87" s="17">
        <v>0.19550000000000001</v>
      </c>
      <c r="H87" s="17">
        <v>9.9099999999999994E-2</v>
      </c>
      <c r="I87" s="17">
        <v>0.13120000000000001</v>
      </c>
      <c r="J87" s="17">
        <v>0.16339999999999999</v>
      </c>
      <c r="K87" s="17">
        <v>5.8999999999999997E-2</v>
      </c>
      <c r="L87" s="17">
        <v>0.14729999999999999</v>
      </c>
      <c r="M87" s="17">
        <v>0.14729999999999999</v>
      </c>
      <c r="N87" s="17">
        <v>5.8999999999999997E-2</v>
      </c>
      <c r="O87" s="17">
        <v>0.2356</v>
      </c>
      <c r="P87" s="17">
        <v>5.8999999999999997E-2</v>
      </c>
      <c r="Q87" s="17">
        <v>0.20349999999999999</v>
      </c>
      <c r="R87" s="17">
        <v>9.11E-2</v>
      </c>
      <c r="S87" s="17">
        <v>0.25269999999999998</v>
      </c>
      <c r="T87" s="17">
        <v>0.30109999999999998</v>
      </c>
      <c r="U87" s="17">
        <v>0.30880000000000002</v>
      </c>
      <c r="V87" s="17">
        <v>9.9099999999999994E-2</v>
      </c>
      <c r="W87" s="17">
        <v>0.13930000000000001</v>
      </c>
      <c r="X87" s="17">
        <v>0.15529999999999999</v>
      </c>
      <c r="Y87" s="17">
        <v>5.8999999999999997E-2</v>
      </c>
      <c r="Z87" s="17">
        <v>0.1232</v>
      </c>
      <c r="AA87" s="17">
        <v>0.1714</v>
      </c>
      <c r="AB87" s="17">
        <v>5.8999999999999997E-2</v>
      </c>
      <c r="AC87" s="17">
        <v>0.3034</v>
      </c>
      <c r="AD87" s="17">
        <v>0.2797</v>
      </c>
      <c r="AE87" s="17">
        <v>0.26440000000000002</v>
      </c>
      <c r="AF87" s="17">
        <v>0.24410000000000001</v>
      </c>
      <c r="AG87" s="17">
        <v>0.1245</v>
      </c>
      <c r="AH87" s="17">
        <v>0.1293</v>
      </c>
      <c r="AI87" s="17">
        <v>0.18740000000000001</v>
      </c>
      <c r="AJ87" s="17">
        <v>5.8999999999999997E-2</v>
      </c>
      <c r="AK87" s="17">
        <v>7.51E-2</v>
      </c>
      <c r="AL87" s="17">
        <v>0.21959999999999999</v>
      </c>
      <c r="AM87" s="17">
        <v>5.8999999999999997E-2</v>
      </c>
      <c r="AN87" s="17">
        <v>5.8999999999999997E-2</v>
      </c>
      <c r="AO87" s="17">
        <v>7.9200000000000007E-2</v>
      </c>
      <c r="AP87" s="17">
        <v>0.59970000000000001</v>
      </c>
      <c r="AQ87" s="17">
        <v>0.4783</v>
      </c>
      <c r="AR87" s="17">
        <v>0.58309999999999995</v>
      </c>
      <c r="AS87" s="17">
        <v>0.71360000000000001</v>
      </c>
      <c r="AT87" s="17">
        <v>0.48280000000000001</v>
      </c>
      <c r="AU87" s="17">
        <v>0.68189999999999995</v>
      </c>
      <c r="AV87" s="17">
        <v>0.72889999999999999</v>
      </c>
      <c r="AW87" s="17">
        <v>0.2031</v>
      </c>
      <c r="AX87" s="17">
        <v>6.7000000000000004E-2</v>
      </c>
    </row>
    <row r="88" spans="1:50" x14ac:dyDescent="0.25">
      <c r="A88" s="16" t="s">
        <v>555</v>
      </c>
      <c r="B88" s="13" t="s">
        <v>464</v>
      </c>
      <c r="C88" s="17">
        <v>0.39660000000000001</v>
      </c>
      <c r="D88" s="17">
        <v>4.8000000000000001E-2</v>
      </c>
      <c r="E88" s="17">
        <v>0.22539999999999999</v>
      </c>
      <c r="F88" s="17">
        <v>4.8000000000000001E-2</v>
      </c>
      <c r="G88" s="17">
        <v>0.17699999999999999</v>
      </c>
      <c r="H88" s="17">
        <v>9.64E-2</v>
      </c>
      <c r="I88" s="17">
        <v>4.8000000000000001E-2</v>
      </c>
      <c r="J88" s="17">
        <v>4.8000000000000001E-2</v>
      </c>
      <c r="K88" s="17">
        <v>0.20119999999999999</v>
      </c>
      <c r="L88" s="17">
        <v>7.22E-2</v>
      </c>
      <c r="M88" s="17">
        <v>7.22E-2</v>
      </c>
      <c r="N88" s="17">
        <v>0.20119999999999999</v>
      </c>
      <c r="O88" s="17">
        <v>4.8000000000000001E-2</v>
      </c>
      <c r="P88" s="17">
        <v>0.23810000000000001</v>
      </c>
      <c r="Q88" s="17">
        <v>5.6099999999999997E-2</v>
      </c>
      <c r="R88" s="17">
        <v>1.1457999999999999</v>
      </c>
      <c r="S88" s="17">
        <v>0.17299999999999999</v>
      </c>
      <c r="T88" s="17">
        <v>8.3099999999999993E-2</v>
      </c>
      <c r="U88" s="17">
        <v>1.5637000000000001</v>
      </c>
      <c r="V88" s="17">
        <v>1.0920000000000001</v>
      </c>
      <c r="W88" s="17">
        <v>0.87839999999999996</v>
      </c>
      <c r="X88" s="17">
        <v>0.16420000000000001</v>
      </c>
      <c r="Y88" s="17">
        <v>5.7700000000000001E-2</v>
      </c>
      <c r="Z88" s="17">
        <v>0.26989999999999997</v>
      </c>
      <c r="AA88" s="17">
        <v>1.4786999999999999</v>
      </c>
      <c r="AB88" s="17">
        <v>1.3972</v>
      </c>
      <c r="AC88" s="17">
        <v>0.58709999999999996</v>
      </c>
      <c r="AD88" s="17">
        <v>0.1129</v>
      </c>
      <c r="AE88" s="17">
        <v>0.26279999999999998</v>
      </c>
      <c r="AF88" s="17">
        <v>8.1799999999999998E-2</v>
      </c>
      <c r="AG88" s="17">
        <v>0.31369999999999998</v>
      </c>
      <c r="AH88" s="17">
        <v>0.1177</v>
      </c>
      <c r="AI88" s="17">
        <v>0.1212</v>
      </c>
      <c r="AJ88" s="17">
        <v>0.32829999999999998</v>
      </c>
      <c r="AK88" s="17">
        <v>0.1177</v>
      </c>
      <c r="AL88" s="17">
        <v>0.23730000000000001</v>
      </c>
      <c r="AM88" s="17">
        <v>0.46479999999999999</v>
      </c>
      <c r="AN88" s="17">
        <v>0.29680000000000001</v>
      </c>
      <c r="AO88" s="17">
        <v>0.49</v>
      </c>
      <c r="AP88" s="17">
        <v>0.42449999999999999</v>
      </c>
      <c r="AQ88" s="17">
        <v>0.14480000000000001</v>
      </c>
      <c r="AR88" s="17">
        <v>0.33379999999999999</v>
      </c>
      <c r="AS88" s="17">
        <v>0.4466</v>
      </c>
      <c r="AT88" s="17">
        <v>0.84399999999999997</v>
      </c>
      <c r="AU88" s="17">
        <v>0.59719999999999995</v>
      </c>
      <c r="AV88" s="17">
        <v>0.5222</v>
      </c>
      <c r="AW88" s="17">
        <v>0.72109999999999996</v>
      </c>
      <c r="AX88" s="17">
        <v>1.2859</v>
      </c>
    </row>
    <row r="89" spans="1:50" x14ac:dyDescent="0.25">
      <c r="A89" s="8" t="s">
        <v>130</v>
      </c>
      <c r="B89" s="10" t="s">
        <v>57</v>
      </c>
      <c r="C89" s="18">
        <v>0.21160000000000001</v>
      </c>
      <c r="D89" s="18">
        <v>0.11550000000000001</v>
      </c>
      <c r="E89" s="18">
        <v>5.1999999999999998E-2</v>
      </c>
      <c r="F89" s="18">
        <v>0.19800000000000001</v>
      </c>
      <c r="G89" s="18">
        <v>0.12920000000000001</v>
      </c>
      <c r="H89" s="18">
        <v>0.16209999999999999</v>
      </c>
      <c r="I89" s="18">
        <v>0.1651</v>
      </c>
      <c r="J89" s="18">
        <v>9.06E-2</v>
      </c>
      <c r="K89" s="18">
        <v>0.22750000000000001</v>
      </c>
      <c r="L89" s="18">
        <v>6.1100000000000002E-2</v>
      </c>
      <c r="M89" s="18">
        <v>0.20030000000000001</v>
      </c>
      <c r="N89" s="18">
        <v>0.12690000000000001</v>
      </c>
      <c r="O89" s="18">
        <v>5.1999999999999998E-2</v>
      </c>
      <c r="P89" s="18">
        <v>0.13370000000000001</v>
      </c>
      <c r="Q89" s="18">
        <v>0.1133</v>
      </c>
      <c r="R89" s="18">
        <v>0.21829999999999999</v>
      </c>
      <c r="S89" s="18">
        <v>0.1061</v>
      </c>
      <c r="T89" s="18">
        <v>0.20860000000000001</v>
      </c>
      <c r="U89" s="18">
        <v>0.1414</v>
      </c>
      <c r="V89" s="18">
        <v>0.26029999999999998</v>
      </c>
      <c r="W89" s="18">
        <v>0.55089999999999995</v>
      </c>
      <c r="X89" s="18">
        <v>0.60329999999999995</v>
      </c>
      <c r="Y89" s="18">
        <v>1.7646999999999999</v>
      </c>
      <c r="Z89" s="18">
        <v>0.22109999999999999</v>
      </c>
      <c r="AA89" s="18">
        <v>1.3299000000000001</v>
      </c>
      <c r="AB89" s="18">
        <v>0.33110000000000001</v>
      </c>
      <c r="AC89" s="18">
        <v>0.1714</v>
      </c>
      <c r="AD89" s="18">
        <v>0.3125</v>
      </c>
      <c r="AE89" s="18">
        <v>0.218</v>
      </c>
      <c r="AF89" s="18">
        <v>0.13370000000000001</v>
      </c>
      <c r="AG89" s="18">
        <v>0.1356</v>
      </c>
      <c r="AH89" s="18">
        <v>0.1099</v>
      </c>
      <c r="AI89" s="18">
        <v>0.15490000000000001</v>
      </c>
      <c r="AJ89" s="18">
        <v>0.17230000000000001</v>
      </c>
      <c r="AK89" s="18">
        <v>9.74E-2</v>
      </c>
      <c r="AL89" s="18">
        <v>0.2298</v>
      </c>
      <c r="AM89" s="18">
        <v>0.20530000000000001</v>
      </c>
      <c r="AN89" s="18">
        <v>0.20680000000000001</v>
      </c>
      <c r="AO89" s="18">
        <v>0.26640000000000003</v>
      </c>
      <c r="AP89" s="18">
        <v>0.43880000000000002</v>
      </c>
      <c r="AQ89" s="18">
        <v>0.52690000000000003</v>
      </c>
      <c r="AR89" s="18">
        <v>0.37819999999999998</v>
      </c>
      <c r="AS89" s="18">
        <v>0.30959999999999999</v>
      </c>
      <c r="AT89" s="18">
        <v>0.25779999999999997</v>
      </c>
      <c r="AU89" s="18">
        <v>0.45390000000000003</v>
      </c>
      <c r="AV89" s="18">
        <v>0.34200000000000003</v>
      </c>
      <c r="AW89" s="18">
        <v>0.3836</v>
      </c>
      <c r="AX89" s="18">
        <v>6.4899999999999999E-2</v>
      </c>
    </row>
    <row r="90" spans="1:50" x14ac:dyDescent="0.25">
      <c r="A90" s="8" t="s">
        <v>132</v>
      </c>
      <c r="B90" s="10" t="s">
        <v>57</v>
      </c>
      <c r="C90" s="18">
        <v>0.52710000000000001</v>
      </c>
      <c r="D90" s="18">
        <v>0.39240000000000003</v>
      </c>
      <c r="E90" s="18">
        <v>5.1999999999999998E-2</v>
      </c>
      <c r="F90" s="18">
        <v>0.1241</v>
      </c>
      <c r="G90" s="18">
        <v>5.1999999999999998E-2</v>
      </c>
      <c r="H90" s="18">
        <v>0.1241</v>
      </c>
      <c r="I90" s="18">
        <v>5.1999999999999998E-2</v>
      </c>
      <c r="J90" s="18">
        <v>5.1999999999999998E-2</v>
      </c>
      <c r="K90" s="18">
        <v>0.1241</v>
      </c>
      <c r="L90" s="18">
        <v>5.1999999999999998E-2</v>
      </c>
      <c r="M90" s="18">
        <v>8.7999999999999995E-2</v>
      </c>
      <c r="N90" s="18">
        <v>8.7999999999999995E-2</v>
      </c>
      <c r="O90" s="18">
        <v>0.10009999999999999</v>
      </c>
      <c r="P90" s="18">
        <v>7.5999999999999998E-2</v>
      </c>
      <c r="Q90" s="18">
        <v>0.1179</v>
      </c>
      <c r="R90" s="18">
        <v>0.06</v>
      </c>
      <c r="S90" s="18">
        <v>5.1999999999999998E-2</v>
      </c>
      <c r="T90" s="18">
        <v>0.14430000000000001</v>
      </c>
      <c r="U90" s="18">
        <v>7.1999999999999995E-2</v>
      </c>
      <c r="V90" s="18">
        <v>0.2195</v>
      </c>
      <c r="W90" s="18">
        <v>0.96779999999999999</v>
      </c>
      <c r="X90" s="18">
        <v>0.24379999999999999</v>
      </c>
      <c r="Y90" s="18">
        <v>1.2209000000000001</v>
      </c>
      <c r="Z90" s="18">
        <v>5.1999999999999998E-2</v>
      </c>
      <c r="AA90" s="18">
        <v>5.1999999999999998E-2</v>
      </c>
      <c r="AB90" s="18">
        <v>7.9399999999999998E-2</v>
      </c>
      <c r="AC90" s="18">
        <v>0.1152</v>
      </c>
      <c r="AD90" s="18">
        <v>0.1042</v>
      </c>
      <c r="AE90" s="18">
        <v>0.22320000000000001</v>
      </c>
      <c r="AF90" s="18">
        <v>0.22850000000000001</v>
      </c>
      <c r="AG90" s="18">
        <v>0.21629999999999999</v>
      </c>
      <c r="AH90" s="18">
        <v>0.18809999999999999</v>
      </c>
      <c r="AI90" s="18">
        <v>0.25840000000000002</v>
      </c>
      <c r="AJ90" s="18">
        <v>0.1605</v>
      </c>
      <c r="AK90" s="18">
        <v>1.0138</v>
      </c>
      <c r="AL90" s="18">
        <v>0.24679999999999999</v>
      </c>
      <c r="AM90" s="18">
        <v>0.1744</v>
      </c>
      <c r="AN90" s="18">
        <v>0.1033</v>
      </c>
      <c r="AO90" s="18">
        <v>0.4723</v>
      </c>
      <c r="AP90" s="18">
        <v>0.13400000000000001</v>
      </c>
      <c r="AQ90" s="18">
        <v>5.1999999999999998E-2</v>
      </c>
      <c r="AR90" s="18">
        <v>5.1999999999999998E-2</v>
      </c>
      <c r="AS90" s="18">
        <v>0.1081</v>
      </c>
      <c r="AT90" s="18">
        <v>6.8000000000000005E-2</v>
      </c>
      <c r="AU90" s="18">
        <v>0.28100000000000003</v>
      </c>
      <c r="AV90" s="18">
        <v>0.32450000000000001</v>
      </c>
      <c r="AW90" s="18">
        <v>0.3463</v>
      </c>
      <c r="AX90" s="18">
        <v>0.20949999999999999</v>
      </c>
    </row>
    <row r="91" spans="1:50" x14ac:dyDescent="0.25">
      <c r="A91" s="16" t="s">
        <v>557</v>
      </c>
      <c r="B91" s="13" t="s">
        <v>464</v>
      </c>
      <c r="C91" s="17">
        <v>6.54E-2</v>
      </c>
      <c r="D91" s="17">
        <v>9.1600000000000001E-2</v>
      </c>
      <c r="E91" s="17">
        <v>0.27360000000000001</v>
      </c>
      <c r="F91" s="17">
        <v>4.4999999999999998E-2</v>
      </c>
      <c r="G91" s="17">
        <v>0.2848</v>
      </c>
      <c r="H91" s="17">
        <v>8.0399999999999999E-2</v>
      </c>
      <c r="I91" s="17">
        <v>0.1234</v>
      </c>
      <c r="J91" s="17">
        <v>7.8600000000000003E-2</v>
      </c>
      <c r="K91" s="17">
        <v>0.21390000000000001</v>
      </c>
      <c r="L91" s="17">
        <v>0.15129999999999999</v>
      </c>
      <c r="M91" s="17">
        <v>7.4700000000000003E-2</v>
      </c>
      <c r="N91" s="17">
        <v>0.17860000000000001</v>
      </c>
      <c r="O91" s="17">
        <v>0.1066</v>
      </c>
      <c r="P91" s="17">
        <v>0.22159999999999999</v>
      </c>
      <c r="Q91" s="17">
        <v>8.2100000000000006E-2</v>
      </c>
      <c r="R91" s="17">
        <v>0.21629999999999999</v>
      </c>
      <c r="S91" s="17">
        <v>0.1489</v>
      </c>
      <c r="T91" s="17">
        <v>0.18990000000000001</v>
      </c>
      <c r="U91" s="17">
        <v>0.20419999999999999</v>
      </c>
      <c r="V91" s="17">
        <v>0.19950000000000001</v>
      </c>
      <c r="W91" s="17">
        <v>4.4999999999999998E-2</v>
      </c>
      <c r="X91" s="17">
        <v>4.4999999999999998E-2</v>
      </c>
      <c r="Y91" s="17">
        <v>0.2208</v>
      </c>
      <c r="Z91" s="17">
        <v>0.1178</v>
      </c>
      <c r="AA91" s="17">
        <v>0.2029</v>
      </c>
      <c r="AB91" s="17">
        <v>0.16059999999999999</v>
      </c>
      <c r="AC91" s="17">
        <v>0.14630000000000001</v>
      </c>
      <c r="AD91" s="17">
        <v>0.26979999999999998</v>
      </c>
      <c r="AE91" s="17">
        <v>5.5300000000000002E-2</v>
      </c>
      <c r="AF91" s="17">
        <v>0.36709999999999998</v>
      </c>
      <c r="AG91" s="17">
        <v>0.49480000000000002</v>
      </c>
      <c r="AH91" s="17">
        <v>0.1885</v>
      </c>
      <c r="AI91" s="17">
        <v>5.0599999999999999E-2</v>
      </c>
      <c r="AJ91" s="17">
        <v>0.25330000000000003</v>
      </c>
      <c r="AK91" s="17">
        <v>0.1119</v>
      </c>
      <c r="AL91" s="17">
        <v>8.4199999999999997E-2</v>
      </c>
      <c r="AM91" s="17">
        <v>0.26619999999999999</v>
      </c>
      <c r="AN91" s="17">
        <v>5.9799999999999999E-2</v>
      </c>
      <c r="AO91" s="17">
        <v>0.18329999999999999</v>
      </c>
      <c r="AP91" s="17">
        <v>0.26350000000000001</v>
      </c>
      <c r="AQ91" s="17">
        <v>0.35139999999999999</v>
      </c>
      <c r="AR91" s="17">
        <v>0.4239</v>
      </c>
      <c r="AS91" s="17">
        <v>0.4415</v>
      </c>
      <c r="AT91" s="17">
        <v>0.44779999999999998</v>
      </c>
      <c r="AU91" s="17">
        <v>0.2084</v>
      </c>
      <c r="AV91" s="17">
        <v>0.112</v>
      </c>
      <c r="AW91" s="17">
        <v>0.17899999999999999</v>
      </c>
      <c r="AX91" s="17">
        <v>0.18629999999999999</v>
      </c>
    </row>
    <row r="92" spans="1:50" x14ac:dyDescent="0.25">
      <c r="A92" s="16" t="s">
        <v>559</v>
      </c>
      <c r="B92" s="13" t="s">
        <v>464</v>
      </c>
      <c r="C92" s="17">
        <v>4.9000000000000002E-2</v>
      </c>
      <c r="D92" s="17">
        <v>0.1236</v>
      </c>
      <c r="E92" s="17">
        <v>9.0399999999999994E-2</v>
      </c>
      <c r="F92" s="17">
        <v>4.9000000000000002E-2</v>
      </c>
      <c r="G92" s="17">
        <v>0.1651</v>
      </c>
      <c r="H92" s="17">
        <v>4.9000000000000002E-2</v>
      </c>
      <c r="I92" s="17">
        <v>6.5600000000000006E-2</v>
      </c>
      <c r="J92" s="17">
        <v>0.14849999999999999</v>
      </c>
      <c r="K92" s="17">
        <v>4.9000000000000002E-2</v>
      </c>
      <c r="L92" s="17">
        <v>0.1153</v>
      </c>
      <c r="M92" s="17">
        <v>9.8699999999999996E-2</v>
      </c>
      <c r="N92" s="17">
        <v>4.9000000000000002E-2</v>
      </c>
      <c r="O92" s="17">
        <v>0.1933</v>
      </c>
      <c r="P92" s="17">
        <v>9.0399999999999994E-2</v>
      </c>
      <c r="Q92" s="17">
        <v>4.9000000000000002E-2</v>
      </c>
      <c r="R92" s="17">
        <v>0.1651</v>
      </c>
      <c r="S92" s="17">
        <v>4.9000000000000002E-2</v>
      </c>
      <c r="T92" s="17">
        <v>4.9000000000000002E-2</v>
      </c>
      <c r="U92" s="17">
        <v>0.1651</v>
      </c>
      <c r="V92" s="17">
        <v>4.9000000000000002E-2</v>
      </c>
      <c r="W92" s="17">
        <v>9.0399999999999994E-2</v>
      </c>
      <c r="X92" s="17">
        <v>0.1236</v>
      </c>
      <c r="Y92" s="17">
        <v>4.9000000000000002E-2</v>
      </c>
      <c r="Z92" s="17">
        <v>8.2199999999999995E-2</v>
      </c>
      <c r="AA92" s="17">
        <v>0.16800000000000001</v>
      </c>
      <c r="AB92" s="17">
        <v>0.1807</v>
      </c>
      <c r="AC92" s="17">
        <v>1.9156</v>
      </c>
      <c r="AD92" s="17">
        <v>4.0633999999999997</v>
      </c>
      <c r="AE92" s="17">
        <v>3.9634999999999998</v>
      </c>
      <c r="AF92" s="17">
        <v>1.2150000000000001</v>
      </c>
      <c r="AG92" s="17">
        <v>0.13239999999999999</v>
      </c>
      <c r="AH92" s="17">
        <v>8.8599999999999998E-2</v>
      </c>
      <c r="AI92" s="17">
        <v>0.1699</v>
      </c>
      <c r="AJ92" s="17">
        <v>8.8599999999999998E-2</v>
      </c>
      <c r="AK92" s="17">
        <v>0.2117</v>
      </c>
      <c r="AL92" s="17">
        <v>8.3000000000000004E-2</v>
      </c>
      <c r="AM92" s="17">
        <v>0.1242</v>
      </c>
      <c r="AN92" s="17">
        <v>6.8500000000000005E-2</v>
      </c>
      <c r="AO92" s="17">
        <v>8.7800000000000003E-2</v>
      </c>
      <c r="AP92" s="17">
        <v>0.3478</v>
      </c>
      <c r="AQ92" s="17">
        <v>0.57640000000000002</v>
      </c>
      <c r="AR92" s="17">
        <v>0.42530000000000001</v>
      </c>
      <c r="AS92" s="17">
        <v>0.43890000000000001</v>
      </c>
      <c r="AT92" s="17">
        <v>0.28699999999999998</v>
      </c>
      <c r="AU92" s="17">
        <v>4.9000000000000002E-2</v>
      </c>
      <c r="AV92" s="17">
        <v>4.9000000000000002E-2</v>
      </c>
      <c r="AW92" s="17">
        <v>4.9000000000000002E-2</v>
      </c>
      <c r="AX92" s="17">
        <v>0.15679999999999999</v>
      </c>
    </row>
    <row r="93" spans="1:50" x14ac:dyDescent="0.25">
      <c r="A93" s="16" t="s">
        <v>561</v>
      </c>
      <c r="B93" s="13" t="s">
        <v>464</v>
      </c>
      <c r="C93" s="17">
        <v>0.79910000000000003</v>
      </c>
      <c r="D93" s="17">
        <v>0.31819999999999998</v>
      </c>
      <c r="E93" s="17">
        <v>0.26319999999999999</v>
      </c>
      <c r="F93" s="17">
        <v>0.20100000000000001</v>
      </c>
      <c r="G93" s="17">
        <v>8.9200000000000002E-2</v>
      </c>
      <c r="H93" s="17">
        <v>0.26550000000000001</v>
      </c>
      <c r="I93" s="17">
        <v>0.1595</v>
      </c>
      <c r="J93" s="17">
        <v>0.19359999999999999</v>
      </c>
      <c r="K93" s="17">
        <v>0.05</v>
      </c>
      <c r="L93" s="17">
        <v>0.30320000000000003</v>
      </c>
      <c r="M93" s="17">
        <v>0.16089999999999999</v>
      </c>
      <c r="N93" s="17">
        <v>0.11310000000000001</v>
      </c>
      <c r="O93" s="17">
        <v>0.35110000000000002</v>
      </c>
      <c r="P93" s="17">
        <v>0.05</v>
      </c>
      <c r="Q93" s="17">
        <v>0.38769999999999999</v>
      </c>
      <c r="R93" s="17">
        <v>0.17299999999999999</v>
      </c>
      <c r="S93" s="17">
        <v>0.1802</v>
      </c>
      <c r="T93" s="17">
        <v>0.43990000000000001</v>
      </c>
      <c r="U93" s="17">
        <v>0.43830000000000002</v>
      </c>
      <c r="V93" s="17">
        <v>0.36020000000000002</v>
      </c>
      <c r="W93" s="17">
        <v>3.3494000000000002</v>
      </c>
      <c r="X93" s="17">
        <v>3.5354999999999999</v>
      </c>
      <c r="Y93" s="17">
        <v>0.94569999999999999</v>
      </c>
      <c r="Z93" s="17">
        <v>0.28050000000000003</v>
      </c>
      <c r="AA93" s="17">
        <v>0.39660000000000001</v>
      </c>
      <c r="AB93" s="17">
        <v>0.3196</v>
      </c>
      <c r="AC93" s="17">
        <v>0.13400000000000001</v>
      </c>
      <c r="AD93" s="17">
        <v>0.2858</v>
      </c>
      <c r="AE93" s="17">
        <v>0.17829999999999999</v>
      </c>
      <c r="AF93" s="17">
        <v>0.109</v>
      </c>
      <c r="AG93" s="17">
        <v>0.27629999999999999</v>
      </c>
      <c r="AH93" s="17">
        <v>0.30020000000000002</v>
      </c>
      <c r="AI93" s="17">
        <v>0.2233</v>
      </c>
      <c r="AJ93" s="17">
        <v>0.19600000000000001</v>
      </c>
      <c r="AK93" s="17">
        <v>0.95569999999999999</v>
      </c>
      <c r="AL93" s="17">
        <v>1.8740000000000001</v>
      </c>
      <c r="AM93" s="17">
        <v>0.47489999999999999</v>
      </c>
      <c r="AN93" s="17">
        <v>1.2021999999999999</v>
      </c>
      <c r="AO93" s="17">
        <v>0.22559999999999999</v>
      </c>
      <c r="AP93" s="17">
        <v>0.30070000000000002</v>
      </c>
      <c r="AQ93" s="17">
        <v>0.27339999999999998</v>
      </c>
      <c r="AR93" s="17">
        <v>0.26150000000000001</v>
      </c>
      <c r="AS93" s="17">
        <v>0.59130000000000005</v>
      </c>
      <c r="AT93" s="17">
        <v>0.1326</v>
      </c>
      <c r="AU93" s="17">
        <v>0.14929999999999999</v>
      </c>
      <c r="AV93" s="17">
        <v>0.2928</v>
      </c>
      <c r="AW93" s="17">
        <v>9.9599999999999994E-2</v>
      </c>
      <c r="AX93" s="17">
        <v>0.19359999999999999</v>
      </c>
    </row>
    <row r="94" spans="1:50" x14ac:dyDescent="0.25">
      <c r="A94" s="16" t="s">
        <v>563</v>
      </c>
      <c r="B94" s="13" t="s">
        <v>464</v>
      </c>
      <c r="C94" s="17">
        <v>4.8000000000000001E-2</v>
      </c>
      <c r="D94" s="17">
        <v>9.7699999999999995E-2</v>
      </c>
      <c r="E94" s="17">
        <v>0.13500000000000001</v>
      </c>
      <c r="F94" s="17">
        <v>6.0400000000000002E-2</v>
      </c>
      <c r="G94" s="17">
        <v>0.17230000000000001</v>
      </c>
      <c r="H94" s="17">
        <v>4.8000000000000001E-2</v>
      </c>
      <c r="I94" s="17">
        <v>0.15359999999999999</v>
      </c>
      <c r="J94" s="17">
        <v>7.9100000000000004E-2</v>
      </c>
      <c r="K94" s="17">
        <v>0.1164</v>
      </c>
      <c r="L94" s="17">
        <v>0.1164</v>
      </c>
      <c r="M94" s="17">
        <v>4.8000000000000001E-2</v>
      </c>
      <c r="N94" s="17">
        <v>4.8000000000000001E-2</v>
      </c>
      <c r="O94" s="17">
        <v>0.17849999999999999</v>
      </c>
      <c r="P94" s="17">
        <v>1.1422000000000001</v>
      </c>
      <c r="Q94" s="17">
        <v>0.92610000000000003</v>
      </c>
      <c r="R94" s="17">
        <v>1.7886</v>
      </c>
      <c r="S94" s="17">
        <v>0.94310000000000005</v>
      </c>
      <c r="T94" s="17">
        <v>0.17199999999999999</v>
      </c>
      <c r="U94" s="17">
        <v>0.21099999999999999</v>
      </c>
      <c r="V94" s="17">
        <v>0.41060000000000002</v>
      </c>
      <c r="W94" s="17">
        <v>4.8000000000000001E-2</v>
      </c>
      <c r="X94" s="17">
        <v>4.8000000000000001E-2</v>
      </c>
      <c r="Y94" s="17">
        <v>9.7699999999999995E-2</v>
      </c>
      <c r="Z94" s="17">
        <v>0.13500000000000001</v>
      </c>
      <c r="AA94" s="17">
        <v>4.8000000000000001E-2</v>
      </c>
      <c r="AB94" s="17">
        <v>0.1847</v>
      </c>
      <c r="AC94" s="17">
        <v>4.8000000000000001E-2</v>
      </c>
      <c r="AD94" s="17">
        <v>0.1164</v>
      </c>
      <c r="AE94" s="17">
        <v>0.1164</v>
      </c>
      <c r="AF94" s="17">
        <v>4.8000000000000001E-2</v>
      </c>
      <c r="AG94" s="17">
        <v>8.5300000000000001E-2</v>
      </c>
      <c r="AH94" s="17">
        <v>0.42630000000000001</v>
      </c>
      <c r="AI94" s="17">
        <v>6.7299999999999999E-2</v>
      </c>
      <c r="AJ94" s="17">
        <v>0.25750000000000001</v>
      </c>
      <c r="AK94" s="17">
        <v>0.1948</v>
      </c>
      <c r="AL94" s="17">
        <v>0.30230000000000001</v>
      </c>
      <c r="AM94" s="17">
        <v>0.31929999999999997</v>
      </c>
      <c r="AN94" s="17">
        <v>0.20130000000000001</v>
      </c>
      <c r="AO94" s="17">
        <v>0.21210000000000001</v>
      </c>
      <c r="AP94" s="17">
        <v>0.40920000000000001</v>
      </c>
      <c r="AQ94" s="17">
        <v>0.33510000000000001</v>
      </c>
      <c r="AR94" s="17">
        <v>0.46450000000000002</v>
      </c>
      <c r="AS94" s="17">
        <v>0.63139999999999996</v>
      </c>
      <c r="AT94" s="17">
        <v>0.37640000000000001</v>
      </c>
      <c r="AU94" s="17">
        <v>0.34229999999999999</v>
      </c>
      <c r="AV94" s="17">
        <v>0.27</v>
      </c>
      <c r="AW94" s="17">
        <v>0.26390000000000002</v>
      </c>
      <c r="AX94" s="17">
        <v>0.36990000000000001</v>
      </c>
    </row>
    <row r="95" spans="1:50" x14ac:dyDescent="0.25">
      <c r="A95" s="16" t="s">
        <v>565</v>
      </c>
      <c r="B95" s="13" t="s">
        <v>464</v>
      </c>
      <c r="C95" s="17">
        <v>0.25800000000000001</v>
      </c>
      <c r="D95" s="17">
        <v>5.8299999999999998E-2</v>
      </c>
      <c r="E95" s="17">
        <v>0.23619999999999999</v>
      </c>
      <c r="F95" s="17">
        <v>8.0100000000000005E-2</v>
      </c>
      <c r="G95" s="17">
        <v>7.6200000000000004E-2</v>
      </c>
      <c r="H95" s="17">
        <v>0.24010000000000001</v>
      </c>
      <c r="I95" s="17">
        <v>4.3999999999999997E-2</v>
      </c>
      <c r="J95" s="17">
        <v>0.1978</v>
      </c>
      <c r="K95" s="17">
        <v>0.11849999999999999</v>
      </c>
      <c r="L95" s="17">
        <v>0.15310000000000001</v>
      </c>
      <c r="M95" s="17">
        <v>0.16320000000000001</v>
      </c>
      <c r="N95" s="17">
        <v>4.3999999999999997E-2</v>
      </c>
      <c r="O95" s="17">
        <v>0.27229999999999999</v>
      </c>
      <c r="P95" s="17">
        <v>4.3999999999999997E-2</v>
      </c>
      <c r="Q95" s="17">
        <v>0.24690000000000001</v>
      </c>
      <c r="R95" s="17">
        <v>6.93E-2</v>
      </c>
      <c r="S95" s="17">
        <v>4.3999999999999997E-2</v>
      </c>
      <c r="T95" s="17">
        <v>0.18529999999999999</v>
      </c>
      <c r="U95" s="17">
        <v>0.14899999999999999</v>
      </c>
      <c r="V95" s="17">
        <v>7.9299999999999995E-2</v>
      </c>
      <c r="W95" s="17">
        <v>0.40579999999999999</v>
      </c>
      <c r="X95" s="17">
        <v>9.9599999999999994E-2</v>
      </c>
      <c r="Y95" s="17">
        <v>0.1462</v>
      </c>
      <c r="Z95" s="17">
        <v>0.15570000000000001</v>
      </c>
      <c r="AA95" s="17">
        <v>0.91549999999999998</v>
      </c>
      <c r="AB95" s="17">
        <v>0.1147</v>
      </c>
      <c r="AC95" s="17">
        <v>0.48599999999999999</v>
      </c>
      <c r="AD95" s="17">
        <v>8.8700000000000001E-2</v>
      </c>
      <c r="AE95" s="17">
        <v>0.14560000000000001</v>
      </c>
      <c r="AF95" s="17">
        <v>0.1706</v>
      </c>
      <c r="AG95" s="17">
        <v>4.3999999999999997E-2</v>
      </c>
      <c r="AH95" s="17">
        <v>0.25080000000000002</v>
      </c>
      <c r="AI95" s="17">
        <v>6.5500000000000003E-2</v>
      </c>
      <c r="AJ95" s="17">
        <v>0.1769</v>
      </c>
      <c r="AK95" s="17">
        <v>0.1394</v>
      </c>
      <c r="AL95" s="17">
        <v>0.38969999999999999</v>
      </c>
      <c r="AM95" s="17">
        <v>0.22320000000000001</v>
      </c>
      <c r="AN95" s="17">
        <v>9.2600000000000002E-2</v>
      </c>
      <c r="AO95" s="17">
        <v>0.28160000000000002</v>
      </c>
      <c r="AP95" s="17">
        <v>0.21149999999999999</v>
      </c>
      <c r="AQ95" s="17">
        <v>9.7699999999999995E-2</v>
      </c>
      <c r="AR95" s="17">
        <v>0.1963</v>
      </c>
      <c r="AS95" s="17">
        <v>0.13070000000000001</v>
      </c>
      <c r="AT95" s="17">
        <v>4.3999999999999997E-2</v>
      </c>
      <c r="AU95" s="17">
        <v>0.26329999999999998</v>
      </c>
      <c r="AV95" s="17">
        <v>4.3999999999999997E-2</v>
      </c>
      <c r="AW95" s="17">
        <v>4.3999999999999997E-2</v>
      </c>
      <c r="AX95" s="17">
        <v>0.27229999999999999</v>
      </c>
    </row>
    <row r="96" spans="1:50" x14ac:dyDescent="0.25">
      <c r="A96" s="8" t="s">
        <v>134</v>
      </c>
      <c r="B96" s="10" t="s">
        <v>57</v>
      </c>
      <c r="C96" s="18">
        <v>0.17280000000000001</v>
      </c>
      <c r="D96" s="18">
        <v>0.12509999999999999</v>
      </c>
      <c r="E96" s="18">
        <v>5.5E-2</v>
      </c>
      <c r="F96" s="18">
        <v>0.2036</v>
      </c>
      <c r="G96" s="18">
        <v>0.12039999999999999</v>
      </c>
      <c r="H96" s="18">
        <v>5.5E-2</v>
      </c>
      <c r="I96" s="18">
        <v>0.19900000000000001</v>
      </c>
      <c r="J96" s="18">
        <v>5.5E-2</v>
      </c>
      <c r="K96" s="18">
        <v>0.19900000000000001</v>
      </c>
      <c r="L96" s="18">
        <v>0.12509999999999999</v>
      </c>
      <c r="M96" s="18">
        <v>0.13350000000000001</v>
      </c>
      <c r="N96" s="18">
        <v>0.1827</v>
      </c>
      <c r="O96" s="18">
        <v>6.2799999999999995E-2</v>
      </c>
      <c r="P96" s="18">
        <v>0.19900000000000001</v>
      </c>
      <c r="Q96" s="18">
        <v>5.8900000000000001E-2</v>
      </c>
      <c r="R96" s="18">
        <v>0.14330000000000001</v>
      </c>
      <c r="S96" s="18">
        <v>1.02</v>
      </c>
      <c r="T96" s="18">
        <v>0.2928</v>
      </c>
      <c r="U96" s="18">
        <v>0.2601</v>
      </c>
      <c r="V96" s="18">
        <v>7.7200000000000005E-2</v>
      </c>
      <c r="W96" s="18">
        <v>0.20499999999999999</v>
      </c>
      <c r="X96" s="18">
        <v>5.6500000000000002E-2</v>
      </c>
      <c r="Y96" s="18">
        <v>0.1933</v>
      </c>
      <c r="Z96" s="18">
        <v>0.1409</v>
      </c>
      <c r="AA96" s="18">
        <v>0.14990000000000001</v>
      </c>
      <c r="AB96" s="18">
        <v>0.33800000000000002</v>
      </c>
      <c r="AC96" s="18">
        <v>0.1067</v>
      </c>
      <c r="AD96" s="18">
        <v>0.30420000000000003</v>
      </c>
      <c r="AE96" s="18">
        <v>0.36620000000000003</v>
      </c>
      <c r="AF96" s="18">
        <v>0.36399999999999999</v>
      </c>
      <c r="AG96" s="18">
        <v>0.20230000000000001</v>
      </c>
      <c r="AH96" s="18">
        <v>0.38400000000000001</v>
      </c>
      <c r="AI96" s="18">
        <v>0.38080000000000003</v>
      </c>
      <c r="AJ96" s="18">
        <v>0.37759999999999999</v>
      </c>
      <c r="AK96" s="18">
        <v>0.22589999999999999</v>
      </c>
      <c r="AL96" s="18">
        <v>1.3143</v>
      </c>
      <c r="AM96" s="18">
        <v>0.30380000000000001</v>
      </c>
      <c r="AN96" s="18">
        <v>0.12620000000000001</v>
      </c>
      <c r="AO96" s="18">
        <v>0.50490000000000002</v>
      </c>
      <c r="AP96" s="18">
        <v>0.5403</v>
      </c>
      <c r="AQ96" s="18">
        <v>0.67290000000000005</v>
      </c>
      <c r="AR96" s="18">
        <v>0.60860000000000003</v>
      </c>
      <c r="AS96" s="18">
        <v>0.56230000000000002</v>
      </c>
      <c r="AT96" s="18">
        <v>0.4768</v>
      </c>
      <c r="AU96" s="18">
        <v>0.69720000000000004</v>
      </c>
      <c r="AV96" s="18">
        <v>0.42680000000000001</v>
      </c>
      <c r="AW96" s="18">
        <v>8.77E-2</v>
      </c>
      <c r="AX96" s="18">
        <v>0.3795</v>
      </c>
    </row>
    <row r="97" spans="1:50" x14ac:dyDescent="0.25">
      <c r="A97" s="16" t="s">
        <v>567</v>
      </c>
      <c r="B97" s="13" t="s">
        <v>464</v>
      </c>
      <c r="C97" s="17">
        <v>5.0999999999999997E-2</v>
      </c>
      <c r="D97" s="17">
        <v>0.1074</v>
      </c>
      <c r="E97" s="17">
        <v>9.7199999999999995E-2</v>
      </c>
      <c r="F97" s="17">
        <v>7.6600000000000001E-2</v>
      </c>
      <c r="G97" s="17">
        <v>0.128</v>
      </c>
      <c r="H97" s="17">
        <v>5.0999999999999997E-2</v>
      </c>
      <c r="I97" s="17">
        <v>5.0999999999999997E-2</v>
      </c>
      <c r="J97" s="17">
        <v>5.0999999999999997E-2</v>
      </c>
      <c r="K97" s="17">
        <v>0.41860000000000003</v>
      </c>
      <c r="L97" s="17">
        <v>0.42880000000000001</v>
      </c>
      <c r="M97" s="17">
        <v>0.38390000000000002</v>
      </c>
      <c r="N97" s="17">
        <v>0.24709999999999999</v>
      </c>
      <c r="O97" s="17">
        <v>9.7199999999999995E-2</v>
      </c>
      <c r="P97" s="17">
        <v>0.1074</v>
      </c>
      <c r="Q97" s="17">
        <v>9.1999999999999998E-2</v>
      </c>
      <c r="R97" s="17">
        <v>0.26369999999999999</v>
      </c>
      <c r="S97" s="17">
        <v>2.6756000000000002</v>
      </c>
      <c r="T97" s="17">
        <v>0.3543</v>
      </c>
      <c r="U97" s="17">
        <v>0.92579999999999996</v>
      </c>
      <c r="V97" s="17">
        <v>2.5499999999999998</v>
      </c>
      <c r="W97" s="17">
        <v>2.6526000000000001</v>
      </c>
      <c r="X97" s="17">
        <v>0.1343</v>
      </c>
      <c r="Y97" s="17">
        <v>5.0999999999999997E-2</v>
      </c>
      <c r="Z97" s="17">
        <v>0.20430000000000001</v>
      </c>
      <c r="AA97" s="17">
        <v>0.20019999999999999</v>
      </c>
      <c r="AB97" s="17">
        <v>0.80359999999999998</v>
      </c>
      <c r="AC97" s="17">
        <v>1.6782999999999999</v>
      </c>
      <c r="AD97" s="17">
        <v>0.94320000000000004</v>
      </c>
      <c r="AE97" s="17">
        <v>0.81299999999999994</v>
      </c>
      <c r="AF97" s="17">
        <v>0.21729999999999999</v>
      </c>
      <c r="AG97" s="17">
        <v>0.27439999999999998</v>
      </c>
      <c r="AH97" s="17">
        <v>6.1199999999999997E-2</v>
      </c>
      <c r="AI97" s="17">
        <v>0.15390000000000001</v>
      </c>
      <c r="AJ97" s="17">
        <v>0.46329999999999999</v>
      </c>
      <c r="AK97" s="17">
        <v>1.4048</v>
      </c>
      <c r="AL97" s="17">
        <v>2.7427999999999999</v>
      </c>
      <c r="AM97" s="17">
        <v>2.4485999999999999</v>
      </c>
      <c r="AN97" s="17">
        <v>0.20019999999999999</v>
      </c>
      <c r="AO97" s="17">
        <v>0.3458</v>
      </c>
      <c r="AP97" s="17">
        <v>0.36349999999999999</v>
      </c>
      <c r="AQ97" s="17">
        <v>0.58809999999999996</v>
      </c>
      <c r="AR97" s="17">
        <v>0.8014</v>
      </c>
      <c r="AS97" s="17">
        <v>0.55600000000000005</v>
      </c>
      <c r="AT97" s="17">
        <v>0.59409999999999996</v>
      </c>
      <c r="AU97" s="17">
        <v>0.43959999999999999</v>
      </c>
      <c r="AV97" s="17">
        <v>0.50060000000000004</v>
      </c>
      <c r="AW97" s="17">
        <v>0.8619</v>
      </c>
      <c r="AX97" s="17">
        <v>0.92230000000000001</v>
      </c>
    </row>
    <row r="98" spans="1:50" x14ac:dyDescent="0.25">
      <c r="A98" s="8" t="s">
        <v>136</v>
      </c>
      <c r="B98" s="10" t="s">
        <v>57</v>
      </c>
      <c r="C98" s="18">
        <v>0.23369999999999999</v>
      </c>
      <c r="D98" s="18">
        <v>0.19089999999999999</v>
      </c>
      <c r="E98" s="18">
        <v>0.1489</v>
      </c>
      <c r="F98" s="18">
        <v>9.9099999999999994E-2</v>
      </c>
      <c r="G98" s="18">
        <v>0.11550000000000001</v>
      </c>
      <c r="H98" s="18">
        <v>0.1976</v>
      </c>
      <c r="I98" s="18">
        <v>0.25679999999999997</v>
      </c>
      <c r="J98" s="18">
        <v>0.05</v>
      </c>
      <c r="K98" s="18">
        <v>0.05</v>
      </c>
      <c r="L98" s="18">
        <v>0.2455</v>
      </c>
      <c r="M98" s="18">
        <v>0.2089</v>
      </c>
      <c r="N98" s="18">
        <v>0.05</v>
      </c>
      <c r="O98" s="18">
        <v>0.25679999999999997</v>
      </c>
      <c r="P98" s="18">
        <v>0.1305</v>
      </c>
      <c r="Q98" s="18">
        <v>0.2316</v>
      </c>
      <c r="R98" s="18">
        <v>0.11</v>
      </c>
      <c r="S98" s="18">
        <v>0.3528</v>
      </c>
      <c r="T98" s="18">
        <v>0.16869999999999999</v>
      </c>
      <c r="U98" s="18">
        <v>0.23280000000000001</v>
      </c>
      <c r="V98" s="18">
        <v>0.1847</v>
      </c>
      <c r="W98" s="18">
        <v>8.6900000000000005E-2</v>
      </c>
      <c r="X98" s="18">
        <v>0.17080000000000001</v>
      </c>
      <c r="Y98" s="18">
        <v>0.1326</v>
      </c>
      <c r="Z98" s="18">
        <v>0.16400000000000001</v>
      </c>
      <c r="AA98" s="18">
        <v>0.10730000000000001</v>
      </c>
      <c r="AB98" s="18">
        <v>0.30009999999999998</v>
      </c>
      <c r="AC98" s="18">
        <v>9.7000000000000003E-2</v>
      </c>
      <c r="AD98" s="18">
        <v>0.14219999999999999</v>
      </c>
      <c r="AE98" s="18">
        <v>0.1236</v>
      </c>
      <c r="AF98" s="18">
        <v>0.1278</v>
      </c>
      <c r="AG98" s="18">
        <v>0.34300000000000003</v>
      </c>
      <c r="AH98" s="18">
        <v>0.16450000000000001</v>
      </c>
      <c r="AI98" s="18">
        <v>0.1007</v>
      </c>
      <c r="AJ98" s="18">
        <v>0.37719999999999998</v>
      </c>
      <c r="AK98" s="18">
        <v>0.24479999999999999</v>
      </c>
      <c r="AL98" s="18">
        <v>0.34329999999999999</v>
      </c>
      <c r="AM98" s="18">
        <v>0.3241</v>
      </c>
      <c r="AN98" s="18">
        <v>0.33410000000000001</v>
      </c>
      <c r="AO98" s="18">
        <v>0.42249999999999999</v>
      </c>
      <c r="AP98" s="18">
        <v>0.3039</v>
      </c>
      <c r="AQ98" s="18">
        <v>0.54820000000000002</v>
      </c>
      <c r="AR98" s="18">
        <v>0.69479999999999997</v>
      </c>
      <c r="AS98" s="18">
        <v>0.51419999999999999</v>
      </c>
      <c r="AT98" s="18">
        <v>0.40910000000000002</v>
      </c>
      <c r="AU98" s="18">
        <v>0.25080000000000002</v>
      </c>
      <c r="AV98" s="18">
        <v>0.4073</v>
      </c>
      <c r="AW98" s="18">
        <v>0.1802</v>
      </c>
      <c r="AX98" s="18">
        <v>0.14000000000000001</v>
      </c>
    </row>
    <row r="99" spans="1:50" x14ac:dyDescent="0.25">
      <c r="A99" s="16" t="s">
        <v>569</v>
      </c>
      <c r="B99" s="13" t="s">
        <v>464</v>
      </c>
      <c r="C99" s="17">
        <v>0.1021</v>
      </c>
      <c r="D99" s="17">
        <v>7.6499999999999999E-2</v>
      </c>
      <c r="E99" s="17">
        <v>5.0999999999999997E-2</v>
      </c>
      <c r="F99" s="17">
        <v>5.0999999999999997E-2</v>
      </c>
      <c r="G99" s="17">
        <v>5.0999999999999997E-2</v>
      </c>
      <c r="H99" s="17">
        <v>0.1191</v>
      </c>
      <c r="I99" s="17">
        <v>5.9499999999999997E-2</v>
      </c>
      <c r="J99" s="17">
        <v>5.0999999999999997E-2</v>
      </c>
      <c r="K99" s="17">
        <v>0.12759999999999999</v>
      </c>
      <c r="L99" s="17">
        <v>5.0999999999999997E-2</v>
      </c>
      <c r="M99" s="17">
        <v>8.5099999999999995E-2</v>
      </c>
      <c r="N99" s="17">
        <v>9.3600000000000003E-2</v>
      </c>
      <c r="O99" s="17">
        <v>5.0999999999999997E-2</v>
      </c>
      <c r="P99" s="17">
        <v>5.0999999999999997E-2</v>
      </c>
      <c r="Q99" s="17">
        <v>0.10630000000000001</v>
      </c>
      <c r="R99" s="17">
        <v>0.9506</v>
      </c>
      <c r="S99" s="17">
        <v>3.7008000000000001</v>
      </c>
      <c r="T99" s="17">
        <v>2.1564999999999999</v>
      </c>
      <c r="U99" s="17">
        <v>0.1336</v>
      </c>
      <c r="V99" s="17">
        <v>0.87909999999999999</v>
      </c>
      <c r="W99" s="17">
        <v>0.1704</v>
      </c>
      <c r="X99" s="17">
        <v>0.31640000000000001</v>
      </c>
      <c r="Y99" s="17">
        <v>0.41349999999999998</v>
      </c>
      <c r="Z99" s="17">
        <v>0.21640000000000001</v>
      </c>
      <c r="AA99" s="17">
        <v>0.14799999999999999</v>
      </c>
      <c r="AB99" s="17">
        <v>0.16650000000000001</v>
      </c>
      <c r="AC99" s="17">
        <v>0.221</v>
      </c>
      <c r="AD99" s="17">
        <v>0.32590000000000002</v>
      </c>
      <c r="AE99" s="17">
        <v>0.65390000000000004</v>
      </c>
      <c r="AF99" s="17">
        <v>1.3671</v>
      </c>
      <c r="AG99" s="17">
        <v>0.183</v>
      </c>
      <c r="AH99" s="17">
        <v>0.1235</v>
      </c>
      <c r="AI99" s="17">
        <v>0.1376</v>
      </c>
      <c r="AJ99" s="17">
        <v>0.36359999999999998</v>
      </c>
      <c r="AK99" s="17">
        <v>0.2477</v>
      </c>
      <c r="AL99" s="17">
        <v>1.6963999999999999</v>
      </c>
      <c r="AM99" s="17">
        <v>1.9953000000000001</v>
      </c>
      <c r="AN99" s="17">
        <v>0.40339999999999998</v>
      </c>
      <c r="AO99" s="17">
        <v>0.16880000000000001</v>
      </c>
      <c r="AP99" s="17">
        <v>0.4239</v>
      </c>
      <c r="AQ99" s="17">
        <v>0.36670000000000003</v>
      </c>
      <c r="AR99" s="17">
        <v>0.55869999999999997</v>
      </c>
      <c r="AS99" s="17">
        <v>0.77729999999999999</v>
      </c>
      <c r="AT99" s="17">
        <v>0.5141</v>
      </c>
      <c r="AU99" s="17">
        <v>0.70330000000000004</v>
      </c>
      <c r="AV99" s="17">
        <v>0.81489999999999996</v>
      </c>
      <c r="AW99" s="17">
        <v>0.62990000000000002</v>
      </c>
      <c r="AX99" s="17">
        <v>0.3412</v>
      </c>
    </row>
    <row r="100" spans="1:50" x14ac:dyDescent="0.25">
      <c r="A100" s="8" t="s">
        <v>138</v>
      </c>
      <c r="B100" s="10" t="s">
        <v>57</v>
      </c>
      <c r="C100" s="18">
        <v>4.8000000000000001E-2</v>
      </c>
      <c r="D100" s="18">
        <v>0.19500000000000001</v>
      </c>
      <c r="E100" s="18">
        <v>4.8000000000000001E-2</v>
      </c>
      <c r="F100" s="18">
        <v>4.8000000000000001E-2</v>
      </c>
      <c r="G100" s="18">
        <v>0.17499999999999999</v>
      </c>
      <c r="H100" s="18">
        <v>6.8000000000000005E-2</v>
      </c>
      <c r="I100" s="18">
        <v>0.13489999999999999</v>
      </c>
      <c r="J100" s="18">
        <v>0.1081</v>
      </c>
      <c r="K100" s="18">
        <v>4.8000000000000001E-2</v>
      </c>
      <c r="L100" s="18">
        <v>0.17499999999999999</v>
      </c>
      <c r="M100" s="18">
        <v>6.8000000000000005E-2</v>
      </c>
      <c r="N100" s="18">
        <v>0.12820000000000001</v>
      </c>
      <c r="O100" s="18">
        <v>0.1148</v>
      </c>
      <c r="P100" s="18">
        <v>4.8000000000000001E-2</v>
      </c>
      <c r="Q100" s="18">
        <v>0.23649999999999999</v>
      </c>
      <c r="R100" s="18">
        <v>5.91E-2</v>
      </c>
      <c r="S100" s="18">
        <v>0.97350000000000003</v>
      </c>
      <c r="T100" s="18">
        <v>0.78469999999999995</v>
      </c>
      <c r="U100" s="18">
        <v>0.4849</v>
      </c>
      <c r="V100" s="18">
        <v>0.96009999999999995</v>
      </c>
      <c r="W100" s="18">
        <v>0.20269999999999999</v>
      </c>
      <c r="X100" s="18">
        <v>0.2099</v>
      </c>
      <c r="Y100" s="18">
        <v>5.4699999999999999E-2</v>
      </c>
      <c r="Z100" s="18">
        <v>0.1883</v>
      </c>
      <c r="AA100" s="18">
        <v>4.8000000000000001E-2</v>
      </c>
      <c r="AB100" s="18">
        <v>4.8000000000000001E-2</v>
      </c>
      <c r="AC100" s="18">
        <v>0.19500000000000001</v>
      </c>
      <c r="AD100" s="18">
        <v>4.8000000000000001E-2</v>
      </c>
      <c r="AE100" s="18">
        <v>0.1081</v>
      </c>
      <c r="AF100" s="18">
        <v>0.13489999999999999</v>
      </c>
      <c r="AG100" s="18">
        <v>4.8000000000000001E-2</v>
      </c>
      <c r="AH100" s="18">
        <v>0.19500000000000001</v>
      </c>
      <c r="AI100" s="18">
        <v>4.8000000000000001E-2</v>
      </c>
      <c r="AJ100" s="18">
        <v>0.16159999999999999</v>
      </c>
      <c r="AK100" s="18">
        <v>0.14000000000000001</v>
      </c>
      <c r="AL100" s="18">
        <v>8.8099999999999998E-2</v>
      </c>
      <c r="AM100" s="18">
        <v>0.15490000000000001</v>
      </c>
      <c r="AN100" s="18">
        <v>4.8000000000000001E-2</v>
      </c>
      <c r="AO100" s="18">
        <v>4.8000000000000001E-2</v>
      </c>
      <c r="AP100" s="18">
        <v>7.4700000000000003E-2</v>
      </c>
      <c r="AQ100" s="18">
        <v>0.16830000000000001</v>
      </c>
      <c r="AR100" s="18">
        <v>4.8000000000000001E-2</v>
      </c>
      <c r="AS100" s="18">
        <v>0.19500000000000001</v>
      </c>
      <c r="AT100" s="18">
        <v>4.8000000000000001E-2</v>
      </c>
      <c r="AU100" s="18">
        <v>4.8000000000000001E-2</v>
      </c>
      <c r="AV100" s="18">
        <v>0.19500000000000001</v>
      </c>
      <c r="AW100" s="18">
        <v>4.8000000000000001E-2</v>
      </c>
      <c r="AX100" s="18">
        <v>4.8000000000000001E-2</v>
      </c>
    </row>
    <row r="101" spans="1:50" x14ac:dyDescent="0.25">
      <c r="A101" s="16" t="s">
        <v>571</v>
      </c>
      <c r="B101" s="13" t="s">
        <v>464</v>
      </c>
      <c r="C101" s="17">
        <v>0.14779999999999999</v>
      </c>
      <c r="D101" s="17">
        <v>0.1019</v>
      </c>
      <c r="E101" s="17">
        <v>0.23549999999999999</v>
      </c>
      <c r="F101" s="17">
        <v>9.5299999999999996E-2</v>
      </c>
      <c r="G101" s="17">
        <v>0.20880000000000001</v>
      </c>
      <c r="H101" s="17">
        <v>0.1706</v>
      </c>
      <c r="I101" s="17">
        <v>4.8000000000000001E-2</v>
      </c>
      <c r="J101" s="17">
        <v>6.4199999999999993E-2</v>
      </c>
      <c r="K101" s="17">
        <v>0.31519999999999998</v>
      </c>
      <c r="L101" s="17">
        <v>4.8000000000000001E-2</v>
      </c>
      <c r="M101" s="17">
        <v>0.25790000000000002</v>
      </c>
      <c r="N101" s="17">
        <v>0.1215</v>
      </c>
      <c r="O101" s="17">
        <v>4.8000000000000001E-2</v>
      </c>
      <c r="P101" s="17">
        <v>0.153</v>
      </c>
      <c r="Q101" s="17">
        <v>0.22639999999999999</v>
      </c>
      <c r="R101" s="17">
        <v>0.14249999999999999</v>
      </c>
      <c r="S101" s="17">
        <v>0.18820000000000001</v>
      </c>
      <c r="T101" s="17">
        <v>0.1807</v>
      </c>
      <c r="U101" s="17">
        <v>0.14199999999999999</v>
      </c>
      <c r="V101" s="17">
        <v>0.22689999999999999</v>
      </c>
      <c r="W101" s="17">
        <v>0.16589999999999999</v>
      </c>
      <c r="X101" s="17">
        <v>0.33389999999999997</v>
      </c>
      <c r="Y101" s="17">
        <v>0.1215</v>
      </c>
      <c r="Z101" s="17">
        <v>0.1615</v>
      </c>
      <c r="AA101" s="17">
        <v>0.1129</v>
      </c>
      <c r="AB101" s="17">
        <v>0.1774</v>
      </c>
      <c r="AC101" s="17">
        <v>0.20200000000000001</v>
      </c>
      <c r="AD101" s="17">
        <v>4.8000000000000001E-2</v>
      </c>
      <c r="AE101" s="17">
        <v>0.18579999999999999</v>
      </c>
      <c r="AF101" s="17">
        <v>0.19359999999999999</v>
      </c>
      <c r="AG101" s="17">
        <v>4.8000000000000001E-2</v>
      </c>
      <c r="AH101" s="17">
        <v>0.16489999999999999</v>
      </c>
      <c r="AI101" s="17">
        <v>0.2145</v>
      </c>
      <c r="AJ101" s="17">
        <v>4.8000000000000001E-2</v>
      </c>
      <c r="AK101" s="17">
        <v>0.33139999999999997</v>
      </c>
      <c r="AL101" s="17">
        <v>5.1999999999999998E-2</v>
      </c>
      <c r="AM101" s="17">
        <v>1.554</v>
      </c>
      <c r="AN101" s="17">
        <v>0.93489999999999995</v>
      </c>
      <c r="AO101" s="17">
        <v>0.308</v>
      </c>
      <c r="AP101" s="17">
        <v>0.36520000000000002</v>
      </c>
      <c r="AQ101" s="17">
        <v>0.64639999999999997</v>
      </c>
      <c r="AR101" s="17">
        <v>0.29520000000000002</v>
      </c>
      <c r="AS101" s="17">
        <v>0.42620000000000002</v>
      </c>
      <c r="AT101" s="17">
        <v>0.62450000000000006</v>
      </c>
      <c r="AU101" s="17">
        <v>0.5171</v>
      </c>
      <c r="AV101" s="17">
        <v>0.7581</v>
      </c>
      <c r="AW101" s="17">
        <v>0.35360000000000003</v>
      </c>
      <c r="AX101" s="17">
        <v>0.2079</v>
      </c>
    </row>
    <row r="102" spans="1:50" x14ac:dyDescent="0.25">
      <c r="A102" s="8" t="s">
        <v>140</v>
      </c>
      <c r="B102" s="10" t="s">
        <v>57</v>
      </c>
      <c r="C102" s="18">
        <v>0.2041</v>
      </c>
      <c r="D102" s="18">
        <v>5.16E-2</v>
      </c>
      <c r="E102" s="18">
        <v>4.3999999999999997E-2</v>
      </c>
      <c r="F102" s="18">
        <v>0.2117</v>
      </c>
      <c r="G102" s="18">
        <v>4.3999999999999997E-2</v>
      </c>
      <c r="H102" s="18">
        <v>0.15840000000000001</v>
      </c>
      <c r="I102" s="18">
        <v>9.74E-2</v>
      </c>
      <c r="J102" s="18">
        <v>4.3999999999999997E-2</v>
      </c>
      <c r="K102" s="18">
        <v>9.74E-2</v>
      </c>
      <c r="L102" s="18">
        <v>0.1636</v>
      </c>
      <c r="M102" s="18">
        <v>4.3999999999999997E-2</v>
      </c>
      <c r="N102" s="18">
        <v>0.2117</v>
      </c>
      <c r="O102" s="18">
        <v>4.3999999999999997E-2</v>
      </c>
      <c r="P102" s="18">
        <v>6.6900000000000001E-2</v>
      </c>
      <c r="Q102" s="18">
        <v>0.18890000000000001</v>
      </c>
      <c r="R102" s="18">
        <v>4.3999999999999997E-2</v>
      </c>
      <c r="S102" s="18">
        <v>0.1507</v>
      </c>
      <c r="T102" s="18">
        <v>0.105</v>
      </c>
      <c r="U102" s="18">
        <v>4.53E-2</v>
      </c>
      <c r="V102" s="18">
        <v>0.11260000000000001</v>
      </c>
      <c r="W102" s="18">
        <v>0.1431</v>
      </c>
      <c r="X102" s="18">
        <v>4.3999999999999997E-2</v>
      </c>
      <c r="Y102" s="18">
        <v>0.2117</v>
      </c>
      <c r="Z102" s="18">
        <v>4.3999999999999997E-2</v>
      </c>
      <c r="AA102" s="18">
        <v>0.18890000000000001</v>
      </c>
      <c r="AB102" s="18">
        <v>6.6900000000000001E-2</v>
      </c>
      <c r="AC102" s="18">
        <v>4.3999999999999997E-2</v>
      </c>
      <c r="AD102" s="18">
        <v>0.2041</v>
      </c>
      <c r="AE102" s="18">
        <v>7.8E-2</v>
      </c>
      <c r="AF102" s="18">
        <v>0.15840000000000001</v>
      </c>
      <c r="AG102" s="18">
        <v>9.74E-2</v>
      </c>
      <c r="AH102" s="18">
        <v>4.3999999999999997E-2</v>
      </c>
      <c r="AI102" s="18">
        <v>0.1202</v>
      </c>
      <c r="AJ102" s="18">
        <v>0.1555</v>
      </c>
      <c r="AK102" s="18">
        <v>5.0200000000000002E-2</v>
      </c>
      <c r="AL102" s="18">
        <v>0.28810000000000002</v>
      </c>
      <c r="AM102" s="18">
        <v>0.1162</v>
      </c>
      <c r="AN102" s="18">
        <v>0.25659999999999999</v>
      </c>
      <c r="AO102" s="18">
        <v>0.16270000000000001</v>
      </c>
      <c r="AP102" s="18">
        <v>0.3488</v>
      </c>
      <c r="AQ102" s="18">
        <v>0.3327</v>
      </c>
      <c r="AR102" s="18">
        <v>0.3155</v>
      </c>
      <c r="AS102" s="18">
        <v>0.39229999999999998</v>
      </c>
      <c r="AT102" s="18">
        <v>0.3337</v>
      </c>
      <c r="AU102" s="18">
        <v>0.56520000000000004</v>
      </c>
      <c r="AV102" s="18">
        <v>0.53510000000000002</v>
      </c>
      <c r="AW102" s="18">
        <v>0.50800000000000001</v>
      </c>
      <c r="AX102" s="18">
        <v>0.4985</v>
      </c>
    </row>
    <row r="103" spans="1:50" x14ac:dyDescent="0.25">
      <c r="A103" s="8" t="s">
        <v>142</v>
      </c>
      <c r="B103" s="10" t="s">
        <v>57</v>
      </c>
      <c r="C103" s="18">
        <v>5.3999999999999999E-2</v>
      </c>
      <c r="D103" s="18">
        <v>0.1363</v>
      </c>
      <c r="E103" s="18">
        <v>5.3999999999999999E-2</v>
      </c>
      <c r="F103" s="18">
        <v>5.3999999999999999E-2</v>
      </c>
      <c r="G103" s="18">
        <v>5.3999999999999999E-2</v>
      </c>
      <c r="H103" s="18">
        <v>0.1134</v>
      </c>
      <c r="I103" s="18">
        <v>7.6899999999999996E-2</v>
      </c>
      <c r="J103" s="18">
        <v>5.3999999999999999E-2</v>
      </c>
      <c r="K103" s="18">
        <v>0.1363</v>
      </c>
      <c r="L103" s="18">
        <v>5.3999999999999999E-2</v>
      </c>
      <c r="M103" s="18">
        <v>0.1363</v>
      </c>
      <c r="N103" s="18">
        <v>5.3999999999999999E-2</v>
      </c>
      <c r="O103" s="18">
        <v>0.1363</v>
      </c>
      <c r="P103" s="18">
        <v>5.3999999999999999E-2</v>
      </c>
      <c r="Q103" s="18">
        <v>5.8599999999999999E-2</v>
      </c>
      <c r="R103" s="18">
        <v>0.13170000000000001</v>
      </c>
      <c r="S103" s="18">
        <v>5.3999999999999999E-2</v>
      </c>
      <c r="T103" s="18">
        <v>0.14199999999999999</v>
      </c>
      <c r="U103" s="18">
        <v>5.3999999999999999E-2</v>
      </c>
      <c r="V103" s="18">
        <v>0.1363</v>
      </c>
      <c r="W103" s="18">
        <v>5.3999999999999999E-2</v>
      </c>
      <c r="X103" s="18">
        <v>0.1089</v>
      </c>
      <c r="Y103" s="18">
        <v>0.21310000000000001</v>
      </c>
      <c r="Z103" s="18">
        <v>0.66669999999999996</v>
      </c>
      <c r="AA103" s="18">
        <v>0.64970000000000006</v>
      </c>
      <c r="AB103" s="18">
        <v>0.60319999999999996</v>
      </c>
      <c r="AC103" s="18">
        <v>0.37580000000000002</v>
      </c>
      <c r="AD103" s="18">
        <v>1.0353000000000001</v>
      </c>
      <c r="AE103" s="18">
        <v>0.37919999999999998</v>
      </c>
      <c r="AF103" s="18">
        <v>0.31979999999999997</v>
      </c>
      <c r="AG103" s="18">
        <v>0.2253</v>
      </c>
      <c r="AH103" s="18">
        <v>0.2515</v>
      </c>
      <c r="AI103" s="18">
        <v>0.18720000000000001</v>
      </c>
      <c r="AJ103" s="18">
        <v>7.6899999999999996E-2</v>
      </c>
      <c r="AK103" s="18">
        <v>0.1134</v>
      </c>
      <c r="AL103" s="18">
        <v>5.3999999999999999E-2</v>
      </c>
      <c r="AM103" s="18">
        <v>5.3999999999999999E-2</v>
      </c>
      <c r="AN103" s="18">
        <v>9.64E-2</v>
      </c>
      <c r="AO103" s="18">
        <v>0.18360000000000001</v>
      </c>
      <c r="AP103" s="18">
        <v>0.22420000000000001</v>
      </c>
      <c r="AQ103" s="18">
        <v>0.74539999999999995</v>
      </c>
      <c r="AR103" s="18">
        <v>1.4283999999999999</v>
      </c>
      <c r="AS103" s="18">
        <v>1.57</v>
      </c>
      <c r="AT103" s="18">
        <v>0.15409999999999999</v>
      </c>
      <c r="AU103" s="18">
        <v>5.3999999999999999E-2</v>
      </c>
      <c r="AV103" s="18">
        <v>5.3999999999999999E-2</v>
      </c>
      <c r="AW103" s="18">
        <v>8.14E-2</v>
      </c>
      <c r="AX103" s="18">
        <v>0.1089</v>
      </c>
    </row>
    <row r="104" spans="1:50" x14ac:dyDescent="0.25">
      <c r="A104" s="8" t="s">
        <v>144</v>
      </c>
      <c r="B104" s="10" t="s">
        <v>57</v>
      </c>
      <c r="C104" s="18">
        <v>6.6900000000000001E-2</v>
      </c>
      <c r="D104" s="18">
        <v>9.8799999999999999E-2</v>
      </c>
      <c r="E104" s="18">
        <v>4.7E-2</v>
      </c>
      <c r="F104" s="18">
        <v>4.7E-2</v>
      </c>
      <c r="G104" s="18">
        <v>4.7E-2</v>
      </c>
      <c r="H104" s="18">
        <v>0.1028</v>
      </c>
      <c r="I104" s="18">
        <v>6.2899999999999998E-2</v>
      </c>
      <c r="J104" s="18">
        <v>8.2799999999999999E-2</v>
      </c>
      <c r="K104" s="18">
        <v>8.2799999999999999E-2</v>
      </c>
      <c r="L104" s="18">
        <v>4.7E-2</v>
      </c>
      <c r="M104" s="18">
        <v>0.1187</v>
      </c>
      <c r="N104" s="18">
        <v>4.7E-2</v>
      </c>
      <c r="O104" s="18">
        <v>0.1187</v>
      </c>
      <c r="P104" s="18">
        <v>4.7E-2</v>
      </c>
      <c r="Q104" s="18">
        <v>8.2799999999999999E-2</v>
      </c>
      <c r="R104" s="18">
        <v>8.2799999999999999E-2</v>
      </c>
      <c r="S104" s="18">
        <v>4.7E-2</v>
      </c>
      <c r="T104" s="18">
        <v>0.38769999999999999</v>
      </c>
      <c r="U104" s="18">
        <v>0.44840000000000002</v>
      </c>
      <c r="V104" s="18">
        <v>0.40589999999999998</v>
      </c>
      <c r="W104" s="18">
        <v>0.1032</v>
      </c>
      <c r="X104" s="18">
        <v>0.96930000000000005</v>
      </c>
      <c r="Y104" s="18">
        <v>0.1147</v>
      </c>
      <c r="Z104" s="18">
        <v>4.7E-2</v>
      </c>
      <c r="AA104" s="18">
        <v>4.7E-2</v>
      </c>
      <c r="AB104" s="18">
        <v>4.7E-2</v>
      </c>
      <c r="AC104" s="18">
        <v>0.1187</v>
      </c>
      <c r="AD104" s="18">
        <v>4.7E-2</v>
      </c>
      <c r="AE104" s="18">
        <v>9.2399999999999996E-2</v>
      </c>
      <c r="AF104" s="18">
        <v>9.0399999999999994E-2</v>
      </c>
      <c r="AG104" s="18">
        <v>0.2487</v>
      </c>
      <c r="AH104" s="18">
        <v>0.1139</v>
      </c>
      <c r="AI104" s="18">
        <v>0.1226</v>
      </c>
      <c r="AJ104" s="18">
        <v>0.85940000000000005</v>
      </c>
      <c r="AK104" s="18">
        <v>0.63170000000000004</v>
      </c>
      <c r="AL104" s="18">
        <v>0.29949999999999999</v>
      </c>
      <c r="AM104" s="18">
        <v>0.30669999999999997</v>
      </c>
      <c r="AN104" s="18">
        <v>0.2301</v>
      </c>
      <c r="AO104" s="18">
        <v>7.9899999999999999E-2</v>
      </c>
      <c r="AP104" s="18">
        <v>0.67359999999999998</v>
      </c>
      <c r="AQ104" s="18">
        <v>1.9048</v>
      </c>
      <c r="AR104" s="18">
        <v>0.61129999999999995</v>
      </c>
      <c r="AS104" s="18">
        <v>0.2666</v>
      </c>
      <c r="AT104" s="18">
        <v>0.41060000000000002</v>
      </c>
      <c r="AU104" s="18">
        <v>0.31290000000000001</v>
      </c>
      <c r="AV104" s="18">
        <v>0.16070000000000001</v>
      </c>
      <c r="AW104" s="18">
        <v>0.1187</v>
      </c>
      <c r="AX104" s="18">
        <v>4.7E-2</v>
      </c>
    </row>
    <row r="105" spans="1:50" x14ac:dyDescent="0.25">
      <c r="A105" s="16" t="s">
        <v>573</v>
      </c>
      <c r="B105" s="13" t="s">
        <v>464</v>
      </c>
      <c r="C105" s="17">
        <v>5.5E-2</v>
      </c>
      <c r="D105" s="17">
        <v>0.17050000000000001</v>
      </c>
      <c r="E105" s="17">
        <v>8.8999999999999996E-2</v>
      </c>
      <c r="F105" s="17">
        <v>0.12970000000000001</v>
      </c>
      <c r="G105" s="17">
        <v>0.12970000000000001</v>
      </c>
      <c r="H105" s="17">
        <v>5.5E-2</v>
      </c>
      <c r="I105" s="17">
        <v>0.11609999999999999</v>
      </c>
      <c r="J105" s="17">
        <v>0.14330000000000001</v>
      </c>
      <c r="K105" s="17">
        <v>5.5E-2</v>
      </c>
      <c r="L105" s="17">
        <v>0.2044</v>
      </c>
      <c r="M105" s="17">
        <v>5.5E-2</v>
      </c>
      <c r="N105" s="17">
        <v>5.5E-2</v>
      </c>
      <c r="O105" s="17">
        <v>0.1908</v>
      </c>
      <c r="P105" s="17">
        <v>6.8599999999999994E-2</v>
      </c>
      <c r="Q105" s="17">
        <v>0.3947</v>
      </c>
      <c r="R105" s="17">
        <v>0.19409999999999999</v>
      </c>
      <c r="S105" s="17">
        <v>8.8999999999999996E-2</v>
      </c>
      <c r="T105" s="17">
        <v>0.17050000000000001</v>
      </c>
      <c r="U105" s="17">
        <v>6.1100000000000002E-2</v>
      </c>
      <c r="V105" s="17">
        <v>0.58560000000000001</v>
      </c>
      <c r="W105" s="17">
        <v>0.13650000000000001</v>
      </c>
      <c r="X105" s="17">
        <v>6.8599999999999994E-2</v>
      </c>
      <c r="Y105" s="17">
        <v>0.1908</v>
      </c>
      <c r="Z105" s="17">
        <v>5.5E-2</v>
      </c>
      <c r="AA105" s="17">
        <v>5.5E-2</v>
      </c>
      <c r="AB105" s="17">
        <v>5.5E-2</v>
      </c>
      <c r="AC105" s="17">
        <v>0.2044</v>
      </c>
      <c r="AD105" s="17">
        <v>5.5E-2</v>
      </c>
      <c r="AE105" s="17">
        <v>5.5E-2</v>
      </c>
      <c r="AF105" s="17">
        <v>0.2044</v>
      </c>
      <c r="AG105" s="17">
        <v>5.5E-2</v>
      </c>
      <c r="AH105" s="17">
        <v>5.5E-2</v>
      </c>
      <c r="AI105" s="17">
        <v>0.11609999999999999</v>
      </c>
      <c r="AJ105" s="17">
        <v>0.5131</v>
      </c>
      <c r="AK105" s="17">
        <v>0.99450000000000005</v>
      </c>
      <c r="AL105" s="17">
        <v>0.64419999999999999</v>
      </c>
      <c r="AM105" s="17">
        <v>0.58960000000000001</v>
      </c>
      <c r="AN105" s="17">
        <v>0.35199999999999998</v>
      </c>
      <c r="AO105" s="17">
        <v>0.42630000000000001</v>
      </c>
      <c r="AP105" s="17">
        <v>0.88570000000000004</v>
      </c>
      <c r="AQ105" s="17">
        <v>1.3344</v>
      </c>
      <c r="AR105" s="17">
        <v>1.611</v>
      </c>
      <c r="AS105" s="17">
        <v>0.40129999999999999</v>
      </c>
      <c r="AT105" s="17">
        <v>0.57979999999999998</v>
      </c>
      <c r="AU105" s="17">
        <v>0.3508</v>
      </c>
      <c r="AV105" s="17">
        <v>0.7732</v>
      </c>
      <c r="AW105" s="17">
        <v>0.44940000000000002</v>
      </c>
      <c r="AX105" s="17">
        <v>0.2853</v>
      </c>
    </row>
    <row r="106" spans="1:50" x14ac:dyDescent="0.25">
      <c r="A106" s="8" t="s">
        <v>146</v>
      </c>
      <c r="B106" s="10" t="s">
        <v>57</v>
      </c>
      <c r="C106" s="18">
        <v>0.78580000000000005</v>
      </c>
      <c r="D106" s="18">
        <v>0.58689999999999998</v>
      </c>
      <c r="E106" s="18">
        <v>5.3999999999999999E-2</v>
      </c>
      <c r="F106" s="18">
        <v>8.7300000000000003E-2</v>
      </c>
      <c r="G106" s="18">
        <v>0.20399999999999999</v>
      </c>
      <c r="H106" s="18">
        <v>5.3999999999999999E-2</v>
      </c>
      <c r="I106" s="18">
        <v>0.23730000000000001</v>
      </c>
      <c r="J106" s="18">
        <v>5.3999999999999999E-2</v>
      </c>
      <c r="K106" s="18">
        <v>7.9000000000000001E-2</v>
      </c>
      <c r="L106" s="18">
        <v>0.21229999999999999</v>
      </c>
      <c r="M106" s="18">
        <v>5.3999999999999999E-2</v>
      </c>
      <c r="N106" s="18">
        <v>0.23730000000000001</v>
      </c>
      <c r="O106" s="18">
        <v>5.3999999999999999E-2</v>
      </c>
      <c r="P106" s="18">
        <v>5.3999999999999999E-2</v>
      </c>
      <c r="Q106" s="18">
        <v>0.60099999999999998</v>
      </c>
      <c r="R106" s="18">
        <v>0.22309999999999999</v>
      </c>
      <c r="S106" s="18">
        <v>0.4158</v>
      </c>
      <c r="T106" s="18">
        <v>0.50800000000000001</v>
      </c>
      <c r="U106" s="18">
        <v>0.1052</v>
      </c>
      <c r="V106" s="18">
        <v>5.3999999999999999E-2</v>
      </c>
      <c r="W106" s="18">
        <v>0.17899999999999999</v>
      </c>
      <c r="X106" s="18">
        <v>0.1123</v>
      </c>
      <c r="Y106" s="18">
        <v>5.3999999999999999E-2</v>
      </c>
      <c r="Z106" s="18">
        <v>0.23730000000000001</v>
      </c>
      <c r="AA106" s="18">
        <v>5.3999999999999999E-2</v>
      </c>
      <c r="AB106" s="18">
        <v>9.5699999999999993E-2</v>
      </c>
      <c r="AC106" s="18">
        <v>0.25330000000000003</v>
      </c>
      <c r="AD106" s="18">
        <v>0.2369</v>
      </c>
      <c r="AE106" s="18">
        <v>0.154</v>
      </c>
      <c r="AF106" s="18">
        <v>0.24929999999999999</v>
      </c>
      <c r="AG106" s="18">
        <v>1.1138999999999999</v>
      </c>
      <c r="AH106" s="18">
        <v>0.62309999999999999</v>
      </c>
      <c r="AI106" s="18">
        <v>0.34189999999999998</v>
      </c>
      <c r="AJ106" s="18">
        <v>0.36980000000000002</v>
      </c>
      <c r="AK106" s="18">
        <v>0.1767</v>
      </c>
      <c r="AL106" s="18">
        <v>0.16200000000000001</v>
      </c>
      <c r="AM106" s="18">
        <v>0.32540000000000002</v>
      </c>
      <c r="AN106" s="18">
        <v>0.20030000000000001</v>
      </c>
      <c r="AO106" s="18">
        <v>0.1605</v>
      </c>
      <c r="AP106" s="18">
        <v>0.55989999999999995</v>
      </c>
      <c r="AQ106" s="18">
        <v>0.46400000000000002</v>
      </c>
      <c r="AR106" s="18">
        <v>0.49680000000000002</v>
      </c>
      <c r="AS106" s="18">
        <v>0.69899999999999995</v>
      </c>
      <c r="AT106" s="18">
        <v>0.64600000000000002</v>
      </c>
      <c r="AU106" s="18">
        <v>0.74860000000000004</v>
      </c>
      <c r="AV106" s="18">
        <v>0.80889999999999995</v>
      </c>
      <c r="AW106" s="18">
        <v>0.30259999999999998</v>
      </c>
      <c r="AX106" s="18">
        <v>0.22800000000000001</v>
      </c>
    </row>
    <row r="107" spans="1:50" x14ac:dyDescent="0.25">
      <c r="A107" s="16" t="s">
        <v>575</v>
      </c>
      <c r="B107" s="13" t="s">
        <v>464</v>
      </c>
      <c r="C107" s="17">
        <v>0.93899999999999995</v>
      </c>
      <c r="D107" s="17">
        <v>0.80320000000000003</v>
      </c>
      <c r="E107" s="17">
        <v>0.76480000000000004</v>
      </c>
      <c r="F107" s="17">
        <v>0.76800000000000002</v>
      </c>
      <c r="G107" s="17">
        <v>0.2341</v>
      </c>
      <c r="H107" s="17">
        <v>5.3999999999999999E-2</v>
      </c>
      <c r="I107" s="17">
        <v>6.2199999999999998E-2</v>
      </c>
      <c r="J107" s="17">
        <v>0.22589999999999999</v>
      </c>
      <c r="K107" s="17">
        <v>5.3999999999999999E-2</v>
      </c>
      <c r="L107" s="17">
        <v>0.22589999999999999</v>
      </c>
      <c r="M107" s="17">
        <v>6.2199999999999998E-2</v>
      </c>
      <c r="N107" s="17">
        <v>0.1031</v>
      </c>
      <c r="O107" s="17">
        <v>0.185</v>
      </c>
      <c r="P107" s="17">
        <v>5.3999999999999999E-2</v>
      </c>
      <c r="Q107" s="17">
        <v>0.2341</v>
      </c>
      <c r="R107" s="17">
        <v>5.3999999999999999E-2</v>
      </c>
      <c r="S107" s="17">
        <v>0.2238</v>
      </c>
      <c r="T107" s="17">
        <v>0.1113</v>
      </c>
      <c r="U107" s="17">
        <v>5.3999999999999999E-2</v>
      </c>
      <c r="V107" s="17">
        <v>0.2341</v>
      </c>
      <c r="W107" s="17">
        <v>5.3999999999999999E-2</v>
      </c>
      <c r="X107" s="17">
        <v>0.2014</v>
      </c>
      <c r="Y107" s="17">
        <v>8.6699999999999999E-2</v>
      </c>
      <c r="Z107" s="17">
        <v>0.12770000000000001</v>
      </c>
      <c r="AA107" s="17">
        <v>0.16039999999999999</v>
      </c>
      <c r="AB107" s="17">
        <v>0.186</v>
      </c>
      <c r="AC107" s="17">
        <v>0.65200000000000002</v>
      </c>
      <c r="AD107" s="17">
        <v>2.2570000000000001</v>
      </c>
      <c r="AE107" s="17">
        <v>0.43709999999999999</v>
      </c>
      <c r="AF107" s="17">
        <v>0.42020000000000002</v>
      </c>
      <c r="AG107" s="17">
        <v>0.57840000000000003</v>
      </c>
      <c r="AH107" s="17">
        <v>0.35289999999999999</v>
      </c>
      <c r="AI107" s="17">
        <v>0.2959</v>
      </c>
      <c r="AJ107" s="17">
        <v>0.30249999999999999</v>
      </c>
      <c r="AK107" s="17">
        <v>0.17399999999999999</v>
      </c>
      <c r="AL107" s="17">
        <v>0.217</v>
      </c>
      <c r="AM107" s="17">
        <v>0.39179999999999998</v>
      </c>
      <c r="AN107" s="17">
        <v>0.19270000000000001</v>
      </c>
      <c r="AO107" s="17">
        <v>0.24010000000000001</v>
      </c>
      <c r="AP107" s="17">
        <v>0.53680000000000005</v>
      </c>
      <c r="AQ107" s="17">
        <v>0.81389999999999996</v>
      </c>
      <c r="AR107" s="17">
        <v>0.68059999999999998</v>
      </c>
      <c r="AS107" s="17">
        <v>0.69440000000000002</v>
      </c>
      <c r="AT107" s="17">
        <v>0.63249999999999995</v>
      </c>
      <c r="AU107" s="17">
        <v>0.57999999999999996</v>
      </c>
      <c r="AV107" s="17">
        <v>0.56730000000000003</v>
      </c>
      <c r="AW107" s="17">
        <v>0.40649999999999997</v>
      </c>
      <c r="AX107" s="17">
        <v>0.185</v>
      </c>
    </row>
    <row r="108" spans="1:50" x14ac:dyDescent="0.25">
      <c r="A108" s="8" t="s">
        <v>148</v>
      </c>
      <c r="B108" s="10" t="s">
        <v>57</v>
      </c>
      <c r="C108" s="18">
        <v>0.1368</v>
      </c>
      <c r="D108" s="18">
        <v>0.19700000000000001</v>
      </c>
      <c r="E108" s="18">
        <v>0.13150000000000001</v>
      </c>
      <c r="F108" s="18">
        <v>0.12529999999999999</v>
      </c>
      <c r="G108" s="18">
        <v>0.214</v>
      </c>
      <c r="H108" s="18">
        <v>0.10050000000000001</v>
      </c>
      <c r="I108" s="18">
        <v>0.32440000000000002</v>
      </c>
      <c r="J108" s="18">
        <v>0.1095</v>
      </c>
      <c r="K108" s="18">
        <v>0.2114</v>
      </c>
      <c r="L108" s="18">
        <v>9.3399999999999997E-2</v>
      </c>
      <c r="M108" s="18">
        <v>0.23880000000000001</v>
      </c>
      <c r="N108" s="18">
        <v>6.1400000000000003E-2</v>
      </c>
      <c r="O108" s="18">
        <v>0.39989999999999998</v>
      </c>
      <c r="P108" s="18">
        <v>5.5E-2</v>
      </c>
      <c r="Q108" s="18">
        <v>0.28549999999999998</v>
      </c>
      <c r="R108" s="18">
        <v>0.1757</v>
      </c>
      <c r="S108" s="18">
        <v>0.23519999999999999</v>
      </c>
      <c r="T108" s="18">
        <v>0.10349999999999999</v>
      </c>
      <c r="U108" s="18">
        <v>0.17760000000000001</v>
      </c>
      <c r="V108" s="18">
        <v>0.21329999999999999</v>
      </c>
      <c r="W108" s="18">
        <v>0.106</v>
      </c>
      <c r="X108" s="18">
        <v>0.25440000000000002</v>
      </c>
      <c r="Y108" s="18">
        <v>0.4778</v>
      </c>
      <c r="Z108" s="18">
        <v>0.34870000000000001</v>
      </c>
      <c r="AA108" s="18">
        <v>1.2603</v>
      </c>
      <c r="AB108" s="18">
        <v>0.29160000000000003</v>
      </c>
      <c r="AC108" s="18">
        <v>0.15060000000000001</v>
      </c>
      <c r="AD108" s="18">
        <v>0.13850000000000001</v>
      </c>
      <c r="AE108" s="18">
        <v>0.2346</v>
      </c>
      <c r="AF108" s="18">
        <v>9.7799999999999998E-2</v>
      </c>
      <c r="AG108" s="18">
        <v>0.80289999999999995</v>
      </c>
      <c r="AH108" s="18">
        <v>0.21360000000000001</v>
      </c>
      <c r="AI108" s="18">
        <v>0.33789999999999998</v>
      </c>
      <c r="AJ108" s="18">
        <v>0.26860000000000001</v>
      </c>
      <c r="AK108" s="18">
        <v>0.53500000000000003</v>
      </c>
      <c r="AL108" s="18">
        <v>0.4214</v>
      </c>
      <c r="AM108" s="18">
        <v>0.53759999999999997</v>
      </c>
      <c r="AN108" s="18">
        <v>0.75900000000000001</v>
      </c>
      <c r="AO108" s="18">
        <v>1.3593</v>
      </c>
      <c r="AP108" s="18">
        <v>1.6133999999999999</v>
      </c>
      <c r="AQ108" s="18">
        <v>0.28470000000000001</v>
      </c>
      <c r="AR108" s="18">
        <v>0.62619999999999998</v>
      </c>
      <c r="AS108" s="18">
        <v>0.54459999999999997</v>
      </c>
      <c r="AT108" s="18">
        <v>0.57430000000000003</v>
      </c>
      <c r="AU108" s="18">
        <v>0.24110000000000001</v>
      </c>
      <c r="AV108" s="18">
        <v>9.3700000000000006E-2</v>
      </c>
      <c r="AW108" s="18">
        <v>0.26429999999999998</v>
      </c>
      <c r="AX108" s="18">
        <v>5.5E-2</v>
      </c>
    </row>
    <row r="109" spans="1:50" x14ac:dyDescent="0.25">
      <c r="A109" s="16" t="s">
        <v>577</v>
      </c>
      <c r="B109" s="13" t="s">
        <v>464</v>
      </c>
      <c r="C109" s="17">
        <v>0.53259999999999996</v>
      </c>
      <c r="D109" s="17">
        <v>0.46260000000000001</v>
      </c>
      <c r="E109" s="17">
        <v>9.3299999999999994E-2</v>
      </c>
      <c r="F109" s="17">
        <v>0.23480000000000001</v>
      </c>
      <c r="G109" s="17">
        <v>4.8000000000000001E-2</v>
      </c>
      <c r="H109" s="17">
        <v>0.11990000000000001</v>
      </c>
      <c r="I109" s="17">
        <v>0.2082</v>
      </c>
      <c r="J109" s="17">
        <v>4.8000000000000001E-2</v>
      </c>
      <c r="K109" s="17">
        <v>0.2382</v>
      </c>
      <c r="L109" s="17">
        <v>0.20599999999999999</v>
      </c>
      <c r="M109" s="17">
        <v>0.11799999999999999</v>
      </c>
      <c r="N109" s="17">
        <v>0.1024</v>
      </c>
      <c r="O109" s="17">
        <v>0.15570000000000001</v>
      </c>
      <c r="P109" s="17">
        <v>4.8000000000000001E-2</v>
      </c>
      <c r="Q109" s="17">
        <v>0.21829999999999999</v>
      </c>
      <c r="R109" s="17">
        <v>0.10970000000000001</v>
      </c>
      <c r="S109" s="17">
        <v>5.8400000000000001E-2</v>
      </c>
      <c r="T109" s="17">
        <v>0.28920000000000001</v>
      </c>
      <c r="U109" s="17">
        <v>8.9099999999999999E-2</v>
      </c>
      <c r="V109" s="17">
        <v>0.16520000000000001</v>
      </c>
      <c r="W109" s="17">
        <v>0.16289999999999999</v>
      </c>
      <c r="X109" s="17">
        <v>0.1221</v>
      </c>
      <c r="Y109" s="17">
        <v>0.15570000000000001</v>
      </c>
      <c r="Z109" s="17">
        <v>9.8299999999999998E-2</v>
      </c>
      <c r="AA109" s="17">
        <v>9.3299999999999994E-2</v>
      </c>
      <c r="AB109" s="17">
        <v>7.6799999999999993E-2</v>
      </c>
      <c r="AC109" s="17">
        <v>0.1598</v>
      </c>
      <c r="AD109" s="17">
        <v>0.16819999999999999</v>
      </c>
      <c r="AE109" s="17">
        <v>6.9500000000000006E-2</v>
      </c>
      <c r="AF109" s="17">
        <v>0.2379</v>
      </c>
      <c r="AG109" s="17">
        <v>8.0600000000000005E-2</v>
      </c>
      <c r="AH109" s="17">
        <v>0.50039999999999996</v>
      </c>
      <c r="AI109" s="17">
        <v>0.13220000000000001</v>
      </c>
      <c r="AJ109" s="17">
        <v>4.8000000000000001E-2</v>
      </c>
      <c r="AK109" s="17">
        <v>0.15079999999999999</v>
      </c>
      <c r="AL109" s="17">
        <v>0.17730000000000001</v>
      </c>
      <c r="AM109" s="17">
        <v>0.1221</v>
      </c>
      <c r="AN109" s="17">
        <v>0.20599999999999999</v>
      </c>
      <c r="AO109" s="17">
        <v>0.1221</v>
      </c>
      <c r="AP109" s="17">
        <v>0.15570000000000001</v>
      </c>
      <c r="AQ109" s="17">
        <v>9.8299999999999998E-2</v>
      </c>
      <c r="AR109" s="17">
        <v>6.4500000000000002E-2</v>
      </c>
      <c r="AS109" s="17">
        <v>0.2492</v>
      </c>
      <c r="AT109" s="17">
        <v>0.31240000000000001</v>
      </c>
      <c r="AU109" s="17">
        <v>0.57489999999999997</v>
      </c>
      <c r="AV109" s="17">
        <v>0.23280000000000001</v>
      </c>
      <c r="AW109" s="17">
        <v>4.8000000000000001E-2</v>
      </c>
      <c r="AX109" s="17">
        <v>0.2266</v>
      </c>
    </row>
    <row r="110" spans="1:50" x14ac:dyDescent="0.25">
      <c r="A110" s="16" t="s">
        <v>579</v>
      </c>
      <c r="B110" s="13" t="s">
        <v>464</v>
      </c>
      <c r="C110" s="17">
        <v>5.8999999999999997E-2</v>
      </c>
      <c r="D110" s="17">
        <v>0.1145</v>
      </c>
      <c r="E110" s="17">
        <v>0.26950000000000002</v>
      </c>
      <c r="F110" s="17">
        <v>7.4499999999999997E-2</v>
      </c>
      <c r="G110" s="17">
        <v>5.8999999999999997E-2</v>
      </c>
      <c r="H110" s="17">
        <v>5.8999999999999997E-2</v>
      </c>
      <c r="I110" s="17">
        <v>0.29060000000000002</v>
      </c>
      <c r="J110" s="17">
        <v>0.1089</v>
      </c>
      <c r="K110" s="17">
        <v>0.10340000000000001</v>
      </c>
      <c r="L110" s="17">
        <v>0.12559999999999999</v>
      </c>
      <c r="M110" s="17">
        <v>5.8999999999999997E-2</v>
      </c>
      <c r="N110" s="17">
        <v>5.8999999999999997E-2</v>
      </c>
      <c r="O110" s="17">
        <v>0.33279999999999998</v>
      </c>
      <c r="P110" s="17">
        <v>6.6799999999999998E-2</v>
      </c>
      <c r="Q110" s="17">
        <v>0.20100000000000001</v>
      </c>
      <c r="R110" s="17">
        <v>0.24859999999999999</v>
      </c>
      <c r="S110" s="17">
        <v>0.2089</v>
      </c>
      <c r="T110" s="17">
        <v>0.50180000000000002</v>
      </c>
      <c r="U110" s="17">
        <v>0.32179999999999997</v>
      </c>
      <c r="V110" s="17">
        <v>0.318</v>
      </c>
      <c r="W110" s="17">
        <v>0.99939999999999996</v>
      </c>
      <c r="X110" s="17">
        <v>0.1515</v>
      </c>
      <c r="Y110" s="17">
        <v>0.2949</v>
      </c>
      <c r="Z110" s="17">
        <v>0.1598</v>
      </c>
      <c r="AA110" s="17">
        <v>0.1089</v>
      </c>
      <c r="AB110" s="17">
        <v>0.14330000000000001</v>
      </c>
      <c r="AC110" s="17">
        <v>0.20630000000000001</v>
      </c>
      <c r="AD110" s="17">
        <v>0.16439999999999999</v>
      </c>
      <c r="AE110" s="17">
        <v>6.4500000000000002E-2</v>
      </c>
      <c r="AF110" s="17">
        <v>0.17319999999999999</v>
      </c>
      <c r="AG110" s="17">
        <v>0.22639999999999999</v>
      </c>
      <c r="AH110" s="17">
        <v>5.8999999999999997E-2</v>
      </c>
      <c r="AI110" s="17">
        <v>0.2296</v>
      </c>
      <c r="AJ110" s="17">
        <v>0.1699</v>
      </c>
      <c r="AK110" s="17">
        <v>8.2299999999999998E-2</v>
      </c>
      <c r="AL110" s="17">
        <v>2.1503999999999999</v>
      </c>
      <c r="AM110" s="17">
        <v>1.7165999999999999</v>
      </c>
      <c r="AN110" s="17">
        <v>1.0376000000000001</v>
      </c>
      <c r="AO110" s="17">
        <v>0.50349999999999995</v>
      </c>
      <c r="AP110" s="17">
        <v>0.4854</v>
      </c>
      <c r="AQ110" s="17">
        <v>0.50819999999999999</v>
      </c>
      <c r="AR110" s="17">
        <v>0.44369999999999998</v>
      </c>
      <c r="AS110" s="17">
        <v>0.47039999999999998</v>
      </c>
      <c r="AT110" s="17">
        <v>0.61919999999999997</v>
      </c>
      <c r="AU110" s="17">
        <v>0.61160000000000003</v>
      </c>
      <c r="AV110" s="17">
        <v>0.75380000000000003</v>
      </c>
      <c r="AW110" s="17">
        <v>0.73019999999999996</v>
      </c>
      <c r="AX110" s="17">
        <v>0.14000000000000001</v>
      </c>
    </row>
    <row r="111" spans="1:50" x14ac:dyDescent="0.25">
      <c r="A111" s="16" t="s">
        <v>581</v>
      </c>
      <c r="B111" s="13" t="s">
        <v>464</v>
      </c>
      <c r="C111" s="17">
        <v>0.79390000000000005</v>
      </c>
      <c r="D111" s="17">
        <v>5.7000000000000002E-2</v>
      </c>
      <c r="E111" s="17">
        <v>5.7000000000000002E-2</v>
      </c>
      <c r="F111" s="17">
        <v>5.7000000000000002E-2</v>
      </c>
      <c r="G111" s="17">
        <v>5.7000000000000002E-2</v>
      </c>
      <c r="H111" s="17">
        <v>5.7000000000000002E-2</v>
      </c>
      <c r="I111" s="17">
        <v>5.7000000000000002E-2</v>
      </c>
      <c r="J111" s="17">
        <v>5.7000000000000002E-2</v>
      </c>
      <c r="K111" s="17">
        <v>5.7000000000000002E-2</v>
      </c>
      <c r="L111" s="17">
        <v>5.7000000000000002E-2</v>
      </c>
      <c r="M111" s="17">
        <v>5.7000000000000002E-2</v>
      </c>
      <c r="N111" s="17">
        <v>5.7000000000000002E-2</v>
      </c>
      <c r="O111" s="17">
        <v>5.7000000000000002E-2</v>
      </c>
      <c r="P111" s="17">
        <v>5.7000000000000002E-2</v>
      </c>
      <c r="Q111" s="17">
        <v>5.7000000000000002E-2</v>
      </c>
      <c r="R111" s="17">
        <v>0.109</v>
      </c>
      <c r="S111" s="17">
        <v>1.7501</v>
      </c>
      <c r="T111" s="17">
        <v>0.55500000000000005</v>
      </c>
      <c r="U111" s="17">
        <v>0.19839999999999999</v>
      </c>
      <c r="V111" s="17">
        <v>0.20960000000000001</v>
      </c>
      <c r="W111" s="17">
        <v>0.21310000000000001</v>
      </c>
      <c r="X111" s="17">
        <v>0.20180000000000001</v>
      </c>
      <c r="Y111" s="17">
        <v>0.40039999999999998</v>
      </c>
      <c r="Z111" s="17">
        <v>0.1991</v>
      </c>
      <c r="AA111" s="17">
        <v>1.3974</v>
      </c>
      <c r="AB111" s="17">
        <v>1.101</v>
      </c>
      <c r="AC111" s="17">
        <v>0.70989999999999998</v>
      </c>
      <c r="AD111" s="17">
        <v>0.12620000000000001</v>
      </c>
      <c r="AE111" s="17">
        <v>0.1026</v>
      </c>
      <c r="AF111" s="17">
        <v>0.29559999999999997</v>
      </c>
      <c r="AG111" s="17">
        <v>0.16439999999999999</v>
      </c>
      <c r="AH111" s="17">
        <v>8.4000000000000005E-2</v>
      </c>
      <c r="AI111" s="17">
        <v>5.8299999999999998E-2</v>
      </c>
      <c r="AJ111" s="17">
        <v>7.8E-2</v>
      </c>
      <c r="AK111" s="17">
        <v>0.2233</v>
      </c>
      <c r="AL111" s="17">
        <v>0.19989999999999999</v>
      </c>
      <c r="AM111" s="17">
        <v>0.20880000000000001</v>
      </c>
      <c r="AN111" s="17">
        <v>0.4803</v>
      </c>
      <c r="AO111" s="17">
        <v>0.34749999999999998</v>
      </c>
      <c r="AP111" s="17">
        <v>0.4249</v>
      </c>
      <c r="AQ111" s="17">
        <v>5.7000000000000002E-2</v>
      </c>
      <c r="AR111" s="17">
        <v>5.7000000000000002E-2</v>
      </c>
      <c r="AS111" s="17">
        <v>5.7000000000000002E-2</v>
      </c>
      <c r="AT111" s="17">
        <v>5.7000000000000002E-2</v>
      </c>
      <c r="AU111" s="17">
        <v>5.7000000000000002E-2</v>
      </c>
      <c r="AV111" s="17">
        <v>5.7000000000000002E-2</v>
      </c>
      <c r="AW111" s="17">
        <v>5.7000000000000002E-2</v>
      </c>
      <c r="AX111" s="17">
        <v>5.7000000000000002E-2</v>
      </c>
    </row>
    <row r="112" spans="1:50" x14ac:dyDescent="0.25">
      <c r="A112" s="16" t="s">
        <v>583</v>
      </c>
      <c r="B112" s="13" t="s">
        <v>464</v>
      </c>
      <c r="C112" s="17">
        <v>4.8000000000000001E-2</v>
      </c>
      <c r="D112" s="17">
        <v>4.8000000000000001E-2</v>
      </c>
      <c r="E112" s="17">
        <v>4.8000000000000001E-2</v>
      </c>
      <c r="F112" s="17">
        <v>4.8000000000000001E-2</v>
      </c>
      <c r="G112" s="17">
        <v>4.8000000000000001E-2</v>
      </c>
      <c r="H112" s="17">
        <v>4.8000000000000001E-2</v>
      </c>
      <c r="I112" s="17">
        <v>4.8000000000000001E-2</v>
      </c>
      <c r="J112" s="17">
        <v>4.8000000000000001E-2</v>
      </c>
      <c r="K112" s="17">
        <v>4.8000000000000001E-2</v>
      </c>
      <c r="L112" s="17">
        <v>4.8000000000000001E-2</v>
      </c>
      <c r="M112" s="17">
        <v>4.8000000000000001E-2</v>
      </c>
      <c r="N112" s="17">
        <v>4.8000000000000001E-2</v>
      </c>
      <c r="O112" s="17">
        <v>0.152</v>
      </c>
      <c r="P112" s="17">
        <v>0.26850000000000002</v>
      </c>
      <c r="Q112" s="17">
        <v>7.2999999999999995E-2</v>
      </c>
      <c r="R112" s="17">
        <v>0.11269999999999999</v>
      </c>
      <c r="S112" s="17">
        <v>0.16600000000000001</v>
      </c>
      <c r="T112" s="17">
        <v>0.32069999999999999</v>
      </c>
      <c r="U112" s="17">
        <v>1.2309000000000001</v>
      </c>
      <c r="V112" s="17">
        <v>0.40350000000000003</v>
      </c>
      <c r="W112" s="17">
        <v>4.8000000000000001E-2</v>
      </c>
      <c r="X112" s="17">
        <v>4.8000000000000001E-2</v>
      </c>
      <c r="Y112" s="17">
        <v>4.8000000000000001E-2</v>
      </c>
      <c r="Z112" s="17">
        <v>4.8000000000000001E-2</v>
      </c>
      <c r="AA112" s="17">
        <v>4.8000000000000001E-2</v>
      </c>
      <c r="AB112" s="17">
        <v>4.8000000000000001E-2</v>
      </c>
      <c r="AC112" s="17">
        <v>0.27250000000000002</v>
      </c>
      <c r="AD112" s="17">
        <v>4.8000000000000001E-2</v>
      </c>
      <c r="AE112" s="17">
        <v>4.8000000000000001E-2</v>
      </c>
      <c r="AF112" s="17">
        <v>0.14960000000000001</v>
      </c>
      <c r="AG112" s="17">
        <v>0.14380000000000001</v>
      </c>
      <c r="AH112" s="17">
        <v>0.1018</v>
      </c>
      <c r="AI112" s="17">
        <v>0.35659999999999997</v>
      </c>
      <c r="AJ112" s="17">
        <v>0.48570000000000002</v>
      </c>
      <c r="AK112" s="17">
        <v>0.2268</v>
      </c>
      <c r="AL112" s="17">
        <v>0.36220000000000002</v>
      </c>
      <c r="AM112" s="17">
        <v>0.31569999999999998</v>
      </c>
      <c r="AN112" s="17">
        <v>0.40970000000000001</v>
      </c>
      <c r="AO112" s="17">
        <v>0.40699999999999997</v>
      </c>
      <c r="AP112" s="17">
        <v>0.56599999999999995</v>
      </c>
      <c r="AQ112" s="17">
        <v>0.56079999999999997</v>
      </c>
      <c r="AR112" s="17">
        <v>0.53169999999999995</v>
      </c>
      <c r="AS112" s="17">
        <v>0.72130000000000005</v>
      </c>
      <c r="AT112" s="17">
        <v>0.51749999999999996</v>
      </c>
      <c r="AU112" s="17">
        <v>0.46379999999999999</v>
      </c>
      <c r="AV112" s="17">
        <v>0.62619999999999998</v>
      </c>
      <c r="AW112" s="17">
        <v>0.62960000000000005</v>
      </c>
      <c r="AX112" s="17">
        <v>0.60099999999999998</v>
      </c>
    </row>
    <row r="113" spans="1:50" x14ac:dyDescent="0.25">
      <c r="A113" s="16" t="s">
        <v>585</v>
      </c>
      <c r="B113" s="13" t="s">
        <v>464</v>
      </c>
      <c r="C113" s="17">
        <v>0.2334</v>
      </c>
      <c r="D113" s="17">
        <v>0.31409999999999999</v>
      </c>
      <c r="E113" s="17">
        <v>0.06</v>
      </c>
      <c r="F113" s="17">
        <v>0.25590000000000002</v>
      </c>
      <c r="G113" s="17">
        <v>0.14299999999999999</v>
      </c>
      <c r="H113" s="17">
        <v>0.17460000000000001</v>
      </c>
      <c r="I113" s="17">
        <v>0.29470000000000002</v>
      </c>
      <c r="J113" s="17">
        <v>9.7699999999999995E-2</v>
      </c>
      <c r="K113" s="17">
        <v>0.2311</v>
      </c>
      <c r="L113" s="17">
        <v>0.27589999999999998</v>
      </c>
      <c r="M113" s="17">
        <v>0.1681</v>
      </c>
      <c r="N113" s="17">
        <v>0.23319999999999999</v>
      </c>
      <c r="O113" s="17">
        <v>0.2737</v>
      </c>
      <c r="P113" s="17">
        <v>0.17810000000000001</v>
      </c>
      <c r="Q113" s="17">
        <v>0.20100000000000001</v>
      </c>
      <c r="R113" s="17">
        <v>1.4239999999999999</v>
      </c>
      <c r="S113" s="17">
        <v>0.24970000000000001</v>
      </c>
      <c r="T113" s="17">
        <v>0.16700000000000001</v>
      </c>
      <c r="U113" s="17">
        <v>0.3906</v>
      </c>
      <c r="V113" s="17">
        <v>0.627</v>
      </c>
      <c r="W113" s="17">
        <v>1.0311999999999999</v>
      </c>
      <c r="X113" s="17">
        <v>1.2343999999999999</v>
      </c>
      <c r="Y113" s="17">
        <v>0.53720000000000001</v>
      </c>
      <c r="Z113" s="17">
        <v>0.1996</v>
      </c>
      <c r="AA113" s="17">
        <v>0.20660000000000001</v>
      </c>
      <c r="AB113" s="17">
        <v>0.31590000000000001</v>
      </c>
      <c r="AC113" s="17">
        <v>0.28349999999999997</v>
      </c>
      <c r="AD113" s="17">
        <v>0.4451</v>
      </c>
      <c r="AE113" s="17">
        <v>0.44590000000000002</v>
      </c>
      <c r="AF113" s="17">
        <v>0.40820000000000001</v>
      </c>
      <c r="AG113" s="17">
        <v>0.37730000000000002</v>
      </c>
      <c r="AH113" s="17">
        <v>0.51480000000000004</v>
      </c>
      <c r="AI113" s="17">
        <v>0.6512</v>
      </c>
      <c r="AJ113" s="17">
        <v>1.5358000000000001</v>
      </c>
      <c r="AK113" s="17">
        <v>0.27539999999999998</v>
      </c>
      <c r="AL113" s="17">
        <v>0.56669999999999998</v>
      </c>
      <c r="AM113" s="17">
        <v>1.0938000000000001</v>
      </c>
      <c r="AN113" s="17">
        <v>1.3624000000000001</v>
      </c>
      <c r="AO113" s="17">
        <v>0.35720000000000002</v>
      </c>
      <c r="AP113" s="17">
        <v>0.46710000000000002</v>
      </c>
      <c r="AQ113" s="17">
        <v>1.4782999999999999</v>
      </c>
      <c r="AR113" s="17">
        <v>0.39119999999999999</v>
      </c>
      <c r="AS113" s="17">
        <v>0.57199999999999995</v>
      </c>
      <c r="AT113" s="17">
        <v>0.70050000000000001</v>
      </c>
      <c r="AU113" s="17">
        <v>0.32350000000000001</v>
      </c>
      <c r="AV113" s="17">
        <v>0.5222</v>
      </c>
      <c r="AW113" s="17">
        <v>0.30059999999999998</v>
      </c>
      <c r="AX113" s="17">
        <v>0.2288</v>
      </c>
    </row>
    <row r="114" spans="1:50" x14ac:dyDescent="0.25">
      <c r="A114" s="8" t="s">
        <v>150</v>
      </c>
      <c r="B114" s="10" t="s">
        <v>57</v>
      </c>
      <c r="C114" s="18">
        <v>5.2999999999999999E-2</v>
      </c>
      <c r="D114" s="18">
        <v>5.2999999999999999E-2</v>
      </c>
      <c r="E114" s="18">
        <v>0.12330000000000001</v>
      </c>
      <c r="F114" s="18">
        <v>9.0899999999999995E-2</v>
      </c>
      <c r="G114" s="18">
        <v>9.0899999999999995E-2</v>
      </c>
      <c r="H114" s="18">
        <v>0.12330000000000001</v>
      </c>
      <c r="I114" s="18">
        <v>8.5500000000000007E-2</v>
      </c>
      <c r="J114" s="18">
        <v>0.12870000000000001</v>
      </c>
      <c r="K114" s="18">
        <v>6.3799999999999996E-2</v>
      </c>
      <c r="L114" s="18">
        <v>0.15040000000000001</v>
      </c>
      <c r="M114" s="18">
        <v>0.19739999999999999</v>
      </c>
      <c r="N114" s="18">
        <v>0.36659999999999998</v>
      </c>
      <c r="O114" s="18">
        <v>5.2999999999999999E-2</v>
      </c>
      <c r="P114" s="18">
        <v>5.2999999999999999E-2</v>
      </c>
      <c r="Q114" s="18">
        <v>9.2799999999999994E-2</v>
      </c>
      <c r="R114" s="18">
        <v>0.16520000000000001</v>
      </c>
      <c r="S114" s="18">
        <v>0.1686</v>
      </c>
      <c r="T114" s="18">
        <v>5.2999999999999999E-2</v>
      </c>
      <c r="U114" s="18">
        <v>0.1017</v>
      </c>
      <c r="V114" s="18">
        <v>0.1125</v>
      </c>
      <c r="W114" s="18">
        <v>8.0100000000000005E-2</v>
      </c>
      <c r="X114" s="18">
        <v>0.1837</v>
      </c>
      <c r="Y114" s="18">
        <v>6.8199999999999997E-2</v>
      </c>
      <c r="Z114" s="18">
        <v>0.16120000000000001</v>
      </c>
      <c r="AA114" s="18">
        <v>5.2999999999999999E-2</v>
      </c>
      <c r="AB114" s="18">
        <v>0.16120000000000001</v>
      </c>
      <c r="AC114" s="18">
        <v>5.2999999999999999E-2</v>
      </c>
      <c r="AD114" s="18">
        <v>0.15040000000000001</v>
      </c>
      <c r="AE114" s="18">
        <v>6.3799999999999996E-2</v>
      </c>
      <c r="AF114" s="18">
        <v>0.15040000000000001</v>
      </c>
      <c r="AG114" s="18">
        <v>6.3799999999999996E-2</v>
      </c>
      <c r="AH114" s="18">
        <v>0.10920000000000001</v>
      </c>
      <c r="AI114" s="18">
        <v>0.24529999999999999</v>
      </c>
      <c r="AJ114" s="18">
        <v>0.1231</v>
      </c>
      <c r="AK114" s="18">
        <v>5.8799999999999998E-2</v>
      </c>
      <c r="AL114" s="18">
        <v>5.2999999999999999E-2</v>
      </c>
      <c r="AM114" s="18">
        <v>0.16120000000000001</v>
      </c>
      <c r="AN114" s="18">
        <v>0.1797</v>
      </c>
      <c r="AO114" s="18">
        <v>1.6573</v>
      </c>
      <c r="AP114" s="18">
        <v>0.64790000000000003</v>
      </c>
      <c r="AQ114" s="18">
        <v>0.53890000000000005</v>
      </c>
      <c r="AR114" s="18">
        <v>0.46960000000000002</v>
      </c>
      <c r="AS114" s="18">
        <v>0.52059999999999995</v>
      </c>
      <c r="AT114" s="18">
        <v>0.3291</v>
      </c>
      <c r="AU114" s="18">
        <v>0.22170000000000001</v>
      </c>
      <c r="AV114" s="18">
        <v>0.1017</v>
      </c>
      <c r="AW114" s="18">
        <v>0.1017</v>
      </c>
      <c r="AX114" s="18">
        <v>0.1125</v>
      </c>
    </row>
    <row r="115" spans="1:50" x14ac:dyDescent="0.25">
      <c r="A115" s="16" t="s">
        <v>587</v>
      </c>
      <c r="B115" s="13" t="s">
        <v>464</v>
      </c>
      <c r="C115" s="17">
        <v>2.9335</v>
      </c>
      <c r="D115" s="17">
        <v>1.6400999999999999</v>
      </c>
      <c r="E115" s="17">
        <v>0.14099999999999999</v>
      </c>
      <c r="F115" s="17">
        <v>4.9000000000000002E-2</v>
      </c>
      <c r="G115" s="17">
        <v>0.20780000000000001</v>
      </c>
      <c r="H115" s="17">
        <v>0.1143</v>
      </c>
      <c r="I115" s="17">
        <v>7.7299999999999994E-2</v>
      </c>
      <c r="J115" s="17">
        <v>0.1764</v>
      </c>
      <c r="K115" s="17">
        <v>0.79690000000000005</v>
      </c>
      <c r="L115" s="17">
        <v>0.62949999999999995</v>
      </c>
      <c r="M115" s="17">
        <v>0.245</v>
      </c>
      <c r="N115" s="17">
        <v>4.9000000000000002E-2</v>
      </c>
      <c r="O115" s="17">
        <v>0.20480000000000001</v>
      </c>
      <c r="P115" s="17">
        <v>4.9000000000000002E-2</v>
      </c>
      <c r="Q115" s="17">
        <v>0.12690000000000001</v>
      </c>
      <c r="R115" s="17">
        <v>0.31230000000000002</v>
      </c>
      <c r="S115" s="17">
        <v>6.0400000000000002E-2</v>
      </c>
      <c r="T115" s="17">
        <v>0.20480000000000001</v>
      </c>
      <c r="U115" s="17">
        <v>0.1173</v>
      </c>
      <c r="V115" s="17">
        <v>0.11269999999999999</v>
      </c>
      <c r="W115" s="17">
        <v>0.14099999999999999</v>
      </c>
      <c r="X115" s="17">
        <v>0.1173</v>
      </c>
      <c r="Y115" s="17">
        <v>4.9000000000000002E-2</v>
      </c>
      <c r="Z115" s="17">
        <v>0.1173</v>
      </c>
      <c r="AA115" s="17">
        <v>0.2878</v>
      </c>
      <c r="AB115" s="17">
        <v>0.3387</v>
      </c>
      <c r="AC115" s="17">
        <v>0.39900000000000002</v>
      </c>
      <c r="AD115" s="17">
        <v>0.40450000000000003</v>
      </c>
      <c r="AE115" s="17">
        <v>0.28470000000000001</v>
      </c>
      <c r="AF115" s="17">
        <v>0.24959999999999999</v>
      </c>
      <c r="AG115" s="17">
        <v>0.29449999999999998</v>
      </c>
      <c r="AH115" s="17">
        <v>8.8999999999999996E-2</v>
      </c>
      <c r="AI115" s="17">
        <v>0.23749999999999999</v>
      </c>
      <c r="AJ115" s="17">
        <v>0.31030000000000002</v>
      </c>
      <c r="AK115" s="17">
        <v>0.2041</v>
      </c>
      <c r="AL115" s="17">
        <v>0.63770000000000004</v>
      </c>
      <c r="AM115" s="17">
        <v>0.32779999999999998</v>
      </c>
      <c r="AN115" s="17">
        <v>0.35670000000000002</v>
      </c>
      <c r="AO115" s="17">
        <v>0.38190000000000002</v>
      </c>
      <c r="AP115" s="17">
        <v>0.46579999999999999</v>
      </c>
      <c r="AQ115" s="17">
        <v>0.50419999999999998</v>
      </c>
      <c r="AR115" s="17">
        <v>0.54010000000000002</v>
      </c>
      <c r="AS115" s="17">
        <v>1.1279999999999999</v>
      </c>
      <c r="AT115" s="17">
        <v>0.63970000000000005</v>
      </c>
      <c r="AU115" s="17">
        <v>0.56059999999999999</v>
      </c>
      <c r="AV115" s="17">
        <v>0.70660000000000001</v>
      </c>
      <c r="AW115" s="17">
        <v>0.4859</v>
      </c>
      <c r="AX115" s="17">
        <v>0.2165</v>
      </c>
    </row>
    <row r="116" spans="1:50" x14ac:dyDescent="0.25">
      <c r="A116" s="16" t="s">
        <v>589</v>
      </c>
      <c r="B116" s="13" t="s">
        <v>464</v>
      </c>
      <c r="C116" s="17">
        <v>0.249</v>
      </c>
      <c r="D116" s="17">
        <v>7.6100000000000001E-2</v>
      </c>
      <c r="E116" s="17">
        <v>0.2142</v>
      </c>
      <c r="F116" s="17">
        <v>0.1167</v>
      </c>
      <c r="G116" s="17">
        <v>0.19600000000000001</v>
      </c>
      <c r="H116" s="17">
        <v>0.12379999999999999</v>
      </c>
      <c r="I116" s="17">
        <v>7.2400000000000006E-2</v>
      </c>
      <c r="J116" s="17">
        <v>9.7699999999999995E-2</v>
      </c>
      <c r="K116" s="17">
        <v>0.22950000000000001</v>
      </c>
      <c r="L116" s="17">
        <v>6.1400000000000003E-2</v>
      </c>
      <c r="M116" s="17">
        <v>9.0899999999999995E-2</v>
      </c>
      <c r="N116" s="17">
        <v>0.2364</v>
      </c>
      <c r="O116" s="17">
        <v>7.5999999999999998E-2</v>
      </c>
      <c r="P116" s="17">
        <v>0.1056</v>
      </c>
      <c r="Q116" s="17">
        <v>0.2142</v>
      </c>
      <c r="R116" s="17">
        <v>5.3999999999999999E-2</v>
      </c>
      <c r="S116" s="17">
        <v>0.1019</v>
      </c>
      <c r="T116" s="17">
        <v>0.32269999999999999</v>
      </c>
      <c r="U116" s="17">
        <v>0.22040000000000001</v>
      </c>
      <c r="V116" s="17">
        <v>0.2334</v>
      </c>
      <c r="W116" s="17">
        <v>0.18909999999999999</v>
      </c>
      <c r="X116" s="17">
        <v>0.372</v>
      </c>
      <c r="Y116" s="17">
        <v>0.24260000000000001</v>
      </c>
      <c r="Z116" s="17">
        <v>0.28749999999999998</v>
      </c>
      <c r="AA116" s="17">
        <v>0.35659999999999997</v>
      </c>
      <c r="AB116" s="17">
        <v>0.46150000000000002</v>
      </c>
      <c r="AC116" s="17">
        <v>8.5199999999999998E-2</v>
      </c>
      <c r="AD116" s="17">
        <v>0.1203</v>
      </c>
      <c r="AE116" s="17">
        <v>0.50080000000000002</v>
      </c>
      <c r="AF116" s="17">
        <v>0.23849999999999999</v>
      </c>
      <c r="AG116" s="17">
        <v>0.1426</v>
      </c>
      <c r="AH116" s="17">
        <v>0.37340000000000001</v>
      </c>
      <c r="AI116" s="17">
        <v>0.28029999999999999</v>
      </c>
      <c r="AJ116" s="17">
        <v>0.3049</v>
      </c>
      <c r="AK116" s="17">
        <v>0.2326</v>
      </c>
      <c r="AL116" s="17">
        <v>6.4100000000000004E-2</v>
      </c>
      <c r="AM116" s="17">
        <v>0.17130000000000001</v>
      </c>
      <c r="AN116" s="17">
        <v>0.17169999999999999</v>
      </c>
      <c r="AO116" s="17">
        <v>0.1231</v>
      </c>
      <c r="AP116" s="17">
        <v>0.59819999999999995</v>
      </c>
      <c r="AQ116" s="17">
        <v>0.51910000000000001</v>
      </c>
      <c r="AR116" s="17">
        <v>0.59770000000000001</v>
      </c>
      <c r="AS116" s="17">
        <v>0.57430000000000003</v>
      </c>
      <c r="AT116" s="17">
        <v>0.51</v>
      </c>
      <c r="AU116" s="17">
        <v>0.53269999999999995</v>
      </c>
      <c r="AV116" s="17">
        <v>0.62570000000000003</v>
      </c>
      <c r="AW116" s="17">
        <v>1.4823</v>
      </c>
      <c r="AX116" s="17">
        <v>0.31290000000000001</v>
      </c>
    </row>
    <row r="117" spans="1:50" x14ac:dyDescent="0.25">
      <c r="A117" s="16" t="s">
        <v>591</v>
      </c>
      <c r="B117" s="13" t="s">
        <v>464</v>
      </c>
      <c r="C117" s="17">
        <v>0.46210000000000001</v>
      </c>
      <c r="D117" s="17">
        <v>0.53259999999999996</v>
      </c>
      <c r="E117" s="17">
        <v>0.216</v>
      </c>
      <c r="F117" s="17">
        <v>0.1757</v>
      </c>
      <c r="G117" s="17">
        <v>0.11849999999999999</v>
      </c>
      <c r="H117" s="17">
        <v>9.5699999999999993E-2</v>
      </c>
      <c r="I117" s="17">
        <v>0.1772</v>
      </c>
      <c r="J117" s="17">
        <v>0.10249999999999999</v>
      </c>
      <c r="K117" s="17">
        <v>0.1144</v>
      </c>
      <c r="L117" s="17">
        <v>0.20599999999999999</v>
      </c>
      <c r="M117" s="17">
        <v>5.5E-2</v>
      </c>
      <c r="N117" s="17">
        <v>0.156</v>
      </c>
      <c r="O117" s="17">
        <v>7.2800000000000004E-2</v>
      </c>
      <c r="P117" s="17">
        <v>0.2009</v>
      </c>
      <c r="Q117" s="17">
        <v>0.1195</v>
      </c>
      <c r="R117" s="17">
        <v>0.14660000000000001</v>
      </c>
      <c r="S117" s="17">
        <v>0.17380000000000001</v>
      </c>
      <c r="T117" s="17">
        <v>0.14660000000000001</v>
      </c>
      <c r="U117" s="17">
        <v>0.06</v>
      </c>
      <c r="V117" s="17">
        <v>0.26029999999999998</v>
      </c>
      <c r="W117" s="17">
        <v>6.0100000000000001E-2</v>
      </c>
      <c r="X117" s="17">
        <v>7.0300000000000001E-2</v>
      </c>
      <c r="Y117" s="17">
        <v>0.1313</v>
      </c>
      <c r="Z117" s="17">
        <v>0.156</v>
      </c>
      <c r="AA117" s="17">
        <v>7.2800000000000004E-2</v>
      </c>
      <c r="AB117" s="17">
        <v>0.72809999999999997</v>
      </c>
      <c r="AC117" s="17">
        <v>0.99780000000000002</v>
      </c>
      <c r="AD117" s="17">
        <v>0.41520000000000001</v>
      </c>
      <c r="AE117" s="17">
        <v>0.15310000000000001</v>
      </c>
      <c r="AF117" s="17">
        <v>0.11509999999999999</v>
      </c>
      <c r="AG117" s="17">
        <v>0.26100000000000001</v>
      </c>
      <c r="AH117" s="17">
        <v>0.1426</v>
      </c>
      <c r="AI117" s="17">
        <v>9.2700000000000005E-2</v>
      </c>
      <c r="AJ117" s="17">
        <v>1.1942999999999999</v>
      </c>
      <c r="AK117" s="17">
        <v>1.2834000000000001</v>
      </c>
      <c r="AL117" s="17">
        <v>2.8018000000000001</v>
      </c>
      <c r="AM117" s="17">
        <v>2.4706999999999999</v>
      </c>
      <c r="AN117" s="17">
        <v>0.2535</v>
      </c>
      <c r="AO117" s="17">
        <v>6.6900000000000001E-2</v>
      </c>
      <c r="AP117" s="17">
        <v>0.14660000000000001</v>
      </c>
      <c r="AQ117" s="17">
        <v>5.5E-2</v>
      </c>
      <c r="AR117" s="17">
        <v>0.21199999999999999</v>
      </c>
      <c r="AS117" s="17">
        <v>0.1085</v>
      </c>
      <c r="AT117" s="17">
        <v>0.14660000000000001</v>
      </c>
      <c r="AU117" s="17">
        <v>0.17380000000000001</v>
      </c>
      <c r="AV117" s="17">
        <v>5.5E-2</v>
      </c>
      <c r="AW117" s="17">
        <v>0.21790000000000001</v>
      </c>
      <c r="AX117" s="17">
        <v>0.10249999999999999</v>
      </c>
    </row>
    <row r="118" spans="1:50" x14ac:dyDescent="0.25">
      <c r="A118" s="8" t="s">
        <v>152</v>
      </c>
      <c r="B118" s="10" t="s">
        <v>57</v>
      </c>
      <c r="C118" s="18">
        <v>0.40920000000000001</v>
      </c>
      <c r="D118" s="18">
        <v>0.46889999999999998</v>
      </c>
      <c r="E118" s="18">
        <v>0.27450000000000002</v>
      </c>
      <c r="F118" s="18">
        <v>8.2500000000000004E-2</v>
      </c>
      <c r="G118" s="18">
        <v>5.6000000000000001E-2</v>
      </c>
      <c r="H118" s="18">
        <v>5.6000000000000001E-2</v>
      </c>
      <c r="I118" s="18">
        <v>5.6000000000000001E-2</v>
      </c>
      <c r="J118" s="18">
        <v>5.6000000000000001E-2</v>
      </c>
      <c r="K118" s="18">
        <v>0.16209999999999999</v>
      </c>
      <c r="L118" s="18">
        <v>5.6000000000000001E-2</v>
      </c>
      <c r="M118" s="18">
        <v>5.6000000000000001E-2</v>
      </c>
      <c r="N118" s="18">
        <v>5.6000000000000001E-2</v>
      </c>
      <c r="O118" s="18">
        <v>9.3100000000000002E-2</v>
      </c>
      <c r="P118" s="18">
        <v>0.1249</v>
      </c>
      <c r="Q118" s="18">
        <v>1.1265000000000001</v>
      </c>
      <c r="R118" s="18">
        <v>0.29809999999999998</v>
      </c>
      <c r="S118" s="18">
        <v>0.39389999999999997</v>
      </c>
      <c r="T118" s="18">
        <v>0.2389</v>
      </c>
      <c r="U118" s="18">
        <v>0.30990000000000001</v>
      </c>
      <c r="V118" s="18">
        <v>0.21290000000000001</v>
      </c>
      <c r="W118" s="18">
        <v>0.28570000000000001</v>
      </c>
      <c r="X118" s="18">
        <v>0.43140000000000001</v>
      </c>
      <c r="Y118" s="18">
        <v>0.1946</v>
      </c>
      <c r="Z118" s="18">
        <v>1.1244000000000001</v>
      </c>
      <c r="AA118" s="18">
        <v>0.2046</v>
      </c>
      <c r="AB118" s="18">
        <v>0.1699</v>
      </c>
      <c r="AC118" s="18">
        <v>6.6900000000000001E-2</v>
      </c>
      <c r="AD118" s="18">
        <v>0.45429999999999998</v>
      </c>
      <c r="AE118" s="18">
        <v>0.25319999999999998</v>
      </c>
      <c r="AF118" s="18">
        <v>0.46010000000000001</v>
      </c>
      <c r="AG118" s="18">
        <v>0.52249999999999996</v>
      </c>
      <c r="AH118" s="18">
        <v>0.18640000000000001</v>
      </c>
      <c r="AI118" s="18">
        <v>0.22489999999999999</v>
      </c>
      <c r="AJ118" s="18">
        <v>0.30840000000000001</v>
      </c>
      <c r="AK118" s="18">
        <v>0.30990000000000001</v>
      </c>
      <c r="AL118" s="18">
        <v>0.5262</v>
      </c>
      <c r="AM118" s="18">
        <v>0.48120000000000002</v>
      </c>
      <c r="AN118" s="18">
        <v>0.44579999999999997</v>
      </c>
      <c r="AO118" s="18">
        <v>0.39860000000000001</v>
      </c>
      <c r="AP118" s="18">
        <v>0.56410000000000005</v>
      </c>
      <c r="AQ118" s="18">
        <v>0.95530000000000004</v>
      </c>
      <c r="AR118" s="18">
        <v>0.8125</v>
      </c>
      <c r="AS118" s="18">
        <v>0.57389999999999997</v>
      </c>
      <c r="AT118" s="18">
        <v>0.38800000000000001</v>
      </c>
      <c r="AU118" s="18">
        <v>5.6000000000000001E-2</v>
      </c>
      <c r="AV118" s="18">
        <v>0.16209999999999999</v>
      </c>
      <c r="AW118" s="18">
        <v>5.6000000000000001E-2</v>
      </c>
      <c r="AX118" s="18">
        <v>0.16209999999999999</v>
      </c>
    </row>
    <row r="119" spans="1:50" x14ac:dyDescent="0.25">
      <c r="A119" s="8" t="s">
        <v>154</v>
      </c>
      <c r="B119" s="10" t="s">
        <v>57</v>
      </c>
      <c r="C119" s="18">
        <v>0.70489999999999997</v>
      </c>
      <c r="D119" s="18">
        <v>0.97009999999999996</v>
      </c>
      <c r="E119" s="18">
        <v>1.0225</v>
      </c>
      <c r="F119" s="18">
        <v>0.33529999999999999</v>
      </c>
      <c r="G119" s="18">
        <v>0.13250000000000001</v>
      </c>
      <c r="H119" s="18">
        <v>8.4500000000000006E-2</v>
      </c>
      <c r="I119" s="18">
        <v>0.24610000000000001</v>
      </c>
      <c r="J119" s="18">
        <v>8.8200000000000001E-2</v>
      </c>
      <c r="K119" s="18">
        <v>7.3599999999999999E-2</v>
      </c>
      <c r="L119" s="18">
        <v>0.21690000000000001</v>
      </c>
      <c r="M119" s="18">
        <v>0.1137</v>
      </c>
      <c r="N119" s="18">
        <v>7.0999999999999994E-2</v>
      </c>
      <c r="O119" s="18">
        <v>0.19389999999999999</v>
      </c>
      <c r="P119" s="18">
        <v>4.8000000000000001E-2</v>
      </c>
      <c r="Q119" s="18">
        <v>0.21690000000000001</v>
      </c>
      <c r="R119" s="18">
        <v>0.1137</v>
      </c>
      <c r="S119" s="18">
        <v>0.17849999999999999</v>
      </c>
      <c r="T119" s="18">
        <v>0.15210000000000001</v>
      </c>
      <c r="U119" s="18">
        <v>5.57E-2</v>
      </c>
      <c r="V119" s="18">
        <v>0.2092</v>
      </c>
      <c r="W119" s="18">
        <v>4.8000000000000001E-2</v>
      </c>
      <c r="X119" s="18">
        <v>0.2596</v>
      </c>
      <c r="Y119" s="18">
        <v>7.0999999999999994E-2</v>
      </c>
      <c r="Z119" s="18">
        <v>0.1401</v>
      </c>
      <c r="AA119" s="18">
        <v>0.42899999999999999</v>
      </c>
      <c r="AB119" s="18">
        <v>0.26300000000000001</v>
      </c>
      <c r="AC119" s="18">
        <v>0.38500000000000001</v>
      </c>
      <c r="AD119" s="18">
        <v>0.28860000000000002</v>
      </c>
      <c r="AE119" s="18">
        <v>0.2152</v>
      </c>
      <c r="AF119" s="18">
        <v>2.2526000000000002</v>
      </c>
      <c r="AG119" s="18">
        <v>0.60629999999999995</v>
      </c>
      <c r="AH119" s="18">
        <v>0.16020000000000001</v>
      </c>
      <c r="AI119" s="18">
        <v>0.47489999999999999</v>
      </c>
      <c r="AJ119" s="18">
        <v>0.54459999999999997</v>
      </c>
      <c r="AK119" s="18">
        <v>0.27239999999999998</v>
      </c>
      <c r="AL119" s="18">
        <v>0.34639999999999999</v>
      </c>
      <c r="AM119" s="18">
        <v>0.36430000000000001</v>
      </c>
      <c r="AN119" s="18">
        <v>0.48359999999999997</v>
      </c>
      <c r="AO119" s="18">
        <v>0.34060000000000001</v>
      </c>
      <c r="AP119" s="18">
        <v>0.66449999999999998</v>
      </c>
      <c r="AQ119" s="18">
        <v>0.73529999999999995</v>
      </c>
      <c r="AR119" s="18">
        <v>1.3967000000000001</v>
      </c>
      <c r="AS119" s="18">
        <v>0.80310000000000004</v>
      </c>
      <c r="AT119" s="18">
        <v>1.1132</v>
      </c>
      <c r="AU119" s="18">
        <v>0.59279999999999999</v>
      </c>
      <c r="AV119" s="18">
        <v>0.77869999999999995</v>
      </c>
      <c r="AW119" s="18">
        <v>0.69810000000000005</v>
      </c>
      <c r="AX119" s="18">
        <v>0.7621</v>
      </c>
    </row>
    <row r="120" spans="1:50" x14ac:dyDescent="0.25">
      <c r="A120" s="16" t="s">
        <v>593</v>
      </c>
      <c r="B120" s="13" t="s">
        <v>464</v>
      </c>
      <c r="C120" s="17">
        <v>0.30009999999999998</v>
      </c>
      <c r="D120" s="17">
        <v>5.1999999999999998E-2</v>
      </c>
      <c r="E120" s="17">
        <v>5.1999999999999998E-2</v>
      </c>
      <c r="F120" s="17">
        <v>0.19189999999999999</v>
      </c>
      <c r="G120" s="17">
        <v>0.16020000000000001</v>
      </c>
      <c r="H120" s="17">
        <v>0.1087</v>
      </c>
      <c r="I120" s="17">
        <v>9.4600000000000004E-2</v>
      </c>
      <c r="J120" s="17">
        <v>0.1399</v>
      </c>
      <c r="K120" s="17">
        <v>0.1129</v>
      </c>
      <c r="L120" s="17">
        <v>7.9399999999999998E-2</v>
      </c>
      <c r="M120" s="17">
        <v>0.2727</v>
      </c>
      <c r="N120" s="17">
        <v>5.1999999999999998E-2</v>
      </c>
      <c r="O120" s="17">
        <v>0.15129999999999999</v>
      </c>
      <c r="P120" s="17">
        <v>0.1467</v>
      </c>
      <c r="Q120" s="17">
        <v>0.1061</v>
      </c>
      <c r="R120" s="17">
        <v>0.1638</v>
      </c>
      <c r="S120" s="17">
        <v>0.22040000000000001</v>
      </c>
      <c r="T120" s="17">
        <v>0.5232</v>
      </c>
      <c r="U120" s="17">
        <v>0.90549999999999997</v>
      </c>
      <c r="V120" s="17">
        <v>0.2152</v>
      </c>
      <c r="W120" s="17">
        <v>0.14030000000000001</v>
      </c>
      <c r="X120" s="17">
        <v>0.15989999999999999</v>
      </c>
      <c r="Y120" s="17">
        <v>0.25750000000000001</v>
      </c>
      <c r="Z120" s="17">
        <v>0.98970000000000002</v>
      </c>
      <c r="AA120" s="17">
        <v>0.59530000000000005</v>
      </c>
      <c r="AB120" s="17">
        <v>0.16389999999999999</v>
      </c>
      <c r="AC120" s="17">
        <v>0.29759999999999998</v>
      </c>
      <c r="AD120" s="17">
        <v>0.25</v>
      </c>
      <c r="AE120" s="17">
        <v>0.97840000000000005</v>
      </c>
      <c r="AF120" s="17">
        <v>0.20080000000000001</v>
      </c>
      <c r="AG120" s="17">
        <v>0.2069</v>
      </c>
      <c r="AH120" s="17">
        <v>0.14249999999999999</v>
      </c>
      <c r="AI120" s="17">
        <v>0.28570000000000001</v>
      </c>
      <c r="AJ120" s="17">
        <v>0.13120000000000001</v>
      </c>
      <c r="AK120" s="17">
        <v>0.23219999999999999</v>
      </c>
      <c r="AL120" s="17">
        <v>0.42359999999999998</v>
      </c>
      <c r="AM120" s="17">
        <v>0.23699999999999999</v>
      </c>
      <c r="AN120" s="17">
        <v>0.24210000000000001</v>
      </c>
      <c r="AO120" s="17">
        <v>0.21249999999999999</v>
      </c>
      <c r="AP120" s="17">
        <v>0.49280000000000002</v>
      </c>
      <c r="AQ120" s="17">
        <v>0.39379999999999998</v>
      </c>
      <c r="AR120" s="17">
        <v>0.52190000000000003</v>
      </c>
      <c r="AS120" s="17">
        <v>0.44569999999999999</v>
      </c>
      <c r="AT120" s="17">
        <v>2.0184000000000002</v>
      </c>
      <c r="AU120" s="17">
        <v>0.15129999999999999</v>
      </c>
      <c r="AV120" s="17">
        <v>0.1467</v>
      </c>
      <c r="AW120" s="17">
        <v>0.1061</v>
      </c>
      <c r="AX120" s="17">
        <v>0.66159999999999997</v>
      </c>
    </row>
    <row r="121" spans="1:50" x14ac:dyDescent="0.25">
      <c r="A121" s="8" t="s">
        <v>156</v>
      </c>
      <c r="B121" s="10" t="s">
        <v>57</v>
      </c>
      <c r="C121" s="18">
        <v>4.7E-2</v>
      </c>
      <c r="D121" s="18">
        <v>7.1499999999999994E-2</v>
      </c>
      <c r="E121" s="18">
        <v>0.2021</v>
      </c>
      <c r="F121" s="18">
        <v>4.7E-2</v>
      </c>
      <c r="G121" s="18">
        <v>0.16950000000000001</v>
      </c>
      <c r="H121" s="18">
        <v>0.1042</v>
      </c>
      <c r="I121" s="18">
        <v>7.9699999999999993E-2</v>
      </c>
      <c r="J121" s="18">
        <v>0.19400000000000001</v>
      </c>
      <c r="K121" s="18">
        <v>4.7E-2</v>
      </c>
      <c r="L121" s="18">
        <v>9.6000000000000002E-2</v>
      </c>
      <c r="M121" s="18">
        <v>0.17760000000000001</v>
      </c>
      <c r="N121" s="18">
        <v>4.7E-2</v>
      </c>
      <c r="O121" s="18">
        <v>0.2185</v>
      </c>
      <c r="P121" s="18">
        <v>5.5199999999999999E-2</v>
      </c>
      <c r="Q121" s="18">
        <v>4.7E-2</v>
      </c>
      <c r="R121" s="18">
        <v>0.19400000000000001</v>
      </c>
      <c r="S121" s="18">
        <v>7.9699999999999993E-2</v>
      </c>
      <c r="T121" s="18">
        <v>4.7E-2</v>
      </c>
      <c r="U121" s="18">
        <v>0.16950000000000001</v>
      </c>
      <c r="V121" s="18">
        <v>0.1042</v>
      </c>
      <c r="W121" s="18">
        <v>1.1978</v>
      </c>
      <c r="X121" s="18">
        <v>0.1295</v>
      </c>
      <c r="Y121" s="18">
        <v>0.2215</v>
      </c>
      <c r="Z121" s="18">
        <v>4.7E-2</v>
      </c>
      <c r="AA121" s="18">
        <v>4.7E-2</v>
      </c>
      <c r="AB121" s="18">
        <v>5.5199999999999999E-2</v>
      </c>
      <c r="AC121" s="18">
        <v>0.2185</v>
      </c>
      <c r="AD121" s="18">
        <v>4.7E-2</v>
      </c>
      <c r="AE121" s="18">
        <v>0.2266</v>
      </c>
      <c r="AF121" s="18">
        <v>4.7E-2</v>
      </c>
      <c r="AG121" s="18">
        <v>0.1368</v>
      </c>
      <c r="AH121" s="18">
        <v>0.1368</v>
      </c>
      <c r="AI121" s="18">
        <v>4.7E-2</v>
      </c>
      <c r="AJ121" s="18">
        <v>0.17760000000000001</v>
      </c>
      <c r="AK121" s="18">
        <v>9.6000000000000002E-2</v>
      </c>
      <c r="AL121" s="18">
        <v>4.7E-2</v>
      </c>
      <c r="AM121" s="18">
        <v>9.6000000000000002E-2</v>
      </c>
      <c r="AN121" s="18">
        <v>0.18129999999999999</v>
      </c>
      <c r="AO121" s="18">
        <v>0.29609999999999997</v>
      </c>
      <c r="AP121" s="18">
        <v>0.34749999999999998</v>
      </c>
      <c r="AQ121" s="18">
        <v>0.29920000000000002</v>
      </c>
      <c r="AR121" s="18">
        <v>0.36230000000000001</v>
      </c>
      <c r="AS121" s="18">
        <v>0.48249999999999998</v>
      </c>
      <c r="AT121" s="18">
        <v>0.41010000000000002</v>
      </c>
      <c r="AU121" s="18">
        <v>0.27060000000000001</v>
      </c>
      <c r="AV121" s="18">
        <v>0.69369999999999998</v>
      </c>
      <c r="AW121" s="18">
        <v>0.46560000000000001</v>
      </c>
      <c r="AX121" s="18">
        <v>0.33329999999999999</v>
      </c>
    </row>
    <row r="122" spans="1:50" x14ac:dyDescent="0.25">
      <c r="A122" s="16" t="s">
        <v>595</v>
      </c>
      <c r="B122" s="13" t="s">
        <v>464</v>
      </c>
      <c r="C122" s="17">
        <v>0.246</v>
      </c>
      <c r="D122" s="17">
        <v>0.1434</v>
      </c>
      <c r="E122" s="17">
        <v>5.6000000000000001E-2</v>
      </c>
      <c r="F122" s="17">
        <v>0.37130000000000002</v>
      </c>
      <c r="G122" s="17">
        <v>9.3799999999999994E-2</v>
      </c>
      <c r="H122" s="17">
        <v>0.2014</v>
      </c>
      <c r="I122" s="17">
        <v>0.26369999999999999</v>
      </c>
      <c r="J122" s="17">
        <v>5.6000000000000001E-2</v>
      </c>
      <c r="K122" s="17">
        <v>0.2268</v>
      </c>
      <c r="L122" s="17">
        <v>0.22140000000000001</v>
      </c>
      <c r="M122" s="17">
        <v>7.2800000000000004E-2</v>
      </c>
      <c r="N122" s="17">
        <v>0.17710000000000001</v>
      </c>
      <c r="O122" s="17">
        <v>0.25019999999999998</v>
      </c>
      <c r="P122" s="17">
        <v>0.16309999999999999</v>
      </c>
      <c r="Q122" s="17">
        <v>0.1079</v>
      </c>
      <c r="R122" s="17">
        <v>0.30499999999999999</v>
      </c>
      <c r="S122" s="17">
        <v>0.15609999999999999</v>
      </c>
      <c r="T122" s="17">
        <v>0.19350000000000001</v>
      </c>
      <c r="U122" s="17">
        <v>0.79920000000000002</v>
      </c>
      <c r="V122" s="17">
        <v>1.0302</v>
      </c>
      <c r="W122" s="17">
        <v>1.2653000000000001</v>
      </c>
      <c r="X122" s="17">
        <v>0.50290000000000001</v>
      </c>
      <c r="Y122" s="17">
        <v>0.50700000000000001</v>
      </c>
      <c r="Z122" s="17">
        <v>0.44929999999999998</v>
      </c>
      <c r="AA122" s="17">
        <v>0.51370000000000005</v>
      </c>
      <c r="AB122" s="17">
        <v>1.2999000000000001</v>
      </c>
      <c r="AC122" s="17">
        <v>2.7736999999999998</v>
      </c>
      <c r="AD122" s="17">
        <v>2.4234</v>
      </c>
      <c r="AE122" s="17">
        <v>0.23319999999999999</v>
      </c>
      <c r="AF122" s="17">
        <v>0.46679999999999999</v>
      </c>
      <c r="AG122" s="17">
        <v>0.44690000000000002</v>
      </c>
      <c r="AH122" s="17">
        <v>0.69269999999999998</v>
      </c>
      <c r="AI122" s="17">
        <v>0.56659999999999999</v>
      </c>
      <c r="AJ122" s="17">
        <v>0.49840000000000001</v>
      </c>
      <c r="AK122" s="17">
        <v>0.20799999999999999</v>
      </c>
      <c r="AL122" s="17">
        <v>0.1598</v>
      </c>
      <c r="AM122" s="17">
        <v>0.79649999999999999</v>
      </c>
      <c r="AN122" s="17">
        <v>1.6024</v>
      </c>
      <c r="AO122" s="17">
        <v>0.498</v>
      </c>
      <c r="AP122" s="17">
        <v>0.49259999999999998</v>
      </c>
      <c r="AQ122" s="17">
        <v>0.71550000000000002</v>
      </c>
      <c r="AR122" s="17">
        <v>0.66020000000000001</v>
      </c>
      <c r="AS122" s="17">
        <v>0.43859999999999999</v>
      </c>
      <c r="AT122" s="17">
        <v>0.89839999999999998</v>
      </c>
      <c r="AU122" s="17">
        <v>0.44519999999999998</v>
      </c>
      <c r="AV122" s="17">
        <v>0.52359999999999995</v>
      </c>
      <c r="AW122" s="17">
        <v>0.11990000000000001</v>
      </c>
      <c r="AX122" s="17">
        <v>0.1484</v>
      </c>
    </row>
    <row r="123" spans="1:50" x14ac:dyDescent="0.25">
      <c r="A123" s="16" t="s">
        <v>597</v>
      </c>
      <c r="B123" s="13" t="s">
        <v>464</v>
      </c>
      <c r="C123" s="17">
        <v>5.7000000000000002E-2</v>
      </c>
      <c r="D123" s="17">
        <v>5.7000000000000002E-2</v>
      </c>
      <c r="E123" s="17">
        <v>5.7000000000000002E-2</v>
      </c>
      <c r="F123" s="17">
        <v>5.7000000000000002E-2</v>
      </c>
      <c r="G123" s="17">
        <v>5.7000000000000002E-2</v>
      </c>
      <c r="H123" s="17">
        <v>5.7000000000000002E-2</v>
      </c>
      <c r="I123" s="17">
        <v>5.7000000000000002E-2</v>
      </c>
      <c r="J123" s="17">
        <v>5.7000000000000002E-2</v>
      </c>
      <c r="K123" s="17">
        <v>5.7000000000000002E-2</v>
      </c>
      <c r="L123" s="17">
        <v>5.7000000000000002E-2</v>
      </c>
      <c r="M123" s="17">
        <v>5.7000000000000002E-2</v>
      </c>
      <c r="N123" s="17">
        <v>5.7000000000000002E-2</v>
      </c>
      <c r="O123" s="17">
        <v>5.7000000000000002E-2</v>
      </c>
      <c r="P123" s="17">
        <v>0.28100000000000003</v>
      </c>
      <c r="Q123" s="17">
        <v>0.71509999999999996</v>
      </c>
      <c r="R123" s="17">
        <v>0.24049999999999999</v>
      </c>
      <c r="S123" s="17">
        <v>0.27210000000000001</v>
      </c>
      <c r="T123" s="17">
        <v>0.55820000000000003</v>
      </c>
      <c r="U123" s="17">
        <v>0.77180000000000004</v>
      </c>
      <c r="V123" s="17">
        <v>1.9762</v>
      </c>
      <c r="W123" s="17">
        <v>3.1351</v>
      </c>
      <c r="X123" s="17">
        <v>1.5547</v>
      </c>
      <c r="Y123" s="17">
        <v>0.16719999999999999</v>
      </c>
      <c r="Z123" s="17">
        <v>8.5599999999999996E-2</v>
      </c>
      <c r="AA123" s="17">
        <v>5.7000000000000002E-2</v>
      </c>
      <c r="AB123" s="17">
        <v>1.46</v>
      </c>
      <c r="AC123" s="17">
        <v>1.8351999999999999</v>
      </c>
      <c r="AD123" s="17">
        <v>7.9500000000000001E-2</v>
      </c>
      <c r="AE123" s="17">
        <v>0.08</v>
      </c>
      <c r="AF123" s="17">
        <v>5.7000000000000002E-2</v>
      </c>
      <c r="AG123" s="17">
        <v>5.7000000000000002E-2</v>
      </c>
      <c r="AH123" s="17">
        <v>5.7000000000000002E-2</v>
      </c>
      <c r="AI123" s="17">
        <v>0.19520000000000001</v>
      </c>
      <c r="AJ123" s="17">
        <v>0.2707</v>
      </c>
      <c r="AK123" s="17">
        <v>0.35610000000000003</v>
      </c>
      <c r="AL123" s="17">
        <v>9.98E-2</v>
      </c>
      <c r="AM123" s="17">
        <v>8.2000000000000003E-2</v>
      </c>
      <c r="AN123" s="17">
        <v>7.0800000000000002E-2</v>
      </c>
      <c r="AO123" s="17">
        <v>5.7000000000000002E-2</v>
      </c>
      <c r="AP123" s="17">
        <v>5.7000000000000002E-2</v>
      </c>
      <c r="AQ123" s="17">
        <v>5.7000000000000002E-2</v>
      </c>
      <c r="AR123" s="17">
        <v>5.7000000000000002E-2</v>
      </c>
      <c r="AS123" s="17">
        <v>5.7000000000000002E-2</v>
      </c>
      <c r="AT123" s="17">
        <v>5.7000000000000002E-2</v>
      </c>
      <c r="AU123" s="17">
        <v>5.7000000000000002E-2</v>
      </c>
      <c r="AV123" s="17">
        <v>5.7000000000000002E-2</v>
      </c>
      <c r="AW123" s="17">
        <v>5.7000000000000002E-2</v>
      </c>
      <c r="AX123" s="17">
        <v>5.7000000000000002E-2</v>
      </c>
    </row>
    <row r="124" spans="1:50" x14ac:dyDescent="0.25">
      <c r="A124" s="16" t="s">
        <v>599</v>
      </c>
      <c r="B124" s="13" t="s">
        <v>464</v>
      </c>
      <c r="C124" s="17">
        <v>0.15060000000000001</v>
      </c>
      <c r="D124" s="17">
        <v>0.23619999999999999</v>
      </c>
      <c r="E124" s="17">
        <v>6.88E-2</v>
      </c>
      <c r="F124" s="17">
        <v>0.1671</v>
      </c>
      <c r="G124" s="17">
        <v>0.2366</v>
      </c>
      <c r="H124" s="17">
        <v>5.1999999999999998E-2</v>
      </c>
      <c r="I124" s="17">
        <v>0.23419999999999999</v>
      </c>
      <c r="J124" s="17">
        <v>0.1694</v>
      </c>
      <c r="K124" s="17">
        <v>9.3100000000000002E-2</v>
      </c>
      <c r="L124" s="17">
        <v>0.126</v>
      </c>
      <c r="M124" s="17">
        <v>0.1694</v>
      </c>
      <c r="N124" s="17">
        <v>0.1191</v>
      </c>
      <c r="O124" s="17">
        <v>0.1671</v>
      </c>
      <c r="P124" s="17">
        <v>0.2198</v>
      </c>
      <c r="Q124" s="17">
        <v>6.88E-2</v>
      </c>
      <c r="R124" s="17">
        <v>0.18390000000000001</v>
      </c>
      <c r="S124" s="17">
        <v>0.2198</v>
      </c>
      <c r="T124" s="17">
        <v>9.3100000000000002E-2</v>
      </c>
      <c r="U124" s="17">
        <v>0.3105</v>
      </c>
      <c r="V124" s="17">
        <v>5.1999999999999998E-2</v>
      </c>
      <c r="W124" s="17">
        <v>0.38059999999999999</v>
      </c>
      <c r="X124" s="17">
        <v>5.1999999999999998E-2</v>
      </c>
      <c r="Y124" s="17">
        <v>0.39069999999999999</v>
      </c>
      <c r="Z124" s="17">
        <v>6.0199999999999997E-2</v>
      </c>
      <c r="AA124" s="17">
        <v>6.5000000000000002E-2</v>
      </c>
      <c r="AB124" s="17">
        <v>0.3569</v>
      </c>
      <c r="AC124" s="17">
        <v>0.29199999999999998</v>
      </c>
      <c r="AD124" s="17">
        <v>0.17780000000000001</v>
      </c>
      <c r="AE124" s="17">
        <v>1.4040999999999999</v>
      </c>
      <c r="AF124" s="17">
        <v>0.36890000000000001</v>
      </c>
      <c r="AG124" s="17">
        <v>0.183</v>
      </c>
      <c r="AH124" s="17">
        <v>0.29749999999999999</v>
      </c>
      <c r="AI124" s="17">
        <v>0.1628</v>
      </c>
      <c r="AJ124" s="17">
        <v>0.42799999999999999</v>
      </c>
      <c r="AK124" s="17">
        <v>0.1013</v>
      </c>
      <c r="AL124" s="17">
        <v>0.27889999999999998</v>
      </c>
      <c r="AM124" s="17">
        <v>0.15890000000000001</v>
      </c>
      <c r="AN124" s="17">
        <v>0.23549999999999999</v>
      </c>
      <c r="AO124" s="17">
        <v>0.2923</v>
      </c>
      <c r="AP124" s="17">
        <v>0.47460000000000002</v>
      </c>
      <c r="AQ124" s="17">
        <v>0.59299999999999997</v>
      </c>
      <c r="AR124" s="17">
        <v>0.41110000000000002</v>
      </c>
      <c r="AS124" s="17">
        <v>6.0199999999999997E-2</v>
      </c>
      <c r="AT124" s="17">
        <v>0.2366</v>
      </c>
      <c r="AU124" s="17">
        <v>0.1671</v>
      </c>
      <c r="AV124" s="17">
        <v>5.1999999999999998E-2</v>
      </c>
      <c r="AW124" s="17">
        <v>0.1671</v>
      </c>
      <c r="AX124" s="17">
        <v>5.1999999999999998E-2</v>
      </c>
    </row>
    <row r="125" spans="1:50" x14ac:dyDescent="0.25">
      <c r="A125" s="16" t="s">
        <v>601</v>
      </c>
      <c r="B125" s="13" t="s">
        <v>464</v>
      </c>
      <c r="C125" s="17">
        <v>5.7000000000000002E-2</v>
      </c>
      <c r="D125" s="17">
        <v>5.7000000000000002E-2</v>
      </c>
      <c r="E125" s="17">
        <v>5.7000000000000002E-2</v>
      </c>
      <c r="F125" s="17">
        <v>5.7000000000000002E-2</v>
      </c>
      <c r="G125" s="17">
        <v>5.7000000000000002E-2</v>
      </c>
      <c r="H125" s="17">
        <v>5.7000000000000002E-2</v>
      </c>
      <c r="I125" s="17">
        <v>5.7000000000000002E-2</v>
      </c>
      <c r="J125" s="17">
        <v>5.7000000000000002E-2</v>
      </c>
      <c r="K125" s="17">
        <v>5.7000000000000002E-2</v>
      </c>
      <c r="L125" s="17">
        <v>5.7000000000000002E-2</v>
      </c>
      <c r="M125" s="17">
        <v>5.7000000000000002E-2</v>
      </c>
      <c r="N125" s="17">
        <v>5.7000000000000002E-2</v>
      </c>
      <c r="O125" s="17">
        <v>5.7000000000000002E-2</v>
      </c>
      <c r="P125" s="17">
        <v>5.7000000000000002E-2</v>
      </c>
      <c r="Q125" s="17">
        <v>5.7000000000000002E-2</v>
      </c>
      <c r="R125" s="17">
        <v>5.7000000000000002E-2</v>
      </c>
      <c r="S125" s="17">
        <v>5.7000000000000002E-2</v>
      </c>
      <c r="T125" s="17">
        <v>0.1007</v>
      </c>
      <c r="U125" s="17">
        <v>9.4200000000000006E-2</v>
      </c>
      <c r="V125" s="17">
        <v>0.1464</v>
      </c>
      <c r="W125" s="17">
        <v>0.48280000000000001</v>
      </c>
      <c r="X125" s="17">
        <v>5.7000000000000002E-2</v>
      </c>
      <c r="Y125" s="17">
        <v>5.7000000000000002E-2</v>
      </c>
      <c r="Z125" s="17">
        <v>5.7000000000000002E-2</v>
      </c>
      <c r="AA125" s="17">
        <v>5.7000000000000002E-2</v>
      </c>
      <c r="AB125" s="17">
        <v>5.7000000000000002E-2</v>
      </c>
      <c r="AC125" s="17">
        <v>5.7000000000000002E-2</v>
      </c>
      <c r="AD125" s="17">
        <v>5.7000000000000002E-2</v>
      </c>
      <c r="AE125" s="17">
        <v>5.7000000000000002E-2</v>
      </c>
      <c r="AF125" s="17">
        <v>5.7000000000000002E-2</v>
      </c>
      <c r="AG125" s="17">
        <v>5.7000000000000002E-2</v>
      </c>
      <c r="AH125" s="17">
        <v>5.7000000000000002E-2</v>
      </c>
      <c r="AI125" s="17">
        <v>0.22700000000000001</v>
      </c>
      <c r="AJ125" s="17">
        <v>0.40689999999999998</v>
      </c>
      <c r="AK125" s="17">
        <v>0.11210000000000001</v>
      </c>
      <c r="AL125" s="17">
        <v>0.159</v>
      </c>
      <c r="AM125" s="17">
        <v>0.97709999999999997</v>
      </c>
      <c r="AN125" s="17">
        <v>0.14510000000000001</v>
      </c>
      <c r="AO125" s="17">
        <v>0.1188</v>
      </c>
      <c r="AP125" s="17">
        <v>5.7000000000000002E-2</v>
      </c>
      <c r="AQ125" s="17">
        <v>5.7000000000000002E-2</v>
      </c>
      <c r="AR125" s="17">
        <v>5.7000000000000002E-2</v>
      </c>
      <c r="AS125" s="17">
        <v>5.7000000000000002E-2</v>
      </c>
      <c r="AT125" s="17">
        <v>5.7000000000000002E-2</v>
      </c>
      <c r="AU125" s="17">
        <v>5.7000000000000002E-2</v>
      </c>
      <c r="AV125" s="17">
        <v>5.7000000000000002E-2</v>
      </c>
      <c r="AW125" s="17">
        <v>5.7000000000000002E-2</v>
      </c>
      <c r="AX125" s="17">
        <v>5.7000000000000002E-2</v>
      </c>
    </row>
    <row r="126" spans="1:50" x14ac:dyDescent="0.25">
      <c r="A126" s="8" t="s">
        <v>158</v>
      </c>
      <c r="B126" s="10" t="s">
        <v>57</v>
      </c>
      <c r="C126" s="18">
        <v>0.1341</v>
      </c>
      <c r="D126" s="18">
        <v>0.21299999999999999</v>
      </c>
      <c r="E126" s="18">
        <v>8.72E-2</v>
      </c>
      <c r="F126" s="18">
        <v>4.7E-2</v>
      </c>
      <c r="G126" s="18">
        <v>0.22370000000000001</v>
      </c>
      <c r="H126" s="18">
        <v>9.8500000000000004E-2</v>
      </c>
      <c r="I126" s="18">
        <v>6.1699999999999998E-2</v>
      </c>
      <c r="J126" s="18">
        <v>0.16750000000000001</v>
      </c>
      <c r="K126" s="18">
        <v>0.14369999999999999</v>
      </c>
      <c r="L126" s="18">
        <v>7.2800000000000004E-2</v>
      </c>
      <c r="M126" s="18">
        <v>0.22370000000000001</v>
      </c>
      <c r="N126" s="18">
        <v>4.7E-2</v>
      </c>
      <c r="O126" s="18">
        <v>0.1996</v>
      </c>
      <c r="P126" s="18">
        <v>7.1099999999999997E-2</v>
      </c>
      <c r="Q126" s="18">
        <v>0.27310000000000001</v>
      </c>
      <c r="R126" s="18">
        <v>0.34179999999999999</v>
      </c>
      <c r="S126" s="18">
        <v>0.21099999999999999</v>
      </c>
      <c r="T126" s="18">
        <v>1.2291000000000001</v>
      </c>
      <c r="U126" s="18">
        <v>0.1032</v>
      </c>
      <c r="V126" s="18">
        <v>4.7E-2</v>
      </c>
      <c r="W126" s="18">
        <v>1.7791999999999999</v>
      </c>
      <c r="X126" s="18">
        <v>9.4799999999999995E-2</v>
      </c>
      <c r="Y126" s="18">
        <v>1.0298</v>
      </c>
      <c r="Z126" s="18">
        <v>0.2442</v>
      </c>
      <c r="AA126" s="18">
        <v>6.6299999999999998E-2</v>
      </c>
      <c r="AB126" s="18">
        <v>0.33579999999999999</v>
      </c>
      <c r="AC126" s="18">
        <v>9.8799999999999999E-2</v>
      </c>
      <c r="AD126" s="18">
        <v>0.69969999999999999</v>
      </c>
      <c r="AE126" s="18">
        <v>0.1018</v>
      </c>
      <c r="AF126" s="18">
        <v>1.1374</v>
      </c>
      <c r="AG126" s="18">
        <v>0.29110000000000003</v>
      </c>
      <c r="AH126" s="18">
        <v>0.15770000000000001</v>
      </c>
      <c r="AI126" s="18">
        <v>6.1699999999999998E-2</v>
      </c>
      <c r="AJ126" s="18">
        <v>0.2752</v>
      </c>
      <c r="AK126" s="18">
        <v>4.7E-2</v>
      </c>
      <c r="AL126" s="18">
        <v>4.7E-2</v>
      </c>
      <c r="AM126" s="18">
        <v>0.20760000000000001</v>
      </c>
      <c r="AN126" s="18">
        <v>0.12559999999999999</v>
      </c>
      <c r="AO126" s="18">
        <v>5.0700000000000002E-2</v>
      </c>
      <c r="AP126" s="18">
        <v>0.28989999999999999</v>
      </c>
      <c r="AQ126" s="18">
        <v>4.7E-2</v>
      </c>
      <c r="AR126" s="18">
        <v>8.72E-2</v>
      </c>
      <c r="AS126" s="18">
        <v>0.1835</v>
      </c>
      <c r="AT126" s="18">
        <v>0.1133</v>
      </c>
      <c r="AU126" s="18">
        <v>0.21560000000000001</v>
      </c>
      <c r="AV126" s="18">
        <v>6.2399999999999997E-2</v>
      </c>
      <c r="AW126" s="18">
        <v>0.1862</v>
      </c>
      <c r="AX126" s="18">
        <v>0.1507</v>
      </c>
    </row>
    <row r="127" spans="1:50" x14ac:dyDescent="0.25">
      <c r="A127" s="8" t="s">
        <v>160</v>
      </c>
      <c r="B127" s="10" t="s">
        <v>57</v>
      </c>
      <c r="C127" s="18">
        <v>8.7400000000000005E-2</v>
      </c>
      <c r="D127" s="18">
        <v>0.19400000000000001</v>
      </c>
      <c r="E127" s="18">
        <v>4.2999999999999997E-2</v>
      </c>
      <c r="F127" s="18">
        <v>0.22950000000000001</v>
      </c>
      <c r="G127" s="18">
        <v>5.1900000000000002E-2</v>
      </c>
      <c r="H127" s="18">
        <v>4.2999999999999997E-2</v>
      </c>
      <c r="I127" s="18">
        <v>9.6299999999999997E-2</v>
      </c>
      <c r="J127" s="18">
        <v>0.18509999999999999</v>
      </c>
      <c r="K127" s="18">
        <v>4.2999999999999997E-2</v>
      </c>
      <c r="L127" s="18">
        <v>0.2384</v>
      </c>
      <c r="M127" s="18">
        <v>4.2999999999999997E-2</v>
      </c>
      <c r="N127" s="18">
        <v>0.1318</v>
      </c>
      <c r="O127" s="18">
        <v>0.14960000000000001</v>
      </c>
      <c r="P127" s="18">
        <v>4.2999999999999997E-2</v>
      </c>
      <c r="Q127" s="18">
        <v>0.1313</v>
      </c>
      <c r="R127" s="18">
        <v>4.2999999999999997E-2</v>
      </c>
      <c r="S127" s="18">
        <v>4.2999999999999997E-2</v>
      </c>
      <c r="T127" s="18">
        <v>0.34749999999999998</v>
      </c>
      <c r="U127" s="18">
        <v>0.27650000000000002</v>
      </c>
      <c r="V127" s="18">
        <v>0.17369999999999999</v>
      </c>
      <c r="W127" s="18">
        <v>0.3478</v>
      </c>
      <c r="X127" s="18">
        <v>0.1229</v>
      </c>
      <c r="Y127" s="18">
        <v>7.6300000000000007E-2</v>
      </c>
      <c r="Z127" s="18">
        <v>0.27860000000000001</v>
      </c>
      <c r="AA127" s="18">
        <v>8.3000000000000004E-2</v>
      </c>
      <c r="AB127" s="18">
        <v>0.24279999999999999</v>
      </c>
      <c r="AC127" s="18">
        <v>1.1604000000000001</v>
      </c>
      <c r="AD127" s="18">
        <v>0.70850000000000002</v>
      </c>
      <c r="AE127" s="18">
        <v>2.3414000000000001</v>
      </c>
      <c r="AF127" s="18">
        <v>0.20630000000000001</v>
      </c>
      <c r="AG127" s="18">
        <v>5.5399999999999998E-2</v>
      </c>
      <c r="AH127" s="18">
        <v>0.90010000000000001</v>
      </c>
      <c r="AI127" s="18">
        <v>0.85640000000000005</v>
      </c>
      <c r="AJ127" s="18">
        <v>2.0211999999999999</v>
      </c>
      <c r="AK127" s="18">
        <v>0.80810000000000004</v>
      </c>
      <c r="AL127" s="18">
        <v>0.30790000000000001</v>
      </c>
      <c r="AM127" s="18">
        <v>0.27779999999999999</v>
      </c>
      <c r="AN127" s="18">
        <v>0.25559999999999999</v>
      </c>
      <c r="AO127" s="18">
        <v>1.4830000000000001</v>
      </c>
      <c r="AP127" s="18">
        <v>0.66759999999999997</v>
      </c>
      <c r="AQ127" s="18">
        <v>0.70689999999999997</v>
      </c>
      <c r="AR127" s="18">
        <v>0.85580000000000001</v>
      </c>
      <c r="AS127" s="18">
        <v>1.2159</v>
      </c>
      <c r="AT127" s="18">
        <v>0.78320000000000001</v>
      </c>
      <c r="AU127" s="18">
        <v>0.98399999999999999</v>
      </c>
      <c r="AV127" s="18">
        <v>0.71</v>
      </c>
      <c r="AW127" s="18">
        <v>0.54290000000000005</v>
      </c>
      <c r="AX127" s="18">
        <v>0.2384</v>
      </c>
    </row>
    <row r="128" spans="1:50" x14ac:dyDescent="0.25">
      <c r="A128" s="8" t="s">
        <v>162</v>
      </c>
      <c r="B128" s="10" t="s">
        <v>57</v>
      </c>
      <c r="C128" s="18">
        <v>0.31359999999999999</v>
      </c>
      <c r="D128" s="18">
        <v>5.0999999999999997E-2</v>
      </c>
      <c r="E128" s="18">
        <v>5.0999999999999997E-2</v>
      </c>
      <c r="F128" s="18">
        <v>0.14080000000000001</v>
      </c>
      <c r="G128" s="18">
        <v>0.2238</v>
      </c>
      <c r="H128" s="18">
        <v>0.14080000000000001</v>
      </c>
      <c r="I128" s="18">
        <v>5.0999999999999997E-2</v>
      </c>
      <c r="J128" s="18">
        <v>0.31359999999999999</v>
      </c>
      <c r="K128" s="18">
        <v>5.0999999999999997E-2</v>
      </c>
      <c r="L128" s="18">
        <v>5.0999999999999997E-2</v>
      </c>
      <c r="M128" s="18">
        <v>0.2238</v>
      </c>
      <c r="N128" s="18">
        <v>5.6000000000000001E-2</v>
      </c>
      <c r="O128" s="18">
        <v>0.30080000000000001</v>
      </c>
      <c r="P128" s="18">
        <v>5.8900000000000001E-2</v>
      </c>
      <c r="Q128" s="18">
        <v>0.14530000000000001</v>
      </c>
      <c r="R128" s="18">
        <v>0.21929999999999999</v>
      </c>
      <c r="S128" s="18">
        <v>5.0999999999999997E-2</v>
      </c>
      <c r="T128" s="18">
        <v>0.2238</v>
      </c>
      <c r="U128" s="18">
        <v>7.5899999999999995E-2</v>
      </c>
      <c r="V128" s="18">
        <v>0.1865</v>
      </c>
      <c r="W128" s="18">
        <v>0.15310000000000001</v>
      </c>
      <c r="X128" s="18">
        <v>0.1109</v>
      </c>
      <c r="Y128" s="18">
        <v>0.19089999999999999</v>
      </c>
      <c r="Z128" s="18">
        <v>0.2036</v>
      </c>
      <c r="AA128" s="18">
        <v>0.106</v>
      </c>
      <c r="AB128" s="18">
        <v>0.16880000000000001</v>
      </c>
      <c r="AC128" s="18">
        <v>5.0999999999999997E-2</v>
      </c>
      <c r="AD128" s="18">
        <v>0.20810000000000001</v>
      </c>
      <c r="AE128" s="18">
        <v>0.1565</v>
      </c>
      <c r="AF128" s="18">
        <v>5.0999999999999997E-2</v>
      </c>
      <c r="AG128" s="18">
        <v>0.30259999999999998</v>
      </c>
      <c r="AH128" s="18">
        <v>8.0799999999999997E-2</v>
      </c>
      <c r="AI128" s="18">
        <v>0.2036</v>
      </c>
      <c r="AJ128" s="18">
        <v>0.161</v>
      </c>
      <c r="AK128" s="18">
        <v>5.6000000000000001E-2</v>
      </c>
      <c r="AL128" s="18">
        <v>0.16719999999999999</v>
      </c>
      <c r="AM128" s="18">
        <v>0.19239999999999999</v>
      </c>
      <c r="AN128" s="18">
        <v>0.14080000000000001</v>
      </c>
      <c r="AO128" s="18">
        <v>0.2238</v>
      </c>
      <c r="AP128" s="18">
        <v>9.0899999999999995E-2</v>
      </c>
      <c r="AQ128" s="18">
        <v>0.20300000000000001</v>
      </c>
      <c r="AR128" s="18">
        <v>0.1217</v>
      </c>
      <c r="AS128" s="18">
        <v>9.0899999999999995E-2</v>
      </c>
      <c r="AT128" s="18">
        <v>0.1009</v>
      </c>
      <c r="AU128" s="18">
        <v>9.8100000000000007E-2</v>
      </c>
      <c r="AV128" s="18">
        <v>0.20660000000000001</v>
      </c>
      <c r="AW128" s="18">
        <v>0.1109</v>
      </c>
      <c r="AX128" s="18">
        <v>0.2238</v>
      </c>
    </row>
    <row r="129" spans="1:50" x14ac:dyDescent="0.25">
      <c r="A129" s="16" t="s">
        <v>603</v>
      </c>
      <c r="B129" s="13" t="s">
        <v>464</v>
      </c>
      <c r="C129" s="17">
        <v>0.15509999999999999</v>
      </c>
      <c r="D129" s="17">
        <v>5.5E-2</v>
      </c>
      <c r="E129" s="17">
        <v>5.5E-2</v>
      </c>
      <c r="F129" s="17">
        <v>0.15509999999999999</v>
      </c>
      <c r="G129" s="17">
        <v>5.5E-2</v>
      </c>
      <c r="H129" s="17">
        <v>0.15509999999999999</v>
      </c>
      <c r="I129" s="17">
        <v>5.5E-2</v>
      </c>
      <c r="J129" s="17">
        <v>6.5000000000000002E-2</v>
      </c>
      <c r="K129" s="17">
        <v>0.14510000000000001</v>
      </c>
      <c r="L129" s="17">
        <v>5.5E-2</v>
      </c>
      <c r="M129" s="17">
        <v>0.15509999999999999</v>
      </c>
      <c r="N129" s="17">
        <v>5.5E-2</v>
      </c>
      <c r="O129" s="17">
        <v>0.14510000000000001</v>
      </c>
      <c r="P129" s="17">
        <v>6.5000000000000002E-2</v>
      </c>
      <c r="Q129" s="17">
        <v>0.13669999999999999</v>
      </c>
      <c r="R129" s="17">
        <v>0.85099999999999998</v>
      </c>
      <c r="S129" s="17">
        <v>0.71120000000000005</v>
      </c>
      <c r="T129" s="17">
        <v>2.3029999999999999</v>
      </c>
      <c r="U129" s="17">
        <v>0.38279999999999997</v>
      </c>
      <c r="V129" s="17">
        <v>0.19639999999999999</v>
      </c>
      <c r="W129" s="17">
        <v>0.17649999999999999</v>
      </c>
      <c r="X129" s="17">
        <v>5.5E-2</v>
      </c>
      <c r="Y129" s="17">
        <v>0.13500000000000001</v>
      </c>
      <c r="Z129" s="17">
        <v>7.4999999999999997E-2</v>
      </c>
      <c r="AA129" s="17">
        <v>0.29530000000000001</v>
      </c>
      <c r="AB129" s="17">
        <v>0.99409999999999998</v>
      </c>
      <c r="AC129" s="17">
        <v>0.67820000000000003</v>
      </c>
      <c r="AD129" s="17">
        <v>1.1516999999999999</v>
      </c>
      <c r="AE129" s="17">
        <v>0.35730000000000001</v>
      </c>
      <c r="AF129" s="17">
        <v>0.2001</v>
      </c>
      <c r="AG129" s="17">
        <v>0.26119999999999999</v>
      </c>
      <c r="AH129" s="17">
        <v>0.2636</v>
      </c>
      <c r="AI129" s="17">
        <v>0.31559999999999999</v>
      </c>
      <c r="AJ129" s="17">
        <v>0.44209999999999999</v>
      </c>
      <c r="AK129" s="17">
        <v>0.32169999999999999</v>
      </c>
      <c r="AL129" s="17">
        <v>0.31380000000000002</v>
      </c>
      <c r="AM129" s="17">
        <v>0.16159999999999999</v>
      </c>
      <c r="AN129" s="17">
        <v>0.3836</v>
      </c>
      <c r="AO129" s="17">
        <v>0.57579999999999998</v>
      </c>
      <c r="AP129" s="17">
        <v>0.5081</v>
      </c>
      <c r="AQ129" s="17">
        <v>0.65669999999999995</v>
      </c>
      <c r="AR129" s="17">
        <v>0.49409999999999998</v>
      </c>
      <c r="AS129" s="17">
        <v>0.5726</v>
      </c>
      <c r="AT129" s="17">
        <v>2.8637000000000001</v>
      </c>
      <c r="AU129" s="17">
        <v>0.45</v>
      </c>
      <c r="AV129" s="17">
        <v>0.64580000000000004</v>
      </c>
      <c r="AW129" s="17">
        <v>0.18840000000000001</v>
      </c>
      <c r="AX129" s="17">
        <v>0.7147</v>
      </c>
    </row>
    <row r="130" spans="1:50" x14ac:dyDescent="0.25">
      <c r="A130" s="8" t="s">
        <v>164</v>
      </c>
      <c r="B130" s="10" t="s">
        <v>57</v>
      </c>
      <c r="C130" s="18">
        <v>0.192</v>
      </c>
      <c r="D130" s="18">
        <v>8.6199999999999999E-2</v>
      </c>
      <c r="E130" s="18">
        <v>5.6000000000000001E-2</v>
      </c>
      <c r="F130" s="18">
        <v>5.6000000000000001E-2</v>
      </c>
      <c r="G130" s="18">
        <v>5.6000000000000001E-2</v>
      </c>
      <c r="H130" s="18">
        <v>5.6000000000000001E-2</v>
      </c>
      <c r="I130" s="18">
        <v>0.2155</v>
      </c>
      <c r="J130" s="18">
        <v>0.1996</v>
      </c>
      <c r="K130" s="18">
        <v>7.8700000000000006E-2</v>
      </c>
      <c r="L130" s="18">
        <v>5.6000000000000001E-2</v>
      </c>
      <c r="M130" s="18">
        <v>0.2223</v>
      </c>
      <c r="N130" s="18">
        <v>5.6000000000000001E-2</v>
      </c>
      <c r="O130" s="18">
        <v>0.1542</v>
      </c>
      <c r="P130" s="18">
        <v>0.124</v>
      </c>
      <c r="Q130" s="18">
        <v>9.2200000000000004E-2</v>
      </c>
      <c r="R130" s="18">
        <v>0.2505</v>
      </c>
      <c r="S130" s="18">
        <v>0.13719999999999999</v>
      </c>
      <c r="T130" s="18">
        <v>1.179</v>
      </c>
      <c r="U130" s="18">
        <v>0.25259999999999999</v>
      </c>
      <c r="V130" s="18">
        <v>1.1198999999999999</v>
      </c>
      <c r="W130" s="18">
        <v>0.2467</v>
      </c>
      <c r="X130" s="18">
        <v>1.0048999999999999</v>
      </c>
      <c r="Y130" s="18">
        <v>0.14050000000000001</v>
      </c>
      <c r="Z130" s="18">
        <v>0.2994</v>
      </c>
      <c r="AA130" s="18">
        <v>5.6000000000000001E-2</v>
      </c>
      <c r="AB130" s="18">
        <v>0.20710000000000001</v>
      </c>
      <c r="AC130" s="18">
        <v>8.3799999999999999E-2</v>
      </c>
      <c r="AD130" s="18">
        <v>6.7799999999999999E-2</v>
      </c>
      <c r="AE130" s="18">
        <v>0.42299999999999999</v>
      </c>
      <c r="AF130" s="18">
        <v>7.7100000000000002E-2</v>
      </c>
      <c r="AG130" s="18">
        <v>0.31819999999999998</v>
      </c>
      <c r="AH130" s="18">
        <v>0.317</v>
      </c>
      <c r="AI130" s="18">
        <v>0.38650000000000001</v>
      </c>
      <c r="AJ130" s="18">
        <v>1.137</v>
      </c>
      <c r="AK130" s="18">
        <v>0.2283</v>
      </c>
      <c r="AL130" s="18">
        <v>0.36749999999999999</v>
      </c>
      <c r="AM130" s="18">
        <v>0.31630000000000003</v>
      </c>
      <c r="AN130" s="18">
        <v>0.12859999999999999</v>
      </c>
      <c r="AO130" s="18">
        <v>0.27010000000000001</v>
      </c>
      <c r="AP130" s="18">
        <v>1.6466000000000001</v>
      </c>
      <c r="AQ130" s="18">
        <v>1.7999000000000001</v>
      </c>
      <c r="AR130" s="18">
        <v>2.2906</v>
      </c>
      <c r="AS130" s="18">
        <v>2.0485000000000002</v>
      </c>
      <c r="AT130" s="18">
        <v>1.0965</v>
      </c>
      <c r="AU130" s="18">
        <v>0.92669999999999997</v>
      </c>
      <c r="AV130" s="18">
        <v>0.98750000000000004</v>
      </c>
      <c r="AW130" s="18">
        <v>1.1188</v>
      </c>
      <c r="AX130" s="18">
        <v>0.73160000000000003</v>
      </c>
    </row>
    <row r="131" spans="1:50" x14ac:dyDescent="0.25">
      <c r="A131" s="16" t="s">
        <v>605</v>
      </c>
      <c r="B131" s="13" t="s">
        <v>464</v>
      </c>
      <c r="C131" s="17">
        <v>0.1047</v>
      </c>
      <c r="D131" s="17">
        <v>0.1047</v>
      </c>
      <c r="E131" s="17">
        <v>4.3999999999999997E-2</v>
      </c>
      <c r="F131" s="17">
        <v>0.13780000000000001</v>
      </c>
      <c r="G131" s="17">
        <v>7.1599999999999997E-2</v>
      </c>
      <c r="H131" s="17">
        <v>4.3999999999999997E-2</v>
      </c>
      <c r="I131" s="17">
        <v>0.1268</v>
      </c>
      <c r="J131" s="17">
        <v>8.2600000000000007E-2</v>
      </c>
      <c r="K131" s="17">
        <v>4.3999999999999997E-2</v>
      </c>
      <c r="L131" s="17">
        <v>4.3999999999999997E-2</v>
      </c>
      <c r="M131" s="17">
        <v>4.3999999999999997E-2</v>
      </c>
      <c r="N131" s="17">
        <v>0.1598</v>
      </c>
      <c r="O131" s="17">
        <v>4.9500000000000002E-2</v>
      </c>
      <c r="P131" s="17">
        <v>0.65029999999999999</v>
      </c>
      <c r="Q131" s="17">
        <v>0.90080000000000005</v>
      </c>
      <c r="R131" s="17">
        <v>8.8099999999999998E-2</v>
      </c>
      <c r="S131" s="17">
        <v>4.3999999999999997E-2</v>
      </c>
      <c r="T131" s="17">
        <v>0.94979999999999998</v>
      </c>
      <c r="U131" s="17">
        <v>0.65029999999999999</v>
      </c>
      <c r="V131" s="17">
        <v>0.15160000000000001</v>
      </c>
      <c r="W131" s="17">
        <v>1.4207000000000001</v>
      </c>
      <c r="X131" s="17">
        <v>1.0478000000000001</v>
      </c>
      <c r="Y131" s="17">
        <v>0.91590000000000005</v>
      </c>
      <c r="Z131" s="17">
        <v>4.3999999999999997E-2</v>
      </c>
      <c r="AA131" s="17">
        <v>4.3999999999999997E-2</v>
      </c>
      <c r="AB131" s="17">
        <v>0.45379999999999998</v>
      </c>
      <c r="AC131" s="17">
        <v>0.45829999999999999</v>
      </c>
      <c r="AD131" s="17">
        <v>2.7191999999999998</v>
      </c>
      <c r="AE131" s="17">
        <v>1.3737999999999999</v>
      </c>
      <c r="AF131" s="17">
        <v>0.6099</v>
      </c>
      <c r="AG131" s="17">
        <v>0.20430000000000001</v>
      </c>
      <c r="AH131" s="17">
        <v>4.3999999999999997E-2</v>
      </c>
      <c r="AI131" s="17">
        <v>4.3999999999999997E-2</v>
      </c>
      <c r="AJ131" s="17">
        <v>0.16539999999999999</v>
      </c>
      <c r="AK131" s="17">
        <v>4.3999999999999997E-2</v>
      </c>
      <c r="AL131" s="17">
        <v>4.3999999999999997E-2</v>
      </c>
      <c r="AM131" s="17">
        <v>1.0770999999999999</v>
      </c>
      <c r="AN131" s="17">
        <v>0.21940000000000001</v>
      </c>
      <c r="AO131" s="17">
        <v>0.33479999999999999</v>
      </c>
      <c r="AP131" s="17">
        <v>0.3417</v>
      </c>
      <c r="AQ131" s="17">
        <v>0.55969999999999998</v>
      </c>
      <c r="AR131" s="17">
        <v>0.31180000000000002</v>
      </c>
      <c r="AS131" s="17">
        <v>0.39950000000000002</v>
      </c>
      <c r="AT131" s="17">
        <v>0.52329999999999999</v>
      </c>
      <c r="AU131" s="17">
        <v>0.43840000000000001</v>
      </c>
      <c r="AV131" s="17">
        <v>0.20619999999999999</v>
      </c>
      <c r="AW131" s="17">
        <v>7.7100000000000002E-2</v>
      </c>
      <c r="AX131" s="17">
        <v>0.1323</v>
      </c>
    </row>
    <row r="132" spans="1:50" x14ac:dyDescent="0.25">
      <c r="A132" s="16" t="s">
        <v>607</v>
      </c>
      <c r="B132" s="13" t="s">
        <v>464</v>
      </c>
      <c r="C132" s="17">
        <v>0.05</v>
      </c>
      <c r="D132" s="17">
        <v>0.13189999999999999</v>
      </c>
      <c r="E132" s="17">
        <v>7.0499999999999993E-2</v>
      </c>
      <c r="F132" s="17">
        <v>0.05</v>
      </c>
      <c r="G132" s="17">
        <v>0.05</v>
      </c>
      <c r="H132" s="17">
        <v>0.15229999999999999</v>
      </c>
      <c r="I132" s="17">
        <v>0.05</v>
      </c>
      <c r="J132" s="17">
        <v>0.13189999999999999</v>
      </c>
      <c r="K132" s="17">
        <v>7.0499999999999993E-2</v>
      </c>
      <c r="L132" s="17">
        <v>0.10630000000000001</v>
      </c>
      <c r="M132" s="17">
        <v>9.6000000000000002E-2</v>
      </c>
      <c r="N132" s="17">
        <v>0.05</v>
      </c>
      <c r="O132" s="17">
        <v>0.13189999999999999</v>
      </c>
      <c r="P132" s="17">
        <v>7.0499999999999993E-2</v>
      </c>
      <c r="Q132" s="17">
        <v>0.05</v>
      </c>
      <c r="R132" s="17">
        <v>0.13900000000000001</v>
      </c>
      <c r="S132" s="17">
        <v>1.5035000000000001</v>
      </c>
      <c r="T132" s="17">
        <v>0.35870000000000002</v>
      </c>
      <c r="U132" s="17">
        <v>9.5699999999999993E-2</v>
      </c>
      <c r="V132" s="17">
        <v>0.18410000000000001</v>
      </c>
      <c r="W132" s="17">
        <v>0.14599999999999999</v>
      </c>
      <c r="X132" s="17">
        <v>0.05</v>
      </c>
      <c r="Y132" s="17">
        <v>0.20899999999999999</v>
      </c>
      <c r="Z132" s="17">
        <v>0.1019</v>
      </c>
      <c r="AA132" s="17">
        <v>0.1472</v>
      </c>
      <c r="AB132" s="17">
        <v>0.1893</v>
      </c>
      <c r="AC132" s="17">
        <v>0.38440000000000002</v>
      </c>
      <c r="AD132" s="17">
        <v>7.5600000000000001E-2</v>
      </c>
      <c r="AE132" s="17">
        <v>0.05</v>
      </c>
      <c r="AF132" s="17">
        <v>0.1011</v>
      </c>
      <c r="AG132" s="17">
        <v>0.15210000000000001</v>
      </c>
      <c r="AH132" s="17">
        <v>0.05</v>
      </c>
      <c r="AI132" s="17">
        <v>0.15229999999999999</v>
      </c>
      <c r="AJ132" s="17">
        <v>0.2208</v>
      </c>
      <c r="AK132" s="17">
        <v>0.33850000000000002</v>
      </c>
      <c r="AL132" s="17">
        <v>0.31040000000000001</v>
      </c>
      <c r="AM132" s="17">
        <v>0.39910000000000001</v>
      </c>
      <c r="AN132" s="17">
        <v>0.30070000000000002</v>
      </c>
      <c r="AO132" s="17">
        <v>0.37430000000000002</v>
      </c>
      <c r="AP132" s="17">
        <v>0.66359999999999997</v>
      </c>
      <c r="AQ132" s="17">
        <v>1.0465</v>
      </c>
      <c r="AR132" s="17">
        <v>1.3149999999999999</v>
      </c>
      <c r="AS132" s="17">
        <v>0.49299999999999999</v>
      </c>
      <c r="AT132" s="17">
        <v>0.44340000000000002</v>
      </c>
      <c r="AU132" s="17">
        <v>0.61780000000000002</v>
      </c>
      <c r="AV132" s="17">
        <v>0.68069999999999997</v>
      </c>
      <c r="AW132" s="17">
        <v>0.34039999999999998</v>
      </c>
      <c r="AX132" s="17">
        <v>0.44719999999999999</v>
      </c>
    </row>
    <row r="133" spans="1:50" x14ac:dyDescent="0.25">
      <c r="A133" s="16" t="s">
        <v>609</v>
      </c>
      <c r="B133" s="13" t="s">
        <v>464</v>
      </c>
      <c r="C133" s="17">
        <v>0.05</v>
      </c>
      <c r="D133" s="17">
        <v>0.1328</v>
      </c>
      <c r="E133" s="17">
        <v>9.2100000000000001E-2</v>
      </c>
      <c r="F133" s="17">
        <v>0.10009999999999999</v>
      </c>
      <c r="G133" s="17">
        <v>0.1467</v>
      </c>
      <c r="H133" s="17">
        <v>0.05</v>
      </c>
      <c r="I133" s="17">
        <v>9.1399999999999995E-2</v>
      </c>
      <c r="J133" s="17">
        <v>0.1052</v>
      </c>
      <c r="K133" s="17">
        <v>0.05</v>
      </c>
      <c r="L133" s="17">
        <v>0.1467</v>
      </c>
      <c r="M133" s="17">
        <v>0.05</v>
      </c>
      <c r="N133" s="17">
        <v>7.0699999999999999E-2</v>
      </c>
      <c r="O133" s="17">
        <v>0.12590000000000001</v>
      </c>
      <c r="P133" s="17">
        <v>0.05</v>
      </c>
      <c r="Q133" s="17">
        <v>0.05</v>
      </c>
      <c r="R133" s="17">
        <v>0.1328</v>
      </c>
      <c r="S133" s="17">
        <v>9.2100000000000001E-2</v>
      </c>
      <c r="T133" s="17">
        <v>0.1454</v>
      </c>
      <c r="U133" s="17">
        <v>0.25380000000000003</v>
      </c>
      <c r="V133" s="17">
        <v>0.15559999999999999</v>
      </c>
      <c r="W133" s="17">
        <v>0.18279999999999999</v>
      </c>
      <c r="X133" s="17">
        <v>0.1202</v>
      </c>
      <c r="Y133" s="17">
        <v>6.5500000000000003E-2</v>
      </c>
      <c r="Z133" s="17">
        <v>0.14829999999999999</v>
      </c>
      <c r="AA133" s="17">
        <v>0.112</v>
      </c>
      <c r="AB133" s="17">
        <v>1.2612000000000001</v>
      </c>
      <c r="AC133" s="17">
        <v>0.56589999999999996</v>
      </c>
      <c r="AD133" s="17">
        <v>0.24709999999999999</v>
      </c>
      <c r="AE133" s="17">
        <v>0.51280000000000003</v>
      </c>
      <c r="AF133" s="17">
        <v>0.32850000000000001</v>
      </c>
      <c r="AG133" s="17">
        <v>0.52080000000000004</v>
      </c>
      <c r="AH133" s="17">
        <v>2.4990000000000001</v>
      </c>
      <c r="AI133" s="17">
        <v>0.80669999999999997</v>
      </c>
      <c r="AJ133" s="17">
        <v>0.26490000000000002</v>
      </c>
      <c r="AK133" s="17">
        <v>0.62060000000000004</v>
      </c>
      <c r="AL133" s="17">
        <v>0.2903</v>
      </c>
      <c r="AM133" s="17">
        <v>0.23169999999999999</v>
      </c>
      <c r="AN133" s="17">
        <v>0.14649999999999999</v>
      </c>
      <c r="AO133" s="17">
        <v>1.4728000000000001</v>
      </c>
      <c r="AP133" s="17">
        <v>0.55859999999999999</v>
      </c>
      <c r="AQ133" s="17">
        <v>0.2492</v>
      </c>
      <c r="AR133" s="17">
        <v>0.43209999999999998</v>
      </c>
      <c r="AS133" s="17">
        <v>0.54269999999999996</v>
      </c>
      <c r="AT133" s="17">
        <v>0.38069999999999998</v>
      </c>
      <c r="AU133" s="17">
        <v>0.7621</v>
      </c>
      <c r="AV133" s="17">
        <v>0.41649999999999998</v>
      </c>
      <c r="AW133" s="17">
        <v>0.56200000000000006</v>
      </c>
      <c r="AX133" s="17">
        <v>0.1467</v>
      </c>
    </row>
    <row r="134" spans="1:50" x14ac:dyDescent="0.25">
      <c r="A134" s="8" t="s">
        <v>166</v>
      </c>
      <c r="B134" s="10" t="s">
        <v>57</v>
      </c>
      <c r="C134" s="18">
        <v>0.1628</v>
      </c>
      <c r="D134" s="18">
        <v>0.19120000000000001</v>
      </c>
      <c r="E134" s="18">
        <v>9.1600000000000001E-2</v>
      </c>
      <c r="F134" s="18">
        <v>0.1865</v>
      </c>
      <c r="G134" s="18">
        <v>0.1237</v>
      </c>
      <c r="H134" s="18">
        <v>0.2303</v>
      </c>
      <c r="I134" s="18">
        <v>5.1999999999999998E-2</v>
      </c>
      <c r="J134" s="18">
        <v>0.29399999999999998</v>
      </c>
      <c r="K134" s="18">
        <v>5.9900000000000002E-2</v>
      </c>
      <c r="L134" s="18">
        <v>0.10680000000000001</v>
      </c>
      <c r="M134" s="18">
        <v>9.6799999999999997E-2</v>
      </c>
      <c r="N134" s="18">
        <v>0.2782</v>
      </c>
      <c r="O134" s="18">
        <v>5.1999999999999998E-2</v>
      </c>
      <c r="P134" s="18">
        <v>0.30199999999999999</v>
      </c>
      <c r="Q134" s="18">
        <v>8.7900000000000006E-2</v>
      </c>
      <c r="R134" s="18">
        <v>0.34100000000000003</v>
      </c>
      <c r="S134" s="18">
        <v>0.21290000000000001</v>
      </c>
      <c r="T134" s="18">
        <v>0.37780000000000002</v>
      </c>
      <c r="U134" s="18">
        <v>0.25190000000000001</v>
      </c>
      <c r="V134" s="18">
        <v>0.62050000000000005</v>
      </c>
      <c r="W134" s="18">
        <v>0.1232</v>
      </c>
      <c r="X134" s="18">
        <v>6.4899999999999999E-2</v>
      </c>
      <c r="Y134" s="18">
        <v>0.30449999999999999</v>
      </c>
      <c r="Z134" s="18">
        <v>0.1004</v>
      </c>
      <c r="AA134" s="18">
        <v>0.54210000000000003</v>
      </c>
      <c r="AB134" s="18">
        <v>0.313</v>
      </c>
      <c r="AC134" s="18">
        <v>0.22209999999999999</v>
      </c>
      <c r="AD134" s="18">
        <v>0.1976</v>
      </c>
      <c r="AE134" s="18">
        <v>0.33489999999999998</v>
      </c>
      <c r="AF134" s="18">
        <v>0.32200000000000001</v>
      </c>
      <c r="AG134" s="18">
        <v>0.29010000000000002</v>
      </c>
      <c r="AH134" s="18">
        <v>0.37630000000000002</v>
      </c>
      <c r="AI134" s="18">
        <v>0.23380000000000001</v>
      </c>
      <c r="AJ134" s="18">
        <v>0.67500000000000004</v>
      </c>
      <c r="AK134" s="18">
        <v>0.83750000000000002</v>
      </c>
      <c r="AL134" s="18">
        <v>0.26469999999999999</v>
      </c>
      <c r="AM134" s="18">
        <v>0.34150000000000003</v>
      </c>
      <c r="AN134" s="18">
        <v>0.24260000000000001</v>
      </c>
      <c r="AO134" s="18">
        <v>0.1603</v>
      </c>
      <c r="AP134" s="18">
        <v>0.44319999999999998</v>
      </c>
      <c r="AQ134" s="18">
        <v>0.44500000000000001</v>
      </c>
      <c r="AR134" s="18">
        <v>0.50549999999999995</v>
      </c>
      <c r="AS134" s="18">
        <v>0.51890000000000003</v>
      </c>
      <c r="AT134" s="18">
        <v>0.35220000000000001</v>
      </c>
      <c r="AU134" s="18">
        <v>0.1628</v>
      </c>
      <c r="AV134" s="18">
        <v>0.19120000000000001</v>
      </c>
      <c r="AW134" s="18">
        <v>5.1999999999999998E-2</v>
      </c>
      <c r="AX134" s="18">
        <v>0.13900000000000001</v>
      </c>
    </row>
    <row r="135" spans="1:50" x14ac:dyDescent="0.25">
      <c r="A135" s="16" t="s">
        <v>611</v>
      </c>
      <c r="B135" s="13" t="s">
        <v>464</v>
      </c>
      <c r="C135" s="17">
        <v>0.05</v>
      </c>
      <c r="D135" s="17">
        <v>0.22159999999999999</v>
      </c>
      <c r="E135" s="17">
        <v>0.17180000000000001</v>
      </c>
      <c r="F135" s="17">
        <v>0.05</v>
      </c>
      <c r="G135" s="17">
        <v>0.21379999999999999</v>
      </c>
      <c r="H135" s="17">
        <v>0.14299999999999999</v>
      </c>
      <c r="I135" s="17">
        <v>9.4299999999999995E-2</v>
      </c>
      <c r="J135" s="17">
        <v>0.21379999999999999</v>
      </c>
      <c r="K135" s="17">
        <v>0.1535</v>
      </c>
      <c r="L135" s="17">
        <v>0.20860000000000001</v>
      </c>
      <c r="M135" s="17">
        <v>0.1116</v>
      </c>
      <c r="N135" s="17">
        <v>0.14910000000000001</v>
      </c>
      <c r="O135" s="17">
        <v>0.21379999999999999</v>
      </c>
      <c r="P135" s="17">
        <v>0.17180000000000001</v>
      </c>
      <c r="Q135" s="17">
        <v>0.05</v>
      </c>
      <c r="R135" s="17">
        <v>0.05</v>
      </c>
      <c r="S135" s="17">
        <v>0.58379999999999999</v>
      </c>
      <c r="T135" s="17">
        <v>7.3400000000000007E-2</v>
      </c>
      <c r="U135" s="17">
        <v>0.14130000000000001</v>
      </c>
      <c r="V135" s="17">
        <v>0.30869999999999997</v>
      </c>
      <c r="W135" s="17">
        <v>0.31130000000000002</v>
      </c>
      <c r="X135" s="17">
        <v>0.37280000000000002</v>
      </c>
      <c r="Y135" s="17">
        <v>0.34360000000000002</v>
      </c>
      <c r="Z135" s="17">
        <v>0.10489999999999999</v>
      </c>
      <c r="AA135" s="17">
        <v>1.2909999999999999</v>
      </c>
      <c r="AB135" s="17">
        <v>0.35249999999999998</v>
      </c>
      <c r="AC135" s="17">
        <v>0.23369999999999999</v>
      </c>
      <c r="AD135" s="17">
        <v>0.30199999999999999</v>
      </c>
      <c r="AE135" s="17">
        <v>0.12529999999999999</v>
      </c>
      <c r="AF135" s="17">
        <v>0.23980000000000001</v>
      </c>
      <c r="AG135" s="17">
        <v>0.1535</v>
      </c>
      <c r="AH135" s="17">
        <v>0.05</v>
      </c>
      <c r="AI135" s="17">
        <v>0.05</v>
      </c>
      <c r="AJ135" s="17">
        <v>0.17180000000000001</v>
      </c>
      <c r="AK135" s="17">
        <v>1.4179999999999999</v>
      </c>
      <c r="AL135" s="17">
        <v>0.46889999999999998</v>
      </c>
      <c r="AM135" s="17">
        <v>0.44490000000000002</v>
      </c>
      <c r="AN135" s="17">
        <v>0.35470000000000002</v>
      </c>
      <c r="AO135" s="17">
        <v>0.61</v>
      </c>
      <c r="AP135" s="17">
        <v>0.59860000000000002</v>
      </c>
      <c r="AQ135" s="17">
        <v>0.48299999999999998</v>
      </c>
      <c r="AR135" s="17">
        <v>0.63280000000000003</v>
      </c>
      <c r="AS135" s="17">
        <v>0.57799999999999996</v>
      </c>
      <c r="AT135" s="17">
        <v>0.70960000000000001</v>
      </c>
      <c r="AU135" s="17">
        <v>0.76539999999999997</v>
      </c>
      <c r="AV135" s="17">
        <v>0.27060000000000001</v>
      </c>
      <c r="AW135" s="17">
        <v>0.66859999999999997</v>
      </c>
      <c r="AX135" s="17">
        <v>0.31740000000000002</v>
      </c>
    </row>
    <row r="136" spans="1:50" x14ac:dyDescent="0.25">
      <c r="A136" s="16" t="s">
        <v>613</v>
      </c>
      <c r="B136" s="13" t="s">
        <v>464</v>
      </c>
      <c r="C136" s="17">
        <v>0.05</v>
      </c>
      <c r="D136" s="17">
        <v>0.1414</v>
      </c>
      <c r="E136" s="17">
        <v>0.05</v>
      </c>
      <c r="F136" s="17">
        <v>0.05</v>
      </c>
      <c r="G136" s="17">
        <v>0.05</v>
      </c>
      <c r="H136" s="17">
        <v>0.05</v>
      </c>
      <c r="I136" s="17">
        <v>0.05</v>
      </c>
      <c r="J136" s="17">
        <v>0.1414</v>
      </c>
      <c r="K136" s="17">
        <v>0.05</v>
      </c>
      <c r="L136" s="17">
        <v>0.05</v>
      </c>
      <c r="M136" s="17">
        <v>0.05</v>
      </c>
      <c r="N136" s="17">
        <v>0.13120000000000001</v>
      </c>
      <c r="O136" s="17">
        <v>6.0199999999999997E-2</v>
      </c>
      <c r="P136" s="17">
        <v>0.12609999999999999</v>
      </c>
      <c r="Q136" s="17">
        <v>6.5199999999999994E-2</v>
      </c>
      <c r="R136" s="17">
        <v>0.1363</v>
      </c>
      <c r="S136" s="17">
        <v>5.5100000000000003E-2</v>
      </c>
      <c r="T136" s="17">
        <v>0.10580000000000001</v>
      </c>
      <c r="U136" s="17">
        <v>8.5500000000000007E-2</v>
      </c>
      <c r="V136" s="17">
        <v>8.0500000000000002E-2</v>
      </c>
      <c r="W136" s="17">
        <v>0.1759</v>
      </c>
      <c r="X136" s="17">
        <v>0.23569999999999999</v>
      </c>
      <c r="Y136" s="17">
        <v>8.5500000000000007E-2</v>
      </c>
      <c r="Z136" s="17">
        <v>0.05</v>
      </c>
      <c r="AA136" s="17">
        <v>0.29249999999999998</v>
      </c>
      <c r="AB136" s="17">
        <v>0.12609999999999999</v>
      </c>
      <c r="AC136" s="17">
        <v>0.24990000000000001</v>
      </c>
      <c r="AD136" s="17">
        <v>0.1363</v>
      </c>
      <c r="AE136" s="17">
        <v>0.05</v>
      </c>
      <c r="AF136" s="17">
        <v>0.1414</v>
      </c>
      <c r="AG136" s="17">
        <v>0.05</v>
      </c>
      <c r="AH136" s="17">
        <v>0.05</v>
      </c>
      <c r="AI136" s="17">
        <v>0.1414</v>
      </c>
      <c r="AJ136" s="17">
        <v>0.05</v>
      </c>
      <c r="AK136" s="17">
        <v>0.1414</v>
      </c>
      <c r="AL136" s="17">
        <v>0.05</v>
      </c>
      <c r="AM136" s="17">
        <v>0.35610000000000003</v>
      </c>
      <c r="AN136" s="17">
        <v>0.21299999999999999</v>
      </c>
      <c r="AO136" s="17">
        <v>0.1154</v>
      </c>
      <c r="AP136" s="17">
        <v>0.26919999999999999</v>
      </c>
      <c r="AQ136" s="17">
        <v>0.33379999999999999</v>
      </c>
      <c r="AR136" s="17">
        <v>0.54549999999999998</v>
      </c>
      <c r="AS136" s="17">
        <v>0.48820000000000002</v>
      </c>
      <c r="AT136" s="17">
        <v>0.37159999999999999</v>
      </c>
      <c r="AU136" s="17">
        <v>0.60860000000000003</v>
      </c>
      <c r="AV136" s="17">
        <v>0.67779999999999996</v>
      </c>
      <c r="AW136" s="17">
        <v>0.246</v>
      </c>
      <c r="AX136" s="17">
        <v>0.05</v>
      </c>
    </row>
    <row r="137" spans="1:50" x14ac:dyDescent="0.25">
      <c r="A137" s="8" t="s">
        <v>168</v>
      </c>
      <c r="B137" s="10" t="s">
        <v>57</v>
      </c>
      <c r="C137" s="18">
        <v>4.4999999999999998E-2</v>
      </c>
      <c r="D137" s="18">
        <v>0.21249999999999999</v>
      </c>
      <c r="E137" s="18">
        <v>7.3700000000000002E-2</v>
      </c>
      <c r="F137" s="18">
        <v>4.4999999999999998E-2</v>
      </c>
      <c r="G137" s="18">
        <v>0.1187</v>
      </c>
      <c r="H137" s="18">
        <v>0.16739999999999999</v>
      </c>
      <c r="I137" s="18">
        <v>8.1799999999999998E-2</v>
      </c>
      <c r="J137" s="18">
        <v>0.17369999999999999</v>
      </c>
      <c r="K137" s="18">
        <v>7.5600000000000001E-2</v>
      </c>
      <c r="L137" s="18">
        <v>0.23269999999999999</v>
      </c>
      <c r="M137" s="18">
        <v>0.10829999999999999</v>
      </c>
      <c r="N137" s="18">
        <v>0.1023</v>
      </c>
      <c r="O137" s="18">
        <v>0.28739999999999999</v>
      </c>
      <c r="P137" s="18">
        <v>0.1111</v>
      </c>
      <c r="Q137" s="18">
        <v>0.13589999999999999</v>
      </c>
      <c r="R137" s="18">
        <v>0.15040000000000001</v>
      </c>
      <c r="S137" s="18">
        <v>0.1862</v>
      </c>
      <c r="T137" s="18">
        <v>0.1268</v>
      </c>
      <c r="U137" s="18">
        <v>1.0609</v>
      </c>
      <c r="V137" s="18">
        <v>0.2868</v>
      </c>
      <c r="W137" s="18">
        <v>1.0327</v>
      </c>
      <c r="X137" s="18">
        <v>0.1396</v>
      </c>
      <c r="Y137" s="18">
        <v>0.1285</v>
      </c>
      <c r="Z137" s="18">
        <v>5.0500000000000003E-2</v>
      </c>
      <c r="AA137" s="18">
        <v>0.10059999999999999</v>
      </c>
      <c r="AB137" s="18">
        <v>0.1318</v>
      </c>
      <c r="AC137" s="18">
        <v>0.1187</v>
      </c>
      <c r="AD137" s="18">
        <v>4.4999999999999998E-2</v>
      </c>
      <c r="AE137" s="18">
        <v>0.24110000000000001</v>
      </c>
      <c r="AF137" s="18">
        <v>4.4999999999999998E-2</v>
      </c>
      <c r="AG137" s="18">
        <v>9.4100000000000003E-2</v>
      </c>
      <c r="AH137" s="18">
        <v>6.9599999999999995E-2</v>
      </c>
      <c r="AI137" s="18">
        <v>5.7299999999999997E-2</v>
      </c>
      <c r="AJ137" s="18">
        <v>0.19209999999999999</v>
      </c>
      <c r="AK137" s="18">
        <v>0.1145</v>
      </c>
      <c r="AL137" s="18">
        <v>0.1227</v>
      </c>
      <c r="AM137" s="18">
        <v>0.1716</v>
      </c>
      <c r="AN137" s="18">
        <v>0.27400000000000002</v>
      </c>
      <c r="AO137" s="18">
        <v>0.53269999999999995</v>
      </c>
      <c r="AP137" s="18">
        <v>0.49790000000000001</v>
      </c>
      <c r="AQ137" s="18">
        <v>2.4925999999999999</v>
      </c>
      <c r="AR137" s="18">
        <v>2.9234</v>
      </c>
      <c r="AS137" s="18">
        <v>1.7905</v>
      </c>
      <c r="AT137" s="18">
        <v>0.4894</v>
      </c>
      <c r="AU137" s="18">
        <v>0.62160000000000004</v>
      </c>
      <c r="AV137" s="18">
        <v>0.46970000000000001</v>
      </c>
      <c r="AW137" s="18">
        <v>5.7200000000000001E-2</v>
      </c>
      <c r="AX137" s="18">
        <v>0.22889999999999999</v>
      </c>
    </row>
    <row r="138" spans="1:50" x14ac:dyDescent="0.25">
      <c r="A138" s="8" t="s">
        <v>170</v>
      </c>
      <c r="B138" s="10" t="s">
        <v>57</v>
      </c>
      <c r="C138" s="18">
        <v>7.7499999999999999E-2</v>
      </c>
      <c r="D138" s="18">
        <v>0.16120000000000001</v>
      </c>
      <c r="E138" s="18">
        <v>0.1411</v>
      </c>
      <c r="F138" s="18">
        <v>5.3999999999999999E-2</v>
      </c>
      <c r="G138" s="18">
        <v>5.3999999999999999E-2</v>
      </c>
      <c r="H138" s="18">
        <v>0.20130000000000001</v>
      </c>
      <c r="I138" s="18">
        <v>0.1244</v>
      </c>
      <c r="J138" s="18">
        <v>0.16789999999999999</v>
      </c>
      <c r="K138" s="18">
        <v>0.15790000000000001</v>
      </c>
      <c r="L138" s="18">
        <v>0.12770000000000001</v>
      </c>
      <c r="M138" s="18">
        <v>0.49619999999999997</v>
      </c>
      <c r="N138" s="18">
        <v>5.3999999999999999E-2</v>
      </c>
      <c r="O138" s="18">
        <v>0.13439999999999999</v>
      </c>
      <c r="P138" s="18">
        <v>0.16009999999999999</v>
      </c>
      <c r="Q138" s="18">
        <v>8.5300000000000001E-2</v>
      </c>
      <c r="R138" s="18">
        <v>0.24829999999999999</v>
      </c>
      <c r="S138" s="18">
        <v>0.18149999999999999</v>
      </c>
      <c r="T138" s="18">
        <v>0.31659999999999999</v>
      </c>
      <c r="U138" s="18">
        <v>1.0666</v>
      </c>
      <c r="V138" s="18">
        <v>1.1524000000000001</v>
      </c>
      <c r="W138" s="18">
        <v>1.7757000000000001</v>
      </c>
      <c r="X138" s="18">
        <v>0.48920000000000002</v>
      </c>
      <c r="Y138" s="18">
        <v>0.42670000000000002</v>
      </c>
      <c r="Z138" s="18">
        <v>0.28439999999999999</v>
      </c>
      <c r="AA138" s="18">
        <v>0.19600000000000001</v>
      </c>
      <c r="AB138" s="18">
        <v>0.22739999999999999</v>
      </c>
      <c r="AC138" s="18">
        <v>0.17499999999999999</v>
      </c>
      <c r="AD138" s="18">
        <v>0.25800000000000001</v>
      </c>
      <c r="AE138" s="18">
        <v>0.16350000000000001</v>
      </c>
      <c r="AF138" s="18">
        <v>0.17130000000000001</v>
      </c>
      <c r="AG138" s="18">
        <v>5.3999999999999999E-2</v>
      </c>
      <c r="AH138" s="18">
        <v>0.20130000000000001</v>
      </c>
      <c r="AI138" s="18">
        <v>0.2797</v>
      </c>
      <c r="AJ138" s="18">
        <v>0.1119</v>
      </c>
      <c r="AK138" s="18">
        <v>0.20830000000000001</v>
      </c>
      <c r="AL138" s="18">
        <v>0.13139999999999999</v>
      </c>
      <c r="AM138" s="18">
        <v>0.1351</v>
      </c>
      <c r="AN138" s="18">
        <v>0.26190000000000002</v>
      </c>
      <c r="AO138" s="18">
        <v>0.60650000000000004</v>
      </c>
      <c r="AP138" s="18">
        <v>0.46310000000000001</v>
      </c>
      <c r="AQ138" s="18">
        <v>0.51439999999999997</v>
      </c>
      <c r="AR138" s="18">
        <v>0.48820000000000002</v>
      </c>
      <c r="AS138" s="18">
        <v>0.41649999999999998</v>
      </c>
      <c r="AT138" s="18">
        <v>0.63029999999999997</v>
      </c>
      <c r="AU138" s="18">
        <v>0.53200000000000003</v>
      </c>
      <c r="AV138" s="18">
        <v>0.58169999999999999</v>
      </c>
      <c r="AW138" s="18">
        <v>0.49170000000000003</v>
      </c>
      <c r="AX138" s="18">
        <v>0.1512</v>
      </c>
    </row>
    <row r="139" spans="1:50" x14ac:dyDescent="0.25">
      <c r="A139" s="8" t="s">
        <v>172</v>
      </c>
      <c r="B139" s="10" t="s">
        <v>57</v>
      </c>
      <c r="C139" s="18">
        <v>0.2152</v>
      </c>
      <c r="D139" s="18">
        <v>5.3999999999999999E-2</v>
      </c>
      <c r="E139" s="18">
        <v>0.20050000000000001</v>
      </c>
      <c r="F139" s="18">
        <v>6.8699999999999997E-2</v>
      </c>
      <c r="G139" s="18">
        <v>0.1492</v>
      </c>
      <c r="H139" s="18">
        <v>0.11990000000000001</v>
      </c>
      <c r="I139" s="18">
        <v>9.8000000000000004E-2</v>
      </c>
      <c r="J139" s="18">
        <v>0.17119999999999999</v>
      </c>
      <c r="K139" s="18">
        <v>5.3999999999999999E-2</v>
      </c>
      <c r="L139" s="18">
        <v>0.20050000000000001</v>
      </c>
      <c r="M139" s="18">
        <v>6.8699999999999997E-2</v>
      </c>
      <c r="N139" s="18">
        <v>5.3999999999999999E-2</v>
      </c>
      <c r="O139" s="18">
        <v>0.2152</v>
      </c>
      <c r="P139" s="18">
        <v>5.3999999999999999E-2</v>
      </c>
      <c r="Q139" s="18">
        <v>0.27960000000000002</v>
      </c>
      <c r="R139" s="18">
        <v>0.1053</v>
      </c>
      <c r="S139" s="18">
        <v>5.3999999999999999E-2</v>
      </c>
      <c r="T139" s="18">
        <v>0.2152</v>
      </c>
      <c r="U139" s="18">
        <v>0.2001</v>
      </c>
      <c r="V139" s="18">
        <v>0.224</v>
      </c>
      <c r="W139" s="18">
        <v>0.36609999999999998</v>
      </c>
      <c r="X139" s="18">
        <v>0.27610000000000001</v>
      </c>
      <c r="Y139" s="18">
        <v>0.311</v>
      </c>
      <c r="Z139" s="18">
        <v>0.3327</v>
      </c>
      <c r="AA139" s="18">
        <v>0.2591</v>
      </c>
      <c r="AB139" s="18">
        <v>7.1099999999999997E-2</v>
      </c>
      <c r="AC139" s="18">
        <v>0.2928</v>
      </c>
      <c r="AD139" s="18">
        <v>0.1116</v>
      </c>
      <c r="AE139" s="18">
        <v>0.1472</v>
      </c>
      <c r="AF139" s="18">
        <v>0.43509999999999999</v>
      </c>
      <c r="AG139" s="18">
        <v>0.38640000000000002</v>
      </c>
      <c r="AH139" s="18">
        <v>0.18459999999999999</v>
      </c>
      <c r="AI139" s="18">
        <v>0.11990000000000001</v>
      </c>
      <c r="AJ139" s="18">
        <v>5.3999999999999999E-2</v>
      </c>
      <c r="AK139" s="18">
        <v>9.8000000000000004E-2</v>
      </c>
      <c r="AL139" s="18">
        <v>0.17119999999999999</v>
      </c>
      <c r="AM139" s="18">
        <v>5.3999999999999999E-2</v>
      </c>
      <c r="AN139" s="18">
        <v>0.2152</v>
      </c>
      <c r="AO139" s="18">
        <v>5.3999999999999999E-2</v>
      </c>
      <c r="AP139" s="18">
        <v>0.19320000000000001</v>
      </c>
      <c r="AQ139" s="18">
        <v>7.5999999999999998E-2</v>
      </c>
      <c r="AR139" s="18">
        <v>0.2878</v>
      </c>
      <c r="AS139" s="18">
        <v>0.67269999999999996</v>
      </c>
      <c r="AT139" s="18">
        <v>0.42420000000000002</v>
      </c>
      <c r="AU139" s="18">
        <v>0.70489999999999997</v>
      </c>
      <c r="AV139" s="18">
        <v>0.13</v>
      </c>
      <c r="AW139" s="18">
        <v>5.3999999999999999E-2</v>
      </c>
      <c r="AX139" s="18">
        <v>0.2152</v>
      </c>
    </row>
    <row r="140" spans="1:50" x14ac:dyDescent="0.25">
      <c r="A140" s="8" t="s">
        <v>174</v>
      </c>
      <c r="B140" s="10" t="s">
        <v>57</v>
      </c>
      <c r="C140" s="18">
        <v>0.1915</v>
      </c>
      <c r="D140" s="18">
        <v>5.1999999999999998E-2</v>
      </c>
      <c r="E140" s="18">
        <v>0.13170000000000001</v>
      </c>
      <c r="F140" s="18">
        <v>0.11840000000000001</v>
      </c>
      <c r="G140" s="18">
        <v>8.5199999999999998E-2</v>
      </c>
      <c r="H140" s="18">
        <v>0.16500000000000001</v>
      </c>
      <c r="I140" s="18">
        <v>5.1999999999999998E-2</v>
      </c>
      <c r="J140" s="18">
        <v>5.1999999999999998E-2</v>
      </c>
      <c r="K140" s="18">
        <v>0.1716</v>
      </c>
      <c r="L140" s="18">
        <v>7.8600000000000003E-2</v>
      </c>
      <c r="M140" s="18">
        <v>9.1899999999999996E-2</v>
      </c>
      <c r="N140" s="18">
        <v>0.1583</v>
      </c>
      <c r="O140" s="18">
        <v>5.1999999999999998E-2</v>
      </c>
      <c r="P140" s="18">
        <v>0.19819999999999999</v>
      </c>
      <c r="Q140" s="18">
        <v>5.1999999999999998E-2</v>
      </c>
      <c r="R140" s="18">
        <v>9.8500000000000004E-2</v>
      </c>
      <c r="S140" s="18">
        <v>0.1517</v>
      </c>
      <c r="T140" s="18">
        <v>5.1999999999999998E-2</v>
      </c>
      <c r="U140" s="18">
        <v>0.19819999999999999</v>
      </c>
      <c r="V140" s="18">
        <v>5.1999999999999998E-2</v>
      </c>
      <c r="W140" s="18">
        <v>0.12690000000000001</v>
      </c>
      <c r="X140" s="18">
        <v>0.2414</v>
      </c>
      <c r="Y140" s="18">
        <v>0.1052</v>
      </c>
      <c r="Z140" s="18">
        <v>2.6880999999999999</v>
      </c>
      <c r="AA140" s="18">
        <v>3.0594000000000001</v>
      </c>
      <c r="AB140" s="18">
        <v>0.94740000000000002</v>
      </c>
      <c r="AC140" s="18">
        <v>9.1800000000000007E-2</v>
      </c>
      <c r="AD140" s="18">
        <v>0.12239999999999999</v>
      </c>
      <c r="AE140" s="18">
        <v>0.1517</v>
      </c>
      <c r="AF140" s="18">
        <v>5.1999999999999998E-2</v>
      </c>
      <c r="AG140" s="18">
        <v>0.20169999999999999</v>
      </c>
      <c r="AH140" s="18">
        <v>5.1999999999999998E-2</v>
      </c>
      <c r="AI140" s="18">
        <v>0.16500000000000001</v>
      </c>
      <c r="AJ140" s="18">
        <v>8.5199999999999998E-2</v>
      </c>
      <c r="AK140" s="18">
        <v>0.11799999999999999</v>
      </c>
      <c r="AL140" s="18">
        <v>0.51859999999999995</v>
      </c>
      <c r="AM140" s="18">
        <v>0.89329999999999998</v>
      </c>
      <c r="AN140" s="18">
        <v>0.17419999999999999</v>
      </c>
      <c r="AO140" s="18">
        <v>0.36849999999999999</v>
      </c>
      <c r="AP140" s="18">
        <v>0.24970000000000001</v>
      </c>
      <c r="AQ140" s="18">
        <v>0.53310000000000002</v>
      </c>
      <c r="AR140" s="18">
        <v>0.66749999999999998</v>
      </c>
      <c r="AS140" s="18">
        <v>0.35249999999999998</v>
      </c>
      <c r="AT140" s="18">
        <v>0.55430000000000001</v>
      </c>
      <c r="AU140" s="18">
        <v>0.49569999999999997</v>
      </c>
      <c r="AV140" s="18">
        <v>0.3725</v>
      </c>
      <c r="AW140" s="18">
        <v>0.1583</v>
      </c>
      <c r="AX140" s="18">
        <v>5.1999999999999998E-2</v>
      </c>
    </row>
    <row r="141" spans="1:50" x14ac:dyDescent="0.25">
      <c r="A141" s="8" t="s">
        <v>176</v>
      </c>
      <c r="B141" s="10" t="s">
        <v>57</v>
      </c>
      <c r="C141" s="18">
        <v>0.15870000000000001</v>
      </c>
      <c r="D141" s="18">
        <v>5.8000000000000003E-2</v>
      </c>
      <c r="E141" s="18">
        <v>0.20569999999999999</v>
      </c>
      <c r="F141" s="18">
        <v>5.8000000000000003E-2</v>
      </c>
      <c r="G141" s="18">
        <v>0.14530000000000001</v>
      </c>
      <c r="H141" s="18">
        <v>0.11840000000000001</v>
      </c>
      <c r="I141" s="18">
        <v>5.8000000000000003E-2</v>
      </c>
      <c r="J141" s="18">
        <v>0.20569999999999999</v>
      </c>
      <c r="K141" s="18">
        <v>5.8000000000000003E-2</v>
      </c>
      <c r="L141" s="18">
        <v>0.17879999999999999</v>
      </c>
      <c r="M141" s="18">
        <v>8.48E-2</v>
      </c>
      <c r="N141" s="18">
        <v>5.8000000000000003E-2</v>
      </c>
      <c r="O141" s="18">
        <v>0.20569999999999999</v>
      </c>
      <c r="P141" s="18">
        <v>5.8000000000000003E-2</v>
      </c>
      <c r="Q141" s="18">
        <v>8.48E-2</v>
      </c>
      <c r="R141" s="18">
        <v>0.17879999999999999</v>
      </c>
      <c r="S141" s="18">
        <v>5.8000000000000003E-2</v>
      </c>
      <c r="T141" s="18">
        <v>5.8000000000000003E-2</v>
      </c>
      <c r="U141" s="18">
        <v>0.20569999999999999</v>
      </c>
      <c r="V141" s="18">
        <v>5.8000000000000003E-2</v>
      </c>
      <c r="W141" s="18">
        <v>6.3600000000000004E-2</v>
      </c>
      <c r="X141" s="18">
        <v>0.42670000000000002</v>
      </c>
      <c r="Y141" s="18">
        <v>0.14940000000000001</v>
      </c>
      <c r="Z141" s="18">
        <v>8.14E-2</v>
      </c>
      <c r="AA141" s="18">
        <v>0.18920000000000001</v>
      </c>
      <c r="AB141" s="18">
        <v>0.26200000000000001</v>
      </c>
      <c r="AC141" s="18">
        <v>0.105</v>
      </c>
      <c r="AD141" s="18">
        <v>0.24540000000000001</v>
      </c>
      <c r="AE141" s="18">
        <v>0.191</v>
      </c>
      <c r="AF141" s="18">
        <v>0.20569999999999999</v>
      </c>
      <c r="AG141" s="18">
        <v>5.8000000000000003E-2</v>
      </c>
      <c r="AH141" s="18">
        <v>0.16539999999999999</v>
      </c>
      <c r="AI141" s="18">
        <v>9.8299999999999998E-2</v>
      </c>
      <c r="AJ141" s="18">
        <v>0.11169999999999999</v>
      </c>
      <c r="AK141" s="18">
        <v>0.20200000000000001</v>
      </c>
      <c r="AL141" s="18">
        <v>8.3299999999999999E-2</v>
      </c>
      <c r="AM141" s="18">
        <v>0.13980000000000001</v>
      </c>
      <c r="AN141" s="18">
        <v>0.25740000000000002</v>
      </c>
      <c r="AO141" s="18">
        <v>0.4234</v>
      </c>
      <c r="AP141" s="18">
        <v>0.4254</v>
      </c>
      <c r="AQ141" s="18">
        <v>0.42309999999999998</v>
      </c>
      <c r="AR141" s="18">
        <v>0.52200000000000002</v>
      </c>
      <c r="AS141" s="18">
        <v>0.4849</v>
      </c>
      <c r="AT141" s="18">
        <v>0.45889999999999997</v>
      </c>
      <c r="AU141" s="18">
        <v>0.56699999999999995</v>
      </c>
      <c r="AV141" s="18">
        <v>0.44059999999999999</v>
      </c>
      <c r="AW141" s="18">
        <v>0.72260000000000002</v>
      </c>
      <c r="AX141" s="18">
        <v>5.8000000000000003E-2</v>
      </c>
    </row>
    <row r="142" spans="1:50" x14ac:dyDescent="0.25">
      <c r="A142" s="8" t="s">
        <v>178</v>
      </c>
      <c r="B142" s="10" t="s">
        <v>57</v>
      </c>
      <c r="C142" s="18">
        <v>8.43E-2</v>
      </c>
      <c r="D142" s="18">
        <v>8.43E-2</v>
      </c>
      <c r="E142" s="18">
        <v>4.7E-2</v>
      </c>
      <c r="F142" s="18">
        <v>0.1216</v>
      </c>
      <c r="G142" s="18">
        <v>4.7E-2</v>
      </c>
      <c r="H142" s="18">
        <v>6.3600000000000004E-2</v>
      </c>
      <c r="I142" s="18">
        <v>0.1051</v>
      </c>
      <c r="J142" s="18">
        <v>4.7E-2</v>
      </c>
      <c r="K142" s="18">
        <v>0.1216</v>
      </c>
      <c r="L142" s="18">
        <v>4.7E-2</v>
      </c>
      <c r="M142" s="18">
        <v>8.0199999999999994E-2</v>
      </c>
      <c r="N142" s="18">
        <v>8.8499999999999995E-2</v>
      </c>
      <c r="O142" s="18">
        <v>4.7E-2</v>
      </c>
      <c r="P142" s="18">
        <v>4.7E-2</v>
      </c>
      <c r="Q142" s="18">
        <v>4.7E-2</v>
      </c>
      <c r="R142" s="18">
        <v>0.1216</v>
      </c>
      <c r="S142" s="18">
        <v>4.7E-2</v>
      </c>
      <c r="T142" s="18">
        <v>4.9599999999999998E-2</v>
      </c>
      <c r="U142" s="18">
        <v>0.23130000000000001</v>
      </c>
      <c r="V142" s="18">
        <v>0.1236</v>
      </c>
      <c r="W142" s="18">
        <v>0.1051</v>
      </c>
      <c r="X142" s="18">
        <v>4.7E-2</v>
      </c>
      <c r="Y142" s="18">
        <v>0.1216</v>
      </c>
      <c r="Z142" s="18">
        <v>5.5300000000000002E-2</v>
      </c>
      <c r="AA142" s="18">
        <v>0.1133</v>
      </c>
      <c r="AB142" s="18">
        <v>4.7E-2</v>
      </c>
      <c r="AC142" s="18">
        <v>7.9600000000000004E-2</v>
      </c>
      <c r="AD142" s="18">
        <v>0.13539999999999999</v>
      </c>
      <c r="AE142" s="18">
        <v>0.22639999999999999</v>
      </c>
      <c r="AF142" s="18">
        <v>0.12659999999999999</v>
      </c>
      <c r="AG142" s="18">
        <v>4.7E-2</v>
      </c>
      <c r="AH142" s="18">
        <v>0.1216</v>
      </c>
      <c r="AI142" s="18">
        <v>4.7E-2</v>
      </c>
      <c r="AJ142" s="18">
        <v>0.1216</v>
      </c>
      <c r="AK142" s="18">
        <v>4.7E-2</v>
      </c>
      <c r="AL142" s="18">
        <v>4.7E-2</v>
      </c>
      <c r="AM142" s="18">
        <v>0.71509999999999996</v>
      </c>
      <c r="AN142" s="18">
        <v>1.3085</v>
      </c>
      <c r="AO142" s="18">
        <v>5.9499999999999997E-2</v>
      </c>
      <c r="AP142" s="18">
        <v>0.2949</v>
      </c>
      <c r="AQ142" s="18">
        <v>0.17979999999999999</v>
      </c>
      <c r="AR142" s="18">
        <v>0.3553</v>
      </c>
      <c r="AS142" s="18">
        <v>0.26869999999999999</v>
      </c>
      <c r="AT142" s="18">
        <v>0.21440000000000001</v>
      </c>
      <c r="AU142" s="18">
        <v>9.6799999999999997E-2</v>
      </c>
      <c r="AV142" s="18">
        <v>7.1900000000000006E-2</v>
      </c>
      <c r="AW142" s="18">
        <v>4.7E-2</v>
      </c>
      <c r="AX142" s="18">
        <v>4.7E-2</v>
      </c>
    </row>
    <row r="143" spans="1:50" x14ac:dyDescent="0.25">
      <c r="A143" s="16" t="s">
        <v>615</v>
      </c>
      <c r="B143" s="13" t="s">
        <v>464</v>
      </c>
      <c r="C143" s="17">
        <v>0.1096</v>
      </c>
      <c r="D143" s="17">
        <v>0.18940000000000001</v>
      </c>
      <c r="E143" s="17">
        <v>5.5E-2</v>
      </c>
      <c r="F143" s="17">
        <v>0.16880000000000001</v>
      </c>
      <c r="G143" s="17">
        <v>0.2021</v>
      </c>
      <c r="H143" s="17">
        <v>9.3100000000000002E-2</v>
      </c>
      <c r="I143" s="17">
        <v>0.27789999999999998</v>
      </c>
      <c r="J143" s="17">
        <v>5.5E-2</v>
      </c>
      <c r="K143" s="17">
        <v>0.2571</v>
      </c>
      <c r="L143" s="17">
        <v>0.1138</v>
      </c>
      <c r="M143" s="17">
        <v>0.1983</v>
      </c>
      <c r="N143" s="17">
        <v>0.17269999999999999</v>
      </c>
      <c r="O143" s="17">
        <v>8.0399999999999999E-2</v>
      </c>
      <c r="P143" s="17">
        <v>0.1057</v>
      </c>
      <c r="Q143" s="17">
        <v>0.23980000000000001</v>
      </c>
      <c r="R143" s="17">
        <v>5.5E-2</v>
      </c>
      <c r="S143" s="17">
        <v>0.2316</v>
      </c>
      <c r="T143" s="17">
        <v>0.13930000000000001</v>
      </c>
      <c r="U143" s="17">
        <v>5.5E-2</v>
      </c>
      <c r="V143" s="17">
        <v>0.31590000000000001</v>
      </c>
      <c r="W143" s="17">
        <v>5.5E-2</v>
      </c>
      <c r="X143" s="17">
        <v>0.20669999999999999</v>
      </c>
      <c r="Y143" s="17">
        <v>0.16420000000000001</v>
      </c>
      <c r="Z143" s="17">
        <v>0.13109999999999999</v>
      </c>
      <c r="AA143" s="17">
        <v>0.15579999999999999</v>
      </c>
      <c r="AB143" s="17">
        <v>0.46949999999999997</v>
      </c>
      <c r="AC143" s="17">
        <v>0.11849999999999999</v>
      </c>
      <c r="AD143" s="17">
        <v>6.3100000000000003E-2</v>
      </c>
      <c r="AE143" s="17">
        <v>0.17699999999999999</v>
      </c>
      <c r="AF143" s="17">
        <v>0.19389999999999999</v>
      </c>
      <c r="AG143" s="17">
        <v>0.1057</v>
      </c>
      <c r="AH143" s="17">
        <v>0.26519999999999999</v>
      </c>
      <c r="AI143" s="17">
        <v>0.25719999999999998</v>
      </c>
      <c r="AJ143" s="17">
        <v>0.42320000000000002</v>
      </c>
      <c r="AK143" s="17">
        <v>0.75109999999999999</v>
      </c>
      <c r="AL143" s="17">
        <v>0.4148</v>
      </c>
      <c r="AM143" s="17">
        <v>0.49969999999999998</v>
      </c>
      <c r="AN143" s="17">
        <v>0.37680000000000002</v>
      </c>
      <c r="AO143" s="17">
        <v>1.6193</v>
      </c>
      <c r="AP143" s="17">
        <v>0.3896</v>
      </c>
      <c r="AQ143" s="17">
        <v>0.54279999999999995</v>
      </c>
      <c r="AR143" s="17">
        <v>0.82840000000000003</v>
      </c>
      <c r="AS143" s="17">
        <v>2.5369999999999999</v>
      </c>
      <c r="AT143" s="17">
        <v>0.72270000000000001</v>
      </c>
      <c r="AU143" s="17">
        <v>0.15629999999999999</v>
      </c>
      <c r="AV143" s="17">
        <v>0.39429999999999998</v>
      </c>
      <c r="AW143" s="17">
        <v>0.68940000000000001</v>
      </c>
      <c r="AX143" s="17">
        <v>0.28760000000000002</v>
      </c>
    </row>
    <row r="144" spans="1:50" x14ac:dyDescent="0.25">
      <c r="A144" s="16" t="s">
        <v>617</v>
      </c>
      <c r="B144" s="13" t="s">
        <v>464</v>
      </c>
      <c r="C144" s="17">
        <v>1.0587</v>
      </c>
      <c r="D144" s="17">
        <v>0.81830000000000003</v>
      </c>
      <c r="E144" s="17">
        <v>5.3999999999999999E-2</v>
      </c>
      <c r="F144" s="17">
        <v>6.8900000000000003E-2</v>
      </c>
      <c r="G144" s="17">
        <v>0.1283</v>
      </c>
      <c r="H144" s="17">
        <v>5.3999999999999999E-2</v>
      </c>
      <c r="I144" s="17">
        <v>0.14319999999999999</v>
      </c>
      <c r="J144" s="17">
        <v>5.3999999999999999E-2</v>
      </c>
      <c r="K144" s="17">
        <v>5.3999999999999999E-2</v>
      </c>
      <c r="L144" s="17">
        <v>5.3999999999999999E-2</v>
      </c>
      <c r="M144" s="17">
        <v>9.3600000000000003E-2</v>
      </c>
      <c r="N144" s="17">
        <v>0.1036</v>
      </c>
      <c r="O144" s="17">
        <v>0.1234</v>
      </c>
      <c r="P144" s="17">
        <v>7.3800000000000004E-2</v>
      </c>
      <c r="Q144" s="17">
        <v>9.3600000000000003E-2</v>
      </c>
      <c r="R144" s="17">
        <v>0.1036</v>
      </c>
      <c r="S144" s="17">
        <v>5.3999999999999999E-2</v>
      </c>
      <c r="T144" s="17">
        <v>5.3999999999999999E-2</v>
      </c>
      <c r="U144" s="17">
        <v>0.14319999999999999</v>
      </c>
      <c r="V144" s="17">
        <v>5.3999999999999999E-2</v>
      </c>
      <c r="W144" s="17">
        <v>5.3999999999999999E-2</v>
      </c>
      <c r="X144" s="17">
        <v>0.14319999999999999</v>
      </c>
      <c r="Y144" s="17">
        <v>5.3999999999999999E-2</v>
      </c>
      <c r="Z144" s="17">
        <v>0.14319999999999999</v>
      </c>
      <c r="AA144" s="17">
        <v>5.3999999999999999E-2</v>
      </c>
      <c r="AB144" s="17">
        <v>5.3999999999999999E-2</v>
      </c>
      <c r="AC144" s="17">
        <v>0.14319999999999999</v>
      </c>
      <c r="AD144" s="17">
        <v>5.3999999999999999E-2</v>
      </c>
      <c r="AE144" s="17">
        <v>0.1283</v>
      </c>
      <c r="AF144" s="17">
        <v>6.8900000000000003E-2</v>
      </c>
      <c r="AG144" s="17">
        <v>5.3999999999999999E-2</v>
      </c>
      <c r="AH144" s="17">
        <v>5.3999999999999999E-2</v>
      </c>
      <c r="AI144" s="17">
        <v>0.14319999999999999</v>
      </c>
      <c r="AJ144" s="17">
        <v>5.3999999999999999E-2</v>
      </c>
      <c r="AK144" s="17">
        <v>5.3999999999999999E-2</v>
      </c>
      <c r="AL144" s="17">
        <v>5.3999999999999999E-2</v>
      </c>
      <c r="AM144" s="17">
        <v>0.14319999999999999</v>
      </c>
      <c r="AN144" s="17">
        <v>0.11260000000000001</v>
      </c>
      <c r="AO144" s="17">
        <v>0.2243</v>
      </c>
      <c r="AP144" s="17">
        <v>0.4758</v>
      </c>
      <c r="AQ144" s="17">
        <v>0.46800000000000003</v>
      </c>
      <c r="AR144" s="17">
        <v>0.68300000000000005</v>
      </c>
      <c r="AS144" s="17">
        <v>0.79479999999999995</v>
      </c>
      <c r="AT144" s="17">
        <v>0.56200000000000006</v>
      </c>
      <c r="AU144" s="17">
        <v>5.3999999999999999E-2</v>
      </c>
      <c r="AV144" s="17">
        <v>5.3999999999999999E-2</v>
      </c>
      <c r="AW144" s="17">
        <v>5.3999999999999999E-2</v>
      </c>
      <c r="AX144" s="17">
        <v>5.8999999999999997E-2</v>
      </c>
    </row>
    <row r="145" spans="1:50" x14ac:dyDescent="0.25">
      <c r="A145" s="16" t="s">
        <v>619</v>
      </c>
      <c r="B145" s="13" t="s">
        <v>464</v>
      </c>
      <c r="C145" s="17">
        <v>5.1999999999999998E-2</v>
      </c>
      <c r="D145" s="17">
        <v>5.1999999999999998E-2</v>
      </c>
      <c r="E145" s="17">
        <v>5.1999999999999998E-2</v>
      </c>
      <c r="F145" s="17">
        <v>5.1999999999999998E-2</v>
      </c>
      <c r="G145" s="17">
        <v>5.1999999999999998E-2</v>
      </c>
      <c r="H145" s="17">
        <v>5.1999999999999998E-2</v>
      </c>
      <c r="I145" s="17">
        <v>5.1999999999999998E-2</v>
      </c>
      <c r="J145" s="17">
        <v>5.1999999999999998E-2</v>
      </c>
      <c r="K145" s="17">
        <v>5.1999999999999998E-2</v>
      </c>
      <c r="L145" s="17">
        <v>5.1999999999999998E-2</v>
      </c>
      <c r="M145" s="17">
        <v>5.1999999999999998E-2</v>
      </c>
      <c r="N145" s="17">
        <v>5.1999999999999998E-2</v>
      </c>
      <c r="O145" s="17">
        <v>5.1999999999999998E-2</v>
      </c>
      <c r="P145" s="17">
        <v>5.1999999999999998E-2</v>
      </c>
      <c r="Q145" s="17">
        <v>5.1999999999999998E-2</v>
      </c>
      <c r="R145" s="17">
        <v>5.1999999999999998E-2</v>
      </c>
      <c r="S145" s="17">
        <v>5.1999999999999998E-2</v>
      </c>
      <c r="T145" s="17">
        <v>5.1999999999999998E-2</v>
      </c>
      <c r="U145" s="17">
        <v>5.1999999999999998E-2</v>
      </c>
      <c r="V145" s="17">
        <v>5.1999999999999998E-2</v>
      </c>
      <c r="W145" s="17">
        <v>5.1999999999999998E-2</v>
      </c>
      <c r="X145" s="17">
        <v>5.1999999999999998E-2</v>
      </c>
      <c r="Y145" s="17">
        <v>5.1999999999999998E-2</v>
      </c>
      <c r="Z145" s="17">
        <v>5.1999999999999998E-2</v>
      </c>
      <c r="AA145" s="17">
        <v>5.1999999999999998E-2</v>
      </c>
      <c r="AB145" s="17">
        <v>0.13370000000000001</v>
      </c>
      <c r="AC145" s="17">
        <v>0.2621</v>
      </c>
      <c r="AD145" s="17">
        <v>0.25090000000000001</v>
      </c>
      <c r="AE145" s="17">
        <v>0.25090000000000001</v>
      </c>
      <c r="AF145" s="17">
        <v>0.16089999999999999</v>
      </c>
      <c r="AG145" s="17">
        <v>6.3799999999999996E-2</v>
      </c>
      <c r="AH145" s="17">
        <v>0.26779999999999998</v>
      </c>
      <c r="AI145" s="17">
        <v>7.3700000000000002E-2</v>
      </c>
      <c r="AJ145" s="17">
        <v>0.34279999999999999</v>
      </c>
      <c r="AK145" s="17">
        <v>0.1143</v>
      </c>
      <c r="AL145" s="17">
        <v>0.26150000000000001</v>
      </c>
      <c r="AM145" s="17">
        <v>5.3999999999999999E-2</v>
      </c>
      <c r="AN145" s="17">
        <v>5.1999999999999998E-2</v>
      </c>
      <c r="AO145" s="17">
        <v>6.4399999999999999E-2</v>
      </c>
      <c r="AP145" s="17">
        <v>0.32029999999999997</v>
      </c>
      <c r="AQ145" s="17">
        <v>0.1457</v>
      </c>
      <c r="AR145" s="17">
        <v>0.26669999999999999</v>
      </c>
      <c r="AS145" s="17">
        <v>0.36070000000000002</v>
      </c>
      <c r="AT145" s="17">
        <v>0.39019999999999999</v>
      </c>
      <c r="AU145" s="17">
        <v>0.34200000000000003</v>
      </c>
      <c r="AV145" s="17">
        <v>0.16320000000000001</v>
      </c>
      <c r="AW145" s="17">
        <v>5.1999999999999998E-2</v>
      </c>
      <c r="AX145" s="17">
        <v>5.1999999999999998E-2</v>
      </c>
    </row>
    <row r="146" spans="1:50" x14ac:dyDescent="0.25">
      <c r="A146" s="8" t="s">
        <v>180</v>
      </c>
      <c r="B146" s="10" t="s">
        <v>57</v>
      </c>
      <c r="C146" s="18">
        <v>0.12920000000000001</v>
      </c>
      <c r="D146" s="18">
        <v>0.1656</v>
      </c>
      <c r="E146" s="18">
        <v>0.1701</v>
      </c>
      <c r="F146" s="18">
        <v>8.2400000000000001E-2</v>
      </c>
      <c r="G146" s="18">
        <v>0.15890000000000001</v>
      </c>
      <c r="H146" s="18">
        <v>0.19239999999999999</v>
      </c>
      <c r="I146" s="18">
        <v>4.5999999999999999E-2</v>
      </c>
      <c r="J146" s="18">
        <v>0.23730000000000001</v>
      </c>
      <c r="K146" s="18">
        <v>0.114</v>
      </c>
      <c r="L146" s="18">
        <v>0.1166</v>
      </c>
      <c r="M146" s="18">
        <v>0.13070000000000001</v>
      </c>
      <c r="N146" s="18">
        <v>0.15</v>
      </c>
      <c r="O146" s="18">
        <v>0.20119999999999999</v>
      </c>
      <c r="P146" s="18">
        <v>0.1694</v>
      </c>
      <c r="Q146" s="18">
        <v>0.5333</v>
      </c>
      <c r="R146" s="18">
        <v>0.29270000000000002</v>
      </c>
      <c r="S146" s="18">
        <v>0.18640000000000001</v>
      </c>
      <c r="T146" s="18">
        <v>0.27410000000000001</v>
      </c>
      <c r="U146" s="18">
        <v>0.1956</v>
      </c>
      <c r="V146" s="18">
        <v>0.15709999999999999</v>
      </c>
      <c r="W146" s="18">
        <v>0.25840000000000002</v>
      </c>
      <c r="X146" s="18">
        <v>4.5999999999999999E-2</v>
      </c>
      <c r="Y146" s="18">
        <v>0.1842</v>
      </c>
      <c r="Z146" s="18">
        <v>0.17</v>
      </c>
      <c r="AA146" s="18">
        <v>7.4200000000000002E-2</v>
      </c>
      <c r="AB146" s="18">
        <v>0.27700000000000002</v>
      </c>
      <c r="AC146" s="18">
        <v>4.5999999999999999E-2</v>
      </c>
      <c r="AD146" s="18">
        <v>0.39660000000000001</v>
      </c>
      <c r="AE146" s="18">
        <v>0.1114</v>
      </c>
      <c r="AF146" s="18">
        <v>4.5999999999999999E-2</v>
      </c>
      <c r="AG146" s="18">
        <v>0.13439999999999999</v>
      </c>
      <c r="AH146" s="18">
        <v>0.22500000000000001</v>
      </c>
      <c r="AI146" s="18">
        <v>5.62E-2</v>
      </c>
      <c r="AJ146" s="18">
        <v>0.21460000000000001</v>
      </c>
      <c r="AK146" s="18">
        <v>0.1366</v>
      </c>
      <c r="AL146" s="18">
        <v>0.1075</v>
      </c>
      <c r="AM146" s="18">
        <v>1.1214</v>
      </c>
      <c r="AN146" s="18">
        <v>0.71599999999999997</v>
      </c>
      <c r="AO146" s="18">
        <v>0.54459999999999997</v>
      </c>
      <c r="AP146" s="18">
        <v>0.52829999999999999</v>
      </c>
      <c r="AQ146" s="18">
        <v>2.1480000000000001</v>
      </c>
      <c r="AR146" s="18">
        <v>0.75790000000000002</v>
      </c>
      <c r="AS146" s="18">
        <v>0.47849999999999998</v>
      </c>
      <c r="AT146" s="18">
        <v>0.71</v>
      </c>
      <c r="AU146" s="18">
        <v>0.76119999999999999</v>
      </c>
      <c r="AV146" s="18">
        <v>0.73729999999999996</v>
      </c>
      <c r="AW146" s="18">
        <v>0.81520000000000004</v>
      </c>
      <c r="AX146" s="18">
        <v>0.63859999999999995</v>
      </c>
    </row>
    <row r="147" spans="1:50" x14ac:dyDescent="0.25">
      <c r="A147" s="16" t="s">
        <v>621</v>
      </c>
      <c r="B147" s="13" t="s">
        <v>464</v>
      </c>
      <c r="C147" s="17">
        <v>0.23139999999999999</v>
      </c>
      <c r="D147" s="17">
        <v>0.05</v>
      </c>
      <c r="E147" s="17">
        <v>0.05</v>
      </c>
      <c r="F147" s="17">
        <v>0.23139999999999999</v>
      </c>
      <c r="G147" s="17">
        <v>0.05</v>
      </c>
      <c r="H147" s="17">
        <v>8.3000000000000004E-2</v>
      </c>
      <c r="I147" s="17">
        <v>0.19850000000000001</v>
      </c>
      <c r="J147" s="17">
        <v>0.05</v>
      </c>
      <c r="K147" s="17">
        <v>0.23139999999999999</v>
      </c>
      <c r="L147" s="17">
        <v>0.05</v>
      </c>
      <c r="M147" s="17">
        <v>0.05</v>
      </c>
      <c r="N147" s="17">
        <v>0.19850000000000001</v>
      </c>
      <c r="O147" s="17">
        <v>8.3000000000000004E-2</v>
      </c>
      <c r="P147" s="17">
        <v>0.13250000000000001</v>
      </c>
      <c r="Q147" s="17">
        <v>0.14899999999999999</v>
      </c>
      <c r="R147" s="17">
        <v>0.05</v>
      </c>
      <c r="S147" s="17">
        <v>0.27489999999999998</v>
      </c>
      <c r="T147" s="17">
        <v>0.151</v>
      </c>
      <c r="U147" s="17">
        <v>1.3022</v>
      </c>
      <c r="V147" s="17">
        <v>6.6500000000000004E-2</v>
      </c>
      <c r="W147" s="17">
        <v>0.05</v>
      </c>
      <c r="X147" s="17">
        <v>0.05</v>
      </c>
      <c r="Y147" s="17">
        <v>0.05</v>
      </c>
      <c r="Z147" s="17">
        <v>0.2349</v>
      </c>
      <c r="AA147" s="17">
        <v>9.1399999999999995E-2</v>
      </c>
      <c r="AB147" s="17">
        <v>0.1744</v>
      </c>
      <c r="AC147" s="17">
        <v>0.20669999999999999</v>
      </c>
      <c r="AD147" s="17">
        <v>0.05</v>
      </c>
      <c r="AE147" s="17">
        <v>7.4700000000000003E-2</v>
      </c>
      <c r="AF147" s="17">
        <v>0.20669999999999999</v>
      </c>
      <c r="AG147" s="17">
        <v>0.05</v>
      </c>
      <c r="AH147" s="17">
        <v>0.35070000000000001</v>
      </c>
      <c r="AI147" s="17">
        <v>0.23039999999999999</v>
      </c>
      <c r="AJ147" s="17">
        <v>0.13730000000000001</v>
      </c>
      <c r="AK147" s="17">
        <v>0.49059999999999998</v>
      </c>
      <c r="AL147" s="17">
        <v>6.4100000000000004E-2</v>
      </c>
      <c r="AM147" s="17">
        <v>0.25280000000000002</v>
      </c>
      <c r="AN147" s="17">
        <v>0.29399999999999998</v>
      </c>
      <c r="AO147" s="17">
        <v>0.2263</v>
      </c>
      <c r="AP147" s="17">
        <v>0.50229999999999997</v>
      </c>
      <c r="AQ147" s="17">
        <v>0.56210000000000004</v>
      </c>
      <c r="AR147" s="17">
        <v>1.4560999999999999</v>
      </c>
      <c r="AS147" s="17">
        <v>0.37740000000000001</v>
      </c>
      <c r="AT147" s="17">
        <v>0.52890000000000004</v>
      </c>
      <c r="AU147" s="17">
        <v>0.40620000000000001</v>
      </c>
      <c r="AV147" s="17">
        <v>0.51929999999999998</v>
      </c>
      <c r="AW147" s="17">
        <v>0.41599999999999998</v>
      </c>
      <c r="AX147" s="17">
        <v>0.42580000000000001</v>
      </c>
    </row>
    <row r="148" spans="1:50" x14ac:dyDescent="0.25">
      <c r="A148" s="16" t="s">
        <v>623</v>
      </c>
      <c r="B148" s="13" t="s">
        <v>464</v>
      </c>
      <c r="C148" s="17">
        <v>0.14480000000000001</v>
      </c>
      <c r="D148" s="17">
        <v>4.5999999999999999E-2</v>
      </c>
      <c r="E148" s="17">
        <v>4.5999999999999999E-2</v>
      </c>
      <c r="F148" s="17">
        <v>4.5999999999999999E-2</v>
      </c>
      <c r="G148" s="17">
        <v>0.1182</v>
      </c>
      <c r="H148" s="17">
        <v>4.5999999999999999E-2</v>
      </c>
      <c r="I148" s="17">
        <v>4.5999999999999999E-2</v>
      </c>
      <c r="J148" s="17">
        <v>0.1182</v>
      </c>
      <c r="K148" s="17">
        <v>4.5999999999999999E-2</v>
      </c>
      <c r="L148" s="17">
        <v>9.4200000000000006E-2</v>
      </c>
      <c r="M148" s="17">
        <v>7.0099999999999996E-2</v>
      </c>
      <c r="N148" s="17">
        <v>5.8000000000000003E-2</v>
      </c>
      <c r="O148" s="17">
        <v>0.1062</v>
      </c>
      <c r="P148" s="17">
        <v>0.1103</v>
      </c>
      <c r="Q148" s="17">
        <v>0.23300000000000001</v>
      </c>
      <c r="R148" s="17">
        <v>0.23880000000000001</v>
      </c>
      <c r="S148" s="17">
        <v>0.23330000000000001</v>
      </c>
      <c r="T148" s="17">
        <v>0.2099</v>
      </c>
      <c r="U148" s="17">
        <v>0.24959999999999999</v>
      </c>
      <c r="V148" s="17">
        <v>0.27029999999999998</v>
      </c>
      <c r="W148" s="17">
        <v>0.45729999999999998</v>
      </c>
      <c r="X148" s="17">
        <v>0.35799999999999998</v>
      </c>
      <c r="Y148" s="17">
        <v>4.5999999999999999E-2</v>
      </c>
      <c r="Z148" s="17">
        <v>0.1182</v>
      </c>
      <c r="AA148" s="17">
        <v>4.5999999999999999E-2</v>
      </c>
      <c r="AB148" s="17">
        <v>0.1182</v>
      </c>
      <c r="AC148" s="17">
        <v>4.5999999999999999E-2</v>
      </c>
      <c r="AD148" s="17">
        <v>0.16250000000000001</v>
      </c>
      <c r="AE148" s="17">
        <v>0.28449999999999998</v>
      </c>
      <c r="AF148" s="17">
        <v>0.221</v>
      </c>
      <c r="AG148" s="17">
        <v>0.1467</v>
      </c>
      <c r="AH148" s="17">
        <v>9.8199999999999996E-2</v>
      </c>
      <c r="AI148" s="17">
        <v>6.6100000000000006E-2</v>
      </c>
      <c r="AJ148" s="17">
        <v>9.01E-2</v>
      </c>
      <c r="AK148" s="17">
        <v>7.4099999999999999E-2</v>
      </c>
      <c r="AL148" s="17">
        <v>4.5999999999999999E-2</v>
      </c>
      <c r="AM148" s="17">
        <v>0.1182</v>
      </c>
      <c r="AN148" s="17">
        <v>4.5999999999999999E-2</v>
      </c>
      <c r="AO148" s="17">
        <v>0.1182</v>
      </c>
      <c r="AP148" s="17">
        <v>4.5999999999999999E-2</v>
      </c>
      <c r="AQ148" s="17">
        <v>4.5999999999999999E-2</v>
      </c>
      <c r="AR148" s="17">
        <v>9.8199999999999996E-2</v>
      </c>
      <c r="AS148" s="17">
        <v>6.6100000000000006E-2</v>
      </c>
      <c r="AT148" s="17">
        <v>4.5999999999999999E-2</v>
      </c>
      <c r="AU148" s="17">
        <v>0.13650000000000001</v>
      </c>
      <c r="AV148" s="17">
        <v>0.3367</v>
      </c>
      <c r="AW148" s="17">
        <v>0.44800000000000001</v>
      </c>
      <c r="AX148" s="17">
        <v>0.52610000000000001</v>
      </c>
    </row>
    <row r="149" spans="1:50" x14ac:dyDescent="0.25">
      <c r="A149" s="8" t="s">
        <v>182</v>
      </c>
      <c r="B149" s="10" t="s">
        <v>57</v>
      </c>
      <c r="C149" s="18">
        <v>0.23169999999999999</v>
      </c>
      <c r="D149" s="18">
        <v>0.05</v>
      </c>
      <c r="E149" s="18">
        <v>0.14910000000000001</v>
      </c>
      <c r="F149" s="18">
        <v>0.1326</v>
      </c>
      <c r="G149" s="18">
        <v>0.05</v>
      </c>
      <c r="H149" s="18">
        <v>0.05</v>
      </c>
      <c r="I149" s="18">
        <v>0.23169999999999999</v>
      </c>
      <c r="J149" s="18">
        <v>0.05</v>
      </c>
      <c r="K149" s="18">
        <v>0.1739</v>
      </c>
      <c r="L149" s="18">
        <v>0.10780000000000001</v>
      </c>
      <c r="M149" s="18">
        <v>0.11609999999999999</v>
      </c>
      <c r="N149" s="18">
        <v>0.19520000000000001</v>
      </c>
      <c r="O149" s="18">
        <v>0.1</v>
      </c>
      <c r="P149" s="18">
        <v>0.15060000000000001</v>
      </c>
      <c r="Q149" s="18">
        <v>0.1326</v>
      </c>
      <c r="R149" s="18">
        <v>0.05</v>
      </c>
      <c r="S149" s="18">
        <v>8.3000000000000004E-2</v>
      </c>
      <c r="T149" s="18">
        <v>0.1986</v>
      </c>
      <c r="U149" s="18">
        <v>0.93989999999999996</v>
      </c>
      <c r="V149" s="18">
        <v>0.1656</v>
      </c>
      <c r="W149" s="18">
        <v>0.20319999999999999</v>
      </c>
      <c r="X149" s="18">
        <v>8.5199999999999998E-2</v>
      </c>
      <c r="Y149" s="18">
        <v>0.45590000000000003</v>
      </c>
      <c r="Z149" s="18">
        <v>0.05</v>
      </c>
      <c r="AA149" s="18">
        <v>9.1300000000000006E-2</v>
      </c>
      <c r="AB149" s="18">
        <v>0.19040000000000001</v>
      </c>
      <c r="AC149" s="18">
        <v>0.05</v>
      </c>
      <c r="AD149" s="18">
        <v>0.2069</v>
      </c>
      <c r="AE149" s="18">
        <v>1.2381</v>
      </c>
      <c r="AF149" s="18">
        <v>0.29420000000000002</v>
      </c>
      <c r="AG149" s="18">
        <v>0.27100000000000002</v>
      </c>
      <c r="AH149" s="18">
        <v>0.23880000000000001</v>
      </c>
      <c r="AI149" s="18">
        <v>6.6699999999999995E-2</v>
      </c>
      <c r="AJ149" s="18">
        <v>0.1396</v>
      </c>
      <c r="AK149" s="18">
        <v>0.24410000000000001</v>
      </c>
      <c r="AL149" s="18">
        <v>0.1598</v>
      </c>
      <c r="AM149" s="18">
        <v>1.1114999999999999</v>
      </c>
      <c r="AN149" s="18">
        <v>1.0270999999999999</v>
      </c>
      <c r="AO149" s="18">
        <v>1.7857000000000001</v>
      </c>
      <c r="AP149" s="18">
        <v>0.78879999999999995</v>
      </c>
      <c r="AQ149" s="18">
        <v>0.61399999999999999</v>
      </c>
      <c r="AR149" s="18">
        <v>0.87929999999999997</v>
      </c>
      <c r="AS149" s="18">
        <v>0.78159999999999996</v>
      </c>
      <c r="AT149" s="18">
        <v>0.7571</v>
      </c>
      <c r="AU149" s="18">
        <v>0.86199999999999999</v>
      </c>
      <c r="AV149" s="18">
        <v>0.4073</v>
      </c>
      <c r="AW149" s="18">
        <v>0.23169999999999999</v>
      </c>
      <c r="AX149" s="18">
        <v>0.05</v>
      </c>
    </row>
    <row r="150" spans="1:50" x14ac:dyDescent="0.25">
      <c r="A150" s="8" t="s">
        <v>184</v>
      </c>
      <c r="B150" s="10" t="s">
        <v>57</v>
      </c>
      <c r="C150" s="18">
        <v>0.1724</v>
      </c>
      <c r="D150" s="18">
        <v>5.1999999999999998E-2</v>
      </c>
      <c r="E150" s="18">
        <v>5.1999999999999998E-2</v>
      </c>
      <c r="F150" s="18">
        <v>0.1603</v>
      </c>
      <c r="G150" s="18">
        <v>6.4000000000000001E-2</v>
      </c>
      <c r="H150" s="18">
        <v>5.1999999999999998E-2</v>
      </c>
      <c r="I150" s="18">
        <v>0.1062</v>
      </c>
      <c r="J150" s="18">
        <v>0.1182</v>
      </c>
      <c r="K150" s="18">
        <v>5.1999999999999998E-2</v>
      </c>
      <c r="L150" s="18">
        <v>5.1999999999999998E-2</v>
      </c>
      <c r="M150" s="18">
        <v>5.1999999999999998E-2</v>
      </c>
      <c r="N150" s="18">
        <v>0.1182</v>
      </c>
      <c r="O150" s="18">
        <v>0.1062</v>
      </c>
      <c r="P150" s="18">
        <v>5.1999999999999998E-2</v>
      </c>
      <c r="Q150" s="18">
        <v>0.1724</v>
      </c>
      <c r="R150" s="18">
        <v>5.1999999999999998E-2</v>
      </c>
      <c r="S150" s="18">
        <v>5.1999999999999998E-2</v>
      </c>
      <c r="T150" s="18">
        <v>7.0099999999999996E-2</v>
      </c>
      <c r="U150" s="18">
        <v>0.15429999999999999</v>
      </c>
      <c r="V150" s="18">
        <v>5.1999999999999998E-2</v>
      </c>
      <c r="W150" s="18">
        <v>0.1724</v>
      </c>
      <c r="X150" s="18">
        <v>5.1999999999999998E-2</v>
      </c>
      <c r="Y150" s="18">
        <v>0.11219999999999999</v>
      </c>
      <c r="Z150" s="18">
        <v>0.11219999999999999</v>
      </c>
      <c r="AA150" s="18">
        <v>6.4000000000000001E-2</v>
      </c>
      <c r="AB150" s="18">
        <v>0.1716</v>
      </c>
      <c r="AC150" s="18">
        <v>0.32440000000000002</v>
      </c>
      <c r="AD150" s="18">
        <v>0.3322</v>
      </c>
      <c r="AE150" s="18">
        <v>0.33839999999999998</v>
      </c>
      <c r="AF150" s="18">
        <v>0.17319999999999999</v>
      </c>
      <c r="AG150" s="18">
        <v>0.2354</v>
      </c>
      <c r="AH150" s="18">
        <v>0.50919999999999999</v>
      </c>
      <c r="AI150" s="18">
        <v>0.34050000000000002</v>
      </c>
      <c r="AJ150" s="18">
        <v>0.21060000000000001</v>
      </c>
      <c r="AK150" s="18">
        <v>0.14879999999999999</v>
      </c>
      <c r="AL150" s="18">
        <v>0.41839999999999999</v>
      </c>
      <c r="AM150" s="18">
        <v>0.1759</v>
      </c>
      <c r="AN150" s="18">
        <v>0.22819999999999999</v>
      </c>
      <c r="AO150" s="18">
        <v>0.28749999999999998</v>
      </c>
      <c r="AP150" s="18">
        <v>0.46970000000000001</v>
      </c>
      <c r="AQ150" s="18">
        <v>0.3508</v>
      </c>
      <c r="AR150" s="18">
        <v>0.35410000000000003</v>
      </c>
      <c r="AS150" s="18">
        <v>0.73380000000000001</v>
      </c>
      <c r="AT150" s="18">
        <v>0.5716</v>
      </c>
      <c r="AU150" s="18">
        <v>0.49</v>
      </c>
      <c r="AV150" s="18">
        <v>0.33069999999999999</v>
      </c>
      <c r="AW150" s="18">
        <v>5.1999999999999998E-2</v>
      </c>
      <c r="AX150" s="18">
        <v>5.1999999999999998E-2</v>
      </c>
    </row>
    <row r="151" spans="1:50" x14ac:dyDescent="0.25">
      <c r="A151" s="8" t="s">
        <v>186</v>
      </c>
      <c r="B151" s="10" t="s">
        <v>57</v>
      </c>
      <c r="C151" s="18">
        <v>4.3999999999999997E-2</v>
      </c>
      <c r="D151" s="18">
        <v>0.1195</v>
      </c>
      <c r="E151" s="18">
        <v>4.3999999999999997E-2</v>
      </c>
      <c r="F151" s="18">
        <v>4.3999999999999997E-2</v>
      </c>
      <c r="G151" s="18">
        <v>4.3999999999999997E-2</v>
      </c>
      <c r="H151" s="18">
        <v>4.3999999999999997E-2</v>
      </c>
      <c r="I151" s="18">
        <v>4.3999999999999997E-2</v>
      </c>
      <c r="J151" s="18">
        <v>4.3999999999999997E-2</v>
      </c>
      <c r="K151" s="18">
        <v>4.3999999999999997E-2</v>
      </c>
      <c r="L151" s="18">
        <v>4.3999999999999997E-2</v>
      </c>
      <c r="M151" s="18">
        <v>4.3999999999999997E-2</v>
      </c>
      <c r="N151" s="18">
        <v>0.12959999999999999</v>
      </c>
      <c r="O151" s="18">
        <v>5.0700000000000002E-2</v>
      </c>
      <c r="P151" s="18">
        <v>4.3999999999999997E-2</v>
      </c>
      <c r="Q151" s="18">
        <v>7.8200000000000006E-2</v>
      </c>
      <c r="R151" s="18">
        <v>0.39090000000000003</v>
      </c>
      <c r="S151" s="18">
        <v>0.35560000000000003</v>
      </c>
      <c r="T151" s="18">
        <v>0.31759999999999999</v>
      </c>
      <c r="U151" s="18">
        <v>0.2964</v>
      </c>
      <c r="V151" s="18">
        <v>0.31180000000000002</v>
      </c>
      <c r="W151" s="18">
        <v>0.2079</v>
      </c>
      <c r="X151" s="18">
        <v>0.19439999999999999</v>
      </c>
      <c r="Y151" s="18">
        <v>0.19489999999999999</v>
      </c>
      <c r="Z151" s="18">
        <v>0.43969999999999998</v>
      </c>
      <c r="AA151" s="18">
        <v>0.40439999999999998</v>
      </c>
      <c r="AB151" s="18">
        <v>5.0900000000000001E-2</v>
      </c>
      <c r="AC151" s="18">
        <v>0.49</v>
      </c>
      <c r="AD151" s="18">
        <v>0.2273</v>
      </c>
      <c r="AE151" s="18">
        <v>0.23749999999999999</v>
      </c>
      <c r="AF151" s="18">
        <v>0.21870000000000001</v>
      </c>
      <c r="AG151" s="18">
        <v>0.50819999999999999</v>
      </c>
      <c r="AH151" s="18">
        <v>0.66579999999999995</v>
      </c>
      <c r="AI151" s="18">
        <v>0.59</v>
      </c>
      <c r="AJ151" s="18">
        <v>0.505</v>
      </c>
      <c r="AK151" s="18">
        <v>0.26390000000000002</v>
      </c>
      <c r="AL151" s="18">
        <v>0.1905</v>
      </c>
      <c r="AM151" s="18">
        <v>5.3800000000000001E-2</v>
      </c>
      <c r="AN151" s="18">
        <v>7.1099999999999997E-2</v>
      </c>
      <c r="AO151" s="18">
        <v>0.1484</v>
      </c>
      <c r="AP151" s="18">
        <v>0.36159999999999998</v>
      </c>
      <c r="AQ151" s="18">
        <v>0.46600000000000003</v>
      </c>
      <c r="AR151" s="18">
        <v>0.6069</v>
      </c>
      <c r="AS151" s="18">
        <v>0.72070000000000001</v>
      </c>
      <c r="AT151" s="18">
        <v>0.746</v>
      </c>
      <c r="AU151" s="18">
        <v>0.69350000000000001</v>
      </c>
      <c r="AV151" s="18">
        <v>0.66259999999999997</v>
      </c>
      <c r="AW151" s="18">
        <v>0.2442</v>
      </c>
      <c r="AX151" s="18">
        <v>0.36220000000000002</v>
      </c>
    </row>
    <row r="152" spans="1:50" x14ac:dyDescent="0.25">
      <c r="A152" s="8" t="s">
        <v>188</v>
      </c>
      <c r="B152" s="10" t="s">
        <v>57</v>
      </c>
      <c r="C152" s="18">
        <v>0.1196</v>
      </c>
      <c r="D152" s="18">
        <v>9.0200000000000002E-2</v>
      </c>
      <c r="E152" s="18">
        <v>2.4E-2</v>
      </c>
      <c r="F152" s="18">
        <v>0.18579999999999999</v>
      </c>
      <c r="G152" s="18">
        <v>2.4E-2</v>
      </c>
      <c r="H152" s="18">
        <v>0.14899999999999999</v>
      </c>
      <c r="I152" s="18">
        <v>6.08E-2</v>
      </c>
      <c r="J152" s="18">
        <v>2.4E-2</v>
      </c>
      <c r="K152" s="18">
        <v>2.4E-2</v>
      </c>
      <c r="L152" s="18">
        <v>2.4E-2</v>
      </c>
      <c r="M152" s="18">
        <v>6.08E-2</v>
      </c>
      <c r="N152" s="18">
        <v>0.14899999999999999</v>
      </c>
      <c r="O152" s="18">
        <v>2.4E-2</v>
      </c>
      <c r="P152" s="18">
        <v>0.15629999999999999</v>
      </c>
      <c r="Q152" s="18">
        <v>0.28270000000000001</v>
      </c>
      <c r="R152" s="18">
        <v>0.1973</v>
      </c>
      <c r="S152" s="18">
        <v>0.30059999999999998</v>
      </c>
      <c r="T152" s="18">
        <v>0.31769999999999998</v>
      </c>
      <c r="U152" s="18">
        <v>0.26390000000000002</v>
      </c>
      <c r="V152" s="18">
        <v>6.08E-2</v>
      </c>
      <c r="W152" s="18">
        <v>2.4E-2</v>
      </c>
      <c r="X152" s="18">
        <v>0.18579999999999999</v>
      </c>
      <c r="Y152" s="18">
        <v>2.4E-2</v>
      </c>
      <c r="Z152" s="18">
        <v>0.1416</v>
      </c>
      <c r="AA152" s="18">
        <v>6.8099999999999994E-2</v>
      </c>
      <c r="AB152" s="18">
        <v>2.4E-2</v>
      </c>
      <c r="AC152" s="18">
        <v>2.4E-2</v>
      </c>
      <c r="AD152" s="18">
        <v>0.12690000000000001</v>
      </c>
      <c r="AE152" s="18">
        <v>0.19769999999999999</v>
      </c>
      <c r="AF152" s="18">
        <v>0.1613</v>
      </c>
      <c r="AG152" s="18">
        <v>0.15379999999999999</v>
      </c>
      <c r="AH152" s="18">
        <v>0.26450000000000001</v>
      </c>
      <c r="AI152" s="18">
        <v>0.13320000000000001</v>
      </c>
      <c r="AJ152" s="18">
        <v>0.21079999999999999</v>
      </c>
      <c r="AK152" s="18">
        <v>0.151</v>
      </c>
      <c r="AL152" s="18">
        <v>2.0849000000000002</v>
      </c>
      <c r="AM152" s="18">
        <v>0.92279999999999995</v>
      </c>
      <c r="AN152" s="18">
        <v>1.6825000000000001</v>
      </c>
      <c r="AO152" s="18">
        <v>9.7500000000000003E-2</v>
      </c>
      <c r="AP152" s="18">
        <v>0.15079999999999999</v>
      </c>
      <c r="AQ152" s="18">
        <v>0.42770000000000002</v>
      </c>
      <c r="AR152" s="18">
        <v>0.14199999999999999</v>
      </c>
      <c r="AS152" s="18">
        <v>0.22650000000000001</v>
      </c>
      <c r="AT152" s="18">
        <v>0.49049999999999999</v>
      </c>
      <c r="AU152" s="18">
        <v>0.33810000000000001</v>
      </c>
      <c r="AV152" s="18">
        <v>0.2445</v>
      </c>
      <c r="AW152" s="18">
        <v>0.30320000000000003</v>
      </c>
      <c r="AX152" s="18">
        <v>2.4E-2</v>
      </c>
    </row>
    <row r="153" spans="1:50" x14ac:dyDescent="0.25">
      <c r="A153" s="8" t="s">
        <v>190</v>
      </c>
      <c r="B153" s="10" t="s">
        <v>57</v>
      </c>
      <c r="C153" s="18">
        <v>0.13</v>
      </c>
      <c r="D153" s="18">
        <v>0.1182</v>
      </c>
      <c r="E153" s="18">
        <v>0.1991</v>
      </c>
      <c r="F153" s="18">
        <v>6.6100000000000006E-2</v>
      </c>
      <c r="G153" s="18">
        <v>0.1726</v>
      </c>
      <c r="H153" s="18">
        <v>0.1744</v>
      </c>
      <c r="I153" s="18">
        <v>5.0999999999999997E-2</v>
      </c>
      <c r="J153" s="18">
        <v>0.1991</v>
      </c>
      <c r="K153" s="18">
        <v>0.16300000000000001</v>
      </c>
      <c r="L153" s="18">
        <v>5.0999999999999997E-2</v>
      </c>
      <c r="M153" s="18">
        <v>0.20280000000000001</v>
      </c>
      <c r="N153" s="18">
        <v>0.1593</v>
      </c>
      <c r="O153" s="18">
        <v>0.1245</v>
      </c>
      <c r="P153" s="18">
        <v>0.23319999999999999</v>
      </c>
      <c r="Q153" s="18">
        <v>0.107</v>
      </c>
      <c r="R153" s="18">
        <v>6.3500000000000001E-2</v>
      </c>
      <c r="S153" s="18">
        <v>8.5400000000000004E-2</v>
      </c>
      <c r="T153" s="18">
        <v>0.2465</v>
      </c>
      <c r="U153" s="18">
        <v>8.1100000000000005E-2</v>
      </c>
      <c r="V153" s="18">
        <v>0.17649999999999999</v>
      </c>
      <c r="W153" s="18">
        <v>7.3599999999999999E-2</v>
      </c>
      <c r="X153" s="18">
        <v>0.13639999999999999</v>
      </c>
      <c r="Y153" s="18">
        <v>0.15790000000000001</v>
      </c>
      <c r="Z153" s="18">
        <v>0.1188</v>
      </c>
      <c r="AA153" s="18">
        <v>0.1923</v>
      </c>
      <c r="AB153" s="18">
        <v>0.16980000000000001</v>
      </c>
      <c r="AC153" s="18">
        <v>6.9800000000000001E-2</v>
      </c>
      <c r="AD153" s="18">
        <v>0.22270000000000001</v>
      </c>
      <c r="AE153" s="18">
        <v>0.1447</v>
      </c>
      <c r="AF153" s="18">
        <v>0.1426</v>
      </c>
      <c r="AG153" s="18">
        <v>0.61750000000000005</v>
      </c>
      <c r="AH153" s="18">
        <v>0.49930000000000002</v>
      </c>
      <c r="AI153" s="18">
        <v>0.28520000000000001</v>
      </c>
      <c r="AJ153" s="18">
        <v>0.14580000000000001</v>
      </c>
      <c r="AK153" s="18">
        <v>0.23830000000000001</v>
      </c>
      <c r="AL153" s="18">
        <v>0.12379999999999999</v>
      </c>
      <c r="AM153" s="18">
        <v>0.16470000000000001</v>
      </c>
      <c r="AN153" s="18">
        <v>8.5400000000000004E-2</v>
      </c>
      <c r="AO153" s="18">
        <v>0.23669999999999999</v>
      </c>
      <c r="AP153" s="18">
        <v>0.1313</v>
      </c>
      <c r="AQ153" s="18">
        <v>0.3201</v>
      </c>
      <c r="AR153" s="18">
        <v>0.41320000000000001</v>
      </c>
      <c r="AS153" s="18">
        <v>0.48430000000000001</v>
      </c>
      <c r="AT153" s="18">
        <v>0.372</v>
      </c>
      <c r="AU153" s="18">
        <v>0.3296</v>
      </c>
      <c r="AV153" s="18">
        <v>0.76090000000000002</v>
      </c>
      <c r="AW153" s="18">
        <v>0.62380000000000002</v>
      </c>
      <c r="AX153" s="18">
        <v>0.43309999999999998</v>
      </c>
    </row>
    <row r="154" spans="1:50" x14ac:dyDescent="0.25">
      <c r="A154" s="16" t="s">
        <v>625</v>
      </c>
      <c r="B154" s="13" t="s">
        <v>464</v>
      </c>
      <c r="C154" s="17">
        <v>5.0999999999999997E-2</v>
      </c>
      <c r="D154" s="17">
        <v>0.12640000000000001</v>
      </c>
      <c r="E154" s="17">
        <v>0.21890000000000001</v>
      </c>
      <c r="F154" s="17">
        <v>5.0999999999999997E-2</v>
      </c>
      <c r="G154" s="17">
        <v>7.6100000000000001E-2</v>
      </c>
      <c r="H154" s="17">
        <v>0.1163</v>
      </c>
      <c r="I154" s="17">
        <v>0.2039</v>
      </c>
      <c r="J154" s="17">
        <v>0.1414</v>
      </c>
      <c r="K154" s="17">
        <v>0.14130000000000001</v>
      </c>
      <c r="L154" s="17">
        <v>0.1135</v>
      </c>
      <c r="M154" s="17">
        <v>5.0999999999999997E-2</v>
      </c>
      <c r="N154" s="17">
        <v>0.30130000000000001</v>
      </c>
      <c r="O154" s="17">
        <v>1.2585</v>
      </c>
      <c r="P154" s="17">
        <v>0.17599999999999999</v>
      </c>
      <c r="Q154" s="17">
        <v>0.12529999999999999</v>
      </c>
      <c r="R154" s="17">
        <v>2.2153</v>
      </c>
      <c r="S154" s="17">
        <v>0.50160000000000005</v>
      </c>
      <c r="T154" s="17">
        <v>2.0074000000000001</v>
      </c>
      <c r="U154" s="17">
        <v>7.1800000000000003E-2</v>
      </c>
      <c r="V154" s="17">
        <v>5.0999999999999997E-2</v>
      </c>
      <c r="W154" s="17">
        <v>0.29430000000000001</v>
      </c>
      <c r="X154" s="17">
        <v>5.0999999999999997E-2</v>
      </c>
      <c r="Y154" s="17">
        <v>0.1066</v>
      </c>
      <c r="Z154" s="17">
        <v>0.1583</v>
      </c>
      <c r="AA154" s="17">
        <v>0.13139999999999999</v>
      </c>
      <c r="AB154" s="17">
        <v>5.79E-2</v>
      </c>
      <c r="AC154" s="17">
        <v>0.19689999999999999</v>
      </c>
      <c r="AD154" s="17">
        <v>5.0999999999999997E-2</v>
      </c>
      <c r="AE154" s="17">
        <v>0.23680000000000001</v>
      </c>
      <c r="AF154" s="17">
        <v>1.5148999999999999</v>
      </c>
      <c r="AG154" s="17">
        <v>1.4184000000000001</v>
      </c>
      <c r="AH154" s="17">
        <v>0.65069999999999995</v>
      </c>
      <c r="AI154" s="17">
        <v>0.12280000000000001</v>
      </c>
      <c r="AJ154" s="17">
        <v>0.1167</v>
      </c>
      <c r="AK154" s="17">
        <v>0.15970000000000001</v>
      </c>
      <c r="AL154" s="17">
        <v>0.13800000000000001</v>
      </c>
      <c r="AM154" s="17">
        <v>0.70569999999999999</v>
      </c>
      <c r="AN154" s="17">
        <v>0.98440000000000005</v>
      </c>
      <c r="AO154" s="17">
        <v>0.2452</v>
      </c>
      <c r="AP154" s="17">
        <v>1.6374</v>
      </c>
      <c r="AQ154" s="17">
        <v>1.1847000000000001</v>
      </c>
      <c r="AR154" s="17">
        <v>1.0934999999999999</v>
      </c>
      <c r="AS154" s="17">
        <v>0.20250000000000001</v>
      </c>
      <c r="AT154" s="17">
        <v>0.2021</v>
      </c>
      <c r="AU154" s="17">
        <v>0.1205</v>
      </c>
      <c r="AV154" s="17">
        <v>9.1200000000000003E-2</v>
      </c>
      <c r="AW154" s="17">
        <v>0.2472</v>
      </c>
      <c r="AX154" s="17">
        <v>6.4600000000000005E-2</v>
      </c>
    </row>
    <row r="155" spans="1:50" x14ac:dyDescent="0.25">
      <c r="A155" s="8" t="s">
        <v>192</v>
      </c>
      <c r="B155" s="10" t="s">
        <v>57</v>
      </c>
      <c r="C155" s="18">
        <v>0.1348</v>
      </c>
      <c r="D155" s="18">
        <v>0.15</v>
      </c>
      <c r="E155" s="18">
        <v>5.8999999999999997E-2</v>
      </c>
      <c r="F155" s="18">
        <v>0.19550000000000001</v>
      </c>
      <c r="G155" s="18">
        <v>8.9300000000000004E-2</v>
      </c>
      <c r="H155" s="18">
        <v>5.8999999999999997E-2</v>
      </c>
      <c r="I155" s="18">
        <v>0.1348</v>
      </c>
      <c r="J155" s="18">
        <v>0.15</v>
      </c>
      <c r="K155" s="18">
        <v>5.8999999999999997E-2</v>
      </c>
      <c r="L155" s="18">
        <v>0.2258</v>
      </c>
      <c r="M155" s="18">
        <v>5.8999999999999997E-2</v>
      </c>
      <c r="N155" s="18">
        <v>0.19550000000000001</v>
      </c>
      <c r="O155" s="18">
        <v>0.1827</v>
      </c>
      <c r="P155" s="18">
        <v>0.13400000000000001</v>
      </c>
      <c r="Q155" s="18">
        <v>0.91800000000000004</v>
      </c>
      <c r="R155" s="18">
        <v>0.88149999999999995</v>
      </c>
      <c r="S155" s="18">
        <v>0.88149999999999995</v>
      </c>
      <c r="T155" s="18">
        <v>0.2505</v>
      </c>
      <c r="U155" s="18">
        <v>5.8999999999999997E-2</v>
      </c>
      <c r="V155" s="18">
        <v>0.19550000000000001</v>
      </c>
      <c r="W155" s="18">
        <v>0.10349999999999999</v>
      </c>
      <c r="X155" s="18">
        <v>0.1273</v>
      </c>
      <c r="Y155" s="18">
        <v>0.15759999999999999</v>
      </c>
      <c r="Z155" s="18">
        <v>5.8999999999999997E-2</v>
      </c>
      <c r="AA155" s="18">
        <v>9.69E-2</v>
      </c>
      <c r="AB155" s="18">
        <v>0.18790000000000001</v>
      </c>
      <c r="AC155" s="18">
        <v>5.8999999999999997E-2</v>
      </c>
      <c r="AD155" s="18">
        <v>0.1348</v>
      </c>
      <c r="AE155" s="18">
        <v>0.2026</v>
      </c>
      <c r="AF155" s="18">
        <v>0.1123</v>
      </c>
      <c r="AG155" s="18">
        <v>0.1351</v>
      </c>
      <c r="AH155" s="18">
        <v>0.36299999999999999</v>
      </c>
      <c r="AI155" s="18">
        <v>0.31929999999999997</v>
      </c>
      <c r="AJ155" s="18">
        <v>1.6015999999999999</v>
      </c>
      <c r="AK155" s="18">
        <v>2.7804000000000002</v>
      </c>
      <c r="AL155" s="18">
        <v>1.2233000000000001</v>
      </c>
      <c r="AM155" s="18">
        <v>0.26129999999999998</v>
      </c>
      <c r="AN155" s="18">
        <v>0.27550000000000002</v>
      </c>
      <c r="AO155" s="18">
        <v>0.29899999999999999</v>
      </c>
      <c r="AP155" s="18">
        <v>0.55710000000000004</v>
      </c>
      <c r="AQ155" s="18">
        <v>0.43840000000000001</v>
      </c>
      <c r="AR155" s="18">
        <v>0.4632</v>
      </c>
      <c r="AS155" s="18">
        <v>0.55289999999999995</v>
      </c>
      <c r="AT155" s="18">
        <v>0.2041</v>
      </c>
      <c r="AU155" s="18">
        <v>0.2258</v>
      </c>
      <c r="AV155" s="18">
        <v>5.8999999999999997E-2</v>
      </c>
      <c r="AW155" s="18">
        <v>8.1799999999999998E-2</v>
      </c>
      <c r="AX155" s="18">
        <v>0.76319999999999999</v>
      </c>
    </row>
    <row r="156" spans="1:50" x14ac:dyDescent="0.25">
      <c r="A156" s="16" t="s">
        <v>627</v>
      </c>
      <c r="B156" s="13" t="s">
        <v>464</v>
      </c>
      <c r="C156" s="17">
        <v>0.86370000000000002</v>
      </c>
      <c r="D156" s="17">
        <v>0.10290000000000001</v>
      </c>
      <c r="E156" s="17">
        <v>0.17730000000000001</v>
      </c>
      <c r="F156" s="17">
        <v>5.7000000000000002E-2</v>
      </c>
      <c r="G156" s="17">
        <v>9.11E-2</v>
      </c>
      <c r="H156" s="17">
        <v>0.15090000000000001</v>
      </c>
      <c r="I156" s="17">
        <v>0.1293</v>
      </c>
      <c r="J156" s="17">
        <v>0.1203</v>
      </c>
      <c r="K156" s="17">
        <v>5.7000000000000002E-2</v>
      </c>
      <c r="L156" s="17">
        <v>7.6499999999999999E-2</v>
      </c>
      <c r="M156" s="17">
        <v>0.18079999999999999</v>
      </c>
      <c r="N156" s="17">
        <v>7.9899999999999999E-2</v>
      </c>
      <c r="O156" s="17">
        <v>0.14949999999999999</v>
      </c>
      <c r="P156" s="17">
        <v>0.13070000000000001</v>
      </c>
      <c r="Q156" s="17">
        <v>0.14460000000000001</v>
      </c>
      <c r="R156" s="17">
        <v>6.6699999999999995E-2</v>
      </c>
      <c r="S156" s="17">
        <v>5.7000000000000002E-2</v>
      </c>
      <c r="T156" s="17">
        <v>0.1648</v>
      </c>
      <c r="U156" s="17">
        <v>0.1231</v>
      </c>
      <c r="V156" s="17">
        <v>0.1182</v>
      </c>
      <c r="W156" s="17">
        <v>0.14949999999999999</v>
      </c>
      <c r="X156" s="17">
        <v>0.1615</v>
      </c>
      <c r="Y156" s="17">
        <v>1.2584</v>
      </c>
      <c r="Z156" s="17">
        <v>0.52280000000000004</v>
      </c>
      <c r="AA156" s="17">
        <v>0.31319999999999998</v>
      </c>
      <c r="AB156" s="17">
        <v>0.74119999999999997</v>
      </c>
      <c r="AC156" s="17">
        <v>1.7858000000000001</v>
      </c>
      <c r="AD156" s="17">
        <v>1.7133</v>
      </c>
      <c r="AE156" s="17">
        <v>0.7954</v>
      </c>
      <c r="AF156" s="17">
        <v>1.2842</v>
      </c>
      <c r="AG156" s="17">
        <v>0.4234</v>
      </c>
      <c r="AH156" s="17">
        <v>0.18770000000000001</v>
      </c>
      <c r="AI156" s="17">
        <v>1.7472000000000001</v>
      </c>
      <c r="AJ156" s="17">
        <v>0.1928</v>
      </c>
      <c r="AK156" s="17">
        <v>0.30580000000000002</v>
      </c>
      <c r="AL156" s="17">
        <v>0.1216</v>
      </c>
      <c r="AM156" s="17">
        <v>0.15440000000000001</v>
      </c>
      <c r="AN156" s="17">
        <v>0.25969999999999999</v>
      </c>
      <c r="AO156" s="17">
        <v>0.26</v>
      </c>
      <c r="AP156" s="17">
        <v>0.41289999999999999</v>
      </c>
      <c r="AQ156" s="17">
        <v>0.40679999999999999</v>
      </c>
      <c r="AR156" s="17">
        <v>0.46939999999999998</v>
      </c>
      <c r="AS156" s="17">
        <v>0.50829999999999997</v>
      </c>
      <c r="AT156" s="17">
        <v>0.35589999999999999</v>
      </c>
      <c r="AU156" s="17">
        <v>1.0889</v>
      </c>
      <c r="AV156" s="17">
        <v>0.70899999999999996</v>
      </c>
      <c r="AW156" s="17">
        <v>0.77559999999999996</v>
      </c>
      <c r="AX156" s="17">
        <v>0.47470000000000001</v>
      </c>
    </row>
    <row r="157" spans="1:50" x14ac:dyDescent="0.25">
      <c r="A157" s="16" t="s">
        <v>629</v>
      </c>
      <c r="B157" s="13" t="s">
        <v>464</v>
      </c>
      <c r="C157" s="17">
        <v>0.33300000000000002</v>
      </c>
      <c r="D157" s="17">
        <v>0.10970000000000001</v>
      </c>
      <c r="E157" s="17">
        <v>0.13</v>
      </c>
      <c r="F157" s="17">
        <v>0.20780000000000001</v>
      </c>
      <c r="G157" s="17">
        <v>9.3899999999999997E-2</v>
      </c>
      <c r="H157" s="17">
        <v>0.2492</v>
      </c>
      <c r="I157" s="17">
        <v>0.39329999999999998</v>
      </c>
      <c r="J157" s="17">
        <v>0.34050000000000002</v>
      </c>
      <c r="K157" s="17">
        <v>0.34820000000000001</v>
      </c>
      <c r="L157" s="17">
        <v>0.18659999999999999</v>
      </c>
      <c r="M157" s="17">
        <v>0.17100000000000001</v>
      </c>
      <c r="N157" s="17">
        <v>0.13700000000000001</v>
      </c>
      <c r="O157" s="17">
        <v>0.25469999999999998</v>
      </c>
      <c r="P157" s="17">
        <v>8.8700000000000001E-2</v>
      </c>
      <c r="Q157" s="17">
        <v>0.2369</v>
      </c>
      <c r="R157" s="17">
        <v>0.1009</v>
      </c>
      <c r="S157" s="17">
        <v>0.15690000000000001</v>
      </c>
      <c r="T157" s="17">
        <v>0.3196</v>
      </c>
      <c r="U157" s="17">
        <v>0.1033</v>
      </c>
      <c r="V157" s="17">
        <v>0.52669999999999995</v>
      </c>
      <c r="W157" s="17">
        <v>1.2450000000000001</v>
      </c>
      <c r="X157" s="17">
        <v>0.1789</v>
      </c>
      <c r="Y157" s="17">
        <v>0.38440000000000002</v>
      </c>
      <c r="Z157" s="17">
        <v>0.2203</v>
      </c>
      <c r="AA157" s="17">
        <v>8.8999999999999996E-2</v>
      </c>
      <c r="AB157" s="17">
        <v>0.32500000000000001</v>
      </c>
      <c r="AC157" s="17">
        <v>0.98799999999999999</v>
      </c>
      <c r="AD157" s="17">
        <v>0.42870000000000003</v>
      </c>
      <c r="AE157" s="17">
        <v>0.749</v>
      </c>
      <c r="AF157" s="17">
        <v>0.24809999999999999</v>
      </c>
      <c r="AG157" s="17">
        <v>2.3862999999999999</v>
      </c>
      <c r="AH157" s="17">
        <v>2.2271000000000001</v>
      </c>
      <c r="AI157" s="17">
        <v>5.1999999999999998E-2</v>
      </c>
      <c r="AJ157" s="17">
        <v>1.4753000000000001</v>
      </c>
      <c r="AK157" s="17">
        <v>1.0834999999999999</v>
      </c>
      <c r="AL157" s="17">
        <v>1.2447999999999999</v>
      </c>
      <c r="AM157" s="17">
        <v>0.29409999999999997</v>
      </c>
      <c r="AN157" s="17">
        <v>0.1202</v>
      </c>
      <c r="AO157" s="17">
        <v>0.18529999999999999</v>
      </c>
      <c r="AP157" s="17">
        <v>1.8189</v>
      </c>
      <c r="AQ157" s="17">
        <v>0.5887</v>
      </c>
      <c r="AR157" s="17">
        <v>0.33110000000000001</v>
      </c>
      <c r="AS157" s="17">
        <v>0.68110000000000004</v>
      </c>
      <c r="AT157" s="17">
        <v>0.2477</v>
      </c>
      <c r="AU157" s="17">
        <v>0.55900000000000005</v>
      </c>
      <c r="AV157" s="17">
        <v>0.44590000000000002</v>
      </c>
      <c r="AW157" s="17">
        <v>0.45190000000000002</v>
      </c>
      <c r="AX157" s="17">
        <v>0.62329999999999997</v>
      </c>
    </row>
    <row r="158" spans="1:50" x14ac:dyDescent="0.25">
      <c r="A158" s="16" t="s">
        <v>631</v>
      </c>
      <c r="B158" s="13" t="s">
        <v>464</v>
      </c>
      <c r="C158" s="17">
        <v>4.1000000000000002E-2</v>
      </c>
      <c r="D158" s="17">
        <v>0.21329999999999999</v>
      </c>
      <c r="E158" s="17">
        <v>0.17460000000000001</v>
      </c>
      <c r="F158" s="17">
        <v>0.1115</v>
      </c>
      <c r="G158" s="17">
        <v>0.14280000000000001</v>
      </c>
      <c r="H158" s="17">
        <v>0.1479</v>
      </c>
      <c r="I158" s="17">
        <v>0.24010000000000001</v>
      </c>
      <c r="J158" s="17">
        <v>4.1000000000000002E-2</v>
      </c>
      <c r="K158" s="17">
        <v>0.3402</v>
      </c>
      <c r="L158" s="17">
        <v>4.7699999999999999E-2</v>
      </c>
      <c r="M158" s="17">
        <v>0.15359999999999999</v>
      </c>
      <c r="N158" s="17">
        <v>0.23430000000000001</v>
      </c>
      <c r="O158" s="17">
        <v>0.10780000000000001</v>
      </c>
      <c r="P158" s="17">
        <v>0.29010000000000002</v>
      </c>
      <c r="Q158" s="17">
        <v>4.1000000000000002E-2</v>
      </c>
      <c r="R158" s="17">
        <v>0.26860000000000001</v>
      </c>
      <c r="S158" s="17">
        <v>0.1193</v>
      </c>
      <c r="T158" s="17">
        <v>0.17460000000000001</v>
      </c>
      <c r="U158" s="17">
        <v>7.2300000000000003E-2</v>
      </c>
      <c r="V158" s="17">
        <v>0.182</v>
      </c>
      <c r="W158" s="17">
        <v>7.4399999999999994E-2</v>
      </c>
      <c r="X158" s="17">
        <v>0.3135</v>
      </c>
      <c r="Y158" s="17">
        <v>4.1000000000000002E-2</v>
      </c>
      <c r="Z158" s="17">
        <v>0.13450000000000001</v>
      </c>
      <c r="AA158" s="17">
        <v>0.25340000000000001</v>
      </c>
      <c r="AB158" s="17">
        <v>0.1011</v>
      </c>
      <c r="AC158" s="17">
        <v>0.39610000000000001</v>
      </c>
      <c r="AD158" s="17">
        <v>8.0199999999999994E-2</v>
      </c>
      <c r="AE158" s="17">
        <v>4.1000000000000002E-2</v>
      </c>
      <c r="AF158" s="17">
        <v>0.21329999999999999</v>
      </c>
      <c r="AG158" s="17">
        <v>6.7699999999999996E-2</v>
      </c>
      <c r="AH158" s="17">
        <v>0.1479</v>
      </c>
      <c r="AI158" s="17">
        <v>1.9435</v>
      </c>
      <c r="AJ158" s="17">
        <v>2.2345000000000002</v>
      </c>
      <c r="AK158" s="17">
        <v>1.3593999999999999</v>
      </c>
      <c r="AL158" s="17">
        <v>0.53639999999999999</v>
      </c>
      <c r="AM158" s="17">
        <v>0.33310000000000001</v>
      </c>
      <c r="AN158" s="17">
        <v>0.15310000000000001</v>
      </c>
      <c r="AO158" s="17">
        <v>0.26040000000000002</v>
      </c>
      <c r="AP158" s="17">
        <v>0.31609999999999999</v>
      </c>
      <c r="AQ158" s="17">
        <v>0.28039999999999998</v>
      </c>
      <c r="AR158" s="17">
        <v>0.39200000000000002</v>
      </c>
      <c r="AS158" s="17">
        <v>0.66300000000000003</v>
      </c>
      <c r="AT158" s="17">
        <v>1.6105</v>
      </c>
      <c r="AU158" s="17">
        <v>0.50870000000000004</v>
      </c>
      <c r="AV158" s="17">
        <v>0.51080000000000003</v>
      </c>
      <c r="AW158" s="17">
        <v>4.1000000000000002E-2</v>
      </c>
      <c r="AX158" s="17">
        <v>0.17460000000000001</v>
      </c>
    </row>
    <row r="159" spans="1:50" x14ac:dyDescent="0.25">
      <c r="A159" s="8" t="s">
        <v>194</v>
      </c>
      <c r="B159" s="10" t="s">
        <v>57</v>
      </c>
      <c r="C159" s="18">
        <v>9.5000000000000001E-2</v>
      </c>
      <c r="D159" s="18">
        <v>0.17369999999999999</v>
      </c>
      <c r="E159" s="18">
        <v>6.2100000000000002E-2</v>
      </c>
      <c r="F159" s="18">
        <v>7.2700000000000001E-2</v>
      </c>
      <c r="G159" s="18">
        <v>0.21210000000000001</v>
      </c>
      <c r="H159" s="18">
        <v>4.5999999999999999E-2</v>
      </c>
      <c r="I159" s="18">
        <v>0.37390000000000001</v>
      </c>
      <c r="J159" s="18">
        <v>4.5999999999999999E-2</v>
      </c>
      <c r="K159" s="18">
        <v>0.1217</v>
      </c>
      <c r="L159" s="18">
        <v>8.2600000000000007E-2</v>
      </c>
      <c r="M159" s="18">
        <v>0.12640000000000001</v>
      </c>
      <c r="N159" s="18">
        <v>5.4899999999999997E-2</v>
      </c>
      <c r="O159" s="18">
        <v>0.1575</v>
      </c>
      <c r="P159" s="18">
        <v>0.13619999999999999</v>
      </c>
      <c r="Q159" s="18">
        <v>0.1084</v>
      </c>
      <c r="R159" s="18">
        <v>0.3075</v>
      </c>
      <c r="S159" s="18">
        <v>1.1083000000000001</v>
      </c>
      <c r="T159" s="18">
        <v>0.1109</v>
      </c>
      <c r="U159" s="18">
        <v>0.15859999999999999</v>
      </c>
      <c r="V159" s="18">
        <v>0.12620000000000001</v>
      </c>
      <c r="W159" s="18">
        <v>0.14249999999999999</v>
      </c>
      <c r="X159" s="18">
        <v>0.14799999999999999</v>
      </c>
      <c r="Y159" s="18">
        <v>8.7999999999999995E-2</v>
      </c>
      <c r="Z159" s="18">
        <v>1.4330000000000001</v>
      </c>
      <c r="AA159" s="18">
        <v>0.65710000000000002</v>
      </c>
      <c r="AB159" s="18">
        <v>0.20530000000000001</v>
      </c>
      <c r="AC159" s="18">
        <v>0.22509999999999999</v>
      </c>
      <c r="AD159" s="18">
        <v>0.12239999999999999</v>
      </c>
      <c r="AE159" s="18">
        <v>0.1885</v>
      </c>
      <c r="AF159" s="18">
        <v>0.26650000000000001</v>
      </c>
      <c r="AG159" s="18">
        <v>0.36020000000000002</v>
      </c>
      <c r="AH159" s="18">
        <v>0.28170000000000001</v>
      </c>
      <c r="AI159" s="18">
        <v>0.2266</v>
      </c>
      <c r="AJ159" s="18">
        <v>0.16719999999999999</v>
      </c>
      <c r="AK159" s="18">
        <v>0.30759999999999998</v>
      </c>
      <c r="AL159" s="18">
        <v>0.379</v>
      </c>
      <c r="AM159" s="18">
        <v>0.251</v>
      </c>
      <c r="AN159" s="18">
        <v>0.14480000000000001</v>
      </c>
      <c r="AO159" s="18">
        <v>0.193</v>
      </c>
      <c r="AP159" s="18">
        <v>0.5151</v>
      </c>
      <c r="AQ159" s="18">
        <v>0.58399999999999996</v>
      </c>
      <c r="AR159" s="18">
        <v>0.74480000000000002</v>
      </c>
      <c r="AS159" s="18">
        <v>0.31519999999999998</v>
      </c>
      <c r="AT159" s="18">
        <v>0.12620000000000001</v>
      </c>
      <c r="AU159" s="18">
        <v>0.15859999999999999</v>
      </c>
      <c r="AV159" s="18">
        <v>0.12620000000000001</v>
      </c>
      <c r="AW159" s="18">
        <v>9.8799999999999999E-2</v>
      </c>
      <c r="AX159" s="18">
        <v>0.21820000000000001</v>
      </c>
    </row>
    <row r="160" spans="1:50" x14ac:dyDescent="0.25">
      <c r="A160" s="8" t="s">
        <v>196</v>
      </c>
      <c r="B160" s="10" t="s">
        <v>57</v>
      </c>
      <c r="C160" s="18">
        <v>0.04</v>
      </c>
      <c r="D160" s="18">
        <v>4.6100000000000002E-2</v>
      </c>
      <c r="E160" s="18">
        <v>0.1195</v>
      </c>
      <c r="F160" s="18">
        <v>0.04</v>
      </c>
      <c r="G160" s="18">
        <v>0.1072</v>
      </c>
      <c r="H160" s="18">
        <v>5.8299999999999998E-2</v>
      </c>
      <c r="I160" s="18">
        <v>0.04</v>
      </c>
      <c r="J160" s="18">
        <v>0.1195</v>
      </c>
      <c r="K160" s="18">
        <v>4.6100000000000002E-2</v>
      </c>
      <c r="L160" s="18">
        <v>0.04</v>
      </c>
      <c r="M160" s="18">
        <v>0.12559999999999999</v>
      </c>
      <c r="N160" s="18">
        <v>0.04</v>
      </c>
      <c r="O160" s="18">
        <v>0.04</v>
      </c>
      <c r="P160" s="18">
        <v>0.12559999999999999</v>
      </c>
      <c r="Q160" s="18">
        <v>8.4199999999999997E-2</v>
      </c>
      <c r="R160" s="18">
        <v>0.17269999999999999</v>
      </c>
      <c r="S160" s="18">
        <v>0.38219999999999998</v>
      </c>
      <c r="T160" s="18">
        <v>0.28560000000000002</v>
      </c>
      <c r="U160" s="18">
        <v>0.91810000000000003</v>
      </c>
      <c r="V160" s="18">
        <v>0.26750000000000002</v>
      </c>
      <c r="W160" s="18">
        <v>0.2384</v>
      </c>
      <c r="X160" s="18">
        <v>0.12559999999999999</v>
      </c>
      <c r="Y160" s="18">
        <v>0.04</v>
      </c>
      <c r="Z160" s="18">
        <v>0.04</v>
      </c>
      <c r="AA160" s="18">
        <v>0.12559999999999999</v>
      </c>
      <c r="AB160" s="18">
        <v>0.04</v>
      </c>
      <c r="AC160" s="18">
        <v>0.04</v>
      </c>
      <c r="AD160" s="18">
        <v>7.0599999999999996E-2</v>
      </c>
      <c r="AE160" s="18">
        <v>0.19139999999999999</v>
      </c>
      <c r="AF160" s="18">
        <v>0.16239999999999999</v>
      </c>
      <c r="AG160" s="18">
        <v>0.2601</v>
      </c>
      <c r="AH160" s="18">
        <v>0.12559999999999999</v>
      </c>
      <c r="AI160" s="18">
        <v>0.14990000000000001</v>
      </c>
      <c r="AJ160" s="18">
        <v>8.2299999999999998E-2</v>
      </c>
      <c r="AK160" s="18">
        <v>0.123</v>
      </c>
      <c r="AL160" s="18">
        <v>0.04</v>
      </c>
      <c r="AM160" s="18">
        <v>7.6700000000000004E-2</v>
      </c>
      <c r="AN160" s="18">
        <v>0.13719999999999999</v>
      </c>
      <c r="AO160" s="18">
        <v>0.30349999999999999</v>
      </c>
      <c r="AP160" s="18">
        <v>0.71850000000000003</v>
      </c>
      <c r="AQ160" s="18">
        <v>0.68389999999999995</v>
      </c>
      <c r="AR160" s="18">
        <v>0.72050000000000003</v>
      </c>
      <c r="AS160" s="18">
        <v>0.87949999999999995</v>
      </c>
      <c r="AT160" s="18">
        <v>0.98699999999999999</v>
      </c>
      <c r="AU160" s="18">
        <v>0.63539999999999996</v>
      </c>
      <c r="AV160" s="18">
        <v>0.99470000000000003</v>
      </c>
      <c r="AW160" s="18">
        <v>0.55830000000000002</v>
      </c>
      <c r="AX160" s="18">
        <v>0.57340000000000002</v>
      </c>
    </row>
    <row r="161" spans="1:50" x14ac:dyDescent="0.25">
      <c r="A161" s="8" t="s">
        <v>198</v>
      </c>
      <c r="B161" s="10" t="s">
        <v>57</v>
      </c>
      <c r="C161" s="18">
        <v>0.63390000000000002</v>
      </c>
      <c r="D161" s="18">
        <v>0.69640000000000002</v>
      </c>
      <c r="E161" s="18">
        <v>0.1321</v>
      </c>
      <c r="F161" s="18">
        <v>7.2400000000000006E-2</v>
      </c>
      <c r="G161" s="18">
        <v>0.1958</v>
      </c>
      <c r="H161" s="18">
        <v>0.1231</v>
      </c>
      <c r="I161" s="18">
        <v>5.0999999999999997E-2</v>
      </c>
      <c r="J161" s="18">
        <v>0.20830000000000001</v>
      </c>
      <c r="K161" s="18">
        <v>5.0999999999999997E-2</v>
      </c>
      <c r="L161" s="18">
        <v>5.0999999999999997E-2</v>
      </c>
      <c r="M161" s="18">
        <v>5.0999999999999997E-2</v>
      </c>
      <c r="N161" s="18">
        <v>0.26419999999999999</v>
      </c>
      <c r="O161" s="18">
        <v>7.6200000000000004E-2</v>
      </c>
      <c r="P161" s="18">
        <v>5.0999999999999997E-2</v>
      </c>
      <c r="Q161" s="18">
        <v>6.5299999999999997E-2</v>
      </c>
      <c r="R161" s="18">
        <v>0.19800000000000001</v>
      </c>
      <c r="S161" s="18">
        <v>0.1321</v>
      </c>
      <c r="T161" s="18">
        <v>0.41710000000000003</v>
      </c>
      <c r="U161" s="18">
        <v>0.1321</v>
      </c>
      <c r="V161" s="18">
        <v>0.38850000000000001</v>
      </c>
      <c r="W161" s="18">
        <v>0.28839999999999999</v>
      </c>
      <c r="X161" s="18">
        <v>7.9600000000000004E-2</v>
      </c>
      <c r="Y161" s="18">
        <v>1.8893</v>
      </c>
      <c r="Z161" s="18">
        <v>2.3839999999999999</v>
      </c>
      <c r="AA161" s="18">
        <v>0.59670000000000001</v>
      </c>
      <c r="AB161" s="18">
        <v>0.15820000000000001</v>
      </c>
      <c r="AC161" s="18">
        <v>0.1321</v>
      </c>
      <c r="AD161" s="18">
        <v>0.20830000000000001</v>
      </c>
      <c r="AE161" s="18">
        <v>5.5500000000000001E-2</v>
      </c>
      <c r="AF161" s="18">
        <v>0.12959999999999999</v>
      </c>
      <c r="AG161" s="18">
        <v>0.32819999999999999</v>
      </c>
      <c r="AH161" s="18">
        <v>0.14199999999999999</v>
      </c>
      <c r="AI161" s="18">
        <v>7.2400000000000006E-2</v>
      </c>
      <c r="AJ161" s="18">
        <v>0.40799999999999997</v>
      </c>
      <c r="AK161" s="18">
        <v>0.27910000000000001</v>
      </c>
      <c r="AL161" s="18">
        <v>0.2349</v>
      </c>
      <c r="AM161" s="18">
        <v>0.21909999999999999</v>
      </c>
      <c r="AN161" s="18">
        <v>0.43020000000000003</v>
      </c>
      <c r="AO161" s="18">
        <v>0.3105</v>
      </c>
      <c r="AP161" s="18">
        <v>5.0999999999999997E-2</v>
      </c>
      <c r="AQ161" s="18">
        <v>0.28939999999999999</v>
      </c>
      <c r="AR161" s="18">
        <v>5.0999999999999997E-2</v>
      </c>
      <c r="AS161" s="18">
        <v>0.1082</v>
      </c>
      <c r="AT161" s="18">
        <v>0.23219999999999999</v>
      </c>
      <c r="AU161" s="18">
        <v>5.0999999999999997E-2</v>
      </c>
      <c r="AV161" s="18">
        <v>0.26790000000000003</v>
      </c>
      <c r="AW161" s="18">
        <v>7.2400000000000006E-2</v>
      </c>
      <c r="AX161" s="18">
        <v>0.62290000000000001</v>
      </c>
    </row>
    <row r="162" spans="1:50" x14ac:dyDescent="0.25">
      <c r="A162" s="16" t="s">
        <v>633</v>
      </c>
      <c r="B162" s="13" t="s">
        <v>464</v>
      </c>
      <c r="C162" s="17">
        <v>4.8000000000000001E-2</v>
      </c>
      <c r="D162" s="17">
        <v>0.1268</v>
      </c>
      <c r="E162" s="17">
        <v>0.1268</v>
      </c>
      <c r="F162" s="17">
        <v>5.5199999999999999E-2</v>
      </c>
      <c r="G162" s="17">
        <v>0.19850000000000001</v>
      </c>
      <c r="H162" s="17">
        <v>4.8000000000000001E-2</v>
      </c>
      <c r="I162" s="17">
        <v>0.1913</v>
      </c>
      <c r="J162" s="17">
        <v>6.2300000000000001E-2</v>
      </c>
      <c r="K162" s="17">
        <v>0.1053</v>
      </c>
      <c r="L162" s="17">
        <v>0.14829999999999999</v>
      </c>
      <c r="M162" s="17">
        <v>4.8000000000000001E-2</v>
      </c>
      <c r="N162" s="17">
        <v>0.2056</v>
      </c>
      <c r="O162" s="17">
        <v>4.8000000000000001E-2</v>
      </c>
      <c r="P162" s="17">
        <v>4.8000000000000001E-2</v>
      </c>
      <c r="Q162" s="17">
        <v>0.33679999999999999</v>
      </c>
      <c r="R162" s="17">
        <v>0.21160000000000001</v>
      </c>
      <c r="S162" s="17">
        <v>0.28949999999999998</v>
      </c>
      <c r="T162" s="17">
        <v>2.4062000000000001</v>
      </c>
      <c r="U162" s="17">
        <v>1.4481999999999999</v>
      </c>
      <c r="V162" s="17">
        <v>0.05</v>
      </c>
      <c r="W162" s="17">
        <v>0.2056</v>
      </c>
      <c r="X162" s="17">
        <v>4.8000000000000001E-2</v>
      </c>
      <c r="Y162" s="17">
        <v>4.8000000000000001E-2</v>
      </c>
      <c r="Z162" s="17">
        <v>7.8399999999999997E-2</v>
      </c>
      <c r="AA162" s="17">
        <v>0.20030000000000001</v>
      </c>
      <c r="AB162" s="17">
        <v>0.92689999999999995</v>
      </c>
      <c r="AC162" s="17">
        <v>0.21629999999999999</v>
      </c>
      <c r="AD162" s="17">
        <v>0.47949999999999998</v>
      </c>
      <c r="AE162" s="17">
        <v>1.1742999999999999</v>
      </c>
      <c r="AF162" s="17">
        <v>0.50900000000000001</v>
      </c>
      <c r="AG162" s="17">
        <v>0.31069999999999998</v>
      </c>
      <c r="AH162" s="17">
        <v>0.22589999999999999</v>
      </c>
      <c r="AI162" s="17">
        <v>4.8000000000000001E-2</v>
      </c>
      <c r="AJ162" s="17">
        <v>0.1913</v>
      </c>
      <c r="AK162" s="17">
        <v>6.2300000000000001E-2</v>
      </c>
      <c r="AL162" s="17">
        <v>7.0300000000000001E-2</v>
      </c>
      <c r="AM162" s="17">
        <v>7.85E-2</v>
      </c>
      <c r="AN162" s="17">
        <v>0.29249999999999998</v>
      </c>
      <c r="AO162" s="17">
        <v>0.39550000000000002</v>
      </c>
      <c r="AP162" s="17">
        <v>0.34320000000000001</v>
      </c>
      <c r="AQ162" s="17">
        <v>0.47120000000000001</v>
      </c>
      <c r="AR162" s="17">
        <v>0.3574</v>
      </c>
      <c r="AS162" s="17">
        <v>0.39450000000000002</v>
      </c>
      <c r="AT162" s="17">
        <v>0.65300000000000002</v>
      </c>
      <c r="AU162" s="17">
        <v>0.36559999999999998</v>
      </c>
      <c r="AV162" s="17">
        <v>0.376</v>
      </c>
      <c r="AW162" s="17">
        <v>0.54369999999999996</v>
      </c>
      <c r="AX162" s="17">
        <v>0.1565</v>
      </c>
    </row>
    <row r="163" spans="1:50" x14ac:dyDescent="0.25">
      <c r="A163" s="16" t="s">
        <v>635</v>
      </c>
      <c r="B163" s="13" t="s">
        <v>464</v>
      </c>
      <c r="C163" s="17">
        <v>0.58850000000000002</v>
      </c>
      <c r="D163" s="17">
        <v>0.57909999999999995</v>
      </c>
      <c r="E163" s="17">
        <v>0.75090000000000001</v>
      </c>
      <c r="F163" s="17">
        <v>0.6754</v>
      </c>
      <c r="G163" s="17">
        <v>0.54530000000000001</v>
      </c>
      <c r="H163" s="17">
        <v>0.10589999999999999</v>
      </c>
      <c r="I163" s="17">
        <v>0.18909999999999999</v>
      </c>
      <c r="J163" s="17">
        <v>5.6000000000000001E-2</v>
      </c>
      <c r="K163" s="17">
        <v>0.1225</v>
      </c>
      <c r="L163" s="17">
        <v>0.1724</v>
      </c>
      <c r="M163" s="17">
        <v>5.6000000000000001E-2</v>
      </c>
      <c r="N163" s="17">
        <v>6.4299999999999996E-2</v>
      </c>
      <c r="O163" s="17">
        <v>0.48709999999999998</v>
      </c>
      <c r="P163" s="17">
        <v>0.32240000000000002</v>
      </c>
      <c r="Q163" s="17">
        <v>0.214</v>
      </c>
      <c r="R163" s="17">
        <v>8.09E-2</v>
      </c>
      <c r="S163" s="17">
        <v>0.1641</v>
      </c>
      <c r="T163" s="17">
        <v>0.1308</v>
      </c>
      <c r="U163" s="17">
        <v>9.7600000000000006E-2</v>
      </c>
      <c r="V163" s="17">
        <v>0.19739999999999999</v>
      </c>
      <c r="W163" s="17">
        <v>5.6000000000000001E-2</v>
      </c>
      <c r="X163" s="17">
        <v>0.1142</v>
      </c>
      <c r="Y163" s="17">
        <v>0.1807</v>
      </c>
      <c r="Z163" s="17">
        <v>5.6000000000000001E-2</v>
      </c>
      <c r="AA163" s="17">
        <v>0.18909999999999999</v>
      </c>
      <c r="AB163" s="17">
        <v>0.10589999999999999</v>
      </c>
      <c r="AC163" s="17">
        <v>0.28349999999999997</v>
      </c>
      <c r="AD163" s="17">
        <v>0.1807</v>
      </c>
      <c r="AE163" s="17">
        <v>0.1502</v>
      </c>
      <c r="AF163" s="17">
        <v>0.34060000000000001</v>
      </c>
      <c r="AG163" s="17">
        <v>0.26579999999999998</v>
      </c>
      <c r="AH163" s="17">
        <v>0.86299999999999999</v>
      </c>
      <c r="AI163" s="17">
        <v>0.2167</v>
      </c>
      <c r="AJ163" s="17">
        <v>1.4063000000000001</v>
      </c>
      <c r="AK163" s="17">
        <v>1.0041</v>
      </c>
      <c r="AL163" s="17">
        <v>1.0811999999999999</v>
      </c>
      <c r="AM163" s="17">
        <v>0.10970000000000001</v>
      </c>
      <c r="AN163" s="17">
        <v>0.47360000000000002</v>
      </c>
      <c r="AO163" s="17">
        <v>0.4209</v>
      </c>
      <c r="AP163" s="17">
        <v>0.49080000000000001</v>
      </c>
      <c r="AQ163" s="17">
        <v>0.85129999999999995</v>
      </c>
      <c r="AR163" s="17">
        <v>2.2454000000000001</v>
      </c>
      <c r="AS163" s="17">
        <v>0.75449999999999995</v>
      </c>
      <c r="AT163" s="17">
        <v>0.6512</v>
      </c>
      <c r="AU163" s="17">
        <v>0.59140000000000004</v>
      </c>
      <c r="AV163" s="17">
        <v>0.60589999999999999</v>
      </c>
      <c r="AW163" s="17">
        <v>0.66849999999999998</v>
      </c>
      <c r="AX163" s="17">
        <v>0.1857</v>
      </c>
    </row>
    <row r="164" spans="1:50" x14ac:dyDescent="0.25">
      <c r="A164" s="16" t="s">
        <v>637</v>
      </c>
      <c r="B164" s="13" t="s">
        <v>464</v>
      </c>
      <c r="C164" s="17">
        <v>5.3999999999999999E-2</v>
      </c>
      <c r="D164" s="17">
        <v>5.3999999999999999E-2</v>
      </c>
      <c r="E164" s="17">
        <v>6.0400000000000002E-2</v>
      </c>
      <c r="F164" s="17">
        <v>0.17530000000000001</v>
      </c>
      <c r="G164" s="17">
        <v>5.3999999999999999E-2</v>
      </c>
      <c r="H164" s="17">
        <v>0.1817</v>
      </c>
      <c r="I164" s="17">
        <v>5.3999999999999999E-2</v>
      </c>
      <c r="J164" s="17">
        <v>7.9500000000000001E-2</v>
      </c>
      <c r="K164" s="17">
        <v>0.15620000000000001</v>
      </c>
      <c r="L164" s="17">
        <v>5.3999999999999999E-2</v>
      </c>
      <c r="M164" s="17">
        <v>0.13700000000000001</v>
      </c>
      <c r="N164" s="17">
        <v>9.8699999999999996E-2</v>
      </c>
      <c r="O164" s="17">
        <v>5.3999999999999999E-2</v>
      </c>
      <c r="P164" s="17">
        <v>0.1817</v>
      </c>
      <c r="Q164" s="17">
        <v>5.3999999999999999E-2</v>
      </c>
      <c r="R164" s="17">
        <v>0.17530000000000001</v>
      </c>
      <c r="S164" s="17">
        <v>6.0400000000000002E-2</v>
      </c>
      <c r="T164" s="17">
        <v>5.3999999999999999E-2</v>
      </c>
      <c r="U164" s="17">
        <v>0.1817</v>
      </c>
      <c r="V164" s="17">
        <v>5.3999999999999999E-2</v>
      </c>
      <c r="W164" s="17">
        <v>5.3999999999999999E-2</v>
      </c>
      <c r="X164" s="17">
        <v>5.3999999999999999E-2</v>
      </c>
      <c r="Y164" s="17">
        <v>0.1817</v>
      </c>
      <c r="Z164" s="17">
        <v>5.3999999999999999E-2</v>
      </c>
      <c r="AA164" s="17">
        <v>0.17530000000000001</v>
      </c>
      <c r="AB164" s="17">
        <v>6.0400000000000002E-2</v>
      </c>
      <c r="AC164" s="17">
        <v>0.1434</v>
      </c>
      <c r="AD164" s="17">
        <v>9.2299999999999993E-2</v>
      </c>
      <c r="AE164" s="17">
        <v>0.1575</v>
      </c>
      <c r="AF164" s="17">
        <v>0.16800000000000001</v>
      </c>
      <c r="AG164" s="17">
        <v>0.15909999999999999</v>
      </c>
      <c r="AH164" s="17">
        <v>0.47249999999999998</v>
      </c>
      <c r="AI164" s="17">
        <v>2.6402000000000001</v>
      </c>
      <c r="AJ164" s="17">
        <v>0.39529999999999998</v>
      </c>
      <c r="AK164" s="17">
        <v>0.61770000000000003</v>
      </c>
      <c r="AL164" s="17">
        <v>0.4088</v>
      </c>
      <c r="AM164" s="17">
        <v>0.77569999999999995</v>
      </c>
      <c r="AN164" s="17">
        <v>0.25659999999999999</v>
      </c>
      <c r="AO164" s="17">
        <v>0.38240000000000002</v>
      </c>
      <c r="AP164" s="17">
        <v>0.90329999999999999</v>
      </c>
      <c r="AQ164" s="17">
        <v>0.60880000000000001</v>
      </c>
      <c r="AR164" s="17">
        <v>0.2266</v>
      </c>
      <c r="AS164" s="17">
        <v>0.32029999999999997</v>
      </c>
      <c r="AT164" s="17">
        <v>0.87660000000000005</v>
      </c>
      <c r="AU164" s="17">
        <v>0.58620000000000005</v>
      </c>
      <c r="AV164" s="17">
        <v>0.75</v>
      </c>
      <c r="AW164" s="17">
        <v>0.52949999999999997</v>
      </c>
      <c r="AX164" s="17">
        <v>0.37069999999999997</v>
      </c>
    </row>
    <row r="165" spans="1:50" x14ac:dyDescent="0.25">
      <c r="A165" s="8" t="s">
        <v>200</v>
      </c>
      <c r="B165" s="10" t="s">
        <v>57</v>
      </c>
      <c r="C165" s="18">
        <v>4.2000000000000003E-2</v>
      </c>
      <c r="D165" s="18">
        <v>0.1043</v>
      </c>
      <c r="E165" s="18">
        <v>0.1168</v>
      </c>
      <c r="F165" s="18">
        <v>4.2000000000000003E-2</v>
      </c>
      <c r="G165" s="18">
        <v>4.2000000000000003E-2</v>
      </c>
      <c r="H165" s="18">
        <v>0.17910000000000001</v>
      </c>
      <c r="I165" s="18">
        <v>4.2000000000000003E-2</v>
      </c>
      <c r="J165" s="18">
        <v>0.1479</v>
      </c>
      <c r="K165" s="18">
        <v>7.3200000000000001E-2</v>
      </c>
      <c r="L165" s="18">
        <v>4.2000000000000003E-2</v>
      </c>
      <c r="M165" s="18">
        <v>4.82E-2</v>
      </c>
      <c r="N165" s="18">
        <v>0.1729</v>
      </c>
      <c r="O165" s="18">
        <v>4.2000000000000003E-2</v>
      </c>
      <c r="P165" s="18">
        <v>0.1666</v>
      </c>
      <c r="Q165" s="18">
        <v>5.45E-2</v>
      </c>
      <c r="R165" s="18">
        <v>4.2000000000000003E-2</v>
      </c>
      <c r="S165" s="18">
        <v>0.16539999999999999</v>
      </c>
      <c r="T165" s="18">
        <v>0.1928</v>
      </c>
      <c r="U165" s="18">
        <v>0.92449999999999999</v>
      </c>
      <c r="V165" s="18">
        <v>0.1338</v>
      </c>
      <c r="W165" s="18">
        <v>0.2477</v>
      </c>
      <c r="X165" s="18">
        <v>8.2100000000000006E-2</v>
      </c>
      <c r="Y165" s="18">
        <v>0.10829999999999999</v>
      </c>
      <c r="Z165" s="18">
        <v>0.16930000000000001</v>
      </c>
      <c r="AA165" s="18">
        <v>4.2000000000000003E-2</v>
      </c>
      <c r="AB165" s="18">
        <v>9.8100000000000007E-2</v>
      </c>
      <c r="AC165" s="18">
        <v>0.123</v>
      </c>
      <c r="AD165" s="18">
        <v>4.82E-2</v>
      </c>
      <c r="AE165" s="18">
        <v>0.1729</v>
      </c>
      <c r="AF165" s="18">
        <v>4.2000000000000003E-2</v>
      </c>
      <c r="AG165" s="18">
        <v>0.1106</v>
      </c>
      <c r="AH165" s="18">
        <v>0.1106</v>
      </c>
      <c r="AI165" s="18">
        <v>6.0699999999999997E-2</v>
      </c>
      <c r="AJ165" s="18">
        <v>0.16039999999999999</v>
      </c>
      <c r="AK165" s="18">
        <v>4.2000000000000003E-2</v>
      </c>
      <c r="AL165" s="18">
        <v>7.4399999999999994E-2</v>
      </c>
      <c r="AM165" s="18">
        <v>7.3400000000000007E-2</v>
      </c>
      <c r="AN165" s="18">
        <v>8.5599999999999996E-2</v>
      </c>
      <c r="AO165" s="18">
        <v>0.1782</v>
      </c>
      <c r="AP165" s="18">
        <v>1.1114999999999999</v>
      </c>
      <c r="AQ165" s="18">
        <v>0.4385</v>
      </c>
      <c r="AR165" s="18">
        <v>0.1779</v>
      </c>
      <c r="AS165" s="18">
        <v>0.5282</v>
      </c>
      <c r="AT165" s="18">
        <v>0.55620000000000003</v>
      </c>
      <c r="AU165" s="18">
        <v>4.2000000000000003E-2</v>
      </c>
      <c r="AV165" s="18">
        <v>5.45E-2</v>
      </c>
      <c r="AW165" s="18">
        <v>0.1666</v>
      </c>
      <c r="AX165" s="18">
        <v>4.2000000000000003E-2</v>
      </c>
    </row>
    <row r="166" spans="1:50" x14ac:dyDescent="0.25">
      <c r="A166" s="8" t="s">
        <v>202</v>
      </c>
      <c r="B166" s="10" t="s">
        <v>57</v>
      </c>
      <c r="C166" s="18">
        <v>5.8299999999999998E-2</v>
      </c>
      <c r="D166" s="18">
        <v>0.1996</v>
      </c>
      <c r="E166" s="18">
        <v>0.12720000000000001</v>
      </c>
      <c r="F166" s="18">
        <v>6.9599999999999995E-2</v>
      </c>
      <c r="G166" s="18">
        <v>0.1452</v>
      </c>
      <c r="H166" s="18">
        <v>0.45450000000000002</v>
      </c>
      <c r="I166" s="18">
        <v>0.1168</v>
      </c>
      <c r="J166" s="18">
        <v>9.5899999999999999E-2</v>
      </c>
      <c r="K166" s="18">
        <v>7.3800000000000004E-2</v>
      </c>
      <c r="L166" s="18">
        <v>0.28310000000000002</v>
      </c>
      <c r="M166" s="18">
        <v>4.7E-2</v>
      </c>
      <c r="N166" s="18">
        <v>0.22339999999999999</v>
      </c>
      <c r="O166" s="18">
        <v>4.7E-2</v>
      </c>
      <c r="P166" s="18">
        <v>0.15479999999999999</v>
      </c>
      <c r="Q166" s="18">
        <v>0.18329999999999999</v>
      </c>
      <c r="R166" s="18">
        <v>0.1147</v>
      </c>
      <c r="S166" s="18">
        <v>0.23519999999999999</v>
      </c>
      <c r="T166" s="18">
        <v>0.93799999999999994</v>
      </c>
      <c r="U166" s="18">
        <v>0.18049999999999999</v>
      </c>
      <c r="V166" s="18">
        <v>0.31659999999999999</v>
      </c>
      <c r="W166" s="18">
        <v>7.7200000000000005E-2</v>
      </c>
      <c r="X166" s="18">
        <v>6.9599999999999995E-2</v>
      </c>
      <c r="Y166" s="18">
        <v>8.7099999999999997E-2</v>
      </c>
      <c r="Z166" s="18">
        <v>0.251</v>
      </c>
      <c r="AA166" s="18">
        <v>0.19989999999999999</v>
      </c>
      <c r="AB166" s="18">
        <v>0.1628</v>
      </c>
      <c r="AC166" s="18">
        <v>0.17530000000000001</v>
      </c>
      <c r="AD166" s="18">
        <v>0.126</v>
      </c>
      <c r="AE166" s="18">
        <v>0.2261</v>
      </c>
      <c r="AF166" s="18">
        <v>0.13869999999999999</v>
      </c>
      <c r="AG166" s="18">
        <v>4.7E-2</v>
      </c>
      <c r="AH166" s="18">
        <v>0.17530000000000001</v>
      </c>
      <c r="AI166" s="18">
        <v>0.1628</v>
      </c>
      <c r="AJ166" s="18">
        <v>0.20599999999999999</v>
      </c>
      <c r="AK166" s="18">
        <v>1.8584000000000001</v>
      </c>
      <c r="AL166" s="18">
        <v>1.6721999999999999</v>
      </c>
      <c r="AM166" s="18">
        <v>0.3755</v>
      </c>
      <c r="AN166" s="18">
        <v>0.33600000000000002</v>
      </c>
      <c r="AO166" s="18">
        <v>1.1846000000000001</v>
      </c>
      <c r="AP166" s="18">
        <v>0.59009999999999996</v>
      </c>
      <c r="AQ166" s="18">
        <v>0.62129999999999996</v>
      </c>
      <c r="AR166" s="18">
        <v>1.806</v>
      </c>
      <c r="AS166" s="18">
        <v>0.43569999999999998</v>
      </c>
      <c r="AT166" s="18">
        <v>0.61850000000000005</v>
      </c>
      <c r="AU166" s="18">
        <v>0.59309999999999996</v>
      </c>
      <c r="AV166" s="18">
        <v>0.37490000000000001</v>
      </c>
      <c r="AW166" s="18">
        <v>0.88839999999999997</v>
      </c>
      <c r="AX166" s="18">
        <v>0.32319999999999999</v>
      </c>
    </row>
    <row r="167" spans="1:50" x14ac:dyDescent="0.25">
      <c r="A167" s="8" t="s">
        <v>204</v>
      </c>
      <c r="B167" s="10" t="s">
        <v>57</v>
      </c>
      <c r="C167" s="18">
        <v>0.20200000000000001</v>
      </c>
      <c r="D167" s="18">
        <v>9.4100000000000003E-2</v>
      </c>
      <c r="E167" s="18">
        <v>0.23300000000000001</v>
      </c>
      <c r="F167" s="18">
        <v>0.1207</v>
      </c>
      <c r="G167" s="18">
        <v>4.8000000000000001E-2</v>
      </c>
      <c r="H167" s="18">
        <v>0.2112</v>
      </c>
      <c r="I167" s="18">
        <v>0.14249999999999999</v>
      </c>
      <c r="J167" s="18">
        <v>4.8000000000000001E-2</v>
      </c>
      <c r="K167" s="18">
        <v>9.69E-2</v>
      </c>
      <c r="L167" s="18">
        <v>9.69E-2</v>
      </c>
      <c r="M167" s="18">
        <v>0.20069999999999999</v>
      </c>
      <c r="N167" s="18">
        <v>0.153</v>
      </c>
      <c r="O167" s="18">
        <v>4.8000000000000001E-2</v>
      </c>
      <c r="P167" s="18">
        <v>4.8000000000000001E-2</v>
      </c>
      <c r="Q167" s="18">
        <v>0.30570000000000003</v>
      </c>
      <c r="R167" s="18">
        <v>4.8000000000000001E-2</v>
      </c>
      <c r="S167" s="18">
        <v>0.1023</v>
      </c>
      <c r="T167" s="18">
        <v>9.1499999999999998E-2</v>
      </c>
      <c r="U167" s="18">
        <v>0.27310000000000001</v>
      </c>
      <c r="V167" s="18">
        <v>8.0600000000000005E-2</v>
      </c>
      <c r="W167" s="18">
        <v>0.21560000000000001</v>
      </c>
      <c r="X167" s="18">
        <v>0.2152</v>
      </c>
      <c r="Y167" s="18">
        <v>0.85199999999999998</v>
      </c>
      <c r="Z167" s="18">
        <v>0.37009999999999998</v>
      </c>
      <c r="AA167" s="18">
        <v>0.33939999999999998</v>
      </c>
      <c r="AB167" s="18">
        <v>0.31240000000000001</v>
      </c>
      <c r="AC167" s="18">
        <v>0.62680000000000002</v>
      </c>
      <c r="AD167" s="18">
        <v>0.42280000000000001</v>
      </c>
      <c r="AE167" s="18">
        <v>0.59150000000000003</v>
      </c>
      <c r="AF167" s="18">
        <v>0.16070000000000001</v>
      </c>
      <c r="AG167" s="18">
        <v>0.24429999999999999</v>
      </c>
      <c r="AH167" s="18">
        <v>0.27250000000000002</v>
      </c>
      <c r="AI167" s="18">
        <v>0.2054</v>
      </c>
      <c r="AJ167" s="18">
        <v>0.66779999999999995</v>
      </c>
      <c r="AK167" s="18">
        <v>0.16789999999999999</v>
      </c>
      <c r="AL167" s="18">
        <v>0.41909999999999997</v>
      </c>
      <c r="AM167" s="18">
        <v>1.6600999999999999</v>
      </c>
      <c r="AN167" s="18">
        <v>1.4664999999999999</v>
      </c>
      <c r="AO167" s="18">
        <v>1.8601000000000001</v>
      </c>
      <c r="AP167" s="18">
        <v>1.2398</v>
      </c>
      <c r="AQ167" s="18">
        <v>0.61319999999999997</v>
      </c>
      <c r="AR167" s="18">
        <v>0.60250000000000004</v>
      </c>
      <c r="AS167" s="18">
        <v>0.84299999999999997</v>
      </c>
      <c r="AT167" s="18">
        <v>0.85580000000000001</v>
      </c>
      <c r="AU167" s="18">
        <v>0.56499999999999995</v>
      </c>
      <c r="AV167" s="18">
        <v>0.53169999999999995</v>
      </c>
      <c r="AW167" s="18">
        <v>0.27300000000000002</v>
      </c>
      <c r="AX167" s="18">
        <v>0.51100000000000001</v>
      </c>
    </row>
    <row r="168" spans="1:50" x14ac:dyDescent="0.25">
      <c r="A168" s="8" t="s">
        <v>206</v>
      </c>
      <c r="B168" s="10" t="s">
        <v>57</v>
      </c>
      <c r="C168" s="18">
        <v>9.6799999999999997E-2</v>
      </c>
      <c r="D168" s="18">
        <v>0.14449999999999999</v>
      </c>
      <c r="E168" s="18">
        <v>0.14449999999999999</v>
      </c>
      <c r="F168" s="18">
        <v>5.7000000000000002E-2</v>
      </c>
      <c r="G168" s="18">
        <v>7.2900000000000006E-2</v>
      </c>
      <c r="H168" s="18">
        <v>0.216</v>
      </c>
      <c r="I168" s="18">
        <v>5.7000000000000002E-2</v>
      </c>
      <c r="J168" s="18">
        <v>0.23200000000000001</v>
      </c>
      <c r="K168" s="18">
        <v>5.7000000000000002E-2</v>
      </c>
      <c r="L168" s="18">
        <v>8.09E-2</v>
      </c>
      <c r="M168" s="18">
        <v>0.20810000000000001</v>
      </c>
      <c r="N168" s="18">
        <v>5.7000000000000002E-2</v>
      </c>
      <c r="O168" s="18">
        <v>0.20960000000000001</v>
      </c>
      <c r="P168" s="18">
        <v>8.09E-2</v>
      </c>
      <c r="Q168" s="18">
        <v>0.1246</v>
      </c>
      <c r="R168" s="18">
        <v>0.36399999999999999</v>
      </c>
      <c r="S168" s="18">
        <v>0.4456</v>
      </c>
      <c r="T168" s="18">
        <v>0.2019</v>
      </c>
      <c r="U168" s="18">
        <v>0.65580000000000005</v>
      </c>
      <c r="V168" s="18">
        <v>0.2321</v>
      </c>
      <c r="W168" s="18">
        <v>0.51729999999999998</v>
      </c>
      <c r="X168" s="18">
        <v>0.3291</v>
      </c>
      <c r="Y168" s="18">
        <v>0.72250000000000003</v>
      </c>
      <c r="Z168" s="18">
        <v>0.98560000000000003</v>
      </c>
      <c r="AA168" s="18">
        <v>0.29630000000000001</v>
      </c>
      <c r="AB168" s="18">
        <v>0.185</v>
      </c>
      <c r="AC168" s="18">
        <v>9.9400000000000002E-2</v>
      </c>
      <c r="AD168" s="18">
        <v>9.9699999999999997E-2</v>
      </c>
      <c r="AE168" s="18">
        <v>0.25219999999999998</v>
      </c>
      <c r="AF168" s="18">
        <v>1.4628000000000001</v>
      </c>
      <c r="AG168" s="18">
        <v>0.31850000000000001</v>
      </c>
      <c r="AH168" s="18">
        <v>1.2477</v>
      </c>
      <c r="AI168" s="18">
        <v>0.77939999999999998</v>
      </c>
      <c r="AJ168" s="18">
        <v>1.9419</v>
      </c>
      <c r="AK168" s="18">
        <v>0.23200000000000001</v>
      </c>
      <c r="AL168" s="18">
        <v>0.122</v>
      </c>
      <c r="AM168" s="18">
        <v>0.24590000000000001</v>
      </c>
      <c r="AN168" s="18">
        <v>0.35880000000000001</v>
      </c>
      <c r="AO168" s="18">
        <v>0.12189999999999999</v>
      </c>
      <c r="AP168" s="18">
        <v>0.44259999999999999</v>
      </c>
      <c r="AQ168" s="18">
        <v>0.30609999999999998</v>
      </c>
      <c r="AR168" s="18">
        <v>0.38040000000000002</v>
      </c>
      <c r="AS168" s="18">
        <v>0.15240000000000001</v>
      </c>
      <c r="AT168" s="18">
        <v>0.13650000000000001</v>
      </c>
      <c r="AU168" s="18">
        <v>7.2900000000000006E-2</v>
      </c>
      <c r="AV168" s="18">
        <v>0.216</v>
      </c>
      <c r="AW168" s="18">
        <v>5.7000000000000002E-2</v>
      </c>
      <c r="AX168" s="18">
        <v>0.23200000000000001</v>
      </c>
    </row>
    <row r="169" spans="1:50" x14ac:dyDescent="0.25">
      <c r="A169" s="16" t="s">
        <v>639</v>
      </c>
      <c r="B169" s="13" t="s">
        <v>464</v>
      </c>
      <c r="C169" s="17">
        <v>0.1547</v>
      </c>
      <c r="D169" s="17">
        <v>0.1578</v>
      </c>
      <c r="E169" s="17">
        <v>0.16009999999999999</v>
      </c>
      <c r="F169" s="17">
        <v>9.6000000000000002E-2</v>
      </c>
      <c r="G169" s="17">
        <v>0.12959999999999999</v>
      </c>
      <c r="H169" s="17">
        <v>0.23230000000000001</v>
      </c>
      <c r="I169" s="17">
        <v>5.1999999999999998E-2</v>
      </c>
      <c r="J169" s="17">
        <v>0.25879999999999997</v>
      </c>
      <c r="K169" s="17">
        <v>0.1031</v>
      </c>
      <c r="L169" s="17">
        <v>0.12959999999999999</v>
      </c>
      <c r="M169" s="17">
        <v>0.12959999999999999</v>
      </c>
      <c r="N169" s="17">
        <v>0.1547</v>
      </c>
      <c r="O169" s="17">
        <v>0.14369999999999999</v>
      </c>
      <c r="P169" s="17">
        <v>0.11550000000000001</v>
      </c>
      <c r="Q169" s="17">
        <v>0.18970000000000001</v>
      </c>
      <c r="R169" s="17">
        <v>0.28349999999999997</v>
      </c>
      <c r="S169" s="17">
        <v>6.0100000000000001E-2</v>
      </c>
      <c r="T169" s="17">
        <v>0.90329999999999999</v>
      </c>
      <c r="U169" s="17">
        <v>2.4538000000000002</v>
      </c>
      <c r="V169" s="17">
        <v>1.7618</v>
      </c>
      <c r="W169" s="17">
        <v>0.14369999999999999</v>
      </c>
      <c r="X169" s="17">
        <v>0.76080000000000003</v>
      </c>
      <c r="Y169" s="17">
        <v>1.9779</v>
      </c>
      <c r="Z169" s="17">
        <v>0.54469999999999996</v>
      </c>
      <c r="AA169" s="17">
        <v>0.69279999999999997</v>
      </c>
      <c r="AB169" s="17">
        <v>0.37969999999999998</v>
      </c>
      <c r="AC169" s="17">
        <v>0.33379999999999999</v>
      </c>
      <c r="AD169" s="17">
        <v>0.56830000000000003</v>
      </c>
      <c r="AE169" s="17">
        <v>0.39710000000000001</v>
      </c>
      <c r="AF169" s="17">
        <v>5.1999999999999998E-2</v>
      </c>
      <c r="AG169" s="17">
        <v>0.30990000000000001</v>
      </c>
      <c r="AH169" s="17">
        <v>5.1999999999999998E-2</v>
      </c>
      <c r="AI169" s="17">
        <v>9.5200000000000007E-2</v>
      </c>
      <c r="AJ169" s="17">
        <v>0.26669999999999999</v>
      </c>
      <c r="AK169" s="17">
        <v>5.1999999999999998E-2</v>
      </c>
      <c r="AL169" s="17">
        <v>0.1547</v>
      </c>
      <c r="AM169" s="17">
        <v>5.1999999999999998E-2</v>
      </c>
      <c r="AN169" s="17">
        <v>0.2072</v>
      </c>
      <c r="AO169" s="17">
        <v>0.1547</v>
      </c>
      <c r="AP169" s="17">
        <v>5.1999999999999998E-2</v>
      </c>
      <c r="AQ169" s="17">
        <v>0.2072</v>
      </c>
      <c r="AR169" s="17">
        <v>0.1547</v>
      </c>
      <c r="AS169" s="17">
        <v>0.12959999999999999</v>
      </c>
      <c r="AT169" s="17">
        <v>0.1663</v>
      </c>
      <c r="AU169" s="17">
        <v>0.11799999999999999</v>
      </c>
      <c r="AV169" s="17">
        <v>0.14369999999999999</v>
      </c>
      <c r="AW169" s="17">
        <v>0.21820000000000001</v>
      </c>
      <c r="AX169" s="17">
        <v>5.1999999999999998E-2</v>
      </c>
    </row>
    <row r="170" spans="1:50" x14ac:dyDescent="0.25">
      <c r="A170" s="8" t="s">
        <v>208</v>
      </c>
      <c r="B170" s="10" t="s">
        <v>57</v>
      </c>
      <c r="C170" s="18">
        <v>0.13600000000000001</v>
      </c>
      <c r="D170" s="18">
        <v>0.12089999999999999</v>
      </c>
      <c r="E170" s="18">
        <v>0.12089999999999999</v>
      </c>
      <c r="F170" s="18">
        <v>4.5999999999999999E-2</v>
      </c>
      <c r="G170" s="18">
        <v>0.2722</v>
      </c>
      <c r="H170" s="18">
        <v>4.5999999999999999E-2</v>
      </c>
      <c r="I170" s="18">
        <v>0.17449999999999999</v>
      </c>
      <c r="J170" s="18">
        <v>0.14369999999999999</v>
      </c>
      <c r="K170" s="18">
        <v>5.96E-2</v>
      </c>
      <c r="L170" s="18">
        <v>0.1822</v>
      </c>
      <c r="M170" s="18">
        <v>4.5999999999999999E-2</v>
      </c>
      <c r="N170" s="18">
        <v>0.2722</v>
      </c>
      <c r="O170" s="18">
        <v>4.5999999999999999E-2</v>
      </c>
      <c r="P170" s="18">
        <v>7.5700000000000003E-2</v>
      </c>
      <c r="Q170" s="18">
        <v>0.24249999999999999</v>
      </c>
      <c r="R170" s="18">
        <v>7.1499999999999994E-2</v>
      </c>
      <c r="S170" s="18">
        <v>0.35880000000000001</v>
      </c>
      <c r="T170" s="18">
        <v>0.93300000000000005</v>
      </c>
      <c r="U170" s="18">
        <v>0.71399999999999997</v>
      </c>
      <c r="V170" s="18">
        <v>0.24340000000000001</v>
      </c>
      <c r="W170" s="18">
        <v>0.22309999999999999</v>
      </c>
      <c r="X170" s="18">
        <v>0.17749999999999999</v>
      </c>
      <c r="Y170" s="18">
        <v>1.9894000000000001</v>
      </c>
      <c r="Z170" s="18">
        <v>2.5489999999999999</v>
      </c>
      <c r="AA170" s="18">
        <v>1.9466000000000001</v>
      </c>
      <c r="AB170" s="18">
        <v>0.1298</v>
      </c>
      <c r="AC170" s="18">
        <v>9.9599999999999994E-2</v>
      </c>
      <c r="AD170" s="18">
        <v>0.21859999999999999</v>
      </c>
      <c r="AE170" s="18">
        <v>4.5999999999999999E-2</v>
      </c>
      <c r="AF170" s="18">
        <v>0.21779999999999999</v>
      </c>
      <c r="AG170" s="18">
        <v>0.10050000000000001</v>
      </c>
      <c r="AH170" s="18">
        <v>6.3E-2</v>
      </c>
      <c r="AI170" s="18">
        <v>0.10539999999999999</v>
      </c>
      <c r="AJ170" s="18">
        <v>0.17369999999999999</v>
      </c>
      <c r="AK170" s="18">
        <v>0.20319999999999999</v>
      </c>
      <c r="AL170" s="18">
        <v>0.3901</v>
      </c>
      <c r="AM170" s="18">
        <v>0.91620000000000001</v>
      </c>
      <c r="AN170" s="18">
        <v>0.85299999999999998</v>
      </c>
      <c r="AO170" s="18">
        <v>1.7690999999999999</v>
      </c>
      <c r="AP170" s="18">
        <v>0.3755</v>
      </c>
      <c r="AQ170" s="18">
        <v>0.53039999999999998</v>
      </c>
      <c r="AR170" s="18">
        <v>0.3004</v>
      </c>
      <c r="AS170" s="18">
        <v>0.80649999999999999</v>
      </c>
      <c r="AT170" s="18">
        <v>0.41710000000000003</v>
      </c>
      <c r="AU170" s="18">
        <v>0.61650000000000005</v>
      </c>
      <c r="AV170" s="18">
        <v>0.36099999999999999</v>
      </c>
      <c r="AW170" s="18">
        <v>0.48159999999999997</v>
      </c>
      <c r="AX170" s="18">
        <v>0.16350000000000001</v>
      </c>
    </row>
    <row r="171" spans="1:50" x14ac:dyDescent="0.25">
      <c r="A171" s="8" t="s">
        <v>210</v>
      </c>
      <c r="B171" s="10" t="s">
        <v>57</v>
      </c>
      <c r="C171" s="18">
        <v>0.05</v>
      </c>
      <c r="D171" s="18">
        <v>0.05</v>
      </c>
      <c r="E171" s="18">
        <v>0.14929999999999999</v>
      </c>
      <c r="F171" s="18">
        <v>0.1172</v>
      </c>
      <c r="G171" s="18">
        <v>7.6999999999999999E-2</v>
      </c>
      <c r="H171" s="18">
        <v>0.1895</v>
      </c>
      <c r="I171" s="18">
        <v>0.05</v>
      </c>
      <c r="J171" s="18">
        <v>0.1268</v>
      </c>
      <c r="K171" s="18">
        <v>0.13969999999999999</v>
      </c>
      <c r="L171" s="18">
        <v>0.1129</v>
      </c>
      <c r="M171" s="18">
        <v>0.1046</v>
      </c>
      <c r="N171" s="18">
        <v>9.8900000000000002E-2</v>
      </c>
      <c r="O171" s="18">
        <v>0.05</v>
      </c>
      <c r="P171" s="18">
        <v>0.79700000000000004</v>
      </c>
      <c r="Q171" s="18">
        <v>0.68869999999999998</v>
      </c>
      <c r="R171" s="18">
        <v>0.2205</v>
      </c>
      <c r="S171" s="18">
        <v>1.1600999999999999</v>
      </c>
      <c r="T171" s="18">
        <v>0.51060000000000005</v>
      </c>
      <c r="U171" s="18">
        <v>0.2225</v>
      </c>
      <c r="V171" s="18">
        <v>0.2671</v>
      </c>
      <c r="W171" s="18">
        <v>0.22869999999999999</v>
      </c>
      <c r="X171" s="18">
        <v>0.33139999999999997</v>
      </c>
      <c r="Y171" s="18">
        <v>0.24890000000000001</v>
      </c>
      <c r="Z171" s="18">
        <v>0.13550000000000001</v>
      </c>
      <c r="AA171" s="18">
        <v>0.1244</v>
      </c>
      <c r="AB171" s="18">
        <v>0.1424</v>
      </c>
      <c r="AC171" s="18">
        <v>0.30480000000000002</v>
      </c>
      <c r="AD171" s="18">
        <v>0.45029999999999998</v>
      </c>
      <c r="AE171" s="18">
        <v>0.20039999999999999</v>
      </c>
      <c r="AF171" s="18">
        <v>0.55879999999999996</v>
      </c>
      <c r="AG171" s="18">
        <v>0.2949</v>
      </c>
      <c r="AH171" s="18">
        <v>0.27879999999999999</v>
      </c>
      <c r="AI171" s="18">
        <v>0.1145</v>
      </c>
      <c r="AJ171" s="18">
        <v>0.13089999999999999</v>
      </c>
      <c r="AK171" s="18">
        <v>0.22750000000000001</v>
      </c>
      <c r="AL171" s="18">
        <v>0.13089999999999999</v>
      </c>
      <c r="AM171" s="18">
        <v>1.2677</v>
      </c>
      <c r="AN171" s="18">
        <v>0.23580000000000001</v>
      </c>
      <c r="AO171" s="18">
        <v>9.9000000000000005E-2</v>
      </c>
      <c r="AP171" s="18">
        <v>0.2787</v>
      </c>
      <c r="AQ171" s="18">
        <v>0.38240000000000002</v>
      </c>
      <c r="AR171" s="18">
        <v>0.24510000000000001</v>
      </c>
      <c r="AS171" s="18">
        <v>0.3327</v>
      </c>
      <c r="AT171" s="18">
        <v>0.2994</v>
      </c>
      <c r="AU171" s="18">
        <v>0.2606</v>
      </c>
      <c r="AV171" s="18">
        <v>0.38740000000000002</v>
      </c>
      <c r="AW171" s="18">
        <v>0.13400000000000001</v>
      </c>
      <c r="AX171" s="18">
        <v>0.1615</v>
      </c>
    </row>
    <row r="172" spans="1:50" x14ac:dyDescent="0.25">
      <c r="A172" s="8" t="s">
        <v>212</v>
      </c>
      <c r="B172" s="10" t="s">
        <v>57</v>
      </c>
      <c r="C172" s="18">
        <v>0.20019999999999999</v>
      </c>
      <c r="D172" s="18">
        <v>4.3999999999999997E-2</v>
      </c>
      <c r="E172" s="18">
        <v>7.2400000000000006E-2</v>
      </c>
      <c r="F172" s="18">
        <v>0.17180000000000001</v>
      </c>
      <c r="G172" s="18">
        <v>4.3999999999999997E-2</v>
      </c>
      <c r="H172" s="18">
        <v>4.3999999999999997E-2</v>
      </c>
      <c r="I172" s="18">
        <v>0.1079</v>
      </c>
      <c r="J172" s="18">
        <v>0.1363</v>
      </c>
      <c r="K172" s="18">
        <v>4.3999999999999997E-2</v>
      </c>
      <c r="L172" s="18">
        <v>0.17180000000000001</v>
      </c>
      <c r="M172" s="18">
        <v>7.2400000000000006E-2</v>
      </c>
      <c r="N172" s="18">
        <v>4.3999999999999997E-2</v>
      </c>
      <c r="O172" s="18">
        <v>0.2082</v>
      </c>
      <c r="P172" s="18">
        <v>0.15179999999999999</v>
      </c>
      <c r="Q172" s="18">
        <v>5.11E-2</v>
      </c>
      <c r="R172" s="18">
        <v>0.2203</v>
      </c>
      <c r="S172" s="18">
        <v>7.6600000000000001E-2</v>
      </c>
      <c r="T172" s="18">
        <v>0.27479999999999999</v>
      </c>
      <c r="U172" s="18">
        <v>0.25829999999999997</v>
      </c>
      <c r="V172" s="18">
        <v>0.19339999999999999</v>
      </c>
      <c r="W172" s="18">
        <v>0.1628</v>
      </c>
      <c r="X172" s="18">
        <v>0.18770000000000001</v>
      </c>
      <c r="Y172" s="18">
        <v>5.9799999999999999E-2</v>
      </c>
      <c r="Z172" s="18">
        <v>0.24049999999999999</v>
      </c>
      <c r="AA172" s="18">
        <v>0.37059999999999998</v>
      </c>
      <c r="AB172" s="18">
        <v>0.1137</v>
      </c>
      <c r="AC172" s="18">
        <v>0.99970000000000003</v>
      </c>
      <c r="AD172" s="18">
        <v>0.24010000000000001</v>
      </c>
      <c r="AE172" s="18">
        <v>0.19769999999999999</v>
      </c>
      <c r="AF172" s="18">
        <v>0.28039999999999998</v>
      </c>
      <c r="AG172" s="18">
        <v>0.16470000000000001</v>
      </c>
      <c r="AH172" s="18">
        <v>0.05</v>
      </c>
      <c r="AI172" s="18">
        <v>4.3999999999999997E-2</v>
      </c>
      <c r="AJ172" s="18">
        <v>0.19350000000000001</v>
      </c>
      <c r="AK172" s="18">
        <v>9.4399999999999998E-2</v>
      </c>
      <c r="AL172" s="18">
        <v>0.16619999999999999</v>
      </c>
      <c r="AM172" s="18">
        <v>0.1976</v>
      </c>
      <c r="AN172" s="18">
        <v>0.16489999999999999</v>
      </c>
      <c r="AO172" s="18">
        <v>0.4148</v>
      </c>
      <c r="AP172" s="18">
        <v>0.16669999999999999</v>
      </c>
      <c r="AQ172" s="18">
        <v>0.3347</v>
      </c>
      <c r="AR172" s="18">
        <v>0.2351</v>
      </c>
      <c r="AS172" s="18">
        <v>0.2823</v>
      </c>
      <c r="AT172" s="18">
        <v>0.39200000000000002</v>
      </c>
      <c r="AU172" s="18">
        <v>0.23830000000000001</v>
      </c>
      <c r="AV172" s="18">
        <v>0.24440000000000001</v>
      </c>
      <c r="AW172" s="18">
        <v>0.1782</v>
      </c>
      <c r="AX172" s="18">
        <v>7.2400000000000006E-2</v>
      </c>
    </row>
    <row r="173" spans="1:50" x14ac:dyDescent="0.25">
      <c r="A173" s="16" t="s">
        <v>641</v>
      </c>
      <c r="B173" s="13" t="s">
        <v>464</v>
      </c>
      <c r="C173" s="17">
        <v>1.3405</v>
      </c>
      <c r="D173" s="17">
        <v>1.1760999999999999</v>
      </c>
      <c r="E173" s="17">
        <v>0.71660000000000001</v>
      </c>
      <c r="F173" s="17">
        <v>0.22040000000000001</v>
      </c>
      <c r="G173" s="17">
        <v>5.1999999999999998E-2</v>
      </c>
      <c r="H173" s="17">
        <v>5.1999999999999998E-2</v>
      </c>
      <c r="I173" s="17">
        <v>0.1575</v>
      </c>
      <c r="J173" s="17">
        <v>5.1999999999999998E-2</v>
      </c>
      <c r="K173" s="17">
        <v>5.1999999999999998E-2</v>
      </c>
      <c r="L173" s="17">
        <v>0.1123</v>
      </c>
      <c r="M173" s="17">
        <v>9.7199999999999995E-2</v>
      </c>
      <c r="N173" s="17">
        <v>5.1999999999999998E-2</v>
      </c>
      <c r="O173" s="17">
        <v>0.1047</v>
      </c>
      <c r="P173" s="17">
        <v>0.1047</v>
      </c>
      <c r="Q173" s="17">
        <v>0.27650000000000002</v>
      </c>
      <c r="R173" s="17">
        <v>0.26850000000000002</v>
      </c>
      <c r="S173" s="17">
        <v>0.1651</v>
      </c>
      <c r="T173" s="17">
        <v>1.1689000000000001</v>
      </c>
      <c r="U173" s="17">
        <v>1.6927000000000001</v>
      </c>
      <c r="V173" s="17">
        <v>0.87</v>
      </c>
      <c r="W173" s="17">
        <v>0.23330000000000001</v>
      </c>
      <c r="X173" s="17">
        <v>0.21629999999999999</v>
      </c>
      <c r="Y173" s="17">
        <v>0.1222</v>
      </c>
      <c r="Z173" s="17">
        <v>1.1116999999999999</v>
      </c>
      <c r="AA173" s="17">
        <v>0.24060000000000001</v>
      </c>
      <c r="AB173" s="17">
        <v>0.25230000000000002</v>
      </c>
      <c r="AC173" s="17">
        <v>0.1245</v>
      </c>
      <c r="AD173" s="17">
        <v>0.33950000000000002</v>
      </c>
      <c r="AE173" s="17">
        <v>0.22270000000000001</v>
      </c>
      <c r="AF173" s="17">
        <v>0.16120000000000001</v>
      </c>
      <c r="AG173" s="17">
        <v>0.22159999999999999</v>
      </c>
      <c r="AH173" s="17">
        <v>0.22359999999999999</v>
      </c>
      <c r="AI173" s="17">
        <v>0.3841</v>
      </c>
      <c r="AJ173" s="17">
        <v>0.47239999999999999</v>
      </c>
      <c r="AK173" s="17">
        <v>1.1489</v>
      </c>
      <c r="AL173" s="17">
        <v>0.2717</v>
      </c>
      <c r="AM173" s="17">
        <v>0.16489999999999999</v>
      </c>
      <c r="AN173" s="17">
        <v>0.24390000000000001</v>
      </c>
      <c r="AO173" s="17">
        <v>2.0049999999999999</v>
      </c>
      <c r="AP173" s="17">
        <v>0.66559999999999997</v>
      </c>
      <c r="AQ173" s="17">
        <v>0.76870000000000005</v>
      </c>
      <c r="AR173" s="17">
        <v>0.60860000000000003</v>
      </c>
      <c r="AS173" s="17">
        <v>0.72970000000000002</v>
      </c>
      <c r="AT173" s="17">
        <v>0.60589999999999999</v>
      </c>
      <c r="AU173" s="17">
        <v>0.9153</v>
      </c>
      <c r="AV173" s="17">
        <v>0.49730000000000002</v>
      </c>
      <c r="AW173" s="17">
        <v>0.1575</v>
      </c>
      <c r="AX173" s="17">
        <v>5.1999999999999998E-2</v>
      </c>
    </row>
    <row r="174" spans="1:50" x14ac:dyDescent="0.25">
      <c r="A174" s="16" t="s">
        <v>643</v>
      </c>
      <c r="B174" s="13" t="s">
        <v>464</v>
      </c>
      <c r="C174" s="17">
        <v>0.1663</v>
      </c>
      <c r="D174" s="17">
        <v>0.15049999999999999</v>
      </c>
      <c r="E174" s="17">
        <v>6.3799999999999996E-2</v>
      </c>
      <c r="F174" s="17">
        <v>0.1032</v>
      </c>
      <c r="G174" s="17">
        <v>0.1603</v>
      </c>
      <c r="H174" s="17">
        <v>0.17219999999999999</v>
      </c>
      <c r="I174" s="17">
        <v>0.1072</v>
      </c>
      <c r="J174" s="17">
        <v>4.8000000000000001E-2</v>
      </c>
      <c r="K174" s="17">
        <v>0.38669999999999999</v>
      </c>
      <c r="L174" s="17">
        <v>0.2429</v>
      </c>
      <c r="M174" s="17">
        <v>0.26590000000000003</v>
      </c>
      <c r="N174" s="17">
        <v>0.2014</v>
      </c>
      <c r="O174" s="17">
        <v>4.8000000000000001E-2</v>
      </c>
      <c r="P174" s="17">
        <v>0.13400000000000001</v>
      </c>
      <c r="Q174" s="17">
        <v>0.18279999999999999</v>
      </c>
      <c r="R174" s="17">
        <v>0.11899999999999999</v>
      </c>
      <c r="S174" s="17">
        <v>0.1641</v>
      </c>
      <c r="T174" s="17">
        <v>2.2787000000000002</v>
      </c>
      <c r="U174" s="17">
        <v>4.8000000000000001E-2</v>
      </c>
      <c r="V174" s="17">
        <v>1.0754999999999999</v>
      </c>
      <c r="W174" s="17">
        <v>0.1648</v>
      </c>
      <c r="X174" s="17">
        <v>7.7100000000000002E-2</v>
      </c>
      <c r="Y174" s="17">
        <v>0.63870000000000005</v>
      </c>
      <c r="Z174" s="17">
        <v>1.2281</v>
      </c>
      <c r="AA174" s="17">
        <v>0.97130000000000005</v>
      </c>
      <c r="AB174" s="17">
        <v>0.31019999999999998</v>
      </c>
      <c r="AC174" s="17">
        <v>0.1118</v>
      </c>
      <c r="AD174" s="17">
        <v>0.20830000000000001</v>
      </c>
      <c r="AE174" s="17">
        <v>0.3044</v>
      </c>
      <c r="AF174" s="17">
        <v>0.26879999999999998</v>
      </c>
      <c r="AG174" s="17">
        <v>5.5500000000000001E-2</v>
      </c>
      <c r="AH174" s="17">
        <v>0.2412</v>
      </c>
      <c r="AI174" s="17">
        <v>7.5600000000000001E-2</v>
      </c>
      <c r="AJ174" s="17">
        <v>0.18279999999999999</v>
      </c>
      <c r="AK174" s="17">
        <v>0.1221</v>
      </c>
      <c r="AL174" s="17">
        <v>5.9799999999999999E-2</v>
      </c>
      <c r="AM174" s="17">
        <v>0.23530000000000001</v>
      </c>
      <c r="AN174" s="17">
        <v>0.38529999999999998</v>
      </c>
      <c r="AO174" s="17">
        <v>0.32040000000000002</v>
      </c>
      <c r="AP174" s="17">
        <v>0.54449999999999998</v>
      </c>
      <c r="AQ174" s="17">
        <v>0.37609999999999999</v>
      </c>
      <c r="AR174" s="17">
        <v>0.57179999999999997</v>
      </c>
      <c r="AS174" s="17">
        <v>0.51290000000000002</v>
      </c>
      <c r="AT174" s="17">
        <v>0.62949999999999995</v>
      </c>
      <c r="AU174" s="17">
        <v>0.62909999999999999</v>
      </c>
      <c r="AV174" s="17">
        <v>0.2334</v>
      </c>
      <c r="AW174" s="17">
        <v>0.1978</v>
      </c>
      <c r="AX174" s="17">
        <v>0.11899999999999999</v>
      </c>
    </row>
    <row r="175" spans="1:50" x14ac:dyDescent="0.25">
      <c r="A175" s="8" t="s">
        <v>214</v>
      </c>
      <c r="B175" s="10" t="s">
        <v>57</v>
      </c>
      <c r="C175" s="18">
        <v>0.2442</v>
      </c>
      <c r="D175" s="18">
        <v>0.1447</v>
      </c>
      <c r="E175" s="18">
        <v>0.12559999999999999</v>
      </c>
      <c r="F175" s="18">
        <v>0.19270000000000001</v>
      </c>
      <c r="G175" s="18">
        <v>0.15310000000000001</v>
      </c>
      <c r="H175" s="18">
        <v>0.29759999999999998</v>
      </c>
      <c r="I175" s="18">
        <v>6.2799999999999995E-2</v>
      </c>
      <c r="J175" s="18">
        <v>0.13930000000000001</v>
      </c>
      <c r="K175" s="18">
        <v>0.11169999999999999</v>
      </c>
      <c r="L175" s="18">
        <v>0.30590000000000001</v>
      </c>
      <c r="M175" s="18">
        <v>0.1449</v>
      </c>
      <c r="N175" s="18">
        <v>0.151</v>
      </c>
      <c r="O175" s="18">
        <v>0.29580000000000001</v>
      </c>
      <c r="P175" s="18">
        <v>5.2900000000000003E-2</v>
      </c>
      <c r="Q175" s="18">
        <v>0.33119999999999999</v>
      </c>
      <c r="R175" s="18">
        <v>4.9000000000000002E-2</v>
      </c>
      <c r="S175" s="18">
        <v>0.23180000000000001</v>
      </c>
      <c r="T175" s="18">
        <v>0.27600000000000002</v>
      </c>
      <c r="U175" s="18">
        <v>0.8216</v>
      </c>
      <c r="V175" s="18">
        <v>3.5878999999999999</v>
      </c>
      <c r="W175" s="18">
        <v>1.7001999999999999</v>
      </c>
      <c r="X175" s="18">
        <v>0.30549999999999999</v>
      </c>
      <c r="Y175" s="18">
        <v>0.34089999999999998</v>
      </c>
      <c r="Z175" s="18">
        <v>6.3899999999999998E-2</v>
      </c>
      <c r="AA175" s="18">
        <v>0.2606</v>
      </c>
      <c r="AB175" s="18">
        <v>0.18190000000000001</v>
      </c>
      <c r="AC175" s="18">
        <v>0.42949999999999999</v>
      </c>
      <c r="AD175" s="18">
        <v>0.43140000000000001</v>
      </c>
      <c r="AE175" s="18">
        <v>0.50670000000000004</v>
      </c>
      <c r="AF175" s="18">
        <v>0.42030000000000001</v>
      </c>
      <c r="AG175" s="18">
        <v>1.4423999999999999</v>
      </c>
      <c r="AH175" s="18">
        <v>0.37580000000000002</v>
      </c>
      <c r="AI175" s="18">
        <v>0.30809999999999998</v>
      </c>
      <c r="AJ175" s="18">
        <v>0.53700000000000003</v>
      </c>
      <c r="AK175" s="18">
        <v>0.35589999999999999</v>
      </c>
      <c r="AL175" s="18">
        <v>1.5179</v>
      </c>
      <c r="AM175" s="18">
        <v>0.1119</v>
      </c>
      <c r="AN175" s="18">
        <v>0.17780000000000001</v>
      </c>
      <c r="AO175" s="18">
        <v>0.44719999999999999</v>
      </c>
      <c r="AP175" s="18">
        <v>0.30549999999999999</v>
      </c>
      <c r="AQ175" s="18">
        <v>0.54239999999999999</v>
      </c>
      <c r="AR175" s="18">
        <v>0.33400000000000002</v>
      </c>
      <c r="AS175" s="18">
        <v>1.0495000000000001</v>
      </c>
      <c r="AT175" s="18">
        <v>0.97409999999999997</v>
      </c>
      <c r="AU175" s="18">
        <v>0.70530000000000004</v>
      </c>
      <c r="AV175" s="18">
        <v>0.44409999999999999</v>
      </c>
      <c r="AW175" s="18">
        <v>0.47810000000000002</v>
      </c>
      <c r="AX175" s="18">
        <v>0.65229999999999999</v>
      </c>
    </row>
    <row r="176" spans="1:50" x14ac:dyDescent="0.25">
      <c r="A176" s="8" t="s">
        <v>216</v>
      </c>
      <c r="B176" s="10" t="s">
        <v>57</v>
      </c>
      <c r="C176" s="18">
        <v>0.12139999999999999</v>
      </c>
      <c r="D176" s="18">
        <v>0.12139999999999999</v>
      </c>
      <c r="E176" s="18">
        <v>5.4699999999999999E-2</v>
      </c>
      <c r="F176" s="18">
        <v>0.18809999999999999</v>
      </c>
      <c r="G176" s="18">
        <v>4.8000000000000001E-2</v>
      </c>
      <c r="H176" s="18">
        <v>0.1147</v>
      </c>
      <c r="I176" s="18">
        <v>0.128</v>
      </c>
      <c r="J176" s="18">
        <v>4.8000000000000001E-2</v>
      </c>
      <c r="K176" s="18">
        <v>4.8000000000000001E-2</v>
      </c>
      <c r="L176" s="18">
        <v>0.19470000000000001</v>
      </c>
      <c r="M176" s="18">
        <v>4.8000000000000001E-2</v>
      </c>
      <c r="N176" s="18">
        <v>0.17469999999999999</v>
      </c>
      <c r="O176" s="18">
        <v>6.8000000000000005E-2</v>
      </c>
      <c r="P176" s="18">
        <v>4.8000000000000001E-2</v>
      </c>
      <c r="Q176" s="18">
        <v>0.19470000000000001</v>
      </c>
      <c r="R176" s="18">
        <v>0.35510000000000003</v>
      </c>
      <c r="S176" s="18">
        <v>0.1414</v>
      </c>
      <c r="T176" s="18">
        <v>0.1014</v>
      </c>
      <c r="U176" s="18">
        <v>0.1014</v>
      </c>
      <c r="V176" s="18">
        <v>0.1414</v>
      </c>
      <c r="W176" s="18">
        <v>7.0900000000000005E-2</v>
      </c>
      <c r="X176" s="18">
        <v>0.39400000000000002</v>
      </c>
      <c r="Y176" s="18">
        <v>0.19500000000000001</v>
      </c>
      <c r="Z176" s="18">
        <v>8.7999999999999995E-2</v>
      </c>
      <c r="AA176" s="18">
        <v>0.1547</v>
      </c>
      <c r="AB176" s="18">
        <v>4.8000000000000001E-2</v>
      </c>
      <c r="AC176" s="18">
        <v>0.128</v>
      </c>
      <c r="AD176" s="18">
        <v>0.1147</v>
      </c>
      <c r="AE176" s="18">
        <v>8.7999999999999995E-2</v>
      </c>
      <c r="AF176" s="18">
        <v>0.1547</v>
      </c>
      <c r="AG176" s="18">
        <v>4.8000000000000001E-2</v>
      </c>
      <c r="AH176" s="18">
        <v>0.19470000000000001</v>
      </c>
      <c r="AI176" s="18">
        <v>4.8000000000000001E-2</v>
      </c>
      <c r="AJ176" s="18">
        <v>4.8000000000000001E-2</v>
      </c>
      <c r="AK176" s="18">
        <v>4.8000000000000001E-2</v>
      </c>
      <c r="AL176" s="18">
        <v>0.17469999999999999</v>
      </c>
      <c r="AM176" s="18">
        <v>6.8000000000000005E-2</v>
      </c>
      <c r="AN176" s="18">
        <v>0.108</v>
      </c>
      <c r="AO176" s="18">
        <v>0.13469999999999999</v>
      </c>
      <c r="AP176" s="18">
        <v>4.8000000000000001E-2</v>
      </c>
      <c r="AQ176" s="18">
        <v>0.41560000000000002</v>
      </c>
      <c r="AR176" s="18">
        <v>0.78949999999999998</v>
      </c>
      <c r="AS176" s="18">
        <v>0.54449999999999998</v>
      </c>
      <c r="AT176" s="18">
        <v>0.64559999999999995</v>
      </c>
      <c r="AU176" s="18">
        <v>0.16800000000000001</v>
      </c>
      <c r="AV176" s="18">
        <v>4.8000000000000001E-2</v>
      </c>
      <c r="AW176" s="18">
        <v>0.19470000000000001</v>
      </c>
      <c r="AX176" s="18">
        <v>4.8000000000000001E-2</v>
      </c>
    </row>
    <row r="177" spans="1:50" x14ac:dyDescent="0.25">
      <c r="A177" s="8" t="s">
        <v>218</v>
      </c>
      <c r="B177" s="10" t="s">
        <v>57</v>
      </c>
      <c r="C177" s="18">
        <v>6.83E-2</v>
      </c>
      <c r="D177" s="18">
        <v>0.1023</v>
      </c>
      <c r="E177" s="18">
        <v>1.222</v>
      </c>
      <c r="F177" s="18">
        <v>0.12280000000000001</v>
      </c>
      <c r="G177" s="18">
        <v>7.4099999999999999E-2</v>
      </c>
      <c r="H177" s="18">
        <v>0.14330000000000001</v>
      </c>
      <c r="I177" s="18">
        <v>4.7E-2</v>
      </c>
      <c r="J177" s="18">
        <v>7.6799999999999993E-2</v>
      </c>
      <c r="K177" s="18">
        <v>0.2626</v>
      </c>
      <c r="L177" s="18">
        <v>5.5500000000000001E-2</v>
      </c>
      <c r="M177" s="18">
        <v>0.16109999999999999</v>
      </c>
      <c r="N177" s="18">
        <v>0.16969999999999999</v>
      </c>
      <c r="O177" s="18">
        <v>0.1236</v>
      </c>
      <c r="P177" s="18">
        <v>5.5500000000000001E-2</v>
      </c>
      <c r="Q177" s="18">
        <v>0.26850000000000002</v>
      </c>
      <c r="R177" s="18">
        <v>6.2300000000000001E-2</v>
      </c>
      <c r="S177" s="18">
        <v>8.9499999999999996E-2</v>
      </c>
      <c r="T177" s="18">
        <v>0.2268</v>
      </c>
      <c r="U177" s="18">
        <v>0.2324</v>
      </c>
      <c r="V177" s="18">
        <v>1.2484999999999999</v>
      </c>
      <c r="W177" s="18">
        <v>0.16209999999999999</v>
      </c>
      <c r="X177" s="18">
        <v>0.43169999999999997</v>
      </c>
      <c r="Y177" s="18">
        <v>0.40679999999999999</v>
      </c>
      <c r="Z177" s="18">
        <v>0.1938</v>
      </c>
      <c r="AA177" s="18">
        <v>0.25340000000000001</v>
      </c>
      <c r="AB177" s="18">
        <v>0.60640000000000005</v>
      </c>
      <c r="AC177" s="18">
        <v>0.2762</v>
      </c>
      <c r="AD177" s="18">
        <v>0.26200000000000001</v>
      </c>
      <c r="AE177" s="18">
        <v>0.254</v>
      </c>
      <c r="AF177" s="18">
        <v>0.13469999999999999</v>
      </c>
      <c r="AG177" s="18">
        <v>0.20469999999999999</v>
      </c>
      <c r="AH177" s="18">
        <v>0.1193</v>
      </c>
      <c r="AI177" s="18">
        <v>0.19270000000000001</v>
      </c>
      <c r="AJ177" s="18">
        <v>0.14660000000000001</v>
      </c>
      <c r="AK177" s="18">
        <v>4.7E-2</v>
      </c>
      <c r="AL177" s="18">
        <v>0.1236</v>
      </c>
      <c r="AM177" s="18">
        <v>4.7E-2</v>
      </c>
      <c r="AN177" s="18">
        <v>0.14660000000000001</v>
      </c>
      <c r="AO177" s="18">
        <v>0.19270000000000001</v>
      </c>
      <c r="AP177" s="18">
        <v>0.1236</v>
      </c>
      <c r="AQ177" s="18">
        <v>0.1237</v>
      </c>
      <c r="AR177" s="18">
        <v>0.13900000000000001</v>
      </c>
      <c r="AS177" s="18">
        <v>0.1236</v>
      </c>
      <c r="AT177" s="18">
        <v>4.7E-2</v>
      </c>
      <c r="AU177" s="18">
        <v>0.2923</v>
      </c>
      <c r="AV177" s="18">
        <v>4.7E-2</v>
      </c>
      <c r="AW177" s="18">
        <v>4.7E-2</v>
      </c>
      <c r="AX177" s="18">
        <v>0.20039999999999999</v>
      </c>
    </row>
    <row r="178" spans="1:50" x14ac:dyDescent="0.25">
      <c r="A178" s="16" t="s">
        <v>645</v>
      </c>
      <c r="B178" s="13" t="s">
        <v>464</v>
      </c>
      <c r="C178" s="17">
        <v>0.3765</v>
      </c>
      <c r="D178" s="17">
        <v>0.91010000000000002</v>
      </c>
      <c r="E178" s="17">
        <v>2.6996000000000002</v>
      </c>
      <c r="F178" s="17">
        <v>2.552</v>
      </c>
      <c r="G178" s="17">
        <v>5.2999999999999999E-2</v>
      </c>
      <c r="H178" s="17">
        <v>0.21529999999999999</v>
      </c>
      <c r="I178" s="17">
        <v>5.2999999999999999E-2</v>
      </c>
      <c r="J178" s="17">
        <v>8.2500000000000004E-2</v>
      </c>
      <c r="K178" s="17">
        <v>0.18579999999999999</v>
      </c>
      <c r="L178" s="17">
        <v>5.2999999999999999E-2</v>
      </c>
      <c r="M178" s="17">
        <v>0.15629999999999999</v>
      </c>
      <c r="N178" s="17">
        <v>0.112</v>
      </c>
      <c r="O178" s="17">
        <v>5.2999999999999999E-2</v>
      </c>
      <c r="P178" s="17">
        <v>0.14149999999999999</v>
      </c>
      <c r="Q178" s="17">
        <v>0.1268</v>
      </c>
      <c r="R178" s="17">
        <v>5.2999999999999999E-2</v>
      </c>
      <c r="S178" s="17">
        <v>0.21529999999999999</v>
      </c>
      <c r="T178" s="17">
        <v>5.57E-2</v>
      </c>
      <c r="U178" s="17">
        <v>0.23380000000000001</v>
      </c>
      <c r="V178" s="17">
        <v>0.307</v>
      </c>
      <c r="W178" s="17">
        <v>0.127</v>
      </c>
      <c r="X178" s="17">
        <v>0.21529999999999999</v>
      </c>
      <c r="Y178" s="17">
        <v>5.2999999999999999E-2</v>
      </c>
      <c r="Z178" s="17">
        <v>0.15629999999999999</v>
      </c>
      <c r="AA178" s="17">
        <v>0.112</v>
      </c>
      <c r="AB178" s="17">
        <v>0.112</v>
      </c>
      <c r="AC178" s="17">
        <v>0.15629999999999999</v>
      </c>
      <c r="AD178" s="17">
        <v>5.2999999999999999E-2</v>
      </c>
      <c r="AE178" s="17">
        <v>0.21529999999999999</v>
      </c>
      <c r="AF178" s="17">
        <v>5.2999999999999999E-2</v>
      </c>
      <c r="AG178" s="17">
        <v>0.24879999999999999</v>
      </c>
      <c r="AH178" s="17">
        <v>0.36649999999999999</v>
      </c>
      <c r="AI178" s="17">
        <v>0.1895</v>
      </c>
      <c r="AJ178" s="17">
        <v>0.24840000000000001</v>
      </c>
      <c r="AK178" s="17">
        <v>0.30120000000000002</v>
      </c>
      <c r="AL178" s="17">
        <v>0.16</v>
      </c>
      <c r="AM178" s="17">
        <v>0.25879999999999997</v>
      </c>
      <c r="AN178" s="17">
        <v>0.36149999999999999</v>
      </c>
      <c r="AO178" s="17">
        <v>0.35670000000000002</v>
      </c>
      <c r="AP178" s="17">
        <v>0.37</v>
      </c>
      <c r="AQ178" s="17">
        <v>0.38969999999999999</v>
      </c>
      <c r="AR178" s="17">
        <v>0.6623</v>
      </c>
      <c r="AS178" s="17">
        <v>0.59760000000000002</v>
      </c>
      <c r="AT178" s="17">
        <v>0.66510000000000002</v>
      </c>
      <c r="AU178" s="17">
        <v>0.75290000000000001</v>
      </c>
      <c r="AV178" s="17">
        <v>0.57179999999999997</v>
      </c>
      <c r="AW178" s="17">
        <v>0.96509999999999996</v>
      </c>
      <c r="AX178" s="17">
        <v>0.47239999999999999</v>
      </c>
    </row>
    <row r="179" spans="1:50" x14ac:dyDescent="0.25">
      <c r="A179" s="8" t="s">
        <v>220</v>
      </c>
      <c r="B179" s="10" t="s">
        <v>57</v>
      </c>
      <c r="C179" s="18">
        <v>0.18840000000000001</v>
      </c>
      <c r="D179" s="18">
        <v>4.9000000000000002E-2</v>
      </c>
      <c r="E179" s="18">
        <v>0.1024</v>
      </c>
      <c r="F179" s="18">
        <v>0.22989999999999999</v>
      </c>
      <c r="G179" s="18">
        <v>4.9000000000000002E-2</v>
      </c>
      <c r="H179" s="18">
        <v>4.9000000000000002E-2</v>
      </c>
      <c r="I179" s="18">
        <v>0.2833</v>
      </c>
      <c r="J179" s="18">
        <v>4.9000000000000002E-2</v>
      </c>
      <c r="K179" s="18">
        <v>0.14810000000000001</v>
      </c>
      <c r="L179" s="18">
        <v>0.11890000000000001</v>
      </c>
      <c r="M179" s="18">
        <v>0.1225</v>
      </c>
      <c r="N179" s="18">
        <v>0.15640000000000001</v>
      </c>
      <c r="O179" s="18">
        <v>0.1676</v>
      </c>
      <c r="P179" s="18">
        <v>0.16470000000000001</v>
      </c>
      <c r="Q179" s="18">
        <v>4.9000000000000002E-2</v>
      </c>
      <c r="R179" s="18">
        <v>4.9000000000000002E-2</v>
      </c>
      <c r="S179" s="18">
        <v>0.2833</v>
      </c>
      <c r="T179" s="18">
        <v>4.9000000000000002E-2</v>
      </c>
      <c r="U179" s="18">
        <v>0.15640000000000001</v>
      </c>
      <c r="V179" s="18">
        <v>0.1759</v>
      </c>
      <c r="W179" s="18">
        <v>4.9000000000000002E-2</v>
      </c>
      <c r="X179" s="18">
        <v>0.16470000000000001</v>
      </c>
      <c r="Y179" s="18">
        <v>0.1676</v>
      </c>
      <c r="Z179" s="18">
        <v>0.11509999999999999</v>
      </c>
      <c r="AA179" s="18">
        <v>0.36930000000000002</v>
      </c>
      <c r="AB179" s="18">
        <v>0.69830000000000003</v>
      </c>
      <c r="AC179" s="18">
        <v>0.2581</v>
      </c>
      <c r="AD179" s="18">
        <v>0.318</v>
      </c>
      <c r="AE179" s="18">
        <v>0.2737</v>
      </c>
      <c r="AF179" s="18">
        <v>0.2185</v>
      </c>
      <c r="AG179" s="18">
        <v>0.19620000000000001</v>
      </c>
      <c r="AH179" s="18">
        <v>4.9000000000000002E-2</v>
      </c>
      <c r="AI179" s="18">
        <v>0.13159999999999999</v>
      </c>
      <c r="AJ179" s="18">
        <v>0.17100000000000001</v>
      </c>
      <c r="AK179" s="18">
        <v>7.8700000000000006E-2</v>
      </c>
      <c r="AL179" s="18">
        <v>0.22989999999999999</v>
      </c>
      <c r="AM179" s="18">
        <v>0.1024</v>
      </c>
      <c r="AN179" s="18">
        <v>0.10680000000000001</v>
      </c>
      <c r="AO179" s="18">
        <v>0.26550000000000001</v>
      </c>
      <c r="AP179" s="18">
        <v>0.41839999999999999</v>
      </c>
      <c r="AQ179" s="18">
        <v>0.4894</v>
      </c>
      <c r="AR179" s="18">
        <v>0.51419999999999999</v>
      </c>
      <c r="AS179" s="18">
        <v>0.61439999999999995</v>
      </c>
      <c r="AT179" s="18">
        <v>0.77070000000000005</v>
      </c>
      <c r="AU179" s="18">
        <v>0.25109999999999999</v>
      </c>
      <c r="AV179" s="18">
        <v>0.43690000000000001</v>
      </c>
      <c r="AW179" s="18">
        <v>0.24909999999999999</v>
      </c>
      <c r="AX179" s="18">
        <v>0.17649999999999999</v>
      </c>
    </row>
    <row r="180" spans="1:50" x14ac:dyDescent="0.25">
      <c r="A180" s="8" t="s">
        <v>222</v>
      </c>
      <c r="B180" s="10" t="s">
        <v>57</v>
      </c>
      <c r="C180" s="18">
        <v>0.1181</v>
      </c>
      <c r="D180" s="18">
        <v>6.93E-2</v>
      </c>
      <c r="E180" s="18">
        <v>0.21560000000000001</v>
      </c>
      <c r="F180" s="18">
        <v>5.2999999999999999E-2</v>
      </c>
      <c r="G180" s="18">
        <v>0.1181</v>
      </c>
      <c r="H180" s="18">
        <v>0.1668</v>
      </c>
      <c r="I180" s="18">
        <v>5.2999999999999999E-2</v>
      </c>
      <c r="J180" s="18">
        <v>8.5500000000000007E-2</v>
      </c>
      <c r="K180" s="18">
        <v>0.19939999999999999</v>
      </c>
      <c r="L180" s="18">
        <v>5.2999999999999999E-2</v>
      </c>
      <c r="M180" s="18">
        <v>0.2319</v>
      </c>
      <c r="N180" s="18">
        <v>5.2999999999999999E-2</v>
      </c>
      <c r="O180" s="18">
        <v>0.14249999999999999</v>
      </c>
      <c r="P180" s="18">
        <v>0.14249999999999999</v>
      </c>
      <c r="Q180" s="18">
        <v>0.11899999999999999</v>
      </c>
      <c r="R180" s="18">
        <v>0.2319</v>
      </c>
      <c r="S180" s="18">
        <v>0.1492</v>
      </c>
      <c r="T180" s="18">
        <v>0.17380000000000001</v>
      </c>
      <c r="U180" s="18">
        <v>0.40300000000000002</v>
      </c>
      <c r="V180" s="18">
        <v>5.2999999999999999E-2</v>
      </c>
      <c r="W180" s="18">
        <v>0.14249999999999999</v>
      </c>
      <c r="X180" s="18">
        <v>0.35680000000000001</v>
      </c>
      <c r="Y180" s="18">
        <v>1.3678999999999999</v>
      </c>
      <c r="Z180" s="18">
        <v>0.71089999999999998</v>
      </c>
      <c r="AA180" s="18">
        <v>0.17299999999999999</v>
      </c>
      <c r="AB180" s="18">
        <v>0.38319999999999999</v>
      </c>
      <c r="AC180" s="18">
        <v>0.2319</v>
      </c>
      <c r="AD180" s="18">
        <v>5.2999999999999999E-2</v>
      </c>
      <c r="AE180" s="18">
        <v>0.19939999999999999</v>
      </c>
      <c r="AF180" s="18">
        <v>8.9899999999999994E-2</v>
      </c>
      <c r="AG180" s="18">
        <v>1.0913999999999999</v>
      </c>
      <c r="AH180" s="18">
        <v>0.64329999999999998</v>
      </c>
      <c r="AI180" s="18">
        <v>0.50680000000000003</v>
      </c>
      <c r="AJ180" s="18">
        <v>0.53220000000000001</v>
      </c>
      <c r="AK180" s="18">
        <v>0.12859999999999999</v>
      </c>
      <c r="AL180" s="18">
        <v>1.2907999999999999</v>
      </c>
      <c r="AM180" s="18">
        <v>0.19650000000000001</v>
      </c>
      <c r="AN180" s="18">
        <v>0.50800000000000001</v>
      </c>
      <c r="AO180" s="18">
        <v>5.2999999999999999E-2</v>
      </c>
      <c r="AP180" s="18">
        <v>0.2319</v>
      </c>
      <c r="AQ180" s="18">
        <v>5.2999999999999999E-2</v>
      </c>
      <c r="AR180" s="18">
        <v>0.1668</v>
      </c>
      <c r="AS180" s="18">
        <v>0.1181</v>
      </c>
      <c r="AT180" s="18">
        <v>5.2999999999999999E-2</v>
      </c>
      <c r="AU180" s="18">
        <v>0.2319</v>
      </c>
      <c r="AV180" s="18">
        <v>0.2142</v>
      </c>
      <c r="AW180" s="18">
        <v>0.26750000000000002</v>
      </c>
      <c r="AX180" s="18">
        <v>0.30320000000000003</v>
      </c>
    </row>
    <row r="181" spans="1:50" x14ac:dyDescent="0.25">
      <c r="A181" s="8" t="s">
        <v>224</v>
      </c>
      <c r="B181" s="10" t="s">
        <v>57</v>
      </c>
      <c r="C181" s="18">
        <v>0.17430000000000001</v>
      </c>
      <c r="D181" s="18">
        <v>7.6799999999999993E-2</v>
      </c>
      <c r="E181" s="18">
        <v>4.9000000000000002E-2</v>
      </c>
      <c r="F181" s="18">
        <v>9.0800000000000006E-2</v>
      </c>
      <c r="G181" s="18">
        <v>0.16039999999999999</v>
      </c>
      <c r="H181" s="18">
        <v>4.9000000000000002E-2</v>
      </c>
      <c r="I181" s="18">
        <v>0.2021</v>
      </c>
      <c r="J181" s="18">
        <v>4.9000000000000002E-2</v>
      </c>
      <c r="K181" s="18">
        <v>8.3799999999999999E-2</v>
      </c>
      <c r="L181" s="18">
        <v>0.1673</v>
      </c>
      <c r="M181" s="18">
        <v>4.9000000000000002E-2</v>
      </c>
      <c r="N181" s="18">
        <v>0.2021</v>
      </c>
      <c r="O181" s="18">
        <v>0.2364</v>
      </c>
      <c r="P181" s="18">
        <v>0.1673</v>
      </c>
      <c r="Q181" s="18">
        <v>0.12920000000000001</v>
      </c>
      <c r="R181" s="18">
        <v>0.2364</v>
      </c>
      <c r="S181" s="18">
        <v>0.78580000000000005</v>
      </c>
      <c r="T181" s="18">
        <v>0.1812</v>
      </c>
      <c r="U181" s="18">
        <v>0.99409999999999998</v>
      </c>
      <c r="V181" s="18">
        <v>5.3999999999999999E-2</v>
      </c>
      <c r="W181" s="18">
        <v>0.20499999999999999</v>
      </c>
      <c r="X181" s="18">
        <v>6.2700000000000006E-2</v>
      </c>
      <c r="Y181" s="18">
        <v>0.67069999999999996</v>
      </c>
      <c r="Z181" s="18">
        <v>0.44390000000000002</v>
      </c>
      <c r="AA181" s="18">
        <v>1.6145</v>
      </c>
      <c r="AB181" s="18">
        <v>7.0999999999999994E-2</v>
      </c>
      <c r="AC181" s="18">
        <v>0.21029999999999999</v>
      </c>
      <c r="AD181" s="18">
        <v>0.30420000000000003</v>
      </c>
      <c r="AE181" s="18">
        <v>9.0499999999999997E-2</v>
      </c>
      <c r="AF181" s="18">
        <v>0.2278</v>
      </c>
      <c r="AG181" s="18">
        <v>4.9000000000000002E-2</v>
      </c>
      <c r="AH181" s="18">
        <v>4.9000000000000002E-2</v>
      </c>
      <c r="AI181" s="18">
        <v>7.8600000000000003E-2</v>
      </c>
      <c r="AJ181" s="18">
        <v>0.20200000000000001</v>
      </c>
      <c r="AK181" s="18">
        <v>1.5383</v>
      </c>
      <c r="AL181" s="18">
        <v>0.10290000000000001</v>
      </c>
      <c r="AM181" s="18">
        <v>0.24610000000000001</v>
      </c>
      <c r="AN181" s="18">
        <v>0.21840000000000001</v>
      </c>
      <c r="AO181" s="18">
        <v>6.7400000000000002E-2</v>
      </c>
      <c r="AP181" s="18">
        <v>0.2147</v>
      </c>
      <c r="AQ181" s="18">
        <v>4.9000000000000002E-2</v>
      </c>
      <c r="AR181" s="18">
        <v>4.9000000000000002E-2</v>
      </c>
      <c r="AS181" s="18">
        <v>4.9000000000000002E-2</v>
      </c>
      <c r="AT181" s="18">
        <v>0.2021</v>
      </c>
      <c r="AU181" s="18">
        <v>4.9000000000000002E-2</v>
      </c>
      <c r="AV181" s="18">
        <v>9.0800000000000006E-2</v>
      </c>
      <c r="AW181" s="18">
        <v>0.16039999999999999</v>
      </c>
      <c r="AX181" s="18">
        <v>4.9000000000000002E-2</v>
      </c>
    </row>
    <row r="182" spans="1:50" x14ac:dyDescent="0.25">
      <c r="A182" s="8" t="s">
        <v>226</v>
      </c>
      <c r="B182" s="10" t="s">
        <v>57</v>
      </c>
      <c r="C182" s="18">
        <v>0.1376</v>
      </c>
      <c r="D182" s="18">
        <v>0.1288</v>
      </c>
      <c r="E182" s="18">
        <v>0.32169999999999999</v>
      </c>
      <c r="F182" s="18">
        <v>9.3399999999999997E-2</v>
      </c>
      <c r="G182" s="18">
        <v>0.19800000000000001</v>
      </c>
      <c r="H182" s="18">
        <v>0.20830000000000001</v>
      </c>
      <c r="I182" s="18">
        <v>0.1226</v>
      </c>
      <c r="J182" s="18">
        <v>0.32800000000000001</v>
      </c>
      <c r="K182" s="18">
        <v>0.11550000000000001</v>
      </c>
      <c r="L182" s="18">
        <v>0.1179</v>
      </c>
      <c r="M182" s="18">
        <v>0.2077</v>
      </c>
      <c r="N182" s="18">
        <v>0.18729999999999999</v>
      </c>
      <c r="O182" s="18">
        <v>0.1774</v>
      </c>
      <c r="P182" s="18">
        <v>0.2732</v>
      </c>
      <c r="Q182" s="18">
        <v>4.9000000000000002E-2</v>
      </c>
      <c r="R182" s="18">
        <v>0.14630000000000001</v>
      </c>
      <c r="S182" s="18">
        <v>0.16059999999999999</v>
      </c>
      <c r="T182" s="18">
        <v>0.14990000000000001</v>
      </c>
      <c r="U182" s="18">
        <v>0.38400000000000001</v>
      </c>
      <c r="V182" s="18">
        <v>0.40239999999999998</v>
      </c>
      <c r="W182" s="18">
        <v>4.9000000000000002E-2</v>
      </c>
      <c r="X182" s="18">
        <v>0.29780000000000001</v>
      </c>
      <c r="Y182" s="18">
        <v>0.15279999999999999</v>
      </c>
      <c r="Z182" s="18">
        <v>0.12870000000000001</v>
      </c>
      <c r="AA182" s="18">
        <v>0.32179999999999997</v>
      </c>
      <c r="AB182" s="18">
        <v>4.9000000000000002E-2</v>
      </c>
      <c r="AC182" s="18">
        <v>0.32169999999999999</v>
      </c>
      <c r="AD182" s="18">
        <v>0.1288</v>
      </c>
      <c r="AE182" s="18">
        <v>7.85E-2</v>
      </c>
      <c r="AF182" s="18">
        <v>1.1039000000000001</v>
      </c>
      <c r="AG182" s="18">
        <v>0.53</v>
      </c>
      <c r="AH182" s="18">
        <v>0.23749999999999999</v>
      </c>
      <c r="AI182" s="18">
        <v>0.14699999999999999</v>
      </c>
      <c r="AJ182" s="18">
        <v>0.25919999999999999</v>
      </c>
      <c r="AK182" s="18">
        <v>0.2157</v>
      </c>
      <c r="AL182" s="18">
        <v>0.15140000000000001</v>
      </c>
      <c r="AM182" s="18">
        <v>0.36919999999999997</v>
      </c>
      <c r="AN182" s="18">
        <v>0.40139999999999998</v>
      </c>
      <c r="AO182" s="18">
        <v>0.36859999999999998</v>
      </c>
      <c r="AP182" s="18">
        <v>0.39269999999999999</v>
      </c>
      <c r="AQ182" s="18">
        <v>0.44729999999999998</v>
      </c>
      <c r="AR182" s="18">
        <v>0.5524</v>
      </c>
      <c r="AS182" s="18">
        <v>0.28699999999999998</v>
      </c>
      <c r="AT182" s="18">
        <v>0.22439999999999999</v>
      </c>
      <c r="AU182" s="18">
        <v>0.14630000000000001</v>
      </c>
      <c r="AV182" s="18">
        <v>0.17749999999999999</v>
      </c>
      <c r="AW182" s="18">
        <v>0.25919999999999999</v>
      </c>
      <c r="AX182" s="18">
        <v>0.1187</v>
      </c>
    </row>
    <row r="183" spans="1:50" x14ac:dyDescent="0.25">
      <c r="A183" s="8" t="s">
        <v>228</v>
      </c>
      <c r="B183" s="10" t="s">
        <v>57</v>
      </c>
      <c r="C183" s="18">
        <v>4.4999999999999998E-2</v>
      </c>
      <c r="D183" s="18">
        <v>4.4999999999999998E-2</v>
      </c>
      <c r="E183" s="18">
        <v>4.4999999999999998E-2</v>
      </c>
      <c r="F183" s="18">
        <v>4.4999999999999998E-2</v>
      </c>
      <c r="G183" s="18">
        <v>4.4999999999999998E-2</v>
      </c>
      <c r="H183" s="18">
        <v>4.4999999999999998E-2</v>
      </c>
      <c r="I183" s="18">
        <v>4.4999999999999998E-2</v>
      </c>
      <c r="J183" s="18">
        <v>4.4999999999999998E-2</v>
      </c>
      <c r="K183" s="18">
        <v>4.4999999999999998E-2</v>
      </c>
      <c r="L183" s="18">
        <v>4.4999999999999998E-2</v>
      </c>
      <c r="M183" s="18">
        <v>4.4999999999999998E-2</v>
      </c>
      <c r="N183" s="18">
        <v>0.06</v>
      </c>
      <c r="O183" s="18">
        <v>8.9899999999999994E-2</v>
      </c>
      <c r="P183" s="18">
        <v>0.16300000000000001</v>
      </c>
      <c r="Q183" s="18">
        <v>5.91E-2</v>
      </c>
      <c r="R183" s="18">
        <v>0.28770000000000001</v>
      </c>
      <c r="S183" s="18">
        <v>9.0499999999999997E-2</v>
      </c>
      <c r="T183" s="18">
        <v>0.63870000000000005</v>
      </c>
      <c r="U183" s="18">
        <v>0.6794</v>
      </c>
      <c r="V183" s="18">
        <v>0.94579999999999997</v>
      </c>
      <c r="W183" s="18">
        <v>0.1676</v>
      </c>
      <c r="X183" s="18">
        <v>0.2268</v>
      </c>
      <c r="Y183" s="18">
        <v>2.8895</v>
      </c>
      <c r="Z183" s="18">
        <v>2.4636999999999998</v>
      </c>
      <c r="AA183" s="18">
        <v>0.20399999999999999</v>
      </c>
      <c r="AB183" s="18">
        <v>8.8900000000000007E-2</v>
      </c>
      <c r="AC183" s="18">
        <v>9.5000000000000001E-2</v>
      </c>
      <c r="AD183" s="18">
        <v>0.2208</v>
      </c>
      <c r="AE183" s="18">
        <v>0.41899999999999998</v>
      </c>
      <c r="AF183" s="18">
        <v>0.13109999999999999</v>
      </c>
      <c r="AG183" s="18">
        <v>0.14610000000000001</v>
      </c>
      <c r="AH183" s="18">
        <v>0.20219999999999999</v>
      </c>
      <c r="AI183" s="18">
        <v>0.15160000000000001</v>
      </c>
      <c r="AJ183" s="18">
        <v>0.18790000000000001</v>
      </c>
      <c r="AK183" s="18">
        <v>5.2200000000000003E-2</v>
      </c>
      <c r="AL183" s="18">
        <v>0.12809999999999999</v>
      </c>
      <c r="AM183" s="18">
        <v>0.2001</v>
      </c>
      <c r="AN183" s="18">
        <v>0.19550000000000001</v>
      </c>
      <c r="AO183" s="18">
        <v>0.14169999999999999</v>
      </c>
      <c r="AP183" s="18">
        <v>0.57050000000000001</v>
      </c>
      <c r="AQ183" s="18">
        <v>0.49330000000000002</v>
      </c>
      <c r="AR183" s="18">
        <v>0.19409999999999999</v>
      </c>
      <c r="AS183" s="18">
        <v>4.4999999999999998E-2</v>
      </c>
      <c r="AT183" s="18">
        <v>6.6600000000000006E-2</v>
      </c>
      <c r="AU183" s="18">
        <v>6.4000000000000001E-2</v>
      </c>
      <c r="AV183" s="18">
        <v>0.21249999999999999</v>
      </c>
      <c r="AW183" s="18">
        <v>0.33750000000000002</v>
      </c>
      <c r="AX183" s="18">
        <v>0.41199999999999998</v>
      </c>
    </row>
    <row r="184" spans="1:50" x14ac:dyDescent="0.25">
      <c r="A184" s="16" t="s">
        <v>647</v>
      </c>
      <c r="B184" s="13" t="s">
        <v>464</v>
      </c>
      <c r="C184" s="17">
        <v>0.20910000000000001</v>
      </c>
      <c r="D184" s="17">
        <v>5.1999999999999998E-2</v>
      </c>
      <c r="E184" s="17">
        <v>5.1999999999999998E-2</v>
      </c>
      <c r="F184" s="17">
        <v>0.14480000000000001</v>
      </c>
      <c r="G184" s="17">
        <v>0.1163</v>
      </c>
      <c r="H184" s="17">
        <v>8.0600000000000005E-2</v>
      </c>
      <c r="I184" s="17">
        <v>0.18049999999999999</v>
      </c>
      <c r="J184" s="17">
        <v>5.1999999999999998E-2</v>
      </c>
      <c r="K184" s="17">
        <v>5.1999999999999998E-2</v>
      </c>
      <c r="L184" s="17">
        <v>0.20910000000000001</v>
      </c>
      <c r="M184" s="17">
        <v>5.1999999999999998E-2</v>
      </c>
      <c r="N184" s="17">
        <v>5.1999999999999998E-2</v>
      </c>
      <c r="O184" s="17">
        <v>0.28960000000000002</v>
      </c>
      <c r="P184" s="17">
        <v>0.23050000000000001</v>
      </c>
      <c r="Q184" s="17">
        <v>5.1999999999999998E-2</v>
      </c>
      <c r="R184" s="17">
        <v>0.1305</v>
      </c>
      <c r="S184" s="17">
        <v>0.40179999999999999</v>
      </c>
      <c r="T184" s="17">
        <v>1.4705999999999999</v>
      </c>
      <c r="U184" s="17">
        <v>1.0982000000000001</v>
      </c>
      <c r="V184" s="17">
        <v>0.26910000000000001</v>
      </c>
      <c r="W184" s="17">
        <v>0.32800000000000001</v>
      </c>
      <c r="X184" s="17">
        <v>0.31359999999999999</v>
      </c>
      <c r="Y184" s="17">
        <v>0.16170000000000001</v>
      </c>
      <c r="Z184" s="17">
        <v>0.3498</v>
      </c>
      <c r="AA184" s="17">
        <v>8.5500000000000007E-2</v>
      </c>
      <c r="AB184" s="17">
        <v>0.18379999999999999</v>
      </c>
      <c r="AC184" s="17">
        <v>0.21560000000000001</v>
      </c>
      <c r="AD184" s="17">
        <v>0.1096</v>
      </c>
      <c r="AE184" s="17">
        <v>0.25600000000000001</v>
      </c>
      <c r="AF184" s="17">
        <v>9.6500000000000002E-2</v>
      </c>
      <c r="AG184" s="17">
        <v>0.34339999999999998</v>
      </c>
      <c r="AH184" s="17">
        <v>0.3906</v>
      </c>
      <c r="AI184" s="17">
        <v>0.30790000000000001</v>
      </c>
      <c r="AJ184" s="17">
        <v>0.42720000000000002</v>
      </c>
      <c r="AK184" s="17">
        <v>0.4269</v>
      </c>
      <c r="AL184" s="17">
        <v>0.3901</v>
      </c>
      <c r="AM184" s="17">
        <v>0.2666</v>
      </c>
      <c r="AN184" s="17">
        <v>0.47570000000000001</v>
      </c>
      <c r="AO184" s="17">
        <v>0.30659999999999998</v>
      </c>
      <c r="AP184" s="17">
        <v>0.48370000000000002</v>
      </c>
      <c r="AQ184" s="17">
        <v>0.37019999999999997</v>
      </c>
      <c r="AR184" s="17">
        <v>0.41489999999999999</v>
      </c>
      <c r="AS184" s="17">
        <v>0.61429999999999996</v>
      </c>
      <c r="AT184" s="17">
        <v>0.43790000000000001</v>
      </c>
      <c r="AU184" s="17">
        <v>0.88959999999999995</v>
      </c>
      <c r="AV184" s="17">
        <v>0.59089999999999998</v>
      </c>
      <c r="AW184" s="17">
        <v>0.59240000000000004</v>
      </c>
      <c r="AX184" s="17">
        <v>0.13769999999999999</v>
      </c>
    </row>
    <row r="185" spans="1:50" x14ac:dyDescent="0.25">
      <c r="A185" s="16" t="s">
        <v>649</v>
      </c>
      <c r="B185" s="13" t="s">
        <v>464</v>
      </c>
      <c r="C185" s="17">
        <v>0.25019999999999998</v>
      </c>
      <c r="D185" s="17">
        <v>8.1199999999999994E-2</v>
      </c>
      <c r="E185" s="17">
        <v>5.7000000000000002E-2</v>
      </c>
      <c r="F185" s="17">
        <v>0.38040000000000002</v>
      </c>
      <c r="G185" s="17">
        <v>5.7000000000000002E-2</v>
      </c>
      <c r="H185" s="17">
        <v>0.18140000000000001</v>
      </c>
      <c r="I185" s="17">
        <v>0.24149999999999999</v>
      </c>
      <c r="J185" s="17">
        <v>0.12479999999999999</v>
      </c>
      <c r="K185" s="17">
        <v>0.36759999999999998</v>
      </c>
      <c r="L185" s="17">
        <v>7.1499999999999994E-2</v>
      </c>
      <c r="M185" s="17">
        <v>0.18859999999999999</v>
      </c>
      <c r="N185" s="17">
        <v>0.24879999999999999</v>
      </c>
      <c r="O185" s="17">
        <v>6.88E-2</v>
      </c>
      <c r="P185" s="17">
        <v>0.26629999999999998</v>
      </c>
      <c r="Q185" s="17">
        <v>1.6146</v>
      </c>
      <c r="R185" s="17">
        <v>0.36209999999999998</v>
      </c>
      <c r="S185" s="17">
        <v>1.6108</v>
      </c>
      <c r="T185" s="17">
        <v>1.6425000000000001</v>
      </c>
      <c r="U185" s="17">
        <v>0.85140000000000005</v>
      </c>
      <c r="V185" s="17">
        <v>0.29499999999999998</v>
      </c>
      <c r="W185" s="17">
        <v>0.25459999999999999</v>
      </c>
      <c r="X185" s="17">
        <v>1.2896000000000001</v>
      </c>
      <c r="Y185" s="17">
        <v>1.5985</v>
      </c>
      <c r="Z185" s="17">
        <v>0.70779999999999998</v>
      </c>
      <c r="AA185" s="17">
        <v>0.84689999999999999</v>
      </c>
      <c r="AB185" s="17">
        <v>1.6904999999999999</v>
      </c>
      <c r="AC185" s="17">
        <v>0.61339999999999995</v>
      </c>
      <c r="AD185" s="17">
        <v>0.4</v>
      </c>
      <c r="AE185" s="17">
        <v>0.14599999999999999</v>
      </c>
      <c r="AF185" s="17">
        <v>0.52400000000000002</v>
      </c>
      <c r="AG185" s="17">
        <v>0.27089999999999997</v>
      </c>
      <c r="AH185" s="17">
        <v>0.36969999999999997</v>
      </c>
      <c r="AI185" s="17">
        <v>0.23710000000000001</v>
      </c>
      <c r="AJ185" s="17">
        <v>0.21510000000000001</v>
      </c>
      <c r="AK185" s="17">
        <v>0.2351</v>
      </c>
      <c r="AL185" s="17">
        <v>0.1862</v>
      </c>
      <c r="AM185" s="17">
        <v>1.7444</v>
      </c>
      <c r="AN185" s="17">
        <v>0.23549999999999999</v>
      </c>
      <c r="AO185" s="17">
        <v>0.1991</v>
      </c>
      <c r="AP185" s="17">
        <v>0.50129999999999997</v>
      </c>
      <c r="AQ185" s="17">
        <v>0.53759999999999997</v>
      </c>
      <c r="AR185" s="17">
        <v>0.63080000000000003</v>
      </c>
      <c r="AS185" s="17">
        <v>0.31669999999999998</v>
      </c>
      <c r="AT185" s="17">
        <v>0.44519999999999998</v>
      </c>
      <c r="AU185" s="17">
        <v>0.48909999999999998</v>
      </c>
      <c r="AV185" s="17">
        <v>0.40820000000000001</v>
      </c>
      <c r="AW185" s="17">
        <v>0.63300000000000001</v>
      </c>
      <c r="AX185" s="17">
        <v>0.59030000000000005</v>
      </c>
    </row>
    <row r="186" spans="1:50" x14ac:dyDescent="0.25">
      <c r="A186" s="16" t="s">
        <v>651</v>
      </c>
      <c r="B186" s="13" t="s">
        <v>464</v>
      </c>
      <c r="C186" s="17">
        <v>4.8000000000000001E-2</v>
      </c>
      <c r="D186" s="17">
        <v>4.8000000000000001E-2</v>
      </c>
      <c r="E186" s="17">
        <v>0.19900000000000001</v>
      </c>
      <c r="F186" s="17">
        <v>5.5199999999999999E-2</v>
      </c>
      <c r="G186" s="17">
        <v>0.19189999999999999</v>
      </c>
      <c r="H186" s="17">
        <v>0.2737</v>
      </c>
      <c r="I186" s="17">
        <v>0.2215</v>
      </c>
      <c r="J186" s="17">
        <v>4.8000000000000001E-2</v>
      </c>
      <c r="K186" s="17">
        <v>0.17749999999999999</v>
      </c>
      <c r="L186" s="17">
        <v>7.6799999999999993E-2</v>
      </c>
      <c r="M186" s="17">
        <v>0.11269999999999999</v>
      </c>
      <c r="N186" s="17">
        <v>0.14149999999999999</v>
      </c>
      <c r="O186" s="17">
        <v>4.8000000000000001E-2</v>
      </c>
      <c r="P186" s="17">
        <v>0.12709999999999999</v>
      </c>
      <c r="Q186" s="17">
        <v>0.12709999999999999</v>
      </c>
      <c r="R186" s="17">
        <v>7.2499999999999995E-2</v>
      </c>
      <c r="S186" s="17">
        <v>0.20880000000000001</v>
      </c>
      <c r="T186" s="17">
        <v>5.7799999999999997E-2</v>
      </c>
      <c r="U186" s="17">
        <v>0.14149999999999999</v>
      </c>
      <c r="V186" s="17">
        <v>0.1915</v>
      </c>
      <c r="W186" s="17">
        <v>4.8000000000000001E-2</v>
      </c>
      <c r="X186" s="17">
        <v>0.20619999999999999</v>
      </c>
      <c r="Y186" s="17">
        <v>4.8000000000000001E-2</v>
      </c>
      <c r="Z186" s="17">
        <v>5.79E-2</v>
      </c>
      <c r="AA186" s="17">
        <v>7.4499999999999997E-2</v>
      </c>
      <c r="AB186" s="17">
        <v>0.20830000000000001</v>
      </c>
      <c r="AC186" s="17">
        <v>0.14460000000000001</v>
      </c>
      <c r="AD186" s="17">
        <v>0.1062</v>
      </c>
      <c r="AE186" s="17">
        <v>0.31850000000000001</v>
      </c>
      <c r="AF186" s="17">
        <v>0.1636</v>
      </c>
      <c r="AG186" s="17">
        <v>0.1532</v>
      </c>
      <c r="AH186" s="17">
        <v>0.16220000000000001</v>
      </c>
      <c r="AI186" s="17">
        <v>7.8399999999999997E-2</v>
      </c>
      <c r="AJ186" s="17">
        <v>0.1648</v>
      </c>
      <c r="AK186" s="17">
        <v>0.27539999999999998</v>
      </c>
      <c r="AL186" s="17">
        <v>0.46450000000000002</v>
      </c>
      <c r="AM186" s="17">
        <v>0.2361</v>
      </c>
      <c r="AN186" s="17">
        <v>0.51739999999999997</v>
      </c>
      <c r="AO186" s="17">
        <v>0.60089999999999999</v>
      </c>
      <c r="AP186" s="17">
        <v>0.1893</v>
      </c>
      <c r="AQ186" s="17">
        <v>0.21410000000000001</v>
      </c>
      <c r="AR186" s="17">
        <v>0.25069999999999998</v>
      </c>
      <c r="AS186" s="17">
        <v>0.21829999999999999</v>
      </c>
      <c r="AT186" s="17">
        <v>0.23880000000000001</v>
      </c>
      <c r="AU186" s="17">
        <v>0.53869999999999996</v>
      </c>
      <c r="AV186" s="17">
        <v>0.32429999999999998</v>
      </c>
      <c r="AW186" s="17">
        <v>0.37259999999999999</v>
      </c>
      <c r="AX186" s="17">
        <v>4.8000000000000001E-2</v>
      </c>
    </row>
    <row r="187" spans="1:50" x14ac:dyDescent="0.25">
      <c r="A187" s="16" t="s">
        <v>653</v>
      </c>
      <c r="B187" s="13" t="s">
        <v>464</v>
      </c>
      <c r="C187" s="17">
        <v>0.1736</v>
      </c>
      <c r="D187" s="17">
        <v>7.9000000000000001E-2</v>
      </c>
      <c r="E187" s="17">
        <v>7.2300000000000003E-2</v>
      </c>
      <c r="F187" s="17">
        <v>0.18029999999999999</v>
      </c>
      <c r="G187" s="17">
        <v>5.1999999999999998E-2</v>
      </c>
      <c r="H187" s="17">
        <v>0.18029999999999999</v>
      </c>
      <c r="I187" s="17">
        <v>7.2300000000000003E-2</v>
      </c>
      <c r="J187" s="17">
        <v>7.9000000000000001E-2</v>
      </c>
      <c r="K187" s="17">
        <v>0.1736</v>
      </c>
      <c r="L187" s="17">
        <v>5.1999999999999998E-2</v>
      </c>
      <c r="M187" s="17">
        <v>0.2006</v>
      </c>
      <c r="N187" s="17">
        <v>5.1999999999999998E-2</v>
      </c>
      <c r="O187" s="17">
        <v>1.1586000000000001</v>
      </c>
      <c r="P187" s="17">
        <v>0.2515</v>
      </c>
      <c r="Q187" s="17">
        <v>7.2300000000000003E-2</v>
      </c>
      <c r="R187" s="17">
        <v>5.1999999999999998E-2</v>
      </c>
      <c r="S187" s="17">
        <v>5.1999999999999998E-2</v>
      </c>
      <c r="T187" s="17">
        <v>0.2006</v>
      </c>
      <c r="U187" s="17">
        <v>5.1999999999999998E-2</v>
      </c>
      <c r="V187" s="17">
        <v>0.1331</v>
      </c>
      <c r="W187" s="17">
        <v>0.1195</v>
      </c>
      <c r="X187" s="17">
        <v>7.2300000000000003E-2</v>
      </c>
      <c r="Y187" s="17">
        <v>0.18029999999999999</v>
      </c>
      <c r="Z187" s="17">
        <v>5.1999999999999998E-2</v>
      </c>
      <c r="AA187" s="17">
        <v>0.2006</v>
      </c>
      <c r="AB187" s="17">
        <v>5.1999999999999998E-2</v>
      </c>
      <c r="AC187" s="17">
        <v>5.1999999999999998E-2</v>
      </c>
      <c r="AD187" s="17">
        <v>0.2006</v>
      </c>
      <c r="AE187" s="17">
        <v>5.1999999999999998E-2</v>
      </c>
      <c r="AF187" s="17">
        <v>0.18029999999999999</v>
      </c>
      <c r="AG187" s="17">
        <v>7.2300000000000003E-2</v>
      </c>
      <c r="AH187" s="17">
        <v>5.8799999999999998E-2</v>
      </c>
      <c r="AI187" s="17">
        <v>0.1938</v>
      </c>
      <c r="AJ187" s="17">
        <v>5.1999999999999998E-2</v>
      </c>
      <c r="AK187" s="17">
        <v>0.1263</v>
      </c>
      <c r="AL187" s="17">
        <v>0.1263</v>
      </c>
      <c r="AM187" s="17">
        <v>5.1999999999999998E-2</v>
      </c>
      <c r="AN187" s="17">
        <v>0.2006</v>
      </c>
      <c r="AO187" s="17">
        <v>5.1999999999999998E-2</v>
      </c>
      <c r="AP187" s="17">
        <v>5.1999999999999998E-2</v>
      </c>
      <c r="AQ187" s="17">
        <v>5.1999999999999998E-2</v>
      </c>
      <c r="AR187" s="17">
        <v>0.2006</v>
      </c>
      <c r="AS187" s="17">
        <v>5.1999999999999998E-2</v>
      </c>
      <c r="AT187" s="17">
        <v>0.1263</v>
      </c>
      <c r="AU187" s="17">
        <v>0.1263</v>
      </c>
      <c r="AV187" s="17">
        <v>5.1999999999999998E-2</v>
      </c>
      <c r="AW187" s="17">
        <v>5.1999999999999998E-2</v>
      </c>
      <c r="AX187" s="17">
        <v>0.2006</v>
      </c>
    </row>
    <row r="188" spans="1:50" x14ac:dyDescent="0.25">
      <c r="A188" s="8" t="s">
        <v>230</v>
      </c>
      <c r="B188" s="10" t="s">
        <v>57</v>
      </c>
      <c r="C188" s="18">
        <v>4.2999999999999997E-2</v>
      </c>
      <c r="D188" s="18">
        <v>4.2999999999999997E-2</v>
      </c>
      <c r="E188" s="18">
        <v>4.2999999999999997E-2</v>
      </c>
      <c r="F188" s="18">
        <v>4.2999999999999997E-2</v>
      </c>
      <c r="G188" s="18">
        <v>4.2999999999999997E-2</v>
      </c>
      <c r="H188" s="18">
        <v>4.2999999999999997E-2</v>
      </c>
      <c r="I188" s="18">
        <v>4.2999999999999997E-2</v>
      </c>
      <c r="J188" s="18">
        <v>4.2999999999999997E-2</v>
      </c>
      <c r="K188" s="18">
        <v>4.2999999999999997E-2</v>
      </c>
      <c r="L188" s="18">
        <v>4.2999999999999997E-2</v>
      </c>
      <c r="M188" s="18">
        <v>4.2999999999999997E-2</v>
      </c>
      <c r="N188" s="18">
        <v>4.2999999999999997E-2</v>
      </c>
      <c r="O188" s="18">
        <v>4.2999999999999997E-2</v>
      </c>
      <c r="P188" s="18">
        <v>4.2999999999999997E-2</v>
      </c>
      <c r="Q188" s="18">
        <v>4.2999999999999997E-2</v>
      </c>
      <c r="R188" s="18">
        <v>4.2999999999999997E-2</v>
      </c>
      <c r="S188" s="18">
        <v>0.25030000000000002</v>
      </c>
      <c r="T188" s="18">
        <v>5.6300000000000003E-2</v>
      </c>
      <c r="U188" s="18">
        <v>4.2999999999999997E-2</v>
      </c>
      <c r="V188" s="18">
        <v>4.2999999999999997E-2</v>
      </c>
      <c r="W188" s="18">
        <v>0.15140000000000001</v>
      </c>
      <c r="X188" s="18">
        <v>0.84119999999999995</v>
      </c>
      <c r="Y188" s="18">
        <v>0.78110000000000002</v>
      </c>
      <c r="Z188" s="18">
        <v>4.4499999999999998E-2</v>
      </c>
      <c r="AA188" s="18">
        <v>4.2999999999999997E-2</v>
      </c>
      <c r="AB188" s="18">
        <v>0.1031</v>
      </c>
      <c r="AC188" s="18">
        <v>6.1699999999999998E-2</v>
      </c>
      <c r="AD188" s="18">
        <v>0.28389999999999999</v>
      </c>
      <c r="AE188" s="18">
        <v>0.85329999999999995</v>
      </c>
      <c r="AF188" s="18">
        <v>1.9292</v>
      </c>
      <c r="AG188" s="18">
        <v>0.24479999999999999</v>
      </c>
      <c r="AH188" s="18">
        <v>1.0383</v>
      </c>
      <c r="AI188" s="18">
        <v>0.76919999999999999</v>
      </c>
      <c r="AJ188" s="18">
        <v>0.2979</v>
      </c>
      <c r="AK188" s="18">
        <v>7.5600000000000001E-2</v>
      </c>
      <c r="AL188" s="18">
        <v>0.15160000000000001</v>
      </c>
      <c r="AM188" s="18">
        <v>0.39660000000000001</v>
      </c>
      <c r="AN188" s="18">
        <v>0.32579999999999998</v>
      </c>
      <c r="AO188" s="18">
        <v>0.16250000000000001</v>
      </c>
      <c r="AP188" s="18">
        <v>0.25829999999999997</v>
      </c>
      <c r="AQ188" s="18">
        <v>0.3125</v>
      </c>
      <c r="AR188" s="18">
        <v>0.32679999999999998</v>
      </c>
      <c r="AS188" s="18">
        <v>0.48049999999999998</v>
      </c>
      <c r="AT188" s="18">
        <v>0.33110000000000001</v>
      </c>
      <c r="AU188" s="18">
        <v>0.30280000000000001</v>
      </c>
      <c r="AV188" s="18">
        <v>0.40560000000000002</v>
      </c>
      <c r="AW188" s="18">
        <v>0.31630000000000003</v>
      </c>
      <c r="AX188" s="18">
        <v>4.2999999999999997E-2</v>
      </c>
    </row>
    <row r="189" spans="1:50" x14ac:dyDescent="0.25">
      <c r="A189" s="8" t="s">
        <v>232</v>
      </c>
      <c r="B189" s="10" t="s">
        <v>57</v>
      </c>
      <c r="C189" s="18">
        <v>0.27929999999999999</v>
      </c>
      <c r="D189" s="18">
        <v>5.0999999999999997E-2</v>
      </c>
      <c r="E189" s="18">
        <v>0.2135</v>
      </c>
      <c r="F189" s="18">
        <v>0.1245</v>
      </c>
      <c r="G189" s="18">
        <v>6.54E-2</v>
      </c>
      <c r="H189" s="18">
        <v>0.19520000000000001</v>
      </c>
      <c r="I189" s="18">
        <v>0.1283</v>
      </c>
      <c r="J189" s="18">
        <v>0.2097</v>
      </c>
      <c r="K189" s="18">
        <v>5.0999999999999997E-2</v>
      </c>
      <c r="L189" s="18">
        <v>0.1197</v>
      </c>
      <c r="M189" s="18">
        <v>0.21829999999999999</v>
      </c>
      <c r="N189" s="18">
        <v>7.2499999999999995E-2</v>
      </c>
      <c r="O189" s="18">
        <v>0.10680000000000001</v>
      </c>
      <c r="P189" s="18">
        <v>0.14929999999999999</v>
      </c>
      <c r="Q189" s="18">
        <v>0.17460000000000001</v>
      </c>
      <c r="R189" s="18">
        <v>6.8400000000000002E-2</v>
      </c>
      <c r="S189" s="18">
        <v>0.15429999999999999</v>
      </c>
      <c r="T189" s="18">
        <v>0.54920000000000002</v>
      </c>
      <c r="U189" s="18">
        <v>1.6685000000000001</v>
      </c>
      <c r="V189" s="18">
        <v>0.2918</v>
      </c>
      <c r="W189" s="18">
        <v>0.42730000000000001</v>
      </c>
      <c r="X189" s="18">
        <v>0.25419999999999998</v>
      </c>
      <c r="Y189" s="18">
        <v>0.26779999999999998</v>
      </c>
      <c r="Z189" s="18">
        <v>1.7166999999999999</v>
      </c>
      <c r="AA189" s="18">
        <v>1.218</v>
      </c>
      <c r="AB189" s="18">
        <v>0.97450000000000003</v>
      </c>
      <c r="AC189" s="18">
        <v>0.41789999999999999</v>
      </c>
      <c r="AD189" s="18">
        <v>0.17469999999999999</v>
      </c>
      <c r="AE189" s="18">
        <v>0.3841</v>
      </c>
      <c r="AF189" s="18">
        <v>0.2167</v>
      </c>
      <c r="AG189" s="18">
        <v>0.98329999999999995</v>
      </c>
      <c r="AH189" s="18">
        <v>0.43709999999999999</v>
      </c>
      <c r="AI189" s="18">
        <v>0.50580000000000003</v>
      </c>
      <c r="AJ189" s="18">
        <v>0.41310000000000002</v>
      </c>
      <c r="AK189" s="18">
        <v>6.3200000000000006E-2</v>
      </c>
      <c r="AL189" s="18">
        <v>0.13980000000000001</v>
      </c>
      <c r="AM189" s="18">
        <v>0.21609999999999999</v>
      </c>
      <c r="AN189" s="18">
        <v>8.5300000000000001E-2</v>
      </c>
      <c r="AO189" s="18">
        <v>0.2397</v>
      </c>
      <c r="AP189" s="18">
        <v>0.17119999999999999</v>
      </c>
      <c r="AQ189" s="18">
        <v>0.58760000000000001</v>
      </c>
      <c r="AR189" s="18">
        <v>0.28320000000000001</v>
      </c>
      <c r="AS189" s="18">
        <v>0.64510000000000001</v>
      </c>
      <c r="AT189" s="18">
        <v>0.35539999999999999</v>
      </c>
      <c r="AU189" s="18">
        <v>0.60870000000000002</v>
      </c>
      <c r="AV189" s="18">
        <v>0.34329999999999999</v>
      </c>
      <c r="AW189" s="18">
        <v>0.27650000000000002</v>
      </c>
      <c r="AX189" s="18">
        <v>0.52990000000000004</v>
      </c>
    </row>
    <row r="190" spans="1:50" x14ac:dyDescent="0.25">
      <c r="A190" s="16" t="s">
        <v>655</v>
      </c>
      <c r="B190" s="13" t="s">
        <v>464</v>
      </c>
      <c r="C190" s="17">
        <v>4.8000000000000001E-2</v>
      </c>
      <c r="D190" s="17">
        <v>4.8000000000000001E-2</v>
      </c>
      <c r="E190" s="17">
        <v>4.8000000000000001E-2</v>
      </c>
      <c r="F190" s="17">
        <v>4.8000000000000001E-2</v>
      </c>
      <c r="G190" s="17">
        <v>4.8000000000000001E-2</v>
      </c>
      <c r="H190" s="17">
        <v>4.8000000000000001E-2</v>
      </c>
      <c r="I190" s="17">
        <v>4.8000000000000001E-2</v>
      </c>
      <c r="J190" s="17">
        <v>4.8000000000000001E-2</v>
      </c>
      <c r="K190" s="17">
        <v>4.8000000000000001E-2</v>
      </c>
      <c r="L190" s="17">
        <v>4.8000000000000001E-2</v>
      </c>
      <c r="M190" s="17">
        <v>4.8000000000000001E-2</v>
      </c>
      <c r="N190" s="17">
        <v>4.8000000000000001E-2</v>
      </c>
      <c r="O190" s="17">
        <v>4.8000000000000001E-2</v>
      </c>
      <c r="P190" s="17">
        <v>4.8000000000000001E-2</v>
      </c>
      <c r="Q190" s="17">
        <v>4.8000000000000001E-2</v>
      </c>
      <c r="R190" s="17">
        <v>0.51919999999999999</v>
      </c>
      <c r="S190" s="17">
        <v>1.5153000000000001</v>
      </c>
      <c r="T190" s="17">
        <v>1.3561000000000001</v>
      </c>
      <c r="U190" s="17">
        <v>0.1802</v>
      </c>
      <c r="V190" s="17">
        <v>0.22320000000000001</v>
      </c>
      <c r="W190" s="17">
        <v>0.40029999999999999</v>
      </c>
      <c r="X190" s="17">
        <v>0.51480000000000004</v>
      </c>
      <c r="Y190" s="17">
        <v>1.2055</v>
      </c>
      <c r="Z190" s="17">
        <v>1.5288999999999999</v>
      </c>
      <c r="AA190" s="17">
        <v>0.37069999999999997</v>
      </c>
      <c r="AB190" s="17">
        <v>0.21099999999999999</v>
      </c>
      <c r="AC190" s="17">
        <v>4.8000000000000001E-2</v>
      </c>
      <c r="AD190" s="17">
        <v>4.8000000000000001E-2</v>
      </c>
      <c r="AE190" s="17">
        <v>4.8000000000000001E-2</v>
      </c>
      <c r="AF190" s="17">
        <v>4.8000000000000001E-2</v>
      </c>
      <c r="AG190" s="17">
        <v>4.8000000000000001E-2</v>
      </c>
      <c r="AH190" s="17">
        <v>4.8000000000000001E-2</v>
      </c>
      <c r="AI190" s="17">
        <v>4.8000000000000001E-2</v>
      </c>
      <c r="AJ190" s="17">
        <v>4.8000000000000001E-2</v>
      </c>
      <c r="AK190" s="17">
        <v>4.8000000000000001E-2</v>
      </c>
      <c r="AL190" s="17">
        <v>4.8000000000000001E-2</v>
      </c>
      <c r="AM190" s="17">
        <v>0.2142</v>
      </c>
      <c r="AN190" s="17">
        <v>0.2646</v>
      </c>
      <c r="AO190" s="17">
        <v>0.41639999999999999</v>
      </c>
      <c r="AP190" s="17">
        <v>0.52090000000000003</v>
      </c>
      <c r="AQ190" s="17">
        <v>0.33729999999999999</v>
      </c>
      <c r="AR190" s="17">
        <v>0.49409999999999998</v>
      </c>
      <c r="AS190" s="17">
        <v>0.55369999999999997</v>
      </c>
      <c r="AT190" s="17">
        <v>0.80930000000000002</v>
      </c>
      <c r="AU190" s="17">
        <v>0.6119</v>
      </c>
      <c r="AV190" s="17">
        <v>1.0903</v>
      </c>
      <c r="AW190" s="17">
        <v>0.93920000000000003</v>
      </c>
      <c r="AX190" s="17">
        <v>0.45329999999999998</v>
      </c>
    </row>
    <row r="191" spans="1:50" x14ac:dyDescent="0.25">
      <c r="A191" s="16" t="s">
        <v>657</v>
      </c>
      <c r="B191" s="13" t="s">
        <v>464</v>
      </c>
      <c r="C191" s="17">
        <v>4.3999999999999997E-2</v>
      </c>
      <c r="D191" s="17">
        <v>4.3999999999999997E-2</v>
      </c>
      <c r="E191" s="17">
        <v>4.3999999999999997E-2</v>
      </c>
      <c r="F191" s="17">
        <v>0.1701</v>
      </c>
      <c r="G191" s="17">
        <v>0.1784</v>
      </c>
      <c r="H191" s="17">
        <v>7.6999999999999999E-2</v>
      </c>
      <c r="I191" s="17">
        <v>0.27160000000000001</v>
      </c>
      <c r="J191" s="17">
        <v>4.3999999999999997E-2</v>
      </c>
      <c r="K191" s="17">
        <v>8.2500000000000004E-2</v>
      </c>
      <c r="L191" s="17">
        <v>0.2661</v>
      </c>
      <c r="M191" s="17">
        <v>4.3999999999999997E-2</v>
      </c>
      <c r="N191" s="17">
        <v>0.15640000000000001</v>
      </c>
      <c r="O191" s="17">
        <v>0.19220000000000001</v>
      </c>
      <c r="P191" s="17">
        <v>4.3999999999999997E-2</v>
      </c>
      <c r="Q191" s="17">
        <v>0.1056</v>
      </c>
      <c r="R191" s="17">
        <v>0.13300000000000001</v>
      </c>
      <c r="S191" s="17">
        <v>0.13739999999999999</v>
      </c>
      <c r="T191" s="17">
        <v>0.41099999999999998</v>
      </c>
      <c r="U191" s="17">
        <v>0.13719999999999999</v>
      </c>
      <c r="V191" s="17">
        <v>0.14269999999999999</v>
      </c>
      <c r="W191" s="17">
        <v>0.14299999999999999</v>
      </c>
      <c r="X191" s="17">
        <v>0.23580000000000001</v>
      </c>
      <c r="Y191" s="17">
        <v>9.8900000000000002E-2</v>
      </c>
      <c r="Z191" s="17">
        <v>0.18759999999999999</v>
      </c>
      <c r="AA191" s="17">
        <v>0.38969999999999999</v>
      </c>
      <c r="AB191" s="17">
        <v>0.26669999999999999</v>
      </c>
      <c r="AC191" s="17">
        <v>0.3322</v>
      </c>
      <c r="AD191" s="17">
        <v>0.12640000000000001</v>
      </c>
      <c r="AE191" s="17">
        <v>7.1499999999999994E-2</v>
      </c>
      <c r="AF191" s="17">
        <v>0.2661</v>
      </c>
      <c r="AG191" s="17">
        <v>8.2500000000000004E-2</v>
      </c>
      <c r="AH191" s="17">
        <v>9.8900000000000002E-2</v>
      </c>
      <c r="AI191" s="17">
        <v>0.22220000000000001</v>
      </c>
      <c r="AJ191" s="17">
        <v>7.1400000000000005E-2</v>
      </c>
      <c r="AK191" s="17">
        <v>4.3999999999999997E-2</v>
      </c>
      <c r="AL191" s="17">
        <v>0.15770000000000001</v>
      </c>
      <c r="AM191" s="17">
        <v>0.22969999999999999</v>
      </c>
      <c r="AN191" s="17">
        <v>0.15390000000000001</v>
      </c>
      <c r="AO191" s="17">
        <v>0.26379999999999998</v>
      </c>
      <c r="AP191" s="17">
        <v>0.3589</v>
      </c>
      <c r="AQ191" s="17">
        <v>0.57769999999999999</v>
      </c>
      <c r="AR191" s="17">
        <v>0.4148</v>
      </c>
      <c r="AS191" s="17">
        <v>0.6542</v>
      </c>
      <c r="AT191" s="17">
        <v>0.74429999999999996</v>
      </c>
      <c r="AU191" s="17">
        <v>0.629</v>
      </c>
      <c r="AV191" s="17">
        <v>0.71330000000000005</v>
      </c>
      <c r="AW191" s="17">
        <v>0.71560000000000001</v>
      </c>
      <c r="AX191" s="17">
        <v>0.64929999999999999</v>
      </c>
    </row>
    <row r="192" spans="1:50" x14ac:dyDescent="0.25">
      <c r="A192" s="16" t="s">
        <v>659</v>
      </c>
      <c r="B192" s="13" t="s">
        <v>464</v>
      </c>
      <c r="C192" s="17">
        <v>0.23799999999999999</v>
      </c>
      <c r="D192" s="17">
        <v>0.16470000000000001</v>
      </c>
      <c r="E192" s="17">
        <v>0.1331</v>
      </c>
      <c r="F192" s="17">
        <v>0.15970000000000001</v>
      </c>
      <c r="G192" s="17">
        <v>8.2100000000000006E-2</v>
      </c>
      <c r="H192" s="17">
        <v>0.1163</v>
      </c>
      <c r="I192" s="17">
        <v>0.16</v>
      </c>
      <c r="J192" s="17">
        <v>0.1285</v>
      </c>
      <c r="K192" s="17">
        <v>0.20810000000000001</v>
      </c>
      <c r="L192" s="17">
        <v>0.16470000000000001</v>
      </c>
      <c r="M192" s="17">
        <v>4.9000000000000002E-2</v>
      </c>
      <c r="N192" s="17">
        <v>0.23799999999999999</v>
      </c>
      <c r="O192" s="17">
        <v>4.9000000000000002E-2</v>
      </c>
      <c r="P192" s="17">
        <v>1.0871999999999999</v>
      </c>
      <c r="Q192" s="17">
        <v>0.46410000000000001</v>
      </c>
      <c r="R192" s="17">
        <v>0.27839999999999998</v>
      </c>
      <c r="S192" s="17">
        <v>0.25919999999999999</v>
      </c>
      <c r="T192" s="17">
        <v>0.26860000000000001</v>
      </c>
      <c r="U192" s="17">
        <v>0.1875</v>
      </c>
      <c r="V192" s="17">
        <v>0.33689999999999998</v>
      </c>
      <c r="W192" s="17">
        <v>0.2336</v>
      </c>
      <c r="X192" s="17">
        <v>0.3029</v>
      </c>
      <c r="Y192" s="17">
        <v>0.22020000000000001</v>
      </c>
      <c r="Z192" s="17">
        <v>0.11070000000000001</v>
      </c>
      <c r="AA192" s="17">
        <v>0.1777</v>
      </c>
      <c r="AB192" s="17">
        <v>0.20649999999999999</v>
      </c>
      <c r="AC192" s="17">
        <v>0.36919999999999997</v>
      </c>
      <c r="AD192" s="17">
        <v>0.25</v>
      </c>
      <c r="AE192" s="17">
        <v>0.40710000000000002</v>
      </c>
      <c r="AF192" s="17">
        <v>0.29499999999999998</v>
      </c>
      <c r="AG192" s="17">
        <v>0.18140000000000001</v>
      </c>
      <c r="AH192" s="17">
        <v>0.25359999999999999</v>
      </c>
      <c r="AI192" s="17">
        <v>0.1953</v>
      </c>
      <c r="AJ192" s="17">
        <v>0.32369999999999999</v>
      </c>
      <c r="AK192" s="17">
        <v>0.2545</v>
      </c>
      <c r="AL192" s="17">
        <v>4.9000000000000002E-2</v>
      </c>
      <c r="AM192" s="17">
        <v>0.25330000000000003</v>
      </c>
      <c r="AN192" s="17">
        <v>8.1799999999999998E-2</v>
      </c>
      <c r="AO192" s="17">
        <v>9.6199999999999994E-2</v>
      </c>
      <c r="AP192" s="17">
        <v>0.64239999999999997</v>
      </c>
      <c r="AQ192" s="17">
        <v>0.5716</v>
      </c>
      <c r="AR192" s="17">
        <v>0.5645</v>
      </c>
      <c r="AS192" s="17">
        <v>0.78839999999999999</v>
      </c>
      <c r="AT192" s="17">
        <v>0.81840000000000002</v>
      </c>
      <c r="AU192" s="17">
        <v>0.41110000000000002</v>
      </c>
      <c r="AV192" s="17">
        <v>5.4600000000000003E-2</v>
      </c>
      <c r="AW192" s="17">
        <v>0.247</v>
      </c>
      <c r="AX192" s="17">
        <v>0.15010000000000001</v>
      </c>
    </row>
    <row r="193" spans="1:50" x14ac:dyDescent="0.25">
      <c r="A193" s="8" t="s">
        <v>234</v>
      </c>
      <c r="B193" s="10" t="s">
        <v>57</v>
      </c>
      <c r="C193" s="18">
        <v>5.1999999999999998E-2</v>
      </c>
      <c r="D193" s="18">
        <v>5.1999999999999998E-2</v>
      </c>
      <c r="E193" s="18">
        <v>5.1999999999999998E-2</v>
      </c>
      <c r="F193" s="18">
        <v>5.1999999999999998E-2</v>
      </c>
      <c r="G193" s="18">
        <v>5.1999999999999998E-2</v>
      </c>
      <c r="H193" s="18">
        <v>5.1999999999999998E-2</v>
      </c>
      <c r="I193" s="18">
        <v>5.1999999999999998E-2</v>
      </c>
      <c r="J193" s="18">
        <v>5.1999999999999998E-2</v>
      </c>
      <c r="K193" s="18">
        <v>5.1999999999999998E-2</v>
      </c>
      <c r="L193" s="18">
        <v>5.1999999999999998E-2</v>
      </c>
      <c r="M193" s="18">
        <v>5.1999999999999998E-2</v>
      </c>
      <c r="N193" s="18">
        <v>5.1999999999999998E-2</v>
      </c>
      <c r="O193" s="18">
        <v>5.1999999999999998E-2</v>
      </c>
      <c r="P193" s="18">
        <v>7.9100000000000004E-2</v>
      </c>
      <c r="Q193" s="18">
        <v>1.9011</v>
      </c>
      <c r="R193" s="18">
        <v>0.29370000000000002</v>
      </c>
      <c r="S193" s="18">
        <v>0.3105</v>
      </c>
      <c r="T193" s="18">
        <v>0.2505</v>
      </c>
      <c r="U193" s="18">
        <v>0.2475</v>
      </c>
      <c r="V193" s="18">
        <v>0.25169999999999998</v>
      </c>
      <c r="W193" s="18">
        <v>0.23669999999999999</v>
      </c>
      <c r="X193" s="18">
        <v>1.2697000000000001</v>
      </c>
      <c r="Y193" s="18">
        <v>0.1178</v>
      </c>
      <c r="Z193" s="18">
        <v>0.1469</v>
      </c>
      <c r="AA193" s="18">
        <v>5.1999999999999998E-2</v>
      </c>
      <c r="AB193" s="18">
        <v>5.1999999999999998E-2</v>
      </c>
      <c r="AC193" s="18">
        <v>5.1999999999999998E-2</v>
      </c>
      <c r="AD193" s="18">
        <v>5.1999999999999998E-2</v>
      </c>
      <c r="AE193" s="18">
        <v>5.1999999999999998E-2</v>
      </c>
      <c r="AF193" s="18">
        <v>5.1999999999999998E-2</v>
      </c>
      <c r="AG193" s="18">
        <v>5.1999999999999998E-2</v>
      </c>
      <c r="AH193" s="18">
        <v>5.1999999999999998E-2</v>
      </c>
      <c r="AI193" s="18">
        <v>5.1999999999999998E-2</v>
      </c>
      <c r="AJ193" s="18">
        <v>5.1999999999999998E-2</v>
      </c>
      <c r="AK193" s="18">
        <v>0.17549999999999999</v>
      </c>
      <c r="AL193" s="18">
        <v>1.7666999999999999</v>
      </c>
      <c r="AM193" s="18">
        <v>0.6794</v>
      </c>
      <c r="AN193" s="18">
        <v>0.15679999999999999</v>
      </c>
      <c r="AO193" s="18">
        <v>0.1159</v>
      </c>
      <c r="AP193" s="18">
        <v>0.1366</v>
      </c>
      <c r="AQ193" s="18">
        <v>5.1999999999999998E-2</v>
      </c>
      <c r="AR193" s="18">
        <v>5.1999999999999998E-2</v>
      </c>
      <c r="AS193" s="18">
        <v>5.1999999999999998E-2</v>
      </c>
      <c r="AT193" s="18">
        <v>5.1999999999999998E-2</v>
      </c>
      <c r="AU193" s="18">
        <v>5.1999999999999998E-2</v>
      </c>
      <c r="AV193" s="18">
        <v>5.1999999999999998E-2</v>
      </c>
      <c r="AW193" s="18">
        <v>5.1999999999999998E-2</v>
      </c>
      <c r="AX193" s="18">
        <v>5.1999999999999998E-2</v>
      </c>
    </row>
    <row r="194" spans="1:50" x14ac:dyDescent="0.25">
      <c r="A194" s="16" t="s">
        <v>661</v>
      </c>
      <c r="B194" s="13" t="s">
        <v>464</v>
      </c>
      <c r="C194" s="17">
        <v>5.6000000000000001E-2</v>
      </c>
      <c r="D194" s="17">
        <v>5.6000000000000001E-2</v>
      </c>
      <c r="E194" s="17">
        <v>5.6000000000000001E-2</v>
      </c>
      <c r="F194" s="17">
        <v>5.6000000000000001E-2</v>
      </c>
      <c r="G194" s="17">
        <v>5.6000000000000001E-2</v>
      </c>
      <c r="H194" s="17">
        <v>5.6000000000000001E-2</v>
      </c>
      <c r="I194" s="17">
        <v>5.6000000000000001E-2</v>
      </c>
      <c r="J194" s="17">
        <v>5.6000000000000001E-2</v>
      </c>
      <c r="K194" s="17">
        <v>5.6000000000000001E-2</v>
      </c>
      <c r="L194" s="17">
        <v>5.6000000000000001E-2</v>
      </c>
      <c r="M194" s="17">
        <v>5.6000000000000001E-2</v>
      </c>
      <c r="N194" s="17">
        <v>5.6000000000000001E-2</v>
      </c>
      <c r="O194" s="17">
        <v>5.6000000000000001E-2</v>
      </c>
      <c r="P194" s="17">
        <v>5.6000000000000001E-2</v>
      </c>
      <c r="Q194" s="17">
        <v>5.6000000000000001E-2</v>
      </c>
      <c r="R194" s="17">
        <v>5.6000000000000001E-2</v>
      </c>
      <c r="S194" s="17">
        <v>5.6000000000000001E-2</v>
      </c>
      <c r="T194" s="17">
        <v>8.3000000000000004E-2</v>
      </c>
      <c r="U194" s="17">
        <v>0.1384</v>
      </c>
      <c r="V194" s="17">
        <v>0.13689999999999999</v>
      </c>
      <c r="W194" s="17">
        <v>0.18529999999999999</v>
      </c>
      <c r="X194" s="17">
        <v>0.12609999999999999</v>
      </c>
      <c r="Y194" s="17">
        <v>5.6000000000000001E-2</v>
      </c>
      <c r="Z194" s="17">
        <v>1.3939999999999999</v>
      </c>
      <c r="AA194" s="17">
        <v>0.18149999999999999</v>
      </c>
      <c r="AB194" s="17">
        <v>0.1285</v>
      </c>
      <c r="AC194" s="17">
        <v>0.13539999999999999</v>
      </c>
      <c r="AD194" s="17">
        <v>0.1991</v>
      </c>
      <c r="AE194" s="17">
        <v>0.54</v>
      </c>
      <c r="AF194" s="17">
        <v>0.87360000000000004</v>
      </c>
      <c r="AG194" s="17">
        <v>0.16619999999999999</v>
      </c>
      <c r="AH194" s="17">
        <v>8.4599999999999995E-2</v>
      </c>
      <c r="AI194" s="17">
        <v>5.6000000000000001E-2</v>
      </c>
      <c r="AJ194" s="17">
        <v>0.19409999999999999</v>
      </c>
      <c r="AK194" s="17">
        <v>0.32869999999999999</v>
      </c>
      <c r="AL194" s="17">
        <v>0.20399999999999999</v>
      </c>
      <c r="AM194" s="17">
        <v>0.1648</v>
      </c>
      <c r="AN194" s="17">
        <v>0.36009999999999998</v>
      </c>
      <c r="AO194" s="17">
        <v>0.26779999999999998</v>
      </c>
      <c r="AP194" s="17">
        <v>0.56010000000000004</v>
      </c>
      <c r="AQ194" s="17">
        <v>0.46500000000000002</v>
      </c>
      <c r="AR194" s="17">
        <v>0.30099999999999999</v>
      </c>
      <c r="AS194" s="17">
        <v>5.6000000000000001E-2</v>
      </c>
      <c r="AT194" s="17">
        <v>5.6000000000000001E-2</v>
      </c>
      <c r="AU194" s="17">
        <v>5.6000000000000001E-2</v>
      </c>
      <c r="AV194" s="17">
        <v>5.6000000000000001E-2</v>
      </c>
      <c r="AW194" s="17">
        <v>0.30470000000000003</v>
      </c>
      <c r="AX194" s="17">
        <v>0.44290000000000002</v>
      </c>
    </row>
    <row r="195" spans="1:50" x14ac:dyDescent="0.25">
      <c r="A195" s="8" t="s">
        <v>236</v>
      </c>
      <c r="B195" s="10" t="s">
        <v>57</v>
      </c>
      <c r="C195" s="18">
        <v>0.32600000000000001</v>
      </c>
      <c r="D195" s="18">
        <v>0.3392</v>
      </c>
      <c r="E195" s="18">
        <v>0.15379999999999999</v>
      </c>
      <c r="F195" s="18">
        <v>0.31740000000000002</v>
      </c>
      <c r="G195" s="18">
        <v>5.0999999999999997E-2</v>
      </c>
      <c r="H195" s="18">
        <v>6.8099999999999994E-2</v>
      </c>
      <c r="I195" s="18">
        <v>0.26190000000000002</v>
      </c>
      <c r="J195" s="18">
        <v>0.2036</v>
      </c>
      <c r="K195" s="18">
        <v>0.15379999999999999</v>
      </c>
      <c r="L195" s="18">
        <v>0.2354</v>
      </c>
      <c r="M195" s="18">
        <v>0.1216</v>
      </c>
      <c r="N195" s="18">
        <v>9.0200000000000002E-2</v>
      </c>
      <c r="O195" s="18">
        <v>0.38100000000000001</v>
      </c>
      <c r="P195" s="18">
        <v>5.0999999999999997E-2</v>
      </c>
      <c r="Q195" s="18">
        <v>0.1258</v>
      </c>
      <c r="R195" s="18">
        <v>0.18079999999999999</v>
      </c>
      <c r="S195" s="18">
        <v>0.2681</v>
      </c>
      <c r="T195" s="18">
        <v>0.248</v>
      </c>
      <c r="U195" s="18">
        <v>0.2039</v>
      </c>
      <c r="V195" s="18">
        <v>0.12809999999999999</v>
      </c>
      <c r="W195" s="18">
        <v>0.25690000000000002</v>
      </c>
      <c r="X195" s="18">
        <v>0.1686</v>
      </c>
      <c r="Y195" s="18">
        <v>0.106</v>
      </c>
      <c r="Z195" s="18">
        <v>0.36530000000000001</v>
      </c>
      <c r="AA195" s="18">
        <v>5.0999999999999997E-2</v>
      </c>
      <c r="AB195" s="18">
        <v>0.35580000000000001</v>
      </c>
      <c r="AC195" s="18">
        <v>0.34050000000000002</v>
      </c>
      <c r="AD195" s="18">
        <v>0.51060000000000005</v>
      </c>
      <c r="AE195" s="18">
        <v>0.60780000000000001</v>
      </c>
      <c r="AF195" s="18">
        <v>0.38869999999999999</v>
      </c>
      <c r="AG195" s="18">
        <v>0.8306</v>
      </c>
      <c r="AH195" s="18">
        <v>0.55500000000000005</v>
      </c>
      <c r="AI195" s="18">
        <v>0.46879999999999999</v>
      </c>
      <c r="AJ195" s="18">
        <v>0.37209999999999999</v>
      </c>
      <c r="AK195" s="18">
        <v>7.6300000000000007E-2</v>
      </c>
      <c r="AL195" s="18">
        <v>0.34039999999999998</v>
      </c>
      <c r="AM195" s="18">
        <v>0.13089999999999999</v>
      </c>
      <c r="AN195" s="18">
        <v>5.0999999999999997E-2</v>
      </c>
      <c r="AO195" s="18">
        <v>0.2172</v>
      </c>
      <c r="AP195" s="18">
        <v>0.254</v>
      </c>
      <c r="AQ195" s="18">
        <v>5.0999999999999997E-2</v>
      </c>
      <c r="AR195" s="18">
        <v>0.19470000000000001</v>
      </c>
      <c r="AS195" s="18">
        <v>0.26079999999999998</v>
      </c>
      <c r="AT195" s="18">
        <v>6.6699999999999995E-2</v>
      </c>
      <c r="AU195" s="18">
        <v>0.28039999999999998</v>
      </c>
      <c r="AV195" s="18">
        <v>0.1908</v>
      </c>
      <c r="AW195" s="18">
        <v>0.12559999999999999</v>
      </c>
      <c r="AX195" s="18">
        <v>0.34560000000000002</v>
      </c>
    </row>
    <row r="196" spans="1:50" x14ac:dyDescent="0.25">
      <c r="A196" s="16" t="s">
        <v>663</v>
      </c>
      <c r="B196" s="13" t="s">
        <v>464</v>
      </c>
      <c r="C196" s="17">
        <v>0.14580000000000001</v>
      </c>
      <c r="D196" s="17">
        <v>0.1396</v>
      </c>
      <c r="E196" s="17">
        <v>0.14580000000000001</v>
      </c>
      <c r="F196" s="17">
        <v>0.12520000000000001</v>
      </c>
      <c r="G196" s="17">
        <v>0.10059999999999999</v>
      </c>
      <c r="H196" s="17">
        <v>0.11260000000000001</v>
      </c>
      <c r="I196" s="17">
        <v>5.2999999999999999E-2</v>
      </c>
      <c r="J196" s="17">
        <v>0.16020000000000001</v>
      </c>
      <c r="K196" s="17">
        <v>0.12520000000000001</v>
      </c>
      <c r="L196" s="17">
        <v>7.2900000000000006E-2</v>
      </c>
      <c r="M196" s="17">
        <v>0.1981</v>
      </c>
      <c r="N196" s="17">
        <v>6.7400000000000002E-2</v>
      </c>
      <c r="O196" s="17">
        <v>0.2324</v>
      </c>
      <c r="P196" s="17">
        <v>5.2999999999999999E-2</v>
      </c>
      <c r="Q196" s="17">
        <v>0.1193</v>
      </c>
      <c r="R196" s="17">
        <v>0.16800000000000001</v>
      </c>
      <c r="S196" s="17">
        <v>5.5500000000000001E-2</v>
      </c>
      <c r="T196" s="17">
        <v>0.1484</v>
      </c>
      <c r="U196" s="17">
        <v>0.23780000000000001</v>
      </c>
      <c r="V196" s="17">
        <v>0.31240000000000001</v>
      </c>
      <c r="W196" s="17">
        <v>1.6102000000000001</v>
      </c>
      <c r="X196" s="17">
        <v>1.1176999999999999</v>
      </c>
      <c r="Y196" s="17">
        <v>1.2405999999999999</v>
      </c>
      <c r="Z196" s="17">
        <v>0.17460000000000001</v>
      </c>
      <c r="AA196" s="17">
        <v>0.11070000000000001</v>
      </c>
      <c r="AB196" s="17">
        <v>7.2900000000000006E-2</v>
      </c>
      <c r="AC196" s="17">
        <v>0.2263</v>
      </c>
      <c r="AD196" s="17">
        <v>0.28050000000000003</v>
      </c>
      <c r="AE196" s="17">
        <v>6.2600000000000003E-2</v>
      </c>
      <c r="AF196" s="17">
        <v>0.1396</v>
      </c>
      <c r="AG196" s="17">
        <v>0.14580000000000001</v>
      </c>
      <c r="AH196" s="17">
        <v>0.1396</v>
      </c>
      <c r="AI196" s="17">
        <v>5.2999999999999999E-2</v>
      </c>
      <c r="AJ196" s="17">
        <v>0.14580000000000001</v>
      </c>
      <c r="AK196" s="17">
        <v>5.2999999999999999E-2</v>
      </c>
      <c r="AL196" s="17">
        <v>0.25650000000000001</v>
      </c>
      <c r="AM196" s="17">
        <v>0.43369999999999997</v>
      </c>
      <c r="AN196" s="17">
        <v>0.49469999999999997</v>
      </c>
      <c r="AO196" s="17">
        <v>0.38400000000000001</v>
      </c>
      <c r="AP196" s="17">
        <v>0.4052</v>
      </c>
      <c r="AQ196" s="17">
        <v>0.40529999999999999</v>
      </c>
      <c r="AR196" s="17">
        <v>0.45369999999999999</v>
      </c>
      <c r="AS196" s="17">
        <v>0.52159999999999995</v>
      </c>
      <c r="AT196" s="17">
        <v>0.64529999999999998</v>
      </c>
      <c r="AU196" s="17">
        <v>0.93859999999999999</v>
      </c>
      <c r="AV196" s="17">
        <v>1.0846</v>
      </c>
      <c r="AW196" s="17">
        <v>0.61460000000000004</v>
      </c>
      <c r="AX196" s="17">
        <v>0.55079999999999996</v>
      </c>
    </row>
    <row r="197" spans="1:50" x14ac:dyDescent="0.25">
      <c r="A197" s="16" t="s">
        <v>665</v>
      </c>
      <c r="B197" s="13" t="s">
        <v>464</v>
      </c>
      <c r="C197" s="17">
        <v>0.13439999999999999</v>
      </c>
      <c r="D197" s="17">
        <v>0.19409999999999999</v>
      </c>
      <c r="E197" s="17">
        <v>7.8700000000000006E-2</v>
      </c>
      <c r="F197" s="17">
        <v>0.1918</v>
      </c>
      <c r="G197" s="17">
        <v>0.16539999999999999</v>
      </c>
      <c r="H197" s="17">
        <v>6.9900000000000004E-2</v>
      </c>
      <c r="I197" s="17">
        <v>0.1653</v>
      </c>
      <c r="J197" s="17">
        <v>0.17199999999999999</v>
      </c>
      <c r="K197" s="17">
        <v>0.05</v>
      </c>
      <c r="L197" s="17">
        <v>0.22109999999999999</v>
      </c>
      <c r="M197" s="17">
        <v>0.13619999999999999</v>
      </c>
      <c r="N197" s="17">
        <v>9.9599999999999994E-2</v>
      </c>
      <c r="O197" s="17">
        <v>9.9599999999999994E-2</v>
      </c>
      <c r="P197" s="17">
        <v>0.05</v>
      </c>
      <c r="Q197" s="17">
        <v>0.1416</v>
      </c>
      <c r="R197" s="17">
        <v>0.48199999999999998</v>
      </c>
      <c r="S197" s="17">
        <v>0.19209999999999999</v>
      </c>
      <c r="T197" s="17">
        <v>0.32069999999999999</v>
      </c>
      <c r="U197" s="17">
        <v>0.2014</v>
      </c>
      <c r="V197" s="17">
        <v>0.23369999999999999</v>
      </c>
      <c r="W197" s="17">
        <v>0.24229999999999999</v>
      </c>
      <c r="X197" s="17">
        <v>7.8600000000000003E-2</v>
      </c>
      <c r="Y197" s="17">
        <v>5.5300000000000002E-2</v>
      </c>
      <c r="Z197" s="17">
        <v>0.22650000000000001</v>
      </c>
      <c r="AA197" s="17">
        <v>0.28199999999999997</v>
      </c>
      <c r="AB197" s="17">
        <v>0.40500000000000003</v>
      </c>
      <c r="AC197" s="17">
        <v>2.7645</v>
      </c>
      <c r="AD197" s="17">
        <v>2.2961999999999998</v>
      </c>
      <c r="AE197" s="17">
        <v>0.17199999999999999</v>
      </c>
      <c r="AF197" s="17">
        <v>8.5900000000000004E-2</v>
      </c>
      <c r="AG197" s="17">
        <v>0.05</v>
      </c>
      <c r="AH197" s="17">
        <v>0.43330000000000002</v>
      </c>
      <c r="AI197" s="17">
        <v>0.13100000000000001</v>
      </c>
      <c r="AJ197" s="17">
        <v>0.28120000000000001</v>
      </c>
      <c r="AK197" s="17">
        <v>0.57950000000000002</v>
      </c>
      <c r="AL197" s="17">
        <v>0.4778</v>
      </c>
      <c r="AM197" s="17">
        <v>1.8261000000000001</v>
      </c>
      <c r="AN197" s="17">
        <v>0.83340000000000003</v>
      </c>
      <c r="AO197" s="17">
        <v>1.4204000000000001</v>
      </c>
      <c r="AP197" s="17">
        <v>1.6361000000000001</v>
      </c>
      <c r="AQ197" s="17">
        <v>0.47649999999999998</v>
      </c>
      <c r="AR197" s="17">
        <v>0.75090000000000001</v>
      </c>
      <c r="AS197" s="17">
        <v>0.62539999999999996</v>
      </c>
      <c r="AT197" s="17">
        <v>0.53120000000000001</v>
      </c>
      <c r="AU197" s="17">
        <v>0.52739999999999998</v>
      </c>
      <c r="AV197" s="17">
        <v>1.0228999999999999</v>
      </c>
      <c r="AW197" s="17">
        <v>0.05</v>
      </c>
      <c r="AX197" s="17">
        <v>7.1499999999999994E-2</v>
      </c>
    </row>
    <row r="198" spans="1:50" x14ac:dyDescent="0.25">
      <c r="A198" s="16" t="s">
        <v>667</v>
      </c>
      <c r="B198" s="13" t="s">
        <v>464</v>
      </c>
      <c r="C198" s="17">
        <v>5.0999999999999997E-2</v>
      </c>
      <c r="D198" s="17">
        <v>9.9599999999999994E-2</v>
      </c>
      <c r="E198" s="17">
        <v>0.1552</v>
      </c>
      <c r="F198" s="17">
        <v>5.0999999999999997E-2</v>
      </c>
      <c r="G198" s="17">
        <v>0.20380000000000001</v>
      </c>
      <c r="H198" s="17">
        <v>5.0999999999999997E-2</v>
      </c>
      <c r="I198" s="17">
        <v>0.1691</v>
      </c>
      <c r="J198" s="17">
        <v>8.5699999999999998E-2</v>
      </c>
      <c r="K198" s="17">
        <v>8.5699999999999998E-2</v>
      </c>
      <c r="L198" s="17">
        <v>0.1691</v>
      </c>
      <c r="M198" s="17">
        <v>5.0999999999999997E-2</v>
      </c>
      <c r="N198" s="17">
        <v>0.20380000000000001</v>
      </c>
      <c r="O198" s="17">
        <v>5.0999999999999997E-2</v>
      </c>
      <c r="P198" s="17">
        <v>0.15</v>
      </c>
      <c r="Q198" s="17">
        <v>0.1341</v>
      </c>
      <c r="R198" s="17">
        <v>7.0599999999999996E-2</v>
      </c>
      <c r="S198" s="17">
        <v>0.4214</v>
      </c>
      <c r="T198" s="17">
        <v>0.40610000000000002</v>
      </c>
      <c r="U198" s="17">
        <v>0.60909999999999997</v>
      </c>
      <c r="V198" s="17">
        <v>1.7343</v>
      </c>
      <c r="W198" s="17">
        <v>1.4378</v>
      </c>
      <c r="X198" s="17">
        <v>1.3511</v>
      </c>
      <c r="Y198" s="17">
        <v>0.29239999999999999</v>
      </c>
      <c r="Z198" s="17">
        <v>0.26879999999999998</v>
      </c>
      <c r="AA198" s="17">
        <v>0.28070000000000001</v>
      </c>
      <c r="AB198" s="17">
        <v>0.2291</v>
      </c>
      <c r="AC198" s="17">
        <v>0.45850000000000002</v>
      </c>
      <c r="AD198" s="17">
        <v>0.50509999999999999</v>
      </c>
      <c r="AE198" s="17">
        <v>1.6416999999999999</v>
      </c>
      <c r="AF198" s="17">
        <v>0.74890000000000001</v>
      </c>
      <c r="AG198" s="17">
        <v>0.2606</v>
      </c>
      <c r="AH198" s="17">
        <v>0.21709999999999999</v>
      </c>
      <c r="AI198" s="17">
        <v>2.4586000000000001</v>
      </c>
      <c r="AJ198" s="17">
        <v>1.5680000000000001</v>
      </c>
      <c r="AK198" s="17">
        <v>0.26040000000000002</v>
      </c>
      <c r="AL198" s="17">
        <v>5.2600000000000001E-2</v>
      </c>
      <c r="AM198" s="17">
        <v>0.1983</v>
      </c>
      <c r="AN198" s="17">
        <v>0.35630000000000001</v>
      </c>
      <c r="AO198" s="17">
        <v>0.10050000000000001</v>
      </c>
      <c r="AP198" s="17">
        <v>0.37869999999999998</v>
      </c>
      <c r="AQ198" s="17">
        <v>1.3591</v>
      </c>
      <c r="AR198" s="17">
        <v>1.2323</v>
      </c>
      <c r="AS198" s="17">
        <v>1.6769000000000001</v>
      </c>
      <c r="AT198" s="17">
        <v>0.4526</v>
      </c>
      <c r="AU198" s="17">
        <v>0.68320000000000003</v>
      </c>
      <c r="AV198" s="17">
        <v>0.44169999999999998</v>
      </c>
      <c r="AW198" s="17">
        <v>0.45450000000000002</v>
      </c>
      <c r="AX198" s="17">
        <v>0.19689999999999999</v>
      </c>
    </row>
    <row r="199" spans="1:50" x14ac:dyDescent="0.25">
      <c r="A199" s="16" t="s">
        <v>669</v>
      </c>
      <c r="B199" s="13" t="s">
        <v>464</v>
      </c>
      <c r="C199" s="17">
        <v>4.9000000000000002E-2</v>
      </c>
      <c r="D199" s="17">
        <v>4.9000000000000002E-2</v>
      </c>
      <c r="E199" s="17">
        <v>0.12529999999999999</v>
      </c>
      <c r="F199" s="17">
        <v>4.9000000000000002E-2</v>
      </c>
      <c r="G199" s="17">
        <v>4.9000000000000002E-2</v>
      </c>
      <c r="H199" s="17">
        <v>4.9000000000000002E-2</v>
      </c>
      <c r="I199" s="17">
        <v>9.5600000000000004E-2</v>
      </c>
      <c r="J199" s="17">
        <v>7.8700000000000006E-2</v>
      </c>
      <c r="K199" s="17">
        <v>4.9000000000000002E-2</v>
      </c>
      <c r="L199" s="17">
        <v>0.12529999999999999</v>
      </c>
      <c r="M199" s="17">
        <v>4.9000000000000002E-2</v>
      </c>
      <c r="N199" s="17">
        <v>4.9000000000000002E-2</v>
      </c>
      <c r="O199" s="17">
        <v>4.9000000000000002E-2</v>
      </c>
      <c r="P199" s="17">
        <v>4.9000000000000002E-2</v>
      </c>
      <c r="Q199" s="17">
        <v>0.1535</v>
      </c>
      <c r="R199" s="17">
        <v>4.9000000000000002E-2</v>
      </c>
      <c r="S199" s="17">
        <v>0.12529999999999999</v>
      </c>
      <c r="T199" s="17">
        <v>4.9000000000000002E-2</v>
      </c>
      <c r="U199" s="17">
        <v>8.2900000000000001E-2</v>
      </c>
      <c r="V199" s="17">
        <v>9.1399999999999995E-2</v>
      </c>
      <c r="W199" s="17">
        <v>4.9000000000000002E-2</v>
      </c>
      <c r="X199" s="17">
        <v>4.9000000000000002E-2</v>
      </c>
      <c r="Y199" s="17">
        <v>4.9000000000000002E-2</v>
      </c>
      <c r="Z199" s="17">
        <v>0.12529999999999999</v>
      </c>
      <c r="AA199" s="17">
        <v>0.37759999999999999</v>
      </c>
      <c r="AB199" s="17">
        <v>0.37209999999999999</v>
      </c>
      <c r="AC199" s="17">
        <v>0.1472</v>
      </c>
      <c r="AD199" s="17">
        <v>5.3100000000000001E-2</v>
      </c>
      <c r="AE199" s="17">
        <v>8.0500000000000002E-2</v>
      </c>
      <c r="AF199" s="17">
        <v>9.5600000000000004E-2</v>
      </c>
      <c r="AG199" s="17">
        <v>0.16</v>
      </c>
      <c r="AH199" s="17">
        <v>0.17960000000000001</v>
      </c>
      <c r="AI199" s="17">
        <v>0.1691</v>
      </c>
      <c r="AJ199" s="17">
        <v>8.7099999999999997E-2</v>
      </c>
      <c r="AK199" s="17">
        <v>8.7099999999999997E-2</v>
      </c>
      <c r="AL199" s="17">
        <v>0.10829999999999999</v>
      </c>
      <c r="AM199" s="17">
        <v>6.59E-2</v>
      </c>
      <c r="AN199" s="17">
        <v>4.9000000000000002E-2</v>
      </c>
      <c r="AO199" s="17">
        <v>0.10829999999999999</v>
      </c>
      <c r="AP199" s="17">
        <v>6.59E-2</v>
      </c>
      <c r="AQ199" s="17">
        <v>8.2900000000000001E-2</v>
      </c>
      <c r="AR199" s="17">
        <v>9.1399999999999995E-2</v>
      </c>
      <c r="AS199" s="17">
        <v>6.59E-2</v>
      </c>
      <c r="AT199" s="17">
        <v>0.10829999999999999</v>
      </c>
      <c r="AU199" s="17">
        <v>8.2900000000000001E-2</v>
      </c>
      <c r="AV199" s="17">
        <v>0.1439</v>
      </c>
      <c r="AW199" s="17">
        <v>0.29470000000000002</v>
      </c>
      <c r="AX199" s="17">
        <v>0.12529999999999999</v>
      </c>
    </row>
    <row r="200" spans="1:50" x14ac:dyDescent="0.25">
      <c r="A200" s="8" t="s">
        <v>238</v>
      </c>
      <c r="B200" s="10" t="s">
        <v>57</v>
      </c>
      <c r="C200" s="18">
        <v>8.0500000000000002E-2</v>
      </c>
      <c r="D200" s="18">
        <v>0.1166</v>
      </c>
      <c r="E200" s="18">
        <v>5.8000000000000003E-2</v>
      </c>
      <c r="F200" s="18">
        <v>5.8000000000000003E-2</v>
      </c>
      <c r="G200" s="18">
        <v>5.8000000000000003E-2</v>
      </c>
      <c r="H200" s="18">
        <v>0.1391</v>
      </c>
      <c r="I200" s="18">
        <v>5.8000000000000003E-2</v>
      </c>
      <c r="J200" s="18">
        <v>9.4E-2</v>
      </c>
      <c r="K200" s="18">
        <v>0.1031</v>
      </c>
      <c r="L200" s="18">
        <v>5.8000000000000003E-2</v>
      </c>
      <c r="M200" s="18">
        <v>5.8000000000000003E-2</v>
      </c>
      <c r="N200" s="18">
        <v>5.8000000000000003E-2</v>
      </c>
      <c r="O200" s="18">
        <v>5.8000000000000003E-2</v>
      </c>
      <c r="P200" s="18">
        <v>8.5000000000000006E-2</v>
      </c>
      <c r="Q200" s="18">
        <v>0.11210000000000001</v>
      </c>
      <c r="R200" s="18">
        <v>5.8000000000000003E-2</v>
      </c>
      <c r="S200" s="18">
        <v>0.1391</v>
      </c>
      <c r="T200" s="18">
        <v>5.8000000000000003E-2</v>
      </c>
      <c r="U200" s="18">
        <v>0.1391</v>
      </c>
      <c r="V200" s="18">
        <v>0.40289999999999998</v>
      </c>
      <c r="W200" s="18">
        <v>0.88</v>
      </c>
      <c r="X200" s="18">
        <v>1.3771</v>
      </c>
      <c r="Y200" s="18">
        <v>2.6699000000000002</v>
      </c>
      <c r="Z200" s="18">
        <v>1.4184000000000001</v>
      </c>
      <c r="AA200" s="18">
        <v>0.45929999999999999</v>
      </c>
      <c r="AB200" s="18">
        <v>0.16039999999999999</v>
      </c>
      <c r="AC200" s="18">
        <v>0.15010000000000001</v>
      </c>
      <c r="AD200" s="18">
        <v>9.2299999999999993E-2</v>
      </c>
      <c r="AE200" s="18">
        <v>0.158</v>
      </c>
      <c r="AF200" s="18">
        <v>0.1069</v>
      </c>
      <c r="AG200" s="18">
        <v>0.1303</v>
      </c>
      <c r="AH200" s="18">
        <v>0.15290000000000001</v>
      </c>
      <c r="AI200" s="18">
        <v>0.28720000000000001</v>
      </c>
      <c r="AJ200" s="18">
        <v>1.2107000000000001</v>
      </c>
      <c r="AK200" s="18">
        <v>0.16980000000000001</v>
      </c>
      <c r="AL200" s="18">
        <v>0.35610000000000003</v>
      </c>
      <c r="AM200" s="18">
        <v>0.25969999999999999</v>
      </c>
      <c r="AN200" s="18">
        <v>0.54910000000000003</v>
      </c>
      <c r="AO200" s="18">
        <v>0.42349999999999999</v>
      </c>
      <c r="AP200" s="18">
        <v>0.57489999999999997</v>
      </c>
      <c r="AQ200" s="18">
        <v>0.50819999999999999</v>
      </c>
      <c r="AR200" s="18">
        <v>0.46700000000000003</v>
      </c>
      <c r="AS200" s="18">
        <v>0.52290000000000003</v>
      </c>
      <c r="AT200" s="18">
        <v>0.80169999999999997</v>
      </c>
      <c r="AU200" s="18">
        <v>0.70299999999999996</v>
      </c>
      <c r="AV200" s="18">
        <v>0.44330000000000003</v>
      </c>
      <c r="AW200" s="18">
        <v>0.28210000000000002</v>
      </c>
      <c r="AX200" s="18">
        <v>6.25E-2</v>
      </c>
    </row>
    <row r="201" spans="1:50" x14ac:dyDescent="0.25">
      <c r="A201" s="8" t="s">
        <v>240</v>
      </c>
      <c r="B201" s="10" t="s">
        <v>57</v>
      </c>
      <c r="C201" s="18">
        <v>4.4999999999999998E-2</v>
      </c>
      <c r="D201" s="18">
        <v>4.4999999999999998E-2</v>
      </c>
      <c r="E201" s="18">
        <v>4.4999999999999998E-2</v>
      </c>
      <c r="F201" s="18">
        <v>4.4999999999999998E-2</v>
      </c>
      <c r="G201" s="18">
        <v>0.15440000000000001</v>
      </c>
      <c r="H201" s="18">
        <v>0.15770000000000001</v>
      </c>
      <c r="I201" s="18">
        <v>4.4999999999999998E-2</v>
      </c>
      <c r="J201" s="18">
        <v>4.4999999999999998E-2</v>
      </c>
      <c r="K201" s="18">
        <v>4.4999999999999998E-2</v>
      </c>
      <c r="L201" s="18">
        <v>4.4999999999999998E-2</v>
      </c>
      <c r="M201" s="18">
        <v>4.4999999999999998E-2</v>
      </c>
      <c r="N201" s="18">
        <v>4.4999999999999998E-2</v>
      </c>
      <c r="O201" s="18">
        <v>4.4999999999999998E-2</v>
      </c>
      <c r="P201" s="18">
        <v>4.4999999999999998E-2</v>
      </c>
      <c r="Q201" s="18">
        <v>4.4999999999999998E-2</v>
      </c>
      <c r="R201" s="18">
        <v>4.4999999999999998E-2</v>
      </c>
      <c r="S201" s="18">
        <v>4.4999999999999998E-2</v>
      </c>
      <c r="T201" s="18">
        <v>4.4999999999999998E-2</v>
      </c>
      <c r="U201" s="18">
        <v>4.4999999999999998E-2</v>
      </c>
      <c r="V201" s="18">
        <v>4.4999999999999998E-2</v>
      </c>
      <c r="W201" s="18">
        <v>4.4999999999999998E-2</v>
      </c>
      <c r="X201" s="18">
        <v>4.9000000000000002E-2</v>
      </c>
      <c r="Y201" s="18">
        <v>0.22919999999999999</v>
      </c>
      <c r="Z201" s="18">
        <v>0.1017</v>
      </c>
      <c r="AA201" s="18">
        <v>7.3400000000000007E-2</v>
      </c>
      <c r="AB201" s="18">
        <v>5.7000000000000002E-2</v>
      </c>
      <c r="AC201" s="18">
        <v>0.1996</v>
      </c>
      <c r="AD201" s="18">
        <v>0.1666</v>
      </c>
      <c r="AE201" s="18">
        <v>0.22739999999999999</v>
      </c>
      <c r="AF201" s="18">
        <v>0.25669999999999998</v>
      </c>
      <c r="AG201" s="18">
        <v>0.1686</v>
      </c>
      <c r="AH201" s="18">
        <v>6.9500000000000006E-2</v>
      </c>
      <c r="AI201" s="18">
        <v>0.13400000000000001</v>
      </c>
      <c r="AJ201" s="18">
        <v>1.0829</v>
      </c>
      <c r="AK201" s="18">
        <v>0.1163</v>
      </c>
      <c r="AL201" s="18">
        <v>0.1215</v>
      </c>
      <c r="AM201" s="18">
        <v>1.1184000000000001</v>
      </c>
      <c r="AN201" s="18">
        <v>0.85440000000000005</v>
      </c>
      <c r="AO201" s="18">
        <v>1.7867999999999999</v>
      </c>
      <c r="AP201" s="18">
        <v>0.3957</v>
      </c>
      <c r="AQ201" s="18">
        <v>0.52700000000000002</v>
      </c>
      <c r="AR201" s="18">
        <v>0.68479999999999996</v>
      </c>
      <c r="AS201" s="18">
        <v>0.57630000000000003</v>
      </c>
      <c r="AT201" s="18">
        <v>0.72550000000000003</v>
      </c>
      <c r="AU201" s="18">
        <v>0.62050000000000005</v>
      </c>
      <c r="AV201" s="18">
        <v>0.43359999999999999</v>
      </c>
      <c r="AW201" s="18">
        <v>4.4999999999999998E-2</v>
      </c>
      <c r="AX201" s="18">
        <v>4.4999999999999998E-2</v>
      </c>
    </row>
    <row r="202" spans="1:50" x14ac:dyDescent="0.25">
      <c r="A202" s="16" t="s">
        <v>671</v>
      </c>
      <c r="B202" s="13" t="s">
        <v>464</v>
      </c>
      <c r="C202" s="17">
        <v>0.24440000000000001</v>
      </c>
      <c r="D202" s="17">
        <v>0.33960000000000001</v>
      </c>
      <c r="E202" s="17">
        <v>0.3352</v>
      </c>
      <c r="F202" s="17">
        <v>0.21060000000000001</v>
      </c>
      <c r="G202" s="17">
        <v>0.70250000000000001</v>
      </c>
      <c r="H202" s="17">
        <v>9.5799999999999996E-2</v>
      </c>
      <c r="I202" s="17">
        <v>0.20169999999999999</v>
      </c>
      <c r="J202" s="17">
        <v>0.19489999999999999</v>
      </c>
      <c r="K202" s="17">
        <v>8.6599999999999996E-2</v>
      </c>
      <c r="L202" s="17">
        <v>0.16400000000000001</v>
      </c>
      <c r="M202" s="17">
        <v>0.14580000000000001</v>
      </c>
      <c r="N202" s="17">
        <v>0.23150000000000001</v>
      </c>
      <c r="O202" s="17">
        <v>6.6400000000000001E-2</v>
      </c>
      <c r="P202" s="17">
        <v>0.2984</v>
      </c>
      <c r="Q202" s="17">
        <v>0.13300000000000001</v>
      </c>
      <c r="R202" s="17">
        <v>0.22459999999999999</v>
      </c>
      <c r="S202" s="17">
        <v>0.30209999999999998</v>
      </c>
      <c r="T202" s="17">
        <v>0.1346</v>
      </c>
      <c r="U202" s="17">
        <v>0.10390000000000001</v>
      </c>
      <c r="V202" s="17">
        <v>0.29730000000000001</v>
      </c>
      <c r="W202" s="17">
        <v>0.1341</v>
      </c>
      <c r="X202" s="17">
        <v>0.2046</v>
      </c>
      <c r="Y202" s="17">
        <v>0.16839999999999999</v>
      </c>
      <c r="Z202" s="17">
        <v>0.30809999999999998</v>
      </c>
      <c r="AA202" s="17">
        <v>0.52249999999999996</v>
      </c>
      <c r="AB202" s="17">
        <v>0.313</v>
      </c>
      <c r="AC202" s="17">
        <v>1.2997000000000001</v>
      </c>
      <c r="AD202" s="17">
        <v>0.39439999999999997</v>
      </c>
      <c r="AE202" s="17">
        <v>0.23930000000000001</v>
      </c>
      <c r="AF202" s="17">
        <v>0.22009999999999999</v>
      </c>
      <c r="AG202" s="17">
        <v>0.21129999999999999</v>
      </c>
      <c r="AH202" s="17">
        <v>0.13300000000000001</v>
      </c>
      <c r="AI202" s="17">
        <v>0.15809999999999999</v>
      </c>
      <c r="AJ202" s="17">
        <v>0.22489999999999999</v>
      </c>
      <c r="AK202" s="17">
        <v>9.5399999999999999E-2</v>
      </c>
      <c r="AL202" s="17">
        <v>0.14480000000000001</v>
      </c>
      <c r="AM202" s="17">
        <v>0.28660000000000002</v>
      </c>
      <c r="AN202" s="17">
        <v>4.7E-2</v>
      </c>
      <c r="AO202" s="17">
        <v>0.26850000000000002</v>
      </c>
      <c r="AP202" s="17">
        <v>0.1628</v>
      </c>
      <c r="AQ202" s="17">
        <v>0.1391</v>
      </c>
      <c r="AR202" s="17">
        <v>0.1406</v>
      </c>
      <c r="AS202" s="17">
        <v>7.1199999999999999E-2</v>
      </c>
      <c r="AT202" s="17">
        <v>0.25669999999999998</v>
      </c>
      <c r="AU202" s="17">
        <v>0.17460000000000001</v>
      </c>
      <c r="AV202" s="17">
        <v>4.7E-2</v>
      </c>
      <c r="AW202" s="17">
        <v>0.29730000000000001</v>
      </c>
      <c r="AX202" s="17">
        <v>4.7E-2</v>
      </c>
    </row>
    <row r="203" spans="1:50" x14ac:dyDescent="0.25">
      <c r="A203" s="8" t="s">
        <v>242</v>
      </c>
      <c r="B203" s="10" t="s">
        <v>57</v>
      </c>
      <c r="C203" s="18">
        <v>0.1103</v>
      </c>
      <c r="D203" s="18">
        <v>0.06</v>
      </c>
      <c r="E203" s="18">
        <v>0.26700000000000002</v>
      </c>
      <c r="F203" s="18">
        <v>9.9299999999999999E-2</v>
      </c>
      <c r="G203" s="18">
        <v>0.15429999999999999</v>
      </c>
      <c r="H203" s="18">
        <v>0.21190000000000001</v>
      </c>
      <c r="I203" s="18">
        <v>0.06</v>
      </c>
      <c r="J203" s="18">
        <v>0.184</v>
      </c>
      <c r="K203" s="18">
        <v>0.1822</v>
      </c>
      <c r="L203" s="18">
        <v>9.0899999999999995E-2</v>
      </c>
      <c r="M203" s="18">
        <v>9.8699999999999996E-2</v>
      </c>
      <c r="N203" s="18">
        <v>0.27139999999999997</v>
      </c>
      <c r="O203" s="18">
        <v>9.4799999999999995E-2</v>
      </c>
      <c r="P203" s="18">
        <v>7.6100000000000001E-2</v>
      </c>
      <c r="Q203" s="18">
        <v>0.2283</v>
      </c>
      <c r="R203" s="18">
        <v>0.12189999999999999</v>
      </c>
      <c r="S203" s="18">
        <v>0.20449999999999999</v>
      </c>
      <c r="T203" s="18">
        <v>0.1153</v>
      </c>
      <c r="U203" s="18">
        <v>0.10639999999999999</v>
      </c>
      <c r="V203" s="18">
        <v>0.20449999999999999</v>
      </c>
      <c r="W203" s="18">
        <v>0.16170000000000001</v>
      </c>
      <c r="X203" s="18">
        <v>0.06</v>
      </c>
      <c r="Y203" s="18">
        <v>0.10009999999999999</v>
      </c>
      <c r="Z203" s="18">
        <v>0.2351</v>
      </c>
      <c r="AA203" s="18">
        <v>0.1381</v>
      </c>
      <c r="AB203" s="18">
        <v>0.34839999999999999</v>
      </c>
      <c r="AC203" s="18">
        <v>2.3407</v>
      </c>
      <c r="AD203" s="18">
        <v>2.7231000000000001</v>
      </c>
      <c r="AE203" s="18">
        <v>3.1865000000000001</v>
      </c>
      <c r="AF203" s="18">
        <v>2.3877999999999999</v>
      </c>
      <c r="AG203" s="18">
        <v>0.4536</v>
      </c>
      <c r="AH203" s="18">
        <v>0.22289999999999999</v>
      </c>
      <c r="AI203" s="18">
        <v>0.06</v>
      </c>
      <c r="AJ203" s="18">
        <v>0.25</v>
      </c>
      <c r="AK203" s="18">
        <v>0.1162</v>
      </c>
      <c r="AL203" s="18">
        <v>0.17780000000000001</v>
      </c>
      <c r="AM203" s="18">
        <v>0.1885</v>
      </c>
      <c r="AN203" s="18">
        <v>0.06</v>
      </c>
      <c r="AO203" s="18">
        <v>0.2366</v>
      </c>
      <c r="AP203" s="18">
        <v>0.12959999999999999</v>
      </c>
      <c r="AQ203" s="18">
        <v>0.2281</v>
      </c>
      <c r="AR203" s="18">
        <v>0.57750000000000001</v>
      </c>
      <c r="AS203" s="18">
        <v>0.253</v>
      </c>
      <c r="AT203" s="18">
        <v>0.31140000000000001</v>
      </c>
      <c r="AU203" s="18">
        <v>0.79190000000000005</v>
      </c>
      <c r="AV203" s="18">
        <v>0.85170000000000001</v>
      </c>
      <c r="AW203" s="18">
        <v>0.49930000000000002</v>
      </c>
      <c r="AX203" s="18">
        <v>0.28060000000000002</v>
      </c>
    </row>
    <row r="204" spans="1:50" x14ac:dyDescent="0.25">
      <c r="A204" s="8" t="s">
        <v>244</v>
      </c>
      <c r="B204" s="10" t="s">
        <v>57</v>
      </c>
      <c r="C204" s="18">
        <v>8.1199999999999994E-2</v>
      </c>
      <c r="D204" s="18">
        <v>0.14910000000000001</v>
      </c>
      <c r="E204" s="18">
        <v>0.14990000000000001</v>
      </c>
      <c r="F204" s="18">
        <v>0.13700000000000001</v>
      </c>
      <c r="G204" s="18">
        <v>9.9599999999999994E-2</v>
      </c>
      <c r="H204" s="18">
        <v>0.1749</v>
      </c>
      <c r="I204" s="18">
        <v>6.25E-2</v>
      </c>
      <c r="J204" s="18">
        <v>0.15490000000000001</v>
      </c>
      <c r="K204" s="18">
        <v>0.18160000000000001</v>
      </c>
      <c r="L204" s="18">
        <v>0.05</v>
      </c>
      <c r="M204" s="18">
        <v>0.14910000000000001</v>
      </c>
      <c r="N204" s="18">
        <v>0.1749</v>
      </c>
      <c r="O204" s="18">
        <v>6.25E-2</v>
      </c>
      <c r="P204" s="18">
        <v>0.1741</v>
      </c>
      <c r="Q204" s="18">
        <v>0.16239999999999999</v>
      </c>
      <c r="R204" s="18">
        <v>0.1066</v>
      </c>
      <c r="S204" s="18">
        <v>0.2298</v>
      </c>
      <c r="T204" s="18">
        <v>0.05</v>
      </c>
      <c r="U204" s="18">
        <v>0.1245</v>
      </c>
      <c r="V204" s="18">
        <v>0.23630000000000001</v>
      </c>
      <c r="W204" s="18">
        <v>7.6999999999999999E-2</v>
      </c>
      <c r="X204" s="18">
        <v>0.48580000000000001</v>
      </c>
      <c r="Y204" s="18">
        <v>5.79E-2</v>
      </c>
      <c r="Z204" s="18">
        <v>0.17330000000000001</v>
      </c>
      <c r="AA204" s="18">
        <v>0.16320000000000001</v>
      </c>
      <c r="AB204" s="18">
        <v>0.05</v>
      </c>
      <c r="AC204" s="18">
        <v>0.25530000000000003</v>
      </c>
      <c r="AD204" s="18">
        <v>8.1199999999999994E-2</v>
      </c>
      <c r="AE204" s="18">
        <v>8.6699999999999999E-2</v>
      </c>
      <c r="AF204" s="18">
        <v>0.34129999999999999</v>
      </c>
      <c r="AG204" s="18">
        <v>0.18179999999999999</v>
      </c>
      <c r="AH204" s="18">
        <v>0.30640000000000001</v>
      </c>
      <c r="AI204" s="18">
        <v>0.1434</v>
      </c>
      <c r="AJ204" s="18">
        <v>0.27139999999999997</v>
      </c>
      <c r="AK204" s="18">
        <v>1.4300999999999999</v>
      </c>
      <c r="AL204" s="18">
        <v>1.0857000000000001</v>
      </c>
      <c r="AM204" s="18">
        <v>3.2250000000000001</v>
      </c>
      <c r="AN204" s="18">
        <v>2.8285999999999998</v>
      </c>
      <c r="AO204" s="18">
        <v>0.15049999999999999</v>
      </c>
      <c r="AP204" s="18">
        <v>0.89780000000000004</v>
      </c>
      <c r="AQ204" s="18">
        <v>0.1928</v>
      </c>
      <c r="AR204" s="18">
        <v>0.05</v>
      </c>
      <c r="AS204" s="18">
        <v>9.3700000000000006E-2</v>
      </c>
      <c r="AT204" s="18">
        <v>0.24279999999999999</v>
      </c>
      <c r="AU204" s="18">
        <v>0.05</v>
      </c>
      <c r="AV204" s="18">
        <v>0.13500000000000001</v>
      </c>
      <c r="AW204" s="18">
        <v>1.0138</v>
      </c>
      <c r="AX204" s="18">
        <v>0.1114</v>
      </c>
    </row>
    <row r="205" spans="1:50" x14ac:dyDescent="0.25">
      <c r="A205" s="16" t="s">
        <v>673</v>
      </c>
      <c r="B205" s="13" t="s">
        <v>464</v>
      </c>
      <c r="C205" s="17">
        <v>0.20200000000000001</v>
      </c>
      <c r="D205" s="17">
        <v>6.3899999999999998E-2</v>
      </c>
      <c r="E205" s="17">
        <v>0.18859999999999999</v>
      </c>
      <c r="F205" s="17">
        <v>0.05</v>
      </c>
      <c r="G205" s="17">
        <v>0.16089999999999999</v>
      </c>
      <c r="H205" s="17">
        <v>9.1600000000000001E-2</v>
      </c>
      <c r="I205" s="17">
        <v>0.05</v>
      </c>
      <c r="J205" s="17">
        <v>0.20250000000000001</v>
      </c>
      <c r="K205" s="17">
        <v>0.05</v>
      </c>
      <c r="L205" s="17">
        <v>0.14699999999999999</v>
      </c>
      <c r="M205" s="17">
        <v>0.10879999999999999</v>
      </c>
      <c r="N205" s="17">
        <v>0.05</v>
      </c>
      <c r="O205" s="17">
        <v>0.20250000000000001</v>
      </c>
      <c r="P205" s="17">
        <v>0.05</v>
      </c>
      <c r="Q205" s="17">
        <v>0.05</v>
      </c>
      <c r="R205" s="17">
        <v>0.1817</v>
      </c>
      <c r="S205" s="17">
        <v>7.0800000000000002E-2</v>
      </c>
      <c r="T205" s="17">
        <v>0.05</v>
      </c>
      <c r="U205" s="17">
        <v>0.20250000000000001</v>
      </c>
      <c r="V205" s="17">
        <v>0.05</v>
      </c>
      <c r="W205" s="17">
        <v>0.05</v>
      </c>
      <c r="X205" s="17">
        <v>5.8500000000000003E-2</v>
      </c>
      <c r="Y205" s="17">
        <v>0.44550000000000001</v>
      </c>
      <c r="Z205" s="17">
        <v>5.0799999999999998E-2</v>
      </c>
      <c r="AA205" s="17">
        <v>0.18129999999999999</v>
      </c>
      <c r="AB205" s="17">
        <v>0.1195</v>
      </c>
      <c r="AC205" s="17">
        <v>0.25109999999999999</v>
      </c>
      <c r="AD205" s="17">
        <v>0.31419999999999998</v>
      </c>
      <c r="AE205" s="17">
        <v>1.5485</v>
      </c>
      <c r="AF205" s="17">
        <v>1.3025</v>
      </c>
      <c r="AG205" s="17">
        <v>0.74670000000000003</v>
      </c>
      <c r="AH205" s="17">
        <v>0.1898</v>
      </c>
      <c r="AI205" s="17">
        <v>0.3805</v>
      </c>
      <c r="AJ205" s="17">
        <v>0.32829999999999998</v>
      </c>
      <c r="AK205" s="17">
        <v>0.26740000000000003</v>
      </c>
      <c r="AL205" s="17">
        <v>0.23369999999999999</v>
      </c>
      <c r="AM205" s="17">
        <v>0.30759999999999998</v>
      </c>
      <c r="AN205" s="17">
        <v>0.26269999999999999</v>
      </c>
      <c r="AO205" s="17">
        <v>0.54990000000000006</v>
      </c>
      <c r="AP205" s="17">
        <v>0.32369999999999999</v>
      </c>
      <c r="AQ205" s="17">
        <v>0.45250000000000001</v>
      </c>
      <c r="AR205" s="17">
        <v>0.27979999999999999</v>
      </c>
      <c r="AS205" s="17">
        <v>0.10539999999999999</v>
      </c>
      <c r="AT205" s="17">
        <v>0.14699999999999999</v>
      </c>
      <c r="AU205" s="17">
        <v>0.05</v>
      </c>
      <c r="AV205" s="17">
        <v>0.14699999999999999</v>
      </c>
      <c r="AW205" s="17">
        <v>0.10539999999999999</v>
      </c>
      <c r="AX205" s="17">
        <v>0.05</v>
      </c>
    </row>
    <row r="206" spans="1:50" x14ac:dyDescent="0.25">
      <c r="A206" s="16" t="s">
        <v>675</v>
      </c>
      <c r="B206" s="13" t="s">
        <v>464</v>
      </c>
      <c r="C206" s="17">
        <v>0.2752</v>
      </c>
      <c r="D206" s="17">
        <v>5.8000000000000003E-2</v>
      </c>
      <c r="E206" s="17">
        <v>0.3241</v>
      </c>
      <c r="F206" s="17">
        <v>0.1353</v>
      </c>
      <c r="G206" s="17">
        <v>0.12540000000000001</v>
      </c>
      <c r="H206" s="17">
        <v>0.223</v>
      </c>
      <c r="I206" s="17">
        <v>9.1300000000000006E-2</v>
      </c>
      <c r="J206" s="17">
        <v>0.36820000000000003</v>
      </c>
      <c r="K206" s="17">
        <v>5.8000000000000003E-2</v>
      </c>
      <c r="L206" s="17">
        <v>0.1764</v>
      </c>
      <c r="M206" s="17">
        <v>0.21060000000000001</v>
      </c>
      <c r="N206" s="17">
        <v>0.13059999999999999</v>
      </c>
      <c r="O206" s="17">
        <v>0.18149999999999999</v>
      </c>
      <c r="P206" s="17">
        <v>0.23130000000000001</v>
      </c>
      <c r="Q206" s="17">
        <v>0.1192</v>
      </c>
      <c r="R206" s="17">
        <v>0.23130000000000001</v>
      </c>
      <c r="S206" s="17">
        <v>0.36530000000000001</v>
      </c>
      <c r="T206" s="17">
        <v>0.55149999999999999</v>
      </c>
      <c r="U206" s="17">
        <v>1.3495999999999999</v>
      </c>
      <c r="V206" s="17">
        <v>2.7223000000000002</v>
      </c>
      <c r="W206" s="17">
        <v>2.7547999999999999</v>
      </c>
      <c r="X206" s="17">
        <v>8.1900000000000001E-2</v>
      </c>
      <c r="Y206" s="17">
        <v>1.1714</v>
      </c>
      <c r="Z206" s="17">
        <v>3.0089000000000001</v>
      </c>
      <c r="AA206" s="17">
        <v>0.28100000000000003</v>
      </c>
      <c r="AB206" s="17">
        <v>0.49099999999999999</v>
      </c>
      <c r="AC206" s="17">
        <v>0.33850000000000002</v>
      </c>
      <c r="AD206" s="17">
        <v>0.41170000000000001</v>
      </c>
      <c r="AE206" s="17">
        <v>0.33939999999999998</v>
      </c>
      <c r="AF206" s="17">
        <v>1.4451000000000001</v>
      </c>
      <c r="AG206" s="17">
        <v>0.43540000000000001</v>
      </c>
      <c r="AH206" s="17">
        <v>0.4909</v>
      </c>
      <c r="AI206" s="17">
        <v>0.3841</v>
      </c>
      <c r="AJ206" s="17">
        <v>0.40089999999999998</v>
      </c>
      <c r="AK206" s="17">
        <v>0.62139999999999995</v>
      </c>
      <c r="AL206" s="17">
        <v>1.8130999999999999</v>
      </c>
      <c r="AM206" s="17">
        <v>0.42530000000000001</v>
      </c>
      <c r="AN206" s="17">
        <v>0.45300000000000001</v>
      </c>
      <c r="AO206" s="17">
        <v>1.1866000000000001</v>
      </c>
      <c r="AP206" s="17">
        <v>0.373</v>
      </c>
      <c r="AQ206" s="17">
        <v>0.50560000000000005</v>
      </c>
      <c r="AR206" s="17">
        <v>2.0979000000000001</v>
      </c>
      <c r="AS206" s="17">
        <v>1.3053999999999999</v>
      </c>
      <c r="AT206" s="17">
        <v>0.63519999999999999</v>
      </c>
      <c r="AU206" s="17">
        <v>0.22500000000000001</v>
      </c>
      <c r="AV206" s="17">
        <v>0.29509999999999997</v>
      </c>
      <c r="AW206" s="17">
        <v>0.1368</v>
      </c>
      <c r="AX206" s="17">
        <v>0.14219999999999999</v>
      </c>
    </row>
    <row r="207" spans="1:50" x14ac:dyDescent="0.25">
      <c r="A207" s="16" t="s">
        <v>677</v>
      </c>
      <c r="B207" s="13" t="s">
        <v>464</v>
      </c>
      <c r="C207" s="17">
        <v>0.44090000000000001</v>
      </c>
      <c r="D207" s="17">
        <v>0.64329999999999998</v>
      </c>
      <c r="E207" s="17">
        <v>0.66469999999999996</v>
      </c>
      <c r="F207" s="17">
        <v>0.67930000000000001</v>
      </c>
      <c r="G207" s="17">
        <v>0.35909999999999997</v>
      </c>
      <c r="H207" s="17">
        <v>0.13700000000000001</v>
      </c>
      <c r="I207" s="17">
        <v>8.9599999999999999E-2</v>
      </c>
      <c r="J207" s="17">
        <v>0.29599999999999999</v>
      </c>
      <c r="K207" s="17">
        <v>0.13700000000000001</v>
      </c>
      <c r="L207" s="17">
        <v>0.2389</v>
      </c>
      <c r="M207" s="17">
        <v>0.16819999999999999</v>
      </c>
      <c r="N207" s="17">
        <v>0.1464</v>
      </c>
      <c r="O207" s="17">
        <v>0.2399</v>
      </c>
      <c r="P207" s="17">
        <v>0.1148</v>
      </c>
      <c r="Q207" s="17">
        <v>0.2452</v>
      </c>
      <c r="R207" s="17">
        <v>5.0999999999999997E-2</v>
      </c>
      <c r="S207" s="17">
        <v>0.222</v>
      </c>
      <c r="T207" s="17">
        <v>9.8100000000000007E-2</v>
      </c>
      <c r="U207" s="17">
        <v>0.7339</v>
      </c>
      <c r="V207" s="17">
        <v>0.97760000000000002</v>
      </c>
      <c r="W207" s="17">
        <v>0.45619999999999999</v>
      </c>
      <c r="X207" s="17">
        <v>0.32419999999999999</v>
      </c>
      <c r="Y207" s="17">
        <v>0.23880000000000001</v>
      </c>
      <c r="Z207" s="17">
        <v>1.0932999999999999</v>
      </c>
      <c r="AA207" s="17">
        <v>0.3</v>
      </c>
      <c r="AB207" s="17">
        <v>0.35139999999999999</v>
      </c>
      <c r="AC207" s="17">
        <v>0.10920000000000001</v>
      </c>
      <c r="AD207" s="17">
        <v>2.0739000000000001</v>
      </c>
      <c r="AE207" s="17">
        <v>0.30109999999999998</v>
      </c>
      <c r="AF207" s="17">
        <v>0.39510000000000001</v>
      </c>
      <c r="AG207" s="17">
        <v>0.13</v>
      </c>
      <c r="AH207" s="17">
        <v>0.1865</v>
      </c>
      <c r="AI207" s="17">
        <v>0.37809999999999999</v>
      </c>
      <c r="AJ207" s="17">
        <v>0.51649999999999996</v>
      </c>
      <c r="AK207" s="17">
        <v>2.8077000000000001</v>
      </c>
      <c r="AL207" s="17">
        <v>2.5779000000000001</v>
      </c>
      <c r="AM207" s="17">
        <v>0.42909999999999998</v>
      </c>
      <c r="AN207" s="17">
        <v>0.70469999999999999</v>
      </c>
      <c r="AO207" s="17">
        <v>0.30880000000000002</v>
      </c>
      <c r="AP207" s="17">
        <v>0.44629999999999997</v>
      </c>
      <c r="AQ207" s="17">
        <v>0.60319999999999996</v>
      </c>
      <c r="AR207" s="17">
        <v>0.51049999999999995</v>
      </c>
      <c r="AS207" s="17">
        <v>0.56320000000000003</v>
      </c>
      <c r="AT207" s="17">
        <v>0.36030000000000001</v>
      </c>
      <c r="AU207" s="17">
        <v>0.2301</v>
      </c>
      <c r="AV207" s="17">
        <v>0.3614</v>
      </c>
      <c r="AW207" s="17">
        <v>0.25040000000000001</v>
      </c>
      <c r="AX207" s="17">
        <v>0.15920000000000001</v>
      </c>
    </row>
    <row r="208" spans="1:50" x14ac:dyDescent="0.25">
      <c r="A208" s="16" t="s">
        <v>679</v>
      </c>
      <c r="B208" s="13" t="s">
        <v>464</v>
      </c>
      <c r="C208" s="17">
        <v>0.2011</v>
      </c>
      <c r="D208" s="17">
        <v>0.2092</v>
      </c>
      <c r="E208" s="17">
        <v>0.05</v>
      </c>
      <c r="F208" s="17">
        <v>0.25140000000000001</v>
      </c>
      <c r="G208" s="17">
        <v>0.29459999999999997</v>
      </c>
      <c r="H208" s="17">
        <v>6.6000000000000003E-2</v>
      </c>
      <c r="I208" s="17">
        <v>0.34100000000000003</v>
      </c>
      <c r="J208" s="17">
        <v>0.189</v>
      </c>
      <c r="K208" s="17">
        <v>0.31609999999999999</v>
      </c>
      <c r="L208" s="17">
        <v>0.22989999999999999</v>
      </c>
      <c r="M208" s="17">
        <v>7.3899999999999993E-2</v>
      </c>
      <c r="N208" s="17">
        <v>0.34889999999999999</v>
      </c>
      <c r="O208" s="17">
        <v>0.20899999999999999</v>
      </c>
      <c r="P208" s="17">
        <v>0.20660000000000001</v>
      </c>
      <c r="Q208" s="17">
        <v>0.34329999999999999</v>
      </c>
      <c r="R208" s="17">
        <v>8.1900000000000001E-2</v>
      </c>
      <c r="S208" s="17">
        <v>0.22550000000000001</v>
      </c>
      <c r="T208" s="17">
        <v>0.1852</v>
      </c>
      <c r="U208" s="17">
        <v>0.18529999999999999</v>
      </c>
      <c r="V208" s="17">
        <v>0.27729999999999999</v>
      </c>
      <c r="W208" s="17">
        <v>0.1588</v>
      </c>
      <c r="X208" s="17">
        <v>0.2157</v>
      </c>
      <c r="Y208" s="17">
        <v>0.2334</v>
      </c>
      <c r="Z208" s="17">
        <v>8.4900000000000003E-2</v>
      </c>
      <c r="AA208" s="17">
        <v>0.2928</v>
      </c>
      <c r="AB208" s="17">
        <v>0.1095</v>
      </c>
      <c r="AC208" s="17">
        <v>0.27350000000000002</v>
      </c>
      <c r="AD208" s="17">
        <v>0.55559999999999998</v>
      </c>
      <c r="AE208" s="17">
        <v>0.2036</v>
      </c>
      <c r="AF208" s="17">
        <v>0.38</v>
      </c>
      <c r="AG208" s="17">
        <v>0.20949999999999999</v>
      </c>
      <c r="AH208" s="17">
        <v>7.6100000000000001E-2</v>
      </c>
      <c r="AI208" s="17">
        <v>0.22259999999999999</v>
      </c>
      <c r="AJ208" s="17">
        <v>0.23799999999999999</v>
      </c>
      <c r="AK208" s="17">
        <v>0.67679999999999996</v>
      </c>
      <c r="AL208" s="17">
        <v>1.3549</v>
      </c>
      <c r="AM208" s="17">
        <v>0.56859999999999999</v>
      </c>
      <c r="AN208" s="17">
        <v>0.42470000000000002</v>
      </c>
      <c r="AO208" s="17">
        <v>0.35120000000000001</v>
      </c>
      <c r="AP208" s="17">
        <v>0.68940000000000001</v>
      </c>
      <c r="AQ208" s="17">
        <v>0.66959999999999997</v>
      </c>
      <c r="AR208" s="17">
        <v>0.96989999999999998</v>
      </c>
      <c r="AS208" s="17">
        <v>0.65429999999999999</v>
      </c>
      <c r="AT208" s="17">
        <v>0.78480000000000005</v>
      </c>
      <c r="AU208" s="17">
        <v>0.74029999999999996</v>
      </c>
      <c r="AV208" s="17">
        <v>0.66610000000000003</v>
      </c>
      <c r="AW208" s="17">
        <v>0.24129999999999999</v>
      </c>
      <c r="AX208" s="17">
        <v>9.7900000000000001E-2</v>
      </c>
    </row>
    <row r="209" spans="1:50" x14ac:dyDescent="0.25">
      <c r="A209" s="16" t="s">
        <v>681</v>
      </c>
      <c r="B209" s="13" t="s">
        <v>464</v>
      </c>
      <c r="C209" s="17">
        <v>4.9000000000000002E-2</v>
      </c>
      <c r="D209" s="17">
        <v>0.13009999999999999</v>
      </c>
      <c r="E209" s="17">
        <v>4.9000000000000002E-2</v>
      </c>
      <c r="F209" s="17">
        <v>4.9000000000000002E-2</v>
      </c>
      <c r="G209" s="17">
        <v>0.13009999999999999</v>
      </c>
      <c r="H209" s="17">
        <v>4.9000000000000002E-2</v>
      </c>
      <c r="I209" s="17">
        <v>4.9000000000000002E-2</v>
      </c>
      <c r="J209" s="17">
        <v>4.9000000000000002E-2</v>
      </c>
      <c r="K209" s="17">
        <v>4.9000000000000002E-2</v>
      </c>
      <c r="L209" s="17">
        <v>0.13009999999999999</v>
      </c>
      <c r="M209" s="17">
        <v>4.9000000000000002E-2</v>
      </c>
      <c r="N209" s="17">
        <v>4.9000000000000002E-2</v>
      </c>
      <c r="O209" s="17">
        <v>4.9000000000000002E-2</v>
      </c>
      <c r="P209" s="17">
        <v>4.9000000000000002E-2</v>
      </c>
      <c r="Q209" s="17">
        <v>7.5999999999999998E-2</v>
      </c>
      <c r="R209" s="17">
        <v>0.1031</v>
      </c>
      <c r="S209" s="17">
        <v>4.9000000000000002E-2</v>
      </c>
      <c r="T209" s="17">
        <v>5.45E-2</v>
      </c>
      <c r="U209" s="17">
        <v>0.2581</v>
      </c>
      <c r="V209" s="17">
        <v>0.21299999999999999</v>
      </c>
      <c r="W209" s="17">
        <v>0.10050000000000001</v>
      </c>
      <c r="X209" s="17">
        <v>0.28110000000000002</v>
      </c>
      <c r="Y209" s="17">
        <v>0.24249999999999999</v>
      </c>
      <c r="Z209" s="17">
        <v>0.18940000000000001</v>
      </c>
      <c r="AA209" s="17">
        <v>0.1076</v>
      </c>
      <c r="AB209" s="17">
        <v>0.86260000000000003</v>
      </c>
      <c r="AC209" s="17">
        <v>0.80400000000000005</v>
      </c>
      <c r="AD209" s="17">
        <v>1.7196</v>
      </c>
      <c r="AE209" s="17">
        <v>4.9000000000000002E-2</v>
      </c>
      <c r="AF209" s="17">
        <v>5.3499999999999999E-2</v>
      </c>
      <c r="AG209" s="17">
        <v>0.25309999999999999</v>
      </c>
      <c r="AH209" s="17">
        <v>0.26719999999999999</v>
      </c>
      <c r="AI209" s="17">
        <v>0.26629999999999998</v>
      </c>
      <c r="AJ209" s="17">
        <v>0.21460000000000001</v>
      </c>
      <c r="AK209" s="17">
        <v>0.19969999999999999</v>
      </c>
      <c r="AL209" s="17">
        <v>0.1386</v>
      </c>
      <c r="AM209" s="17">
        <v>6.2399999999999997E-2</v>
      </c>
      <c r="AN209" s="17">
        <v>0.1661</v>
      </c>
      <c r="AO209" s="17">
        <v>0.15179999999999999</v>
      </c>
      <c r="AP209" s="17">
        <v>0.42449999999999999</v>
      </c>
      <c r="AQ209" s="17">
        <v>1.631</v>
      </c>
      <c r="AR209" s="17">
        <v>1.5911999999999999</v>
      </c>
      <c r="AS209" s="17">
        <v>0.61360000000000003</v>
      </c>
      <c r="AT209" s="17">
        <v>0.47899999999999998</v>
      </c>
      <c r="AU209" s="17">
        <v>0.3261</v>
      </c>
      <c r="AV209" s="17">
        <v>0.22339999999999999</v>
      </c>
      <c r="AW209" s="17">
        <v>0.25819999999999999</v>
      </c>
      <c r="AX209" s="17">
        <v>0.17230000000000001</v>
      </c>
    </row>
    <row r="210" spans="1:50" x14ac:dyDescent="0.25">
      <c r="A210" s="16" t="s">
        <v>683</v>
      </c>
      <c r="B210" s="13" t="s">
        <v>464</v>
      </c>
      <c r="C210" s="17">
        <v>8.3099999999999993E-2</v>
      </c>
      <c r="D210" s="17">
        <v>7.5999999999999998E-2</v>
      </c>
      <c r="E210" s="17">
        <v>9.0200000000000002E-2</v>
      </c>
      <c r="F210" s="17">
        <v>8.4599999999999995E-2</v>
      </c>
      <c r="G210" s="17">
        <v>0.2044</v>
      </c>
      <c r="H210" s="17">
        <v>7.5999999999999998E-2</v>
      </c>
      <c r="I210" s="17">
        <v>7.5999999999999998E-2</v>
      </c>
      <c r="J210" s="17">
        <v>0.191</v>
      </c>
      <c r="K210" s="17">
        <v>9.8000000000000004E-2</v>
      </c>
      <c r="L210" s="17">
        <v>8.3099999999999993E-2</v>
      </c>
      <c r="M210" s="17">
        <v>0.23089999999999999</v>
      </c>
      <c r="N210" s="17">
        <v>5.0999999999999997E-2</v>
      </c>
      <c r="O210" s="17">
        <v>0.16520000000000001</v>
      </c>
      <c r="P210" s="17">
        <v>0.14879999999999999</v>
      </c>
      <c r="Q210" s="17">
        <v>7.1199999999999999E-2</v>
      </c>
      <c r="R210" s="17">
        <v>0.17860000000000001</v>
      </c>
      <c r="S210" s="17">
        <v>5.0999999999999997E-2</v>
      </c>
      <c r="T210" s="17">
        <v>0.21590000000000001</v>
      </c>
      <c r="U210" s="17">
        <v>0.32729999999999998</v>
      </c>
      <c r="V210" s="17">
        <v>0.2034</v>
      </c>
      <c r="W210" s="17">
        <v>0.13239999999999999</v>
      </c>
      <c r="X210" s="17">
        <v>0.1009</v>
      </c>
      <c r="Y210" s="17">
        <v>0.21299999999999999</v>
      </c>
      <c r="Z210" s="17">
        <v>5.0999999999999997E-2</v>
      </c>
      <c r="AA210" s="17">
        <v>0.1152</v>
      </c>
      <c r="AB210" s="17">
        <v>9.1300000000000006E-2</v>
      </c>
      <c r="AC210" s="17">
        <v>0.22259999999999999</v>
      </c>
      <c r="AD210" s="17">
        <v>0.1303</v>
      </c>
      <c r="AE210" s="17">
        <v>0.1946</v>
      </c>
      <c r="AF210" s="17">
        <v>0.15279999999999999</v>
      </c>
      <c r="AG210" s="17">
        <v>5.0999999999999997E-2</v>
      </c>
      <c r="AH210" s="17">
        <v>0.1585</v>
      </c>
      <c r="AI210" s="17">
        <v>9.1300000000000006E-2</v>
      </c>
      <c r="AJ210" s="17">
        <v>0.1047</v>
      </c>
      <c r="AK210" s="17">
        <v>0.2092</v>
      </c>
      <c r="AL210" s="17">
        <v>5.4600000000000003E-2</v>
      </c>
      <c r="AM210" s="17">
        <v>0.19220000000000001</v>
      </c>
      <c r="AN210" s="17">
        <v>0.20760000000000001</v>
      </c>
      <c r="AO210" s="17">
        <v>0.39560000000000001</v>
      </c>
      <c r="AP210" s="17">
        <v>0.65969999999999995</v>
      </c>
      <c r="AQ210" s="17">
        <v>0.6714</v>
      </c>
      <c r="AR210" s="17">
        <v>0.39400000000000002</v>
      </c>
      <c r="AS210" s="17">
        <v>0.63100000000000001</v>
      </c>
      <c r="AT210" s="17">
        <v>0.44640000000000002</v>
      </c>
      <c r="AU210" s="17">
        <v>0.65680000000000005</v>
      </c>
      <c r="AV210" s="17">
        <v>0.59119999999999995</v>
      </c>
      <c r="AW210" s="17">
        <v>0.54900000000000004</v>
      </c>
      <c r="AX210" s="17">
        <v>0.23130000000000001</v>
      </c>
    </row>
    <row r="211" spans="1:50" x14ac:dyDescent="0.25">
      <c r="A211" s="8" t="s">
        <v>246</v>
      </c>
      <c r="B211" s="10" t="s">
        <v>57</v>
      </c>
      <c r="C211" s="18">
        <v>0.12479999999999999</v>
      </c>
      <c r="D211" s="18">
        <v>0.1192</v>
      </c>
      <c r="E211" s="18">
        <v>0.13800000000000001</v>
      </c>
      <c r="F211" s="18">
        <v>5.8099999999999999E-2</v>
      </c>
      <c r="G211" s="18">
        <v>0.13</v>
      </c>
      <c r="H211" s="18">
        <v>0.17280000000000001</v>
      </c>
      <c r="I211" s="18">
        <v>0.11609999999999999</v>
      </c>
      <c r="J211" s="18">
        <v>0.1784</v>
      </c>
      <c r="K211" s="18">
        <v>0.11609999999999999</v>
      </c>
      <c r="L211" s="18">
        <v>5.3999999999999999E-2</v>
      </c>
      <c r="M211" s="18">
        <v>0.24049999999999999</v>
      </c>
      <c r="N211" s="18">
        <v>5.3999999999999999E-2</v>
      </c>
      <c r="O211" s="18">
        <v>0.22389999999999999</v>
      </c>
      <c r="P211" s="18">
        <v>7.0599999999999996E-2</v>
      </c>
      <c r="Q211" s="18">
        <v>9.3200000000000005E-2</v>
      </c>
      <c r="R211" s="18">
        <v>0.20130000000000001</v>
      </c>
      <c r="S211" s="18">
        <v>8.2000000000000003E-2</v>
      </c>
      <c r="T211" s="18">
        <v>0.13800000000000001</v>
      </c>
      <c r="U211" s="18">
        <v>5.3999999999999999E-2</v>
      </c>
      <c r="V211" s="18">
        <v>0.21229999999999999</v>
      </c>
      <c r="W211" s="18">
        <v>0.40920000000000001</v>
      </c>
      <c r="X211" s="18">
        <v>1.6800999999999999</v>
      </c>
      <c r="Y211" s="18">
        <v>0.29620000000000002</v>
      </c>
      <c r="Z211" s="18">
        <v>1.8505</v>
      </c>
      <c r="AA211" s="18">
        <v>0.56859999999999999</v>
      </c>
      <c r="AB211" s="18">
        <v>0.26319999999999999</v>
      </c>
      <c r="AC211" s="18">
        <v>9.3200000000000005E-2</v>
      </c>
      <c r="AD211" s="18">
        <v>0.38940000000000002</v>
      </c>
      <c r="AE211" s="18">
        <v>6.1600000000000002E-2</v>
      </c>
      <c r="AF211" s="18">
        <v>0.20100000000000001</v>
      </c>
      <c r="AG211" s="18">
        <v>0.33589999999999998</v>
      </c>
      <c r="AH211" s="18">
        <v>0.2268</v>
      </c>
      <c r="AI211" s="18">
        <v>0.65280000000000005</v>
      </c>
      <c r="AJ211" s="18">
        <v>3.2549999999999999</v>
      </c>
      <c r="AK211" s="18">
        <v>3.8487</v>
      </c>
      <c r="AL211" s="18">
        <v>0.68589999999999995</v>
      </c>
      <c r="AM211" s="18">
        <v>0.3256</v>
      </c>
      <c r="AN211" s="18">
        <v>0.38640000000000002</v>
      </c>
      <c r="AO211" s="18">
        <v>0.62529999999999997</v>
      </c>
      <c r="AP211" s="18">
        <v>0.38390000000000002</v>
      </c>
      <c r="AQ211" s="18">
        <v>2.2046000000000001</v>
      </c>
      <c r="AR211" s="18">
        <v>0.65249999999999997</v>
      </c>
      <c r="AS211" s="18">
        <v>0.6079</v>
      </c>
      <c r="AT211" s="18">
        <v>0.60509999999999997</v>
      </c>
      <c r="AU211" s="18">
        <v>0.42859999999999998</v>
      </c>
      <c r="AV211" s="18">
        <v>0.2112</v>
      </c>
      <c r="AW211" s="18">
        <v>6.93E-2</v>
      </c>
      <c r="AX211" s="18">
        <v>0.46139999999999998</v>
      </c>
    </row>
    <row r="212" spans="1:50" x14ac:dyDescent="0.25">
      <c r="A212" s="16" t="s">
        <v>685</v>
      </c>
      <c r="B212" s="13" t="s">
        <v>464</v>
      </c>
      <c r="C212" s="17">
        <v>0.25719999999999998</v>
      </c>
      <c r="D212" s="17">
        <v>0.1338</v>
      </c>
      <c r="E212" s="17">
        <v>0.22750000000000001</v>
      </c>
      <c r="F212" s="17">
        <v>0.23250000000000001</v>
      </c>
      <c r="G212" s="17">
        <v>0.2198</v>
      </c>
      <c r="H212" s="17">
        <v>6.6699999999999995E-2</v>
      </c>
      <c r="I212" s="17">
        <v>0.158</v>
      </c>
      <c r="J212" s="17">
        <v>0.13350000000000001</v>
      </c>
      <c r="K212" s="17">
        <v>0.28820000000000001</v>
      </c>
      <c r="L212" s="17">
        <v>0.17180000000000001</v>
      </c>
      <c r="M212" s="17">
        <v>0.1203</v>
      </c>
      <c r="N212" s="17">
        <v>0.29920000000000002</v>
      </c>
      <c r="O212" s="17">
        <v>0.1741</v>
      </c>
      <c r="P212" s="17">
        <v>0.2452</v>
      </c>
      <c r="Q212" s="17">
        <v>0.1444</v>
      </c>
      <c r="R212" s="17">
        <v>0.13700000000000001</v>
      </c>
      <c r="S212" s="17">
        <v>0.48530000000000001</v>
      </c>
      <c r="T212" s="17">
        <v>0.13389999999999999</v>
      </c>
      <c r="U212" s="17">
        <v>0.1883</v>
      </c>
      <c r="V212" s="17">
        <v>2.4018999999999999</v>
      </c>
      <c r="W212" s="17">
        <v>0.1991</v>
      </c>
      <c r="X212" s="17">
        <v>0.4037</v>
      </c>
      <c r="Y212" s="17">
        <v>0.41720000000000002</v>
      </c>
      <c r="Z212" s="17">
        <v>0.4209</v>
      </c>
      <c r="AA212" s="17">
        <v>1.6040000000000001</v>
      </c>
      <c r="AB212" s="17">
        <v>0.32090000000000002</v>
      </c>
      <c r="AC212" s="17">
        <v>0.42870000000000003</v>
      </c>
      <c r="AD212" s="17">
        <v>0.44529999999999997</v>
      </c>
      <c r="AE212" s="17">
        <v>7.2700000000000001E-2</v>
      </c>
      <c r="AF212" s="17">
        <v>0.35670000000000002</v>
      </c>
      <c r="AG212" s="17">
        <v>0.22789999999999999</v>
      </c>
      <c r="AH212" s="17">
        <v>0.3004</v>
      </c>
      <c r="AI212" s="17">
        <v>2.2214999999999998</v>
      </c>
      <c r="AJ212" s="17">
        <v>2.9940000000000002</v>
      </c>
      <c r="AK212" s="17">
        <v>1.2103999999999999</v>
      </c>
      <c r="AL212" s="17">
        <v>0.32579999999999998</v>
      </c>
      <c r="AM212" s="17">
        <v>0.2056</v>
      </c>
      <c r="AN212" s="17">
        <v>0.2051</v>
      </c>
      <c r="AO212" s="17">
        <v>1.3044</v>
      </c>
      <c r="AP212" s="17">
        <v>0.53500000000000003</v>
      </c>
      <c r="AQ212" s="17">
        <v>0.71109999999999995</v>
      </c>
      <c r="AR212" s="17">
        <v>0.78449999999999998</v>
      </c>
      <c r="AS212" s="17">
        <v>0.70020000000000004</v>
      </c>
      <c r="AT212" s="17">
        <v>0.94479999999999997</v>
      </c>
      <c r="AU212" s="17">
        <v>0.72640000000000005</v>
      </c>
      <c r="AV212" s="17">
        <v>0.85489999999999999</v>
      </c>
      <c r="AW212" s="17">
        <v>0.1971</v>
      </c>
      <c r="AX212" s="17">
        <v>0.11260000000000001</v>
      </c>
    </row>
    <row r="213" spans="1:50" x14ac:dyDescent="0.25">
      <c r="A213" s="8" t="s">
        <v>248</v>
      </c>
      <c r="B213" s="10" t="s">
        <v>57</v>
      </c>
      <c r="C213" s="18">
        <v>0.5554</v>
      </c>
      <c r="D213" s="18">
        <v>0.30030000000000001</v>
      </c>
      <c r="E213" s="18">
        <v>0.30980000000000002</v>
      </c>
      <c r="F213" s="18">
        <v>0.4541</v>
      </c>
      <c r="G213" s="18">
        <v>0.18210000000000001</v>
      </c>
      <c r="H213" s="18">
        <v>9.9599999999999994E-2</v>
      </c>
      <c r="I213" s="18">
        <v>0.1585</v>
      </c>
      <c r="J213" s="18">
        <v>0.14530000000000001</v>
      </c>
      <c r="K213" s="18">
        <v>0.21010000000000001</v>
      </c>
      <c r="L213" s="18">
        <v>0.13830000000000001</v>
      </c>
      <c r="M213" s="18">
        <v>0.1434</v>
      </c>
      <c r="N213" s="18">
        <v>0.1217</v>
      </c>
      <c r="O213" s="18">
        <v>0.14530000000000001</v>
      </c>
      <c r="P213" s="18">
        <v>0.21010000000000001</v>
      </c>
      <c r="Q213" s="18">
        <v>0.27860000000000001</v>
      </c>
      <c r="R213" s="18">
        <v>0.16320000000000001</v>
      </c>
      <c r="S213" s="18">
        <v>0.22789999999999999</v>
      </c>
      <c r="T213" s="18">
        <v>7.4800000000000005E-2</v>
      </c>
      <c r="U213" s="18">
        <v>0.1895</v>
      </c>
      <c r="V213" s="18">
        <v>0.16589999999999999</v>
      </c>
      <c r="W213" s="18">
        <v>0.14530000000000001</v>
      </c>
      <c r="X213" s="18">
        <v>4.8000000000000001E-2</v>
      </c>
      <c r="Y213" s="18">
        <v>0.11749999999999999</v>
      </c>
      <c r="Z213" s="18">
        <v>7.5800000000000006E-2</v>
      </c>
      <c r="AA213" s="18">
        <v>0.21010000000000001</v>
      </c>
      <c r="AB213" s="18">
        <v>0.14530000000000001</v>
      </c>
      <c r="AC213" s="18">
        <v>4.8000000000000001E-2</v>
      </c>
      <c r="AD213" s="18">
        <v>8.9700000000000002E-2</v>
      </c>
      <c r="AE213" s="18">
        <v>0.26569999999999999</v>
      </c>
      <c r="AF213" s="18">
        <v>4.8000000000000001E-2</v>
      </c>
      <c r="AG213" s="18">
        <v>0.36820000000000003</v>
      </c>
      <c r="AH213" s="18">
        <v>0.2611</v>
      </c>
      <c r="AI213" s="18">
        <v>0.26679999999999998</v>
      </c>
      <c r="AJ213" s="18">
        <v>0.40500000000000003</v>
      </c>
      <c r="AK213" s="18">
        <v>0.43440000000000001</v>
      </c>
      <c r="AL213" s="18">
        <v>0.35110000000000002</v>
      </c>
      <c r="AM213" s="18">
        <v>0.41870000000000002</v>
      </c>
      <c r="AN213" s="18">
        <v>0.42630000000000001</v>
      </c>
      <c r="AO213" s="18">
        <v>0.4758</v>
      </c>
      <c r="AP213" s="18">
        <v>0.76719999999999999</v>
      </c>
      <c r="AQ213" s="18">
        <v>0.38629999999999998</v>
      </c>
      <c r="AR213" s="18">
        <v>0.52280000000000004</v>
      </c>
      <c r="AS213" s="18">
        <v>0.51759999999999995</v>
      </c>
      <c r="AT213" s="18">
        <v>0.77649999999999997</v>
      </c>
      <c r="AU213" s="18">
        <v>0.58399999999999996</v>
      </c>
      <c r="AV213" s="18">
        <v>0.40029999999999999</v>
      </c>
      <c r="AW213" s="18">
        <v>0.21010000000000001</v>
      </c>
      <c r="AX213" s="18">
        <v>4.8000000000000001E-2</v>
      </c>
    </row>
    <row r="214" spans="1:50" x14ac:dyDescent="0.25">
      <c r="A214" s="16" t="s">
        <v>687</v>
      </c>
      <c r="B214" s="13" t="s">
        <v>464</v>
      </c>
      <c r="C214" s="17">
        <v>0.11169999999999999</v>
      </c>
      <c r="D214" s="17">
        <v>0.19450000000000001</v>
      </c>
      <c r="E214" s="17">
        <v>5.8999999999999997E-2</v>
      </c>
      <c r="F214" s="17">
        <v>8.9399999999999993E-2</v>
      </c>
      <c r="G214" s="17">
        <v>0.2424</v>
      </c>
      <c r="H214" s="17">
        <v>7.2599999999999998E-2</v>
      </c>
      <c r="I214" s="17">
        <v>0.12</v>
      </c>
      <c r="J214" s="17">
        <v>0.1515</v>
      </c>
      <c r="K214" s="17">
        <v>0.13289999999999999</v>
      </c>
      <c r="L214" s="17">
        <v>0.20810000000000001</v>
      </c>
      <c r="M214" s="17">
        <v>0.11119999999999999</v>
      </c>
      <c r="N214" s="17">
        <v>0.19350000000000001</v>
      </c>
      <c r="O214" s="17">
        <v>0.1779</v>
      </c>
      <c r="P214" s="17">
        <v>5.8999999999999997E-2</v>
      </c>
      <c r="Q214" s="17">
        <v>0.13730000000000001</v>
      </c>
      <c r="R214" s="17">
        <v>0.37709999999999999</v>
      </c>
      <c r="S214" s="17">
        <v>0.31840000000000002</v>
      </c>
      <c r="T214" s="17">
        <v>0.16889999999999999</v>
      </c>
      <c r="U214" s="17">
        <v>0.19109999999999999</v>
      </c>
      <c r="V214" s="17">
        <v>0.10680000000000001</v>
      </c>
      <c r="W214" s="17">
        <v>0.24049999999999999</v>
      </c>
      <c r="X214" s="17">
        <v>0.10489999999999999</v>
      </c>
      <c r="Y214" s="17">
        <v>8.9399999999999993E-2</v>
      </c>
      <c r="Z214" s="17">
        <v>0.25590000000000002</v>
      </c>
      <c r="AA214" s="17">
        <v>0.1229</v>
      </c>
      <c r="AB214" s="17">
        <v>0.40439999999999998</v>
      </c>
      <c r="AC214" s="17">
        <v>0.104</v>
      </c>
      <c r="AD214" s="17">
        <v>0.11119999999999999</v>
      </c>
      <c r="AE214" s="17">
        <v>0.11899999999999999</v>
      </c>
      <c r="AF214" s="17">
        <v>0.17419999999999999</v>
      </c>
      <c r="AG214" s="17">
        <v>0.13730000000000001</v>
      </c>
      <c r="AH214" s="17">
        <v>0.20130000000000001</v>
      </c>
      <c r="AI214" s="17">
        <v>0.14910000000000001</v>
      </c>
      <c r="AJ214" s="17">
        <v>0.25619999999999998</v>
      </c>
      <c r="AK214" s="17">
        <v>0.4602</v>
      </c>
      <c r="AL214" s="17">
        <v>2.5038</v>
      </c>
      <c r="AM214" s="17">
        <v>2.2336999999999998</v>
      </c>
      <c r="AN214" s="17">
        <v>1.7839</v>
      </c>
      <c r="AO214" s="17">
        <v>5.8999999999999997E-2</v>
      </c>
      <c r="AP214" s="17">
        <v>0.16070000000000001</v>
      </c>
      <c r="AQ214" s="17">
        <v>0.10639999999999999</v>
      </c>
      <c r="AR214" s="17">
        <v>0.13730000000000001</v>
      </c>
      <c r="AS214" s="17">
        <v>0.24540000000000001</v>
      </c>
      <c r="AT214" s="17">
        <v>0.57369999999999999</v>
      </c>
      <c r="AU214" s="17">
        <v>1.0247999999999999</v>
      </c>
      <c r="AV214" s="17">
        <v>0.81299999999999994</v>
      </c>
      <c r="AW214" s="17">
        <v>0.13730000000000001</v>
      </c>
      <c r="AX214" s="17">
        <v>0.20810000000000001</v>
      </c>
    </row>
    <row r="215" spans="1:50" x14ac:dyDescent="0.25">
      <c r="A215" s="8" t="s">
        <v>250</v>
      </c>
      <c r="B215" s="10" t="s">
        <v>57</v>
      </c>
      <c r="C215" s="18">
        <v>2.0099999999999998</v>
      </c>
      <c r="D215" s="18">
        <v>1.5163</v>
      </c>
      <c r="E215" s="18">
        <v>1.1188</v>
      </c>
      <c r="F215" s="18">
        <v>0.39269999999999999</v>
      </c>
      <c r="G215" s="18">
        <v>4.5999999999999999E-2</v>
      </c>
      <c r="H215" s="18">
        <v>0.1757</v>
      </c>
      <c r="I215" s="18">
        <v>9.4700000000000006E-2</v>
      </c>
      <c r="J215" s="18">
        <v>0.2238</v>
      </c>
      <c r="K215" s="18">
        <v>0.14330000000000001</v>
      </c>
      <c r="L215" s="18">
        <v>0.113</v>
      </c>
      <c r="M215" s="18">
        <v>0.25419999999999998</v>
      </c>
      <c r="N215" s="18">
        <v>4.5999999999999999E-2</v>
      </c>
      <c r="O215" s="18">
        <v>0.13370000000000001</v>
      </c>
      <c r="P215" s="18">
        <v>0.2334</v>
      </c>
      <c r="Q215" s="18">
        <v>4.5999999999999999E-2</v>
      </c>
      <c r="R215" s="18">
        <v>0.26100000000000001</v>
      </c>
      <c r="S215" s="18">
        <v>0.3931</v>
      </c>
      <c r="T215" s="18">
        <v>9.0499999999999997E-2</v>
      </c>
      <c r="U215" s="18">
        <v>0.28060000000000002</v>
      </c>
      <c r="V215" s="18">
        <v>4.5999999999999999E-2</v>
      </c>
      <c r="W215" s="18">
        <v>4.5999999999999999E-2</v>
      </c>
      <c r="X215" s="18">
        <v>0.35099999999999998</v>
      </c>
      <c r="Y215" s="18">
        <v>5.9400000000000001E-2</v>
      </c>
      <c r="Z215" s="18">
        <v>9.98E-2</v>
      </c>
      <c r="AA215" s="18">
        <v>0.23519999999999999</v>
      </c>
      <c r="AB215" s="18">
        <v>0.44180000000000003</v>
      </c>
      <c r="AC215" s="18">
        <v>0.23250000000000001</v>
      </c>
      <c r="AD215" s="18">
        <v>0.16869999999999999</v>
      </c>
      <c r="AE215" s="18">
        <v>0.34260000000000002</v>
      </c>
      <c r="AF215" s="18">
        <v>0.58230000000000004</v>
      </c>
      <c r="AG215" s="18">
        <v>0.2114</v>
      </c>
      <c r="AH215" s="18">
        <v>0.20749999999999999</v>
      </c>
      <c r="AI215" s="18">
        <v>0.1888</v>
      </c>
      <c r="AJ215" s="18">
        <v>0.308</v>
      </c>
      <c r="AK215" s="18">
        <v>0.34589999999999999</v>
      </c>
      <c r="AL215" s="18">
        <v>0.37219999999999998</v>
      </c>
      <c r="AM215" s="18">
        <v>9.01E-2</v>
      </c>
      <c r="AN215" s="18">
        <v>1.3821000000000001</v>
      </c>
      <c r="AO215" s="18">
        <v>0.68469999999999998</v>
      </c>
      <c r="AP215" s="18">
        <v>0.37819999999999998</v>
      </c>
      <c r="AQ215" s="18">
        <v>0.42730000000000001</v>
      </c>
      <c r="AR215" s="18">
        <v>0.40129999999999999</v>
      </c>
      <c r="AS215" s="18">
        <v>0.3664</v>
      </c>
      <c r="AT215" s="18">
        <v>0.44929999999999998</v>
      </c>
      <c r="AU215" s="18">
        <v>0.29349999999999998</v>
      </c>
      <c r="AV215" s="18">
        <v>0.33429999999999999</v>
      </c>
      <c r="AW215" s="18">
        <v>0.22439999999999999</v>
      </c>
      <c r="AX215" s="18">
        <v>0.14269999999999999</v>
      </c>
    </row>
    <row r="216" spans="1:50" x14ac:dyDescent="0.25">
      <c r="A216" s="8" t="s">
        <v>252</v>
      </c>
      <c r="B216" s="10" t="s">
        <v>57</v>
      </c>
      <c r="C216" s="18">
        <v>0.106</v>
      </c>
      <c r="D216" s="18">
        <v>9.2799999999999994E-2</v>
      </c>
      <c r="E216" s="18">
        <v>0.1042</v>
      </c>
      <c r="F216" s="18">
        <v>0.2225</v>
      </c>
      <c r="G216" s="18">
        <v>9.2799999999999994E-2</v>
      </c>
      <c r="H216" s="18">
        <v>8.1799999999999998E-2</v>
      </c>
      <c r="I216" s="18">
        <v>0.2001</v>
      </c>
      <c r="J216" s="18">
        <v>4.8000000000000001E-2</v>
      </c>
      <c r="K216" s="18">
        <v>0.2419</v>
      </c>
      <c r="L216" s="18">
        <v>0.1071</v>
      </c>
      <c r="M216" s="18">
        <v>4.8000000000000001E-2</v>
      </c>
      <c r="N216" s="18">
        <v>0.30109999999999998</v>
      </c>
      <c r="O216" s="18">
        <v>4.8000000000000001E-2</v>
      </c>
      <c r="P216" s="18">
        <v>0.1409</v>
      </c>
      <c r="Q216" s="18">
        <v>1.0851999999999999</v>
      </c>
      <c r="R216" s="18">
        <v>0.64970000000000006</v>
      </c>
      <c r="S216" s="18">
        <v>1.0244</v>
      </c>
      <c r="T216" s="18">
        <v>0.35</v>
      </c>
      <c r="U216" s="18">
        <v>4.8000000000000001E-2</v>
      </c>
      <c r="V216" s="18">
        <v>0.1663</v>
      </c>
      <c r="W216" s="18">
        <v>0.11559999999999999</v>
      </c>
      <c r="X216" s="18">
        <v>1.0717000000000001</v>
      </c>
      <c r="Y216" s="18">
        <v>1.6558999999999999</v>
      </c>
      <c r="Z216" s="18">
        <v>2.3769</v>
      </c>
      <c r="AA216" s="18">
        <v>1.5037</v>
      </c>
      <c r="AB216" s="18">
        <v>0.14349999999999999</v>
      </c>
      <c r="AC216" s="18">
        <v>1.3554999999999999</v>
      </c>
      <c r="AD216" s="18">
        <v>0.124</v>
      </c>
      <c r="AE216" s="18">
        <v>0.21759999999999999</v>
      </c>
      <c r="AF216" s="18">
        <v>5.5500000000000001E-2</v>
      </c>
      <c r="AG216" s="18">
        <v>0.14940000000000001</v>
      </c>
      <c r="AH216" s="18">
        <v>0.14369999999999999</v>
      </c>
      <c r="AI216" s="18">
        <v>0.1804</v>
      </c>
      <c r="AJ216" s="18">
        <v>0.65359999999999996</v>
      </c>
      <c r="AK216" s="18">
        <v>0.4899</v>
      </c>
      <c r="AL216" s="18">
        <v>0.38669999999999999</v>
      </c>
      <c r="AM216" s="18">
        <v>6.9000000000000006E-2</v>
      </c>
      <c r="AN216" s="18">
        <v>0.32729999999999998</v>
      </c>
      <c r="AO216" s="18">
        <v>0.1265</v>
      </c>
      <c r="AP216" s="18">
        <v>0.3029</v>
      </c>
      <c r="AQ216" s="18">
        <v>0.32829999999999998</v>
      </c>
      <c r="AR216" s="18">
        <v>0.40500000000000003</v>
      </c>
      <c r="AS216" s="18">
        <v>0.90190000000000003</v>
      </c>
      <c r="AT216" s="18">
        <v>0.59109999999999996</v>
      </c>
      <c r="AU216" s="18">
        <v>1.054</v>
      </c>
      <c r="AV216" s="18">
        <v>0.66659999999999997</v>
      </c>
      <c r="AW216" s="18">
        <v>0.34520000000000001</v>
      </c>
      <c r="AX216" s="18">
        <v>0.92330000000000001</v>
      </c>
    </row>
    <row r="217" spans="1:50" x14ac:dyDescent="0.25">
      <c r="A217" s="8" t="s">
        <v>254</v>
      </c>
      <c r="B217" s="10" t="s">
        <v>57</v>
      </c>
      <c r="C217" s="18">
        <v>0.16689999999999999</v>
      </c>
      <c r="D217" s="18">
        <v>0.18129999999999999</v>
      </c>
      <c r="E217" s="18">
        <v>0.1905</v>
      </c>
      <c r="F217" s="18">
        <v>0.1027</v>
      </c>
      <c r="G217" s="18">
        <v>0.24890000000000001</v>
      </c>
      <c r="H217" s="18">
        <v>5.2200000000000003E-2</v>
      </c>
      <c r="I217" s="18">
        <v>0.1724</v>
      </c>
      <c r="J217" s="18">
        <v>0.19950000000000001</v>
      </c>
      <c r="K217" s="18">
        <v>3.2000000000000001E-2</v>
      </c>
      <c r="L217" s="18">
        <v>0.14990000000000001</v>
      </c>
      <c r="M217" s="18">
        <v>0.222</v>
      </c>
      <c r="N217" s="18">
        <v>3.2000000000000001E-2</v>
      </c>
      <c r="O217" s="18">
        <v>0.25340000000000001</v>
      </c>
      <c r="P217" s="18">
        <v>0.11849999999999999</v>
      </c>
      <c r="Q217" s="18">
        <v>0.15959999999999999</v>
      </c>
      <c r="R217" s="18">
        <v>0.35580000000000001</v>
      </c>
      <c r="S217" s="18">
        <v>0.1244</v>
      </c>
      <c r="T217" s="18">
        <v>7.6700000000000004E-2</v>
      </c>
      <c r="U217" s="18">
        <v>0.33090000000000003</v>
      </c>
      <c r="V217" s="18">
        <v>0.92589999999999995</v>
      </c>
      <c r="W217" s="18">
        <v>1.1574</v>
      </c>
      <c r="X217" s="18">
        <v>3.3492000000000002</v>
      </c>
      <c r="Y217" s="18">
        <v>1.8591</v>
      </c>
      <c r="Z217" s="18">
        <v>9.5100000000000004E-2</v>
      </c>
      <c r="AA217" s="18">
        <v>0.3241</v>
      </c>
      <c r="AB217" s="18">
        <v>4.6899999999999997E-2</v>
      </c>
      <c r="AC217" s="18">
        <v>1.9778</v>
      </c>
      <c r="AD217" s="18">
        <v>0.52429999999999999</v>
      </c>
      <c r="AE217" s="18">
        <v>0.1613</v>
      </c>
      <c r="AF217" s="18">
        <v>0.27029999999999998</v>
      </c>
      <c r="AG217" s="18">
        <v>0.28320000000000001</v>
      </c>
      <c r="AH217" s="18">
        <v>0.29749999999999999</v>
      </c>
      <c r="AI217" s="18">
        <v>0.22020000000000001</v>
      </c>
      <c r="AJ217" s="18">
        <v>7.7499999999999999E-2</v>
      </c>
      <c r="AK217" s="18">
        <v>0.55640000000000001</v>
      </c>
      <c r="AL217" s="18">
        <v>0.1525</v>
      </c>
      <c r="AM217" s="18">
        <v>0.2291</v>
      </c>
      <c r="AN217" s="18">
        <v>0.18609999999999999</v>
      </c>
      <c r="AO217" s="18">
        <v>0.23960000000000001</v>
      </c>
      <c r="AP217" s="18">
        <v>0.40360000000000001</v>
      </c>
      <c r="AQ217" s="18">
        <v>0.37040000000000001</v>
      </c>
      <c r="AR217" s="18">
        <v>0.71460000000000001</v>
      </c>
      <c r="AS217" s="18">
        <v>0.43099999999999999</v>
      </c>
      <c r="AT217" s="18">
        <v>0.58689999999999998</v>
      </c>
      <c r="AU217" s="18">
        <v>0.56730000000000003</v>
      </c>
      <c r="AV217" s="18">
        <v>0.44350000000000001</v>
      </c>
      <c r="AW217" s="18">
        <v>0.42330000000000001</v>
      </c>
      <c r="AX217" s="18">
        <v>0.62060000000000004</v>
      </c>
    </row>
    <row r="218" spans="1:50" x14ac:dyDescent="0.25">
      <c r="A218" s="16" t="s">
        <v>689</v>
      </c>
      <c r="B218" s="13" t="s">
        <v>464</v>
      </c>
      <c r="C218" s="17">
        <v>0.17799999999999999</v>
      </c>
      <c r="D218" s="17">
        <v>0.2006</v>
      </c>
      <c r="E218" s="17">
        <v>9.06E-2</v>
      </c>
      <c r="F218" s="17">
        <v>0.36180000000000001</v>
      </c>
      <c r="G218" s="17">
        <v>0.1673</v>
      </c>
      <c r="H218" s="17">
        <v>5.0999999999999997E-2</v>
      </c>
      <c r="I218" s="17">
        <v>0.29430000000000001</v>
      </c>
      <c r="J218" s="17">
        <v>0.11749999999999999</v>
      </c>
      <c r="K218" s="17">
        <v>0.13700000000000001</v>
      </c>
      <c r="L218" s="17">
        <v>0.27479999999999999</v>
      </c>
      <c r="M218" s="17">
        <v>5.0999999999999997E-2</v>
      </c>
      <c r="N218" s="17">
        <v>8.2699999999999996E-2</v>
      </c>
      <c r="O218" s="17">
        <v>0.31240000000000001</v>
      </c>
      <c r="P218" s="17">
        <v>0.1154</v>
      </c>
      <c r="Q218" s="17">
        <v>0.40710000000000002</v>
      </c>
      <c r="R218" s="17">
        <v>0.24940000000000001</v>
      </c>
      <c r="S218" s="17">
        <v>0.2094</v>
      </c>
      <c r="T218" s="17">
        <v>0.111</v>
      </c>
      <c r="U218" s="17">
        <v>0.17960000000000001</v>
      </c>
      <c r="V218" s="17">
        <v>0.26929999999999998</v>
      </c>
      <c r="W218" s="17">
        <v>0.3674</v>
      </c>
      <c r="X218" s="17">
        <v>0.18729999999999999</v>
      </c>
      <c r="Y218" s="17">
        <v>0.4985</v>
      </c>
      <c r="Z218" s="17">
        <v>0.32719999999999999</v>
      </c>
      <c r="AA218" s="17">
        <v>0.46600000000000003</v>
      </c>
      <c r="AB218" s="17">
        <v>0.22040000000000001</v>
      </c>
      <c r="AC218" s="17">
        <v>0.46379999999999999</v>
      </c>
      <c r="AD218" s="17">
        <v>0.2092</v>
      </c>
      <c r="AE218" s="17">
        <v>0.37809999999999999</v>
      </c>
      <c r="AF218" s="17">
        <v>0.46450000000000002</v>
      </c>
      <c r="AG218" s="17">
        <v>0.61519999999999997</v>
      </c>
      <c r="AH218" s="17">
        <v>0.74809999999999999</v>
      </c>
      <c r="AI218" s="17">
        <v>0.39369999999999999</v>
      </c>
      <c r="AJ218" s="17">
        <v>0.30199999999999999</v>
      </c>
      <c r="AK218" s="17">
        <v>0.76219999999999999</v>
      </c>
      <c r="AL218" s="17">
        <v>0.26400000000000001</v>
      </c>
      <c r="AM218" s="17">
        <v>0.37519999999999998</v>
      </c>
      <c r="AN218" s="17">
        <v>0.39689999999999998</v>
      </c>
      <c r="AO218" s="17">
        <v>0.28510000000000002</v>
      </c>
      <c r="AP218" s="17">
        <v>0.2172</v>
      </c>
      <c r="AQ218" s="17">
        <v>0.1946</v>
      </c>
      <c r="AR218" s="17">
        <v>0.1341</v>
      </c>
      <c r="AS218" s="17">
        <v>0.25230000000000002</v>
      </c>
      <c r="AT218" s="17">
        <v>7.6399999999999996E-2</v>
      </c>
      <c r="AU218" s="17">
        <v>0.1258</v>
      </c>
      <c r="AV218" s="17">
        <v>0.26690000000000003</v>
      </c>
      <c r="AW218" s="17">
        <v>7.0000000000000007E-2</v>
      </c>
      <c r="AX218" s="17">
        <v>7.0000000000000007E-2</v>
      </c>
    </row>
    <row r="219" spans="1:50" x14ac:dyDescent="0.25">
      <c r="A219" s="16" t="s">
        <v>691</v>
      </c>
      <c r="B219" s="13" t="s">
        <v>464</v>
      </c>
      <c r="C219" s="17">
        <v>5.9499999999999997E-2</v>
      </c>
      <c r="D219" s="17">
        <v>0.04</v>
      </c>
      <c r="E219" s="17">
        <v>0.04</v>
      </c>
      <c r="F219" s="17">
        <v>0.04</v>
      </c>
      <c r="G219" s="17">
        <v>0.15060000000000001</v>
      </c>
      <c r="H219" s="17">
        <v>7.2499999999999995E-2</v>
      </c>
      <c r="I219" s="17">
        <v>7.9000000000000001E-2</v>
      </c>
      <c r="J219" s="17">
        <v>0.14410000000000001</v>
      </c>
      <c r="K219" s="17">
        <v>0.04</v>
      </c>
      <c r="L219" s="17">
        <v>0.14410000000000001</v>
      </c>
      <c r="M219" s="17">
        <v>7.9000000000000001E-2</v>
      </c>
      <c r="N219" s="17">
        <v>9.1999999999999998E-2</v>
      </c>
      <c r="O219" s="17">
        <v>0.13109999999999999</v>
      </c>
      <c r="P219" s="17">
        <v>0.04</v>
      </c>
      <c r="Q219" s="17">
        <v>0.30099999999999999</v>
      </c>
      <c r="R219" s="17">
        <v>0.40339999999999998</v>
      </c>
      <c r="S219" s="17">
        <v>1.339</v>
      </c>
      <c r="T219" s="17">
        <v>0.22140000000000001</v>
      </c>
      <c r="U219" s="17">
        <v>0.1171</v>
      </c>
      <c r="V219" s="17">
        <v>0.2581</v>
      </c>
      <c r="W219" s="17">
        <v>1.7690999999999999</v>
      </c>
      <c r="X219" s="17">
        <v>0.26369999999999999</v>
      </c>
      <c r="Y219" s="17">
        <v>5.8700000000000002E-2</v>
      </c>
      <c r="Z219" s="17">
        <v>0.20180000000000001</v>
      </c>
      <c r="AA219" s="17">
        <v>4.53E-2</v>
      </c>
      <c r="AB219" s="17">
        <v>7.8700000000000006E-2</v>
      </c>
      <c r="AC219" s="17">
        <v>0.18959999999999999</v>
      </c>
      <c r="AD219" s="17">
        <v>0.14430000000000001</v>
      </c>
      <c r="AE219" s="17">
        <v>0.31990000000000002</v>
      </c>
      <c r="AF219" s="17">
        <v>0.1208</v>
      </c>
      <c r="AG219" s="17">
        <v>7.7700000000000005E-2</v>
      </c>
      <c r="AH219" s="17">
        <v>0.24349999999999999</v>
      </c>
      <c r="AI219" s="17">
        <v>1.1143000000000001</v>
      </c>
      <c r="AJ219" s="17">
        <v>0.25230000000000002</v>
      </c>
      <c r="AK219" s="17">
        <v>3.3553999999999999</v>
      </c>
      <c r="AL219" s="17">
        <v>0.10979999999999999</v>
      </c>
      <c r="AM219" s="17">
        <v>0.25829999999999997</v>
      </c>
      <c r="AN219" s="17">
        <v>0.2273</v>
      </c>
      <c r="AO219" s="17">
        <v>1.4793000000000001</v>
      </c>
      <c r="AP219" s="17">
        <v>0.46310000000000001</v>
      </c>
      <c r="AQ219" s="17">
        <v>0.1116</v>
      </c>
      <c r="AR219" s="17">
        <v>9.69E-2</v>
      </c>
      <c r="AS219" s="17">
        <v>0.28789999999999999</v>
      </c>
      <c r="AT219" s="17">
        <v>0.23230000000000001</v>
      </c>
      <c r="AU219" s="17">
        <v>0.20749999999999999</v>
      </c>
      <c r="AV219" s="17">
        <v>0.20630000000000001</v>
      </c>
      <c r="AW219" s="17">
        <v>0.04</v>
      </c>
      <c r="AX219" s="17">
        <v>0.17660000000000001</v>
      </c>
    </row>
    <row r="220" spans="1:50" x14ac:dyDescent="0.25">
      <c r="A220" s="8" t="s">
        <v>256</v>
      </c>
      <c r="B220" s="10" t="s">
        <v>57</v>
      </c>
      <c r="C220" s="18">
        <v>0.31240000000000001</v>
      </c>
      <c r="D220" s="18">
        <v>5.5E-2</v>
      </c>
      <c r="E220" s="18">
        <v>5.5E-2</v>
      </c>
      <c r="F220" s="18">
        <v>0.18990000000000001</v>
      </c>
      <c r="G220" s="18">
        <v>8.5000000000000006E-2</v>
      </c>
      <c r="H220" s="18">
        <v>0.1449</v>
      </c>
      <c r="I220" s="18">
        <v>0.12989999999999999</v>
      </c>
      <c r="J220" s="18">
        <v>5.5E-2</v>
      </c>
      <c r="K220" s="18">
        <v>0.2198</v>
      </c>
      <c r="L220" s="18">
        <v>5.5E-2</v>
      </c>
      <c r="M220" s="18">
        <v>0.15240000000000001</v>
      </c>
      <c r="N220" s="18">
        <v>0.12239999999999999</v>
      </c>
      <c r="O220" s="18">
        <v>5.5E-2</v>
      </c>
      <c r="P220" s="18">
        <v>0.18990000000000001</v>
      </c>
      <c r="Q220" s="18">
        <v>0.1147</v>
      </c>
      <c r="R220" s="18">
        <v>0.2492</v>
      </c>
      <c r="S220" s="18">
        <v>0.29220000000000002</v>
      </c>
      <c r="T220" s="18">
        <v>0.1399</v>
      </c>
      <c r="U220" s="18">
        <v>0.28860000000000002</v>
      </c>
      <c r="V220" s="18">
        <v>0.1585</v>
      </c>
      <c r="W220" s="18">
        <v>0.29299999999999998</v>
      </c>
      <c r="X220" s="18">
        <v>0.10009999999999999</v>
      </c>
      <c r="Y220" s="18">
        <v>0.19539999999999999</v>
      </c>
      <c r="Z220" s="18">
        <v>0.93320000000000003</v>
      </c>
      <c r="AA220" s="18">
        <v>0.14749999999999999</v>
      </c>
      <c r="AB220" s="18">
        <v>0.15509999999999999</v>
      </c>
      <c r="AC220" s="18">
        <v>0.1749</v>
      </c>
      <c r="AD220" s="18">
        <v>8.9099999999999999E-2</v>
      </c>
      <c r="AE220" s="18">
        <v>0.31490000000000001</v>
      </c>
      <c r="AF220" s="18">
        <v>0.1648</v>
      </c>
      <c r="AG220" s="18">
        <v>0.22270000000000001</v>
      </c>
      <c r="AH220" s="18">
        <v>0.1028</v>
      </c>
      <c r="AI220" s="18">
        <v>0.35220000000000001</v>
      </c>
      <c r="AJ220" s="18">
        <v>0.42959999999999998</v>
      </c>
      <c r="AK220" s="18">
        <v>0.33839999999999998</v>
      </c>
      <c r="AL220" s="18">
        <v>0.2777</v>
      </c>
      <c r="AM220" s="18">
        <v>0.28560000000000002</v>
      </c>
      <c r="AN220" s="18">
        <v>0.33610000000000001</v>
      </c>
      <c r="AO220" s="18">
        <v>0.31280000000000002</v>
      </c>
      <c r="AP220" s="18">
        <v>0.4098</v>
      </c>
      <c r="AQ220" s="18">
        <v>0.72650000000000003</v>
      </c>
      <c r="AR220" s="18">
        <v>0.38319999999999999</v>
      </c>
      <c r="AS220" s="18">
        <v>0.76400000000000001</v>
      </c>
      <c r="AT220" s="18">
        <v>0.42220000000000002</v>
      </c>
      <c r="AU220" s="18">
        <v>0.51770000000000005</v>
      </c>
      <c r="AV220" s="18">
        <v>0.72160000000000002</v>
      </c>
      <c r="AW220" s="18">
        <v>0.56710000000000005</v>
      </c>
      <c r="AX220" s="18">
        <v>0.22739999999999999</v>
      </c>
    </row>
    <row r="221" spans="1:50" x14ac:dyDescent="0.25">
      <c r="A221" s="8" t="s">
        <v>258</v>
      </c>
      <c r="B221" s="10" t="s">
        <v>57</v>
      </c>
      <c r="C221" s="18">
        <v>0.32579999999999998</v>
      </c>
      <c r="D221" s="18">
        <v>0.1212</v>
      </c>
      <c r="E221" s="18">
        <v>4.3999999999999997E-2</v>
      </c>
      <c r="F221" s="18">
        <v>0.3211</v>
      </c>
      <c r="G221" s="18">
        <v>4.3999999999999997E-2</v>
      </c>
      <c r="H221" s="18">
        <v>0.18029999999999999</v>
      </c>
      <c r="I221" s="18">
        <v>0.1119</v>
      </c>
      <c r="J221" s="18">
        <v>0.1169</v>
      </c>
      <c r="K221" s="18">
        <v>0.19850000000000001</v>
      </c>
      <c r="L221" s="18">
        <v>0.1323</v>
      </c>
      <c r="M221" s="18">
        <v>7.8299999999999995E-2</v>
      </c>
      <c r="N221" s="18">
        <v>0.1217</v>
      </c>
      <c r="O221" s="18">
        <v>0.24340000000000001</v>
      </c>
      <c r="P221" s="18">
        <v>8.0299999999999996E-2</v>
      </c>
      <c r="Q221" s="18">
        <v>0.23630000000000001</v>
      </c>
      <c r="R221" s="18">
        <v>0.14729999999999999</v>
      </c>
      <c r="S221" s="18">
        <v>0.1825</v>
      </c>
      <c r="T221" s="18">
        <v>0.19869999999999999</v>
      </c>
      <c r="U221" s="18">
        <v>1.5250999999999999</v>
      </c>
      <c r="V221" s="18">
        <v>0.24160000000000001</v>
      </c>
      <c r="W221" s="18">
        <v>0.40939999999999999</v>
      </c>
      <c r="X221" s="18">
        <v>0.44130000000000003</v>
      </c>
      <c r="Y221" s="18">
        <v>1.4650000000000001</v>
      </c>
      <c r="Z221" s="18">
        <v>1.2962</v>
      </c>
      <c r="AA221" s="18">
        <v>0.74450000000000005</v>
      </c>
      <c r="AB221" s="18">
        <v>0.24390000000000001</v>
      </c>
      <c r="AC221" s="18">
        <v>4.3999999999999997E-2</v>
      </c>
      <c r="AD221" s="18">
        <v>4.8300000000000003E-2</v>
      </c>
      <c r="AE221" s="18">
        <v>0.31680000000000003</v>
      </c>
      <c r="AF221" s="18">
        <v>4.3999999999999997E-2</v>
      </c>
      <c r="AG221" s="18">
        <v>0.29389999999999999</v>
      </c>
      <c r="AH221" s="18">
        <v>7.1300000000000002E-2</v>
      </c>
      <c r="AI221" s="18">
        <v>0.20300000000000001</v>
      </c>
      <c r="AJ221" s="18">
        <v>0.2293</v>
      </c>
      <c r="AK221" s="18">
        <v>0.2409</v>
      </c>
      <c r="AL221" s="18">
        <v>0.14299999999999999</v>
      </c>
      <c r="AM221" s="18">
        <v>0.5131</v>
      </c>
      <c r="AN221" s="18">
        <v>0.20230000000000001</v>
      </c>
      <c r="AO221" s="18">
        <v>0.2626</v>
      </c>
      <c r="AP221" s="18">
        <v>0.20610000000000001</v>
      </c>
      <c r="AQ221" s="18">
        <v>0.35880000000000001</v>
      </c>
      <c r="AR221" s="18">
        <v>1.4650000000000001</v>
      </c>
      <c r="AS221" s="18">
        <v>1.2156</v>
      </c>
      <c r="AT221" s="18">
        <v>0.53739999999999999</v>
      </c>
      <c r="AU221" s="18">
        <v>0.37480000000000002</v>
      </c>
      <c r="AV221" s="18">
        <v>0.71199999999999997</v>
      </c>
      <c r="AW221" s="18">
        <v>0.5504</v>
      </c>
      <c r="AX221" s="18">
        <v>0.60409999999999997</v>
      </c>
    </row>
    <row r="222" spans="1:50" x14ac:dyDescent="0.25">
      <c r="A222" s="16" t="s">
        <v>693</v>
      </c>
      <c r="B222" s="13" t="s">
        <v>464</v>
      </c>
      <c r="C222" s="17">
        <v>9.8000000000000004E-2</v>
      </c>
      <c r="D222" s="17">
        <v>4.2999999999999997E-2</v>
      </c>
      <c r="E222" s="17">
        <v>0.29220000000000002</v>
      </c>
      <c r="F222" s="17">
        <v>6.0499999999999998E-2</v>
      </c>
      <c r="G222" s="17">
        <v>0.1045</v>
      </c>
      <c r="H222" s="17">
        <v>0.214</v>
      </c>
      <c r="I222" s="17">
        <v>0.2001</v>
      </c>
      <c r="J222" s="17">
        <v>4.9799999999999997E-2</v>
      </c>
      <c r="K222" s="17">
        <v>0.24790000000000001</v>
      </c>
      <c r="L222" s="17">
        <v>0.17649999999999999</v>
      </c>
      <c r="M222" s="17">
        <v>0.23080000000000001</v>
      </c>
      <c r="N222" s="17">
        <v>4.9799999999999997E-2</v>
      </c>
      <c r="O222" s="17">
        <v>0.1454</v>
      </c>
      <c r="P222" s="17">
        <v>0.2072</v>
      </c>
      <c r="Q222" s="17">
        <v>0.1318</v>
      </c>
      <c r="R222" s="17">
        <v>0.3448</v>
      </c>
      <c r="S222" s="17">
        <v>0.3906</v>
      </c>
      <c r="T222" s="17">
        <v>1.0860000000000001</v>
      </c>
      <c r="U222" s="17">
        <v>0.85289999999999999</v>
      </c>
      <c r="V222" s="17">
        <v>1.2131000000000001</v>
      </c>
      <c r="W222" s="17">
        <v>0.27060000000000001</v>
      </c>
      <c r="X222" s="17">
        <v>0.54369999999999996</v>
      </c>
      <c r="Y222" s="17">
        <v>0.73160000000000003</v>
      </c>
      <c r="Z222" s="17">
        <v>0.40450000000000003</v>
      </c>
      <c r="AA222" s="17">
        <v>0.41920000000000002</v>
      </c>
      <c r="AB222" s="17">
        <v>1.4224000000000001</v>
      </c>
      <c r="AC222" s="17">
        <v>0.37480000000000002</v>
      </c>
      <c r="AD222" s="17">
        <v>0.53039999999999998</v>
      </c>
      <c r="AE222" s="17">
        <v>0.71860000000000002</v>
      </c>
      <c r="AF222" s="17">
        <v>0.49380000000000002</v>
      </c>
      <c r="AG222" s="17">
        <v>0.14319999999999999</v>
      </c>
      <c r="AH222" s="17">
        <v>0.51119999999999999</v>
      </c>
      <c r="AI222" s="17">
        <v>1.0250999999999999</v>
      </c>
      <c r="AJ222" s="17">
        <v>1.3989</v>
      </c>
      <c r="AK222" s="17">
        <v>0.21129999999999999</v>
      </c>
      <c r="AL222" s="17">
        <v>6.1699999999999998E-2</v>
      </c>
      <c r="AM222" s="17">
        <v>0.32440000000000002</v>
      </c>
      <c r="AN222" s="17">
        <v>0.39079999999999998</v>
      </c>
      <c r="AO222" s="17">
        <v>0.1623</v>
      </c>
      <c r="AP222" s="17">
        <v>0.32950000000000002</v>
      </c>
      <c r="AQ222" s="17">
        <v>0.72909999999999997</v>
      </c>
      <c r="AR222" s="17">
        <v>0.6129</v>
      </c>
      <c r="AS222" s="17">
        <v>0.60070000000000001</v>
      </c>
      <c r="AT222" s="17">
        <v>0.5413</v>
      </c>
      <c r="AU222" s="17">
        <v>0.34989999999999999</v>
      </c>
      <c r="AV222" s="17">
        <v>0.53459999999999996</v>
      </c>
      <c r="AW222" s="17">
        <v>0.32200000000000001</v>
      </c>
      <c r="AX222" s="17">
        <v>0.58379999999999999</v>
      </c>
    </row>
    <row r="223" spans="1:50" x14ac:dyDescent="0.25">
      <c r="A223" s="16" t="s">
        <v>695</v>
      </c>
      <c r="B223" s="13" t="s">
        <v>464</v>
      </c>
      <c r="C223" s="17">
        <v>5.9200000000000003E-2</v>
      </c>
      <c r="D223" s="17">
        <v>0.1239</v>
      </c>
      <c r="E223" s="17">
        <v>0.05</v>
      </c>
      <c r="F223" s="17">
        <v>0.05</v>
      </c>
      <c r="G223" s="17">
        <v>0.17280000000000001</v>
      </c>
      <c r="H223" s="17">
        <v>0.17860000000000001</v>
      </c>
      <c r="I223" s="17">
        <v>0.05</v>
      </c>
      <c r="J223" s="17">
        <v>0.13320000000000001</v>
      </c>
      <c r="K223" s="17">
        <v>0.05</v>
      </c>
      <c r="L223" s="17">
        <v>0.13320000000000001</v>
      </c>
      <c r="M223" s="17">
        <v>0.05</v>
      </c>
      <c r="N223" s="17">
        <v>0.1147</v>
      </c>
      <c r="O223" s="17">
        <v>6.8500000000000005E-2</v>
      </c>
      <c r="P223" s="17">
        <v>0.1101</v>
      </c>
      <c r="Q223" s="17">
        <v>7.3099999999999998E-2</v>
      </c>
      <c r="R223" s="17">
        <v>0.13320000000000001</v>
      </c>
      <c r="S223" s="17">
        <v>0.05</v>
      </c>
      <c r="T223" s="17">
        <v>9.1600000000000001E-2</v>
      </c>
      <c r="U223" s="17">
        <v>9.1600000000000001E-2</v>
      </c>
      <c r="V223" s="17">
        <v>0.36080000000000001</v>
      </c>
      <c r="W223" s="17">
        <v>0.18609999999999999</v>
      </c>
      <c r="X223" s="17">
        <v>0.19919999999999999</v>
      </c>
      <c r="Y223" s="17">
        <v>0.16370000000000001</v>
      </c>
      <c r="Z223" s="17">
        <v>6.1400000000000003E-2</v>
      </c>
      <c r="AA223" s="17">
        <v>0.1487</v>
      </c>
      <c r="AB223" s="17">
        <v>0.2893</v>
      </c>
      <c r="AC223" s="17">
        <v>0.98250000000000004</v>
      </c>
      <c r="AD223" s="17">
        <v>0.19750000000000001</v>
      </c>
      <c r="AE223" s="17">
        <v>0.05</v>
      </c>
      <c r="AF223" s="17">
        <v>0.13320000000000001</v>
      </c>
      <c r="AG223" s="17">
        <v>0.05</v>
      </c>
      <c r="AH223" s="17">
        <v>0.05</v>
      </c>
      <c r="AI223" s="17">
        <v>0.1147</v>
      </c>
      <c r="AJ223" s="17">
        <v>6.8500000000000005E-2</v>
      </c>
      <c r="AK223" s="17">
        <v>0.1101</v>
      </c>
      <c r="AL223" s="17">
        <v>7.3099999999999998E-2</v>
      </c>
      <c r="AM223" s="17">
        <v>5.3499999999999999E-2</v>
      </c>
      <c r="AN223" s="17">
        <v>0.14940000000000001</v>
      </c>
      <c r="AO223" s="17">
        <v>0.1071</v>
      </c>
      <c r="AP223" s="17">
        <v>0.21840000000000001</v>
      </c>
      <c r="AQ223" s="17">
        <v>8.6999999999999994E-2</v>
      </c>
      <c r="AR223" s="17">
        <v>0.05</v>
      </c>
      <c r="AS223" s="17">
        <v>0.1101</v>
      </c>
      <c r="AT223" s="17">
        <v>7.3099999999999998E-2</v>
      </c>
      <c r="AU223" s="17">
        <v>0.13320000000000001</v>
      </c>
      <c r="AV223" s="17">
        <v>7.3599999999999999E-2</v>
      </c>
      <c r="AW223" s="17">
        <v>0.28510000000000002</v>
      </c>
      <c r="AX223" s="17">
        <v>0.58389999999999997</v>
      </c>
    </row>
    <row r="224" spans="1:50" x14ac:dyDescent="0.25">
      <c r="A224" s="16" t="s">
        <v>697</v>
      </c>
      <c r="B224" s="13" t="s">
        <v>464</v>
      </c>
      <c r="C224" s="17">
        <v>0.19789999999999999</v>
      </c>
      <c r="D224" s="17">
        <v>0.22969999999999999</v>
      </c>
      <c r="E224" s="17">
        <v>0.25230000000000002</v>
      </c>
      <c r="F224" s="17">
        <v>0.24160000000000001</v>
      </c>
      <c r="G224" s="17">
        <v>0.28289999999999998</v>
      </c>
      <c r="H224" s="17">
        <v>0.17849999999999999</v>
      </c>
      <c r="I224" s="17">
        <v>0.17119999999999999</v>
      </c>
      <c r="J224" s="17">
        <v>0.18179999999999999</v>
      </c>
      <c r="K224" s="17">
        <v>0.28249999999999997</v>
      </c>
      <c r="L224" s="17">
        <v>7.2700000000000001E-2</v>
      </c>
      <c r="M224" s="17">
        <v>0.31990000000000002</v>
      </c>
      <c r="N224" s="17">
        <v>0.2223</v>
      </c>
      <c r="O224" s="17">
        <v>6.3700000000000007E-2</v>
      </c>
      <c r="P224" s="17">
        <v>0.33329999999999999</v>
      </c>
      <c r="Q224" s="17">
        <v>0.36209999999999998</v>
      </c>
      <c r="R224" s="17">
        <v>0.37340000000000001</v>
      </c>
      <c r="S224" s="17">
        <v>0.47170000000000001</v>
      </c>
      <c r="T224" s="17">
        <v>1.7830999999999999</v>
      </c>
      <c r="U224" s="17">
        <v>1.6713</v>
      </c>
      <c r="V224" s="17">
        <v>1.0740000000000001</v>
      </c>
      <c r="W224" s="17">
        <v>1.9121999999999999</v>
      </c>
      <c r="X224" s="17">
        <v>0.44629999999999997</v>
      </c>
      <c r="Y224" s="17">
        <v>0.60250000000000004</v>
      </c>
      <c r="Z224" s="17">
        <v>1.117</v>
      </c>
      <c r="AA224" s="17">
        <v>1.4914000000000001</v>
      </c>
      <c r="AB224" s="17">
        <v>2.6817000000000002</v>
      </c>
      <c r="AC224" s="17">
        <v>2.3395000000000001</v>
      </c>
      <c r="AD224" s="17">
        <v>0.5998</v>
      </c>
      <c r="AE224" s="17">
        <v>0.18940000000000001</v>
      </c>
      <c r="AF224" s="17">
        <v>0.59160000000000001</v>
      </c>
      <c r="AG224" s="17">
        <v>0.53410000000000002</v>
      </c>
      <c r="AH224" s="17">
        <v>0.84309999999999996</v>
      </c>
      <c r="AI224" s="17">
        <v>0.52769999999999995</v>
      </c>
      <c r="AJ224" s="17">
        <v>0.61270000000000002</v>
      </c>
      <c r="AK224" s="17">
        <v>1.0442</v>
      </c>
      <c r="AL224" s="17">
        <v>1.319</v>
      </c>
      <c r="AM224" s="17">
        <v>2.0217000000000001</v>
      </c>
      <c r="AN224" s="17">
        <v>0.60950000000000004</v>
      </c>
      <c r="AO224" s="17">
        <v>0.3241</v>
      </c>
      <c r="AP224" s="17">
        <v>0.88900000000000001</v>
      </c>
      <c r="AQ224" s="17">
        <v>0.46160000000000001</v>
      </c>
      <c r="AR224" s="17">
        <v>0.6149</v>
      </c>
      <c r="AS224" s="17">
        <v>0.54449999999999998</v>
      </c>
      <c r="AT224" s="17">
        <v>2.7644000000000002</v>
      </c>
      <c r="AU224" s="17">
        <v>0.78869999999999996</v>
      </c>
      <c r="AV224" s="17">
        <v>0.46479999999999999</v>
      </c>
      <c r="AW224" s="17">
        <v>0.67379999999999995</v>
      </c>
      <c r="AX224" s="17">
        <v>0.14349999999999999</v>
      </c>
    </row>
    <row r="225" spans="1:50" x14ac:dyDescent="0.25">
      <c r="A225" s="8" t="s">
        <v>260</v>
      </c>
      <c r="B225" s="10" t="s">
        <v>57</v>
      </c>
      <c r="C225" s="18">
        <v>0.1943</v>
      </c>
      <c r="D225" s="18">
        <v>0.16919999999999999</v>
      </c>
      <c r="E225" s="18">
        <v>0.06</v>
      </c>
      <c r="F225" s="18">
        <v>0.17649999999999999</v>
      </c>
      <c r="G225" s="18">
        <v>0.1037</v>
      </c>
      <c r="H225" s="18">
        <v>0.1037</v>
      </c>
      <c r="I225" s="18">
        <v>0.17649999999999999</v>
      </c>
      <c r="J225" s="18">
        <v>0.06</v>
      </c>
      <c r="K225" s="18">
        <v>0.22020000000000001</v>
      </c>
      <c r="L225" s="18">
        <v>0.06</v>
      </c>
      <c r="M225" s="18">
        <v>0.185</v>
      </c>
      <c r="N225" s="18">
        <v>0.12379999999999999</v>
      </c>
      <c r="O225" s="18">
        <v>0.13880000000000001</v>
      </c>
      <c r="P225" s="18">
        <v>0.1542</v>
      </c>
      <c r="Q225" s="18">
        <v>0.2157</v>
      </c>
      <c r="R225" s="18">
        <v>1.6761999999999999</v>
      </c>
      <c r="S225" s="18">
        <v>0.32650000000000001</v>
      </c>
      <c r="T225" s="18">
        <v>8.4900000000000003E-2</v>
      </c>
      <c r="U225" s="18">
        <v>0.17560000000000001</v>
      </c>
      <c r="V225" s="18">
        <v>0.1142</v>
      </c>
      <c r="W225" s="18">
        <v>0.1037</v>
      </c>
      <c r="X225" s="18">
        <v>0.17649999999999999</v>
      </c>
      <c r="Y225" s="18">
        <v>0.06</v>
      </c>
      <c r="Z225" s="18">
        <v>0.22020000000000001</v>
      </c>
      <c r="AA225" s="18">
        <v>0.06</v>
      </c>
      <c r="AB225" s="18">
        <v>0.111</v>
      </c>
      <c r="AC225" s="18">
        <v>0.16919999999999999</v>
      </c>
      <c r="AD225" s="18">
        <v>0.06</v>
      </c>
      <c r="AE225" s="18">
        <v>0.22020000000000001</v>
      </c>
      <c r="AF225" s="18">
        <v>0.06</v>
      </c>
      <c r="AG225" s="18">
        <v>0.06</v>
      </c>
      <c r="AH225" s="18">
        <v>0.1182</v>
      </c>
      <c r="AI225" s="18">
        <v>0.16189999999999999</v>
      </c>
      <c r="AJ225" s="18">
        <v>7.46E-2</v>
      </c>
      <c r="AK225" s="18">
        <v>0.2056</v>
      </c>
      <c r="AL225" s="18">
        <v>0.06</v>
      </c>
      <c r="AM225" s="18">
        <v>0.16919999999999999</v>
      </c>
      <c r="AN225" s="18">
        <v>0.14169999999999999</v>
      </c>
      <c r="AO225" s="18">
        <v>0.37830000000000003</v>
      </c>
      <c r="AP225" s="18">
        <v>0.29210000000000003</v>
      </c>
      <c r="AQ225" s="18">
        <v>0.21340000000000001</v>
      </c>
      <c r="AR225" s="18">
        <v>0.67879999999999996</v>
      </c>
      <c r="AS225" s="18">
        <v>0.4592</v>
      </c>
      <c r="AT225" s="18">
        <v>2.0388999999999999</v>
      </c>
      <c r="AU225" s="18">
        <v>0.06</v>
      </c>
      <c r="AV225" s="18">
        <v>0.1547</v>
      </c>
      <c r="AW225" s="18">
        <v>0.1255</v>
      </c>
      <c r="AX225" s="18">
        <v>0.1037</v>
      </c>
    </row>
    <row r="226" spans="1:50" x14ac:dyDescent="0.25">
      <c r="A226" s="8" t="s">
        <v>262</v>
      </c>
      <c r="B226" s="10" t="s">
        <v>57</v>
      </c>
      <c r="C226" s="18">
        <v>0.2492</v>
      </c>
      <c r="D226" s="18">
        <v>0.42309999999999998</v>
      </c>
      <c r="E226" s="18">
        <v>0.47039999999999998</v>
      </c>
      <c r="F226" s="18">
        <v>0.29699999999999999</v>
      </c>
      <c r="G226" s="18">
        <v>0.40410000000000001</v>
      </c>
      <c r="H226" s="18">
        <v>0.19409999999999999</v>
      </c>
      <c r="I226" s="18">
        <v>0.25530000000000003</v>
      </c>
      <c r="J226" s="18">
        <v>0.15890000000000001</v>
      </c>
      <c r="K226" s="18">
        <v>0.1696</v>
      </c>
      <c r="L226" s="18">
        <v>0.20269999999999999</v>
      </c>
      <c r="M226" s="18">
        <v>8.5400000000000004E-2</v>
      </c>
      <c r="N226" s="18">
        <v>9.74E-2</v>
      </c>
      <c r="O226" s="18">
        <v>0.19439999999999999</v>
      </c>
      <c r="P226" s="18">
        <v>0.11849999999999999</v>
      </c>
      <c r="Q226" s="18">
        <v>0.25850000000000001</v>
      </c>
      <c r="R226" s="18">
        <v>5.7000000000000002E-2</v>
      </c>
      <c r="S226" s="18">
        <v>6.6400000000000001E-2</v>
      </c>
      <c r="T226" s="18">
        <v>0.34350000000000003</v>
      </c>
      <c r="U226" s="18">
        <v>0.2147</v>
      </c>
      <c r="V226" s="18">
        <v>0.37819999999999998</v>
      </c>
      <c r="W226" s="18">
        <v>0.42659999999999998</v>
      </c>
      <c r="X226" s="18">
        <v>1.0683</v>
      </c>
      <c r="Y226" s="18">
        <v>0.52190000000000003</v>
      </c>
      <c r="Z226" s="18">
        <v>0.33889999999999998</v>
      </c>
      <c r="AA226" s="18">
        <v>0.50090000000000001</v>
      </c>
      <c r="AB226" s="18">
        <v>0.25840000000000002</v>
      </c>
      <c r="AC226" s="18">
        <v>0.1691</v>
      </c>
      <c r="AD226" s="18">
        <v>0.26340000000000002</v>
      </c>
      <c r="AE226" s="18">
        <v>5.7000000000000002E-2</v>
      </c>
      <c r="AF226" s="18">
        <v>0.64419999999999999</v>
      </c>
      <c r="AG226" s="18">
        <v>0.3201</v>
      </c>
      <c r="AH226" s="18">
        <v>0.2253</v>
      </c>
      <c r="AI226" s="18">
        <v>0.13569999999999999</v>
      </c>
      <c r="AJ226" s="18">
        <v>0.37940000000000002</v>
      </c>
      <c r="AK226" s="18">
        <v>0.23710000000000001</v>
      </c>
      <c r="AL226" s="18">
        <v>0.1502</v>
      </c>
      <c r="AM226" s="18">
        <v>0.17829999999999999</v>
      </c>
      <c r="AN226" s="18">
        <v>0.1215</v>
      </c>
      <c r="AO226" s="18">
        <v>0.109</v>
      </c>
      <c r="AP226" s="18">
        <v>0.2437</v>
      </c>
      <c r="AQ226" s="18">
        <v>8.1299999999999997E-2</v>
      </c>
      <c r="AR226" s="18">
        <v>7.3200000000000001E-2</v>
      </c>
      <c r="AS226" s="18">
        <v>0.3039</v>
      </c>
      <c r="AT226" s="18">
        <v>5.7000000000000002E-2</v>
      </c>
      <c r="AU226" s="18">
        <v>0.13780000000000001</v>
      </c>
      <c r="AV226" s="18">
        <v>0.154</v>
      </c>
      <c r="AW226" s="18">
        <v>5.7000000000000002E-2</v>
      </c>
      <c r="AX226" s="18">
        <v>0.32</v>
      </c>
    </row>
    <row r="227" spans="1:50" x14ac:dyDescent="0.25">
      <c r="A227" s="16" t="s">
        <v>699</v>
      </c>
      <c r="B227" s="13" t="s">
        <v>464</v>
      </c>
      <c r="C227" s="17">
        <v>5.4899999999999997E-2</v>
      </c>
      <c r="D227" s="17">
        <v>0.11509999999999999</v>
      </c>
      <c r="E227" s="17">
        <v>0.19589999999999999</v>
      </c>
      <c r="F227" s="17">
        <v>7.5300000000000006E-2</v>
      </c>
      <c r="G227" s="17">
        <v>0.1168</v>
      </c>
      <c r="H227" s="17">
        <v>0.15010000000000001</v>
      </c>
      <c r="I227" s="17">
        <v>0.11940000000000001</v>
      </c>
      <c r="J227" s="17">
        <v>0.22489999999999999</v>
      </c>
      <c r="K227" s="17">
        <v>0.11509999999999999</v>
      </c>
      <c r="L227" s="17">
        <v>4.6300000000000001E-2</v>
      </c>
      <c r="M227" s="17">
        <v>0.1168</v>
      </c>
      <c r="N227" s="17">
        <v>0.22739999999999999</v>
      </c>
      <c r="O227" s="17">
        <v>4.2000000000000003E-2</v>
      </c>
      <c r="P227" s="17">
        <v>1.0285</v>
      </c>
      <c r="Q227" s="17">
        <v>4.2000000000000003E-2</v>
      </c>
      <c r="R227" s="17">
        <v>0.14230000000000001</v>
      </c>
      <c r="S227" s="17">
        <v>0.2019</v>
      </c>
      <c r="T227" s="17">
        <v>4.6300000000000001E-2</v>
      </c>
      <c r="U227" s="17">
        <v>0.2979</v>
      </c>
      <c r="V227" s="17">
        <v>4.2000000000000003E-2</v>
      </c>
      <c r="W227" s="17">
        <v>0.88039999999999996</v>
      </c>
      <c r="X227" s="17">
        <v>7.9799999999999996E-2</v>
      </c>
      <c r="Y227" s="17">
        <v>0.2145</v>
      </c>
      <c r="Z227" s="17">
        <v>0.1168</v>
      </c>
      <c r="AA227" s="17">
        <v>1.6646000000000001</v>
      </c>
      <c r="AB227" s="17">
        <v>1.1757</v>
      </c>
      <c r="AC227" s="17">
        <v>3.2997000000000001</v>
      </c>
      <c r="AD227" s="17">
        <v>2.5409999999999999</v>
      </c>
      <c r="AE227" s="17">
        <v>1.2438</v>
      </c>
      <c r="AF227" s="17">
        <v>1.5633999999999999</v>
      </c>
      <c r="AG227" s="17">
        <v>0.1749</v>
      </c>
      <c r="AH227" s="17">
        <v>0.69950000000000001</v>
      </c>
      <c r="AI227" s="17">
        <v>0.92569999999999997</v>
      </c>
      <c r="AJ227" s="17">
        <v>0.34060000000000001</v>
      </c>
      <c r="AK227" s="17">
        <v>0.36</v>
      </c>
      <c r="AL227" s="17">
        <v>0.2959</v>
      </c>
      <c r="AM227" s="17">
        <v>0.1229</v>
      </c>
      <c r="AN227" s="17">
        <v>0.2238</v>
      </c>
      <c r="AO227" s="17">
        <v>0.39340000000000003</v>
      </c>
      <c r="AP227" s="17">
        <v>0.67300000000000004</v>
      </c>
      <c r="AQ227" s="17">
        <v>0.50129999999999997</v>
      </c>
      <c r="AR227" s="17">
        <v>0.4607</v>
      </c>
      <c r="AS227" s="17">
        <v>0.54079999999999995</v>
      </c>
      <c r="AT227" s="17">
        <v>0.78080000000000005</v>
      </c>
      <c r="AU227" s="17">
        <v>0.9093</v>
      </c>
      <c r="AV227" s="17">
        <v>0.64200000000000002</v>
      </c>
      <c r="AW227" s="17">
        <v>0.70489999999999997</v>
      </c>
      <c r="AX227" s="17">
        <v>0.38850000000000001</v>
      </c>
    </row>
    <row r="228" spans="1:50" x14ac:dyDescent="0.25">
      <c r="A228" s="8" t="s">
        <v>264</v>
      </c>
      <c r="B228" s="10" t="s">
        <v>57</v>
      </c>
      <c r="C228" s="18">
        <v>0.2261</v>
      </c>
      <c r="D228" s="18">
        <v>0.1183</v>
      </c>
      <c r="E228" s="18">
        <v>0.21790000000000001</v>
      </c>
      <c r="F228" s="18">
        <v>0.20599999999999999</v>
      </c>
      <c r="G228" s="18">
        <v>0.2014</v>
      </c>
      <c r="H228" s="18">
        <v>0.15490000000000001</v>
      </c>
      <c r="I228" s="18">
        <v>0.15790000000000001</v>
      </c>
      <c r="J228" s="18">
        <v>0.2681</v>
      </c>
      <c r="K228" s="18">
        <v>0.13719999999999999</v>
      </c>
      <c r="L228" s="18">
        <v>0.17130000000000001</v>
      </c>
      <c r="M228" s="18">
        <v>0.2893</v>
      </c>
      <c r="N228" s="18">
        <v>0.21709999999999999</v>
      </c>
      <c r="O228" s="18">
        <v>0.15490000000000001</v>
      </c>
      <c r="P228" s="18">
        <v>0.58609999999999995</v>
      </c>
      <c r="Q228" s="18">
        <v>0.26690000000000003</v>
      </c>
      <c r="R228" s="18">
        <v>0.31669999999999998</v>
      </c>
      <c r="S228" s="18">
        <v>0.53269999999999995</v>
      </c>
      <c r="T228" s="18">
        <v>0.1036</v>
      </c>
      <c r="U228" s="18">
        <v>0.26229999999999998</v>
      </c>
      <c r="V228" s="18">
        <v>0.16850000000000001</v>
      </c>
      <c r="W228" s="18">
        <v>0.1875</v>
      </c>
      <c r="X228" s="18">
        <v>0.2331</v>
      </c>
      <c r="Y228" s="18">
        <v>0.82799999999999996</v>
      </c>
      <c r="Z228" s="18">
        <v>0.67230000000000001</v>
      </c>
      <c r="AA228" s="18">
        <v>0.35210000000000002</v>
      </c>
      <c r="AB228" s="18">
        <v>5.6000000000000001E-2</v>
      </c>
      <c r="AC228" s="18">
        <v>0.37690000000000001</v>
      </c>
      <c r="AD228" s="18">
        <v>0.1295</v>
      </c>
      <c r="AE228" s="18">
        <v>0.1459</v>
      </c>
      <c r="AF228" s="18">
        <v>0.16839999999999999</v>
      </c>
      <c r="AG228" s="18">
        <v>0.1318</v>
      </c>
      <c r="AH228" s="18">
        <v>0.3498</v>
      </c>
      <c r="AI228" s="18">
        <v>0.1565</v>
      </c>
      <c r="AJ228" s="18">
        <v>0.1903</v>
      </c>
      <c r="AK228" s="18">
        <v>0.2535</v>
      </c>
      <c r="AL228" s="18">
        <v>0.11849999999999999</v>
      </c>
      <c r="AM228" s="18">
        <v>0.1158</v>
      </c>
      <c r="AN228" s="18">
        <v>0.3281</v>
      </c>
      <c r="AO228" s="18">
        <v>0.11849999999999999</v>
      </c>
      <c r="AP228" s="18">
        <v>0.25729999999999997</v>
      </c>
      <c r="AQ228" s="18">
        <v>0.249</v>
      </c>
      <c r="AR228" s="18">
        <v>5.6000000000000001E-2</v>
      </c>
      <c r="AS228" s="18">
        <v>0.2581</v>
      </c>
      <c r="AT228" s="18">
        <v>0.14369999999999999</v>
      </c>
      <c r="AU228" s="18">
        <v>0.16059999999999999</v>
      </c>
      <c r="AV228" s="18">
        <v>6.5000000000000002E-2</v>
      </c>
      <c r="AW228" s="18">
        <v>0.37440000000000001</v>
      </c>
      <c r="AX228" s="18">
        <v>0.1229</v>
      </c>
    </row>
    <row r="229" spans="1:50" x14ac:dyDescent="0.25">
      <c r="A229" s="16" t="s">
        <v>701</v>
      </c>
      <c r="B229" s="13" t="s">
        <v>464</v>
      </c>
      <c r="C229" s="17">
        <v>0.1502</v>
      </c>
      <c r="D229" s="17">
        <v>0.17660000000000001</v>
      </c>
      <c r="E229" s="17">
        <v>0.2127</v>
      </c>
      <c r="F229" s="17">
        <v>0.18410000000000001</v>
      </c>
      <c r="G229" s="17">
        <v>0.14510000000000001</v>
      </c>
      <c r="H229" s="17">
        <v>0.13009999999999999</v>
      </c>
      <c r="I229" s="17">
        <v>0.17660000000000001</v>
      </c>
      <c r="J229" s="17">
        <v>0.22020000000000001</v>
      </c>
      <c r="K229" s="17">
        <v>0.14119999999999999</v>
      </c>
      <c r="L229" s="17">
        <v>0.17660000000000001</v>
      </c>
      <c r="M229" s="17">
        <v>5.5E-2</v>
      </c>
      <c r="N229" s="17">
        <v>0.23269999999999999</v>
      </c>
      <c r="O229" s="17">
        <v>0.1641</v>
      </c>
      <c r="P229" s="17">
        <v>0.1226</v>
      </c>
      <c r="Q229" s="17">
        <v>0.15260000000000001</v>
      </c>
      <c r="R229" s="17">
        <v>0.13400000000000001</v>
      </c>
      <c r="S229" s="17">
        <v>0.2402</v>
      </c>
      <c r="T229" s="17">
        <v>0.27410000000000001</v>
      </c>
      <c r="U229" s="17">
        <v>0.23250000000000001</v>
      </c>
      <c r="V229" s="17">
        <v>0.11210000000000001</v>
      </c>
      <c r="W229" s="17">
        <v>0.18279999999999999</v>
      </c>
      <c r="X229" s="17">
        <v>0.2883</v>
      </c>
      <c r="Y229" s="17">
        <v>1.9100999999999999</v>
      </c>
      <c r="Z229" s="17">
        <v>0.4073</v>
      </c>
      <c r="AA229" s="17">
        <v>0.2228</v>
      </c>
      <c r="AB229" s="17">
        <v>0.52070000000000005</v>
      </c>
      <c r="AC229" s="17">
        <v>1.5341</v>
      </c>
      <c r="AD229" s="17">
        <v>0.43430000000000002</v>
      </c>
      <c r="AE229" s="17">
        <v>0.55230000000000001</v>
      </c>
      <c r="AF229" s="17">
        <v>0.19900000000000001</v>
      </c>
      <c r="AG229" s="17">
        <v>0.10970000000000001</v>
      </c>
      <c r="AH229" s="17">
        <v>0.12189999999999999</v>
      </c>
      <c r="AI229" s="17">
        <v>0.19020000000000001</v>
      </c>
      <c r="AJ229" s="17">
        <v>8.5000000000000006E-2</v>
      </c>
      <c r="AK229" s="17">
        <v>0.19159999999999999</v>
      </c>
      <c r="AL229" s="17">
        <v>0.20519999999999999</v>
      </c>
      <c r="AM229" s="17">
        <v>5.5E-2</v>
      </c>
      <c r="AN229" s="17">
        <v>0.17660000000000001</v>
      </c>
      <c r="AO229" s="17">
        <v>0.22020000000000001</v>
      </c>
      <c r="AP229" s="17">
        <v>5.5E-2</v>
      </c>
      <c r="AQ229" s="17">
        <v>0.1734</v>
      </c>
      <c r="AR229" s="17">
        <v>0.22339999999999999</v>
      </c>
      <c r="AS229" s="17">
        <v>9.7600000000000006E-2</v>
      </c>
      <c r="AT229" s="17">
        <v>0.1641</v>
      </c>
      <c r="AU229" s="17">
        <v>0.19020000000000001</v>
      </c>
      <c r="AV229" s="17">
        <v>0.17660000000000001</v>
      </c>
      <c r="AW229" s="17">
        <v>0.22020000000000001</v>
      </c>
      <c r="AX229" s="17">
        <v>5.5E-2</v>
      </c>
    </row>
    <row r="230" spans="1:50" x14ac:dyDescent="0.25">
      <c r="A230" s="8" t="s">
        <v>266</v>
      </c>
      <c r="B230" s="10" t="s">
        <v>57</v>
      </c>
      <c r="C230" s="18">
        <v>0.14230000000000001</v>
      </c>
      <c r="D230" s="18">
        <v>0.24440000000000001</v>
      </c>
      <c r="E230" s="18">
        <v>4.9000000000000002E-2</v>
      </c>
      <c r="F230" s="18">
        <v>0.26960000000000001</v>
      </c>
      <c r="G230" s="18">
        <v>5.8099999999999999E-2</v>
      </c>
      <c r="H230" s="18">
        <v>0.1221</v>
      </c>
      <c r="I230" s="18">
        <v>0.26960000000000001</v>
      </c>
      <c r="J230" s="18">
        <v>9.4700000000000006E-2</v>
      </c>
      <c r="K230" s="18">
        <v>8.5500000000000007E-2</v>
      </c>
      <c r="L230" s="18">
        <v>4.9000000000000002E-2</v>
      </c>
      <c r="M230" s="18">
        <v>0.3518</v>
      </c>
      <c r="N230" s="18">
        <v>4.9000000000000002E-2</v>
      </c>
      <c r="O230" s="18">
        <v>0.11219999999999999</v>
      </c>
      <c r="P230" s="18">
        <v>0.20649999999999999</v>
      </c>
      <c r="Q230" s="18">
        <v>0.13120000000000001</v>
      </c>
      <c r="R230" s="18">
        <v>0.14480000000000001</v>
      </c>
      <c r="S230" s="18">
        <v>0.4506</v>
      </c>
      <c r="T230" s="18">
        <v>0.2928</v>
      </c>
      <c r="U230" s="18">
        <v>0.32800000000000001</v>
      </c>
      <c r="V230" s="18">
        <v>0.32479999999999998</v>
      </c>
      <c r="W230" s="18">
        <v>0.21010000000000001</v>
      </c>
      <c r="X230" s="18">
        <v>0.5292</v>
      </c>
      <c r="Y230" s="18">
        <v>0.72040000000000004</v>
      </c>
      <c r="Z230" s="18">
        <v>0.96</v>
      </c>
      <c r="AA230" s="18">
        <v>0.35370000000000001</v>
      </c>
      <c r="AB230" s="18">
        <v>0.14760000000000001</v>
      </c>
      <c r="AC230" s="18">
        <v>0.22939999999999999</v>
      </c>
      <c r="AD230" s="18">
        <v>0.1714</v>
      </c>
      <c r="AE230" s="18">
        <v>0.13120000000000001</v>
      </c>
      <c r="AF230" s="18">
        <v>0.23619999999999999</v>
      </c>
      <c r="AG230" s="18">
        <v>0.1646</v>
      </c>
      <c r="AH230" s="18">
        <v>0.1472</v>
      </c>
      <c r="AI230" s="18">
        <v>6.2700000000000006E-2</v>
      </c>
      <c r="AJ230" s="18">
        <v>0.13150000000000001</v>
      </c>
      <c r="AK230" s="18">
        <v>0.52790000000000004</v>
      </c>
      <c r="AL230" s="18">
        <v>0.15809999999999999</v>
      </c>
      <c r="AM230" s="18">
        <v>0.26579999999999998</v>
      </c>
      <c r="AN230" s="18">
        <v>0.2185</v>
      </c>
      <c r="AO230" s="18">
        <v>0.85129999999999995</v>
      </c>
      <c r="AP230" s="18">
        <v>1.7079</v>
      </c>
      <c r="AQ230" s="18">
        <v>0.40789999999999998</v>
      </c>
      <c r="AR230" s="18">
        <v>0.56279999999999997</v>
      </c>
      <c r="AS230" s="18">
        <v>0.81769999999999998</v>
      </c>
      <c r="AT230" s="18">
        <v>0.59889999999999999</v>
      </c>
      <c r="AU230" s="18">
        <v>1.0573999999999999</v>
      </c>
      <c r="AV230" s="18">
        <v>1.0192000000000001</v>
      </c>
      <c r="AW230" s="18">
        <v>0.44700000000000001</v>
      </c>
      <c r="AX230" s="18">
        <v>0.20419999999999999</v>
      </c>
    </row>
    <row r="231" spans="1:50" x14ac:dyDescent="0.25">
      <c r="A231" s="16" t="s">
        <v>703</v>
      </c>
      <c r="B231" s="13" t="s">
        <v>464</v>
      </c>
      <c r="C231" s="17">
        <v>0.1928</v>
      </c>
      <c r="D231" s="17">
        <v>0.05</v>
      </c>
      <c r="E231" s="17">
        <v>0.05</v>
      </c>
      <c r="F231" s="17">
        <v>0.05</v>
      </c>
      <c r="G231" s="17">
        <v>0.1019</v>
      </c>
      <c r="H231" s="17">
        <v>0.14080000000000001</v>
      </c>
      <c r="I231" s="17">
        <v>5.6500000000000002E-2</v>
      </c>
      <c r="J231" s="17">
        <v>0.18629999999999999</v>
      </c>
      <c r="K231" s="17">
        <v>0.05</v>
      </c>
      <c r="L231" s="17">
        <v>0.1928</v>
      </c>
      <c r="M231" s="17">
        <v>0.05</v>
      </c>
      <c r="N231" s="17">
        <v>0.1084</v>
      </c>
      <c r="O231" s="17">
        <v>0.13439999999999999</v>
      </c>
      <c r="P231" s="17">
        <v>6.3E-2</v>
      </c>
      <c r="Q231" s="17">
        <v>0.17979999999999999</v>
      </c>
      <c r="R231" s="17">
        <v>0.05</v>
      </c>
      <c r="S231" s="17">
        <v>0.05</v>
      </c>
      <c r="T231" s="17">
        <v>0.1928</v>
      </c>
      <c r="U231" s="17">
        <v>0.252</v>
      </c>
      <c r="V231" s="17">
        <v>0.05</v>
      </c>
      <c r="W231" s="17">
        <v>0.42080000000000001</v>
      </c>
      <c r="X231" s="17">
        <v>0.19339999999999999</v>
      </c>
      <c r="Y231" s="17">
        <v>0.42480000000000001</v>
      </c>
      <c r="Z231" s="17">
        <v>0.32240000000000002</v>
      </c>
      <c r="AA231" s="17">
        <v>0.10199999999999999</v>
      </c>
      <c r="AB231" s="17">
        <v>0.13439999999999999</v>
      </c>
      <c r="AC231" s="17">
        <v>0.1084</v>
      </c>
      <c r="AD231" s="17">
        <v>0.05</v>
      </c>
      <c r="AE231" s="17">
        <v>0.14729999999999999</v>
      </c>
      <c r="AF231" s="17">
        <v>9.5399999999999999E-2</v>
      </c>
      <c r="AG231" s="17">
        <v>9.5399999999999999E-2</v>
      </c>
      <c r="AH231" s="17">
        <v>0.14729999999999999</v>
      </c>
      <c r="AI231" s="17">
        <v>0.05</v>
      </c>
      <c r="AJ231" s="17">
        <v>0.1928</v>
      </c>
      <c r="AK231" s="17">
        <v>0.21729999999999999</v>
      </c>
      <c r="AL231" s="17">
        <v>0.2218</v>
      </c>
      <c r="AM231" s="17">
        <v>8.2400000000000001E-2</v>
      </c>
      <c r="AN231" s="17">
        <v>0.05</v>
      </c>
      <c r="AO231" s="17">
        <v>6.3E-2</v>
      </c>
      <c r="AP231" s="17">
        <v>0.17979999999999999</v>
      </c>
      <c r="AQ231" s="17">
        <v>0.05</v>
      </c>
      <c r="AR231" s="17">
        <v>0.18629999999999999</v>
      </c>
      <c r="AS231" s="17">
        <v>5.6500000000000002E-2</v>
      </c>
      <c r="AT231" s="17">
        <v>0.05</v>
      </c>
      <c r="AU231" s="17">
        <v>0.14729999999999999</v>
      </c>
      <c r="AV231" s="17">
        <v>9.5399999999999999E-2</v>
      </c>
      <c r="AW231" s="17">
        <v>0.05</v>
      </c>
      <c r="AX231" s="17">
        <v>0.1928</v>
      </c>
    </row>
    <row r="232" spans="1:50" x14ac:dyDescent="0.25">
      <c r="A232" s="16" t="s">
        <v>705</v>
      </c>
      <c r="B232" s="13" t="s">
        <v>464</v>
      </c>
      <c r="C232" s="17">
        <v>0.1062</v>
      </c>
      <c r="D232" s="17">
        <v>0.16919999999999999</v>
      </c>
      <c r="E232" s="17">
        <v>0.13420000000000001</v>
      </c>
      <c r="F232" s="17">
        <v>5.0999999999999997E-2</v>
      </c>
      <c r="G232" s="17">
        <v>0.13420000000000001</v>
      </c>
      <c r="H232" s="17">
        <v>0.13769999999999999</v>
      </c>
      <c r="I232" s="17">
        <v>0.22090000000000001</v>
      </c>
      <c r="J232" s="17">
        <v>5.0999999999999997E-2</v>
      </c>
      <c r="K232" s="17">
        <v>0.1298</v>
      </c>
      <c r="L232" s="17">
        <v>0.2288</v>
      </c>
      <c r="M232" s="17">
        <v>7.6600000000000001E-2</v>
      </c>
      <c r="N232" s="17">
        <v>0.22189999999999999</v>
      </c>
      <c r="O232" s="17">
        <v>6.0100000000000001E-2</v>
      </c>
      <c r="P232" s="17">
        <v>0.24779999999999999</v>
      </c>
      <c r="Q232" s="17">
        <v>0.12470000000000001</v>
      </c>
      <c r="R232" s="17">
        <v>0.1157</v>
      </c>
      <c r="S232" s="17">
        <v>5.0999999999999997E-2</v>
      </c>
      <c r="T232" s="17">
        <v>0.22439999999999999</v>
      </c>
      <c r="U232" s="17">
        <v>5.0999999999999997E-2</v>
      </c>
      <c r="V232" s="17">
        <v>0.20080000000000001</v>
      </c>
      <c r="W232" s="17">
        <v>7.46E-2</v>
      </c>
      <c r="X232" s="17">
        <v>0.14560000000000001</v>
      </c>
      <c r="Y232" s="17">
        <v>0.1298</v>
      </c>
      <c r="Z232" s="17">
        <v>7.4099999999999999E-2</v>
      </c>
      <c r="AA232" s="17">
        <v>0.24510000000000001</v>
      </c>
      <c r="AB232" s="17">
        <v>9.0399999999999994E-2</v>
      </c>
      <c r="AC232" s="17">
        <v>5.0999999999999997E-2</v>
      </c>
      <c r="AD232" s="17">
        <v>0.157</v>
      </c>
      <c r="AE232" s="17">
        <v>0.2016</v>
      </c>
      <c r="AF232" s="17">
        <v>7.4099999999999999E-2</v>
      </c>
      <c r="AG232" s="17">
        <v>0.2732</v>
      </c>
      <c r="AH232" s="17">
        <v>0.28910000000000002</v>
      </c>
      <c r="AI232" s="17">
        <v>0.21909999999999999</v>
      </c>
      <c r="AJ232" s="17">
        <v>0.52659999999999996</v>
      </c>
      <c r="AK232" s="17">
        <v>0.4128</v>
      </c>
      <c r="AL232" s="17">
        <v>0.48099999999999998</v>
      </c>
      <c r="AM232" s="17">
        <v>0.24229999999999999</v>
      </c>
      <c r="AN232" s="17">
        <v>0.21709999999999999</v>
      </c>
      <c r="AO232" s="17">
        <v>0.2016</v>
      </c>
      <c r="AP232" s="17">
        <v>0.4007</v>
      </c>
      <c r="AQ232" s="17">
        <v>0.41720000000000002</v>
      </c>
      <c r="AR232" s="17">
        <v>0.45590000000000003</v>
      </c>
      <c r="AS232" s="17">
        <v>0.34970000000000001</v>
      </c>
      <c r="AT232" s="17">
        <v>0.34100000000000003</v>
      </c>
      <c r="AU232" s="17">
        <v>0.1298</v>
      </c>
      <c r="AV232" s="17">
        <v>0.13420000000000001</v>
      </c>
      <c r="AW232" s="17">
        <v>0.22439999999999999</v>
      </c>
      <c r="AX232" s="17">
        <v>5.0999999999999997E-2</v>
      </c>
    </row>
    <row r="233" spans="1:50" x14ac:dyDescent="0.25">
      <c r="A233" s="16" t="s">
        <v>707</v>
      </c>
      <c r="B233" s="13" t="s">
        <v>464</v>
      </c>
      <c r="C233" s="17">
        <v>0.16800000000000001</v>
      </c>
      <c r="D233" s="17">
        <v>0.15340000000000001</v>
      </c>
      <c r="E233" s="17">
        <v>0.25800000000000001</v>
      </c>
      <c r="F233" s="17">
        <v>4.8000000000000001E-2</v>
      </c>
      <c r="G233" s="17">
        <v>0.28839999999999999</v>
      </c>
      <c r="H233" s="17">
        <v>4.8000000000000001E-2</v>
      </c>
      <c r="I233" s="17">
        <v>4.8000000000000001E-2</v>
      </c>
      <c r="J233" s="17">
        <v>0.1163</v>
      </c>
      <c r="K233" s="17">
        <v>0.14660000000000001</v>
      </c>
      <c r="L233" s="17">
        <v>0.12989999999999999</v>
      </c>
      <c r="M233" s="17">
        <v>0.53080000000000005</v>
      </c>
      <c r="N233" s="17">
        <v>4.8000000000000001E-2</v>
      </c>
      <c r="O233" s="17">
        <v>0.1215</v>
      </c>
      <c r="P233" s="17">
        <v>0.219</v>
      </c>
      <c r="Q233" s="17">
        <v>0.1174</v>
      </c>
      <c r="R233" s="17">
        <v>0.21490000000000001</v>
      </c>
      <c r="S233" s="17">
        <v>0.2319</v>
      </c>
      <c r="T233" s="17">
        <v>1.0138</v>
      </c>
      <c r="U233" s="17">
        <v>0.43740000000000001</v>
      </c>
      <c r="V233" s="17">
        <v>0.17050000000000001</v>
      </c>
      <c r="W233" s="17">
        <v>0.27610000000000001</v>
      </c>
      <c r="X233" s="17">
        <v>8.0699999999999994E-2</v>
      </c>
      <c r="Y233" s="17">
        <v>0.21190000000000001</v>
      </c>
      <c r="Z233" s="17">
        <v>0.32779999999999998</v>
      </c>
      <c r="AA233" s="17">
        <v>0.27400000000000002</v>
      </c>
      <c r="AB233" s="17">
        <v>1.0660000000000001</v>
      </c>
      <c r="AC233" s="17">
        <v>1.7481</v>
      </c>
      <c r="AD233" s="17">
        <v>0.25990000000000002</v>
      </c>
      <c r="AE233" s="17">
        <v>0.1231</v>
      </c>
      <c r="AF233" s="17">
        <v>0.21490000000000001</v>
      </c>
      <c r="AG233" s="17">
        <v>0.1215</v>
      </c>
      <c r="AH233" s="17">
        <v>0.14660000000000001</v>
      </c>
      <c r="AI233" s="17">
        <v>0.14480000000000001</v>
      </c>
      <c r="AJ233" s="17">
        <v>9.2899999999999996E-2</v>
      </c>
      <c r="AK233" s="17">
        <v>4.8000000000000001E-2</v>
      </c>
      <c r="AL233" s="17">
        <v>0.28839999999999999</v>
      </c>
      <c r="AM233" s="17">
        <v>0.215</v>
      </c>
      <c r="AN233" s="17">
        <v>0.30180000000000001</v>
      </c>
      <c r="AO233" s="17">
        <v>0.42630000000000001</v>
      </c>
      <c r="AP233" s="17">
        <v>0.52759999999999996</v>
      </c>
      <c r="AQ233" s="17">
        <v>0.68830000000000002</v>
      </c>
      <c r="AR233" s="17">
        <v>0.58499999999999996</v>
      </c>
      <c r="AS233" s="17">
        <v>0.71299999999999997</v>
      </c>
      <c r="AT233" s="17">
        <v>0.50290000000000001</v>
      </c>
      <c r="AU233" s="17">
        <v>0.5897</v>
      </c>
      <c r="AV233" s="17">
        <v>0.19689999999999999</v>
      </c>
      <c r="AW233" s="17">
        <v>0.1215</v>
      </c>
      <c r="AX233" s="17">
        <v>0.21490000000000001</v>
      </c>
    </row>
    <row r="234" spans="1:50" x14ac:dyDescent="0.25">
      <c r="A234" s="16" t="s">
        <v>709</v>
      </c>
      <c r="B234" s="13" t="s">
        <v>464</v>
      </c>
      <c r="C234" s="17">
        <v>0.20019999999999999</v>
      </c>
      <c r="D234" s="17">
        <v>5.0999999999999997E-2</v>
      </c>
      <c r="E234" s="17">
        <v>0.1053</v>
      </c>
      <c r="F234" s="17">
        <v>0.14599999999999999</v>
      </c>
      <c r="G234" s="17">
        <v>5.0999999999999997E-2</v>
      </c>
      <c r="H234" s="17">
        <v>0.20019999999999999</v>
      </c>
      <c r="I234" s="17">
        <v>5.0999999999999997E-2</v>
      </c>
      <c r="J234" s="17">
        <v>0.1799</v>
      </c>
      <c r="K234" s="17">
        <v>7.1300000000000002E-2</v>
      </c>
      <c r="L234" s="17">
        <v>6.4600000000000005E-2</v>
      </c>
      <c r="M234" s="17">
        <v>0.1867</v>
      </c>
      <c r="N234" s="17">
        <v>5.0999999999999997E-2</v>
      </c>
      <c r="O234" s="17">
        <v>0.1527</v>
      </c>
      <c r="P234" s="17">
        <v>9.8500000000000004E-2</v>
      </c>
      <c r="Q234" s="17">
        <v>5.0999999999999997E-2</v>
      </c>
      <c r="R234" s="17">
        <v>0.2104</v>
      </c>
      <c r="S234" s="17">
        <v>0.25290000000000001</v>
      </c>
      <c r="T234" s="17">
        <v>0.13420000000000001</v>
      </c>
      <c r="U234" s="17">
        <v>0.95340000000000003</v>
      </c>
      <c r="V234" s="17">
        <v>2.7604000000000002</v>
      </c>
      <c r="W234" s="17">
        <v>2.6429999999999998</v>
      </c>
      <c r="X234" s="17">
        <v>1.6825000000000001</v>
      </c>
      <c r="Y234" s="17">
        <v>1.4341999999999999</v>
      </c>
      <c r="Z234" s="17">
        <v>0.94210000000000005</v>
      </c>
      <c r="AA234" s="17">
        <v>1.2602</v>
      </c>
      <c r="AB234" s="17">
        <v>0.53039999999999998</v>
      </c>
      <c r="AC234" s="17">
        <v>0.2712</v>
      </c>
      <c r="AD234" s="17">
        <v>1.1947000000000001</v>
      </c>
      <c r="AE234" s="17">
        <v>0.54830000000000001</v>
      </c>
      <c r="AF234" s="17">
        <v>0.1663</v>
      </c>
      <c r="AG234" s="17">
        <v>5.0999999999999997E-2</v>
      </c>
      <c r="AH234" s="17">
        <v>0.1053</v>
      </c>
      <c r="AI234" s="17">
        <v>0.14599999999999999</v>
      </c>
      <c r="AJ234" s="17">
        <v>5.0999999999999997E-2</v>
      </c>
      <c r="AK234" s="17">
        <v>0.20019999999999999</v>
      </c>
      <c r="AL234" s="17">
        <v>5.0999999999999997E-2</v>
      </c>
      <c r="AM234" s="17">
        <v>0.1731</v>
      </c>
      <c r="AN234" s="17">
        <v>7.8100000000000003E-2</v>
      </c>
      <c r="AO234" s="17">
        <v>8.4900000000000003E-2</v>
      </c>
      <c r="AP234" s="17">
        <v>0.1663</v>
      </c>
      <c r="AQ234" s="17">
        <v>5.0999999999999997E-2</v>
      </c>
      <c r="AR234" s="17">
        <v>0.112</v>
      </c>
      <c r="AS234" s="17">
        <v>0.13919999999999999</v>
      </c>
      <c r="AT234" s="17">
        <v>5.0999999999999997E-2</v>
      </c>
      <c r="AU234" s="17">
        <v>0.20019999999999999</v>
      </c>
      <c r="AV234" s="17">
        <v>5.0999999999999997E-2</v>
      </c>
      <c r="AW234" s="17">
        <v>0.19339999999999999</v>
      </c>
      <c r="AX234" s="17">
        <v>5.7799999999999997E-2</v>
      </c>
    </row>
    <row r="235" spans="1:50" x14ac:dyDescent="0.25">
      <c r="A235" s="8" t="s">
        <v>268</v>
      </c>
      <c r="B235" s="10" t="s">
        <v>57</v>
      </c>
      <c r="C235" s="18">
        <v>0.1812</v>
      </c>
      <c r="D235" s="18">
        <v>9.4E-2</v>
      </c>
      <c r="E235" s="18">
        <v>5.2999999999999999E-2</v>
      </c>
      <c r="F235" s="18">
        <v>5.2999999999999999E-2</v>
      </c>
      <c r="G235" s="18">
        <v>0.1457</v>
      </c>
      <c r="H235" s="18">
        <v>0.1784</v>
      </c>
      <c r="I235" s="18">
        <v>8.72E-2</v>
      </c>
      <c r="J235" s="18">
        <v>0.23680000000000001</v>
      </c>
      <c r="K235" s="18">
        <v>0.36849999999999999</v>
      </c>
      <c r="L235" s="18">
        <v>0.21490000000000001</v>
      </c>
      <c r="M235" s="18">
        <v>0.2485</v>
      </c>
      <c r="N235" s="18">
        <v>9.4299999999999995E-2</v>
      </c>
      <c r="O235" s="18">
        <v>0.13400000000000001</v>
      </c>
      <c r="P235" s="18">
        <v>0.1835</v>
      </c>
      <c r="Q235" s="18">
        <v>9.7699999999999995E-2</v>
      </c>
      <c r="R235" s="18">
        <v>0.23719999999999999</v>
      </c>
      <c r="S235" s="18">
        <v>8.6800000000000002E-2</v>
      </c>
      <c r="T235" s="18">
        <v>6.8000000000000005E-2</v>
      </c>
      <c r="U235" s="18">
        <v>0.1056</v>
      </c>
      <c r="V235" s="18">
        <v>0.17610000000000001</v>
      </c>
      <c r="W235" s="18">
        <v>0.35570000000000002</v>
      </c>
      <c r="X235" s="18">
        <v>0.81559999999999999</v>
      </c>
      <c r="Y235" s="18">
        <v>0.77910000000000001</v>
      </c>
      <c r="Z235" s="18">
        <v>1.3357000000000001</v>
      </c>
      <c r="AA235" s="18">
        <v>0.38169999999999998</v>
      </c>
      <c r="AB235" s="18">
        <v>8.2400000000000001E-2</v>
      </c>
      <c r="AC235" s="18">
        <v>5.2999999999999999E-2</v>
      </c>
      <c r="AD235" s="18">
        <v>0.1077</v>
      </c>
      <c r="AE235" s="18">
        <v>0.17879999999999999</v>
      </c>
      <c r="AF235" s="18">
        <v>9.06E-2</v>
      </c>
      <c r="AG235" s="18">
        <v>7.3499999999999996E-2</v>
      </c>
      <c r="AH235" s="18">
        <v>0.18290000000000001</v>
      </c>
      <c r="AI235" s="18">
        <v>5.2999999999999999E-2</v>
      </c>
      <c r="AJ235" s="18">
        <v>5.2999999999999999E-2</v>
      </c>
      <c r="AK235" s="18">
        <v>0.26350000000000001</v>
      </c>
      <c r="AL235" s="18">
        <v>6.0499999999999998E-2</v>
      </c>
      <c r="AM235" s="18">
        <v>0.1477</v>
      </c>
      <c r="AN235" s="18">
        <v>0.1764</v>
      </c>
      <c r="AO235" s="18">
        <v>8.0399999999999999E-2</v>
      </c>
      <c r="AP235" s="18">
        <v>0.2437</v>
      </c>
      <c r="AQ235" s="18">
        <v>5.2999999999999999E-2</v>
      </c>
      <c r="AR235" s="18">
        <v>0.1206</v>
      </c>
      <c r="AS235" s="18">
        <v>0.12820000000000001</v>
      </c>
      <c r="AT235" s="18">
        <v>0.24329999999999999</v>
      </c>
      <c r="AU235" s="18">
        <v>6.6699999999999995E-2</v>
      </c>
      <c r="AV235" s="18">
        <v>0.1898</v>
      </c>
      <c r="AW235" s="18">
        <v>0.1206</v>
      </c>
      <c r="AX235" s="18">
        <v>5.2999999999999999E-2</v>
      </c>
    </row>
    <row r="236" spans="1:50" x14ac:dyDescent="0.25">
      <c r="A236" s="8" t="s">
        <v>270</v>
      </c>
      <c r="B236" s="10" t="s">
        <v>57</v>
      </c>
      <c r="C236" s="18">
        <v>0.125</v>
      </c>
      <c r="D236" s="18">
        <v>0.32190000000000002</v>
      </c>
      <c r="E236" s="18">
        <v>5.3199999999999997E-2</v>
      </c>
      <c r="F236" s="18">
        <v>0.16070000000000001</v>
      </c>
      <c r="G236" s="18">
        <v>0.25800000000000001</v>
      </c>
      <c r="H236" s="18">
        <v>0.31890000000000002</v>
      </c>
      <c r="I236" s="18">
        <v>0.16059999999999999</v>
      </c>
      <c r="J236" s="18">
        <v>0.19800000000000001</v>
      </c>
      <c r="K236" s="18">
        <v>0.13270000000000001</v>
      </c>
      <c r="L236" s="18">
        <v>6.54E-2</v>
      </c>
      <c r="M236" s="18">
        <v>0.15379999999999999</v>
      </c>
      <c r="N236" s="18">
        <v>0.34899999999999998</v>
      </c>
      <c r="O236" s="18">
        <v>0.18970000000000001</v>
      </c>
      <c r="P236" s="18">
        <v>0.14430000000000001</v>
      </c>
      <c r="Q236" s="18">
        <v>0.1699</v>
      </c>
      <c r="R236" s="18">
        <v>0.21179999999999999</v>
      </c>
      <c r="S236" s="18">
        <v>0.11840000000000001</v>
      </c>
      <c r="T236" s="18">
        <v>1.2139</v>
      </c>
      <c r="U236" s="18">
        <v>8.8999999999999996E-2</v>
      </c>
      <c r="V236" s="18">
        <v>0.38169999999999998</v>
      </c>
      <c r="W236" s="18">
        <v>0.56620000000000004</v>
      </c>
      <c r="X236" s="18">
        <v>1.7549999999999999</v>
      </c>
      <c r="Y236" s="18">
        <v>0.39340000000000003</v>
      </c>
      <c r="Z236" s="18">
        <v>4.5699999999999998E-2</v>
      </c>
      <c r="AA236" s="18">
        <v>0.11840000000000001</v>
      </c>
      <c r="AB236" s="18">
        <v>0.16070000000000001</v>
      </c>
      <c r="AC236" s="18">
        <v>1.8293999999999999</v>
      </c>
      <c r="AD236" s="18">
        <v>0.59279999999999999</v>
      </c>
      <c r="AE236" s="18">
        <v>6.2899999999999998E-2</v>
      </c>
      <c r="AF236" s="18">
        <v>0.26729999999999998</v>
      </c>
      <c r="AG236" s="18">
        <v>0.1971</v>
      </c>
      <c r="AH236" s="18">
        <v>7.9799999999999996E-2</v>
      </c>
      <c r="AI236" s="18">
        <v>0.21579999999999999</v>
      </c>
      <c r="AJ236" s="18">
        <v>0.17019999999999999</v>
      </c>
      <c r="AK236" s="18">
        <v>0.36149999999999999</v>
      </c>
      <c r="AL236" s="18">
        <v>6.4000000000000001E-2</v>
      </c>
      <c r="AM236" s="18">
        <v>0.3306</v>
      </c>
      <c r="AN236" s="18">
        <v>0.52149999999999996</v>
      </c>
      <c r="AO236" s="18">
        <v>0.11840000000000001</v>
      </c>
      <c r="AP236" s="18">
        <v>1.0967</v>
      </c>
      <c r="AQ236" s="18">
        <v>0.1143</v>
      </c>
      <c r="AR236" s="18">
        <v>0.11700000000000001</v>
      </c>
      <c r="AS236" s="18">
        <v>0.22239999999999999</v>
      </c>
      <c r="AT236" s="18">
        <v>6.0999999999999999E-2</v>
      </c>
      <c r="AU236" s="18">
        <v>0.223</v>
      </c>
      <c r="AV236" s="18">
        <v>0.216</v>
      </c>
      <c r="AW236" s="18">
        <v>8.5000000000000006E-2</v>
      </c>
      <c r="AX236" s="18">
        <v>0.18920000000000001</v>
      </c>
    </row>
    <row r="237" spans="1:50" x14ac:dyDescent="0.25">
      <c r="A237" s="8" t="s">
        <v>272</v>
      </c>
      <c r="B237" s="10" t="s">
        <v>57</v>
      </c>
      <c r="C237" s="18">
        <v>0.3155</v>
      </c>
      <c r="D237" s="18">
        <v>0.28560000000000002</v>
      </c>
      <c r="E237" s="18">
        <v>0.18260000000000001</v>
      </c>
      <c r="F237" s="18">
        <v>5.0999999999999997E-2</v>
      </c>
      <c r="G237" s="18">
        <v>0.15629999999999999</v>
      </c>
      <c r="H237" s="18">
        <v>7.7299999999999994E-2</v>
      </c>
      <c r="I237" s="18">
        <v>5.0999999999999997E-2</v>
      </c>
      <c r="J237" s="18">
        <v>0.17599999999999999</v>
      </c>
      <c r="K237" s="18">
        <v>5.7599999999999998E-2</v>
      </c>
      <c r="L237" s="18">
        <v>5.0999999999999997E-2</v>
      </c>
      <c r="M237" s="18">
        <v>5.0999999999999997E-2</v>
      </c>
      <c r="N237" s="18">
        <v>5.0999999999999997E-2</v>
      </c>
      <c r="O237" s="18">
        <v>0.12989999999999999</v>
      </c>
      <c r="P237" s="18">
        <v>0.1036</v>
      </c>
      <c r="Q237" s="18">
        <v>5.0999999999999997E-2</v>
      </c>
      <c r="R237" s="18">
        <v>7.7499999999999999E-2</v>
      </c>
      <c r="S237" s="18">
        <v>0.1497</v>
      </c>
      <c r="T237" s="18">
        <v>8.3900000000000002E-2</v>
      </c>
      <c r="U237" s="18">
        <v>0.1168</v>
      </c>
      <c r="V237" s="18">
        <v>0.17780000000000001</v>
      </c>
      <c r="W237" s="18">
        <v>0.20130000000000001</v>
      </c>
      <c r="X237" s="18">
        <v>0.2233</v>
      </c>
      <c r="Y237" s="18">
        <v>0.2797</v>
      </c>
      <c r="Z237" s="18">
        <v>0.67969999999999997</v>
      </c>
      <c r="AA237" s="18">
        <v>1.1326000000000001</v>
      </c>
      <c r="AB237" s="18">
        <v>0.23430000000000001</v>
      </c>
      <c r="AC237" s="18">
        <v>0.24879999999999999</v>
      </c>
      <c r="AD237" s="18">
        <v>0.46010000000000001</v>
      </c>
      <c r="AE237" s="18">
        <v>1.1447000000000001</v>
      </c>
      <c r="AF237" s="18">
        <v>0.41820000000000002</v>
      </c>
      <c r="AG237" s="18">
        <v>0.28089999999999998</v>
      </c>
      <c r="AH237" s="18">
        <v>0.252</v>
      </c>
      <c r="AI237" s="18">
        <v>0.19719999999999999</v>
      </c>
      <c r="AJ237" s="18">
        <v>8.1299999999999997E-2</v>
      </c>
      <c r="AK237" s="18">
        <v>0.26450000000000001</v>
      </c>
      <c r="AL237" s="18">
        <v>9.1200000000000003E-2</v>
      </c>
      <c r="AM237" s="18">
        <v>0.1227</v>
      </c>
      <c r="AN237" s="18">
        <v>0.44869999999999999</v>
      </c>
      <c r="AO237" s="18">
        <v>8.2900000000000001E-2</v>
      </c>
      <c r="AP237" s="18">
        <v>1.3236000000000001</v>
      </c>
      <c r="AQ237" s="18">
        <v>0.27429999999999999</v>
      </c>
      <c r="AR237" s="18">
        <v>0.316</v>
      </c>
      <c r="AS237" s="18">
        <v>0.50919999999999999</v>
      </c>
      <c r="AT237" s="18">
        <v>0.32990000000000003</v>
      </c>
      <c r="AU237" s="18">
        <v>1.8238000000000001</v>
      </c>
      <c r="AV237" s="18">
        <v>0.45669999999999999</v>
      </c>
      <c r="AW237" s="18">
        <v>0.49969999999999998</v>
      </c>
      <c r="AX237" s="18">
        <v>0.25359999999999999</v>
      </c>
    </row>
    <row r="238" spans="1:50" x14ac:dyDescent="0.25">
      <c r="A238" s="16" t="s">
        <v>711</v>
      </c>
      <c r="B238" s="13" t="s">
        <v>464</v>
      </c>
      <c r="C238" s="17">
        <v>0.1153</v>
      </c>
      <c r="D238" s="17">
        <v>0.44429999999999997</v>
      </c>
      <c r="E238" s="17">
        <v>0.35770000000000002</v>
      </c>
      <c r="F238" s="17">
        <v>8.6599999999999996E-2</v>
      </c>
      <c r="G238" s="17">
        <v>0.2102</v>
      </c>
      <c r="H238" s="17">
        <v>0.10920000000000001</v>
      </c>
      <c r="I238" s="17">
        <v>8.3900000000000002E-2</v>
      </c>
      <c r="J238" s="17">
        <v>0.16769999999999999</v>
      </c>
      <c r="K238" s="17">
        <v>0.1167</v>
      </c>
      <c r="L238" s="17">
        <v>0.2026</v>
      </c>
      <c r="M238" s="17">
        <v>4.9000000000000002E-2</v>
      </c>
      <c r="N238" s="17">
        <v>0.14460000000000001</v>
      </c>
      <c r="O238" s="17">
        <v>0.17469999999999999</v>
      </c>
      <c r="P238" s="17">
        <v>4.9000000000000002E-2</v>
      </c>
      <c r="Q238" s="17">
        <v>1.3867</v>
      </c>
      <c r="R238" s="17">
        <v>0.16070000000000001</v>
      </c>
      <c r="S238" s="17">
        <v>9.7900000000000001E-2</v>
      </c>
      <c r="T238" s="17">
        <v>0.22140000000000001</v>
      </c>
      <c r="U238" s="17">
        <v>4.9000000000000002E-2</v>
      </c>
      <c r="V238" s="17">
        <v>4.9000000000000002E-2</v>
      </c>
      <c r="W238" s="17">
        <v>0.16109999999999999</v>
      </c>
      <c r="X238" s="17">
        <v>0.28199999999999997</v>
      </c>
      <c r="Y238" s="17">
        <v>0.41260000000000002</v>
      </c>
      <c r="Z238" s="17">
        <v>0.31869999999999998</v>
      </c>
      <c r="AA238" s="17">
        <v>2.3401999999999998</v>
      </c>
      <c r="AB238" s="17">
        <v>0.4133</v>
      </c>
      <c r="AC238" s="17">
        <v>0.25119999999999998</v>
      </c>
      <c r="AD238" s="17">
        <v>0.33639999999999998</v>
      </c>
      <c r="AE238" s="17">
        <v>0.25040000000000001</v>
      </c>
      <c r="AF238" s="17">
        <v>0.23860000000000001</v>
      </c>
      <c r="AG238" s="17">
        <v>0.1913</v>
      </c>
      <c r="AH238" s="17">
        <v>4.9000000000000002E-2</v>
      </c>
      <c r="AI238" s="17">
        <v>0.2026</v>
      </c>
      <c r="AJ238" s="17">
        <v>0.1167</v>
      </c>
      <c r="AK238" s="17">
        <v>0.18870000000000001</v>
      </c>
      <c r="AL238" s="17">
        <v>1.7584</v>
      </c>
      <c r="AM238" s="17">
        <v>0.24679999999999999</v>
      </c>
      <c r="AN238" s="17">
        <v>0.19170000000000001</v>
      </c>
      <c r="AO238" s="17">
        <v>9.9900000000000003E-2</v>
      </c>
      <c r="AP238" s="17">
        <v>1.4742</v>
      </c>
      <c r="AQ238" s="17">
        <v>0.61109999999999998</v>
      </c>
      <c r="AR238" s="17">
        <v>0.29430000000000001</v>
      </c>
      <c r="AS238" s="17">
        <v>0.68679999999999997</v>
      </c>
      <c r="AT238" s="17">
        <v>0.58420000000000005</v>
      </c>
      <c r="AU238" s="17">
        <v>0.2964</v>
      </c>
      <c r="AV238" s="17">
        <v>0.38150000000000001</v>
      </c>
      <c r="AW238" s="17">
        <v>8.6599999999999996E-2</v>
      </c>
      <c r="AX238" s="17">
        <v>0.21879999999999999</v>
      </c>
    </row>
    <row r="239" spans="1:50" x14ac:dyDescent="0.25">
      <c r="A239" s="8" t="s">
        <v>274</v>
      </c>
      <c r="B239" s="10" t="s">
        <v>57</v>
      </c>
      <c r="C239" s="18">
        <v>0.32819999999999999</v>
      </c>
      <c r="D239" s="18">
        <v>0.14749999999999999</v>
      </c>
      <c r="E239" s="18">
        <v>0.1648</v>
      </c>
      <c r="F239" s="18">
        <v>0.14410000000000001</v>
      </c>
      <c r="G239" s="18">
        <v>0.31790000000000002</v>
      </c>
      <c r="H239" s="18">
        <v>0.1578</v>
      </c>
      <c r="I239" s="18">
        <v>0.2155</v>
      </c>
      <c r="J239" s="18">
        <v>0.26019999999999999</v>
      </c>
      <c r="K239" s="18">
        <v>0.12939999999999999</v>
      </c>
      <c r="L239" s="18">
        <v>0.2107</v>
      </c>
      <c r="M239" s="18">
        <v>0.1</v>
      </c>
      <c r="N239" s="18">
        <v>0.2944</v>
      </c>
      <c r="O239" s="18">
        <v>0.1711</v>
      </c>
      <c r="P239" s="18">
        <v>4.5999999999999999E-2</v>
      </c>
      <c r="Q239" s="18">
        <v>0.1711</v>
      </c>
      <c r="R239" s="18">
        <v>0.28649999999999998</v>
      </c>
      <c r="S239" s="18">
        <v>0.35039999999999999</v>
      </c>
      <c r="T239" s="18">
        <v>0.39660000000000001</v>
      </c>
      <c r="U239" s="18">
        <v>0.23150000000000001</v>
      </c>
      <c r="V239" s="18">
        <v>0.15229999999999999</v>
      </c>
      <c r="W239" s="18">
        <v>0.1673</v>
      </c>
      <c r="X239" s="18">
        <v>0.53710000000000002</v>
      </c>
      <c r="Y239" s="18">
        <v>5.57E-2</v>
      </c>
      <c r="Z239" s="18">
        <v>0.20269999999999999</v>
      </c>
      <c r="AA239" s="18">
        <v>0.56989999999999996</v>
      </c>
      <c r="AB239" s="18">
        <v>4.5999999999999999E-2</v>
      </c>
      <c r="AC239" s="18">
        <v>0.26279999999999998</v>
      </c>
      <c r="AD239" s="18">
        <v>0.20030000000000001</v>
      </c>
      <c r="AE239" s="18">
        <v>0.14219999999999999</v>
      </c>
      <c r="AF239" s="18">
        <v>0.3246</v>
      </c>
      <c r="AG239" s="18">
        <v>1.4739</v>
      </c>
      <c r="AH239" s="18">
        <v>1.274</v>
      </c>
      <c r="AI239" s="18">
        <v>0.9143</v>
      </c>
      <c r="AJ239" s="18">
        <v>0.14460000000000001</v>
      </c>
      <c r="AK239" s="18">
        <v>0.28820000000000001</v>
      </c>
      <c r="AL239" s="18">
        <v>0.19719999999999999</v>
      </c>
      <c r="AM239" s="18">
        <v>0.26900000000000002</v>
      </c>
      <c r="AN239" s="18">
        <v>0.26750000000000002</v>
      </c>
      <c r="AO239" s="18">
        <v>0.16</v>
      </c>
      <c r="AP239" s="18">
        <v>0.50560000000000005</v>
      </c>
      <c r="AQ239" s="18">
        <v>0.31559999999999999</v>
      </c>
      <c r="AR239" s="18">
        <v>0.60680000000000001</v>
      </c>
      <c r="AS239" s="18">
        <v>0.39400000000000002</v>
      </c>
      <c r="AT239" s="18">
        <v>0.33169999999999999</v>
      </c>
      <c r="AU239" s="18">
        <v>0.53100000000000003</v>
      </c>
      <c r="AV239" s="18">
        <v>0.64829999999999999</v>
      </c>
      <c r="AW239" s="18">
        <v>0.23780000000000001</v>
      </c>
      <c r="AX239" s="18">
        <v>4.5999999999999999E-2</v>
      </c>
    </row>
    <row r="240" spans="1:50" x14ac:dyDescent="0.25">
      <c r="A240" s="16" t="s">
        <v>713</v>
      </c>
      <c r="B240" s="13" t="s">
        <v>464</v>
      </c>
      <c r="C240" s="17">
        <v>4.1000000000000002E-2</v>
      </c>
      <c r="D240" s="17">
        <v>0.1923</v>
      </c>
      <c r="E240" s="17">
        <v>4.1000000000000002E-2</v>
      </c>
      <c r="F240" s="17">
        <v>9.6000000000000002E-2</v>
      </c>
      <c r="G240" s="17">
        <v>0.13730000000000001</v>
      </c>
      <c r="H240" s="17">
        <v>4.1000000000000002E-2</v>
      </c>
      <c r="I240" s="17">
        <v>4.1000000000000002E-2</v>
      </c>
      <c r="J240" s="17">
        <v>4.1000000000000002E-2</v>
      </c>
      <c r="K240" s="17">
        <v>4.1000000000000002E-2</v>
      </c>
      <c r="L240" s="17">
        <v>4.1000000000000002E-2</v>
      </c>
      <c r="M240" s="17">
        <v>0.14419999999999999</v>
      </c>
      <c r="N240" s="17">
        <v>8.9099999999999999E-2</v>
      </c>
      <c r="O240" s="17">
        <v>4.1000000000000002E-2</v>
      </c>
      <c r="P240" s="17">
        <v>0.1648</v>
      </c>
      <c r="Q240" s="17">
        <v>8.2100000000000006E-2</v>
      </c>
      <c r="R240" s="17">
        <v>8.6699999999999999E-2</v>
      </c>
      <c r="S240" s="17">
        <v>0.18079999999999999</v>
      </c>
      <c r="T240" s="17">
        <v>0.2437</v>
      </c>
      <c r="U240" s="17">
        <v>0.151</v>
      </c>
      <c r="V240" s="17">
        <v>8.2299999999999998E-2</v>
      </c>
      <c r="W240" s="17">
        <v>7.5399999999999995E-2</v>
      </c>
      <c r="X240" s="17">
        <v>0.15790000000000001</v>
      </c>
      <c r="Y240" s="17">
        <v>4.1000000000000002E-2</v>
      </c>
      <c r="Z240" s="17">
        <v>0.1923</v>
      </c>
      <c r="AA240" s="17">
        <v>4.1000000000000002E-2</v>
      </c>
      <c r="AB240" s="17">
        <v>0.17169999999999999</v>
      </c>
      <c r="AC240" s="17">
        <v>6.1600000000000002E-2</v>
      </c>
      <c r="AD240" s="17">
        <v>4.1000000000000002E-2</v>
      </c>
      <c r="AE240" s="17">
        <v>0.1923</v>
      </c>
      <c r="AF240" s="17">
        <v>4.1000000000000002E-2</v>
      </c>
      <c r="AG240" s="17">
        <v>4.7899999999999998E-2</v>
      </c>
      <c r="AH240" s="17">
        <v>0.20280000000000001</v>
      </c>
      <c r="AI240" s="17">
        <v>0.2437</v>
      </c>
      <c r="AJ240" s="17">
        <v>0.13339999999999999</v>
      </c>
      <c r="AK240" s="17">
        <v>0.10290000000000001</v>
      </c>
      <c r="AL240" s="17">
        <v>5.4800000000000001E-2</v>
      </c>
      <c r="AM240" s="17">
        <v>2.0851000000000002</v>
      </c>
      <c r="AN240" s="17">
        <v>0.17730000000000001</v>
      </c>
      <c r="AO240" s="17">
        <v>0.74809999999999999</v>
      </c>
      <c r="AP240" s="17">
        <v>0.91310000000000002</v>
      </c>
      <c r="AQ240" s="17">
        <v>0.4279</v>
      </c>
      <c r="AR240" s="17">
        <v>4.1000000000000002E-2</v>
      </c>
      <c r="AS240" s="17">
        <v>0.1923</v>
      </c>
      <c r="AT240" s="17">
        <v>4.1000000000000002E-2</v>
      </c>
      <c r="AU240" s="17">
        <v>0.13730000000000001</v>
      </c>
      <c r="AV240" s="17">
        <v>9.6000000000000002E-2</v>
      </c>
      <c r="AW240" s="17">
        <v>6.1600000000000002E-2</v>
      </c>
      <c r="AX240" s="17">
        <v>0.17169999999999999</v>
      </c>
    </row>
    <row r="241" spans="1:50" x14ac:dyDescent="0.25">
      <c r="A241" s="8" t="s">
        <v>276</v>
      </c>
      <c r="B241" s="10" t="s">
        <v>57</v>
      </c>
      <c r="C241" s="18">
        <v>0.05</v>
      </c>
      <c r="D241" s="18">
        <v>9.4899999999999998E-2</v>
      </c>
      <c r="E241" s="18">
        <v>9.4899999999999998E-2</v>
      </c>
      <c r="F241" s="18">
        <v>0.05</v>
      </c>
      <c r="G241" s="18">
        <v>0.1399</v>
      </c>
      <c r="H241" s="18">
        <v>0.05</v>
      </c>
      <c r="I241" s="18">
        <v>0.05</v>
      </c>
      <c r="J241" s="18">
        <v>0.1399</v>
      </c>
      <c r="K241" s="18">
        <v>0.05</v>
      </c>
      <c r="L241" s="18">
        <v>0.06</v>
      </c>
      <c r="M241" s="18">
        <v>0.12989999999999999</v>
      </c>
      <c r="N241" s="18">
        <v>7.4999999999999997E-2</v>
      </c>
      <c r="O241" s="18">
        <v>0.1149</v>
      </c>
      <c r="P241" s="18">
        <v>0.05</v>
      </c>
      <c r="Q241" s="18">
        <v>0.10489999999999999</v>
      </c>
      <c r="R241" s="18">
        <v>8.5000000000000006E-2</v>
      </c>
      <c r="S241" s="18">
        <v>0.05</v>
      </c>
      <c r="T241" s="18">
        <v>0.1399</v>
      </c>
      <c r="U241" s="18">
        <v>0.05</v>
      </c>
      <c r="V241" s="18">
        <v>7.0000000000000007E-2</v>
      </c>
      <c r="W241" s="18">
        <v>0.11990000000000001</v>
      </c>
      <c r="X241" s="18">
        <v>0.06</v>
      </c>
      <c r="Y241" s="18">
        <v>0.12989999999999999</v>
      </c>
      <c r="Z241" s="18">
        <v>0.08</v>
      </c>
      <c r="AA241" s="18">
        <v>0.1099</v>
      </c>
      <c r="AB241" s="18">
        <v>0.05</v>
      </c>
      <c r="AC241" s="18">
        <v>6.5000000000000002E-2</v>
      </c>
      <c r="AD241" s="18">
        <v>0.1249</v>
      </c>
      <c r="AE241" s="18">
        <v>0.05</v>
      </c>
      <c r="AF241" s="18">
        <v>0.1399</v>
      </c>
      <c r="AG241" s="18">
        <v>0.20749999999999999</v>
      </c>
      <c r="AH241" s="18">
        <v>0.35560000000000003</v>
      </c>
      <c r="AI241" s="18">
        <v>0.27600000000000002</v>
      </c>
      <c r="AJ241" s="18">
        <v>0.27600000000000002</v>
      </c>
      <c r="AK241" s="18">
        <v>0.2049</v>
      </c>
      <c r="AL241" s="18">
        <v>1.6234</v>
      </c>
      <c r="AM241" s="18">
        <v>0.1197</v>
      </c>
      <c r="AN241" s="18">
        <v>0.12470000000000001</v>
      </c>
      <c r="AO241" s="18">
        <v>0.13339999999999999</v>
      </c>
      <c r="AP241" s="18">
        <v>0.38550000000000001</v>
      </c>
      <c r="AQ241" s="18">
        <v>0.56269999999999998</v>
      </c>
      <c r="AR241" s="18">
        <v>0.47739999999999999</v>
      </c>
      <c r="AS241" s="18">
        <v>0.55420000000000003</v>
      </c>
      <c r="AT241" s="18">
        <v>0.6603</v>
      </c>
      <c r="AU241" s="18">
        <v>1.4867999999999999</v>
      </c>
      <c r="AV241" s="18">
        <v>7.0000000000000007E-2</v>
      </c>
      <c r="AW241" s="18">
        <v>0.11990000000000001</v>
      </c>
      <c r="AX241" s="18">
        <v>0.05</v>
      </c>
    </row>
    <row r="242" spans="1:50" x14ac:dyDescent="0.25">
      <c r="A242" s="16" t="s">
        <v>715</v>
      </c>
      <c r="B242" s="13" t="s">
        <v>464</v>
      </c>
      <c r="C242" s="17">
        <v>0.41039999999999999</v>
      </c>
      <c r="D242" s="17">
        <v>0.1769</v>
      </c>
      <c r="E242" s="17">
        <v>8.8700000000000001E-2</v>
      </c>
      <c r="F242" s="17">
        <v>5.1999999999999998E-2</v>
      </c>
      <c r="G242" s="17">
        <v>0.1769</v>
      </c>
      <c r="H242" s="17">
        <v>8.8700000000000001E-2</v>
      </c>
      <c r="I242" s="17">
        <v>5.1999999999999998E-2</v>
      </c>
      <c r="J242" s="17">
        <v>0.16220000000000001</v>
      </c>
      <c r="K242" s="17">
        <v>0.10340000000000001</v>
      </c>
      <c r="L242" s="17">
        <v>0.1181</v>
      </c>
      <c r="M242" s="17">
        <v>0.14749999999999999</v>
      </c>
      <c r="N242" s="17">
        <v>5.1999999999999998E-2</v>
      </c>
      <c r="O242" s="17">
        <v>0.1769</v>
      </c>
      <c r="P242" s="17">
        <v>8.8700000000000001E-2</v>
      </c>
      <c r="Q242" s="17">
        <v>6.1600000000000002E-2</v>
      </c>
      <c r="R242" s="17">
        <v>6.08E-2</v>
      </c>
      <c r="S242" s="17">
        <v>0.29620000000000002</v>
      </c>
      <c r="T242" s="17">
        <v>0.1482</v>
      </c>
      <c r="U242" s="17">
        <v>0.2616</v>
      </c>
      <c r="V242" s="17">
        <v>0.77370000000000005</v>
      </c>
      <c r="W242" s="17">
        <v>0.50570000000000004</v>
      </c>
      <c r="X242" s="17">
        <v>0.41260000000000002</v>
      </c>
      <c r="Y242" s="17">
        <v>1.2857000000000001</v>
      </c>
      <c r="Z242" s="17">
        <v>0.4703</v>
      </c>
      <c r="AA242" s="17">
        <v>0.45810000000000001</v>
      </c>
      <c r="AB242" s="17">
        <v>0.1014</v>
      </c>
      <c r="AC242" s="17">
        <v>0.27289999999999998</v>
      </c>
      <c r="AD242" s="17">
        <v>0.42899999999999999</v>
      </c>
      <c r="AE242" s="17">
        <v>0.19900000000000001</v>
      </c>
      <c r="AF242" s="17">
        <v>5.1999999999999998E-2</v>
      </c>
      <c r="AG242" s="17">
        <v>0.20630000000000001</v>
      </c>
      <c r="AH242" s="17">
        <v>0.81330000000000002</v>
      </c>
      <c r="AI242" s="17">
        <v>1.645</v>
      </c>
      <c r="AJ242" s="17">
        <v>0.2485</v>
      </c>
      <c r="AK242" s="17">
        <v>0.1782</v>
      </c>
      <c r="AL242" s="17">
        <v>0.14899999999999999</v>
      </c>
      <c r="AM242" s="17">
        <v>7.6999999999999999E-2</v>
      </c>
      <c r="AN242" s="17">
        <v>0.20660000000000001</v>
      </c>
      <c r="AO242" s="17">
        <v>5.1999999999999998E-2</v>
      </c>
      <c r="AP242" s="17">
        <v>0.1769</v>
      </c>
      <c r="AQ242" s="17">
        <v>8.8700000000000001E-2</v>
      </c>
      <c r="AR242" s="17">
        <v>0.1255</v>
      </c>
      <c r="AS242" s="17">
        <v>0.14019999999999999</v>
      </c>
      <c r="AT242" s="17">
        <v>5.1999999999999998E-2</v>
      </c>
      <c r="AU242" s="17">
        <v>0.21360000000000001</v>
      </c>
      <c r="AV242" s="17">
        <v>5.1999999999999998E-2</v>
      </c>
      <c r="AW242" s="17">
        <v>0.43070000000000003</v>
      </c>
      <c r="AX242" s="17">
        <v>0.75670000000000004</v>
      </c>
    </row>
    <row r="243" spans="1:50" x14ac:dyDescent="0.25">
      <c r="A243" s="8" t="s">
        <v>278</v>
      </c>
      <c r="B243" s="10" t="s">
        <v>57</v>
      </c>
      <c r="C243" s="18">
        <v>0.1225</v>
      </c>
      <c r="D243" s="18">
        <v>0.17319999999999999</v>
      </c>
      <c r="E243" s="18">
        <v>5.5E-2</v>
      </c>
      <c r="F243" s="18">
        <v>5.5E-2</v>
      </c>
      <c r="G243" s="18">
        <v>0.2407</v>
      </c>
      <c r="H243" s="18">
        <v>5.5E-2</v>
      </c>
      <c r="I243" s="18">
        <v>8.0299999999999996E-2</v>
      </c>
      <c r="J243" s="18">
        <v>0.21540000000000001</v>
      </c>
      <c r="K243" s="18">
        <v>5.5E-2</v>
      </c>
      <c r="L243" s="18">
        <v>5.5E-2</v>
      </c>
      <c r="M243" s="18">
        <v>0.2407</v>
      </c>
      <c r="N243" s="18">
        <v>0.42630000000000001</v>
      </c>
      <c r="O243" s="18">
        <v>0.26860000000000001</v>
      </c>
      <c r="P243" s="18">
        <v>0.5726</v>
      </c>
      <c r="Q243" s="18">
        <v>0.43159999999999998</v>
      </c>
      <c r="R243" s="18">
        <v>0.193</v>
      </c>
      <c r="S243" s="18">
        <v>0.47689999999999999</v>
      </c>
      <c r="T243" s="18">
        <v>0.19439999999999999</v>
      </c>
      <c r="U243" s="18">
        <v>1.7141999999999999</v>
      </c>
      <c r="V243" s="18">
        <v>0.36299999999999999</v>
      </c>
      <c r="W243" s="18">
        <v>0.255</v>
      </c>
      <c r="X243" s="18">
        <v>0.51929999999999998</v>
      </c>
      <c r="Y243" s="18">
        <v>5.5E-2</v>
      </c>
      <c r="Z243" s="18">
        <v>0.2407</v>
      </c>
      <c r="AA243" s="18">
        <v>5.5E-2</v>
      </c>
      <c r="AB243" s="18">
        <v>0.11409999999999999</v>
      </c>
      <c r="AC243" s="18">
        <v>0.18160000000000001</v>
      </c>
      <c r="AD243" s="18">
        <v>5.5E-2</v>
      </c>
      <c r="AE243" s="18">
        <v>0.23230000000000001</v>
      </c>
      <c r="AF243" s="18">
        <v>6.3399999999999998E-2</v>
      </c>
      <c r="AG243" s="18">
        <v>8.8800000000000004E-2</v>
      </c>
      <c r="AH243" s="18">
        <v>0.20699999999999999</v>
      </c>
      <c r="AI243" s="18">
        <v>5.5E-2</v>
      </c>
      <c r="AJ243" s="18">
        <v>0.1394</v>
      </c>
      <c r="AK243" s="18">
        <v>0.15629999999999999</v>
      </c>
      <c r="AL243" s="18">
        <v>5.5E-2</v>
      </c>
      <c r="AM243" s="18">
        <v>0.4476</v>
      </c>
      <c r="AN243" s="18">
        <v>0.1862</v>
      </c>
      <c r="AO243" s="18">
        <v>0.48070000000000002</v>
      </c>
      <c r="AP243" s="18">
        <v>0.45019999999999999</v>
      </c>
      <c r="AQ243" s="18">
        <v>0.70550000000000002</v>
      </c>
      <c r="AR243" s="18">
        <v>0.8659</v>
      </c>
      <c r="AS243" s="18">
        <v>0.57589999999999997</v>
      </c>
      <c r="AT243" s="18">
        <v>0.53959999999999997</v>
      </c>
      <c r="AU243" s="18">
        <v>0.4763</v>
      </c>
      <c r="AV243" s="18">
        <v>0.59009999999999996</v>
      </c>
      <c r="AW243" s="18">
        <v>0.28589999999999999</v>
      </c>
      <c r="AX243" s="18">
        <v>0.18160000000000001</v>
      </c>
    </row>
    <row r="244" spans="1:50" x14ac:dyDescent="0.25">
      <c r="A244" s="16" t="s">
        <v>717</v>
      </c>
      <c r="B244" s="13" t="s">
        <v>464</v>
      </c>
      <c r="C244" s="17">
        <v>0.21249999999999999</v>
      </c>
      <c r="D244" s="17">
        <v>0.1055</v>
      </c>
      <c r="E244" s="17">
        <v>0.34439999999999998</v>
      </c>
      <c r="F244" s="17">
        <v>0.16089999999999999</v>
      </c>
      <c r="G244" s="17">
        <v>0.25030000000000002</v>
      </c>
      <c r="H244" s="17">
        <v>0.20569999999999999</v>
      </c>
      <c r="I244" s="17">
        <v>0.13980000000000001</v>
      </c>
      <c r="J244" s="17">
        <v>0.2717</v>
      </c>
      <c r="K244" s="17">
        <v>0.2293</v>
      </c>
      <c r="L244" s="17">
        <v>0.16109999999999999</v>
      </c>
      <c r="M244" s="17">
        <v>0.36480000000000001</v>
      </c>
      <c r="N244" s="17">
        <v>0.1348</v>
      </c>
      <c r="O244" s="17">
        <v>0.2838</v>
      </c>
      <c r="P244" s="17">
        <v>0.23710000000000001</v>
      </c>
      <c r="Q244" s="17">
        <v>0.45019999999999999</v>
      </c>
      <c r="R244" s="17">
        <v>0.48199999999999998</v>
      </c>
      <c r="S244" s="17">
        <v>1.286</v>
      </c>
      <c r="T244" s="17">
        <v>1.4774</v>
      </c>
      <c r="U244" s="17">
        <v>0.43780000000000002</v>
      </c>
      <c r="V244" s="17">
        <v>0.53159999999999996</v>
      </c>
      <c r="W244" s="17">
        <v>1.1585000000000001</v>
      </c>
      <c r="X244" s="17">
        <v>2.1421000000000001</v>
      </c>
      <c r="Y244" s="17">
        <v>1.3411</v>
      </c>
      <c r="Z244" s="17">
        <v>0.25840000000000002</v>
      </c>
      <c r="AA244" s="17">
        <v>1.3827</v>
      </c>
      <c r="AB244" s="17">
        <v>0.98329999999999995</v>
      </c>
      <c r="AC244" s="17">
        <v>1.4384999999999999</v>
      </c>
      <c r="AD244" s="17">
        <v>0.2273</v>
      </c>
      <c r="AE244" s="17">
        <v>0.16059999999999999</v>
      </c>
      <c r="AF244" s="17">
        <v>0.2777</v>
      </c>
      <c r="AG244" s="17">
        <v>1.0687</v>
      </c>
      <c r="AH244" s="17">
        <v>0.82320000000000004</v>
      </c>
      <c r="AI244" s="17">
        <v>0.2041</v>
      </c>
      <c r="AJ244" s="17">
        <v>0.60099999999999998</v>
      </c>
      <c r="AK244" s="17">
        <v>1.2828999999999999</v>
      </c>
      <c r="AL244" s="17">
        <v>1.7829999999999999</v>
      </c>
      <c r="AM244" s="17">
        <v>0.59599999999999997</v>
      </c>
      <c r="AN244" s="17">
        <v>0.3468</v>
      </c>
      <c r="AO244" s="17">
        <v>0.41039999999999999</v>
      </c>
      <c r="AP244" s="17">
        <v>0.60029999999999994</v>
      </c>
      <c r="AQ244" s="17">
        <v>0.504</v>
      </c>
      <c r="AR244" s="17">
        <v>0.71919999999999995</v>
      </c>
      <c r="AS244" s="17">
        <v>0.88870000000000005</v>
      </c>
      <c r="AT244" s="17">
        <v>0.95279999999999998</v>
      </c>
      <c r="AU244" s="17">
        <v>0.91290000000000004</v>
      </c>
      <c r="AV244" s="17">
        <v>0.73950000000000005</v>
      </c>
      <c r="AW244" s="17">
        <v>0.56459999999999999</v>
      </c>
      <c r="AX244" s="17">
        <v>1.4496</v>
      </c>
    </row>
    <row r="245" spans="1:50" x14ac:dyDescent="0.25">
      <c r="A245" s="8" t="s">
        <v>280</v>
      </c>
      <c r="B245" s="10" t="s">
        <v>57</v>
      </c>
      <c r="C245" s="18">
        <v>0.1658</v>
      </c>
      <c r="D245" s="18">
        <v>0.22270000000000001</v>
      </c>
      <c r="E245" s="18">
        <v>0.2087</v>
      </c>
      <c r="F245" s="18">
        <v>0.14330000000000001</v>
      </c>
      <c r="G245" s="18">
        <v>0.27200000000000002</v>
      </c>
      <c r="H245" s="18">
        <v>0.1658</v>
      </c>
      <c r="I245" s="18">
        <v>0.21329999999999999</v>
      </c>
      <c r="J245" s="18">
        <v>5.2999999999999999E-2</v>
      </c>
      <c r="K245" s="18">
        <v>0.34660000000000002</v>
      </c>
      <c r="L245" s="18">
        <v>0.38200000000000001</v>
      </c>
      <c r="M245" s="18">
        <v>0.1013</v>
      </c>
      <c r="N245" s="18">
        <v>0.28389999999999999</v>
      </c>
      <c r="O245" s="18">
        <v>0.2109</v>
      </c>
      <c r="P245" s="18">
        <v>0.1497</v>
      </c>
      <c r="Q245" s="18">
        <v>0.30559999999999998</v>
      </c>
      <c r="R245" s="18">
        <v>0.19040000000000001</v>
      </c>
      <c r="S245" s="18">
        <v>0.2757</v>
      </c>
      <c r="T245" s="18">
        <v>0.13320000000000001</v>
      </c>
      <c r="U245" s="18">
        <v>0.13320000000000001</v>
      </c>
      <c r="V245" s="18">
        <v>0.17680000000000001</v>
      </c>
      <c r="W245" s="18">
        <v>0.3029</v>
      </c>
      <c r="X245" s="18">
        <v>5.2999999999999999E-2</v>
      </c>
      <c r="Y245" s="18">
        <v>0.22220000000000001</v>
      </c>
      <c r="Z245" s="18">
        <v>0.25750000000000001</v>
      </c>
      <c r="AA245" s="18">
        <v>5.2999999999999999E-2</v>
      </c>
      <c r="AB245" s="18">
        <v>0.36080000000000001</v>
      </c>
      <c r="AC245" s="18">
        <v>0.11890000000000001</v>
      </c>
      <c r="AD245" s="18">
        <v>0.31869999999999998</v>
      </c>
      <c r="AE245" s="18">
        <v>0.3211</v>
      </c>
      <c r="AF245" s="18">
        <v>0.32369999999999999</v>
      </c>
      <c r="AG245" s="18">
        <v>0.2051</v>
      </c>
      <c r="AH245" s="18">
        <v>0.50319999999999998</v>
      </c>
      <c r="AI245" s="18">
        <v>0.57140000000000002</v>
      </c>
      <c r="AJ245" s="18">
        <v>0.56259999999999999</v>
      </c>
      <c r="AK245" s="18">
        <v>0.1416</v>
      </c>
      <c r="AL245" s="18">
        <v>0.1123</v>
      </c>
      <c r="AM245" s="18">
        <v>0.3352</v>
      </c>
      <c r="AN245" s="18">
        <v>0.15140000000000001</v>
      </c>
      <c r="AO245" s="18">
        <v>0.35770000000000002</v>
      </c>
      <c r="AP245" s="18">
        <v>0.20530000000000001</v>
      </c>
      <c r="AQ245" s="18">
        <v>0.59609999999999996</v>
      </c>
      <c r="AR245" s="18">
        <v>0.88470000000000004</v>
      </c>
      <c r="AS245" s="18">
        <v>0.70979999999999999</v>
      </c>
      <c r="AT245" s="18">
        <v>0.7661</v>
      </c>
      <c r="AU245" s="18">
        <v>2.2162999999999999</v>
      </c>
      <c r="AV245" s="18">
        <v>0.12590000000000001</v>
      </c>
      <c r="AW245" s="18">
        <v>0.3377</v>
      </c>
      <c r="AX245" s="18">
        <v>6.9099999999999995E-2</v>
      </c>
    </row>
    <row r="246" spans="1:50" x14ac:dyDescent="0.25">
      <c r="A246" s="8" t="s">
        <v>282</v>
      </c>
      <c r="B246" s="10" t="s">
        <v>57</v>
      </c>
      <c r="C246" s="18">
        <v>5.2400000000000002E-2</v>
      </c>
      <c r="D246" s="18">
        <v>0.26919999999999999</v>
      </c>
      <c r="E246" s="18">
        <v>3.7999999999999999E-2</v>
      </c>
      <c r="F246" s="18">
        <v>3.7999999999999999E-2</v>
      </c>
      <c r="G246" s="18">
        <v>0.19689999999999999</v>
      </c>
      <c r="H246" s="18">
        <v>0.12470000000000001</v>
      </c>
      <c r="I246" s="18">
        <v>3.7999999999999999E-2</v>
      </c>
      <c r="J246" s="18">
        <v>0.12470000000000001</v>
      </c>
      <c r="K246" s="18">
        <v>0.1598</v>
      </c>
      <c r="L246" s="18">
        <v>7.5200000000000003E-2</v>
      </c>
      <c r="M246" s="18">
        <v>3.7999999999999999E-2</v>
      </c>
      <c r="N246" s="18">
        <v>0.19689999999999999</v>
      </c>
      <c r="O246" s="18">
        <v>0.11849999999999999</v>
      </c>
      <c r="P246" s="18">
        <v>0.2031</v>
      </c>
      <c r="Q246" s="18">
        <v>3.7999999999999999E-2</v>
      </c>
      <c r="R246" s="18">
        <v>0.17530000000000001</v>
      </c>
      <c r="S246" s="18">
        <v>0.1464</v>
      </c>
      <c r="T246" s="18">
        <v>4.4200000000000003E-2</v>
      </c>
      <c r="U246" s="18">
        <v>0.11849999999999999</v>
      </c>
      <c r="V246" s="18">
        <v>1.5196000000000001</v>
      </c>
      <c r="W246" s="18">
        <v>3.7999999999999999E-2</v>
      </c>
      <c r="X246" s="18">
        <v>0.15359999999999999</v>
      </c>
      <c r="Y246" s="18">
        <v>0.16800000000000001</v>
      </c>
      <c r="Z246" s="18">
        <v>3.7999999999999999E-2</v>
      </c>
      <c r="AA246" s="18">
        <v>0.28370000000000001</v>
      </c>
      <c r="AB246" s="18">
        <v>3.7999999999999999E-2</v>
      </c>
      <c r="AC246" s="18">
        <v>7.4099999999999999E-2</v>
      </c>
      <c r="AD246" s="18">
        <v>0.24759999999999999</v>
      </c>
      <c r="AE246" s="18">
        <v>3.7999999999999999E-2</v>
      </c>
      <c r="AF246" s="18">
        <v>0.10299999999999999</v>
      </c>
      <c r="AG246" s="18">
        <v>0.44879999999999998</v>
      </c>
      <c r="AH246" s="18">
        <v>9.4E-2</v>
      </c>
      <c r="AI246" s="18">
        <v>0.23050000000000001</v>
      </c>
      <c r="AJ246" s="18">
        <v>0.2069</v>
      </c>
      <c r="AK246" s="18">
        <v>0.1928</v>
      </c>
      <c r="AL246" s="18">
        <v>0.19739999999999999</v>
      </c>
      <c r="AM246" s="18">
        <v>9.9599999999999994E-2</v>
      </c>
      <c r="AN246" s="18">
        <v>0.1862</v>
      </c>
      <c r="AO246" s="18">
        <v>0.39579999999999999</v>
      </c>
      <c r="AP246" s="18">
        <v>0.217</v>
      </c>
      <c r="AQ246" s="18">
        <v>0.23699999999999999</v>
      </c>
      <c r="AR246" s="18">
        <v>0.2019</v>
      </c>
      <c r="AS246" s="18">
        <v>0.21160000000000001</v>
      </c>
      <c r="AT246" s="18">
        <v>0.32269999999999999</v>
      </c>
      <c r="AU246" s="18">
        <v>1.2214</v>
      </c>
      <c r="AV246" s="18">
        <v>0.30420000000000003</v>
      </c>
      <c r="AW246" s="18">
        <v>0.2707</v>
      </c>
      <c r="AX246" s="18">
        <v>0.1394</v>
      </c>
    </row>
    <row r="247" spans="1:50" x14ac:dyDescent="0.25">
      <c r="A247" s="8" t="s">
        <v>284</v>
      </c>
      <c r="B247" s="10" t="s">
        <v>57</v>
      </c>
      <c r="C247" s="18">
        <v>5.3999999999999999E-2</v>
      </c>
      <c r="D247" s="18">
        <v>0.20580000000000001</v>
      </c>
      <c r="E247" s="18">
        <v>6.1199999999999997E-2</v>
      </c>
      <c r="F247" s="18">
        <v>0.1552</v>
      </c>
      <c r="G247" s="18">
        <v>0.1118</v>
      </c>
      <c r="H247" s="18">
        <v>6.1199999999999997E-2</v>
      </c>
      <c r="I247" s="18">
        <v>0.20580000000000001</v>
      </c>
      <c r="J247" s="18">
        <v>5.3999999999999999E-2</v>
      </c>
      <c r="K247" s="18">
        <v>0.21310000000000001</v>
      </c>
      <c r="L247" s="18">
        <v>5.3999999999999999E-2</v>
      </c>
      <c r="M247" s="18">
        <v>0.14080000000000001</v>
      </c>
      <c r="N247" s="18">
        <v>0.1263</v>
      </c>
      <c r="O247" s="18">
        <v>5.3999999999999999E-2</v>
      </c>
      <c r="P247" s="18">
        <v>0.24490000000000001</v>
      </c>
      <c r="Q247" s="18">
        <v>6.6500000000000004E-2</v>
      </c>
      <c r="R247" s="18">
        <v>8.2000000000000003E-2</v>
      </c>
      <c r="S247" s="18">
        <v>5.5800000000000002E-2</v>
      </c>
      <c r="T247" s="18">
        <v>0.28389999999999999</v>
      </c>
      <c r="U247" s="18">
        <v>2.0941000000000001</v>
      </c>
      <c r="V247" s="18">
        <v>5.5800000000000002E-2</v>
      </c>
      <c r="W247" s="18">
        <v>5.3999999999999999E-2</v>
      </c>
      <c r="X247" s="18">
        <v>0.22109999999999999</v>
      </c>
      <c r="Y247" s="18">
        <v>6.7000000000000004E-2</v>
      </c>
      <c r="Z247" s="18">
        <v>0.18410000000000001</v>
      </c>
      <c r="AA247" s="18">
        <v>0.12659999999999999</v>
      </c>
      <c r="AB247" s="18">
        <v>6.3600000000000004E-2</v>
      </c>
      <c r="AC247" s="18">
        <v>0.49619999999999997</v>
      </c>
      <c r="AD247" s="18">
        <v>0.2485</v>
      </c>
      <c r="AE247" s="18">
        <v>0.22889999999999999</v>
      </c>
      <c r="AF247" s="18">
        <v>0.29449999999999998</v>
      </c>
      <c r="AG247" s="18">
        <v>0.3296</v>
      </c>
      <c r="AH247" s="18">
        <v>0.21579999999999999</v>
      </c>
      <c r="AI247" s="18">
        <v>0.35849999999999999</v>
      </c>
      <c r="AJ247" s="18">
        <v>0.22</v>
      </c>
      <c r="AK247" s="18">
        <v>0.2208</v>
      </c>
      <c r="AL247" s="18">
        <v>0.30099999999999999</v>
      </c>
      <c r="AM247" s="18">
        <v>0.14080000000000001</v>
      </c>
      <c r="AN247" s="18">
        <v>5.3999999999999999E-2</v>
      </c>
      <c r="AO247" s="18">
        <v>0.49399999999999999</v>
      </c>
      <c r="AP247" s="18">
        <v>0.39300000000000002</v>
      </c>
      <c r="AQ247" s="18">
        <v>0.35899999999999999</v>
      </c>
      <c r="AR247" s="18">
        <v>0.49890000000000001</v>
      </c>
      <c r="AS247" s="18">
        <v>0.61850000000000005</v>
      </c>
      <c r="AT247" s="18">
        <v>0.49</v>
      </c>
      <c r="AU247" s="18">
        <v>0.60189999999999999</v>
      </c>
      <c r="AV247" s="18">
        <v>0.61150000000000004</v>
      </c>
      <c r="AW247" s="18">
        <v>0.78669999999999995</v>
      </c>
      <c r="AX247" s="18">
        <v>0.52290000000000003</v>
      </c>
    </row>
    <row r="248" spans="1:50" x14ac:dyDescent="0.25">
      <c r="A248" s="16" t="s">
        <v>719</v>
      </c>
      <c r="B248" s="13" t="s">
        <v>464</v>
      </c>
      <c r="C248" s="17">
        <v>4.5999999999999999E-2</v>
      </c>
      <c r="D248" s="17">
        <v>4.5999999999999999E-2</v>
      </c>
      <c r="E248" s="17">
        <v>4.5999999999999999E-2</v>
      </c>
      <c r="F248" s="17">
        <v>4.5999999999999999E-2</v>
      </c>
      <c r="G248" s="17">
        <v>4.5999999999999999E-2</v>
      </c>
      <c r="H248" s="17">
        <v>4.5999999999999999E-2</v>
      </c>
      <c r="I248" s="17">
        <v>4.5999999999999999E-2</v>
      </c>
      <c r="J248" s="17">
        <v>4.5999999999999999E-2</v>
      </c>
      <c r="K248" s="17">
        <v>4.5999999999999999E-2</v>
      </c>
      <c r="L248" s="17">
        <v>4.5999999999999999E-2</v>
      </c>
      <c r="M248" s="17">
        <v>4.5999999999999999E-2</v>
      </c>
      <c r="N248" s="17">
        <v>4.5999999999999999E-2</v>
      </c>
      <c r="O248" s="17">
        <v>4.5999999999999999E-2</v>
      </c>
      <c r="P248" s="17">
        <v>4.5999999999999999E-2</v>
      </c>
      <c r="Q248" s="17">
        <v>4.5999999999999999E-2</v>
      </c>
      <c r="R248" s="17">
        <v>0.4909</v>
      </c>
      <c r="S248" s="17">
        <v>1.8133999999999999</v>
      </c>
      <c r="T248" s="17">
        <v>0.70950000000000002</v>
      </c>
      <c r="U248" s="17">
        <v>1.6692</v>
      </c>
      <c r="V248" s="17">
        <v>0.1028</v>
      </c>
      <c r="W248" s="17">
        <v>0.1182</v>
      </c>
      <c r="X248" s="17">
        <v>1.4115</v>
      </c>
      <c r="Y248" s="17">
        <v>0.83840000000000003</v>
      </c>
      <c r="Z248" s="17">
        <v>0.72540000000000004</v>
      </c>
      <c r="AA248" s="17">
        <v>1.5329999999999999</v>
      </c>
      <c r="AB248" s="17">
        <v>0.36070000000000002</v>
      </c>
      <c r="AC248" s="17">
        <v>0.8891</v>
      </c>
      <c r="AD248" s="17">
        <v>0.1045</v>
      </c>
      <c r="AE248" s="17">
        <v>0.39779999999999999</v>
      </c>
      <c r="AF248" s="17">
        <v>4.5999999999999999E-2</v>
      </c>
      <c r="AG248" s="17">
        <v>4.5999999999999999E-2</v>
      </c>
      <c r="AH248" s="17">
        <v>4.5999999999999999E-2</v>
      </c>
      <c r="AI248" s="17">
        <v>4.5999999999999999E-2</v>
      </c>
      <c r="AJ248" s="17">
        <v>4.5999999999999999E-2</v>
      </c>
      <c r="AK248" s="17">
        <v>4.5999999999999999E-2</v>
      </c>
      <c r="AL248" s="17">
        <v>4.5999999999999999E-2</v>
      </c>
      <c r="AM248" s="17">
        <v>4.5999999999999999E-2</v>
      </c>
      <c r="AN248" s="17">
        <v>4.5999999999999999E-2</v>
      </c>
      <c r="AO248" s="17">
        <v>4.5999999999999999E-2</v>
      </c>
      <c r="AP248" s="17">
        <v>4.5999999999999999E-2</v>
      </c>
      <c r="AQ248" s="17">
        <v>4.5999999999999999E-2</v>
      </c>
      <c r="AR248" s="17">
        <v>0.16009999999999999</v>
      </c>
      <c r="AS248" s="17">
        <v>0.57279999999999998</v>
      </c>
      <c r="AT248" s="17">
        <v>0.18690000000000001</v>
      </c>
      <c r="AU248" s="17">
        <v>4.5999999999999999E-2</v>
      </c>
      <c r="AV248" s="17">
        <v>4.5999999999999999E-2</v>
      </c>
      <c r="AW248" s="17">
        <v>4.5999999999999999E-2</v>
      </c>
      <c r="AX248" s="17">
        <v>4.5999999999999999E-2</v>
      </c>
    </row>
    <row r="249" spans="1:50" x14ac:dyDescent="0.25">
      <c r="A249" s="8" t="s">
        <v>286</v>
      </c>
      <c r="B249" s="10" t="s">
        <v>57</v>
      </c>
      <c r="C249" s="18">
        <v>4.4999999999999998E-2</v>
      </c>
      <c r="D249" s="18">
        <v>4.4999999999999998E-2</v>
      </c>
      <c r="E249" s="18">
        <v>4.4999999999999998E-2</v>
      </c>
      <c r="F249" s="18">
        <v>4.4999999999999998E-2</v>
      </c>
      <c r="G249" s="18">
        <v>4.4999999999999998E-2</v>
      </c>
      <c r="H249" s="18">
        <v>4.4999999999999998E-2</v>
      </c>
      <c r="I249" s="18">
        <v>4.4999999999999998E-2</v>
      </c>
      <c r="J249" s="18">
        <v>4.4999999999999998E-2</v>
      </c>
      <c r="K249" s="18">
        <v>4.4999999999999998E-2</v>
      </c>
      <c r="L249" s="18">
        <v>4.4999999999999998E-2</v>
      </c>
      <c r="M249" s="18">
        <v>4.4999999999999998E-2</v>
      </c>
      <c r="N249" s="18">
        <v>4.4999999999999998E-2</v>
      </c>
      <c r="O249" s="18">
        <v>4.4999999999999998E-2</v>
      </c>
      <c r="P249" s="18">
        <v>4.4999999999999998E-2</v>
      </c>
      <c r="Q249" s="18">
        <v>4.4999999999999998E-2</v>
      </c>
      <c r="R249" s="18">
        <v>4.4999999999999998E-2</v>
      </c>
      <c r="S249" s="18">
        <v>4.4999999999999998E-2</v>
      </c>
      <c r="T249" s="18">
        <v>8.43E-2</v>
      </c>
      <c r="U249" s="18">
        <v>1.2632000000000001</v>
      </c>
      <c r="V249" s="18">
        <v>0.3997</v>
      </c>
      <c r="W249" s="18">
        <v>0.22239999999999999</v>
      </c>
      <c r="X249" s="18">
        <v>9.5600000000000004E-2</v>
      </c>
      <c r="Y249" s="18">
        <v>5.9299999999999999E-2</v>
      </c>
      <c r="Z249" s="18">
        <v>4.4999999999999998E-2</v>
      </c>
      <c r="AA249" s="18">
        <v>4.4999999999999998E-2</v>
      </c>
      <c r="AB249" s="18">
        <v>4.4999999999999998E-2</v>
      </c>
      <c r="AC249" s="18">
        <v>4.4999999999999998E-2</v>
      </c>
      <c r="AD249" s="18">
        <v>4.4999999999999998E-2</v>
      </c>
      <c r="AE249" s="18">
        <v>4.4999999999999998E-2</v>
      </c>
      <c r="AF249" s="18">
        <v>4.4999999999999998E-2</v>
      </c>
      <c r="AG249" s="18">
        <v>4.4999999999999998E-2</v>
      </c>
      <c r="AH249" s="18">
        <v>4.4999999999999998E-2</v>
      </c>
      <c r="AI249" s="18">
        <v>4.4999999999999998E-2</v>
      </c>
      <c r="AJ249" s="18">
        <v>4.4999999999999998E-2</v>
      </c>
      <c r="AK249" s="18">
        <v>4.4999999999999998E-2</v>
      </c>
      <c r="AL249" s="18">
        <v>4.4999999999999998E-2</v>
      </c>
      <c r="AM249" s="18">
        <v>4.4999999999999998E-2</v>
      </c>
      <c r="AN249" s="18">
        <v>5.9299999999999999E-2</v>
      </c>
      <c r="AO249" s="18">
        <v>0.21440000000000001</v>
      </c>
      <c r="AP249" s="18">
        <v>1.41</v>
      </c>
      <c r="AQ249" s="18">
        <v>0.44879999999999998</v>
      </c>
      <c r="AR249" s="18">
        <v>0.32300000000000001</v>
      </c>
      <c r="AS249" s="18">
        <v>0.37409999999999999</v>
      </c>
      <c r="AT249" s="18">
        <v>0.27910000000000001</v>
      </c>
      <c r="AU249" s="18">
        <v>4.4999999999999998E-2</v>
      </c>
      <c r="AV249" s="18">
        <v>4.4999999999999998E-2</v>
      </c>
      <c r="AW249" s="18">
        <v>4.4999999999999998E-2</v>
      </c>
      <c r="AX249" s="18">
        <v>4.4999999999999998E-2</v>
      </c>
    </row>
    <row r="250" spans="1:50" x14ac:dyDescent="0.25">
      <c r="A250" s="16" t="s">
        <v>721</v>
      </c>
      <c r="B250" s="13" t="s">
        <v>464</v>
      </c>
      <c r="C250" s="17">
        <v>7.4499999999999997E-2</v>
      </c>
      <c r="D250" s="17">
        <v>0.2671</v>
      </c>
      <c r="E250" s="17">
        <v>5.9900000000000002E-2</v>
      </c>
      <c r="F250" s="17">
        <v>5.2400000000000002E-2</v>
      </c>
      <c r="G250" s="17">
        <v>0.30420000000000003</v>
      </c>
      <c r="H250" s="17">
        <v>4.4999999999999998E-2</v>
      </c>
      <c r="I250" s="17">
        <v>4.4999999999999998E-2</v>
      </c>
      <c r="J250" s="17">
        <v>0.3115</v>
      </c>
      <c r="K250" s="17">
        <v>4.4999999999999998E-2</v>
      </c>
      <c r="L250" s="17">
        <v>0.26700000000000002</v>
      </c>
      <c r="M250" s="17">
        <v>8.9599999999999999E-2</v>
      </c>
      <c r="N250" s="17">
        <v>4.4999999999999998E-2</v>
      </c>
      <c r="O250" s="17">
        <v>0.3115</v>
      </c>
      <c r="P250" s="17">
        <v>4.4999999999999998E-2</v>
      </c>
      <c r="Q250" s="17">
        <v>0.1419</v>
      </c>
      <c r="R250" s="17">
        <v>0.12620000000000001</v>
      </c>
      <c r="S250" s="17">
        <v>0.14349999999999999</v>
      </c>
      <c r="T250" s="17">
        <v>0.2387</v>
      </c>
      <c r="U250" s="17">
        <v>0.37240000000000001</v>
      </c>
      <c r="V250" s="17">
        <v>0.98660000000000003</v>
      </c>
      <c r="W250" s="17">
        <v>0.69140000000000001</v>
      </c>
      <c r="X250" s="17">
        <v>0.21870000000000001</v>
      </c>
      <c r="Y250" s="17">
        <v>0.1129</v>
      </c>
      <c r="Z250" s="17">
        <v>0.48180000000000001</v>
      </c>
      <c r="AA250" s="17">
        <v>0.26679999999999998</v>
      </c>
      <c r="AB250" s="17">
        <v>0.21840000000000001</v>
      </c>
      <c r="AC250" s="17">
        <v>0.26989999999999997</v>
      </c>
      <c r="AD250" s="17">
        <v>0.17860000000000001</v>
      </c>
      <c r="AE250" s="17">
        <v>0.1928</v>
      </c>
      <c r="AF250" s="17">
        <v>0.43340000000000001</v>
      </c>
      <c r="AG250" s="17">
        <v>0.45079999999999998</v>
      </c>
      <c r="AH250" s="17">
        <v>0.32300000000000001</v>
      </c>
      <c r="AI250" s="17">
        <v>0.39169999999999999</v>
      </c>
      <c r="AJ250" s="17">
        <v>0.60089999999999999</v>
      </c>
      <c r="AK250" s="17">
        <v>0.27989999999999998</v>
      </c>
      <c r="AL250" s="17">
        <v>4.4999999999999998E-2</v>
      </c>
      <c r="AM250" s="17">
        <v>0.38550000000000001</v>
      </c>
      <c r="AN250" s="17">
        <v>0.13919999999999999</v>
      </c>
      <c r="AO250" s="17">
        <v>0.1099</v>
      </c>
      <c r="AP250" s="17">
        <v>0.91990000000000005</v>
      </c>
      <c r="AQ250" s="17">
        <v>0.65210000000000001</v>
      </c>
      <c r="AR250" s="17">
        <v>0.57740000000000002</v>
      </c>
      <c r="AS250" s="17">
        <v>0.99180000000000001</v>
      </c>
      <c r="AT250" s="17">
        <v>0.57479999999999998</v>
      </c>
      <c r="AU250" s="17">
        <v>0.56520000000000004</v>
      </c>
      <c r="AV250" s="17">
        <v>0.43669999999999998</v>
      </c>
      <c r="AW250" s="17">
        <v>0.9677</v>
      </c>
      <c r="AX250" s="17">
        <v>0.86140000000000005</v>
      </c>
    </row>
    <row r="251" spans="1:50" x14ac:dyDescent="0.25">
      <c r="A251" s="16" t="s">
        <v>723</v>
      </c>
      <c r="B251" s="13" t="s">
        <v>464</v>
      </c>
      <c r="C251" s="17">
        <v>0.10100000000000001</v>
      </c>
      <c r="D251" s="17">
        <v>0.15579999999999999</v>
      </c>
      <c r="E251" s="17">
        <v>5.2999999999999999E-2</v>
      </c>
      <c r="F251" s="17">
        <v>5.2999999999999999E-2</v>
      </c>
      <c r="G251" s="17">
        <v>5.2999999999999999E-2</v>
      </c>
      <c r="H251" s="17">
        <v>0.1147</v>
      </c>
      <c r="I251" s="17">
        <v>0.1421</v>
      </c>
      <c r="J251" s="17">
        <v>5.2999999999999999E-2</v>
      </c>
      <c r="K251" s="17">
        <v>5.2999999999999999E-2</v>
      </c>
      <c r="L251" s="17">
        <v>9.4100000000000003E-2</v>
      </c>
      <c r="M251" s="17">
        <v>0.16270000000000001</v>
      </c>
      <c r="N251" s="17">
        <v>5.2999999999999999E-2</v>
      </c>
      <c r="O251" s="17">
        <v>5.2999999999999999E-2</v>
      </c>
      <c r="P251" s="17">
        <v>5.2999999999999999E-2</v>
      </c>
      <c r="Q251" s="17">
        <v>5.2999999999999999E-2</v>
      </c>
      <c r="R251" s="17">
        <v>0.1147</v>
      </c>
      <c r="S251" s="17">
        <v>0.1421</v>
      </c>
      <c r="T251" s="17">
        <v>5.2999999999999999E-2</v>
      </c>
      <c r="U251" s="17">
        <v>0.1147</v>
      </c>
      <c r="V251" s="17">
        <v>0.1421</v>
      </c>
      <c r="W251" s="17">
        <v>5.2999999999999999E-2</v>
      </c>
      <c r="X251" s="17">
        <v>5.2999999999999999E-2</v>
      </c>
      <c r="Y251" s="17">
        <v>0.20380000000000001</v>
      </c>
      <c r="Z251" s="17">
        <v>5.2999999999999999E-2</v>
      </c>
      <c r="AA251" s="17">
        <v>5.2999999999999999E-2</v>
      </c>
      <c r="AB251" s="17">
        <v>5.2999999999999999E-2</v>
      </c>
      <c r="AC251" s="17">
        <v>0.20380000000000001</v>
      </c>
      <c r="AD251" s="17">
        <v>5.2999999999999999E-2</v>
      </c>
      <c r="AE251" s="17">
        <v>0.1832</v>
      </c>
      <c r="AF251" s="17">
        <v>7.3599999999999999E-2</v>
      </c>
      <c r="AG251" s="17">
        <v>0.13519999999999999</v>
      </c>
      <c r="AH251" s="17">
        <v>0.1215</v>
      </c>
      <c r="AI251" s="17">
        <v>5.2999999999999999E-2</v>
      </c>
      <c r="AJ251" s="17">
        <v>0.20380000000000001</v>
      </c>
      <c r="AK251" s="17">
        <v>5.2999999999999999E-2</v>
      </c>
      <c r="AL251" s="17">
        <v>0.20380000000000001</v>
      </c>
      <c r="AM251" s="17">
        <v>0.1547</v>
      </c>
      <c r="AN251" s="17">
        <v>0.2366</v>
      </c>
      <c r="AO251" s="17">
        <v>0.53800000000000003</v>
      </c>
      <c r="AP251" s="17">
        <v>0.2717</v>
      </c>
      <c r="AQ251" s="17">
        <v>0.3054</v>
      </c>
      <c r="AR251" s="17">
        <v>0.66120000000000001</v>
      </c>
      <c r="AS251" s="17">
        <v>0.46650000000000003</v>
      </c>
      <c r="AT251" s="17">
        <v>0.54779999999999995</v>
      </c>
      <c r="AU251" s="17">
        <v>0.35709999999999997</v>
      </c>
      <c r="AV251" s="17">
        <v>0.1489</v>
      </c>
      <c r="AW251" s="17">
        <v>0.10780000000000001</v>
      </c>
      <c r="AX251" s="17">
        <v>5.2999999999999999E-2</v>
      </c>
    </row>
    <row r="252" spans="1:50" x14ac:dyDescent="0.25">
      <c r="A252" s="8" t="s">
        <v>288</v>
      </c>
      <c r="B252" s="10" t="s">
        <v>57</v>
      </c>
      <c r="C252" s="18">
        <v>0.17</v>
      </c>
      <c r="D252" s="18">
        <v>4.3999999999999997E-2</v>
      </c>
      <c r="E252" s="18">
        <v>0.1211</v>
      </c>
      <c r="F252" s="18">
        <v>0.1212</v>
      </c>
      <c r="G252" s="18">
        <v>4.3999999999999997E-2</v>
      </c>
      <c r="H252" s="18">
        <v>4.3999999999999997E-2</v>
      </c>
      <c r="I252" s="18">
        <v>0.16600000000000001</v>
      </c>
      <c r="J252" s="18">
        <v>7.6300000000000007E-2</v>
      </c>
      <c r="K252" s="18">
        <v>7.9299999999999995E-2</v>
      </c>
      <c r="L252" s="18">
        <v>0.1085</v>
      </c>
      <c r="M252" s="18">
        <v>9.8500000000000004E-2</v>
      </c>
      <c r="N252" s="18">
        <v>6.2199999999999998E-2</v>
      </c>
      <c r="O252" s="18">
        <v>0.1166</v>
      </c>
      <c r="P252" s="18">
        <v>9.8900000000000002E-2</v>
      </c>
      <c r="Q252" s="18">
        <v>0.14330000000000001</v>
      </c>
      <c r="R252" s="18">
        <v>4.3999999999999997E-2</v>
      </c>
      <c r="S252" s="18">
        <v>4.3999999999999997E-2</v>
      </c>
      <c r="T252" s="18">
        <v>0.2727</v>
      </c>
      <c r="U252" s="18">
        <v>0.13250000000000001</v>
      </c>
      <c r="V252" s="18">
        <v>0.2016</v>
      </c>
      <c r="W252" s="18">
        <v>0.1426</v>
      </c>
      <c r="X252" s="18">
        <v>0.32019999999999998</v>
      </c>
      <c r="Y252" s="18">
        <v>0.1552</v>
      </c>
      <c r="Z252" s="18">
        <v>7.0999999999999994E-2</v>
      </c>
      <c r="AA252" s="18">
        <v>2.0926999999999998</v>
      </c>
      <c r="AB252" s="18">
        <v>2.4575</v>
      </c>
      <c r="AC252" s="18">
        <v>0.63690000000000002</v>
      </c>
      <c r="AD252" s="18">
        <v>0.27660000000000001</v>
      </c>
      <c r="AE252" s="18">
        <v>0.14119999999999999</v>
      </c>
      <c r="AF252" s="18">
        <v>0.1595</v>
      </c>
      <c r="AG252" s="18">
        <v>7.1099999999999997E-2</v>
      </c>
      <c r="AH252" s="18">
        <v>0.22509999999999999</v>
      </c>
      <c r="AI252" s="18">
        <v>4.3999999999999997E-2</v>
      </c>
      <c r="AJ252" s="18">
        <v>9.98E-2</v>
      </c>
      <c r="AK252" s="18">
        <v>8.3000000000000004E-2</v>
      </c>
      <c r="AL252" s="18">
        <v>0.1681</v>
      </c>
      <c r="AM252" s="18">
        <v>0.14449999999999999</v>
      </c>
      <c r="AN252" s="18">
        <v>0.13059999999999999</v>
      </c>
      <c r="AO252" s="18">
        <v>0.2382</v>
      </c>
      <c r="AP252" s="18">
        <v>1.4194</v>
      </c>
      <c r="AQ252" s="18">
        <v>0.35460000000000003</v>
      </c>
      <c r="AR252" s="18">
        <v>0.30890000000000001</v>
      </c>
      <c r="AS252" s="18">
        <v>0.50480000000000003</v>
      </c>
      <c r="AT252" s="18">
        <v>0.44519999999999998</v>
      </c>
      <c r="AU252" s="18">
        <v>0.51690000000000003</v>
      </c>
      <c r="AV252" s="18">
        <v>0.3493</v>
      </c>
      <c r="AW252" s="18">
        <v>0.60729999999999995</v>
      </c>
      <c r="AX252" s="18">
        <v>0.10299999999999999</v>
      </c>
    </row>
    <row r="253" spans="1:50" x14ac:dyDescent="0.25">
      <c r="A253" s="8" t="s">
        <v>290</v>
      </c>
      <c r="B253" s="10" t="s">
        <v>57</v>
      </c>
      <c r="C253" s="18">
        <v>5.7500000000000002E-2</v>
      </c>
      <c r="D253" s="18">
        <v>0.1176</v>
      </c>
      <c r="E253" s="18">
        <v>3.9E-2</v>
      </c>
      <c r="F253" s="18">
        <v>3.9E-2</v>
      </c>
      <c r="G253" s="18">
        <v>3.9E-2</v>
      </c>
      <c r="H253" s="18">
        <v>3.9E-2</v>
      </c>
      <c r="I253" s="18">
        <v>3.9E-2</v>
      </c>
      <c r="J253" s="18">
        <v>3.9E-2</v>
      </c>
      <c r="K253" s="18">
        <v>3.9E-2</v>
      </c>
      <c r="L253" s="18">
        <v>3.9E-2</v>
      </c>
      <c r="M253" s="18">
        <v>3.9E-2</v>
      </c>
      <c r="N253" s="18">
        <v>3.9E-2</v>
      </c>
      <c r="O253" s="18">
        <v>3.9E-2</v>
      </c>
      <c r="P253" s="18">
        <v>3.9E-2</v>
      </c>
      <c r="Q253" s="18">
        <v>3.9E-2</v>
      </c>
      <c r="R253" s="18">
        <v>4.48E-2</v>
      </c>
      <c r="S253" s="18">
        <v>3.9E-2</v>
      </c>
      <c r="T253" s="18">
        <v>0.24940000000000001</v>
      </c>
      <c r="U253" s="18">
        <v>9.7299999999999998E-2</v>
      </c>
      <c r="V253" s="18">
        <v>4.7399999999999998E-2</v>
      </c>
      <c r="W253" s="18">
        <v>3.9E-2</v>
      </c>
      <c r="X253" s="18">
        <v>3.9E-2</v>
      </c>
      <c r="Y253" s="18">
        <v>3.9E-2</v>
      </c>
      <c r="Z253" s="18">
        <v>3.9E-2</v>
      </c>
      <c r="AA253" s="18">
        <v>3.9E-2</v>
      </c>
      <c r="AB253" s="18">
        <v>3.9E-2</v>
      </c>
      <c r="AC253" s="18">
        <v>3.9E-2</v>
      </c>
      <c r="AD253" s="18">
        <v>3.9E-2</v>
      </c>
      <c r="AE253" s="18">
        <v>3.9E-2</v>
      </c>
      <c r="AF253" s="18">
        <v>3.9E-2</v>
      </c>
      <c r="AG253" s="18">
        <v>3.9E-2</v>
      </c>
      <c r="AH253" s="18">
        <v>3.9E-2</v>
      </c>
      <c r="AI253" s="18">
        <v>3.9E-2</v>
      </c>
      <c r="AJ253" s="18">
        <v>3.9E-2</v>
      </c>
      <c r="AK253" s="18">
        <v>3.9E-2</v>
      </c>
      <c r="AL253" s="18">
        <v>3.9E-2</v>
      </c>
      <c r="AM253" s="18">
        <v>3.9E-2</v>
      </c>
      <c r="AN253" s="18">
        <v>0.25829999999999997</v>
      </c>
      <c r="AO253" s="18">
        <v>0.1255</v>
      </c>
      <c r="AP253" s="18">
        <v>0.29020000000000001</v>
      </c>
      <c r="AQ253" s="18">
        <v>1.7171000000000001</v>
      </c>
      <c r="AR253" s="18">
        <v>0.48020000000000002</v>
      </c>
      <c r="AS253" s="18">
        <v>0.62270000000000003</v>
      </c>
      <c r="AT253" s="18">
        <v>0.43719999999999998</v>
      </c>
      <c r="AU253" s="18">
        <v>0.47260000000000002</v>
      </c>
      <c r="AV253" s="18">
        <v>0.34100000000000003</v>
      </c>
      <c r="AW253" s="18">
        <v>3.9E-2</v>
      </c>
      <c r="AX253" s="18">
        <v>3.9E-2</v>
      </c>
    </row>
    <row r="254" spans="1:50" x14ac:dyDescent="0.25">
      <c r="A254" s="8" t="s">
        <v>292</v>
      </c>
      <c r="B254" s="10" t="s">
        <v>57</v>
      </c>
      <c r="C254" s="18">
        <v>0.48520000000000002</v>
      </c>
      <c r="D254" s="18">
        <v>0.25030000000000002</v>
      </c>
      <c r="E254" s="18">
        <v>5.0999999999999997E-2</v>
      </c>
      <c r="F254" s="18">
        <v>0.1217</v>
      </c>
      <c r="G254" s="18">
        <v>5.0999999999999997E-2</v>
      </c>
      <c r="H254" s="18">
        <v>9.8100000000000007E-2</v>
      </c>
      <c r="I254" s="18">
        <v>7.46E-2</v>
      </c>
      <c r="J254" s="18">
        <v>5.0999999999999997E-2</v>
      </c>
      <c r="K254" s="18">
        <v>5.0999999999999997E-2</v>
      </c>
      <c r="L254" s="18">
        <v>0.1217</v>
      </c>
      <c r="M254" s="18">
        <v>5.0999999999999997E-2</v>
      </c>
      <c r="N254" s="18">
        <v>0.21249999999999999</v>
      </c>
      <c r="O254" s="18">
        <v>0.18379999999999999</v>
      </c>
      <c r="P254" s="18">
        <v>0.17899999999999999</v>
      </c>
      <c r="Q254" s="18">
        <v>0.1487</v>
      </c>
      <c r="R254" s="18">
        <v>6.6699999999999995E-2</v>
      </c>
      <c r="S254" s="18">
        <v>8.1100000000000005E-2</v>
      </c>
      <c r="T254" s="18">
        <v>5.0999999999999997E-2</v>
      </c>
      <c r="U254" s="18">
        <v>6.6699999999999995E-2</v>
      </c>
      <c r="V254" s="18">
        <v>0.3634</v>
      </c>
      <c r="W254" s="18">
        <v>5.0999999999999997E-2</v>
      </c>
      <c r="X254" s="18">
        <v>0.1217</v>
      </c>
      <c r="Y254" s="18">
        <v>5.0999999999999997E-2</v>
      </c>
      <c r="Z254" s="18">
        <v>5.0999999999999997E-2</v>
      </c>
      <c r="AA254" s="18">
        <v>5.0999999999999997E-2</v>
      </c>
      <c r="AB254" s="18">
        <v>0.1217</v>
      </c>
      <c r="AC254" s="18">
        <v>5.0999999999999997E-2</v>
      </c>
      <c r="AD254" s="18">
        <v>0.1217</v>
      </c>
      <c r="AE254" s="18">
        <v>5.0999999999999997E-2</v>
      </c>
      <c r="AF254" s="18">
        <v>0.1217</v>
      </c>
      <c r="AG254" s="18">
        <v>5.0999999999999997E-2</v>
      </c>
      <c r="AH254" s="18">
        <v>0.1217</v>
      </c>
      <c r="AI254" s="18">
        <v>5.0999999999999997E-2</v>
      </c>
      <c r="AJ254" s="18">
        <v>5.0999999999999997E-2</v>
      </c>
      <c r="AK254" s="18">
        <v>5.0999999999999997E-2</v>
      </c>
      <c r="AL254" s="18">
        <v>0.1139</v>
      </c>
      <c r="AM254" s="18">
        <v>5.8900000000000001E-2</v>
      </c>
      <c r="AN254" s="18">
        <v>5.8900000000000001E-2</v>
      </c>
      <c r="AO254" s="18">
        <v>0.1139</v>
      </c>
      <c r="AP254" s="18">
        <v>5.0999999999999997E-2</v>
      </c>
      <c r="AQ254" s="18">
        <v>0.1217</v>
      </c>
      <c r="AR254" s="18">
        <v>5.0999999999999997E-2</v>
      </c>
      <c r="AS254" s="18">
        <v>0.1217</v>
      </c>
      <c r="AT254" s="18">
        <v>5.0999999999999997E-2</v>
      </c>
      <c r="AU254" s="18">
        <v>5.0999999999999997E-2</v>
      </c>
      <c r="AV254" s="18">
        <v>5.0999999999999997E-2</v>
      </c>
      <c r="AW254" s="18">
        <v>0.1217</v>
      </c>
      <c r="AX254" s="18">
        <v>6.6699999999999995E-2</v>
      </c>
    </row>
    <row r="255" spans="1:50" x14ac:dyDescent="0.25">
      <c r="A255" s="8" t="s">
        <v>294</v>
      </c>
      <c r="B255" s="10" t="s">
        <v>57</v>
      </c>
      <c r="C255" s="18">
        <v>0.1343</v>
      </c>
      <c r="D255" s="18">
        <v>0.16120000000000001</v>
      </c>
      <c r="E255" s="18">
        <v>0.06</v>
      </c>
      <c r="F255" s="18">
        <v>0.219</v>
      </c>
      <c r="G255" s="18">
        <v>0.06</v>
      </c>
      <c r="H255" s="18">
        <v>0.1106</v>
      </c>
      <c r="I255" s="18">
        <v>0.189</v>
      </c>
      <c r="J255" s="18">
        <v>0.11360000000000001</v>
      </c>
      <c r="K255" s="18">
        <v>0.20449999999999999</v>
      </c>
      <c r="L255" s="18">
        <v>7.4499999999999997E-2</v>
      </c>
      <c r="M255" s="18">
        <v>0.2354</v>
      </c>
      <c r="N255" s="18">
        <v>0.1178</v>
      </c>
      <c r="O255" s="18">
        <v>0.13420000000000001</v>
      </c>
      <c r="P255" s="18">
        <v>0.06</v>
      </c>
      <c r="Q255" s="18">
        <v>0.18690000000000001</v>
      </c>
      <c r="R255" s="18">
        <v>0.1663</v>
      </c>
      <c r="S255" s="18">
        <v>0.14729999999999999</v>
      </c>
      <c r="T255" s="18">
        <v>0.27639999999999998</v>
      </c>
      <c r="U255" s="18">
        <v>6.4600000000000005E-2</v>
      </c>
      <c r="V255" s="18">
        <v>1.4885999999999999</v>
      </c>
      <c r="W255" s="18">
        <v>0.24690000000000001</v>
      </c>
      <c r="X255" s="18">
        <v>0.54569999999999996</v>
      </c>
      <c r="Y255" s="18">
        <v>0.94610000000000005</v>
      </c>
      <c r="Z255" s="18">
        <v>0.78300000000000003</v>
      </c>
      <c r="AA255" s="18">
        <v>0.33539999999999998</v>
      </c>
      <c r="AB255" s="18">
        <v>0.221</v>
      </c>
      <c r="AC255" s="18">
        <v>0.36520000000000002</v>
      </c>
      <c r="AD255" s="18">
        <v>0.39729999999999999</v>
      </c>
      <c r="AE255" s="18">
        <v>0.48530000000000001</v>
      </c>
      <c r="AF255" s="18">
        <v>0.32029999999999997</v>
      </c>
      <c r="AG255" s="18">
        <v>1.8471</v>
      </c>
      <c r="AH255" s="18">
        <v>0.36259999999999998</v>
      </c>
      <c r="AI255" s="18">
        <v>0.55159999999999998</v>
      </c>
      <c r="AJ255" s="18">
        <v>0.25990000000000002</v>
      </c>
      <c r="AK255" s="18">
        <v>0.39</v>
      </c>
      <c r="AL255" s="18">
        <v>2.4855</v>
      </c>
      <c r="AM255" s="18">
        <v>3.1966000000000001</v>
      </c>
      <c r="AN255" s="18">
        <v>1.2153</v>
      </c>
      <c r="AO255" s="18">
        <v>0.40160000000000001</v>
      </c>
      <c r="AP255" s="18">
        <v>0.46589999999999998</v>
      </c>
      <c r="AQ255" s="18">
        <v>0.65669999999999995</v>
      </c>
      <c r="AR255" s="18">
        <v>0.22500000000000001</v>
      </c>
      <c r="AS255" s="18">
        <v>0.28449999999999998</v>
      </c>
      <c r="AT255" s="18">
        <v>0.37930000000000003</v>
      </c>
      <c r="AU255" s="18">
        <v>0.1973</v>
      </c>
      <c r="AV255" s="18">
        <v>0.15590000000000001</v>
      </c>
      <c r="AW255" s="18">
        <v>0.154</v>
      </c>
      <c r="AX255" s="18">
        <v>0.1704</v>
      </c>
    </row>
    <row r="256" spans="1:50" x14ac:dyDescent="0.25">
      <c r="A256" s="16" t="s">
        <v>725</v>
      </c>
      <c r="B256" s="13" t="s">
        <v>464</v>
      </c>
      <c r="C256" s="17">
        <v>0.1037</v>
      </c>
      <c r="D256" s="17">
        <v>0.1651</v>
      </c>
      <c r="E256" s="17">
        <v>0.05</v>
      </c>
      <c r="F256" s="17">
        <v>0.1037</v>
      </c>
      <c r="G256" s="17">
        <v>0.1651</v>
      </c>
      <c r="H256" s="17">
        <v>0.05</v>
      </c>
      <c r="I256" s="17">
        <v>0.21879999999999999</v>
      </c>
      <c r="J256" s="17">
        <v>0.05</v>
      </c>
      <c r="K256" s="17">
        <v>6.2799999999999995E-2</v>
      </c>
      <c r="L256" s="17">
        <v>0.44990000000000002</v>
      </c>
      <c r="M256" s="17">
        <v>0.11559999999999999</v>
      </c>
      <c r="N256" s="17">
        <v>0.1575</v>
      </c>
      <c r="O256" s="17">
        <v>0.40620000000000001</v>
      </c>
      <c r="P256" s="17">
        <v>7.2999999999999995E-2</v>
      </c>
      <c r="Q256" s="17">
        <v>0.1958</v>
      </c>
      <c r="R256" s="17">
        <v>0.24890000000000001</v>
      </c>
      <c r="S256" s="17">
        <v>0.52149999999999996</v>
      </c>
      <c r="T256" s="17">
        <v>0.24010000000000001</v>
      </c>
      <c r="U256" s="17">
        <v>0.34310000000000002</v>
      </c>
      <c r="V256" s="17">
        <v>0.53200000000000003</v>
      </c>
      <c r="W256" s="17">
        <v>0.1366</v>
      </c>
      <c r="X256" s="17">
        <v>0.16669999999999999</v>
      </c>
      <c r="Y256" s="17">
        <v>0.32490000000000002</v>
      </c>
      <c r="Z256" s="17">
        <v>0.72929999999999995</v>
      </c>
      <c r="AA256" s="17">
        <v>1.1471</v>
      </c>
      <c r="AB256" s="17">
        <v>0.4587</v>
      </c>
      <c r="AC256" s="17">
        <v>0.1804</v>
      </c>
      <c r="AD256" s="17">
        <v>8.8400000000000006E-2</v>
      </c>
      <c r="AE256" s="17">
        <v>0.05</v>
      </c>
      <c r="AF256" s="17">
        <v>0.29370000000000002</v>
      </c>
      <c r="AG256" s="17">
        <v>0.32669999999999999</v>
      </c>
      <c r="AH256" s="17">
        <v>0.28670000000000001</v>
      </c>
      <c r="AI256" s="17">
        <v>0.29249999999999998</v>
      </c>
      <c r="AJ256" s="17">
        <v>0.2208</v>
      </c>
      <c r="AK256" s="17">
        <v>0.40229999999999999</v>
      </c>
      <c r="AL256" s="17">
        <v>1.7971999999999999</v>
      </c>
      <c r="AM256" s="17">
        <v>0.63370000000000004</v>
      </c>
      <c r="AN256" s="17">
        <v>6.7500000000000004E-2</v>
      </c>
      <c r="AO256" s="17">
        <v>0.59950000000000003</v>
      </c>
      <c r="AP256" s="17">
        <v>3.1476999999999999</v>
      </c>
      <c r="AQ256" s="17">
        <v>2.4885000000000002</v>
      </c>
      <c r="AR256" s="17">
        <v>0.36609999999999998</v>
      </c>
      <c r="AS256" s="17">
        <v>0.749</v>
      </c>
      <c r="AT256" s="17">
        <v>0.3715</v>
      </c>
      <c r="AU256" s="17">
        <v>0.89670000000000005</v>
      </c>
      <c r="AV256" s="17">
        <v>0.75880000000000003</v>
      </c>
      <c r="AW256" s="17">
        <v>0.43969999999999998</v>
      </c>
      <c r="AX256" s="17">
        <v>0.4274</v>
      </c>
    </row>
    <row r="257" spans="1:50" x14ac:dyDescent="0.25">
      <c r="A257" s="16" t="s">
        <v>727</v>
      </c>
      <c r="B257" s="13" t="s">
        <v>464</v>
      </c>
      <c r="C257" s="17">
        <v>5.6000000000000001E-2</v>
      </c>
      <c r="D257" s="17">
        <v>0.21379999999999999</v>
      </c>
      <c r="E257" s="17">
        <v>7.0800000000000002E-2</v>
      </c>
      <c r="F257" s="17">
        <v>5.6000000000000001E-2</v>
      </c>
      <c r="G257" s="17">
        <v>6.3399999999999998E-2</v>
      </c>
      <c r="H257" s="17">
        <v>0.22120000000000001</v>
      </c>
      <c r="I257" s="17">
        <v>5.6000000000000001E-2</v>
      </c>
      <c r="J257" s="17">
        <v>5.6000000000000001E-2</v>
      </c>
      <c r="K257" s="17">
        <v>0.125</v>
      </c>
      <c r="L257" s="17">
        <v>0.1152</v>
      </c>
      <c r="M257" s="17">
        <v>0.1004</v>
      </c>
      <c r="N257" s="17">
        <v>5.6000000000000001E-2</v>
      </c>
      <c r="O257" s="17">
        <v>0.32769999999999999</v>
      </c>
      <c r="P257" s="17">
        <v>9.4600000000000004E-2</v>
      </c>
      <c r="Q257" s="17">
        <v>0.11849999999999999</v>
      </c>
      <c r="R257" s="17">
        <v>0.1711</v>
      </c>
      <c r="S257" s="17">
        <v>5.6000000000000001E-2</v>
      </c>
      <c r="T257" s="17">
        <v>0.125</v>
      </c>
      <c r="U257" s="17">
        <v>0.15959999999999999</v>
      </c>
      <c r="V257" s="17">
        <v>0.125</v>
      </c>
      <c r="W257" s="17">
        <v>0.15959999999999999</v>
      </c>
      <c r="X257" s="17">
        <v>5.6000000000000001E-2</v>
      </c>
      <c r="Y257" s="17">
        <v>0.10780000000000001</v>
      </c>
      <c r="Z257" s="17">
        <v>0.15379999999999999</v>
      </c>
      <c r="AA257" s="17">
        <v>9.6500000000000002E-2</v>
      </c>
      <c r="AB257" s="17">
        <v>0.21690000000000001</v>
      </c>
      <c r="AC257" s="17">
        <v>0.1118</v>
      </c>
      <c r="AD257" s="17">
        <v>0.11310000000000001</v>
      </c>
      <c r="AE257" s="17">
        <v>0.62580000000000002</v>
      </c>
      <c r="AF257" s="17">
        <v>0.1052</v>
      </c>
      <c r="AG257" s="17">
        <v>9.0499999999999997E-2</v>
      </c>
      <c r="AH257" s="17">
        <v>0.19409999999999999</v>
      </c>
      <c r="AI257" s="17">
        <v>9.4299999999999995E-2</v>
      </c>
      <c r="AJ257" s="17">
        <v>0.3256</v>
      </c>
      <c r="AK257" s="17">
        <v>0.28449999999999998</v>
      </c>
      <c r="AL257" s="17">
        <v>0.30199999999999999</v>
      </c>
      <c r="AM257" s="17">
        <v>0.39240000000000003</v>
      </c>
      <c r="AN257" s="17">
        <v>0.57499999999999996</v>
      </c>
      <c r="AO257" s="17">
        <v>0.69359999999999999</v>
      </c>
      <c r="AP257" s="17">
        <v>0.51939999999999997</v>
      </c>
      <c r="AQ257" s="17">
        <v>0.39439999999999997</v>
      </c>
      <c r="AR257" s="17">
        <v>0.2492</v>
      </c>
      <c r="AS257" s="17">
        <v>0.2286</v>
      </c>
      <c r="AT257" s="17">
        <v>5.6000000000000001E-2</v>
      </c>
      <c r="AU257" s="17">
        <v>0.18260000000000001</v>
      </c>
      <c r="AV257" s="17">
        <v>0.10199999999999999</v>
      </c>
      <c r="AW257" s="17">
        <v>7.5200000000000003E-2</v>
      </c>
      <c r="AX257" s="17">
        <v>0.2094</v>
      </c>
    </row>
    <row r="258" spans="1:50" x14ac:dyDescent="0.25">
      <c r="A258" s="16" t="s">
        <v>729</v>
      </c>
      <c r="B258" s="13" t="s">
        <v>464</v>
      </c>
      <c r="C258" s="17">
        <v>0.2356</v>
      </c>
      <c r="D258" s="17">
        <v>0.17860000000000001</v>
      </c>
      <c r="E258" s="17">
        <v>0.28010000000000002</v>
      </c>
      <c r="F258" s="17">
        <v>0.12770000000000001</v>
      </c>
      <c r="G258" s="17">
        <v>0.2235</v>
      </c>
      <c r="H258" s="17">
        <v>4.4600000000000001E-2</v>
      </c>
      <c r="I258" s="17">
        <v>0.20499999999999999</v>
      </c>
      <c r="J258" s="17">
        <v>7.6899999999999996E-2</v>
      </c>
      <c r="K258" s="17">
        <v>0.1462</v>
      </c>
      <c r="L258" s="17">
        <v>0.14499999999999999</v>
      </c>
      <c r="M258" s="17">
        <v>0.04</v>
      </c>
      <c r="N258" s="17">
        <v>0.24310000000000001</v>
      </c>
      <c r="O258" s="17">
        <v>8.5000000000000006E-2</v>
      </c>
      <c r="P258" s="17">
        <v>4.7500000000000001E-2</v>
      </c>
      <c r="Q258" s="17">
        <v>0.19750000000000001</v>
      </c>
      <c r="R258" s="17">
        <v>0.04</v>
      </c>
      <c r="S258" s="17">
        <v>0.2281</v>
      </c>
      <c r="T258" s="17">
        <v>0.1</v>
      </c>
      <c r="U258" s="17">
        <v>0.1525</v>
      </c>
      <c r="V258" s="17">
        <v>0.14779999999999999</v>
      </c>
      <c r="W258" s="17">
        <v>0.22459999999999999</v>
      </c>
      <c r="X258" s="17">
        <v>0.50980000000000003</v>
      </c>
      <c r="Y258" s="17">
        <v>1.5162</v>
      </c>
      <c r="Z258" s="17">
        <v>2.6246999999999998</v>
      </c>
      <c r="AA258" s="17">
        <v>2.1036000000000001</v>
      </c>
      <c r="AB258" s="17">
        <v>9.5399999999999999E-2</v>
      </c>
      <c r="AC258" s="17">
        <v>8.7300000000000003E-2</v>
      </c>
      <c r="AD258" s="17">
        <v>0.24079999999999999</v>
      </c>
      <c r="AE258" s="17">
        <v>0.04</v>
      </c>
      <c r="AF258" s="17">
        <v>6.7599999999999993E-2</v>
      </c>
      <c r="AG258" s="17">
        <v>0.29670000000000002</v>
      </c>
      <c r="AH258" s="17">
        <v>0.13070000000000001</v>
      </c>
      <c r="AI258" s="17">
        <v>0.32469999999999999</v>
      </c>
      <c r="AJ258" s="17">
        <v>1.506</v>
      </c>
      <c r="AK258" s="17">
        <v>2.8616999999999999</v>
      </c>
      <c r="AL258" s="17">
        <v>2.5299</v>
      </c>
      <c r="AM258" s="17">
        <v>4.7500000000000001E-2</v>
      </c>
      <c r="AN258" s="17">
        <v>0.20660000000000001</v>
      </c>
      <c r="AO258" s="17">
        <v>0.21690000000000001</v>
      </c>
      <c r="AP258" s="17">
        <v>0.28549999999999998</v>
      </c>
      <c r="AQ258" s="17">
        <v>0.69410000000000005</v>
      </c>
      <c r="AR258" s="17">
        <v>0.47520000000000001</v>
      </c>
      <c r="AS258" s="17">
        <v>0.73570000000000002</v>
      </c>
      <c r="AT258" s="17">
        <v>0.62749999999999995</v>
      </c>
      <c r="AU258" s="17">
        <v>0.65100000000000002</v>
      </c>
      <c r="AV258" s="17">
        <v>1.0144</v>
      </c>
      <c r="AW258" s="17">
        <v>2.3227000000000002</v>
      </c>
      <c r="AX258" s="17">
        <v>1.8771</v>
      </c>
    </row>
    <row r="259" spans="1:50" x14ac:dyDescent="0.25">
      <c r="A259" s="8" t="s">
        <v>296</v>
      </c>
      <c r="B259" s="10" t="s">
        <v>57</v>
      </c>
      <c r="C259" s="18">
        <v>0.23139999999999999</v>
      </c>
      <c r="D259" s="18">
        <v>0.1046</v>
      </c>
      <c r="E259" s="18">
        <v>9.5500000000000002E-2</v>
      </c>
      <c r="F259" s="18">
        <v>0.24049999999999999</v>
      </c>
      <c r="G259" s="18">
        <v>5.6000000000000001E-2</v>
      </c>
      <c r="H259" s="18">
        <v>6.0600000000000001E-2</v>
      </c>
      <c r="I259" s="18">
        <v>0.13339999999999999</v>
      </c>
      <c r="J259" s="18">
        <v>0.1787</v>
      </c>
      <c r="K259" s="18">
        <v>7.5399999999999995E-2</v>
      </c>
      <c r="L259" s="18">
        <v>5.6000000000000001E-2</v>
      </c>
      <c r="M259" s="18">
        <v>0.19800000000000001</v>
      </c>
      <c r="N259" s="18">
        <v>5.6000000000000001E-2</v>
      </c>
      <c r="O259" s="18">
        <v>0.1822</v>
      </c>
      <c r="P259" s="18">
        <v>0.21249999999999999</v>
      </c>
      <c r="Q259" s="18">
        <v>0.13170000000000001</v>
      </c>
      <c r="R259" s="18">
        <v>0.41110000000000002</v>
      </c>
      <c r="S259" s="18">
        <v>0.44629999999999997</v>
      </c>
      <c r="T259" s="18">
        <v>1.5255000000000001</v>
      </c>
      <c r="U259" s="18">
        <v>0.49940000000000001</v>
      </c>
      <c r="V259" s="18">
        <v>0.26750000000000002</v>
      </c>
      <c r="W259" s="18">
        <v>0.26769999999999999</v>
      </c>
      <c r="X259" s="18">
        <v>0.1845</v>
      </c>
      <c r="Y259" s="18">
        <v>0.30790000000000001</v>
      </c>
      <c r="Z259" s="18">
        <v>6.8900000000000003E-2</v>
      </c>
      <c r="AA259" s="18">
        <v>0.21060000000000001</v>
      </c>
      <c r="AB259" s="18">
        <v>0.16950000000000001</v>
      </c>
      <c r="AC259" s="18">
        <v>0.2253</v>
      </c>
      <c r="AD259" s="18">
        <v>0.1106</v>
      </c>
      <c r="AE259" s="18">
        <v>5.6000000000000001E-2</v>
      </c>
      <c r="AF259" s="18">
        <v>0.13800000000000001</v>
      </c>
      <c r="AG259" s="18">
        <v>0.127</v>
      </c>
      <c r="AH259" s="18">
        <v>0.20899999999999999</v>
      </c>
      <c r="AI259" s="18">
        <v>5.6000000000000001E-2</v>
      </c>
      <c r="AJ259" s="18">
        <v>0.23480000000000001</v>
      </c>
      <c r="AK259" s="18">
        <v>0.1012</v>
      </c>
      <c r="AL259" s="18">
        <v>5.6000000000000001E-2</v>
      </c>
      <c r="AM259" s="18">
        <v>0.49619999999999997</v>
      </c>
      <c r="AN259" s="18">
        <v>0.56579999999999997</v>
      </c>
      <c r="AO259" s="18">
        <v>0.31569999999999998</v>
      </c>
      <c r="AP259" s="18">
        <v>0.66479999999999995</v>
      </c>
      <c r="AQ259" s="18">
        <v>0.84699999999999998</v>
      </c>
      <c r="AR259" s="18">
        <v>0.63739999999999997</v>
      </c>
      <c r="AS259" s="18">
        <v>0.7732</v>
      </c>
      <c r="AT259" s="18">
        <v>0.98309999999999997</v>
      </c>
      <c r="AU259" s="18">
        <v>0.63470000000000004</v>
      </c>
      <c r="AV259" s="18">
        <v>1.1355999999999999</v>
      </c>
      <c r="AW259" s="18">
        <v>0.68</v>
      </c>
      <c r="AX259" s="18">
        <v>0.67310000000000003</v>
      </c>
    </row>
    <row r="260" spans="1:50" x14ac:dyDescent="0.25">
      <c r="A260" s="8" t="s">
        <v>298</v>
      </c>
      <c r="B260" s="10" t="s">
        <v>57</v>
      </c>
      <c r="C260" s="18">
        <v>5.0999999999999997E-2</v>
      </c>
      <c r="D260" s="18">
        <v>0.13519999999999999</v>
      </c>
      <c r="E260" s="18">
        <v>0.2044</v>
      </c>
      <c r="F260" s="18">
        <v>0.35809999999999997</v>
      </c>
      <c r="G260" s="18">
        <v>0.64049999999999996</v>
      </c>
      <c r="H260" s="18">
        <v>0.35830000000000001</v>
      </c>
      <c r="I260" s="18">
        <v>0.20380000000000001</v>
      </c>
      <c r="J260" s="18">
        <v>5.0999999999999997E-2</v>
      </c>
      <c r="K260" s="18">
        <v>5.0999999999999997E-2</v>
      </c>
      <c r="L260" s="18">
        <v>0.1492</v>
      </c>
      <c r="M260" s="18">
        <v>0.1071</v>
      </c>
      <c r="N260" s="18">
        <v>0.1071</v>
      </c>
      <c r="O260" s="18">
        <v>0.1492</v>
      </c>
      <c r="P260" s="18">
        <v>5.0999999999999997E-2</v>
      </c>
      <c r="Q260" s="18">
        <v>0.1633</v>
      </c>
      <c r="R260" s="18">
        <v>9.3100000000000002E-2</v>
      </c>
      <c r="S260" s="18">
        <v>7.2099999999999997E-2</v>
      </c>
      <c r="T260" s="18">
        <v>0.25819999999999999</v>
      </c>
      <c r="U260" s="18">
        <v>0.24379999999999999</v>
      </c>
      <c r="V260" s="18">
        <v>0.25380000000000003</v>
      </c>
      <c r="W260" s="18">
        <v>0.17710000000000001</v>
      </c>
      <c r="X260" s="18">
        <v>0.26860000000000001</v>
      </c>
      <c r="Y260" s="18">
        <v>0.36680000000000001</v>
      </c>
      <c r="Z260" s="18">
        <v>9.35E-2</v>
      </c>
      <c r="AA260" s="18">
        <v>0.1235</v>
      </c>
      <c r="AB260" s="18">
        <v>0.18859999999999999</v>
      </c>
      <c r="AC260" s="18">
        <v>0.41449999999999998</v>
      </c>
      <c r="AD260" s="18">
        <v>0.37630000000000002</v>
      </c>
      <c r="AE260" s="18">
        <v>0.18229999999999999</v>
      </c>
      <c r="AF260" s="18">
        <v>0.1918</v>
      </c>
      <c r="AG260" s="18">
        <v>0.49859999999999999</v>
      </c>
      <c r="AH260" s="18">
        <v>0.58020000000000005</v>
      </c>
      <c r="AI260" s="18">
        <v>0.3196</v>
      </c>
      <c r="AJ260" s="18">
        <v>0.48070000000000002</v>
      </c>
      <c r="AK260" s="18">
        <v>0.32469999999999999</v>
      </c>
      <c r="AL260" s="18">
        <v>1.6516</v>
      </c>
      <c r="AM260" s="18">
        <v>1.5482</v>
      </c>
      <c r="AN260" s="18">
        <v>0.56699999999999995</v>
      </c>
      <c r="AO260" s="18">
        <v>0.49059999999999998</v>
      </c>
      <c r="AP260" s="18">
        <v>0.53749999999999998</v>
      </c>
      <c r="AQ260" s="18">
        <v>0.53549999999999998</v>
      </c>
      <c r="AR260" s="18">
        <v>0.58460000000000001</v>
      </c>
      <c r="AS260" s="18">
        <v>0.79630000000000001</v>
      </c>
      <c r="AT260" s="18">
        <v>1.089</v>
      </c>
      <c r="AU260" s="18">
        <v>0.92849999999999999</v>
      </c>
      <c r="AV260" s="18">
        <v>0.67049999999999998</v>
      </c>
      <c r="AW260" s="18">
        <v>0.74809999999999999</v>
      </c>
      <c r="AX260" s="18">
        <v>0.61550000000000005</v>
      </c>
    </row>
    <row r="261" spans="1:50" x14ac:dyDescent="0.25">
      <c r="A261" s="16" t="s">
        <v>731</v>
      </c>
      <c r="B261" s="13" t="s">
        <v>464</v>
      </c>
      <c r="C261" s="17">
        <v>0.9647</v>
      </c>
      <c r="D261" s="17">
        <v>0.91739999999999999</v>
      </c>
      <c r="E261" s="17">
        <v>0.40810000000000002</v>
      </c>
      <c r="F261" s="17">
        <v>9.1700000000000004E-2</v>
      </c>
      <c r="G261" s="17">
        <v>0.13350000000000001</v>
      </c>
      <c r="H261" s="17">
        <v>0.1754</v>
      </c>
      <c r="I261" s="17">
        <v>5.1999999999999998E-2</v>
      </c>
      <c r="J261" s="17">
        <v>0.13150000000000001</v>
      </c>
      <c r="K261" s="17">
        <v>0.1085</v>
      </c>
      <c r="L261" s="17">
        <v>0.121</v>
      </c>
      <c r="M261" s="17">
        <v>5.1999999999999998E-2</v>
      </c>
      <c r="N261" s="17">
        <v>0.15509999999999999</v>
      </c>
      <c r="O261" s="17">
        <v>0.1537</v>
      </c>
      <c r="P261" s="17">
        <v>8.7300000000000003E-2</v>
      </c>
      <c r="Q261" s="17">
        <v>0.98080000000000001</v>
      </c>
      <c r="R261" s="17">
        <v>1.1545000000000001</v>
      </c>
      <c r="S261" s="17">
        <v>0.70960000000000001</v>
      </c>
      <c r="T261" s="17">
        <v>1.6166</v>
      </c>
      <c r="U261" s="17">
        <v>0.35809999999999997</v>
      </c>
      <c r="V261" s="17">
        <v>0.37380000000000002</v>
      </c>
      <c r="W261" s="17">
        <v>0.2475</v>
      </c>
      <c r="X261" s="17">
        <v>0.33379999999999999</v>
      </c>
      <c r="Y261" s="17">
        <v>0.1769</v>
      </c>
      <c r="Z261" s="17">
        <v>0.43830000000000002</v>
      </c>
      <c r="AA261" s="17">
        <v>0.41299999999999998</v>
      </c>
      <c r="AB261" s="17">
        <v>1.2087000000000001</v>
      </c>
      <c r="AC261" s="17">
        <v>0.7702</v>
      </c>
      <c r="AD261" s="17">
        <v>0.4834</v>
      </c>
      <c r="AE261" s="17">
        <v>0.51910000000000001</v>
      </c>
      <c r="AF261" s="17">
        <v>0.1447</v>
      </c>
      <c r="AG261" s="17">
        <v>6.5199999999999994E-2</v>
      </c>
      <c r="AH261" s="17">
        <v>0.1182</v>
      </c>
      <c r="AI261" s="17">
        <v>5.1999999999999998E-2</v>
      </c>
      <c r="AJ261" s="17">
        <v>0.1774</v>
      </c>
      <c r="AK261" s="17">
        <v>5.1999999999999998E-2</v>
      </c>
      <c r="AL261" s="17">
        <v>9.1700000000000004E-2</v>
      </c>
      <c r="AM261" s="17">
        <v>0.22109999999999999</v>
      </c>
      <c r="AN261" s="17">
        <v>6.9400000000000003E-2</v>
      </c>
      <c r="AO261" s="17">
        <v>0.39290000000000003</v>
      </c>
      <c r="AP261" s="17">
        <v>0.5181</v>
      </c>
      <c r="AQ261" s="17">
        <v>0.51800000000000002</v>
      </c>
      <c r="AR261" s="17">
        <v>0.8296</v>
      </c>
      <c r="AS261" s="17">
        <v>0.8599</v>
      </c>
      <c r="AT261" s="17">
        <v>0.61229999999999996</v>
      </c>
      <c r="AU261" s="17">
        <v>0.77329999999999999</v>
      </c>
      <c r="AV261" s="17">
        <v>0.3407</v>
      </c>
      <c r="AW261" s="17">
        <v>5.1999999999999998E-2</v>
      </c>
      <c r="AX261" s="17">
        <v>0.13150000000000001</v>
      </c>
    </row>
    <row r="262" spans="1:50" x14ac:dyDescent="0.25">
      <c r="A262" s="16" t="s">
        <v>733</v>
      </c>
      <c r="B262" s="13" t="s">
        <v>464</v>
      </c>
      <c r="C262" s="17">
        <v>0.32490000000000002</v>
      </c>
      <c r="D262" s="17">
        <v>0.48139999999999999</v>
      </c>
      <c r="E262" s="17">
        <v>0.1134</v>
      </c>
      <c r="F262" s="17">
        <v>0.13830000000000001</v>
      </c>
      <c r="G262" s="17">
        <v>0.1691</v>
      </c>
      <c r="H262" s="17">
        <v>6.5299999999999997E-2</v>
      </c>
      <c r="I262" s="17">
        <v>0.1399</v>
      </c>
      <c r="J262" s="17">
        <v>0.1789</v>
      </c>
      <c r="K262" s="17">
        <v>5.3999999999999999E-2</v>
      </c>
      <c r="L262" s="17">
        <v>0.1983</v>
      </c>
      <c r="M262" s="17">
        <v>0.1205</v>
      </c>
      <c r="N262" s="17">
        <v>6.0499999999999998E-2</v>
      </c>
      <c r="O262" s="17">
        <v>0.25829999999999997</v>
      </c>
      <c r="P262" s="17">
        <v>5.3999999999999999E-2</v>
      </c>
      <c r="Q262" s="17">
        <v>0.26740000000000003</v>
      </c>
      <c r="R262" s="17">
        <v>0.42520000000000002</v>
      </c>
      <c r="S262" s="17">
        <v>0.23319999999999999</v>
      </c>
      <c r="T262" s="17">
        <v>0.29909999999999998</v>
      </c>
      <c r="U262" s="17">
        <v>0.1898</v>
      </c>
      <c r="V262" s="17">
        <v>0.22</v>
      </c>
      <c r="W262" s="17">
        <v>0.2276</v>
      </c>
      <c r="X262" s="17">
        <v>0.34770000000000001</v>
      </c>
      <c r="Y262" s="17">
        <v>0.22700000000000001</v>
      </c>
      <c r="Z262" s="17">
        <v>0.32379999999999998</v>
      </c>
      <c r="AA262" s="17">
        <v>0.73029999999999995</v>
      </c>
      <c r="AB262" s="17">
        <v>0.54300000000000004</v>
      </c>
      <c r="AC262" s="17">
        <v>1.5899000000000001</v>
      </c>
      <c r="AD262" s="17">
        <v>9.8699999999999996E-2</v>
      </c>
      <c r="AE262" s="17">
        <v>0.19020000000000001</v>
      </c>
      <c r="AF262" s="17">
        <v>0.10589999999999999</v>
      </c>
      <c r="AG262" s="17">
        <v>8.0500000000000002E-2</v>
      </c>
      <c r="AH262" s="17">
        <v>0.16700000000000001</v>
      </c>
      <c r="AI262" s="17">
        <v>0.12540000000000001</v>
      </c>
      <c r="AJ262" s="17">
        <v>7.2900000000000006E-2</v>
      </c>
      <c r="AK262" s="17">
        <v>0.24590000000000001</v>
      </c>
      <c r="AL262" s="17">
        <v>9.1800000000000007E-2</v>
      </c>
      <c r="AM262" s="17">
        <v>8.43E-2</v>
      </c>
      <c r="AN262" s="17">
        <v>0.1578</v>
      </c>
      <c r="AO262" s="17">
        <v>9.2899999999999996E-2</v>
      </c>
      <c r="AP262" s="17">
        <v>6.5299999999999997E-2</v>
      </c>
      <c r="AQ262" s="17">
        <v>0.1691</v>
      </c>
      <c r="AR262" s="17">
        <v>0.21</v>
      </c>
      <c r="AS262" s="17">
        <v>0.53420000000000001</v>
      </c>
      <c r="AT262" s="17">
        <v>0.45579999999999998</v>
      </c>
      <c r="AU262" s="17">
        <v>0.28970000000000001</v>
      </c>
      <c r="AV262" s="17">
        <v>0.68899999999999995</v>
      </c>
      <c r="AW262" s="17">
        <v>0.52190000000000003</v>
      </c>
      <c r="AX262" s="17">
        <v>0.3417</v>
      </c>
    </row>
    <row r="263" spans="1:50" x14ac:dyDescent="0.25">
      <c r="A263" s="16" t="s">
        <v>735</v>
      </c>
      <c r="B263" s="13" t="s">
        <v>464</v>
      </c>
      <c r="C263" s="17">
        <v>4.8000000000000001E-2</v>
      </c>
      <c r="D263" s="17">
        <v>6.2799999999999995E-2</v>
      </c>
      <c r="E263" s="17">
        <v>0.19550000000000001</v>
      </c>
      <c r="F263" s="17">
        <v>4.8000000000000001E-2</v>
      </c>
      <c r="G263" s="17">
        <v>4.8000000000000001E-2</v>
      </c>
      <c r="H263" s="17">
        <v>0.2102</v>
      </c>
      <c r="I263" s="17">
        <v>4.8000000000000001E-2</v>
      </c>
      <c r="J263" s="17">
        <v>0.1807</v>
      </c>
      <c r="K263" s="17">
        <v>7.7499999999999999E-2</v>
      </c>
      <c r="L263" s="17">
        <v>4.8000000000000001E-2</v>
      </c>
      <c r="M263" s="17">
        <v>4.8000000000000001E-2</v>
      </c>
      <c r="N263" s="17">
        <v>0.2102</v>
      </c>
      <c r="O263" s="17">
        <v>4.8000000000000001E-2</v>
      </c>
      <c r="P263" s="17">
        <v>4.8000000000000001E-2</v>
      </c>
      <c r="Q263" s="17">
        <v>0.1439</v>
      </c>
      <c r="R263" s="17">
        <v>0.42920000000000003</v>
      </c>
      <c r="S263" s="17">
        <v>0.48670000000000002</v>
      </c>
      <c r="T263" s="17">
        <v>0.43230000000000002</v>
      </c>
      <c r="U263" s="17">
        <v>0.32019999999999998</v>
      </c>
      <c r="V263" s="17">
        <v>0.42780000000000001</v>
      </c>
      <c r="W263" s="17">
        <v>0.38900000000000001</v>
      </c>
      <c r="X263" s="17">
        <v>0.31809999999999999</v>
      </c>
      <c r="Y263" s="17">
        <v>0.36220000000000002</v>
      </c>
      <c r="Z263" s="17">
        <v>0.36520000000000002</v>
      </c>
      <c r="AA263" s="17">
        <v>0.11940000000000001</v>
      </c>
      <c r="AB263" s="17">
        <v>0.54779999999999995</v>
      </c>
      <c r="AC263" s="17">
        <v>0.19819999999999999</v>
      </c>
      <c r="AD263" s="17">
        <v>0.22309999999999999</v>
      </c>
      <c r="AE263" s="17">
        <v>8.2500000000000004E-2</v>
      </c>
      <c r="AF263" s="17">
        <v>6.4399999999999999E-2</v>
      </c>
      <c r="AG263" s="17">
        <v>0.22220000000000001</v>
      </c>
      <c r="AH263" s="17">
        <v>0.36170000000000002</v>
      </c>
      <c r="AI263" s="17">
        <v>0.27679999999999999</v>
      </c>
      <c r="AJ263" s="17">
        <v>0.2268</v>
      </c>
      <c r="AK263" s="17">
        <v>0.14499999999999999</v>
      </c>
      <c r="AL263" s="17">
        <v>0.33489999999999998</v>
      </c>
      <c r="AM263" s="17">
        <v>0.47270000000000001</v>
      </c>
      <c r="AN263" s="17">
        <v>1.9222999999999999</v>
      </c>
      <c r="AO263" s="17">
        <v>0.99380000000000002</v>
      </c>
      <c r="AP263" s="17">
        <v>0.59340000000000004</v>
      </c>
      <c r="AQ263" s="17">
        <v>0.69789999999999996</v>
      </c>
      <c r="AR263" s="17">
        <v>0.50870000000000004</v>
      </c>
      <c r="AS263" s="17">
        <v>0.57669999999999999</v>
      </c>
      <c r="AT263" s="17">
        <v>0.72250000000000003</v>
      </c>
      <c r="AU263" s="17">
        <v>0.54530000000000001</v>
      </c>
      <c r="AV263" s="17">
        <v>1.0309999999999999</v>
      </c>
      <c r="AW263" s="17">
        <v>0.18029999999999999</v>
      </c>
      <c r="AX263" s="17">
        <v>0.19550000000000001</v>
      </c>
    </row>
    <row r="264" spans="1:50" x14ac:dyDescent="0.25">
      <c r="A264" s="8" t="s">
        <v>300</v>
      </c>
      <c r="B264" s="10" t="s">
        <v>57</v>
      </c>
      <c r="C264" s="18">
        <v>4.8000000000000001E-2</v>
      </c>
      <c r="D264" s="18">
        <v>4.8000000000000001E-2</v>
      </c>
      <c r="E264" s="18">
        <v>4.8000000000000001E-2</v>
      </c>
      <c r="F264" s="18">
        <v>4.8000000000000001E-2</v>
      </c>
      <c r="G264" s="18">
        <v>4.8000000000000001E-2</v>
      </c>
      <c r="H264" s="18">
        <v>4.8000000000000001E-2</v>
      </c>
      <c r="I264" s="18">
        <v>4.8000000000000001E-2</v>
      </c>
      <c r="J264" s="18">
        <v>4.8000000000000001E-2</v>
      </c>
      <c r="K264" s="18">
        <v>4.8000000000000001E-2</v>
      </c>
      <c r="L264" s="18">
        <v>4.8000000000000001E-2</v>
      </c>
      <c r="M264" s="18">
        <v>4.8000000000000001E-2</v>
      </c>
      <c r="N264" s="18">
        <v>4.8000000000000001E-2</v>
      </c>
      <c r="O264" s="18">
        <v>4.8000000000000001E-2</v>
      </c>
      <c r="P264" s="18">
        <v>4.8000000000000001E-2</v>
      </c>
      <c r="Q264" s="18">
        <v>4.8000000000000001E-2</v>
      </c>
      <c r="R264" s="18">
        <v>4.8000000000000001E-2</v>
      </c>
      <c r="S264" s="18">
        <v>5.8500000000000003E-2</v>
      </c>
      <c r="T264" s="18">
        <v>7.1300000000000002E-2</v>
      </c>
      <c r="U264" s="18">
        <v>9.8599999999999993E-2</v>
      </c>
      <c r="V264" s="18">
        <v>8.6800000000000002E-2</v>
      </c>
      <c r="W264" s="18">
        <v>6.0299999999999999E-2</v>
      </c>
      <c r="X264" s="18">
        <v>4.8000000000000001E-2</v>
      </c>
      <c r="Y264" s="18">
        <v>4.9299999999999997E-2</v>
      </c>
      <c r="Z264" s="18">
        <v>0.2447</v>
      </c>
      <c r="AA264" s="18">
        <v>0.25130000000000002</v>
      </c>
      <c r="AB264" s="18">
        <v>8.09E-2</v>
      </c>
      <c r="AC264" s="18">
        <v>9.3600000000000003E-2</v>
      </c>
      <c r="AD264" s="18">
        <v>4.8000000000000001E-2</v>
      </c>
      <c r="AE264" s="18">
        <v>4.8000000000000001E-2</v>
      </c>
      <c r="AF264" s="18">
        <v>4.8000000000000001E-2</v>
      </c>
      <c r="AG264" s="18">
        <v>4.8000000000000001E-2</v>
      </c>
      <c r="AH264" s="18">
        <v>4.8000000000000001E-2</v>
      </c>
      <c r="AI264" s="18">
        <v>0.18260000000000001</v>
      </c>
      <c r="AJ264" s="18">
        <v>0.2109</v>
      </c>
      <c r="AK264" s="18">
        <v>0.2024</v>
      </c>
      <c r="AL264" s="18">
        <v>0.20710000000000001</v>
      </c>
      <c r="AM264" s="18">
        <v>0.19839999999999999</v>
      </c>
      <c r="AN264" s="18">
        <v>0.184</v>
      </c>
      <c r="AO264" s="18">
        <v>0.26040000000000002</v>
      </c>
      <c r="AP264" s="18">
        <v>0.43559999999999999</v>
      </c>
      <c r="AQ264" s="18">
        <v>0.64810000000000001</v>
      </c>
      <c r="AR264" s="18">
        <v>0.25280000000000002</v>
      </c>
      <c r="AS264" s="18">
        <v>4.8000000000000001E-2</v>
      </c>
      <c r="AT264" s="18">
        <v>4.8000000000000001E-2</v>
      </c>
      <c r="AU264" s="18">
        <v>4.8000000000000001E-2</v>
      </c>
      <c r="AV264" s="18">
        <v>4.8000000000000001E-2</v>
      </c>
      <c r="AW264" s="18">
        <v>4.8000000000000001E-2</v>
      </c>
      <c r="AX264" s="18">
        <v>4.8000000000000001E-2</v>
      </c>
    </row>
    <row r="265" spans="1:50" x14ac:dyDescent="0.25">
      <c r="A265" s="16" t="s">
        <v>737</v>
      </c>
      <c r="B265" s="13" t="s">
        <v>464</v>
      </c>
      <c r="C265" s="17">
        <v>6.0699999999999997E-2</v>
      </c>
      <c r="D265" s="17">
        <v>0.13400000000000001</v>
      </c>
      <c r="E265" s="17">
        <v>0.22559999999999999</v>
      </c>
      <c r="F265" s="17">
        <v>0.13400000000000001</v>
      </c>
      <c r="G265" s="17">
        <v>0.12640000000000001</v>
      </c>
      <c r="H265" s="17">
        <v>0.20180000000000001</v>
      </c>
      <c r="I265" s="17">
        <v>0.10780000000000001</v>
      </c>
      <c r="J265" s="17">
        <v>4.4999999999999998E-2</v>
      </c>
      <c r="K265" s="17">
        <v>0.14349999999999999</v>
      </c>
      <c r="L265" s="17">
        <v>0.12709999999999999</v>
      </c>
      <c r="M265" s="17">
        <v>0.14449999999999999</v>
      </c>
      <c r="N265" s="17">
        <v>0.23080000000000001</v>
      </c>
      <c r="O265" s="17">
        <v>4.4999999999999998E-2</v>
      </c>
      <c r="P265" s="17">
        <v>4.4999999999999998E-2</v>
      </c>
      <c r="Q265" s="17">
        <v>0.31979999999999997</v>
      </c>
      <c r="R265" s="17">
        <v>5.5500000000000001E-2</v>
      </c>
      <c r="S265" s="17">
        <v>0.17630000000000001</v>
      </c>
      <c r="T265" s="17">
        <v>0.2132</v>
      </c>
      <c r="U265" s="17">
        <v>8.7900000000000006E-2</v>
      </c>
      <c r="V265" s="17">
        <v>0.33839999999999998</v>
      </c>
      <c r="W265" s="17">
        <v>0.26519999999999999</v>
      </c>
      <c r="X265" s="17">
        <v>8.0399999999999999E-2</v>
      </c>
      <c r="Y265" s="17">
        <v>0.5141</v>
      </c>
      <c r="Z265" s="17">
        <v>0.98160000000000003</v>
      </c>
      <c r="AA265" s="17">
        <v>0.56569999999999998</v>
      </c>
      <c r="AB265" s="17">
        <v>0.57799999999999996</v>
      </c>
      <c r="AC265" s="17">
        <v>1.0525</v>
      </c>
      <c r="AD265" s="17">
        <v>1.3449</v>
      </c>
      <c r="AE265" s="17">
        <v>0.45910000000000001</v>
      </c>
      <c r="AF265" s="17">
        <v>0.81810000000000005</v>
      </c>
      <c r="AG265" s="17">
        <v>0.49249999999999999</v>
      </c>
      <c r="AH265" s="17">
        <v>0.11849999999999999</v>
      </c>
      <c r="AI265" s="17">
        <v>0.15160000000000001</v>
      </c>
      <c r="AJ265" s="17">
        <v>0.28010000000000002</v>
      </c>
      <c r="AK265" s="17">
        <v>0.1583</v>
      </c>
      <c r="AL265" s="17">
        <v>5.0200000000000002E-2</v>
      </c>
      <c r="AM265" s="17">
        <v>8.5999999999999993E-2</v>
      </c>
      <c r="AN265" s="17">
        <v>0.28920000000000001</v>
      </c>
      <c r="AO265" s="17">
        <v>6.2E-2</v>
      </c>
      <c r="AP265" s="17">
        <v>0.22770000000000001</v>
      </c>
      <c r="AQ265" s="17">
        <v>0.28360000000000002</v>
      </c>
      <c r="AR265" s="17">
        <v>0.53029999999999999</v>
      </c>
      <c r="AS265" s="17">
        <v>0.3715</v>
      </c>
      <c r="AT265" s="17">
        <v>0.34820000000000001</v>
      </c>
      <c r="AU265" s="17">
        <v>0.54139999999999999</v>
      </c>
      <c r="AV265" s="17">
        <v>0.33700000000000002</v>
      </c>
      <c r="AW265" s="17">
        <v>0.14449999999999999</v>
      </c>
      <c r="AX265" s="17">
        <v>6.6699999999999995E-2</v>
      </c>
    </row>
    <row r="266" spans="1:50" x14ac:dyDescent="0.25">
      <c r="A266" s="8" t="s">
        <v>302</v>
      </c>
      <c r="B266" s="10" t="s">
        <v>57</v>
      </c>
      <c r="C266" s="18">
        <v>9.9400000000000002E-2</v>
      </c>
      <c r="D266" s="18">
        <v>0.17519999999999999</v>
      </c>
      <c r="E266" s="18">
        <v>5.3999999999999999E-2</v>
      </c>
      <c r="F266" s="18">
        <v>0.28949999999999998</v>
      </c>
      <c r="G266" s="18">
        <v>9.2299999999999993E-2</v>
      </c>
      <c r="H266" s="18">
        <v>5.3999999999999999E-2</v>
      </c>
      <c r="I266" s="18">
        <v>0.16120000000000001</v>
      </c>
      <c r="J266" s="18">
        <v>0.17519999999999999</v>
      </c>
      <c r="K266" s="18">
        <v>0.16070000000000001</v>
      </c>
      <c r="L266" s="18">
        <v>0.1</v>
      </c>
      <c r="M266" s="18">
        <v>0.22059999999999999</v>
      </c>
      <c r="N266" s="18">
        <v>5.3999999999999999E-2</v>
      </c>
      <c r="O266" s="18">
        <v>0.19139999999999999</v>
      </c>
      <c r="P266" s="18">
        <v>0.28260000000000002</v>
      </c>
      <c r="Q266" s="18">
        <v>0.11</v>
      </c>
      <c r="R266" s="18">
        <v>0.20549999999999999</v>
      </c>
      <c r="S266" s="18">
        <v>7.1199999999999999E-2</v>
      </c>
      <c r="T266" s="18">
        <v>0.19170000000000001</v>
      </c>
      <c r="U266" s="18">
        <v>0.26190000000000002</v>
      </c>
      <c r="V266" s="18">
        <v>0.186</v>
      </c>
      <c r="W266" s="18">
        <v>0.30049999999999999</v>
      </c>
      <c r="X266" s="18">
        <v>6.7500000000000004E-2</v>
      </c>
      <c r="Y266" s="18">
        <v>0.2064</v>
      </c>
      <c r="Z266" s="18">
        <v>0.1754</v>
      </c>
      <c r="AA266" s="18">
        <v>6.1699999999999998E-2</v>
      </c>
      <c r="AB266" s="18">
        <v>0.35449999999999998</v>
      </c>
      <c r="AC266" s="18">
        <v>0.24149999999999999</v>
      </c>
      <c r="AD266" s="18">
        <v>0.25430000000000003</v>
      </c>
      <c r="AE266" s="18">
        <v>0.29649999999999999</v>
      </c>
      <c r="AF266" s="18">
        <v>1.9882</v>
      </c>
      <c r="AG266" s="18">
        <v>3.0798000000000001</v>
      </c>
      <c r="AH266" s="18">
        <v>1.7692000000000001</v>
      </c>
      <c r="AI266" s="18">
        <v>0.1903</v>
      </c>
      <c r="AJ266" s="18">
        <v>0.11899999999999999</v>
      </c>
      <c r="AK266" s="18">
        <v>0.2928</v>
      </c>
      <c r="AL266" s="18">
        <v>0.61140000000000005</v>
      </c>
      <c r="AM266" s="18">
        <v>0.29709999999999998</v>
      </c>
      <c r="AN266" s="18">
        <v>0.42259999999999998</v>
      </c>
      <c r="AO266" s="18">
        <v>0.24490000000000001</v>
      </c>
      <c r="AP266" s="18">
        <v>0.16120000000000001</v>
      </c>
      <c r="AQ266" s="18">
        <v>0.1222</v>
      </c>
      <c r="AR266" s="18">
        <v>0.19839999999999999</v>
      </c>
      <c r="AS266" s="18">
        <v>0.1153</v>
      </c>
      <c r="AT266" s="18">
        <v>0.1676</v>
      </c>
      <c r="AU266" s="18">
        <v>0.107</v>
      </c>
      <c r="AV266" s="18">
        <v>0.22939999999999999</v>
      </c>
      <c r="AW266" s="18">
        <v>0.15240000000000001</v>
      </c>
      <c r="AX266" s="18">
        <v>0.16120000000000001</v>
      </c>
    </row>
    <row r="267" spans="1:50" x14ac:dyDescent="0.25">
      <c r="A267" s="8" t="s">
        <v>304</v>
      </c>
      <c r="B267" s="10" t="s">
        <v>57</v>
      </c>
      <c r="C267" s="18">
        <v>0.18640000000000001</v>
      </c>
      <c r="D267" s="18">
        <v>0.1153</v>
      </c>
      <c r="E267" s="18">
        <v>0.21959999999999999</v>
      </c>
      <c r="F267" s="18">
        <v>0.13980000000000001</v>
      </c>
      <c r="G267" s="18">
        <v>0.2039</v>
      </c>
      <c r="H267" s="18">
        <v>0.23710000000000001</v>
      </c>
      <c r="I267" s="18">
        <v>9.6600000000000005E-2</v>
      </c>
      <c r="J267" s="18">
        <v>0.23039999999999999</v>
      </c>
      <c r="K267" s="18">
        <v>8.6199999999999999E-2</v>
      </c>
      <c r="L267" s="18">
        <v>0.2467</v>
      </c>
      <c r="M267" s="18">
        <v>0.20030000000000001</v>
      </c>
      <c r="N267" s="18">
        <v>8.8900000000000007E-2</v>
      </c>
      <c r="O267" s="18">
        <v>0.20499999999999999</v>
      </c>
      <c r="P267" s="18">
        <v>0.13300000000000001</v>
      </c>
      <c r="Q267" s="18">
        <v>0.32029999999999997</v>
      </c>
      <c r="R267" s="18">
        <v>7.2099999999999997E-2</v>
      </c>
      <c r="S267" s="18">
        <v>0.30809999999999998</v>
      </c>
      <c r="T267" s="18">
        <v>0.1236</v>
      </c>
      <c r="U267" s="18">
        <v>7.8E-2</v>
      </c>
      <c r="V267" s="18">
        <v>0.26790000000000003</v>
      </c>
      <c r="W267" s="18">
        <v>0.1308</v>
      </c>
      <c r="X267" s="18">
        <v>0.11890000000000001</v>
      </c>
      <c r="Y267" s="18">
        <v>0.34050000000000002</v>
      </c>
      <c r="Z267" s="18">
        <v>0.125</v>
      </c>
      <c r="AA267" s="18">
        <v>8.3199999999999996E-2</v>
      </c>
      <c r="AB267" s="18">
        <v>0.32950000000000002</v>
      </c>
      <c r="AC267" s="18">
        <v>0.10489999999999999</v>
      </c>
      <c r="AD267" s="18">
        <v>0.22370000000000001</v>
      </c>
      <c r="AE267" s="18">
        <v>0.14419999999999999</v>
      </c>
      <c r="AF267" s="18">
        <v>0.20760000000000001</v>
      </c>
      <c r="AG267" s="18">
        <v>0.15090000000000001</v>
      </c>
      <c r="AH267" s="18">
        <v>0.1449</v>
      </c>
      <c r="AI267" s="18">
        <v>0.23180000000000001</v>
      </c>
      <c r="AJ267" s="18">
        <v>0.15579999999999999</v>
      </c>
      <c r="AK267" s="18">
        <v>9.4E-2</v>
      </c>
      <c r="AL267" s="18">
        <v>0.84960000000000002</v>
      </c>
      <c r="AM267" s="18">
        <v>0.12839999999999999</v>
      </c>
      <c r="AN267" s="18">
        <v>8.8300000000000003E-2</v>
      </c>
      <c r="AO267" s="18">
        <v>0.37690000000000001</v>
      </c>
      <c r="AP267" s="18">
        <v>0.4652</v>
      </c>
      <c r="AQ267" s="18">
        <v>0.40329999999999999</v>
      </c>
      <c r="AR267" s="18">
        <v>0.32119999999999999</v>
      </c>
      <c r="AS267" s="18">
        <v>0.25650000000000001</v>
      </c>
      <c r="AT267" s="18">
        <v>0.79969999999999997</v>
      </c>
      <c r="AU267" s="18">
        <v>0.79169999999999996</v>
      </c>
      <c r="AV267" s="18">
        <v>0.55559999999999998</v>
      </c>
      <c r="AW267" s="18">
        <v>0.75219999999999998</v>
      </c>
      <c r="AX267" s="18">
        <v>0.31259999999999999</v>
      </c>
    </row>
    <row r="268" spans="1:50" x14ac:dyDescent="0.25">
      <c r="A268" s="16" t="s">
        <v>739</v>
      </c>
      <c r="B268" s="13" t="s">
        <v>464</v>
      </c>
      <c r="C268" s="17">
        <v>0.14549999999999999</v>
      </c>
      <c r="D268" s="17">
        <v>0.12470000000000001</v>
      </c>
      <c r="E268" s="17">
        <v>0.1447</v>
      </c>
      <c r="F268" s="17">
        <v>5.6399999999999999E-2</v>
      </c>
      <c r="G268" s="17">
        <v>0.21310000000000001</v>
      </c>
      <c r="H268" s="17">
        <v>0.04</v>
      </c>
      <c r="I268" s="17">
        <v>0.114</v>
      </c>
      <c r="J268" s="17">
        <v>0.12659999999999999</v>
      </c>
      <c r="K268" s="17">
        <v>9.7600000000000006E-2</v>
      </c>
      <c r="L268" s="17">
        <v>0.1217</v>
      </c>
      <c r="M268" s="17">
        <v>0.1661</v>
      </c>
      <c r="N268" s="17">
        <v>0.10829999999999999</v>
      </c>
      <c r="O268" s="17">
        <v>8.9300000000000004E-2</v>
      </c>
      <c r="P268" s="17">
        <v>0.1802</v>
      </c>
      <c r="Q268" s="17">
        <v>0.1057</v>
      </c>
      <c r="R268" s="17">
        <v>0.16370000000000001</v>
      </c>
      <c r="S268" s="17">
        <v>0.12859999999999999</v>
      </c>
      <c r="T268" s="17">
        <v>1.3186</v>
      </c>
      <c r="U268" s="17">
        <v>0.41220000000000001</v>
      </c>
      <c r="V268" s="17">
        <v>0.255</v>
      </c>
      <c r="W268" s="17">
        <v>0.13120000000000001</v>
      </c>
      <c r="X268" s="17">
        <v>0.15129999999999999</v>
      </c>
      <c r="Y268" s="17">
        <v>8.1199999999999994E-2</v>
      </c>
      <c r="Z268" s="17">
        <v>0.1016</v>
      </c>
      <c r="AA268" s="17">
        <v>0.14219999999999999</v>
      </c>
      <c r="AB268" s="17">
        <v>0.20549999999999999</v>
      </c>
      <c r="AC268" s="17">
        <v>0.14760000000000001</v>
      </c>
      <c r="AD268" s="17">
        <v>0.22359999999999999</v>
      </c>
      <c r="AE268" s="17">
        <v>6.4699999999999994E-2</v>
      </c>
      <c r="AF268" s="17">
        <v>0.1555</v>
      </c>
      <c r="AG268" s="17">
        <v>0.114</v>
      </c>
      <c r="AH268" s="17">
        <v>5.79E-2</v>
      </c>
      <c r="AI268" s="17">
        <v>0.04</v>
      </c>
      <c r="AJ268" s="17">
        <v>0.16020000000000001</v>
      </c>
      <c r="AK268" s="17">
        <v>0.10929999999999999</v>
      </c>
      <c r="AL268" s="17">
        <v>0.04</v>
      </c>
      <c r="AM268" s="17">
        <v>0.04</v>
      </c>
      <c r="AN268" s="17">
        <v>0.114</v>
      </c>
      <c r="AO268" s="17">
        <v>0.13819999999999999</v>
      </c>
      <c r="AP268" s="17">
        <v>0.11899999999999999</v>
      </c>
      <c r="AQ268" s="17">
        <v>0.1216</v>
      </c>
      <c r="AR268" s="17">
        <v>8.6199999999999999E-2</v>
      </c>
      <c r="AS268" s="17">
        <v>0.17169999999999999</v>
      </c>
      <c r="AT268" s="17">
        <v>9.7799999999999998E-2</v>
      </c>
      <c r="AU268" s="17">
        <v>0.14860000000000001</v>
      </c>
      <c r="AV268" s="17">
        <v>0.12089999999999999</v>
      </c>
      <c r="AW268" s="17">
        <v>0.04</v>
      </c>
      <c r="AX268" s="17">
        <v>0.04</v>
      </c>
    </row>
    <row r="269" spans="1:50" x14ac:dyDescent="0.25">
      <c r="A269" s="8" t="s">
        <v>306</v>
      </c>
      <c r="B269" s="10" t="s">
        <v>57</v>
      </c>
      <c r="C269" s="18">
        <v>0.22239999999999999</v>
      </c>
      <c r="D269" s="18">
        <v>0.24199999999999999</v>
      </c>
      <c r="E269" s="18">
        <v>0.28799999999999998</v>
      </c>
      <c r="F269" s="18">
        <v>0.2203</v>
      </c>
      <c r="G269" s="18">
        <v>0.13569999999999999</v>
      </c>
      <c r="H269" s="18">
        <v>0.3266</v>
      </c>
      <c r="I269" s="18">
        <v>0.2331</v>
      </c>
      <c r="J269" s="18">
        <v>0.1323</v>
      </c>
      <c r="K269" s="18">
        <v>0.41739999999999999</v>
      </c>
      <c r="L269" s="18">
        <v>5.2999999999999999E-2</v>
      </c>
      <c r="M269" s="18">
        <v>0.1734</v>
      </c>
      <c r="N269" s="18">
        <v>0.16769999999999999</v>
      </c>
      <c r="O269" s="18">
        <v>0.28299999999999997</v>
      </c>
      <c r="P269" s="18">
        <v>0.1991</v>
      </c>
      <c r="Q269" s="18">
        <v>0.15620000000000001</v>
      </c>
      <c r="R269" s="18">
        <v>0.28599999999999998</v>
      </c>
      <c r="S269" s="18">
        <v>0.1237</v>
      </c>
      <c r="T269" s="18">
        <v>0.12709999999999999</v>
      </c>
      <c r="U269" s="18">
        <v>0.34329999999999999</v>
      </c>
      <c r="V269" s="18">
        <v>0.12239999999999999</v>
      </c>
      <c r="W269" s="18">
        <v>0.3039</v>
      </c>
      <c r="X269" s="18">
        <v>0.24379999999999999</v>
      </c>
      <c r="Y269" s="18">
        <v>0.2762</v>
      </c>
      <c r="Z269" s="18">
        <v>0.2382</v>
      </c>
      <c r="AA269" s="18">
        <v>0.34189999999999998</v>
      </c>
      <c r="AB269" s="18">
        <v>0.37459999999999999</v>
      </c>
      <c r="AC269" s="18">
        <v>0.31009999999999999</v>
      </c>
      <c r="AD269" s="18">
        <v>0.39839999999999998</v>
      </c>
      <c r="AE269" s="18">
        <v>0.14419999999999999</v>
      </c>
      <c r="AF269" s="18">
        <v>5.2999999999999999E-2</v>
      </c>
      <c r="AG269" s="18">
        <v>0.45390000000000003</v>
      </c>
      <c r="AH269" s="18">
        <v>8.72E-2</v>
      </c>
      <c r="AI269" s="18">
        <v>0.28670000000000001</v>
      </c>
      <c r="AJ269" s="18">
        <v>0.2545</v>
      </c>
      <c r="AK269" s="18">
        <v>0.15040000000000001</v>
      </c>
      <c r="AL269" s="18">
        <v>0.1353</v>
      </c>
      <c r="AM269" s="18">
        <v>0.4798</v>
      </c>
      <c r="AN269" s="18">
        <v>0.62509999999999999</v>
      </c>
      <c r="AO269" s="18">
        <v>0.41520000000000001</v>
      </c>
      <c r="AP269" s="18">
        <v>0.38219999999999998</v>
      </c>
      <c r="AQ269" s="18">
        <v>0.6653</v>
      </c>
      <c r="AR269" s="18">
        <v>0.53169999999999995</v>
      </c>
      <c r="AS269" s="18">
        <v>0.65839999999999999</v>
      </c>
      <c r="AT269" s="18">
        <v>0.41399999999999998</v>
      </c>
      <c r="AU269" s="18">
        <v>0.17519999999999999</v>
      </c>
      <c r="AV269" s="18">
        <v>7.5899999999999995E-2</v>
      </c>
      <c r="AW269" s="18">
        <v>0.3044</v>
      </c>
      <c r="AX269" s="18">
        <v>0.154</v>
      </c>
    </row>
    <row r="270" spans="1:50" x14ac:dyDescent="0.25">
      <c r="A270" s="16" t="s">
        <v>741</v>
      </c>
      <c r="B270" s="13" t="s">
        <v>464</v>
      </c>
      <c r="C270" s="17">
        <v>0.1792</v>
      </c>
      <c r="D270" s="17">
        <v>0.1197</v>
      </c>
      <c r="E270" s="17">
        <v>8.7099999999999997E-2</v>
      </c>
      <c r="F270" s="17">
        <v>0.1615</v>
      </c>
      <c r="G270" s="17">
        <v>6.6799999999999998E-2</v>
      </c>
      <c r="H270" s="17">
        <v>0.15229999999999999</v>
      </c>
      <c r="I270" s="17">
        <v>0.14319999999999999</v>
      </c>
      <c r="J270" s="17">
        <v>0.1666</v>
      </c>
      <c r="K270" s="17">
        <v>0.11119999999999999</v>
      </c>
      <c r="L270" s="17">
        <v>0.1986</v>
      </c>
      <c r="M270" s="17">
        <v>0.10879999999999999</v>
      </c>
      <c r="N270" s="17">
        <v>0.22220000000000001</v>
      </c>
      <c r="O270" s="17">
        <v>0.1147</v>
      </c>
      <c r="P270" s="17">
        <v>4.9000000000000002E-2</v>
      </c>
      <c r="Q270" s="17">
        <v>0.16689999999999999</v>
      </c>
      <c r="R270" s="17">
        <v>0.1701</v>
      </c>
      <c r="S270" s="17">
        <v>4.9000000000000002E-2</v>
      </c>
      <c r="T270" s="17">
        <v>4.9000000000000002E-2</v>
      </c>
      <c r="U270" s="17">
        <v>0.28799999999999998</v>
      </c>
      <c r="V270" s="17">
        <v>4.9000000000000002E-2</v>
      </c>
      <c r="W270" s="17">
        <v>0.14879999999999999</v>
      </c>
      <c r="X270" s="17">
        <v>0.1777</v>
      </c>
      <c r="Y270" s="17">
        <v>0.1792</v>
      </c>
      <c r="Z270" s="17">
        <v>0.1578</v>
      </c>
      <c r="AA270" s="17">
        <v>0.2591</v>
      </c>
      <c r="AB270" s="17">
        <v>0.88139999999999996</v>
      </c>
      <c r="AC270" s="17">
        <v>0.435</v>
      </c>
      <c r="AD270" s="17">
        <v>0.27760000000000001</v>
      </c>
      <c r="AE270" s="17">
        <v>0.32729999999999998</v>
      </c>
      <c r="AF270" s="17">
        <v>1.5039</v>
      </c>
      <c r="AG270" s="17">
        <v>1.3588</v>
      </c>
      <c r="AH270" s="17">
        <v>0.21410000000000001</v>
      </c>
      <c r="AI270" s="17">
        <v>0.31509999999999999</v>
      </c>
      <c r="AJ270" s="17">
        <v>0.35099999999999998</v>
      </c>
      <c r="AK270" s="17">
        <v>0.39269999999999999</v>
      </c>
      <c r="AL270" s="17">
        <v>1.9439</v>
      </c>
      <c r="AM270" s="17">
        <v>0.1201</v>
      </c>
      <c r="AN270" s="17">
        <v>1.6837</v>
      </c>
      <c r="AO270" s="17">
        <v>0.10879999999999999</v>
      </c>
      <c r="AP270" s="17">
        <v>0.46429999999999999</v>
      </c>
      <c r="AQ270" s="17">
        <v>0.35339999999999999</v>
      </c>
      <c r="AR270" s="17">
        <v>0.49170000000000003</v>
      </c>
      <c r="AS270" s="17">
        <v>0.52</v>
      </c>
      <c r="AT270" s="17">
        <v>0.44900000000000001</v>
      </c>
      <c r="AU270" s="17">
        <v>0.21679999999999999</v>
      </c>
      <c r="AV270" s="17">
        <v>4.9000000000000002E-2</v>
      </c>
      <c r="AW270" s="17">
        <v>4.9000000000000002E-2</v>
      </c>
      <c r="AX270" s="17">
        <v>0.14369999999999999</v>
      </c>
    </row>
    <row r="271" spans="1:50" x14ac:dyDescent="0.25">
      <c r="A271" s="8" t="s">
        <v>308</v>
      </c>
      <c r="B271" s="10" t="s">
        <v>57</v>
      </c>
      <c r="C271" s="18">
        <v>0.1454</v>
      </c>
      <c r="D271" s="18">
        <v>0.13</v>
      </c>
      <c r="E271" s="18">
        <v>5.2999999999999999E-2</v>
      </c>
      <c r="F271" s="18">
        <v>0.22239999999999999</v>
      </c>
      <c r="G271" s="18">
        <v>5.2999999999999999E-2</v>
      </c>
      <c r="H271" s="18">
        <v>0.15310000000000001</v>
      </c>
      <c r="I271" s="18">
        <v>0.12230000000000001</v>
      </c>
      <c r="J271" s="18">
        <v>5.2999999999999999E-2</v>
      </c>
      <c r="K271" s="18">
        <v>0.22239999999999999</v>
      </c>
      <c r="L271" s="18">
        <v>5.2999999999999999E-2</v>
      </c>
      <c r="M271" s="18">
        <v>0.1608</v>
      </c>
      <c r="N271" s="18">
        <v>0.11459999999999999</v>
      </c>
      <c r="O271" s="18">
        <v>5.2999999999999999E-2</v>
      </c>
      <c r="P271" s="18">
        <v>0.22239999999999999</v>
      </c>
      <c r="Q271" s="18">
        <v>5.2999999999999999E-2</v>
      </c>
      <c r="R271" s="18">
        <v>5.2999999999999999E-2</v>
      </c>
      <c r="S271" s="18">
        <v>5.2999999999999999E-2</v>
      </c>
      <c r="T271" s="18">
        <v>0.1105</v>
      </c>
      <c r="U271" s="18">
        <v>0.33460000000000001</v>
      </c>
      <c r="V271" s="18">
        <v>0.83399999999999996</v>
      </c>
      <c r="W271" s="18">
        <v>0.67659999999999998</v>
      </c>
      <c r="X271" s="18">
        <v>0.42520000000000002</v>
      </c>
      <c r="Y271" s="18">
        <v>0.22969999999999999</v>
      </c>
      <c r="Z271" s="18">
        <v>5.8200000000000002E-2</v>
      </c>
      <c r="AA271" s="18">
        <v>0.2296</v>
      </c>
      <c r="AB271" s="18">
        <v>0.15920000000000001</v>
      </c>
      <c r="AC271" s="18">
        <v>0.10150000000000001</v>
      </c>
      <c r="AD271" s="18">
        <v>0.27089999999999997</v>
      </c>
      <c r="AE271" s="18">
        <v>0.27029999999999998</v>
      </c>
      <c r="AF271" s="18">
        <v>9.9199999999999997E-2</v>
      </c>
      <c r="AG271" s="18">
        <v>0.1762</v>
      </c>
      <c r="AH271" s="18">
        <v>5.2999999999999999E-2</v>
      </c>
      <c r="AI271" s="18">
        <v>0.2263</v>
      </c>
      <c r="AJ271" s="18">
        <v>0.3765</v>
      </c>
      <c r="AK271" s="18">
        <v>0.90180000000000005</v>
      </c>
      <c r="AL271" s="18">
        <v>2.6901000000000002</v>
      </c>
      <c r="AM271" s="18">
        <v>2.9824999999999999</v>
      </c>
      <c r="AN271" s="18">
        <v>0.30940000000000001</v>
      </c>
      <c r="AO271" s="18">
        <v>0.27939999999999998</v>
      </c>
      <c r="AP271" s="18">
        <v>0.47889999999999999</v>
      </c>
      <c r="AQ271" s="18">
        <v>0.1326</v>
      </c>
      <c r="AR271" s="18">
        <v>7.6100000000000001E-2</v>
      </c>
      <c r="AS271" s="18">
        <v>0.1993</v>
      </c>
      <c r="AT271" s="18">
        <v>5.2999999999999999E-2</v>
      </c>
      <c r="AU271" s="18">
        <v>0.20699999999999999</v>
      </c>
      <c r="AV271" s="18">
        <v>6.8400000000000002E-2</v>
      </c>
      <c r="AW271" s="18">
        <v>5.2999999999999999E-2</v>
      </c>
      <c r="AX271" s="18">
        <v>5.2999999999999999E-2</v>
      </c>
    </row>
    <row r="272" spans="1:50" x14ac:dyDescent="0.25">
      <c r="A272" s="8" t="s">
        <v>310</v>
      </c>
      <c r="B272" s="10" t="s">
        <v>57</v>
      </c>
      <c r="C272" s="18">
        <v>0.25159999999999999</v>
      </c>
      <c r="D272" s="18">
        <v>0.05</v>
      </c>
      <c r="E272" s="18">
        <v>0.17979999999999999</v>
      </c>
      <c r="F272" s="18">
        <v>0.20180000000000001</v>
      </c>
      <c r="G272" s="18">
        <v>8.8999999999999996E-2</v>
      </c>
      <c r="H272" s="18">
        <v>0.21210000000000001</v>
      </c>
      <c r="I272" s="18">
        <v>7.6799999999999993E-2</v>
      </c>
      <c r="J272" s="18">
        <v>0.28449999999999998</v>
      </c>
      <c r="K272" s="18">
        <v>7.6899999999999996E-2</v>
      </c>
      <c r="L272" s="18">
        <v>0.21609999999999999</v>
      </c>
      <c r="M272" s="18">
        <v>6.4399999999999999E-2</v>
      </c>
      <c r="N272" s="18">
        <v>0.12</v>
      </c>
      <c r="O272" s="18">
        <v>0.1022</v>
      </c>
      <c r="P272" s="18">
        <v>0.21609999999999999</v>
      </c>
      <c r="Q272" s="18">
        <v>0.1578</v>
      </c>
      <c r="R272" s="18">
        <v>0.16919999999999999</v>
      </c>
      <c r="S272" s="18">
        <v>0.1114</v>
      </c>
      <c r="T272" s="18">
        <v>0.05</v>
      </c>
      <c r="U272" s="18">
        <v>0.25159999999999999</v>
      </c>
      <c r="V272" s="18">
        <v>5.4800000000000001E-2</v>
      </c>
      <c r="W272" s="18">
        <v>0.14530000000000001</v>
      </c>
      <c r="X272" s="18">
        <v>0.14660000000000001</v>
      </c>
      <c r="Y272" s="18">
        <v>0.1416</v>
      </c>
      <c r="Z272" s="18">
        <v>0.23050000000000001</v>
      </c>
      <c r="AA272" s="18">
        <v>0.1923</v>
      </c>
      <c r="AB272" s="18">
        <v>0.1237</v>
      </c>
      <c r="AC272" s="18">
        <v>0.2646</v>
      </c>
      <c r="AD272" s="18">
        <v>0.05</v>
      </c>
      <c r="AE272" s="18">
        <v>0.1439</v>
      </c>
      <c r="AF272" s="18">
        <v>0.13669999999999999</v>
      </c>
      <c r="AG272" s="18">
        <v>0.1103</v>
      </c>
      <c r="AH272" s="18">
        <v>0.21479999999999999</v>
      </c>
      <c r="AI272" s="18">
        <v>0.1132</v>
      </c>
      <c r="AJ272" s="18">
        <v>0.11600000000000001</v>
      </c>
      <c r="AK272" s="18">
        <v>0.27229999999999999</v>
      </c>
      <c r="AL272" s="18">
        <v>0.11210000000000001</v>
      </c>
      <c r="AM272" s="18">
        <v>0.45989999999999998</v>
      </c>
      <c r="AN272" s="18">
        <v>0.1641</v>
      </c>
      <c r="AO272" s="18">
        <v>0.64400000000000002</v>
      </c>
      <c r="AP272" s="18">
        <v>0.49</v>
      </c>
      <c r="AQ272" s="18">
        <v>0.54020000000000001</v>
      </c>
      <c r="AR272" s="18">
        <v>0.87660000000000005</v>
      </c>
      <c r="AS272" s="18">
        <v>1.2413000000000001</v>
      </c>
      <c r="AT272" s="18">
        <v>0.91159999999999997</v>
      </c>
      <c r="AU272" s="18">
        <v>1.2695000000000001</v>
      </c>
      <c r="AV272" s="18">
        <v>0.65290000000000004</v>
      </c>
      <c r="AW272" s="18">
        <v>0.15809999999999999</v>
      </c>
      <c r="AX272" s="18">
        <v>0.2868</v>
      </c>
    </row>
    <row r="273" spans="1:50" x14ac:dyDescent="0.25">
      <c r="A273" s="16" t="s">
        <v>743</v>
      </c>
      <c r="B273" s="13" t="s">
        <v>464</v>
      </c>
      <c r="C273" s="17">
        <v>4.8000000000000001E-2</v>
      </c>
      <c r="D273" s="17">
        <v>4.8000000000000001E-2</v>
      </c>
      <c r="E273" s="17">
        <v>0.29870000000000002</v>
      </c>
      <c r="F273" s="17">
        <v>0.14929999999999999</v>
      </c>
      <c r="G273" s="17">
        <v>4.8000000000000001E-2</v>
      </c>
      <c r="H273" s="17">
        <v>0.32269999999999999</v>
      </c>
      <c r="I273" s="17">
        <v>7.3700000000000002E-2</v>
      </c>
      <c r="J273" s="17">
        <v>9.9500000000000005E-2</v>
      </c>
      <c r="K273" s="17">
        <v>0.31659999999999999</v>
      </c>
      <c r="L273" s="17">
        <v>0.13139999999999999</v>
      </c>
      <c r="M273" s="17">
        <v>0.28220000000000001</v>
      </c>
      <c r="N273" s="17">
        <v>8.8499999999999995E-2</v>
      </c>
      <c r="O273" s="17">
        <v>0.25409999999999999</v>
      </c>
      <c r="P273" s="17">
        <v>0.20119999999999999</v>
      </c>
      <c r="Q273" s="17">
        <v>0.28599999999999998</v>
      </c>
      <c r="R273" s="17">
        <v>0.308</v>
      </c>
      <c r="S273" s="17">
        <v>0.30590000000000001</v>
      </c>
      <c r="T273" s="17">
        <v>0.28539999999999999</v>
      </c>
      <c r="U273" s="17">
        <v>0.41</v>
      </c>
      <c r="V273" s="17">
        <v>5.6899999999999999E-2</v>
      </c>
      <c r="W273" s="17">
        <v>0.2656</v>
      </c>
      <c r="X273" s="17">
        <v>0.29599999999999999</v>
      </c>
      <c r="Y273" s="17">
        <v>0.13059999999999999</v>
      </c>
      <c r="Z273" s="17">
        <v>8.2299999999999998E-2</v>
      </c>
      <c r="AA273" s="17">
        <v>0.2505</v>
      </c>
      <c r="AB273" s="17">
        <v>0.16309999999999999</v>
      </c>
      <c r="AC273" s="17">
        <v>0.1062</v>
      </c>
      <c r="AD273" s="17">
        <v>0.3417</v>
      </c>
      <c r="AE273" s="17">
        <v>0.1166</v>
      </c>
      <c r="AF273" s="17">
        <v>0.1646</v>
      </c>
      <c r="AG273" s="17">
        <v>0.2147</v>
      </c>
      <c r="AH273" s="17">
        <v>0.13700000000000001</v>
      </c>
      <c r="AI273" s="17">
        <v>0.22209999999999999</v>
      </c>
      <c r="AJ273" s="17">
        <v>0.1608</v>
      </c>
      <c r="AK273" s="17">
        <v>0.28610000000000002</v>
      </c>
      <c r="AL273" s="17">
        <v>0.2445</v>
      </c>
      <c r="AM273" s="17">
        <v>0.33279999999999998</v>
      </c>
      <c r="AN273" s="17">
        <v>5.0799999999999998E-2</v>
      </c>
      <c r="AO273" s="17">
        <v>0.14910000000000001</v>
      </c>
      <c r="AP273" s="17">
        <v>0.31569999999999998</v>
      </c>
      <c r="AQ273" s="17">
        <v>0.4461</v>
      </c>
      <c r="AR273" s="17">
        <v>0.46920000000000001</v>
      </c>
      <c r="AS273" s="17">
        <v>0.65449999999999997</v>
      </c>
      <c r="AT273" s="17">
        <v>0.59719999999999995</v>
      </c>
      <c r="AU273" s="17">
        <v>0.26979999999999998</v>
      </c>
      <c r="AV273" s="17">
        <v>0.4471</v>
      </c>
      <c r="AW273" s="17">
        <v>0.19170000000000001</v>
      </c>
      <c r="AX273" s="17">
        <v>0.2878</v>
      </c>
    </row>
    <row r="274" spans="1:50" x14ac:dyDescent="0.25">
      <c r="A274" s="8" t="s">
        <v>312</v>
      </c>
      <c r="B274" s="10" t="s">
        <v>57</v>
      </c>
      <c r="C274" s="18">
        <v>0.12870000000000001</v>
      </c>
      <c r="D274" s="18">
        <v>0.21909999999999999</v>
      </c>
      <c r="E274" s="18">
        <v>0.24990000000000001</v>
      </c>
      <c r="F274" s="18">
        <v>5.5E-2</v>
      </c>
      <c r="G274" s="18">
        <v>0.21279999999999999</v>
      </c>
      <c r="H274" s="18">
        <v>0.25629999999999997</v>
      </c>
      <c r="I274" s="18">
        <v>6.2199999999999998E-2</v>
      </c>
      <c r="J274" s="18">
        <v>0.40689999999999998</v>
      </c>
      <c r="K274" s="18">
        <v>5.5E-2</v>
      </c>
      <c r="L274" s="18">
        <v>0.28639999999999999</v>
      </c>
      <c r="M274" s="18">
        <v>0.106</v>
      </c>
      <c r="N274" s="18">
        <v>0.20330000000000001</v>
      </c>
      <c r="O274" s="18">
        <v>0.1411</v>
      </c>
      <c r="P274" s="18">
        <v>8.0500000000000002E-2</v>
      </c>
      <c r="Q274" s="18">
        <v>0.32300000000000001</v>
      </c>
      <c r="R274" s="18">
        <v>0.1205</v>
      </c>
      <c r="S274" s="18">
        <v>0.22559999999999999</v>
      </c>
      <c r="T274" s="18">
        <v>0.37069999999999997</v>
      </c>
      <c r="U274" s="18">
        <v>0.215</v>
      </c>
      <c r="V274" s="18">
        <v>0.20069999999999999</v>
      </c>
      <c r="W274" s="18">
        <v>0.21579999999999999</v>
      </c>
      <c r="X274" s="18">
        <v>0.15540000000000001</v>
      </c>
      <c r="Y274" s="18">
        <v>0.12820000000000001</v>
      </c>
      <c r="Z274" s="18">
        <v>0.59250000000000003</v>
      </c>
      <c r="AA274" s="18">
        <v>1.3614999999999999</v>
      </c>
      <c r="AB274" s="18">
        <v>0.34689999999999999</v>
      </c>
      <c r="AC274" s="18">
        <v>1.0059</v>
      </c>
      <c r="AD274" s="18">
        <v>2.6840999999999999</v>
      </c>
      <c r="AE274" s="18">
        <v>2.9466999999999999</v>
      </c>
      <c r="AF274" s="18">
        <v>0.24199999999999999</v>
      </c>
      <c r="AG274" s="18">
        <v>0.126</v>
      </c>
      <c r="AH274" s="18">
        <v>0.34410000000000002</v>
      </c>
      <c r="AI274" s="18">
        <v>0.32279999999999998</v>
      </c>
      <c r="AJ274" s="18">
        <v>0.1017</v>
      </c>
      <c r="AK274" s="18">
        <v>0.43049999999999999</v>
      </c>
      <c r="AL274" s="18">
        <v>0.1109</v>
      </c>
      <c r="AM274" s="18">
        <v>0.30230000000000001</v>
      </c>
      <c r="AN274" s="18">
        <v>0.33090000000000003</v>
      </c>
      <c r="AO274" s="18">
        <v>0.18890000000000001</v>
      </c>
      <c r="AP274" s="18">
        <v>0.77949999999999997</v>
      </c>
      <c r="AQ274" s="18">
        <v>0.4929</v>
      </c>
      <c r="AR274" s="18">
        <v>0.5423</v>
      </c>
      <c r="AS274" s="18">
        <v>0.52739999999999998</v>
      </c>
      <c r="AT274" s="18">
        <v>0.47099999999999997</v>
      </c>
      <c r="AU274" s="18">
        <v>0.21279999999999999</v>
      </c>
      <c r="AV274" s="18">
        <v>0.18260000000000001</v>
      </c>
      <c r="AW274" s="18">
        <v>0.1195</v>
      </c>
      <c r="AX274" s="18">
        <v>0.22189999999999999</v>
      </c>
    </row>
    <row r="275" spans="1:50" x14ac:dyDescent="0.25">
      <c r="A275" s="8" t="s">
        <v>314</v>
      </c>
      <c r="B275" s="10" t="s">
        <v>57</v>
      </c>
      <c r="C275" s="18">
        <v>0.1449</v>
      </c>
      <c r="D275" s="18">
        <v>4.3999999999999997E-2</v>
      </c>
      <c r="E275" s="18">
        <v>0.1663</v>
      </c>
      <c r="F275" s="18">
        <v>0.1343</v>
      </c>
      <c r="G275" s="18">
        <v>4.3999999999999997E-2</v>
      </c>
      <c r="H275" s="18">
        <v>0.1449</v>
      </c>
      <c r="I275" s="18">
        <v>4.3999999999999997E-2</v>
      </c>
      <c r="J275" s="18">
        <v>9.4399999999999998E-2</v>
      </c>
      <c r="K275" s="18">
        <v>0.44469999999999998</v>
      </c>
      <c r="L275" s="18">
        <v>0.1222</v>
      </c>
      <c r="M275" s="18">
        <v>0.1449</v>
      </c>
      <c r="N275" s="18">
        <v>0.15570000000000001</v>
      </c>
      <c r="O275" s="18">
        <v>0.13039999999999999</v>
      </c>
      <c r="P275" s="18">
        <v>0.1701</v>
      </c>
      <c r="Q275" s="18">
        <v>0.15570000000000001</v>
      </c>
      <c r="R275" s="18">
        <v>0.52149999999999996</v>
      </c>
      <c r="S275" s="18">
        <v>0.17169999999999999</v>
      </c>
      <c r="T275" s="18">
        <v>0.22869999999999999</v>
      </c>
      <c r="U275" s="18">
        <v>0.2147</v>
      </c>
      <c r="V275" s="18">
        <v>9.7799999999999998E-2</v>
      </c>
      <c r="W275" s="18">
        <v>0.27960000000000002</v>
      </c>
      <c r="X275" s="18">
        <v>4.5999999999999999E-2</v>
      </c>
      <c r="Y275" s="18">
        <v>0.21099999999999999</v>
      </c>
      <c r="Z275" s="18">
        <v>0.17080000000000001</v>
      </c>
      <c r="AA275" s="18">
        <v>0.161</v>
      </c>
      <c r="AB275" s="18">
        <v>0.17100000000000001</v>
      </c>
      <c r="AC275" s="18">
        <v>0.1852</v>
      </c>
      <c r="AD275" s="18">
        <v>0.17419999999999999</v>
      </c>
      <c r="AE275" s="18">
        <v>0.34760000000000002</v>
      </c>
      <c r="AF275" s="18">
        <v>0.25230000000000002</v>
      </c>
      <c r="AG275" s="18">
        <v>0.32069999999999999</v>
      </c>
      <c r="AH275" s="18">
        <v>0.33019999999999999</v>
      </c>
      <c r="AI275" s="18">
        <v>0.1888</v>
      </c>
      <c r="AJ275" s="18">
        <v>0.36549999999999999</v>
      </c>
      <c r="AK275" s="18">
        <v>0.99819999999999998</v>
      </c>
      <c r="AL275" s="18">
        <v>0.19900000000000001</v>
      </c>
      <c r="AM275" s="18">
        <v>0.3957</v>
      </c>
      <c r="AN275" s="18">
        <v>0.31080000000000002</v>
      </c>
      <c r="AO275" s="18">
        <v>0.19950000000000001</v>
      </c>
      <c r="AP275" s="18">
        <v>0.32779999999999998</v>
      </c>
      <c r="AQ275" s="18">
        <v>0.53039999999999998</v>
      </c>
      <c r="AR275" s="18">
        <v>0.7611</v>
      </c>
      <c r="AS275" s="18">
        <v>0.77470000000000006</v>
      </c>
      <c r="AT275" s="18">
        <v>0.57410000000000005</v>
      </c>
      <c r="AU275" s="18">
        <v>9.4399999999999998E-2</v>
      </c>
      <c r="AV275" s="18">
        <v>0.57130000000000003</v>
      </c>
      <c r="AW275" s="18">
        <v>0.41260000000000002</v>
      </c>
      <c r="AX275" s="18">
        <v>0.3044</v>
      </c>
    </row>
    <row r="276" spans="1:50" x14ac:dyDescent="0.25">
      <c r="A276" s="16" t="s">
        <v>745</v>
      </c>
      <c r="B276" s="13" t="s">
        <v>464</v>
      </c>
      <c r="C276" s="17">
        <v>0.2094</v>
      </c>
      <c r="D276" s="17">
        <v>7.6200000000000004E-2</v>
      </c>
      <c r="E276" s="17">
        <v>7.6999999999999999E-2</v>
      </c>
      <c r="F276" s="17">
        <v>0.11219999999999999</v>
      </c>
      <c r="G276" s="17">
        <v>0.1421</v>
      </c>
      <c r="H276" s="17">
        <v>4.4999999999999998E-2</v>
      </c>
      <c r="I276" s="17">
        <v>0.2094</v>
      </c>
      <c r="J276" s="17">
        <v>4.4999999999999998E-2</v>
      </c>
      <c r="K276" s="17">
        <v>4.4999999999999998E-2</v>
      </c>
      <c r="L276" s="17">
        <v>0.13469999999999999</v>
      </c>
      <c r="M276" s="17">
        <v>0.1197</v>
      </c>
      <c r="N276" s="17">
        <v>4.4999999999999998E-2</v>
      </c>
      <c r="O276" s="17">
        <v>0.17169999999999999</v>
      </c>
      <c r="P276" s="17">
        <v>9.7299999999999998E-2</v>
      </c>
      <c r="Q276" s="17">
        <v>4.4999999999999998E-2</v>
      </c>
      <c r="R276" s="17">
        <v>0.224</v>
      </c>
      <c r="S276" s="17">
        <v>8.4699999999999998E-2</v>
      </c>
      <c r="T276" s="17">
        <v>5.5899999999999998E-2</v>
      </c>
      <c r="U276" s="17">
        <v>1.2043999999999999</v>
      </c>
      <c r="V276" s="17">
        <v>0.22239999999999999</v>
      </c>
      <c r="W276" s="17">
        <v>0.25430000000000003</v>
      </c>
      <c r="X276" s="17">
        <v>0.1487</v>
      </c>
      <c r="Y276" s="17">
        <v>1.0007999999999999</v>
      </c>
      <c r="Z276" s="17">
        <v>1.6591</v>
      </c>
      <c r="AA276" s="17">
        <v>0.31769999999999998</v>
      </c>
      <c r="AB276" s="17">
        <v>5.8000000000000003E-2</v>
      </c>
      <c r="AC276" s="17">
        <v>9.5399999999999999E-2</v>
      </c>
      <c r="AD276" s="17">
        <v>0.17199999999999999</v>
      </c>
      <c r="AE276" s="17">
        <v>4.4999999999999998E-2</v>
      </c>
      <c r="AF276" s="17">
        <v>0.17199999999999999</v>
      </c>
      <c r="AG276" s="17">
        <v>0.14000000000000001</v>
      </c>
      <c r="AH276" s="17">
        <v>0.13439999999999999</v>
      </c>
      <c r="AI276" s="17">
        <v>0.28060000000000002</v>
      </c>
      <c r="AJ276" s="17">
        <v>0.2671</v>
      </c>
      <c r="AK276" s="17">
        <v>0.25769999999999998</v>
      </c>
      <c r="AL276" s="17">
        <v>0.26050000000000001</v>
      </c>
      <c r="AM276" s="17">
        <v>0.13439999999999999</v>
      </c>
      <c r="AN276" s="17">
        <v>0.43719999999999998</v>
      </c>
      <c r="AO276" s="17">
        <v>0.94179999999999997</v>
      </c>
      <c r="AP276" s="17">
        <v>1.8315999999999999</v>
      </c>
      <c r="AQ276" s="17">
        <v>1.3048999999999999</v>
      </c>
      <c r="AR276" s="17">
        <v>1.9182999999999999</v>
      </c>
      <c r="AS276" s="17">
        <v>0.54879999999999995</v>
      </c>
      <c r="AT276" s="17">
        <v>0.76419999999999999</v>
      </c>
      <c r="AU276" s="17">
        <v>0.58750000000000002</v>
      </c>
      <c r="AV276" s="17">
        <v>0.74209999999999998</v>
      </c>
      <c r="AW276" s="17">
        <v>0.50470000000000004</v>
      </c>
      <c r="AX276" s="17">
        <v>4.4999999999999998E-2</v>
      </c>
    </row>
    <row r="277" spans="1:50" x14ac:dyDescent="0.25">
      <c r="A277" s="16" t="s">
        <v>747</v>
      </c>
      <c r="B277" s="13" t="s">
        <v>464</v>
      </c>
      <c r="C277" s="17">
        <v>3.5999999999999997E-2</v>
      </c>
      <c r="D277" s="17">
        <v>0.18559999999999999</v>
      </c>
      <c r="E277" s="17">
        <v>3.5999999999999997E-2</v>
      </c>
      <c r="F277" s="17">
        <v>3.5999999999999997E-2</v>
      </c>
      <c r="G277" s="17">
        <v>7.0000000000000007E-2</v>
      </c>
      <c r="H277" s="17">
        <v>0.15160000000000001</v>
      </c>
      <c r="I277" s="17">
        <v>3.5999999999999997E-2</v>
      </c>
      <c r="J277" s="17">
        <v>0.30349999999999999</v>
      </c>
      <c r="K277" s="17">
        <v>3.5999999999999997E-2</v>
      </c>
      <c r="L277" s="17">
        <v>0.17879999999999999</v>
      </c>
      <c r="M277" s="17">
        <v>4.2799999999999998E-2</v>
      </c>
      <c r="N277" s="17">
        <v>0.13120000000000001</v>
      </c>
      <c r="O277" s="17">
        <v>9.0399999999999994E-2</v>
      </c>
      <c r="P277" s="17">
        <v>8.3599999999999994E-2</v>
      </c>
      <c r="Q277" s="17">
        <v>0.13800000000000001</v>
      </c>
      <c r="R277" s="17">
        <v>6.4100000000000004E-2</v>
      </c>
      <c r="S277" s="17">
        <v>8.1000000000000003E-2</v>
      </c>
      <c r="T277" s="17">
        <v>1.3976999999999999</v>
      </c>
      <c r="U277" s="17">
        <v>0.30480000000000002</v>
      </c>
      <c r="V277" s="17">
        <v>0.36320000000000002</v>
      </c>
      <c r="W277" s="17">
        <v>0.1363</v>
      </c>
      <c r="X277" s="17">
        <v>0.11269999999999999</v>
      </c>
      <c r="Y277" s="17">
        <v>0.23930000000000001</v>
      </c>
      <c r="Z277" s="17">
        <v>0.56159999999999999</v>
      </c>
      <c r="AA277" s="17">
        <v>0.41189999999999999</v>
      </c>
      <c r="AB277" s="17">
        <v>1.1359999999999999</v>
      </c>
      <c r="AC277" s="17">
        <v>0.17280000000000001</v>
      </c>
      <c r="AD277" s="17">
        <v>0.29720000000000002</v>
      </c>
      <c r="AE277" s="17">
        <v>0.18909999999999999</v>
      </c>
      <c r="AF277" s="17">
        <v>6.6199999999999995E-2</v>
      </c>
      <c r="AG277" s="17">
        <v>0.1482</v>
      </c>
      <c r="AH277" s="17">
        <v>8.6199999999999999E-2</v>
      </c>
      <c r="AI277" s="17">
        <v>0.30430000000000001</v>
      </c>
      <c r="AJ277" s="17">
        <v>0.2036</v>
      </c>
      <c r="AK277" s="17">
        <v>0.46200000000000002</v>
      </c>
      <c r="AL277" s="17">
        <v>4.0599999999999997E-2</v>
      </c>
      <c r="AM277" s="17">
        <v>0.23369999999999999</v>
      </c>
      <c r="AN277" s="17">
        <v>0.33279999999999998</v>
      </c>
      <c r="AO277" s="17">
        <v>0.15890000000000001</v>
      </c>
      <c r="AP277" s="17">
        <v>0.33139999999999997</v>
      </c>
      <c r="AQ277" s="17">
        <v>0.3407</v>
      </c>
      <c r="AR277" s="17">
        <v>0.56799999999999995</v>
      </c>
      <c r="AS277" s="17">
        <v>0.51049999999999995</v>
      </c>
      <c r="AT277" s="17">
        <v>0.23200000000000001</v>
      </c>
      <c r="AU277" s="17">
        <v>0.66620000000000001</v>
      </c>
      <c r="AV277" s="17">
        <v>0.54910000000000003</v>
      </c>
      <c r="AW277" s="17">
        <v>3.5999999999999997E-2</v>
      </c>
      <c r="AX277" s="17">
        <v>3.5999999999999997E-2</v>
      </c>
    </row>
    <row r="278" spans="1:50" x14ac:dyDescent="0.25">
      <c r="A278" s="16" t="s">
        <v>749</v>
      </c>
      <c r="B278" s="13" t="s">
        <v>464</v>
      </c>
      <c r="C278" s="17">
        <v>0.05</v>
      </c>
      <c r="D278" s="17">
        <v>0.18390000000000001</v>
      </c>
      <c r="E278" s="17">
        <v>0.05</v>
      </c>
      <c r="F278" s="17">
        <v>0.05</v>
      </c>
      <c r="G278" s="17">
        <v>0.05</v>
      </c>
      <c r="H278" s="17">
        <v>0.05</v>
      </c>
      <c r="I278" s="17">
        <v>0.05</v>
      </c>
      <c r="J278" s="17">
        <v>0.05</v>
      </c>
      <c r="K278" s="17">
        <v>0.18390000000000001</v>
      </c>
      <c r="L278" s="17">
        <v>0.05</v>
      </c>
      <c r="M278" s="17">
        <v>6.83E-2</v>
      </c>
      <c r="N278" s="17">
        <v>0.1656</v>
      </c>
      <c r="O278" s="17">
        <v>0.05</v>
      </c>
      <c r="P278" s="17">
        <v>0.05</v>
      </c>
      <c r="Q278" s="17">
        <v>0.05</v>
      </c>
      <c r="R278" s="17">
        <v>9.8699999999999996E-2</v>
      </c>
      <c r="S278" s="17">
        <v>0.13519999999999999</v>
      </c>
      <c r="T278" s="17">
        <v>0.05</v>
      </c>
      <c r="U278" s="17">
        <v>0.2757</v>
      </c>
      <c r="V278" s="17">
        <v>0.15290000000000001</v>
      </c>
      <c r="W278" s="17">
        <v>8.2199999999999995E-2</v>
      </c>
      <c r="X278" s="17">
        <v>5.21E-2</v>
      </c>
      <c r="Y278" s="17">
        <v>9.8199999999999996E-2</v>
      </c>
      <c r="Z278" s="17">
        <v>0.32019999999999998</v>
      </c>
      <c r="AA278" s="17">
        <v>0.34499999999999997</v>
      </c>
      <c r="AB278" s="17">
        <v>0.253</v>
      </c>
      <c r="AC278" s="17">
        <v>1.1269</v>
      </c>
      <c r="AD278" s="17">
        <v>0.79190000000000005</v>
      </c>
      <c r="AE278" s="17">
        <v>0.2107</v>
      </c>
      <c r="AF278" s="17">
        <v>0.18390000000000001</v>
      </c>
      <c r="AG278" s="17">
        <v>0.05</v>
      </c>
      <c r="AH278" s="17">
        <v>0.1048</v>
      </c>
      <c r="AI278" s="17">
        <v>0.12909999999999999</v>
      </c>
      <c r="AJ278" s="17">
        <v>0.05</v>
      </c>
      <c r="AK278" s="17">
        <v>0.14130000000000001</v>
      </c>
      <c r="AL278" s="17">
        <v>9.2600000000000002E-2</v>
      </c>
      <c r="AM278" s="17">
        <v>0.05</v>
      </c>
      <c r="AN278" s="17">
        <v>0.18390000000000001</v>
      </c>
      <c r="AO278" s="17">
        <v>0.05</v>
      </c>
      <c r="AP278" s="17">
        <v>0.05</v>
      </c>
      <c r="AQ278" s="17">
        <v>0.18390000000000001</v>
      </c>
      <c r="AR278" s="17">
        <v>0.05</v>
      </c>
      <c r="AS278" s="17">
        <v>0.05</v>
      </c>
      <c r="AT278" s="17">
        <v>9.8699999999999996E-2</v>
      </c>
      <c r="AU278" s="17">
        <v>0.13519999999999999</v>
      </c>
      <c r="AV278" s="17">
        <v>0.05</v>
      </c>
      <c r="AW278" s="17">
        <v>0.18390000000000001</v>
      </c>
      <c r="AX278" s="17">
        <v>0.05</v>
      </c>
    </row>
    <row r="279" spans="1:50" x14ac:dyDescent="0.25">
      <c r="A279" s="8" t="s">
        <v>316</v>
      </c>
      <c r="B279" s="10" t="s">
        <v>57</v>
      </c>
      <c r="C279" s="18">
        <v>5.9200000000000003E-2</v>
      </c>
      <c r="D279" s="18">
        <v>4.5999999999999999E-2</v>
      </c>
      <c r="E279" s="18">
        <v>0.17730000000000001</v>
      </c>
      <c r="F279" s="18">
        <v>0.26750000000000002</v>
      </c>
      <c r="G279" s="18">
        <v>6.9900000000000004E-2</v>
      </c>
      <c r="H279" s="18">
        <v>0.1535</v>
      </c>
      <c r="I279" s="18">
        <v>4.5999999999999999E-2</v>
      </c>
      <c r="J279" s="18">
        <v>0.1714</v>
      </c>
      <c r="K279" s="18">
        <v>5.1999999999999998E-2</v>
      </c>
      <c r="L279" s="18">
        <v>4.5999999999999999E-2</v>
      </c>
      <c r="M279" s="18">
        <v>4.5999999999999999E-2</v>
      </c>
      <c r="N279" s="18">
        <v>0.16539999999999999</v>
      </c>
      <c r="O279" s="18">
        <v>5.79E-2</v>
      </c>
      <c r="P279" s="18">
        <v>4.5999999999999999E-2</v>
      </c>
      <c r="Q279" s="18">
        <v>0.15939999999999999</v>
      </c>
      <c r="R279" s="18">
        <v>6.3899999999999998E-2</v>
      </c>
      <c r="S279" s="18">
        <v>5.1999999999999998E-2</v>
      </c>
      <c r="T279" s="18">
        <v>0.1714</v>
      </c>
      <c r="U279" s="18">
        <v>0.23280000000000001</v>
      </c>
      <c r="V279" s="18">
        <v>0.15809999999999999</v>
      </c>
      <c r="W279" s="18">
        <v>0.1057</v>
      </c>
      <c r="X279" s="18">
        <v>1.4128000000000001</v>
      </c>
      <c r="Y279" s="18">
        <v>1.6998</v>
      </c>
      <c r="Z279" s="18">
        <v>0.41160000000000002</v>
      </c>
      <c r="AA279" s="18">
        <v>0.17460000000000001</v>
      </c>
      <c r="AB279" s="18">
        <v>1.8548</v>
      </c>
      <c r="AC279" s="18">
        <v>0.12809999999999999</v>
      </c>
      <c r="AD279" s="18">
        <v>0.15190000000000001</v>
      </c>
      <c r="AE279" s="18">
        <v>0.1535</v>
      </c>
      <c r="AF279" s="18">
        <v>4.5999999999999999E-2</v>
      </c>
      <c r="AG279" s="18">
        <v>4.5999999999999999E-2</v>
      </c>
      <c r="AH279" s="18">
        <v>4.5999999999999999E-2</v>
      </c>
      <c r="AI279" s="18">
        <v>0.17730000000000001</v>
      </c>
      <c r="AJ279" s="18">
        <v>4.5999999999999999E-2</v>
      </c>
      <c r="AK279" s="18">
        <v>0.11169999999999999</v>
      </c>
      <c r="AL279" s="18">
        <v>0.11169999999999999</v>
      </c>
      <c r="AM279" s="18">
        <v>4.5999999999999999E-2</v>
      </c>
      <c r="AN279" s="18">
        <v>0.11169999999999999</v>
      </c>
      <c r="AO279" s="18">
        <v>0.17230000000000001</v>
      </c>
      <c r="AP279" s="18">
        <v>0.22059999999999999</v>
      </c>
      <c r="AQ279" s="18">
        <v>0.62560000000000004</v>
      </c>
      <c r="AR279" s="18">
        <v>0.15379999999999999</v>
      </c>
      <c r="AS279" s="18">
        <v>0.40889999999999999</v>
      </c>
      <c r="AT279" s="18">
        <v>0.59189999999999998</v>
      </c>
      <c r="AU279" s="18">
        <v>0.18940000000000001</v>
      </c>
      <c r="AV279" s="18">
        <v>0.1195</v>
      </c>
      <c r="AW279" s="18">
        <v>0.1236</v>
      </c>
      <c r="AX279" s="18">
        <v>9.9699999999999997E-2</v>
      </c>
    </row>
    <row r="280" spans="1:50" x14ac:dyDescent="0.25">
      <c r="A280" s="8" t="s">
        <v>318</v>
      </c>
      <c r="B280" s="10" t="s">
        <v>57</v>
      </c>
      <c r="C280" s="18">
        <v>0.1091</v>
      </c>
      <c r="D280" s="18">
        <v>0.20810000000000001</v>
      </c>
      <c r="E280" s="18">
        <v>0.10730000000000001</v>
      </c>
      <c r="F280" s="18">
        <v>8.5000000000000006E-2</v>
      </c>
      <c r="G280" s="18">
        <v>0.2944</v>
      </c>
      <c r="H280" s="18">
        <v>4.4999999999999998E-2</v>
      </c>
      <c r="I280" s="18">
        <v>4.4999999999999998E-2</v>
      </c>
      <c r="J280" s="18">
        <v>0.32879999999999998</v>
      </c>
      <c r="K280" s="18">
        <v>5.0700000000000002E-2</v>
      </c>
      <c r="L280" s="18">
        <v>0.23169999999999999</v>
      </c>
      <c r="M280" s="18">
        <v>0.1477</v>
      </c>
      <c r="N280" s="18">
        <v>4.4999999999999998E-2</v>
      </c>
      <c r="O280" s="18">
        <v>8.9300000000000004E-2</v>
      </c>
      <c r="P280" s="18">
        <v>0.29010000000000002</v>
      </c>
      <c r="Q280" s="18">
        <v>4.4999999999999998E-2</v>
      </c>
      <c r="R280" s="18">
        <v>8.4699999999999998E-2</v>
      </c>
      <c r="S280" s="18">
        <v>0.27879999999999999</v>
      </c>
      <c r="T280" s="18">
        <v>6.6699999999999995E-2</v>
      </c>
      <c r="U280" s="18">
        <v>0.28639999999999999</v>
      </c>
      <c r="V280" s="18">
        <v>0.3831</v>
      </c>
      <c r="W280" s="18">
        <v>4.6300000000000001E-2</v>
      </c>
      <c r="X280" s="18">
        <v>0.28639999999999999</v>
      </c>
      <c r="Y280" s="18">
        <v>9.2999999999999999E-2</v>
      </c>
      <c r="Z280" s="18">
        <v>0.1583</v>
      </c>
      <c r="AA280" s="18">
        <v>0.1678</v>
      </c>
      <c r="AB280" s="18">
        <v>0.14860000000000001</v>
      </c>
      <c r="AC280" s="18">
        <v>0.8679</v>
      </c>
      <c r="AD280" s="18">
        <v>0.74239999999999995</v>
      </c>
      <c r="AE280" s="18">
        <v>0.27729999999999999</v>
      </c>
      <c r="AF280" s="18">
        <v>0.26900000000000002</v>
      </c>
      <c r="AG280" s="18">
        <v>0.42659999999999998</v>
      </c>
      <c r="AH280" s="18">
        <v>0.1381</v>
      </c>
      <c r="AI280" s="18">
        <v>0.2104</v>
      </c>
      <c r="AJ280" s="18">
        <v>0.34760000000000002</v>
      </c>
      <c r="AK280" s="18">
        <v>0.16880000000000001</v>
      </c>
      <c r="AL280" s="18">
        <v>0.53680000000000005</v>
      </c>
      <c r="AM280" s="18">
        <v>0.17660000000000001</v>
      </c>
      <c r="AN280" s="18">
        <v>0.31259999999999999</v>
      </c>
      <c r="AO280" s="18">
        <v>0.4289</v>
      </c>
      <c r="AP280" s="18">
        <v>0.44429999999999997</v>
      </c>
      <c r="AQ280" s="18">
        <v>0.81910000000000005</v>
      </c>
      <c r="AR280" s="18">
        <v>0.49769999999999998</v>
      </c>
      <c r="AS280" s="18">
        <v>0.5242</v>
      </c>
      <c r="AT280" s="18">
        <v>0.9325</v>
      </c>
      <c r="AU280" s="18">
        <v>0.65969999999999995</v>
      </c>
      <c r="AV280" s="18">
        <v>0.47899999999999998</v>
      </c>
      <c r="AW280" s="18">
        <v>0.54269999999999996</v>
      </c>
      <c r="AX280" s="18">
        <v>0.1971</v>
      </c>
    </row>
    <row r="281" spans="1:50" x14ac:dyDescent="0.25">
      <c r="A281" s="16" t="s">
        <v>751</v>
      </c>
      <c r="B281" s="13" t="s">
        <v>464</v>
      </c>
      <c r="C281" s="17">
        <v>0.113</v>
      </c>
      <c r="D281" s="17">
        <v>4.1000000000000002E-2</v>
      </c>
      <c r="E281" s="17">
        <v>4.1000000000000002E-2</v>
      </c>
      <c r="F281" s="17">
        <v>6.0999999999999999E-2</v>
      </c>
      <c r="G281" s="17">
        <v>9.2999999999999999E-2</v>
      </c>
      <c r="H281" s="17">
        <v>4.1000000000000002E-2</v>
      </c>
      <c r="I281" s="17">
        <v>4.1000000000000002E-2</v>
      </c>
      <c r="J281" s="17">
        <v>5.2999999999999999E-2</v>
      </c>
      <c r="K281" s="17">
        <v>0.10100000000000001</v>
      </c>
      <c r="L281" s="17">
        <v>4.1000000000000002E-2</v>
      </c>
      <c r="M281" s="17">
        <v>4.1000000000000002E-2</v>
      </c>
      <c r="N281" s="17">
        <v>4.1000000000000002E-2</v>
      </c>
      <c r="O281" s="17">
        <v>4.9000000000000002E-2</v>
      </c>
      <c r="P281" s="17">
        <v>0.105</v>
      </c>
      <c r="Q281" s="17">
        <v>4.1000000000000002E-2</v>
      </c>
      <c r="R281" s="17">
        <v>0.21709999999999999</v>
      </c>
      <c r="S281" s="17">
        <v>0.1216</v>
      </c>
      <c r="T281" s="17">
        <v>4.1000000000000002E-2</v>
      </c>
      <c r="U281" s="17">
        <v>0.1193</v>
      </c>
      <c r="V281" s="17">
        <v>0.16070000000000001</v>
      </c>
      <c r="W281" s="17">
        <v>4.1000000000000002E-2</v>
      </c>
      <c r="X281" s="17">
        <v>0.10100000000000001</v>
      </c>
      <c r="Y281" s="17">
        <v>0.10589999999999999</v>
      </c>
      <c r="Z281" s="17">
        <v>7.2099999999999997E-2</v>
      </c>
      <c r="AA281" s="17">
        <v>1.0366</v>
      </c>
      <c r="AB281" s="17">
        <v>4.1000000000000002E-2</v>
      </c>
      <c r="AC281" s="17">
        <v>0.113</v>
      </c>
      <c r="AD281" s="17">
        <v>0.2792</v>
      </c>
      <c r="AE281" s="17">
        <v>0.1129</v>
      </c>
      <c r="AF281" s="17">
        <v>0.13639999999999999</v>
      </c>
      <c r="AG281" s="17">
        <v>0.16220000000000001</v>
      </c>
      <c r="AH281" s="17">
        <v>0.16889999999999999</v>
      </c>
      <c r="AI281" s="17">
        <v>0.28849999999999998</v>
      </c>
      <c r="AJ281" s="17">
        <v>0.2064</v>
      </c>
      <c r="AK281" s="17">
        <v>0.25380000000000003</v>
      </c>
      <c r="AL281" s="17">
        <v>0.3296</v>
      </c>
      <c r="AM281" s="17">
        <v>0.34939999999999999</v>
      </c>
      <c r="AN281" s="17">
        <v>0.2641</v>
      </c>
      <c r="AO281" s="17">
        <v>0.3795</v>
      </c>
      <c r="AP281" s="17">
        <v>0.49809999999999999</v>
      </c>
      <c r="AQ281" s="17">
        <v>0.6069</v>
      </c>
      <c r="AR281" s="17">
        <v>0.63719999999999999</v>
      </c>
      <c r="AS281" s="17">
        <v>0.5202</v>
      </c>
      <c r="AT281" s="17">
        <v>1.4394</v>
      </c>
      <c r="AU281" s="17">
        <v>0.88660000000000005</v>
      </c>
      <c r="AV281" s="17">
        <v>0.91269999999999996</v>
      </c>
      <c r="AW281" s="17">
        <v>0.89570000000000005</v>
      </c>
      <c r="AX281" s="17">
        <v>0.49</v>
      </c>
    </row>
    <row r="282" spans="1:50" x14ac:dyDescent="0.25">
      <c r="A282" s="8" t="s">
        <v>320</v>
      </c>
      <c r="B282" s="10" t="s">
        <v>57</v>
      </c>
      <c r="C282" s="18">
        <v>5.2999999999999999E-2</v>
      </c>
      <c r="D282" s="18">
        <v>0.219</v>
      </c>
      <c r="E282" s="18">
        <v>5.2999999999999999E-2</v>
      </c>
      <c r="F282" s="18">
        <v>5.2999999999999999E-2</v>
      </c>
      <c r="G282" s="18">
        <v>0.219</v>
      </c>
      <c r="H282" s="18">
        <v>5.2999999999999999E-2</v>
      </c>
      <c r="I282" s="18">
        <v>0.2039</v>
      </c>
      <c r="J282" s="18">
        <v>6.8099999999999994E-2</v>
      </c>
      <c r="K282" s="18">
        <v>0.15859999999999999</v>
      </c>
      <c r="L282" s="18">
        <v>0.1134</v>
      </c>
      <c r="M282" s="18">
        <v>5.2999999999999999E-2</v>
      </c>
      <c r="N282" s="18">
        <v>0.2349</v>
      </c>
      <c r="O282" s="18">
        <v>0.26329999999999998</v>
      </c>
      <c r="P282" s="18">
        <v>5.2999999999999999E-2</v>
      </c>
      <c r="Q282" s="18">
        <v>0.1855</v>
      </c>
      <c r="R282" s="18">
        <v>0.14910000000000001</v>
      </c>
      <c r="S282" s="18">
        <v>9.0899999999999995E-2</v>
      </c>
      <c r="T282" s="18">
        <v>8.2199999999999995E-2</v>
      </c>
      <c r="U282" s="18">
        <v>1.5150999999999999</v>
      </c>
      <c r="V282" s="18">
        <v>0.37969999999999998</v>
      </c>
      <c r="W282" s="18">
        <v>9.2999999999999999E-2</v>
      </c>
      <c r="X282" s="18">
        <v>0.255</v>
      </c>
      <c r="Y282" s="18">
        <v>0.30259999999999998</v>
      </c>
      <c r="Z282" s="18">
        <v>0.49490000000000001</v>
      </c>
      <c r="AA282" s="18">
        <v>0.37480000000000002</v>
      </c>
      <c r="AB282" s="18">
        <v>0.39489999999999997</v>
      </c>
      <c r="AC282" s="18">
        <v>0.14929999999999999</v>
      </c>
      <c r="AD282" s="18">
        <v>0.219</v>
      </c>
      <c r="AE282" s="18">
        <v>9.8199999999999996E-2</v>
      </c>
      <c r="AF282" s="18">
        <v>0.15179999999999999</v>
      </c>
      <c r="AG282" s="18">
        <v>0.1431</v>
      </c>
      <c r="AH282" s="18">
        <v>0.24540000000000001</v>
      </c>
      <c r="AI282" s="18">
        <v>0.1043</v>
      </c>
      <c r="AJ282" s="18">
        <v>5.2999999999999999E-2</v>
      </c>
      <c r="AK282" s="18">
        <v>0.16619999999999999</v>
      </c>
      <c r="AL282" s="18">
        <v>0.10580000000000001</v>
      </c>
      <c r="AM282" s="18">
        <v>5.2999999999999999E-2</v>
      </c>
      <c r="AN282" s="18">
        <v>0.219</v>
      </c>
      <c r="AO282" s="18">
        <v>0.1676</v>
      </c>
      <c r="AP282" s="18">
        <v>0.47260000000000002</v>
      </c>
      <c r="AQ282" s="18">
        <v>0.51890000000000003</v>
      </c>
      <c r="AR282" s="18">
        <v>0.46639999999999998</v>
      </c>
      <c r="AS282" s="18">
        <v>0.53739999999999999</v>
      </c>
      <c r="AT282" s="18">
        <v>0.31340000000000001</v>
      </c>
      <c r="AU282" s="18">
        <v>0.40489999999999998</v>
      </c>
      <c r="AV282" s="18">
        <v>0.92400000000000004</v>
      </c>
      <c r="AW282" s="18">
        <v>0.62</v>
      </c>
      <c r="AX282" s="18">
        <v>0.75209999999999999</v>
      </c>
    </row>
    <row r="283" spans="1:50" x14ac:dyDescent="0.25">
      <c r="A283" s="8" t="s">
        <v>322</v>
      </c>
      <c r="B283" s="10" t="s">
        <v>57</v>
      </c>
      <c r="C283" s="18">
        <v>7.5899999999999995E-2</v>
      </c>
      <c r="D283" s="18">
        <v>0.14460000000000001</v>
      </c>
      <c r="E283" s="18">
        <v>5.2999999999999999E-2</v>
      </c>
      <c r="F283" s="18">
        <v>0.16750000000000001</v>
      </c>
      <c r="G283" s="18">
        <v>5.2999999999999999E-2</v>
      </c>
      <c r="H283" s="18">
        <v>6.4399999999999999E-2</v>
      </c>
      <c r="I283" s="18">
        <v>0.156</v>
      </c>
      <c r="J283" s="18">
        <v>5.2999999999999999E-2</v>
      </c>
      <c r="K283" s="18">
        <v>9.8799999999999999E-2</v>
      </c>
      <c r="L283" s="18">
        <v>0.1217</v>
      </c>
      <c r="M283" s="18">
        <v>6.4399999999999999E-2</v>
      </c>
      <c r="N283" s="18">
        <v>0.156</v>
      </c>
      <c r="O283" s="18">
        <v>5.2999999999999999E-2</v>
      </c>
      <c r="P283" s="18">
        <v>0.13009999999999999</v>
      </c>
      <c r="Q283" s="18">
        <v>9.8799999999999999E-2</v>
      </c>
      <c r="R283" s="18">
        <v>5.4899999999999997E-2</v>
      </c>
      <c r="S283" s="18">
        <v>7.5700000000000003E-2</v>
      </c>
      <c r="T283" s="18">
        <v>0.1832</v>
      </c>
      <c r="U283" s="18">
        <v>7.1499999999999994E-2</v>
      </c>
      <c r="V283" s="18">
        <v>0.17349999999999999</v>
      </c>
      <c r="W283" s="18">
        <v>0.17879999999999999</v>
      </c>
      <c r="X283" s="18">
        <v>0.46539999999999998</v>
      </c>
      <c r="Y283" s="18">
        <v>2.7555000000000001</v>
      </c>
      <c r="Z283" s="18">
        <v>2.6173000000000002</v>
      </c>
      <c r="AA283" s="18">
        <v>0.2616</v>
      </c>
      <c r="AB283" s="18">
        <v>0.1787</v>
      </c>
      <c r="AC283" s="18">
        <v>2.1322999999999999</v>
      </c>
      <c r="AD283" s="18">
        <v>0.61029999999999995</v>
      </c>
      <c r="AE283" s="18">
        <v>0.307</v>
      </c>
      <c r="AF283" s="18">
        <v>0.1696</v>
      </c>
      <c r="AG283" s="18">
        <v>5.2999999999999999E-2</v>
      </c>
      <c r="AH283" s="18">
        <v>0.16750000000000001</v>
      </c>
      <c r="AI283" s="18">
        <v>5.2999999999999999E-2</v>
      </c>
      <c r="AJ283" s="18">
        <v>5.2999999999999999E-2</v>
      </c>
      <c r="AK283" s="18">
        <v>5.2999999999999999E-2</v>
      </c>
      <c r="AL283" s="18">
        <v>0.3039</v>
      </c>
      <c r="AM283" s="18">
        <v>0.2349</v>
      </c>
      <c r="AN283" s="18">
        <v>0.1071</v>
      </c>
      <c r="AO283" s="18">
        <v>0.20749999999999999</v>
      </c>
      <c r="AP283" s="18">
        <v>0.39939999999999998</v>
      </c>
      <c r="AQ283" s="18">
        <v>0.61370000000000002</v>
      </c>
      <c r="AR283" s="18">
        <v>0.8044</v>
      </c>
      <c r="AS283" s="18">
        <v>0.72789999999999999</v>
      </c>
      <c r="AT283" s="18">
        <v>0.9224</v>
      </c>
      <c r="AU283" s="18">
        <v>5.2999999999999999E-2</v>
      </c>
      <c r="AV283" s="18">
        <v>0.11020000000000001</v>
      </c>
      <c r="AW283" s="18">
        <v>0.11020000000000001</v>
      </c>
      <c r="AX283" s="18">
        <v>5.2999999999999999E-2</v>
      </c>
    </row>
    <row r="284" spans="1:50" x14ac:dyDescent="0.25">
      <c r="A284" s="8" t="s">
        <v>324</v>
      </c>
      <c r="B284" s="10" t="s">
        <v>57</v>
      </c>
      <c r="C284" s="18">
        <v>0.1338</v>
      </c>
      <c r="D284" s="18">
        <v>7.9799999999999996E-2</v>
      </c>
      <c r="E284" s="18">
        <v>0.18770000000000001</v>
      </c>
      <c r="F284" s="18">
        <v>4.9000000000000002E-2</v>
      </c>
      <c r="G284" s="18">
        <v>0.21859999999999999</v>
      </c>
      <c r="H284" s="18">
        <v>4.9000000000000002E-2</v>
      </c>
      <c r="I284" s="18">
        <v>0.12609999999999999</v>
      </c>
      <c r="J284" s="18">
        <v>0.14149999999999999</v>
      </c>
      <c r="K284" s="18">
        <v>6.4399999999999999E-2</v>
      </c>
      <c r="L284" s="18">
        <v>0.20319999999999999</v>
      </c>
      <c r="M284" s="18">
        <v>4.9000000000000002E-2</v>
      </c>
      <c r="N284" s="18">
        <v>0.20319999999999999</v>
      </c>
      <c r="O284" s="18">
        <v>6.4399999999999999E-2</v>
      </c>
      <c r="P284" s="18">
        <v>8.4400000000000003E-2</v>
      </c>
      <c r="Q284" s="18">
        <v>0.19570000000000001</v>
      </c>
      <c r="R284" s="18">
        <v>5.7000000000000002E-2</v>
      </c>
      <c r="S284" s="18">
        <v>0.18290000000000001</v>
      </c>
      <c r="T284" s="18">
        <v>0.1032</v>
      </c>
      <c r="U284" s="18">
        <v>0.1341</v>
      </c>
      <c r="V284" s="18">
        <v>0.14949999999999999</v>
      </c>
      <c r="W284" s="18">
        <v>0.2437</v>
      </c>
      <c r="X284" s="18">
        <v>0.18329999999999999</v>
      </c>
      <c r="Y284" s="18">
        <v>0.27039999999999997</v>
      </c>
      <c r="Z284" s="18">
        <v>0.44450000000000001</v>
      </c>
      <c r="AA284" s="18">
        <v>0.25790000000000002</v>
      </c>
      <c r="AB284" s="18">
        <v>0.4657</v>
      </c>
      <c r="AC284" s="18">
        <v>0.31240000000000001</v>
      </c>
      <c r="AD284" s="18">
        <v>0.21079999999999999</v>
      </c>
      <c r="AE284" s="18">
        <v>0.2039</v>
      </c>
      <c r="AF284" s="18">
        <v>0.27</v>
      </c>
      <c r="AG284" s="18">
        <v>0.25090000000000001</v>
      </c>
      <c r="AH284" s="18">
        <v>0.25540000000000002</v>
      </c>
      <c r="AI284" s="18">
        <v>5.6399999999999999E-2</v>
      </c>
      <c r="AJ284" s="18">
        <v>0.22040000000000001</v>
      </c>
      <c r="AK284" s="18">
        <v>0.112</v>
      </c>
      <c r="AL284" s="18">
        <v>8.1199999999999994E-2</v>
      </c>
      <c r="AM284" s="18">
        <v>0.224</v>
      </c>
      <c r="AN284" s="18">
        <v>6.2700000000000006E-2</v>
      </c>
      <c r="AO284" s="18">
        <v>0.13950000000000001</v>
      </c>
      <c r="AP284" s="18">
        <v>0.34189999999999998</v>
      </c>
      <c r="AQ284" s="18">
        <v>0.33160000000000001</v>
      </c>
      <c r="AR284" s="18">
        <v>0.502</v>
      </c>
      <c r="AS284" s="18">
        <v>0.5706</v>
      </c>
      <c r="AT284" s="18">
        <v>0.62380000000000002</v>
      </c>
      <c r="AU284" s="18">
        <v>0.56320000000000003</v>
      </c>
      <c r="AV284" s="18">
        <v>0.45050000000000001</v>
      </c>
      <c r="AW284" s="18">
        <v>1.5399</v>
      </c>
      <c r="AX284" s="18">
        <v>1.3935</v>
      </c>
    </row>
    <row r="285" spans="1:50" x14ac:dyDescent="0.25">
      <c r="A285" s="16" t="s">
        <v>753</v>
      </c>
      <c r="B285" s="13" t="s">
        <v>464</v>
      </c>
      <c r="C285" s="17">
        <v>0.17910000000000001</v>
      </c>
      <c r="D285" s="17">
        <v>4.1000000000000002E-2</v>
      </c>
      <c r="E285" s="17">
        <v>0.1477</v>
      </c>
      <c r="F285" s="17">
        <v>7.2400000000000006E-2</v>
      </c>
      <c r="G285" s="17">
        <v>4.1000000000000002E-2</v>
      </c>
      <c r="H285" s="17">
        <v>0.17910000000000001</v>
      </c>
      <c r="I285" s="17">
        <v>4.1000000000000002E-2</v>
      </c>
      <c r="J285" s="17">
        <v>9.7500000000000003E-2</v>
      </c>
      <c r="K285" s="17">
        <v>0.1226</v>
      </c>
      <c r="L285" s="17">
        <v>4.1000000000000002E-2</v>
      </c>
      <c r="M285" s="17">
        <v>0.154</v>
      </c>
      <c r="N285" s="17">
        <v>6.6100000000000006E-2</v>
      </c>
      <c r="O285" s="17">
        <v>4.1000000000000002E-2</v>
      </c>
      <c r="P285" s="17">
        <v>0.17910000000000001</v>
      </c>
      <c r="Q285" s="17">
        <v>0.1298</v>
      </c>
      <c r="R285" s="17">
        <v>8.5400000000000004E-2</v>
      </c>
      <c r="S285" s="17">
        <v>0.17419999999999999</v>
      </c>
      <c r="T285" s="17">
        <v>0.5131</v>
      </c>
      <c r="U285" s="17">
        <v>0.17829999999999999</v>
      </c>
      <c r="V285" s="17">
        <v>0.16789999999999999</v>
      </c>
      <c r="W285" s="17">
        <v>0.23880000000000001</v>
      </c>
      <c r="X285" s="17">
        <v>0.27050000000000002</v>
      </c>
      <c r="Y285" s="17">
        <v>0.43030000000000002</v>
      </c>
      <c r="Z285" s="17">
        <v>0.28839999999999999</v>
      </c>
      <c r="AA285" s="17">
        <v>1.1353</v>
      </c>
      <c r="AB285" s="17">
        <v>0.37840000000000001</v>
      </c>
      <c r="AC285" s="17">
        <v>0.35520000000000002</v>
      </c>
      <c r="AD285" s="17">
        <v>0.17910000000000001</v>
      </c>
      <c r="AE285" s="17">
        <v>4.1000000000000002E-2</v>
      </c>
      <c r="AF285" s="17">
        <v>1.2573000000000001</v>
      </c>
      <c r="AG285" s="17">
        <v>0.2097</v>
      </c>
      <c r="AH285" s="17">
        <v>0.50060000000000004</v>
      </c>
      <c r="AI285" s="17">
        <v>0.1978</v>
      </c>
      <c r="AJ285" s="17">
        <v>4.1000000000000002E-2</v>
      </c>
      <c r="AK285" s="17">
        <v>0.29599999999999999</v>
      </c>
      <c r="AL285" s="17">
        <v>0.1605</v>
      </c>
      <c r="AM285" s="17">
        <v>0.27339999999999998</v>
      </c>
      <c r="AN285" s="17">
        <v>0.26790000000000003</v>
      </c>
      <c r="AO285" s="17">
        <v>0.1729</v>
      </c>
      <c r="AP285" s="17">
        <v>4.1000000000000002E-2</v>
      </c>
      <c r="AQ285" s="17">
        <v>0.1226</v>
      </c>
      <c r="AR285" s="17">
        <v>9.7500000000000003E-2</v>
      </c>
      <c r="AS285" s="17">
        <v>4.1000000000000002E-2</v>
      </c>
      <c r="AT285" s="17">
        <v>4.1000000000000002E-2</v>
      </c>
      <c r="AU285" s="17">
        <v>0.17910000000000001</v>
      </c>
      <c r="AV285" s="17">
        <v>4.1000000000000002E-2</v>
      </c>
      <c r="AW285" s="17">
        <v>4.1000000000000002E-2</v>
      </c>
      <c r="AX285" s="17">
        <v>0.17910000000000001</v>
      </c>
    </row>
    <row r="286" spans="1:50" x14ac:dyDescent="0.25">
      <c r="A286" s="8" t="s">
        <v>326</v>
      </c>
      <c r="B286" s="10" t="s">
        <v>57</v>
      </c>
      <c r="C286" s="18">
        <v>5.5899999999999998E-2</v>
      </c>
      <c r="D286" s="18">
        <v>0.10440000000000001</v>
      </c>
      <c r="E286" s="18">
        <v>8.5000000000000006E-2</v>
      </c>
      <c r="F286" s="18">
        <v>5.0999999999999997E-2</v>
      </c>
      <c r="G286" s="18">
        <v>0.13850000000000001</v>
      </c>
      <c r="H286" s="18">
        <v>5.0999999999999997E-2</v>
      </c>
      <c r="I286" s="18">
        <v>5.0999999999999997E-2</v>
      </c>
      <c r="J286" s="18">
        <v>5.0999999999999997E-2</v>
      </c>
      <c r="K286" s="18">
        <v>0.13850000000000001</v>
      </c>
      <c r="L286" s="18">
        <v>5.0999999999999997E-2</v>
      </c>
      <c r="M286" s="18">
        <v>0.1142</v>
      </c>
      <c r="N286" s="18">
        <v>7.5300000000000006E-2</v>
      </c>
      <c r="O286" s="18">
        <v>5.0999999999999997E-2</v>
      </c>
      <c r="P286" s="18">
        <v>0.1142</v>
      </c>
      <c r="Q286" s="18">
        <v>0.09</v>
      </c>
      <c r="R286" s="18">
        <v>0.2492</v>
      </c>
      <c r="S286" s="18">
        <v>7.5300000000000006E-2</v>
      </c>
      <c r="T286" s="18">
        <v>5.0999999999999997E-2</v>
      </c>
      <c r="U286" s="18">
        <v>0.13850000000000001</v>
      </c>
      <c r="V286" s="18">
        <v>5.8999999999999997E-2</v>
      </c>
      <c r="W286" s="18">
        <v>6.54E-2</v>
      </c>
      <c r="X286" s="18">
        <v>1.4321999999999999</v>
      </c>
      <c r="Y286" s="18">
        <v>0.20630000000000001</v>
      </c>
      <c r="Z286" s="18">
        <v>0.1613</v>
      </c>
      <c r="AA286" s="18">
        <v>5.0999999999999997E-2</v>
      </c>
      <c r="AB286" s="18">
        <v>0.1239</v>
      </c>
      <c r="AC286" s="18">
        <v>0.79190000000000005</v>
      </c>
      <c r="AD286" s="18">
        <v>0.12959999999999999</v>
      </c>
      <c r="AE286" s="18">
        <v>0.12139999999999999</v>
      </c>
      <c r="AF286" s="18">
        <v>7.6200000000000004E-2</v>
      </c>
      <c r="AG286" s="18">
        <v>5.0999999999999997E-2</v>
      </c>
      <c r="AH286" s="18">
        <v>0.13850000000000001</v>
      </c>
      <c r="AI286" s="18">
        <v>5.0999999999999997E-2</v>
      </c>
      <c r="AJ286" s="18">
        <v>0.29670000000000002</v>
      </c>
      <c r="AK286" s="18">
        <v>0.1142</v>
      </c>
      <c r="AL286" s="18">
        <v>0.1605</v>
      </c>
      <c r="AM286" s="18">
        <v>1.3407</v>
      </c>
      <c r="AN286" s="18">
        <v>0.52990000000000004</v>
      </c>
      <c r="AO286" s="18">
        <v>0.29930000000000001</v>
      </c>
      <c r="AP286" s="18">
        <v>0.42970000000000003</v>
      </c>
      <c r="AQ286" s="18">
        <v>0.40629999999999999</v>
      </c>
      <c r="AR286" s="18">
        <v>0.42430000000000001</v>
      </c>
      <c r="AS286" s="18">
        <v>0.4385</v>
      </c>
      <c r="AT286" s="18">
        <v>0.23949999999999999</v>
      </c>
      <c r="AU286" s="18">
        <v>5.0999999999999997E-2</v>
      </c>
      <c r="AV286" s="18">
        <v>0.13850000000000001</v>
      </c>
      <c r="AW286" s="18">
        <v>5.0999999999999997E-2</v>
      </c>
      <c r="AX286" s="18">
        <v>5.0999999999999997E-2</v>
      </c>
    </row>
    <row r="287" spans="1:50" x14ac:dyDescent="0.25">
      <c r="A287" s="16" t="s">
        <v>755</v>
      </c>
      <c r="B287" s="13" t="s">
        <v>464</v>
      </c>
      <c r="C287" s="17">
        <v>5.5E-2</v>
      </c>
      <c r="D287" s="17">
        <v>0.1678</v>
      </c>
      <c r="E287" s="17">
        <v>6.0900000000000003E-2</v>
      </c>
      <c r="F287" s="17">
        <v>5.5E-2</v>
      </c>
      <c r="G287" s="17">
        <v>0.23269999999999999</v>
      </c>
      <c r="H287" s="17">
        <v>0.12570000000000001</v>
      </c>
      <c r="I287" s="17">
        <v>5.5E-2</v>
      </c>
      <c r="J287" s="17">
        <v>0.1729</v>
      </c>
      <c r="K287" s="17">
        <v>0.1855</v>
      </c>
      <c r="L287" s="17">
        <v>5.5E-2</v>
      </c>
      <c r="M287" s="17">
        <v>5.5E-2</v>
      </c>
      <c r="N287" s="17">
        <v>0.3034</v>
      </c>
      <c r="O287" s="17">
        <v>5.5E-2</v>
      </c>
      <c r="P287" s="17">
        <v>0.2326</v>
      </c>
      <c r="Q287" s="17">
        <v>0.1258</v>
      </c>
      <c r="R287" s="17">
        <v>0.10059999999999999</v>
      </c>
      <c r="S287" s="17">
        <v>0.22339999999999999</v>
      </c>
      <c r="T287" s="17">
        <v>0.2422</v>
      </c>
      <c r="U287" s="17">
        <v>0.1234</v>
      </c>
      <c r="V287" s="17">
        <v>0.31719999999999998</v>
      </c>
      <c r="W287" s="17">
        <v>0.9133</v>
      </c>
      <c r="X287" s="17">
        <v>0.26229999999999998</v>
      </c>
      <c r="Y287" s="17">
        <v>0.1943</v>
      </c>
      <c r="Z287" s="17">
        <v>0.21160000000000001</v>
      </c>
      <c r="AA287" s="17">
        <v>5.5E-2</v>
      </c>
      <c r="AB287" s="17">
        <v>0.29749999999999999</v>
      </c>
      <c r="AC287" s="17">
        <v>0.18909999999999999</v>
      </c>
      <c r="AD287" s="17">
        <v>0.24970000000000001</v>
      </c>
      <c r="AE287" s="17">
        <v>0.2104</v>
      </c>
      <c r="AF287" s="17">
        <v>0.12659999999999999</v>
      </c>
      <c r="AG287" s="17">
        <v>0.38069999999999998</v>
      </c>
      <c r="AH287" s="17">
        <v>5.5E-2</v>
      </c>
      <c r="AI287" s="17">
        <v>5.5E-2</v>
      </c>
      <c r="AJ287" s="17">
        <v>0.17369999999999999</v>
      </c>
      <c r="AK287" s="17">
        <v>0.18459999999999999</v>
      </c>
      <c r="AL287" s="17">
        <v>5.5E-2</v>
      </c>
      <c r="AM287" s="17">
        <v>6.6799999999999998E-2</v>
      </c>
      <c r="AN287" s="17">
        <v>0.1966</v>
      </c>
      <c r="AO287" s="17">
        <v>0.15</v>
      </c>
      <c r="AP287" s="17">
        <v>9.0300000000000005E-2</v>
      </c>
      <c r="AQ287" s="17">
        <v>0.14929999999999999</v>
      </c>
      <c r="AR287" s="17">
        <v>0.1203</v>
      </c>
      <c r="AS287" s="17">
        <v>0.23799999999999999</v>
      </c>
      <c r="AT287" s="17">
        <v>5.5E-2</v>
      </c>
      <c r="AU287" s="17">
        <v>0.26800000000000002</v>
      </c>
      <c r="AV287" s="17">
        <v>9.0300000000000005E-2</v>
      </c>
      <c r="AW287" s="17">
        <v>7.8600000000000003E-2</v>
      </c>
      <c r="AX287" s="17">
        <v>0.22770000000000001</v>
      </c>
    </row>
    <row r="288" spans="1:50" x14ac:dyDescent="0.25">
      <c r="A288" s="8" t="s">
        <v>328</v>
      </c>
      <c r="B288" s="10" t="s">
        <v>57</v>
      </c>
      <c r="C288" s="18">
        <v>6.54E-2</v>
      </c>
      <c r="D288" s="18">
        <v>0.30690000000000001</v>
      </c>
      <c r="E288" s="18">
        <v>6.2600000000000003E-2</v>
      </c>
      <c r="F288" s="18">
        <v>0.14879999999999999</v>
      </c>
      <c r="G288" s="18">
        <v>0.2341</v>
      </c>
      <c r="H288" s="18">
        <v>0.13300000000000001</v>
      </c>
      <c r="I288" s="18">
        <v>0.1119</v>
      </c>
      <c r="J288" s="18">
        <v>0.14829999999999999</v>
      </c>
      <c r="K288" s="18">
        <v>0.3125</v>
      </c>
      <c r="L288" s="18">
        <v>4.7E-2</v>
      </c>
      <c r="M288" s="18">
        <v>0.14050000000000001</v>
      </c>
      <c r="N288" s="18">
        <v>0.32029999999999997</v>
      </c>
      <c r="O288" s="18">
        <v>0.123</v>
      </c>
      <c r="P288" s="18">
        <v>0.30149999999999999</v>
      </c>
      <c r="Q288" s="18">
        <v>0.70520000000000005</v>
      </c>
      <c r="R288" s="18">
        <v>0.39989999999999998</v>
      </c>
      <c r="S288" s="18">
        <v>0.60219999999999996</v>
      </c>
      <c r="T288" s="18">
        <v>0.1721</v>
      </c>
      <c r="U288" s="18">
        <v>0.1069</v>
      </c>
      <c r="V288" s="18">
        <v>1.3161</v>
      </c>
      <c r="W288" s="18">
        <v>0.21299999999999999</v>
      </c>
      <c r="X288" s="18">
        <v>0.38569999999999999</v>
      </c>
      <c r="Y288" s="18">
        <v>0.34920000000000001</v>
      </c>
      <c r="Z288" s="18">
        <v>0.35199999999999998</v>
      </c>
      <c r="AA288" s="18">
        <v>0.25629999999999997</v>
      </c>
      <c r="AB288" s="18">
        <v>0.1394</v>
      </c>
      <c r="AC288" s="18">
        <v>0.32219999999999999</v>
      </c>
      <c r="AD288" s="18">
        <v>0.17599999999999999</v>
      </c>
      <c r="AE288" s="18">
        <v>1.2537</v>
      </c>
      <c r="AF288" s="18">
        <v>0.87209999999999999</v>
      </c>
      <c r="AG288" s="18">
        <v>1.8246</v>
      </c>
      <c r="AH288" s="18">
        <v>0.17730000000000001</v>
      </c>
      <c r="AI288" s="18">
        <v>0.28410000000000002</v>
      </c>
      <c r="AJ288" s="18">
        <v>0.16900000000000001</v>
      </c>
      <c r="AK288" s="18">
        <v>0.20169999999999999</v>
      </c>
      <c r="AL288" s="18">
        <v>0.18609999999999999</v>
      </c>
      <c r="AM288" s="18">
        <v>0.1356</v>
      </c>
      <c r="AN288" s="18">
        <v>0.32519999999999999</v>
      </c>
      <c r="AO288" s="18">
        <v>0.12</v>
      </c>
      <c r="AP288" s="18">
        <v>0.21840000000000001</v>
      </c>
      <c r="AQ288" s="18">
        <v>7.1499999999999994E-2</v>
      </c>
      <c r="AR288" s="18">
        <v>0.21529999999999999</v>
      </c>
      <c r="AS288" s="18">
        <v>0.4511</v>
      </c>
      <c r="AT288" s="18">
        <v>0.35880000000000001</v>
      </c>
      <c r="AU288" s="18">
        <v>0.2873</v>
      </c>
      <c r="AV288" s="18">
        <v>0.33889999999999998</v>
      </c>
      <c r="AW288" s="18">
        <v>0.17449999999999999</v>
      </c>
      <c r="AX288" s="18">
        <v>0.1694</v>
      </c>
    </row>
    <row r="289" spans="1:50" x14ac:dyDescent="0.25">
      <c r="A289" s="8" t="s">
        <v>330</v>
      </c>
      <c r="B289" s="10" t="s">
        <v>57</v>
      </c>
      <c r="C289" s="18">
        <v>0.41689999999999999</v>
      </c>
      <c r="D289" s="18">
        <v>0.23719999999999999</v>
      </c>
      <c r="E289" s="18">
        <v>0.13789999999999999</v>
      </c>
      <c r="F289" s="18">
        <v>5.2999999999999999E-2</v>
      </c>
      <c r="G289" s="18">
        <v>6.0299999999999999E-2</v>
      </c>
      <c r="H289" s="18">
        <v>0.21210000000000001</v>
      </c>
      <c r="I289" s="18">
        <v>0.15570000000000001</v>
      </c>
      <c r="J289" s="18">
        <v>7.4999999999999997E-2</v>
      </c>
      <c r="K289" s="18">
        <v>0.30020000000000002</v>
      </c>
      <c r="L289" s="18">
        <v>5.2999999999999999E-2</v>
      </c>
      <c r="M289" s="18">
        <v>9.6199999999999994E-2</v>
      </c>
      <c r="N289" s="18">
        <v>0.27160000000000001</v>
      </c>
      <c r="O289" s="18">
        <v>9.2799999999999994E-2</v>
      </c>
      <c r="P289" s="18">
        <v>0.2238</v>
      </c>
      <c r="Q289" s="18">
        <v>0.1351</v>
      </c>
      <c r="R289" s="18">
        <v>0.1449</v>
      </c>
      <c r="S289" s="18">
        <v>6.9199999999999998E-2</v>
      </c>
      <c r="T289" s="18">
        <v>0.27660000000000001</v>
      </c>
      <c r="U289" s="18">
        <v>8.2299999999999998E-2</v>
      </c>
      <c r="V289" s="18">
        <v>0.1784</v>
      </c>
      <c r="W289" s="18">
        <v>0.2122</v>
      </c>
      <c r="X289" s="18">
        <v>0.13850000000000001</v>
      </c>
      <c r="Y289" s="18">
        <v>0.31680000000000003</v>
      </c>
      <c r="Z289" s="18">
        <v>0.19500000000000001</v>
      </c>
      <c r="AA289" s="18">
        <v>0.25119999999999998</v>
      </c>
      <c r="AB289" s="18">
        <v>0.5363</v>
      </c>
      <c r="AC289" s="18">
        <v>9.7799999999999998E-2</v>
      </c>
      <c r="AD289" s="18">
        <v>0.25040000000000001</v>
      </c>
      <c r="AE289" s="18">
        <v>0.1255</v>
      </c>
      <c r="AF289" s="18">
        <v>0.32590000000000002</v>
      </c>
      <c r="AG289" s="18">
        <v>0.1867</v>
      </c>
      <c r="AH289" s="18">
        <v>0.29399999999999998</v>
      </c>
      <c r="AI289" s="18">
        <v>0.40289999999999998</v>
      </c>
      <c r="AJ289" s="18">
        <v>0.63900000000000001</v>
      </c>
      <c r="AK289" s="18">
        <v>0.63300000000000001</v>
      </c>
      <c r="AL289" s="18">
        <v>0.42780000000000001</v>
      </c>
      <c r="AM289" s="18">
        <v>0.59950000000000003</v>
      </c>
      <c r="AN289" s="18">
        <v>1.0592999999999999</v>
      </c>
      <c r="AO289" s="18">
        <v>0.37869999999999998</v>
      </c>
      <c r="AP289" s="18">
        <v>0.80889999999999995</v>
      </c>
      <c r="AQ289" s="18">
        <v>0.45079999999999998</v>
      </c>
      <c r="AR289" s="18">
        <v>0.73360000000000003</v>
      </c>
      <c r="AS289" s="18">
        <v>0.51170000000000004</v>
      </c>
      <c r="AT289" s="18">
        <v>0.41220000000000001</v>
      </c>
      <c r="AU289" s="18">
        <v>0.62419999999999998</v>
      </c>
      <c r="AV289" s="18">
        <v>0.72070000000000001</v>
      </c>
      <c r="AW289" s="18">
        <v>0.85709999999999997</v>
      </c>
      <c r="AX289" s="18">
        <v>0.73619999999999997</v>
      </c>
    </row>
    <row r="290" spans="1:50" x14ac:dyDescent="0.25">
      <c r="A290" s="8" t="s">
        <v>332</v>
      </c>
      <c r="B290" s="10" t="s">
        <v>57</v>
      </c>
      <c r="C290" s="18">
        <v>0.2296</v>
      </c>
      <c r="D290" s="18">
        <v>5.0999999999999997E-2</v>
      </c>
      <c r="E290" s="18">
        <v>5.0999999999999997E-2</v>
      </c>
      <c r="F290" s="18">
        <v>5.0999999999999997E-2</v>
      </c>
      <c r="G290" s="18">
        <v>0.1222</v>
      </c>
      <c r="H290" s="18">
        <v>5.0999999999999997E-2</v>
      </c>
      <c r="I290" s="18">
        <v>0.1222</v>
      </c>
      <c r="J290" s="18">
        <v>5.0999999999999997E-2</v>
      </c>
      <c r="K290" s="18">
        <v>0.1222</v>
      </c>
      <c r="L290" s="18">
        <v>5.0999999999999997E-2</v>
      </c>
      <c r="M290" s="18">
        <v>5.0999999999999997E-2</v>
      </c>
      <c r="N290" s="18">
        <v>0.1183</v>
      </c>
      <c r="O290" s="18">
        <v>5.5E-2</v>
      </c>
      <c r="P290" s="18">
        <v>0.4834</v>
      </c>
      <c r="Q290" s="18">
        <v>0.16239999999999999</v>
      </c>
      <c r="R290" s="18">
        <v>0.13800000000000001</v>
      </c>
      <c r="S290" s="18">
        <v>1.0315000000000001</v>
      </c>
      <c r="T290" s="18">
        <v>0.14280000000000001</v>
      </c>
      <c r="U290" s="18">
        <v>0.25269999999999998</v>
      </c>
      <c r="V290" s="18">
        <v>0.127</v>
      </c>
      <c r="W290" s="18">
        <v>0.16170000000000001</v>
      </c>
      <c r="X290" s="18">
        <v>5.0999999999999997E-2</v>
      </c>
      <c r="Y290" s="18">
        <v>5.0999999999999997E-2</v>
      </c>
      <c r="Z290" s="18">
        <v>5.0999999999999997E-2</v>
      </c>
      <c r="AA290" s="18">
        <v>0.1636</v>
      </c>
      <c r="AB290" s="18">
        <v>8.9499999999999996E-2</v>
      </c>
      <c r="AC290" s="18">
        <v>5.0999999999999997E-2</v>
      </c>
      <c r="AD290" s="18">
        <v>5.1299999999999998E-2</v>
      </c>
      <c r="AE290" s="18">
        <v>0.12139999999999999</v>
      </c>
      <c r="AF290" s="18">
        <v>0.14879999999999999</v>
      </c>
      <c r="AG290" s="18">
        <v>8.2100000000000006E-2</v>
      </c>
      <c r="AH290" s="18">
        <v>0.33550000000000002</v>
      </c>
      <c r="AI290" s="18">
        <v>0.2397</v>
      </c>
      <c r="AJ290" s="18">
        <v>5.0999999999999997E-2</v>
      </c>
      <c r="AK290" s="18">
        <v>0.24709999999999999</v>
      </c>
      <c r="AL290" s="18">
        <v>0.75660000000000005</v>
      </c>
      <c r="AM290" s="18">
        <v>1.0092000000000001</v>
      </c>
      <c r="AN290" s="18">
        <v>0.13200000000000001</v>
      </c>
      <c r="AO290" s="18">
        <v>0.22489999999999999</v>
      </c>
      <c r="AP290" s="18">
        <v>0.34010000000000001</v>
      </c>
      <c r="AQ290" s="18">
        <v>5.5E-2</v>
      </c>
      <c r="AR290" s="18">
        <v>0.1183</v>
      </c>
      <c r="AS290" s="18">
        <v>0.1993</v>
      </c>
      <c r="AT290" s="18">
        <v>0.2414</v>
      </c>
      <c r="AU290" s="18">
        <v>0.20449999999999999</v>
      </c>
      <c r="AV290" s="18">
        <v>0.1716</v>
      </c>
      <c r="AW290" s="18">
        <v>0.43369999999999997</v>
      </c>
      <c r="AX290" s="18">
        <v>0.63009999999999999</v>
      </c>
    </row>
    <row r="291" spans="1:50" x14ac:dyDescent="0.25">
      <c r="A291" s="16" t="s">
        <v>757</v>
      </c>
      <c r="B291" s="13" t="s">
        <v>464</v>
      </c>
      <c r="C291" s="17">
        <v>0.68659999999999999</v>
      </c>
      <c r="D291" s="17">
        <v>7.5899999999999995E-2</v>
      </c>
      <c r="E291" s="17">
        <v>8.6099999999999996E-2</v>
      </c>
      <c r="F291" s="17">
        <v>0.19089999999999999</v>
      </c>
      <c r="G291" s="17">
        <v>5.1999999999999998E-2</v>
      </c>
      <c r="H291" s="17">
        <v>0.22489999999999999</v>
      </c>
      <c r="I291" s="17">
        <v>5.5399999999999998E-2</v>
      </c>
      <c r="J291" s="17">
        <v>0.14979999999999999</v>
      </c>
      <c r="K291" s="17">
        <v>0.12379999999999999</v>
      </c>
      <c r="L291" s="17">
        <v>0.1133</v>
      </c>
      <c r="M291" s="17">
        <v>0.1636</v>
      </c>
      <c r="N291" s="17">
        <v>0.1099</v>
      </c>
      <c r="O291" s="17">
        <v>8.7300000000000003E-2</v>
      </c>
      <c r="P291" s="17">
        <v>0.13170000000000001</v>
      </c>
      <c r="Q291" s="17">
        <v>0.14990000000000001</v>
      </c>
      <c r="R291" s="17">
        <v>5.9799999999999999E-2</v>
      </c>
      <c r="S291" s="17">
        <v>1.7985</v>
      </c>
      <c r="T291" s="17">
        <v>0.41830000000000001</v>
      </c>
      <c r="U291" s="17">
        <v>0.89449999999999996</v>
      </c>
      <c r="V291" s="17">
        <v>0.42459999999999998</v>
      </c>
      <c r="W291" s="17">
        <v>0.21129999999999999</v>
      </c>
      <c r="X291" s="17">
        <v>0.26600000000000001</v>
      </c>
      <c r="Y291" s="17">
        <v>0.25080000000000002</v>
      </c>
      <c r="Z291" s="17">
        <v>0.1057</v>
      </c>
      <c r="AA291" s="17">
        <v>0.20280000000000001</v>
      </c>
      <c r="AB291" s="17">
        <v>1.6249</v>
      </c>
      <c r="AC291" s="17">
        <v>0.46110000000000001</v>
      </c>
      <c r="AD291" s="17">
        <v>0.21129999999999999</v>
      </c>
      <c r="AE291" s="17">
        <v>0.10589999999999999</v>
      </c>
      <c r="AF291" s="17">
        <v>9.4299999999999995E-2</v>
      </c>
      <c r="AG291" s="17">
        <v>0.24310000000000001</v>
      </c>
      <c r="AH291" s="17">
        <v>5.1999999999999998E-2</v>
      </c>
      <c r="AI291" s="17">
        <v>0.18390000000000001</v>
      </c>
      <c r="AJ291" s="17">
        <v>0.1918</v>
      </c>
      <c r="AK291" s="17">
        <v>0.248</v>
      </c>
      <c r="AL291" s="17">
        <v>0.24759999999999999</v>
      </c>
      <c r="AM291" s="17">
        <v>0.16619999999999999</v>
      </c>
      <c r="AN291" s="17">
        <v>0.1804</v>
      </c>
      <c r="AO291" s="17">
        <v>0.32279999999999998</v>
      </c>
      <c r="AP291" s="17">
        <v>0.42399999999999999</v>
      </c>
      <c r="AQ291" s="17">
        <v>0.43840000000000001</v>
      </c>
      <c r="AR291" s="17">
        <v>0.42449999999999999</v>
      </c>
      <c r="AS291" s="17">
        <v>0.5081</v>
      </c>
      <c r="AT291" s="17">
        <v>0.61960000000000004</v>
      </c>
      <c r="AU291" s="17">
        <v>0.59909999999999997</v>
      </c>
      <c r="AV291" s="17">
        <v>0.71099999999999997</v>
      </c>
      <c r="AW291" s="17">
        <v>0.52259999999999995</v>
      </c>
      <c r="AX291" s="17">
        <v>0.1133</v>
      </c>
    </row>
    <row r="292" spans="1:50" x14ac:dyDescent="0.25">
      <c r="A292" s="8" t="s">
        <v>334</v>
      </c>
      <c r="B292" s="10" t="s">
        <v>57</v>
      </c>
      <c r="C292" s="18">
        <v>0.10349999999999999</v>
      </c>
      <c r="D292" s="18">
        <v>0.27689999999999998</v>
      </c>
      <c r="E292" s="18">
        <v>0.1729</v>
      </c>
      <c r="F292" s="18">
        <v>0.1275</v>
      </c>
      <c r="G292" s="18">
        <v>0.1376</v>
      </c>
      <c r="H292" s="18">
        <v>0.22509999999999999</v>
      </c>
      <c r="I292" s="18">
        <v>8.2199999999999995E-2</v>
      </c>
      <c r="J292" s="18">
        <v>0.32969999999999999</v>
      </c>
      <c r="K292" s="18">
        <v>0.10349999999999999</v>
      </c>
      <c r="L292" s="18">
        <v>0.14069999999999999</v>
      </c>
      <c r="M292" s="18">
        <v>0.30909999999999999</v>
      </c>
      <c r="N292" s="18">
        <v>5.2999999999999999E-2</v>
      </c>
      <c r="O292" s="18">
        <v>0.18870000000000001</v>
      </c>
      <c r="P292" s="18">
        <v>0.18490000000000001</v>
      </c>
      <c r="Q292" s="18">
        <v>0.18759999999999999</v>
      </c>
      <c r="R292" s="18">
        <v>0.70509999999999995</v>
      </c>
      <c r="S292" s="18">
        <v>0.56920000000000004</v>
      </c>
      <c r="T292" s="18">
        <v>0.25319999999999998</v>
      </c>
      <c r="U292" s="18">
        <v>0.3412</v>
      </c>
      <c r="V292" s="18">
        <v>0.2626</v>
      </c>
      <c r="W292" s="18">
        <v>0.3876</v>
      </c>
      <c r="X292" s="18">
        <v>0.69169999999999998</v>
      </c>
      <c r="Y292" s="18">
        <v>0.4919</v>
      </c>
      <c r="Z292" s="18">
        <v>0.23930000000000001</v>
      </c>
      <c r="AA292" s="18">
        <v>0.56559999999999999</v>
      </c>
      <c r="AB292" s="18">
        <v>0.2109</v>
      </c>
      <c r="AC292" s="18">
        <v>0.55559999999999998</v>
      </c>
      <c r="AD292" s="18">
        <v>0.2722</v>
      </c>
      <c r="AE292" s="18">
        <v>0.21859999999999999</v>
      </c>
      <c r="AF292" s="18">
        <v>0.2311</v>
      </c>
      <c r="AG292" s="18">
        <v>7.1900000000000006E-2</v>
      </c>
      <c r="AH292" s="18">
        <v>0.37780000000000002</v>
      </c>
      <c r="AI292" s="18">
        <v>5.2999999999999999E-2</v>
      </c>
      <c r="AJ292" s="18">
        <v>0.33350000000000002</v>
      </c>
      <c r="AK292" s="18">
        <v>0.32629999999999998</v>
      </c>
      <c r="AL292" s="18">
        <v>0.27610000000000001</v>
      </c>
      <c r="AM292" s="18">
        <v>0.32769999999999999</v>
      </c>
      <c r="AN292" s="18">
        <v>0.17399999999999999</v>
      </c>
      <c r="AO292" s="18">
        <v>0.49149999999999999</v>
      </c>
      <c r="AP292" s="18">
        <v>0.32890000000000003</v>
      </c>
      <c r="AQ292" s="18">
        <v>0.82320000000000004</v>
      </c>
      <c r="AR292" s="18">
        <v>0.58640000000000003</v>
      </c>
      <c r="AS292" s="18">
        <v>0.78539999999999999</v>
      </c>
      <c r="AT292" s="18">
        <v>1.0507</v>
      </c>
      <c r="AU292" s="18">
        <v>0.78969999999999996</v>
      </c>
      <c r="AV292" s="18">
        <v>0.98970000000000002</v>
      </c>
      <c r="AW292" s="18">
        <v>1.3885000000000001</v>
      </c>
      <c r="AX292" s="18">
        <v>0.84050000000000002</v>
      </c>
    </row>
    <row r="293" spans="1:50" x14ac:dyDescent="0.25">
      <c r="A293" s="8" t="s">
        <v>336</v>
      </c>
      <c r="B293" s="10" t="s">
        <v>57</v>
      </c>
      <c r="C293" s="18">
        <v>0.1434</v>
      </c>
      <c r="D293" s="18">
        <v>0.18459999999999999</v>
      </c>
      <c r="E293" s="18">
        <v>8.8200000000000001E-2</v>
      </c>
      <c r="F293" s="18">
        <v>0.20499999999999999</v>
      </c>
      <c r="G293" s="18">
        <v>0.12939999999999999</v>
      </c>
      <c r="H293" s="18">
        <v>0.12470000000000001</v>
      </c>
      <c r="I293" s="18">
        <v>0.22509999999999999</v>
      </c>
      <c r="J293" s="18">
        <v>5.9700000000000003E-2</v>
      </c>
      <c r="K293" s="18">
        <v>0.1361</v>
      </c>
      <c r="L293" s="18">
        <v>0.20499999999999999</v>
      </c>
      <c r="M293" s="18">
        <v>0.1163</v>
      </c>
      <c r="N293" s="18">
        <v>0.23350000000000001</v>
      </c>
      <c r="O293" s="18">
        <v>5.0999999999999997E-2</v>
      </c>
      <c r="P293" s="18">
        <v>0.12939999999999999</v>
      </c>
      <c r="Q293" s="18">
        <v>0.20760000000000001</v>
      </c>
      <c r="R293" s="18">
        <v>1.248</v>
      </c>
      <c r="S293" s="18">
        <v>0.15509999999999999</v>
      </c>
      <c r="T293" s="18">
        <v>0.45129999999999998</v>
      </c>
      <c r="U293" s="18">
        <v>0.2331</v>
      </c>
      <c r="V293" s="18">
        <v>0.53420000000000001</v>
      </c>
      <c r="W293" s="18">
        <v>1.2098</v>
      </c>
      <c r="X293" s="18">
        <v>0.44259999999999999</v>
      </c>
      <c r="Y293" s="18">
        <v>0.56340000000000001</v>
      </c>
      <c r="Z293" s="18">
        <v>0.20230000000000001</v>
      </c>
      <c r="AA293" s="18">
        <v>0.26440000000000002</v>
      </c>
      <c r="AB293" s="18">
        <v>0.47839999999999999</v>
      </c>
      <c r="AC293" s="18">
        <v>0.60780000000000001</v>
      </c>
      <c r="AD293" s="18">
        <v>1.4248000000000001</v>
      </c>
      <c r="AE293" s="18">
        <v>0.28589999999999999</v>
      </c>
      <c r="AF293" s="18">
        <v>0.76780000000000004</v>
      </c>
      <c r="AG293" s="18">
        <v>0.46800000000000003</v>
      </c>
      <c r="AH293" s="18">
        <v>0.32369999999999999</v>
      </c>
      <c r="AI293" s="18">
        <v>0.12520000000000001</v>
      </c>
      <c r="AJ293" s="18">
        <v>0.26329999999999998</v>
      </c>
      <c r="AK293" s="18">
        <v>0.17150000000000001</v>
      </c>
      <c r="AL293" s="18">
        <v>0.26769999999999999</v>
      </c>
      <c r="AM293" s="18">
        <v>0.36470000000000002</v>
      </c>
      <c r="AN293" s="18">
        <v>0.1487</v>
      </c>
      <c r="AO293" s="18">
        <v>0.87409999999999999</v>
      </c>
      <c r="AP293" s="18">
        <v>2.0223</v>
      </c>
      <c r="AQ293" s="18">
        <v>0.60250000000000004</v>
      </c>
      <c r="AR293" s="18">
        <v>1.3460000000000001</v>
      </c>
      <c r="AS293" s="18">
        <v>2.0001000000000002</v>
      </c>
      <c r="AT293" s="18">
        <v>0.59319999999999995</v>
      </c>
      <c r="AU293" s="18">
        <v>0.80669999999999997</v>
      </c>
      <c r="AV293" s="18">
        <v>0.46210000000000001</v>
      </c>
      <c r="AW293" s="18">
        <v>8.9499999999999996E-2</v>
      </c>
      <c r="AX293" s="18">
        <v>0.21240000000000001</v>
      </c>
    </row>
    <row r="294" spans="1:50" x14ac:dyDescent="0.25">
      <c r="A294" s="16" t="s">
        <v>759</v>
      </c>
      <c r="B294" s="13" t="s">
        <v>464</v>
      </c>
      <c r="C294" s="17">
        <v>7.4999999999999997E-2</v>
      </c>
      <c r="D294" s="17">
        <v>0.1502</v>
      </c>
      <c r="E294" s="17">
        <v>0.05</v>
      </c>
      <c r="F294" s="17">
        <v>0.17519999999999999</v>
      </c>
      <c r="G294" s="17">
        <v>0.05</v>
      </c>
      <c r="H294" s="17">
        <v>0.17519999999999999</v>
      </c>
      <c r="I294" s="17">
        <v>0.05</v>
      </c>
      <c r="J294" s="17">
        <v>0.17519999999999999</v>
      </c>
      <c r="K294" s="17">
        <v>0.05</v>
      </c>
      <c r="L294" s="17">
        <v>0.32540000000000002</v>
      </c>
      <c r="M294" s="17">
        <v>0.19420000000000001</v>
      </c>
      <c r="N294" s="17">
        <v>0.05</v>
      </c>
      <c r="O294" s="17">
        <v>0.05</v>
      </c>
      <c r="P294" s="17">
        <v>0.17519999999999999</v>
      </c>
      <c r="Q294" s="17">
        <v>0.05</v>
      </c>
      <c r="R294" s="17">
        <v>0.51770000000000005</v>
      </c>
      <c r="S294" s="17">
        <v>0.69259999999999999</v>
      </c>
      <c r="T294" s="17">
        <v>2.4535999999999998</v>
      </c>
      <c r="U294" s="17">
        <v>2.1126</v>
      </c>
      <c r="V294" s="17">
        <v>0.121</v>
      </c>
      <c r="W294" s="17">
        <v>0.2364</v>
      </c>
      <c r="X294" s="17">
        <v>0.57289999999999996</v>
      </c>
      <c r="Y294" s="17">
        <v>0.29599999999999999</v>
      </c>
      <c r="Z294" s="17">
        <v>0.12509999999999999</v>
      </c>
      <c r="AA294" s="17">
        <v>6.1600000000000002E-2</v>
      </c>
      <c r="AB294" s="17">
        <v>8.7599999999999997E-2</v>
      </c>
      <c r="AC294" s="17">
        <v>0.13769999999999999</v>
      </c>
      <c r="AD294" s="17">
        <v>8.1299999999999997E-2</v>
      </c>
      <c r="AE294" s="17">
        <v>0.1439</v>
      </c>
      <c r="AF294" s="17">
        <v>0.05</v>
      </c>
      <c r="AG294" s="17">
        <v>0.17519999999999999</v>
      </c>
      <c r="AH294" s="17">
        <v>0.05</v>
      </c>
      <c r="AI294" s="17">
        <v>0.1565</v>
      </c>
      <c r="AJ294" s="17">
        <v>6.88E-2</v>
      </c>
      <c r="AK294" s="17">
        <v>9.9299999999999999E-2</v>
      </c>
      <c r="AL294" s="17">
        <v>0.25690000000000002</v>
      </c>
      <c r="AM294" s="17">
        <v>0.10929999999999999</v>
      </c>
      <c r="AN294" s="17">
        <v>7.9500000000000001E-2</v>
      </c>
      <c r="AO294" s="17">
        <v>0.37080000000000002</v>
      </c>
      <c r="AP294" s="17">
        <v>0.25840000000000002</v>
      </c>
      <c r="AQ294" s="17">
        <v>0.19639999999999999</v>
      </c>
      <c r="AR294" s="17">
        <v>0.40400000000000003</v>
      </c>
      <c r="AS294" s="17">
        <v>0.28310000000000002</v>
      </c>
      <c r="AT294" s="17">
        <v>0.48609999999999998</v>
      </c>
      <c r="AU294" s="17">
        <v>0.47549999999999998</v>
      </c>
      <c r="AV294" s="17">
        <v>0.2296</v>
      </c>
      <c r="AW294" s="17">
        <v>0.05</v>
      </c>
      <c r="AX294" s="17">
        <v>0.17549999999999999</v>
      </c>
    </row>
    <row r="295" spans="1:50" x14ac:dyDescent="0.25">
      <c r="A295" s="16" t="s">
        <v>761</v>
      </c>
      <c r="B295" s="13" t="s">
        <v>464</v>
      </c>
      <c r="C295" s="17">
        <v>0.1212</v>
      </c>
      <c r="D295" s="17">
        <v>5.0999999999999997E-2</v>
      </c>
      <c r="E295" s="17">
        <v>0.1835</v>
      </c>
      <c r="F295" s="17">
        <v>0.1522</v>
      </c>
      <c r="G295" s="17">
        <v>5.0999999999999997E-2</v>
      </c>
      <c r="H295" s="17">
        <v>0.28129999999999999</v>
      </c>
      <c r="I295" s="17">
        <v>5.45E-2</v>
      </c>
      <c r="J295" s="17">
        <v>0.22409999999999999</v>
      </c>
      <c r="K295" s="17">
        <v>0.1116</v>
      </c>
      <c r="L295" s="17">
        <v>5.79E-2</v>
      </c>
      <c r="M295" s="17">
        <v>0.19989999999999999</v>
      </c>
      <c r="N295" s="17">
        <v>0.129</v>
      </c>
      <c r="O295" s="17">
        <v>0.1133</v>
      </c>
      <c r="P295" s="17">
        <v>0.35749999999999998</v>
      </c>
      <c r="Q295" s="17">
        <v>0.23730000000000001</v>
      </c>
      <c r="R295" s="17">
        <v>1.2934000000000001</v>
      </c>
      <c r="S295" s="17">
        <v>2.6251000000000002</v>
      </c>
      <c r="T295" s="17">
        <v>1.7237</v>
      </c>
      <c r="U295" s="17">
        <v>0.61199999999999999</v>
      </c>
      <c r="V295" s="17">
        <v>0.33460000000000001</v>
      </c>
      <c r="W295" s="17">
        <v>0.40939999999999999</v>
      </c>
      <c r="X295" s="17">
        <v>5.9499999999999997E-2</v>
      </c>
      <c r="Y295" s="17">
        <v>8.2100000000000006E-2</v>
      </c>
      <c r="Z295" s="17">
        <v>0.1211</v>
      </c>
      <c r="AA295" s="17">
        <v>0.22689999999999999</v>
      </c>
      <c r="AB295" s="17">
        <v>0.32550000000000001</v>
      </c>
      <c r="AC295" s="17">
        <v>0.34429999999999999</v>
      </c>
      <c r="AD295" s="17">
        <v>0.15989999999999999</v>
      </c>
      <c r="AE295" s="17">
        <v>6.83E-2</v>
      </c>
      <c r="AF295" s="17">
        <v>0.36870000000000003</v>
      </c>
      <c r="AG295" s="17">
        <v>0.26350000000000001</v>
      </c>
      <c r="AH295" s="17">
        <v>0.1656</v>
      </c>
      <c r="AI295" s="17">
        <v>0.1133</v>
      </c>
      <c r="AJ295" s="17">
        <v>0.2225</v>
      </c>
      <c r="AK295" s="17">
        <v>8.8999999999999996E-2</v>
      </c>
      <c r="AL295" s="17">
        <v>0.161</v>
      </c>
      <c r="AM295" s="17">
        <v>0.13669999999999999</v>
      </c>
      <c r="AN295" s="17">
        <v>0.1133</v>
      </c>
      <c r="AO295" s="17">
        <v>0.20599999999999999</v>
      </c>
      <c r="AP295" s="17">
        <v>0.16059999999999999</v>
      </c>
      <c r="AQ295" s="17">
        <v>0.1371</v>
      </c>
      <c r="AR295" s="17">
        <v>0.39119999999999999</v>
      </c>
      <c r="AS295" s="17">
        <v>0.6079</v>
      </c>
      <c r="AT295" s="17">
        <v>0.51190000000000002</v>
      </c>
      <c r="AU295" s="17">
        <v>0.83819999999999995</v>
      </c>
      <c r="AV295" s="17">
        <v>0.63890000000000002</v>
      </c>
      <c r="AW295" s="17">
        <v>7.8700000000000006E-2</v>
      </c>
      <c r="AX295" s="17">
        <v>0.2225</v>
      </c>
    </row>
    <row r="296" spans="1:50" x14ac:dyDescent="0.25">
      <c r="A296" s="16" t="s">
        <v>763</v>
      </c>
      <c r="B296" s="13" t="s">
        <v>464</v>
      </c>
      <c r="C296" s="17">
        <v>0.74050000000000005</v>
      </c>
      <c r="D296" s="17">
        <v>0.1203</v>
      </c>
      <c r="E296" s="17">
        <v>5.8000000000000003E-2</v>
      </c>
      <c r="F296" s="17">
        <v>0.1011</v>
      </c>
      <c r="G296" s="17">
        <v>0.1011</v>
      </c>
      <c r="H296" s="17">
        <v>5.8000000000000003E-2</v>
      </c>
      <c r="I296" s="17">
        <v>0.14419999999999999</v>
      </c>
      <c r="J296" s="17">
        <v>5.8000000000000003E-2</v>
      </c>
      <c r="K296" s="17">
        <v>0.1394</v>
      </c>
      <c r="L296" s="17">
        <v>6.2799999999999995E-2</v>
      </c>
      <c r="M296" s="17">
        <v>5.8000000000000003E-2</v>
      </c>
      <c r="N296" s="17">
        <v>5.8000000000000003E-2</v>
      </c>
      <c r="O296" s="17">
        <v>5.8000000000000003E-2</v>
      </c>
      <c r="P296" s="17">
        <v>5.8000000000000003E-2</v>
      </c>
      <c r="Q296" s="17">
        <v>0.1394</v>
      </c>
      <c r="R296" s="17">
        <v>6.2799999999999995E-2</v>
      </c>
      <c r="S296" s="17">
        <v>6.1800000000000001E-2</v>
      </c>
      <c r="T296" s="17">
        <v>0.14419999999999999</v>
      </c>
      <c r="U296" s="17">
        <v>6.2799999999999995E-2</v>
      </c>
      <c r="V296" s="17">
        <v>0.15290000000000001</v>
      </c>
      <c r="W296" s="17">
        <v>9.9699999999999997E-2</v>
      </c>
      <c r="X296" s="17">
        <v>0.11219999999999999</v>
      </c>
      <c r="Y296" s="17">
        <v>0.1061</v>
      </c>
      <c r="Z296" s="17">
        <v>0.1268</v>
      </c>
      <c r="AA296" s="17">
        <v>0.10589999999999999</v>
      </c>
      <c r="AB296" s="17">
        <v>5.8000000000000003E-2</v>
      </c>
      <c r="AC296" s="17">
        <v>0.14419999999999999</v>
      </c>
      <c r="AD296" s="17">
        <v>5.8000000000000003E-2</v>
      </c>
      <c r="AE296" s="17">
        <v>5.8000000000000003E-2</v>
      </c>
      <c r="AF296" s="17">
        <v>5.8000000000000003E-2</v>
      </c>
      <c r="AG296" s="17">
        <v>8.3500000000000005E-2</v>
      </c>
      <c r="AH296" s="17">
        <v>7.2999999999999995E-2</v>
      </c>
      <c r="AI296" s="17">
        <v>0.3427</v>
      </c>
      <c r="AJ296" s="17">
        <v>0.22839999999999999</v>
      </c>
      <c r="AK296" s="17">
        <v>6.6000000000000003E-2</v>
      </c>
      <c r="AL296" s="17">
        <v>0.22189999999999999</v>
      </c>
      <c r="AM296" s="17">
        <v>0.24160000000000001</v>
      </c>
      <c r="AN296" s="17">
        <v>0.2525</v>
      </c>
      <c r="AO296" s="17">
        <v>0.57650000000000001</v>
      </c>
      <c r="AP296" s="17">
        <v>0.41849999999999998</v>
      </c>
      <c r="AQ296" s="17">
        <v>0.59560000000000002</v>
      </c>
      <c r="AR296" s="17">
        <v>0.73270000000000002</v>
      </c>
      <c r="AS296" s="17">
        <v>0.97299999999999998</v>
      </c>
      <c r="AT296" s="17">
        <v>0.49909999999999999</v>
      </c>
      <c r="AU296" s="17">
        <v>0.54530000000000001</v>
      </c>
      <c r="AV296" s="17">
        <v>0.52439999999999998</v>
      </c>
      <c r="AW296" s="17">
        <v>0.22420000000000001</v>
      </c>
      <c r="AX296" s="17">
        <v>0.14419999999999999</v>
      </c>
    </row>
    <row r="297" spans="1:50" x14ac:dyDescent="0.25">
      <c r="A297" s="16" t="s">
        <v>765</v>
      </c>
      <c r="B297" s="13" t="s">
        <v>464</v>
      </c>
      <c r="C297" s="17">
        <v>0.16550000000000001</v>
      </c>
      <c r="D297" s="17">
        <v>4.9000000000000002E-2</v>
      </c>
      <c r="E297" s="17">
        <v>0.186</v>
      </c>
      <c r="F297" s="17">
        <v>6.2700000000000006E-2</v>
      </c>
      <c r="G297" s="17">
        <v>4.9000000000000002E-2</v>
      </c>
      <c r="H297" s="17">
        <v>6.2700000000000006E-2</v>
      </c>
      <c r="I297" s="17">
        <v>0.186</v>
      </c>
      <c r="J297" s="17">
        <v>4.9000000000000002E-2</v>
      </c>
      <c r="K297" s="17">
        <v>0.17230000000000001</v>
      </c>
      <c r="L297" s="17">
        <v>7.6399999999999996E-2</v>
      </c>
      <c r="M297" s="17">
        <v>0.11070000000000001</v>
      </c>
      <c r="N297" s="17">
        <v>0.1381</v>
      </c>
      <c r="O297" s="17">
        <v>4.9000000000000002E-2</v>
      </c>
      <c r="P297" s="17">
        <v>0.16550000000000001</v>
      </c>
      <c r="Q297" s="17">
        <v>8.3299999999999999E-2</v>
      </c>
      <c r="R297" s="17">
        <v>4.9000000000000002E-2</v>
      </c>
      <c r="S297" s="17">
        <v>8.3299999999999999E-2</v>
      </c>
      <c r="T297" s="17">
        <v>0.25359999999999999</v>
      </c>
      <c r="U297" s="17">
        <v>0.14369999999999999</v>
      </c>
      <c r="V297" s="17">
        <v>1.1688000000000001</v>
      </c>
      <c r="W297" s="17">
        <v>0.1193</v>
      </c>
      <c r="X297" s="17">
        <v>0.27429999999999999</v>
      </c>
      <c r="Y297" s="17">
        <v>0.2296</v>
      </c>
      <c r="Z297" s="17">
        <v>0.28110000000000002</v>
      </c>
      <c r="AA297" s="17">
        <v>0.38240000000000002</v>
      </c>
      <c r="AB297" s="17">
        <v>0.34039999999999998</v>
      </c>
      <c r="AC297" s="17">
        <v>0.4496</v>
      </c>
      <c r="AD297" s="17">
        <v>0.34670000000000001</v>
      </c>
      <c r="AE297" s="17">
        <v>0.32800000000000001</v>
      </c>
      <c r="AF297" s="17">
        <v>1.2327999999999999</v>
      </c>
      <c r="AG297" s="17">
        <v>1.0887</v>
      </c>
      <c r="AH297" s="17">
        <v>0.30299999999999999</v>
      </c>
      <c r="AI297" s="17">
        <v>0.25979999999999998</v>
      </c>
      <c r="AJ297" s="17">
        <v>1.4360999999999999</v>
      </c>
      <c r="AK297" s="17">
        <v>0.29239999999999999</v>
      </c>
      <c r="AL297" s="17">
        <v>0.1855</v>
      </c>
      <c r="AM297" s="17">
        <v>0.12130000000000001</v>
      </c>
      <c r="AN297" s="17">
        <v>0.1026</v>
      </c>
      <c r="AO297" s="17">
        <v>0.24179999999999999</v>
      </c>
      <c r="AP297" s="17">
        <v>0.24679999999999999</v>
      </c>
      <c r="AQ297" s="17">
        <v>0.25940000000000002</v>
      </c>
      <c r="AR297" s="17">
        <v>0.65080000000000005</v>
      </c>
      <c r="AS297" s="17">
        <v>0.97330000000000005</v>
      </c>
      <c r="AT297" s="17">
        <v>1.0559000000000001</v>
      </c>
      <c r="AU297" s="17">
        <v>0.60119999999999996</v>
      </c>
      <c r="AV297" s="17">
        <v>0.40479999999999999</v>
      </c>
      <c r="AW297" s="17">
        <v>0.6119</v>
      </c>
      <c r="AX297" s="17">
        <v>0.83930000000000005</v>
      </c>
    </row>
    <row r="298" spans="1:50" x14ac:dyDescent="0.25">
      <c r="A298" s="8" t="s">
        <v>338</v>
      </c>
      <c r="B298" s="10" t="s">
        <v>57</v>
      </c>
      <c r="C298" s="18">
        <v>0.52690000000000003</v>
      </c>
      <c r="D298" s="18">
        <v>0.36049999999999999</v>
      </c>
      <c r="E298" s="18">
        <v>3.6999999999999998E-2</v>
      </c>
      <c r="F298" s="18">
        <v>3.6999999999999998E-2</v>
      </c>
      <c r="G298" s="18">
        <v>3.6999999999999998E-2</v>
      </c>
      <c r="H298" s="18">
        <v>3.6999999999999998E-2</v>
      </c>
      <c r="I298" s="18">
        <v>3.6999999999999998E-2</v>
      </c>
      <c r="J298" s="18">
        <v>3.6999999999999998E-2</v>
      </c>
      <c r="K298" s="18">
        <v>3.6999999999999998E-2</v>
      </c>
      <c r="L298" s="18">
        <v>3.6999999999999998E-2</v>
      </c>
      <c r="M298" s="18">
        <v>3.6999999999999998E-2</v>
      </c>
      <c r="N298" s="18">
        <v>3.6999999999999998E-2</v>
      </c>
      <c r="O298" s="18">
        <v>3.6999999999999998E-2</v>
      </c>
      <c r="P298" s="18">
        <v>3.6999999999999998E-2</v>
      </c>
      <c r="Q298" s="18">
        <v>3.6999999999999998E-2</v>
      </c>
      <c r="R298" s="18">
        <v>3.6999999999999998E-2</v>
      </c>
      <c r="S298" s="18">
        <v>3.6999999999999998E-2</v>
      </c>
      <c r="T298" s="18">
        <v>3.6999999999999998E-2</v>
      </c>
      <c r="U298" s="18">
        <v>3.6999999999999998E-2</v>
      </c>
      <c r="V298" s="18">
        <v>3.6999999999999998E-2</v>
      </c>
      <c r="W298" s="18">
        <v>3.6999999999999998E-2</v>
      </c>
      <c r="X298" s="18">
        <v>0.30380000000000001</v>
      </c>
      <c r="Y298" s="18">
        <v>0.4108</v>
      </c>
      <c r="Z298" s="18">
        <v>0.13969999999999999</v>
      </c>
      <c r="AA298" s="18">
        <v>3.9600000000000003E-2</v>
      </c>
      <c r="AB298" s="18">
        <v>7.0199999999999999E-2</v>
      </c>
      <c r="AC298" s="18">
        <v>9.2999999999999999E-2</v>
      </c>
      <c r="AD298" s="18">
        <v>0.1565</v>
      </c>
      <c r="AE298" s="18">
        <v>8.5000000000000006E-2</v>
      </c>
      <c r="AF298" s="18">
        <v>0.23080000000000001</v>
      </c>
      <c r="AG298" s="18">
        <v>6.3399999999999998E-2</v>
      </c>
      <c r="AH298" s="18">
        <v>5.5500000000000001E-2</v>
      </c>
      <c r="AI298" s="18">
        <v>6.9000000000000006E-2</v>
      </c>
      <c r="AJ298" s="18">
        <v>7.6999999999999999E-2</v>
      </c>
      <c r="AK298" s="18">
        <v>1.2956000000000001</v>
      </c>
      <c r="AL298" s="18">
        <v>0.24729999999999999</v>
      </c>
      <c r="AM298" s="18">
        <v>5.7299999999999997E-2</v>
      </c>
      <c r="AN298" s="18">
        <v>6.2E-2</v>
      </c>
      <c r="AO298" s="18">
        <v>0.1135</v>
      </c>
      <c r="AP298" s="18">
        <v>0.33679999999999999</v>
      </c>
      <c r="AQ298" s="18">
        <v>0.28970000000000001</v>
      </c>
      <c r="AR298" s="18">
        <v>0.30330000000000001</v>
      </c>
      <c r="AS298" s="18">
        <v>0.3412</v>
      </c>
      <c r="AT298" s="18">
        <v>0.3029</v>
      </c>
      <c r="AU298" s="18">
        <v>0.26379999999999998</v>
      </c>
      <c r="AV298" s="18">
        <v>0.32569999999999999</v>
      </c>
      <c r="AW298" s="18">
        <v>0.51639999999999997</v>
      </c>
      <c r="AX298" s="18">
        <v>0.3957</v>
      </c>
    </row>
    <row r="299" spans="1:50" x14ac:dyDescent="0.25">
      <c r="A299" s="16" t="s">
        <v>767</v>
      </c>
      <c r="B299" s="13" t="s">
        <v>464</v>
      </c>
      <c r="C299" s="17">
        <v>9.8299999999999998E-2</v>
      </c>
      <c r="D299" s="17">
        <v>0.50509999999999999</v>
      </c>
      <c r="E299" s="17">
        <v>0.34989999999999999</v>
      </c>
      <c r="F299" s="17">
        <v>0.69099999999999995</v>
      </c>
      <c r="G299" s="17">
        <v>5.4800000000000001E-2</v>
      </c>
      <c r="H299" s="17">
        <v>0.04</v>
      </c>
      <c r="I299" s="17">
        <v>0.23350000000000001</v>
      </c>
      <c r="J299" s="17">
        <v>6.9699999999999998E-2</v>
      </c>
      <c r="K299" s="17">
        <v>0.20169999999999999</v>
      </c>
      <c r="L299" s="17">
        <v>0.10150000000000001</v>
      </c>
      <c r="M299" s="17">
        <v>0.11360000000000001</v>
      </c>
      <c r="N299" s="17">
        <v>0.18959999999999999</v>
      </c>
      <c r="O299" s="17">
        <v>9.1899999999999996E-2</v>
      </c>
      <c r="P299" s="17">
        <v>5.4800000000000001E-2</v>
      </c>
      <c r="Q299" s="17">
        <v>0.1822</v>
      </c>
      <c r="R299" s="17">
        <v>0.35449999999999998</v>
      </c>
      <c r="S299" s="17">
        <v>0.26290000000000002</v>
      </c>
      <c r="T299" s="17">
        <v>0.47689999999999999</v>
      </c>
      <c r="U299" s="17">
        <v>0.33179999999999998</v>
      </c>
      <c r="V299" s="17">
        <v>0.41160000000000002</v>
      </c>
      <c r="W299" s="17">
        <v>0.2757</v>
      </c>
      <c r="X299" s="17">
        <v>0.23019999999999999</v>
      </c>
      <c r="Y299" s="17">
        <v>0.1734</v>
      </c>
      <c r="Z299" s="17">
        <v>0.378</v>
      </c>
      <c r="AA299" s="17">
        <v>0.33710000000000001</v>
      </c>
      <c r="AB299" s="17">
        <v>1.0408999999999999</v>
      </c>
      <c r="AC299" s="17">
        <v>2.6842999999999999</v>
      </c>
      <c r="AD299" s="17">
        <v>2.8651</v>
      </c>
      <c r="AE299" s="17">
        <v>0.23089999999999999</v>
      </c>
      <c r="AF299" s="17">
        <v>0.35709999999999997</v>
      </c>
      <c r="AG299" s="17">
        <v>1.0246999999999999</v>
      </c>
      <c r="AH299" s="17">
        <v>0.1318</v>
      </c>
      <c r="AI299" s="17">
        <v>0.22170000000000001</v>
      </c>
      <c r="AJ299" s="17">
        <v>0.13950000000000001</v>
      </c>
      <c r="AK299" s="17">
        <v>0.1067</v>
      </c>
      <c r="AL299" s="17">
        <v>4.3700000000000003E-2</v>
      </c>
      <c r="AM299" s="17">
        <v>0.2097</v>
      </c>
      <c r="AN299" s="17">
        <v>8.9800000000000005E-2</v>
      </c>
      <c r="AO299" s="17">
        <v>0.1067</v>
      </c>
      <c r="AP299" s="17">
        <v>0.13239999999999999</v>
      </c>
      <c r="AQ299" s="17">
        <v>0.104</v>
      </c>
      <c r="AR299" s="17">
        <v>0.04</v>
      </c>
      <c r="AS299" s="17">
        <v>0.04</v>
      </c>
      <c r="AT299" s="17">
        <v>0.20150000000000001</v>
      </c>
      <c r="AU299" s="17">
        <v>0.04</v>
      </c>
      <c r="AV299" s="17">
        <v>0.56040000000000001</v>
      </c>
      <c r="AW299" s="17">
        <v>0.31709999999999999</v>
      </c>
      <c r="AX299" s="17">
        <v>0.10299999999999999</v>
      </c>
    </row>
    <row r="300" spans="1:50" x14ac:dyDescent="0.25">
      <c r="A300" s="8" t="s">
        <v>340</v>
      </c>
      <c r="B300" s="10" t="s">
        <v>57</v>
      </c>
      <c r="C300" s="18">
        <v>0.55789999999999995</v>
      </c>
      <c r="D300" s="18">
        <v>0.58579999999999999</v>
      </c>
      <c r="E300" s="18">
        <v>0.43049999999999999</v>
      </c>
      <c r="F300" s="18">
        <v>0.5736</v>
      </c>
      <c r="G300" s="18">
        <v>0.54330000000000001</v>
      </c>
      <c r="H300" s="18">
        <v>0.55669999999999997</v>
      </c>
      <c r="I300" s="18">
        <v>0.2266</v>
      </c>
      <c r="J300" s="18">
        <v>6.9800000000000001E-2</v>
      </c>
      <c r="K300" s="18">
        <v>0.20810000000000001</v>
      </c>
      <c r="L300" s="18">
        <v>6.2199999999999998E-2</v>
      </c>
      <c r="M300" s="18">
        <v>0.21579999999999999</v>
      </c>
      <c r="N300" s="18">
        <v>4.9000000000000002E-2</v>
      </c>
      <c r="O300" s="18">
        <v>0.1845</v>
      </c>
      <c r="P300" s="18">
        <v>9.35E-2</v>
      </c>
      <c r="Q300" s="18">
        <v>0.1177</v>
      </c>
      <c r="R300" s="18">
        <v>0.13800000000000001</v>
      </c>
      <c r="S300" s="18">
        <v>0.15490000000000001</v>
      </c>
      <c r="T300" s="18">
        <v>4.9000000000000002E-2</v>
      </c>
      <c r="U300" s="18">
        <v>9.6600000000000005E-2</v>
      </c>
      <c r="V300" s="18">
        <v>0.2087</v>
      </c>
      <c r="W300" s="18">
        <v>7.1400000000000005E-2</v>
      </c>
      <c r="X300" s="18">
        <v>0.12130000000000001</v>
      </c>
      <c r="Y300" s="18">
        <v>0.1736</v>
      </c>
      <c r="Z300" s="18">
        <v>0.23710000000000001</v>
      </c>
      <c r="AA300" s="18">
        <v>0.15659999999999999</v>
      </c>
      <c r="AB300" s="18">
        <v>0.1069</v>
      </c>
      <c r="AC300" s="18">
        <v>0.23780000000000001</v>
      </c>
      <c r="AD300" s="18">
        <v>0.23710000000000001</v>
      </c>
      <c r="AE300" s="18">
        <v>0.34770000000000001</v>
      </c>
      <c r="AF300" s="18">
        <v>0.19800000000000001</v>
      </c>
      <c r="AG300" s="18">
        <v>0.30919999999999997</v>
      </c>
      <c r="AH300" s="18">
        <v>0.37809999999999999</v>
      </c>
      <c r="AI300" s="18">
        <v>0.25159999999999999</v>
      </c>
      <c r="AJ300" s="18">
        <v>0.3337</v>
      </c>
      <c r="AK300" s="18">
        <v>0.35659999999999997</v>
      </c>
      <c r="AL300" s="18">
        <v>0.30459999999999998</v>
      </c>
      <c r="AM300" s="18">
        <v>0.18229999999999999</v>
      </c>
      <c r="AN300" s="18">
        <v>0.34029999999999999</v>
      </c>
      <c r="AO300" s="18">
        <v>9.2600000000000002E-2</v>
      </c>
      <c r="AP300" s="18">
        <v>0.27229999999999999</v>
      </c>
      <c r="AQ300" s="18">
        <v>0.32629999999999998</v>
      </c>
      <c r="AR300" s="18">
        <v>0.53110000000000002</v>
      </c>
      <c r="AS300" s="18">
        <v>0.6371</v>
      </c>
      <c r="AT300" s="18">
        <v>0.46970000000000001</v>
      </c>
      <c r="AU300" s="18">
        <v>0.37719999999999998</v>
      </c>
      <c r="AV300" s="18">
        <v>4.9000000000000002E-2</v>
      </c>
      <c r="AW300" s="18">
        <v>0.20219999999999999</v>
      </c>
      <c r="AX300" s="18">
        <v>7.5700000000000003E-2</v>
      </c>
    </row>
    <row r="301" spans="1:50" x14ac:dyDescent="0.25">
      <c r="A301" s="16" t="s">
        <v>769</v>
      </c>
      <c r="B301" s="13" t="s">
        <v>464</v>
      </c>
      <c r="C301" s="17">
        <v>0.16350000000000001</v>
      </c>
      <c r="D301" s="17">
        <v>8.14E-2</v>
      </c>
      <c r="E301" s="17">
        <v>0.27500000000000002</v>
      </c>
      <c r="F301" s="17">
        <v>5.1999999999999998E-2</v>
      </c>
      <c r="G301" s="17">
        <v>0.2064</v>
      </c>
      <c r="H301" s="17">
        <v>7.8799999999999995E-2</v>
      </c>
      <c r="I301" s="17">
        <v>0.23350000000000001</v>
      </c>
      <c r="J301" s="17">
        <v>0.10349999999999999</v>
      </c>
      <c r="K301" s="17">
        <v>0.1426</v>
      </c>
      <c r="L301" s="17">
        <v>9.6100000000000005E-2</v>
      </c>
      <c r="M301" s="17">
        <v>0.1696</v>
      </c>
      <c r="N301" s="17">
        <v>0.1426</v>
      </c>
      <c r="O301" s="17">
        <v>0.10730000000000001</v>
      </c>
      <c r="P301" s="17">
        <v>0.34660000000000002</v>
      </c>
      <c r="Q301" s="17">
        <v>0.3105</v>
      </c>
      <c r="R301" s="17">
        <v>0.38679999999999998</v>
      </c>
      <c r="S301" s="17">
        <v>0.29389999999999999</v>
      </c>
      <c r="T301" s="17">
        <v>0.4501</v>
      </c>
      <c r="U301" s="17">
        <v>5.8999999999999997E-2</v>
      </c>
      <c r="V301" s="17">
        <v>0.34389999999999998</v>
      </c>
      <c r="W301" s="17">
        <v>0.20799999999999999</v>
      </c>
      <c r="X301" s="17">
        <v>0.1416</v>
      </c>
      <c r="Y301" s="17">
        <v>0.2162</v>
      </c>
      <c r="Z301" s="17">
        <v>7.4099999999999999E-2</v>
      </c>
      <c r="AA301" s="17">
        <v>0.19170000000000001</v>
      </c>
      <c r="AB301" s="17">
        <v>9.0800000000000006E-2</v>
      </c>
      <c r="AC301" s="17">
        <v>0.1038</v>
      </c>
      <c r="AD301" s="17">
        <v>0.1623</v>
      </c>
      <c r="AE301" s="17">
        <v>0.1799</v>
      </c>
      <c r="AF301" s="17">
        <v>0.16009999999999999</v>
      </c>
      <c r="AG301" s="17">
        <v>0.9254</v>
      </c>
      <c r="AH301" s="17">
        <v>0.53559999999999997</v>
      </c>
      <c r="AI301" s="17">
        <v>0.12690000000000001</v>
      </c>
      <c r="AJ301" s="17">
        <v>0.21690000000000001</v>
      </c>
      <c r="AK301" s="17">
        <v>0.94579999999999997</v>
      </c>
      <c r="AL301" s="17">
        <v>0.26490000000000002</v>
      </c>
      <c r="AM301" s="17">
        <v>0.20930000000000001</v>
      </c>
      <c r="AN301" s="17">
        <v>0.34589999999999999</v>
      </c>
      <c r="AO301" s="17">
        <v>0.30120000000000002</v>
      </c>
      <c r="AP301" s="17">
        <v>0.1479</v>
      </c>
      <c r="AQ301" s="17">
        <v>0.51060000000000005</v>
      </c>
      <c r="AR301" s="17">
        <v>0.16839999999999999</v>
      </c>
      <c r="AS301" s="17">
        <v>0.17860000000000001</v>
      </c>
      <c r="AT301" s="17">
        <v>0.2472</v>
      </c>
      <c r="AU301" s="17">
        <v>0.15490000000000001</v>
      </c>
      <c r="AV301" s="17">
        <v>0.14149999999999999</v>
      </c>
      <c r="AW301" s="17">
        <v>0.33150000000000002</v>
      </c>
      <c r="AX301" s="17">
        <v>0.30199999999999999</v>
      </c>
    </row>
    <row r="302" spans="1:50" x14ac:dyDescent="0.25">
      <c r="A302" s="8" t="s">
        <v>342</v>
      </c>
      <c r="B302" s="10" t="s">
        <v>57</v>
      </c>
      <c r="C302" s="18">
        <v>0.13650000000000001</v>
      </c>
      <c r="D302" s="18">
        <v>8.0699999999999994E-2</v>
      </c>
      <c r="E302" s="18">
        <v>0.18479999999999999</v>
      </c>
      <c r="F302" s="18">
        <v>0.1585</v>
      </c>
      <c r="G302" s="18">
        <v>5.0999999999999997E-2</v>
      </c>
      <c r="H302" s="18">
        <v>5.0999999999999997E-2</v>
      </c>
      <c r="I302" s="18">
        <v>0.2145</v>
      </c>
      <c r="J302" s="18">
        <v>0.1585</v>
      </c>
      <c r="K302" s="18">
        <v>0.12529999999999999</v>
      </c>
      <c r="L302" s="18">
        <v>0.1993</v>
      </c>
      <c r="M302" s="18">
        <v>9.9400000000000002E-2</v>
      </c>
      <c r="N302" s="18">
        <v>0.2145</v>
      </c>
      <c r="O302" s="18">
        <v>0.13159999999999999</v>
      </c>
      <c r="P302" s="18">
        <v>0.14480000000000001</v>
      </c>
      <c r="Q302" s="18">
        <v>0.30730000000000002</v>
      </c>
      <c r="R302" s="18">
        <v>0.25280000000000002</v>
      </c>
      <c r="S302" s="18">
        <v>0.26219999999999999</v>
      </c>
      <c r="T302" s="18">
        <v>0.37059999999999998</v>
      </c>
      <c r="U302" s="18">
        <v>0.1726</v>
      </c>
      <c r="V302" s="18">
        <v>6.6199999999999995E-2</v>
      </c>
      <c r="W302" s="18">
        <v>0.16719999999999999</v>
      </c>
      <c r="X302" s="18">
        <v>0.1066</v>
      </c>
      <c r="Y302" s="18">
        <v>0.20300000000000001</v>
      </c>
      <c r="Z302" s="18">
        <v>0.47920000000000001</v>
      </c>
      <c r="AA302" s="18">
        <v>0.35470000000000002</v>
      </c>
      <c r="AB302" s="18">
        <v>0.2258</v>
      </c>
      <c r="AC302" s="18">
        <v>0.41</v>
      </c>
      <c r="AD302" s="18">
        <v>0.24629999999999999</v>
      </c>
      <c r="AE302" s="18">
        <v>0.34329999999999999</v>
      </c>
      <c r="AF302" s="18">
        <v>0.1716</v>
      </c>
      <c r="AG302" s="18">
        <v>0.20419999999999999</v>
      </c>
      <c r="AH302" s="18">
        <v>0.54200000000000004</v>
      </c>
      <c r="AI302" s="18">
        <v>0.3332</v>
      </c>
      <c r="AJ302" s="18">
        <v>5.0999999999999997E-2</v>
      </c>
      <c r="AK302" s="18">
        <v>9.6699999999999994E-2</v>
      </c>
      <c r="AL302" s="18">
        <v>0.2155</v>
      </c>
      <c r="AM302" s="18">
        <v>0.19689999999999999</v>
      </c>
      <c r="AN302" s="18">
        <v>0.1139</v>
      </c>
      <c r="AO302" s="18">
        <v>0.73950000000000005</v>
      </c>
      <c r="AP302" s="18">
        <v>0.2495</v>
      </c>
      <c r="AQ302" s="18">
        <v>0.37440000000000001</v>
      </c>
      <c r="AR302" s="18">
        <v>0.5988</v>
      </c>
      <c r="AS302" s="18">
        <v>0.34179999999999999</v>
      </c>
      <c r="AT302" s="18">
        <v>0.51070000000000004</v>
      </c>
      <c r="AU302" s="18">
        <v>0.56640000000000001</v>
      </c>
      <c r="AV302" s="18">
        <v>0.33689999999999998</v>
      </c>
      <c r="AW302" s="18">
        <v>0.49370000000000003</v>
      </c>
      <c r="AX302" s="18">
        <v>0.20219999999999999</v>
      </c>
    </row>
    <row r="303" spans="1:50" x14ac:dyDescent="0.25">
      <c r="A303" s="16" t="s">
        <v>771</v>
      </c>
      <c r="B303" s="13" t="s">
        <v>464</v>
      </c>
      <c r="C303" s="17">
        <v>0.83899999999999997</v>
      </c>
      <c r="D303" s="17">
        <v>0.9647</v>
      </c>
      <c r="E303" s="17">
        <v>0.29699999999999999</v>
      </c>
      <c r="F303" s="17">
        <v>0.27879999999999999</v>
      </c>
      <c r="G303" s="17">
        <v>0.41860000000000003</v>
      </c>
      <c r="H303" s="17">
        <v>0.45839999999999997</v>
      </c>
      <c r="I303" s="17">
        <v>5.7000000000000002E-2</v>
      </c>
      <c r="J303" s="17">
        <v>0.18659999999999999</v>
      </c>
      <c r="K303" s="17">
        <v>9.5100000000000004E-2</v>
      </c>
      <c r="L303" s="17">
        <v>0.13320000000000001</v>
      </c>
      <c r="M303" s="17">
        <v>0.14849999999999999</v>
      </c>
      <c r="N303" s="17">
        <v>7.22E-2</v>
      </c>
      <c r="O303" s="17">
        <v>0.20949999999999999</v>
      </c>
      <c r="P303" s="17">
        <v>5.7000000000000002E-2</v>
      </c>
      <c r="Q303" s="17">
        <v>0.13919999999999999</v>
      </c>
      <c r="R303" s="17">
        <v>0.31630000000000003</v>
      </c>
      <c r="S303" s="17">
        <v>0.16059999999999999</v>
      </c>
      <c r="T303" s="17">
        <v>0.27360000000000001</v>
      </c>
      <c r="U303" s="17">
        <v>0.154</v>
      </c>
      <c r="V303" s="17">
        <v>0.67689999999999995</v>
      </c>
      <c r="W303" s="17">
        <v>0.91369999999999996</v>
      </c>
      <c r="X303" s="17">
        <v>7.6899999999999996E-2</v>
      </c>
      <c r="Y303" s="17">
        <v>0.32629999999999998</v>
      </c>
      <c r="Z303" s="17">
        <v>0.3236</v>
      </c>
      <c r="AA303" s="17">
        <v>0.22470000000000001</v>
      </c>
      <c r="AB303" s="17">
        <v>5.7000000000000002E-2</v>
      </c>
      <c r="AC303" s="17">
        <v>5.7000000000000002E-2</v>
      </c>
      <c r="AD303" s="17">
        <v>0.20180000000000001</v>
      </c>
      <c r="AE303" s="17">
        <v>7.9899999999999999E-2</v>
      </c>
      <c r="AF303" s="17">
        <v>0.14080000000000001</v>
      </c>
      <c r="AG303" s="17">
        <v>0.14080000000000001</v>
      </c>
      <c r="AH303" s="17">
        <v>5.7000000000000002E-2</v>
      </c>
      <c r="AI303" s="17">
        <v>8.7499999999999994E-2</v>
      </c>
      <c r="AJ303" s="17">
        <v>0.19420000000000001</v>
      </c>
      <c r="AK303" s="17">
        <v>0.51819999999999999</v>
      </c>
      <c r="AL303" s="17">
        <v>0.69159999999999999</v>
      </c>
      <c r="AM303" s="17">
        <v>0.51880000000000004</v>
      </c>
      <c r="AN303" s="17">
        <v>1.7762</v>
      </c>
      <c r="AO303" s="17">
        <v>1.6948000000000001</v>
      </c>
      <c r="AP303" s="17">
        <v>1.4267000000000001</v>
      </c>
      <c r="AQ303" s="17">
        <v>0.58099999999999996</v>
      </c>
      <c r="AR303" s="17">
        <v>1.7579</v>
      </c>
      <c r="AS303" s="17">
        <v>1.127</v>
      </c>
      <c r="AT303" s="17">
        <v>0.91249999999999998</v>
      </c>
      <c r="AU303" s="17">
        <v>0.71150000000000002</v>
      </c>
      <c r="AV303" s="17">
        <v>0.73099999999999998</v>
      </c>
      <c r="AW303" s="17">
        <v>0.55389999999999995</v>
      </c>
      <c r="AX303" s="17">
        <v>5.7000000000000002E-2</v>
      </c>
    </row>
    <row r="304" spans="1:50" x14ac:dyDescent="0.25">
      <c r="A304" s="16" t="s">
        <v>773</v>
      </c>
      <c r="B304" s="13" t="s">
        <v>464</v>
      </c>
      <c r="C304" s="17">
        <v>0.18659999999999999</v>
      </c>
      <c r="D304" s="17">
        <v>0.1719</v>
      </c>
      <c r="E304" s="17">
        <v>0.14119999999999999</v>
      </c>
      <c r="F304" s="17">
        <v>0.17849999999999999</v>
      </c>
      <c r="G304" s="17">
        <v>5.6000000000000001E-2</v>
      </c>
      <c r="H304" s="17">
        <v>5.6000000000000001E-2</v>
      </c>
      <c r="I304" s="17">
        <v>0.32569999999999999</v>
      </c>
      <c r="J304" s="17">
        <v>7.9200000000000007E-2</v>
      </c>
      <c r="K304" s="17">
        <v>0.2165</v>
      </c>
      <c r="L304" s="17">
        <v>0.2581</v>
      </c>
      <c r="M304" s="17">
        <v>0.11890000000000001</v>
      </c>
      <c r="N304" s="17">
        <v>0.23710000000000001</v>
      </c>
      <c r="O304" s="17">
        <v>0.16009999999999999</v>
      </c>
      <c r="P304" s="17">
        <v>0.22639999999999999</v>
      </c>
      <c r="Q304" s="17">
        <v>1.1457999999999999</v>
      </c>
      <c r="R304" s="17">
        <v>0.32669999999999999</v>
      </c>
      <c r="S304" s="17">
        <v>0.63970000000000005</v>
      </c>
      <c r="T304" s="17">
        <v>0.66139999999999999</v>
      </c>
      <c r="U304" s="17">
        <v>0.505</v>
      </c>
      <c r="V304" s="17">
        <v>0.15310000000000001</v>
      </c>
      <c r="W304" s="17">
        <v>0.1111</v>
      </c>
      <c r="X304" s="17">
        <v>0.12570000000000001</v>
      </c>
      <c r="Y304" s="17">
        <v>0.2792</v>
      </c>
      <c r="Z304" s="17">
        <v>5.6000000000000001E-2</v>
      </c>
      <c r="AA304" s="17">
        <v>5.6000000000000001E-2</v>
      </c>
      <c r="AB304" s="17">
        <v>0.11020000000000001</v>
      </c>
      <c r="AC304" s="17">
        <v>0.22120000000000001</v>
      </c>
      <c r="AD304" s="17">
        <v>0.1295</v>
      </c>
      <c r="AE304" s="17">
        <v>0.26319999999999999</v>
      </c>
      <c r="AF304" s="17">
        <v>0.14180000000000001</v>
      </c>
      <c r="AG304" s="17">
        <v>9.2799999999999994E-2</v>
      </c>
      <c r="AH304" s="17">
        <v>0.31219999999999998</v>
      </c>
      <c r="AI304" s="17">
        <v>5.6000000000000001E-2</v>
      </c>
      <c r="AJ304" s="17">
        <v>5.6000000000000001E-2</v>
      </c>
      <c r="AK304" s="17">
        <v>0.32319999999999999</v>
      </c>
      <c r="AL304" s="17">
        <v>0.1118</v>
      </c>
      <c r="AM304" s="17">
        <v>0.34789999999999999</v>
      </c>
      <c r="AN304" s="17">
        <v>0.39100000000000001</v>
      </c>
      <c r="AO304" s="17">
        <v>0.28189999999999998</v>
      </c>
      <c r="AP304" s="17">
        <v>0.71020000000000005</v>
      </c>
      <c r="AQ304" s="17">
        <v>0.36509999999999998</v>
      </c>
      <c r="AR304" s="17">
        <v>0.39419999999999999</v>
      </c>
      <c r="AS304" s="17">
        <v>0.497</v>
      </c>
      <c r="AT304" s="17">
        <v>0.29299999999999998</v>
      </c>
      <c r="AU304" s="17">
        <v>0.70960000000000001</v>
      </c>
      <c r="AV304" s="17">
        <v>1.1335</v>
      </c>
      <c r="AW304" s="17">
        <v>0.63180000000000003</v>
      </c>
      <c r="AX304" s="17">
        <v>0.377</v>
      </c>
    </row>
    <row r="305" spans="1:50" x14ac:dyDescent="0.25">
      <c r="A305" s="16" t="s">
        <v>775</v>
      </c>
      <c r="B305" s="13" t="s">
        <v>464</v>
      </c>
      <c r="C305" s="17">
        <v>0.3382</v>
      </c>
      <c r="D305" s="17">
        <v>0.22470000000000001</v>
      </c>
      <c r="E305" s="17">
        <v>0.05</v>
      </c>
      <c r="F305" s="17">
        <v>0.05</v>
      </c>
      <c r="G305" s="17">
        <v>0.05</v>
      </c>
      <c r="H305" s="17">
        <v>0.05</v>
      </c>
      <c r="I305" s="17">
        <v>0.05</v>
      </c>
      <c r="J305" s="17">
        <v>0.05</v>
      </c>
      <c r="K305" s="17">
        <v>0.05</v>
      </c>
      <c r="L305" s="17">
        <v>0.05</v>
      </c>
      <c r="M305" s="17">
        <v>0.2646</v>
      </c>
      <c r="N305" s="17">
        <v>0.05</v>
      </c>
      <c r="O305" s="17">
        <v>0.05</v>
      </c>
      <c r="P305" s="17">
        <v>0.05</v>
      </c>
      <c r="Q305" s="17">
        <v>0.05</v>
      </c>
      <c r="R305" s="17">
        <v>5.7500000000000002E-2</v>
      </c>
      <c r="S305" s="17">
        <v>7.17E-2</v>
      </c>
      <c r="T305" s="17">
        <v>6.59E-2</v>
      </c>
      <c r="U305" s="17">
        <v>0.08</v>
      </c>
      <c r="V305" s="17">
        <v>8.4599999999999995E-2</v>
      </c>
      <c r="W305" s="17">
        <v>6.9599999999999995E-2</v>
      </c>
      <c r="X305" s="17">
        <v>0.05</v>
      </c>
      <c r="Y305" s="17">
        <v>0.05</v>
      </c>
      <c r="Z305" s="17">
        <v>0.05</v>
      </c>
      <c r="AA305" s="17">
        <v>0.05</v>
      </c>
      <c r="AB305" s="17">
        <v>0.05</v>
      </c>
      <c r="AC305" s="17">
        <v>0.05</v>
      </c>
      <c r="AD305" s="17">
        <v>0.05</v>
      </c>
      <c r="AE305" s="17">
        <v>0.05</v>
      </c>
      <c r="AF305" s="17">
        <v>0.05</v>
      </c>
      <c r="AG305" s="17">
        <v>0.05</v>
      </c>
      <c r="AH305" s="17">
        <v>0.20430000000000001</v>
      </c>
      <c r="AI305" s="17">
        <v>0.30430000000000001</v>
      </c>
      <c r="AJ305" s="17">
        <v>1.0354000000000001</v>
      </c>
      <c r="AK305" s="17">
        <v>0.28749999999999998</v>
      </c>
      <c r="AL305" s="17">
        <v>0.30449999999999999</v>
      </c>
      <c r="AM305" s="17">
        <v>0.4703</v>
      </c>
      <c r="AN305" s="17">
        <v>1.9168000000000001</v>
      </c>
      <c r="AO305" s="17">
        <v>0.32119999999999999</v>
      </c>
      <c r="AP305" s="17">
        <v>0.36780000000000002</v>
      </c>
      <c r="AQ305" s="17">
        <v>0.36630000000000001</v>
      </c>
      <c r="AR305" s="17">
        <v>0.65280000000000005</v>
      </c>
      <c r="AS305" s="17">
        <v>0.59689999999999999</v>
      </c>
      <c r="AT305" s="17">
        <v>0.29239999999999999</v>
      </c>
      <c r="AU305" s="17">
        <v>0.05</v>
      </c>
      <c r="AV305" s="17">
        <v>0.05</v>
      </c>
      <c r="AW305" s="17">
        <v>0.05</v>
      </c>
      <c r="AX305" s="17">
        <v>0.10539999999999999</v>
      </c>
    </row>
    <row r="306" spans="1:50" x14ac:dyDescent="0.25">
      <c r="A306" s="8" t="s">
        <v>344</v>
      </c>
      <c r="B306" s="10" t="s">
        <v>57</v>
      </c>
      <c r="C306" s="18">
        <v>5.3999999999999999E-2</v>
      </c>
      <c r="D306" s="18">
        <v>0.12790000000000001</v>
      </c>
      <c r="E306" s="18">
        <v>0.16070000000000001</v>
      </c>
      <c r="F306" s="18">
        <v>5.3999999999999999E-2</v>
      </c>
      <c r="G306" s="18">
        <v>0.2346</v>
      </c>
      <c r="H306" s="18">
        <v>5.3999999999999999E-2</v>
      </c>
      <c r="I306" s="18">
        <v>0.19350000000000001</v>
      </c>
      <c r="J306" s="18">
        <v>9.5000000000000001E-2</v>
      </c>
      <c r="K306" s="18">
        <v>5.3999999999999999E-2</v>
      </c>
      <c r="L306" s="18">
        <v>0.2346</v>
      </c>
      <c r="M306" s="18">
        <v>5.7799999999999997E-2</v>
      </c>
      <c r="N306" s="18">
        <v>1.7672000000000001</v>
      </c>
      <c r="O306" s="18">
        <v>7.8600000000000003E-2</v>
      </c>
      <c r="P306" s="18">
        <v>0.1032</v>
      </c>
      <c r="Q306" s="18">
        <v>0.18529999999999999</v>
      </c>
      <c r="R306" s="18">
        <v>5.7799999999999997E-2</v>
      </c>
      <c r="S306" s="18">
        <v>0.2477</v>
      </c>
      <c r="T306" s="18">
        <v>0.88660000000000005</v>
      </c>
      <c r="U306" s="18">
        <v>1.0679000000000001</v>
      </c>
      <c r="V306" s="18">
        <v>0.22639999999999999</v>
      </c>
      <c r="W306" s="18">
        <v>2.0733000000000001</v>
      </c>
      <c r="X306" s="18">
        <v>9.9400000000000002E-2</v>
      </c>
      <c r="Y306" s="18">
        <v>0.1105</v>
      </c>
      <c r="Z306" s="18">
        <v>0.2346</v>
      </c>
      <c r="AA306" s="18">
        <v>6.54E-2</v>
      </c>
      <c r="AB306" s="18">
        <v>0.1227</v>
      </c>
      <c r="AC306" s="18">
        <v>0.17979999999999999</v>
      </c>
      <c r="AD306" s="18">
        <v>8.6999999999999994E-2</v>
      </c>
      <c r="AE306" s="18">
        <v>0.23719999999999999</v>
      </c>
      <c r="AF306" s="18">
        <v>6.6699999999999995E-2</v>
      </c>
      <c r="AG306" s="18">
        <v>1.4692000000000001</v>
      </c>
      <c r="AH306" s="18">
        <v>0.31219999999999998</v>
      </c>
      <c r="AI306" s="18">
        <v>0.20419999999999999</v>
      </c>
      <c r="AJ306" s="18">
        <v>0.1293</v>
      </c>
      <c r="AK306" s="18">
        <v>0.2346</v>
      </c>
      <c r="AL306" s="18">
        <v>0.38229999999999997</v>
      </c>
      <c r="AM306" s="18">
        <v>2.9207000000000001</v>
      </c>
      <c r="AN306" s="18">
        <v>1.8420000000000001</v>
      </c>
      <c r="AO306" s="18">
        <v>0.2261</v>
      </c>
      <c r="AP306" s="18">
        <v>0.35709999999999997</v>
      </c>
      <c r="AQ306" s="18">
        <v>0.4269</v>
      </c>
      <c r="AR306" s="18">
        <v>0.43140000000000001</v>
      </c>
      <c r="AS306" s="18">
        <v>0.47799999999999998</v>
      </c>
      <c r="AT306" s="18">
        <v>0.37740000000000001</v>
      </c>
      <c r="AU306" s="18">
        <v>0.20039999999999999</v>
      </c>
      <c r="AV306" s="18">
        <v>0.28179999999999999</v>
      </c>
      <c r="AW306" s="18">
        <v>5.3999999999999999E-2</v>
      </c>
      <c r="AX306" s="18">
        <v>5.3999999999999999E-2</v>
      </c>
    </row>
    <row r="307" spans="1:50" x14ac:dyDescent="0.25">
      <c r="A307" s="8" t="s">
        <v>346</v>
      </c>
      <c r="B307" s="10" t="s">
        <v>57</v>
      </c>
      <c r="C307" s="18">
        <v>0.15659999999999999</v>
      </c>
      <c r="D307" s="18">
        <v>0.1386</v>
      </c>
      <c r="E307" s="18">
        <v>0.18390000000000001</v>
      </c>
      <c r="F307" s="18">
        <v>0.19889999999999999</v>
      </c>
      <c r="G307" s="18">
        <v>5.04E-2</v>
      </c>
      <c r="H307" s="18">
        <v>0.20449999999999999</v>
      </c>
      <c r="I307" s="18">
        <v>0.12470000000000001</v>
      </c>
      <c r="J307" s="18">
        <v>0.2243</v>
      </c>
      <c r="K307" s="18">
        <v>3.6999999999999998E-2</v>
      </c>
      <c r="L307" s="18">
        <v>0.19789999999999999</v>
      </c>
      <c r="M307" s="18">
        <v>0.13600000000000001</v>
      </c>
      <c r="N307" s="18">
        <v>0.12609999999999999</v>
      </c>
      <c r="O307" s="18">
        <v>0.2379</v>
      </c>
      <c r="P307" s="18">
        <v>0.11260000000000001</v>
      </c>
      <c r="Q307" s="18">
        <v>0.2646</v>
      </c>
      <c r="R307" s="18">
        <v>0.19059999999999999</v>
      </c>
      <c r="S307" s="18">
        <v>0.94920000000000004</v>
      </c>
      <c r="T307" s="18">
        <v>1.0962000000000001</v>
      </c>
      <c r="U307" s="18">
        <v>0.34789999999999999</v>
      </c>
      <c r="V307" s="18">
        <v>0.31190000000000001</v>
      </c>
      <c r="W307" s="18">
        <v>0.33239999999999997</v>
      </c>
      <c r="X307" s="18">
        <v>4.8300000000000003E-2</v>
      </c>
      <c r="Y307" s="18">
        <v>0.24110000000000001</v>
      </c>
      <c r="Z307" s="18">
        <v>0.1343</v>
      </c>
      <c r="AA307" s="18">
        <v>0.1011</v>
      </c>
      <c r="AB307" s="18">
        <v>0.1305</v>
      </c>
      <c r="AC307" s="18">
        <v>0.30280000000000001</v>
      </c>
      <c r="AD307" s="18">
        <v>0.16950000000000001</v>
      </c>
      <c r="AE307" s="18">
        <v>1.1141000000000001</v>
      </c>
      <c r="AF307" s="18">
        <v>0.43409999999999999</v>
      </c>
      <c r="AG307" s="18">
        <v>0.157</v>
      </c>
      <c r="AH307" s="18">
        <v>0.3962</v>
      </c>
      <c r="AI307" s="18">
        <v>0.27810000000000001</v>
      </c>
      <c r="AJ307" s="18">
        <v>0.26929999999999998</v>
      </c>
      <c r="AK307" s="18">
        <v>0.49890000000000001</v>
      </c>
      <c r="AL307" s="18">
        <v>9.6600000000000005E-2</v>
      </c>
      <c r="AM307" s="18">
        <v>4.7500000000000001E-2</v>
      </c>
      <c r="AN307" s="18">
        <v>0.2492</v>
      </c>
      <c r="AO307" s="18">
        <v>0.44409999999999999</v>
      </c>
      <c r="AP307" s="18">
        <v>0.37880000000000003</v>
      </c>
      <c r="AQ307" s="18">
        <v>0.48520000000000002</v>
      </c>
      <c r="AR307" s="18">
        <v>0.61409999999999998</v>
      </c>
      <c r="AS307" s="18">
        <v>0.41439999999999999</v>
      </c>
      <c r="AT307" s="18">
        <v>0.37240000000000001</v>
      </c>
      <c r="AU307" s="18">
        <v>0.2346</v>
      </c>
      <c r="AV307" s="18">
        <v>0.65359999999999996</v>
      </c>
      <c r="AW307" s="18">
        <v>1.2621</v>
      </c>
      <c r="AX307" s="18">
        <v>2.6556000000000002</v>
      </c>
    </row>
    <row r="308" spans="1:50" x14ac:dyDescent="0.25">
      <c r="A308" s="16" t="s">
        <v>777</v>
      </c>
      <c r="B308" s="13" t="s">
        <v>464</v>
      </c>
      <c r="C308" s="17">
        <v>0.1087</v>
      </c>
      <c r="D308" s="17">
        <v>5.6000000000000001E-2</v>
      </c>
      <c r="E308" s="17">
        <v>5.6000000000000001E-2</v>
      </c>
      <c r="F308" s="17">
        <v>5.6000000000000001E-2</v>
      </c>
      <c r="G308" s="17">
        <v>5.6000000000000001E-2</v>
      </c>
      <c r="H308" s="17">
        <v>5.6000000000000001E-2</v>
      </c>
      <c r="I308" s="17">
        <v>5.6000000000000001E-2</v>
      </c>
      <c r="J308" s="17">
        <v>5.6000000000000001E-2</v>
      </c>
      <c r="K308" s="17">
        <v>5.6000000000000001E-2</v>
      </c>
      <c r="L308" s="17">
        <v>5.6000000000000001E-2</v>
      </c>
      <c r="M308" s="17">
        <v>5.6000000000000001E-2</v>
      </c>
      <c r="N308" s="17">
        <v>5.6000000000000001E-2</v>
      </c>
      <c r="O308" s="17">
        <v>5.6000000000000001E-2</v>
      </c>
      <c r="P308" s="17">
        <v>5.6000000000000001E-2</v>
      </c>
      <c r="Q308" s="17">
        <v>5.6000000000000001E-2</v>
      </c>
      <c r="R308" s="17">
        <v>5.6000000000000001E-2</v>
      </c>
      <c r="S308" s="17">
        <v>5.6000000000000001E-2</v>
      </c>
      <c r="T308" s="17">
        <v>0.19309999999999999</v>
      </c>
      <c r="U308" s="17">
        <v>0.87009999999999998</v>
      </c>
      <c r="V308" s="17">
        <v>0.2412</v>
      </c>
      <c r="W308" s="17">
        <v>0.1305</v>
      </c>
      <c r="X308" s="17">
        <v>1.4287000000000001</v>
      </c>
      <c r="Y308" s="17">
        <v>1.1032999999999999</v>
      </c>
      <c r="Z308" s="17">
        <v>0.1522</v>
      </c>
      <c r="AA308" s="17">
        <v>0.23230000000000001</v>
      </c>
      <c r="AB308" s="17">
        <v>0.15740000000000001</v>
      </c>
      <c r="AC308" s="17">
        <v>0.15559999999999999</v>
      </c>
      <c r="AD308" s="17">
        <v>0.1961</v>
      </c>
      <c r="AE308" s="17">
        <v>8.0699999999999994E-2</v>
      </c>
      <c r="AF308" s="17">
        <v>0.2326</v>
      </c>
      <c r="AG308" s="17">
        <v>5.6000000000000001E-2</v>
      </c>
      <c r="AH308" s="17">
        <v>0.10440000000000001</v>
      </c>
      <c r="AI308" s="17">
        <v>5.6000000000000001E-2</v>
      </c>
      <c r="AJ308" s="17">
        <v>5.6000000000000001E-2</v>
      </c>
      <c r="AK308" s="17">
        <v>5.6000000000000001E-2</v>
      </c>
      <c r="AL308" s="17">
        <v>5.6000000000000001E-2</v>
      </c>
      <c r="AM308" s="17">
        <v>5.6000000000000001E-2</v>
      </c>
      <c r="AN308" s="17">
        <v>5.6000000000000001E-2</v>
      </c>
      <c r="AO308" s="17">
        <v>5.6000000000000001E-2</v>
      </c>
      <c r="AP308" s="17">
        <v>5.6000000000000001E-2</v>
      </c>
      <c r="AQ308" s="17">
        <v>5.6000000000000001E-2</v>
      </c>
      <c r="AR308" s="17">
        <v>5.6000000000000001E-2</v>
      </c>
      <c r="AS308" s="17">
        <v>5.6000000000000001E-2</v>
      </c>
      <c r="AT308" s="17">
        <v>5.6000000000000001E-2</v>
      </c>
      <c r="AU308" s="17">
        <v>5.6000000000000001E-2</v>
      </c>
      <c r="AV308" s="17">
        <v>5.6000000000000001E-2</v>
      </c>
      <c r="AW308" s="17">
        <v>5.6000000000000001E-2</v>
      </c>
      <c r="AX308" s="17">
        <v>5.6000000000000001E-2</v>
      </c>
    </row>
    <row r="309" spans="1:50" x14ac:dyDescent="0.25">
      <c r="A309" s="8" t="s">
        <v>348</v>
      </c>
      <c r="B309" s="10" t="s">
        <v>57</v>
      </c>
      <c r="C309" s="18">
        <v>0.22789999999999999</v>
      </c>
      <c r="D309" s="18">
        <v>9.5299999999999996E-2</v>
      </c>
      <c r="E309" s="18">
        <v>0.44650000000000001</v>
      </c>
      <c r="F309" s="18">
        <v>9.8000000000000004E-2</v>
      </c>
      <c r="G309" s="18">
        <v>0.19919999999999999</v>
      </c>
      <c r="H309" s="18">
        <v>0.3947</v>
      </c>
      <c r="I309" s="18">
        <v>4.5999999999999999E-2</v>
      </c>
      <c r="J309" s="18">
        <v>0.34100000000000003</v>
      </c>
      <c r="K309" s="18">
        <v>5.28E-2</v>
      </c>
      <c r="L309" s="18">
        <v>0.32919999999999999</v>
      </c>
      <c r="M309" s="18">
        <v>0.26469999999999999</v>
      </c>
      <c r="N309" s="18">
        <v>0.1915</v>
      </c>
      <c r="O309" s="18">
        <v>0.38379999999999997</v>
      </c>
      <c r="P309" s="18">
        <v>0.11</v>
      </c>
      <c r="Q309" s="18">
        <v>0.33510000000000001</v>
      </c>
      <c r="R309" s="18">
        <v>0.78380000000000005</v>
      </c>
      <c r="S309" s="18">
        <v>0.3024</v>
      </c>
      <c r="T309" s="18">
        <v>0.214</v>
      </c>
      <c r="U309" s="18">
        <v>0.315</v>
      </c>
      <c r="V309" s="18">
        <v>0.52969999999999995</v>
      </c>
      <c r="W309" s="18">
        <v>7.0900000000000005E-2</v>
      </c>
      <c r="X309" s="18">
        <v>0.55940000000000001</v>
      </c>
      <c r="Y309" s="18">
        <v>0.18479999999999999</v>
      </c>
      <c r="Z309" s="18">
        <v>0.4803</v>
      </c>
      <c r="AA309" s="18">
        <v>0.6966</v>
      </c>
      <c r="AB309" s="18">
        <v>0.1129</v>
      </c>
      <c r="AC309" s="18">
        <v>0.4052</v>
      </c>
      <c r="AD309" s="18">
        <v>0.66849999999999998</v>
      </c>
      <c r="AE309" s="18">
        <v>0.192</v>
      </c>
      <c r="AF309" s="18">
        <v>0.36499999999999999</v>
      </c>
      <c r="AG309" s="18">
        <v>0.34449999999999997</v>
      </c>
      <c r="AH309" s="18">
        <v>0.24010000000000001</v>
      </c>
      <c r="AI309" s="18">
        <v>0.28270000000000001</v>
      </c>
      <c r="AJ309" s="18">
        <v>0.47110000000000002</v>
      </c>
      <c r="AK309" s="18">
        <v>1.4996</v>
      </c>
      <c r="AL309" s="18">
        <v>1.2016</v>
      </c>
      <c r="AM309" s="18">
        <v>1.1358999999999999</v>
      </c>
      <c r="AN309" s="18">
        <v>0.2132</v>
      </c>
      <c r="AO309" s="18">
        <v>0.2361</v>
      </c>
      <c r="AP309" s="18">
        <v>0.2707</v>
      </c>
      <c r="AQ309" s="18">
        <v>0.49359999999999998</v>
      </c>
      <c r="AR309" s="18">
        <v>0.44379999999999997</v>
      </c>
      <c r="AS309" s="18">
        <v>0.39989999999999998</v>
      </c>
      <c r="AT309" s="18">
        <v>0.48</v>
      </c>
      <c r="AU309" s="18">
        <v>0.46839999999999998</v>
      </c>
      <c r="AV309" s="18">
        <v>0.51400000000000001</v>
      </c>
      <c r="AW309" s="18">
        <v>0.97150000000000003</v>
      </c>
      <c r="AX309" s="18">
        <v>0.44340000000000002</v>
      </c>
    </row>
    <row r="310" spans="1:50" x14ac:dyDescent="0.25">
      <c r="A310" s="8" t="s">
        <v>350</v>
      </c>
      <c r="B310" s="10" t="s">
        <v>57</v>
      </c>
      <c r="C310" s="18">
        <v>0.33029999999999998</v>
      </c>
      <c r="D310" s="18">
        <v>4.5999999999999999E-2</v>
      </c>
      <c r="E310" s="18">
        <v>5.2999999999999999E-2</v>
      </c>
      <c r="F310" s="18">
        <v>0.1018</v>
      </c>
      <c r="G310" s="18">
        <v>0.06</v>
      </c>
      <c r="H310" s="18">
        <v>9.4899999999999998E-2</v>
      </c>
      <c r="I310" s="18">
        <v>5.2999999999999999E-2</v>
      </c>
      <c r="J310" s="18">
        <v>0.1018</v>
      </c>
      <c r="K310" s="18">
        <v>4.5999999999999999E-2</v>
      </c>
      <c r="L310" s="18">
        <v>0.06</v>
      </c>
      <c r="M310" s="18">
        <v>9.4899999999999998E-2</v>
      </c>
      <c r="N310" s="18">
        <v>7.0900000000000005E-2</v>
      </c>
      <c r="O310" s="18">
        <v>0.46579999999999999</v>
      </c>
      <c r="P310" s="18">
        <v>0.2014</v>
      </c>
      <c r="Q310" s="18">
        <v>0.19009999999999999</v>
      </c>
      <c r="R310" s="18">
        <v>0.26150000000000001</v>
      </c>
      <c r="S310" s="18">
        <v>0.19500000000000001</v>
      </c>
      <c r="T310" s="18">
        <v>0.18640000000000001</v>
      </c>
      <c r="U310" s="18">
        <v>0.43340000000000001</v>
      </c>
      <c r="V310" s="18">
        <v>0.63970000000000005</v>
      </c>
      <c r="W310" s="18">
        <v>0.88270000000000004</v>
      </c>
      <c r="X310" s="18">
        <v>0.36359999999999998</v>
      </c>
      <c r="Y310" s="18">
        <v>0.17829999999999999</v>
      </c>
      <c r="Z310" s="18">
        <v>0.2646</v>
      </c>
      <c r="AA310" s="18">
        <v>0.12379999999999999</v>
      </c>
      <c r="AB310" s="18">
        <v>0.36520000000000002</v>
      </c>
      <c r="AC310" s="18">
        <v>0.1149</v>
      </c>
      <c r="AD310" s="18">
        <v>0.53139999999999998</v>
      </c>
      <c r="AE310" s="18">
        <v>0.5091</v>
      </c>
      <c r="AF310" s="18">
        <v>0.29480000000000001</v>
      </c>
      <c r="AG310" s="18">
        <v>0.1193</v>
      </c>
      <c r="AH310" s="18">
        <v>0.76419999999999999</v>
      </c>
      <c r="AI310" s="18">
        <v>1.4134</v>
      </c>
      <c r="AJ310" s="18">
        <v>0.12590000000000001</v>
      </c>
      <c r="AK310" s="18">
        <v>0.2949</v>
      </c>
      <c r="AL310" s="18">
        <v>0.18790000000000001</v>
      </c>
      <c r="AM310" s="18">
        <v>0.15920000000000001</v>
      </c>
      <c r="AN310" s="18">
        <v>0.2135</v>
      </c>
      <c r="AO310" s="18">
        <v>0.15509999999999999</v>
      </c>
      <c r="AP310" s="18">
        <v>0.20330000000000001</v>
      </c>
      <c r="AQ310" s="18">
        <v>0.54730000000000001</v>
      </c>
      <c r="AR310" s="18">
        <v>0.43099999999999999</v>
      </c>
      <c r="AS310" s="18">
        <v>0.39179999999999998</v>
      </c>
      <c r="AT310" s="18">
        <v>0.54830000000000001</v>
      </c>
      <c r="AU310" s="18">
        <v>0.36</v>
      </c>
      <c r="AV310" s="18">
        <v>0.52090000000000003</v>
      </c>
      <c r="AW310" s="18">
        <v>0.4703</v>
      </c>
      <c r="AX310" s="18">
        <v>0.35639999999999999</v>
      </c>
    </row>
    <row r="311" spans="1:50" x14ac:dyDescent="0.25">
      <c r="A311" s="16" t="s">
        <v>779</v>
      </c>
      <c r="B311" s="13" t="s">
        <v>464</v>
      </c>
      <c r="C311" s="17">
        <v>5.1999999999999998E-2</v>
      </c>
      <c r="D311" s="17">
        <v>5.1999999999999998E-2</v>
      </c>
      <c r="E311" s="17">
        <v>5.1999999999999998E-2</v>
      </c>
      <c r="F311" s="17">
        <v>5.1999999999999998E-2</v>
      </c>
      <c r="G311" s="17">
        <v>5.1999999999999998E-2</v>
      </c>
      <c r="H311" s="17">
        <v>8.5099999999999995E-2</v>
      </c>
      <c r="I311" s="17">
        <v>5.1999999999999998E-2</v>
      </c>
      <c r="J311" s="17">
        <v>5.1999999999999998E-2</v>
      </c>
      <c r="K311" s="17">
        <v>5.1999999999999998E-2</v>
      </c>
      <c r="L311" s="17">
        <v>5.1999999999999998E-2</v>
      </c>
      <c r="M311" s="17">
        <v>5.1999999999999998E-2</v>
      </c>
      <c r="N311" s="17">
        <v>5.1999999999999998E-2</v>
      </c>
      <c r="O311" s="17">
        <v>5.1999999999999998E-2</v>
      </c>
      <c r="P311" s="17">
        <v>8.4400000000000003E-2</v>
      </c>
      <c r="Q311" s="17">
        <v>6.1100000000000002E-2</v>
      </c>
      <c r="R311" s="17">
        <v>5.1999999999999998E-2</v>
      </c>
      <c r="S311" s="17">
        <v>6.4000000000000001E-2</v>
      </c>
      <c r="T311" s="17">
        <v>5.8000000000000003E-2</v>
      </c>
      <c r="U311" s="17">
        <v>6.6000000000000003E-2</v>
      </c>
      <c r="V311" s="17">
        <v>0.1255</v>
      </c>
      <c r="W311" s="17">
        <v>1.8292999999999999</v>
      </c>
      <c r="X311" s="17">
        <v>0.43059999999999998</v>
      </c>
      <c r="Y311" s="17">
        <v>5.62E-2</v>
      </c>
      <c r="Z311" s="17">
        <v>0.106</v>
      </c>
      <c r="AA311" s="17">
        <v>1.3856999999999999</v>
      </c>
      <c r="AB311" s="17">
        <v>1.3311999999999999</v>
      </c>
      <c r="AC311" s="17">
        <v>2.0710999999999999</v>
      </c>
      <c r="AD311" s="17">
        <v>0.12920000000000001</v>
      </c>
      <c r="AE311" s="17">
        <v>0.2989</v>
      </c>
      <c r="AF311" s="17">
        <v>0.16400000000000001</v>
      </c>
      <c r="AG311" s="17">
        <v>0.2049</v>
      </c>
      <c r="AH311" s="17">
        <v>0.25590000000000002</v>
      </c>
      <c r="AI311" s="17">
        <v>0.24929999999999999</v>
      </c>
      <c r="AJ311" s="17">
        <v>0.25819999999999999</v>
      </c>
      <c r="AK311" s="17">
        <v>9.6799999999999997E-2</v>
      </c>
      <c r="AL311" s="17">
        <v>1.9758</v>
      </c>
      <c r="AM311" s="17">
        <v>0.28449999999999998</v>
      </c>
      <c r="AN311" s="17">
        <v>1.7353000000000001</v>
      </c>
      <c r="AO311" s="17">
        <v>1.2305999999999999</v>
      </c>
      <c r="AP311" s="17">
        <v>1.03</v>
      </c>
      <c r="AQ311" s="17">
        <v>0.27960000000000002</v>
      </c>
      <c r="AR311" s="17">
        <v>0.35909999999999997</v>
      </c>
      <c r="AS311" s="17">
        <v>0.39439999999999997</v>
      </c>
      <c r="AT311" s="17">
        <v>0.43569999999999998</v>
      </c>
      <c r="AU311" s="17">
        <v>0.64429999999999998</v>
      </c>
      <c r="AV311" s="17">
        <v>0.625</v>
      </c>
      <c r="AW311" s="17">
        <v>0.72650000000000003</v>
      </c>
      <c r="AX311" s="17">
        <v>0.56879999999999997</v>
      </c>
    </row>
    <row r="312" spans="1:50" x14ac:dyDescent="0.25">
      <c r="A312" s="16" t="s">
        <v>781</v>
      </c>
      <c r="B312" s="13" t="s">
        <v>464</v>
      </c>
      <c r="C312" s="17">
        <v>0.23369999999999999</v>
      </c>
      <c r="D312" s="17">
        <v>5.2400000000000002E-2</v>
      </c>
      <c r="E312" s="17">
        <v>0.24840000000000001</v>
      </c>
      <c r="F312" s="17">
        <v>0.18909999999999999</v>
      </c>
      <c r="G312" s="17">
        <v>0.1046</v>
      </c>
      <c r="H312" s="17">
        <v>0.1961</v>
      </c>
      <c r="I312" s="17">
        <v>0.18909999999999999</v>
      </c>
      <c r="J312" s="17">
        <v>0.1046</v>
      </c>
      <c r="K312" s="17">
        <v>0.23330000000000001</v>
      </c>
      <c r="L312" s="17">
        <v>0.21290000000000001</v>
      </c>
      <c r="M312" s="17">
        <v>6.54E-2</v>
      </c>
      <c r="N312" s="17">
        <v>0.28989999999999999</v>
      </c>
      <c r="O312" s="17">
        <v>0.15190000000000001</v>
      </c>
      <c r="P312" s="17">
        <v>0.1008</v>
      </c>
      <c r="Q312" s="17">
        <v>0.23710000000000001</v>
      </c>
      <c r="R312" s="17">
        <v>0.14169999999999999</v>
      </c>
      <c r="S312" s="17">
        <v>0.26490000000000002</v>
      </c>
      <c r="T312" s="17">
        <v>0.1953</v>
      </c>
      <c r="U312" s="17">
        <v>7.9000000000000001E-2</v>
      </c>
      <c r="V312" s="17">
        <v>0.12959999999999999</v>
      </c>
      <c r="W312" s="17">
        <v>0.24229999999999999</v>
      </c>
      <c r="X312" s="17">
        <v>0.11749999999999999</v>
      </c>
      <c r="Y312" s="17">
        <v>0.28970000000000001</v>
      </c>
      <c r="Z312" s="17">
        <v>0.13500000000000001</v>
      </c>
      <c r="AA312" s="17">
        <v>0.26640000000000003</v>
      </c>
      <c r="AB312" s="17">
        <v>0.45179999999999998</v>
      </c>
      <c r="AC312" s="17">
        <v>0.2041</v>
      </c>
      <c r="AD312" s="17">
        <v>0.14119999999999999</v>
      </c>
      <c r="AE312" s="17">
        <v>0.30059999999999998</v>
      </c>
      <c r="AF312" s="17">
        <v>4.8000000000000001E-2</v>
      </c>
      <c r="AG312" s="17">
        <v>0.22739999999999999</v>
      </c>
      <c r="AH312" s="17">
        <v>0.156</v>
      </c>
      <c r="AI312" s="17">
        <v>0.1855</v>
      </c>
      <c r="AJ312" s="17">
        <v>0.1855</v>
      </c>
      <c r="AK312" s="17">
        <v>0.3034</v>
      </c>
      <c r="AL312" s="17">
        <v>0.13389999999999999</v>
      </c>
      <c r="AM312" s="17">
        <v>0.27429999999999999</v>
      </c>
      <c r="AN312" s="17">
        <v>0.76190000000000002</v>
      </c>
      <c r="AO312" s="17">
        <v>0.48470000000000002</v>
      </c>
      <c r="AP312" s="17">
        <v>0.66620000000000001</v>
      </c>
      <c r="AQ312" s="17">
        <v>0.75439999999999996</v>
      </c>
      <c r="AR312" s="17">
        <v>0.3851</v>
      </c>
      <c r="AS312" s="17">
        <v>0.61080000000000001</v>
      </c>
      <c r="AT312" s="17">
        <v>0.4037</v>
      </c>
      <c r="AU312" s="17">
        <v>0.50719999999999998</v>
      </c>
      <c r="AV312" s="17">
        <v>0.67300000000000004</v>
      </c>
      <c r="AW312" s="17">
        <v>0.25319999999999998</v>
      </c>
      <c r="AX312" s="17">
        <v>0.23760000000000001</v>
      </c>
    </row>
    <row r="313" spans="1:50" x14ac:dyDescent="0.25">
      <c r="A313" s="8" t="s">
        <v>352</v>
      </c>
      <c r="B313" s="10" t="s">
        <v>57</v>
      </c>
      <c r="C313" s="18">
        <v>0.50129999999999997</v>
      </c>
      <c r="D313" s="18">
        <v>0.1686</v>
      </c>
      <c r="E313" s="18">
        <v>6.4600000000000005E-2</v>
      </c>
      <c r="F313" s="18">
        <v>0.21940000000000001</v>
      </c>
      <c r="G313" s="18">
        <v>9.6600000000000005E-2</v>
      </c>
      <c r="H313" s="18">
        <v>0.13669999999999999</v>
      </c>
      <c r="I313" s="18">
        <v>0.19789999999999999</v>
      </c>
      <c r="J313" s="18">
        <v>4.5999999999999999E-2</v>
      </c>
      <c r="K313" s="18">
        <v>0.14000000000000001</v>
      </c>
      <c r="L313" s="18">
        <v>0.1111</v>
      </c>
      <c r="M313" s="18">
        <v>4.5999999999999999E-2</v>
      </c>
      <c r="N313" s="18">
        <v>0.2051</v>
      </c>
      <c r="O313" s="18">
        <v>0.10630000000000001</v>
      </c>
      <c r="P313" s="18">
        <v>0.18490000000000001</v>
      </c>
      <c r="Q313" s="18">
        <v>0.1489</v>
      </c>
      <c r="R313" s="18">
        <v>0.16059999999999999</v>
      </c>
      <c r="S313" s="18">
        <v>0.1875</v>
      </c>
      <c r="T313" s="18">
        <v>0.15579999999999999</v>
      </c>
      <c r="U313" s="18">
        <v>0.20749999999999999</v>
      </c>
      <c r="V313" s="18">
        <v>0.28270000000000001</v>
      </c>
      <c r="W313" s="18">
        <v>0.192</v>
      </c>
      <c r="X313" s="18">
        <v>0.31879999999999997</v>
      </c>
      <c r="Y313" s="18">
        <v>1.3212999999999999</v>
      </c>
      <c r="Z313" s="18">
        <v>0.14560000000000001</v>
      </c>
      <c r="AA313" s="18">
        <v>0.189</v>
      </c>
      <c r="AB313" s="18">
        <v>5.3199999999999997E-2</v>
      </c>
      <c r="AC313" s="18">
        <v>1.0779000000000001</v>
      </c>
      <c r="AD313" s="18">
        <v>0.31209999999999999</v>
      </c>
      <c r="AE313" s="18">
        <v>0.40300000000000002</v>
      </c>
      <c r="AF313" s="18">
        <v>4.5999999999999999E-2</v>
      </c>
      <c r="AG313" s="18">
        <v>0.1152</v>
      </c>
      <c r="AH313" s="18">
        <v>0.21940000000000001</v>
      </c>
      <c r="AI313" s="18">
        <v>0.12570000000000001</v>
      </c>
      <c r="AJ313" s="18">
        <v>0.37559999999999999</v>
      </c>
      <c r="AK313" s="18">
        <v>0.26779999999999998</v>
      </c>
      <c r="AL313" s="18">
        <v>0.28439999999999999</v>
      </c>
      <c r="AM313" s="18">
        <v>0.17829999999999999</v>
      </c>
      <c r="AN313" s="18">
        <v>1.4636</v>
      </c>
      <c r="AO313" s="18">
        <v>1.4702</v>
      </c>
      <c r="AP313" s="18">
        <v>0.83250000000000002</v>
      </c>
      <c r="AQ313" s="18">
        <v>0.36990000000000001</v>
      </c>
      <c r="AR313" s="18">
        <v>0.46210000000000001</v>
      </c>
      <c r="AS313" s="18">
        <v>0.81369999999999998</v>
      </c>
      <c r="AT313" s="18">
        <v>0.87329999999999997</v>
      </c>
      <c r="AU313" s="18">
        <v>0.58279999999999998</v>
      </c>
      <c r="AV313" s="18">
        <v>0.68210000000000004</v>
      </c>
      <c r="AW313" s="18">
        <v>0.64390000000000003</v>
      </c>
      <c r="AX313" s="18">
        <v>0.4788</v>
      </c>
    </row>
    <row r="314" spans="1:50" x14ac:dyDescent="0.25">
      <c r="A314" s="16" t="s">
        <v>783</v>
      </c>
      <c r="B314" s="13" t="s">
        <v>464</v>
      </c>
      <c r="C314" s="17">
        <v>0.29520000000000002</v>
      </c>
      <c r="D314" s="17">
        <v>3.6999999999999998E-2</v>
      </c>
      <c r="E314" s="17">
        <v>3.6999999999999998E-2</v>
      </c>
      <c r="F314" s="17">
        <v>3.6999999999999998E-2</v>
      </c>
      <c r="G314" s="17">
        <v>3.6999999999999998E-2</v>
      </c>
      <c r="H314" s="17">
        <v>3.6999999999999998E-2</v>
      </c>
      <c r="I314" s="17">
        <v>3.6999999999999998E-2</v>
      </c>
      <c r="J314" s="17">
        <v>3.6999999999999998E-2</v>
      </c>
      <c r="K314" s="17">
        <v>3.6999999999999998E-2</v>
      </c>
      <c r="L314" s="17">
        <v>3.6999999999999998E-2</v>
      </c>
      <c r="M314" s="17">
        <v>3.6999999999999998E-2</v>
      </c>
      <c r="N314" s="17">
        <v>3.6999999999999998E-2</v>
      </c>
      <c r="O314" s="17">
        <v>3.6999999999999998E-2</v>
      </c>
      <c r="P314" s="17">
        <v>6.93E-2</v>
      </c>
      <c r="Q314" s="17">
        <v>5.5E-2</v>
      </c>
      <c r="R314" s="17">
        <v>5.3499999999999999E-2</v>
      </c>
      <c r="S314" s="17">
        <v>3.6999999999999998E-2</v>
      </c>
      <c r="T314" s="17">
        <v>3.6999999999999998E-2</v>
      </c>
      <c r="U314" s="17">
        <v>4.2200000000000001E-2</v>
      </c>
      <c r="V314" s="17">
        <v>9.4399999999999998E-2</v>
      </c>
      <c r="W314" s="17">
        <v>3.7999999999999999E-2</v>
      </c>
      <c r="X314" s="17">
        <v>3.6999999999999998E-2</v>
      </c>
      <c r="Y314" s="17">
        <v>7.9000000000000001E-2</v>
      </c>
      <c r="Z314" s="17">
        <v>9.1700000000000004E-2</v>
      </c>
      <c r="AA314" s="17">
        <v>0.80300000000000005</v>
      </c>
      <c r="AB314" s="17">
        <v>0.17910000000000001</v>
      </c>
      <c r="AC314" s="17">
        <v>0.39900000000000002</v>
      </c>
      <c r="AD314" s="17">
        <v>0.23960000000000001</v>
      </c>
      <c r="AE314" s="17">
        <v>0.67459999999999998</v>
      </c>
      <c r="AF314" s="17">
        <v>0.85229999999999995</v>
      </c>
      <c r="AG314" s="17">
        <v>0.26190000000000002</v>
      </c>
      <c r="AH314" s="17">
        <v>5.2499999999999998E-2</v>
      </c>
      <c r="AI314" s="17">
        <v>0.38600000000000001</v>
      </c>
      <c r="AJ314" s="17">
        <v>0.2049</v>
      </c>
      <c r="AK314" s="17">
        <v>0.33279999999999998</v>
      </c>
      <c r="AL314" s="17">
        <v>1.4249000000000001</v>
      </c>
      <c r="AM314" s="17">
        <v>5.7799999999999997E-2</v>
      </c>
      <c r="AN314" s="17">
        <v>4.7399999999999998E-2</v>
      </c>
      <c r="AO314" s="17">
        <v>7.6799999999999993E-2</v>
      </c>
      <c r="AP314" s="17">
        <v>0.31709999999999999</v>
      </c>
      <c r="AQ314" s="17">
        <v>0.496</v>
      </c>
      <c r="AR314" s="17">
        <v>0.39750000000000002</v>
      </c>
      <c r="AS314" s="17">
        <v>0.40200000000000002</v>
      </c>
      <c r="AT314" s="17">
        <v>0.65669999999999995</v>
      </c>
      <c r="AU314" s="17">
        <v>0.41720000000000002</v>
      </c>
      <c r="AV314" s="17">
        <v>0.39760000000000001</v>
      </c>
      <c r="AW314" s="17">
        <v>0.57489999999999997</v>
      </c>
      <c r="AX314" s="17">
        <v>0.49299999999999999</v>
      </c>
    </row>
    <row r="315" spans="1:50" x14ac:dyDescent="0.25">
      <c r="A315" s="16" t="s">
        <v>785</v>
      </c>
      <c r="B315" s="13" t="s">
        <v>464</v>
      </c>
      <c r="C315" s="17">
        <v>0.64390000000000003</v>
      </c>
      <c r="D315" s="17">
        <v>0.54969999999999997</v>
      </c>
      <c r="E315" s="17">
        <v>0.125</v>
      </c>
      <c r="F315" s="17">
        <v>0.14460000000000001</v>
      </c>
      <c r="G315" s="17">
        <v>0.05</v>
      </c>
      <c r="H315" s="17">
        <v>0.1103</v>
      </c>
      <c r="I315" s="17">
        <v>0.15939999999999999</v>
      </c>
      <c r="J315" s="17">
        <v>0.1004</v>
      </c>
      <c r="K315" s="17">
        <v>0.16919999999999999</v>
      </c>
      <c r="L315" s="17">
        <v>0.05</v>
      </c>
      <c r="M315" s="17">
        <v>9.35E-2</v>
      </c>
      <c r="N315" s="17">
        <v>0.17610000000000001</v>
      </c>
      <c r="O315" s="17">
        <v>0.05</v>
      </c>
      <c r="P315" s="17">
        <v>0.21959999999999999</v>
      </c>
      <c r="Q315" s="17">
        <v>0.05</v>
      </c>
      <c r="R315" s="17">
        <v>0.05</v>
      </c>
      <c r="S315" s="17">
        <v>0.41870000000000002</v>
      </c>
      <c r="T315" s="17">
        <v>0.24809999999999999</v>
      </c>
      <c r="U315" s="17">
        <v>0.21079999999999999</v>
      </c>
      <c r="V315" s="17">
        <v>0.4627</v>
      </c>
      <c r="W315" s="17">
        <v>0.2747</v>
      </c>
      <c r="X315" s="17">
        <v>0.22969999999999999</v>
      </c>
      <c r="Y315" s="17">
        <v>1.6026</v>
      </c>
      <c r="Z315" s="17">
        <v>1.3048999999999999</v>
      </c>
      <c r="AA315" s="17">
        <v>0.80610000000000004</v>
      </c>
      <c r="AB315" s="17">
        <v>0.88249999999999995</v>
      </c>
      <c r="AC315" s="17">
        <v>1.2875000000000001</v>
      </c>
      <c r="AD315" s="17">
        <v>0.60729999999999995</v>
      </c>
      <c r="AE315" s="17">
        <v>0.36470000000000002</v>
      </c>
      <c r="AF315" s="17">
        <v>0.22059999999999999</v>
      </c>
      <c r="AG315" s="17">
        <v>0.36609999999999998</v>
      </c>
      <c r="AH315" s="17">
        <v>0.1615</v>
      </c>
      <c r="AI315" s="17">
        <v>0.27400000000000002</v>
      </c>
      <c r="AJ315" s="17">
        <v>1.1556</v>
      </c>
      <c r="AK315" s="17">
        <v>0.91300000000000003</v>
      </c>
      <c r="AL315" s="17">
        <v>2.1497999999999999</v>
      </c>
      <c r="AM315" s="17">
        <v>0.39219999999999999</v>
      </c>
      <c r="AN315" s="17">
        <v>0.1739</v>
      </c>
      <c r="AO315" s="17">
        <v>0.28399999999999997</v>
      </c>
      <c r="AP315" s="17">
        <v>0.34060000000000001</v>
      </c>
      <c r="AQ315" s="17">
        <v>0.36370000000000002</v>
      </c>
      <c r="AR315" s="17">
        <v>1.4283999999999999</v>
      </c>
      <c r="AS315" s="17">
        <v>0.67959999999999998</v>
      </c>
      <c r="AT315" s="17">
        <v>0.54510000000000003</v>
      </c>
      <c r="AU315" s="17">
        <v>0.64359999999999995</v>
      </c>
      <c r="AV315" s="17">
        <v>0.22670000000000001</v>
      </c>
      <c r="AW315" s="17">
        <v>0.36499999999999999</v>
      </c>
      <c r="AX315" s="17">
        <v>0.73580000000000001</v>
      </c>
    </row>
    <row r="316" spans="1:50" x14ac:dyDescent="0.25">
      <c r="A316" s="8" t="s">
        <v>354</v>
      </c>
      <c r="B316" s="10" t="s">
        <v>57</v>
      </c>
      <c r="C316" s="18">
        <v>0.16170000000000001</v>
      </c>
      <c r="D316" s="18">
        <v>0.11459999999999999</v>
      </c>
      <c r="E316" s="18">
        <v>7.6999999999999999E-2</v>
      </c>
      <c r="F316" s="18">
        <v>0.29820000000000002</v>
      </c>
      <c r="G316" s="18">
        <v>4.3999999999999997E-2</v>
      </c>
      <c r="H316" s="18">
        <v>0.1429</v>
      </c>
      <c r="I316" s="18">
        <v>0.23230000000000001</v>
      </c>
      <c r="J316" s="18">
        <v>4.3999999999999997E-2</v>
      </c>
      <c r="K316" s="18">
        <v>0.17580000000000001</v>
      </c>
      <c r="L316" s="18">
        <v>0.1923</v>
      </c>
      <c r="M316" s="18">
        <v>5.11E-2</v>
      </c>
      <c r="N316" s="18">
        <v>7.22E-2</v>
      </c>
      <c r="O316" s="18">
        <v>0.18429999999999999</v>
      </c>
      <c r="P316" s="18">
        <v>0.41320000000000001</v>
      </c>
      <c r="Q316" s="18">
        <v>0.30180000000000001</v>
      </c>
      <c r="R316" s="18">
        <v>0.2828</v>
      </c>
      <c r="S316" s="18">
        <v>0.19009999999999999</v>
      </c>
      <c r="T316" s="18">
        <v>1.0931</v>
      </c>
      <c r="U316" s="18">
        <v>0.24010000000000001</v>
      </c>
      <c r="V316" s="18">
        <v>0.19650000000000001</v>
      </c>
      <c r="W316" s="18">
        <v>0.17050000000000001</v>
      </c>
      <c r="X316" s="18">
        <v>1.2431000000000001</v>
      </c>
      <c r="Y316" s="18">
        <v>0.42209999999999998</v>
      </c>
      <c r="Z316" s="18">
        <v>0.30020000000000002</v>
      </c>
      <c r="AA316" s="18">
        <v>1.7056</v>
      </c>
      <c r="AB316" s="18">
        <v>0.16400000000000001</v>
      </c>
      <c r="AC316" s="18">
        <v>0.18240000000000001</v>
      </c>
      <c r="AD316" s="18">
        <v>0.1928</v>
      </c>
      <c r="AE316" s="18">
        <v>4.3999999999999997E-2</v>
      </c>
      <c r="AF316" s="18">
        <v>0.16259999999999999</v>
      </c>
      <c r="AG316" s="18">
        <v>9.2499999999999999E-2</v>
      </c>
      <c r="AH316" s="18">
        <v>0.16400000000000001</v>
      </c>
      <c r="AI316" s="18">
        <v>0.17580000000000001</v>
      </c>
      <c r="AJ316" s="18">
        <v>7.22E-2</v>
      </c>
      <c r="AK316" s="18">
        <v>0.50749999999999995</v>
      </c>
      <c r="AL316" s="18">
        <v>4.3999999999999997E-2</v>
      </c>
      <c r="AM316" s="18">
        <v>0.26719999999999999</v>
      </c>
      <c r="AN316" s="18">
        <v>0.32040000000000002</v>
      </c>
      <c r="AO316" s="18">
        <v>0.37080000000000002</v>
      </c>
      <c r="AP316" s="18">
        <v>0.17829999999999999</v>
      </c>
      <c r="AQ316" s="18">
        <v>0.1842</v>
      </c>
      <c r="AR316" s="18">
        <v>0.53910000000000002</v>
      </c>
      <c r="AS316" s="18">
        <v>0.2651</v>
      </c>
      <c r="AT316" s="18">
        <v>0.2447</v>
      </c>
      <c r="AU316" s="18">
        <v>0.62009999999999998</v>
      </c>
      <c r="AV316" s="18">
        <v>0.1993</v>
      </c>
      <c r="AW316" s="18">
        <v>0.16259999999999999</v>
      </c>
      <c r="AX316" s="18">
        <v>5.7200000000000001E-2</v>
      </c>
    </row>
    <row r="317" spans="1:50" x14ac:dyDescent="0.25">
      <c r="A317" s="16" t="s">
        <v>787</v>
      </c>
      <c r="B317" s="13" t="s">
        <v>464</v>
      </c>
      <c r="C317" s="17">
        <v>0.12640000000000001</v>
      </c>
      <c r="D317" s="17">
        <v>5.8700000000000002E-2</v>
      </c>
      <c r="E317" s="17">
        <v>9.2499999999999999E-2</v>
      </c>
      <c r="F317" s="17">
        <v>9.2499999999999999E-2</v>
      </c>
      <c r="G317" s="17">
        <v>4.9000000000000002E-2</v>
      </c>
      <c r="H317" s="17">
        <v>4.9000000000000002E-2</v>
      </c>
      <c r="I317" s="17">
        <v>0.13600000000000001</v>
      </c>
      <c r="J317" s="17">
        <v>4.9000000000000002E-2</v>
      </c>
      <c r="K317" s="17">
        <v>9.2499999999999999E-2</v>
      </c>
      <c r="L317" s="17">
        <v>9.2499999999999999E-2</v>
      </c>
      <c r="M317" s="17">
        <v>4.9000000000000002E-2</v>
      </c>
      <c r="N317" s="17">
        <v>0.13600000000000001</v>
      </c>
      <c r="O317" s="17">
        <v>4.9000000000000002E-2</v>
      </c>
      <c r="P317" s="17">
        <v>0.56689999999999996</v>
      </c>
      <c r="Q317" s="17">
        <v>0.32569999999999999</v>
      </c>
      <c r="R317" s="17">
        <v>0.29499999999999998</v>
      </c>
      <c r="S317" s="17">
        <v>0.26669999999999999</v>
      </c>
      <c r="T317" s="17">
        <v>0.28449999999999998</v>
      </c>
      <c r="U317" s="17">
        <v>1.0259</v>
      </c>
      <c r="V317" s="17">
        <v>0.21579999999999999</v>
      </c>
      <c r="W317" s="17">
        <v>0.2276</v>
      </c>
      <c r="X317" s="17">
        <v>4.9000000000000002E-2</v>
      </c>
      <c r="Y317" s="17">
        <v>8.2799999999999999E-2</v>
      </c>
      <c r="Z317" s="17">
        <v>0.1022</v>
      </c>
      <c r="AA317" s="17">
        <v>4.9000000000000002E-2</v>
      </c>
      <c r="AB317" s="17">
        <v>4.9000000000000002E-2</v>
      </c>
      <c r="AC317" s="17">
        <v>4.9000000000000002E-2</v>
      </c>
      <c r="AD317" s="17">
        <v>0.13600000000000001</v>
      </c>
      <c r="AE317" s="17">
        <v>6.83E-2</v>
      </c>
      <c r="AF317" s="17">
        <v>0.14899999999999999</v>
      </c>
      <c r="AG317" s="17">
        <v>0.15040000000000001</v>
      </c>
      <c r="AH317" s="17">
        <v>0.129</v>
      </c>
      <c r="AI317" s="17">
        <v>2.657</v>
      </c>
      <c r="AJ317" s="17">
        <v>8.77E-2</v>
      </c>
      <c r="AK317" s="17">
        <v>0.80740000000000001</v>
      </c>
      <c r="AL317" s="17">
        <v>1.9542999999999999</v>
      </c>
      <c r="AM317" s="17">
        <v>0.1118</v>
      </c>
      <c r="AN317" s="17">
        <v>0.15640000000000001</v>
      </c>
      <c r="AO317" s="17">
        <v>0.24529999999999999</v>
      </c>
      <c r="AP317" s="17">
        <v>0.41849999999999998</v>
      </c>
      <c r="AQ317" s="17">
        <v>0.49030000000000001</v>
      </c>
      <c r="AR317" s="17">
        <v>0.3765</v>
      </c>
      <c r="AS317" s="17">
        <v>0.46379999999999999</v>
      </c>
      <c r="AT317" s="17">
        <v>0.71530000000000005</v>
      </c>
      <c r="AU317" s="17">
        <v>0.48720000000000002</v>
      </c>
      <c r="AV317" s="17">
        <v>0.42080000000000001</v>
      </c>
      <c r="AW317" s="17">
        <v>4.9000000000000002E-2</v>
      </c>
      <c r="AX317" s="17">
        <v>0.13600000000000001</v>
      </c>
    </row>
    <row r="318" spans="1:50" x14ac:dyDescent="0.25">
      <c r="A318" s="16" t="s">
        <v>789</v>
      </c>
      <c r="B318" s="13" t="s">
        <v>464</v>
      </c>
      <c r="C318" s="17">
        <v>0.23430000000000001</v>
      </c>
      <c r="D318" s="17">
        <v>0.11</v>
      </c>
      <c r="E318" s="17">
        <v>0.17610000000000001</v>
      </c>
      <c r="F318" s="17">
        <v>0.14000000000000001</v>
      </c>
      <c r="G318" s="17">
        <v>9.9199999999999997E-2</v>
      </c>
      <c r="H318" s="17">
        <v>0.18090000000000001</v>
      </c>
      <c r="I318" s="17">
        <v>0.1676</v>
      </c>
      <c r="J318" s="17">
        <v>5.6000000000000001E-2</v>
      </c>
      <c r="K318" s="17">
        <v>0.41420000000000001</v>
      </c>
      <c r="L318" s="17">
        <v>0.2278</v>
      </c>
      <c r="M318" s="17">
        <v>5.6000000000000001E-2</v>
      </c>
      <c r="N318" s="17">
        <v>0.29249999999999998</v>
      </c>
      <c r="O318" s="17">
        <v>5.6000000000000001E-2</v>
      </c>
      <c r="P318" s="17">
        <v>5.6000000000000001E-2</v>
      </c>
      <c r="Q318" s="17">
        <v>0.26129999999999998</v>
      </c>
      <c r="R318" s="17">
        <v>8.72E-2</v>
      </c>
      <c r="S318" s="17">
        <v>0.2238</v>
      </c>
      <c r="T318" s="17">
        <v>1.1901999999999999</v>
      </c>
      <c r="U318" s="17">
        <v>0.46810000000000002</v>
      </c>
      <c r="V318" s="17">
        <v>0.35070000000000001</v>
      </c>
      <c r="W318" s="17">
        <v>0.88039999999999996</v>
      </c>
      <c r="X318" s="17">
        <v>1.3748</v>
      </c>
      <c r="Y318" s="17">
        <v>1.7412000000000001</v>
      </c>
      <c r="Z318" s="17">
        <v>7.3099999999999998E-2</v>
      </c>
      <c r="AA318" s="17">
        <v>5.6000000000000001E-2</v>
      </c>
      <c r="AB318" s="17">
        <v>0.47910000000000003</v>
      </c>
      <c r="AC318" s="17">
        <v>6.3200000000000006E-2</v>
      </c>
      <c r="AD318" s="17">
        <v>0.1731</v>
      </c>
      <c r="AE318" s="17">
        <v>0.1754</v>
      </c>
      <c r="AF318" s="17">
        <v>0.32650000000000001</v>
      </c>
      <c r="AG318" s="17">
        <v>0.19170000000000001</v>
      </c>
      <c r="AH318" s="17">
        <v>0.11</v>
      </c>
      <c r="AI318" s="17">
        <v>0.23849999999999999</v>
      </c>
      <c r="AJ318" s="17">
        <v>0.1588</v>
      </c>
      <c r="AK318" s="17">
        <v>0.25380000000000003</v>
      </c>
      <c r="AL318" s="17">
        <v>0.25840000000000002</v>
      </c>
      <c r="AM318" s="17">
        <v>0.2122</v>
      </c>
      <c r="AN318" s="17">
        <v>2.1236999999999999</v>
      </c>
      <c r="AO318" s="17">
        <v>0.2485</v>
      </c>
      <c r="AP318" s="17">
        <v>0.1946</v>
      </c>
      <c r="AQ318" s="17">
        <v>0.57579999999999998</v>
      </c>
      <c r="AR318" s="17">
        <v>0.33810000000000001</v>
      </c>
      <c r="AS318" s="17">
        <v>0.41720000000000002</v>
      </c>
      <c r="AT318" s="17">
        <v>0.54300000000000004</v>
      </c>
      <c r="AU318" s="17">
        <v>5.6000000000000001E-2</v>
      </c>
      <c r="AV318" s="17">
        <v>8.72E-2</v>
      </c>
      <c r="AW318" s="17">
        <v>0.19650000000000001</v>
      </c>
      <c r="AX318" s="17">
        <v>0.43419999999999997</v>
      </c>
    </row>
    <row r="319" spans="1:50" x14ac:dyDescent="0.25">
      <c r="A319" s="16" t="s">
        <v>791</v>
      </c>
      <c r="B319" s="13" t="s">
        <v>464</v>
      </c>
      <c r="C319" s="17">
        <v>0.3246</v>
      </c>
      <c r="D319" s="17">
        <v>5.0999999999999997E-2</v>
      </c>
      <c r="E319" s="17">
        <v>7.2999999999999995E-2</v>
      </c>
      <c r="F319" s="17">
        <v>0.3044</v>
      </c>
      <c r="G319" s="17">
        <v>7.1199999999999999E-2</v>
      </c>
      <c r="H319" s="17">
        <v>0.1535</v>
      </c>
      <c r="I319" s="17">
        <v>0.2172</v>
      </c>
      <c r="J319" s="17">
        <v>7.7899999999999997E-2</v>
      </c>
      <c r="K319" s="17">
        <v>0.2591</v>
      </c>
      <c r="L319" s="17">
        <v>0.13850000000000001</v>
      </c>
      <c r="M319" s="17">
        <v>7.85E-2</v>
      </c>
      <c r="N319" s="17">
        <v>0.31909999999999999</v>
      </c>
      <c r="O319" s="17">
        <v>9.7500000000000003E-2</v>
      </c>
      <c r="P319" s="17">
        <v>0.30499999999999999</v>
      </c>
      <c r="Q319" s="17">
        <v>0.29499999999999998</v>
      </c>
      <c r="R319" s="17">
        <v>0.22020000000000001</v>
      </c>
      <c r="S319" s="17">
        <v>0.1115</v>
      </c>
      <c r="T319" s="17">
        <v>5.0999999999999997E-2</v>
      </c>
      <c r="U319" s="17">
        <v>0.19539999999999999</v>
      </c>
      <c r="V319" s="17">
        <v>0.4229</v>
      </c>
      <c r="W319" s="17">
        <v>0.21909999999999999</v>
      </c>
      <c r="X319" s="17">
        <v>0.48520000000000002</v>
      </c>
      <c r="Y319" s="17">
        <v>0.24740000000000001</v>
      </c>
      <c r="Z319" s="17">
        <v>1.5463</v>
      </c>
      <c r="AA319" s="17">
        <v>0.53580000000000005</v>
      </c>
      <c r="AB319" s="17">
        <v>0.45140000000000002</v>
      </c>
      <c r="AC319" s="17">
        <v>0.50070000000000003</v>
      </c>
      <c r="AD319" s="17">
        <v>0.7419</v>
      </c>
      <c r="AE319" s="17">
        <v>1.4958</v>
      </c>
      <c r="AF319" s="17">
        <v>0.53869999999999996</v>
      </c>
      <c r="AG319" s="17">
        <v>0.38519999999999999</v>
      </c>
      <c r="AH319" s="17">
        <v>0.33639999999999998</v>
      </c>
      <c r="AI319" s="17">
        <v>5.2299999999999999E-2</v>
      </c>
      <c r="AJ319" s="17">
        <v>0.21199999999999999</v>
      </c>
      <c r="AK319" s="17">
        <v>0.27179999999999999</v>
      </c>
      <c r="AL319" s="17">
        <v>0.39400000000000002</v>
      </c>
      <c r="AM319" s="17">
        <v>0.2157</v>
      </c>
      <c r="AN319" s="17">
        <v>1.3563000000000001</v>
      </c>
      <c r="AO319" s="17">
        <v>0.1052</v>
      </c>
      <c r="AP319" s="17">
        <v>0.59019999999999995</v>
      </c>
      <c r="AQ319" s="17">
        <v>0.66800000000000004</v>
      </c>
      <c r="AR319" s="17">
        <v>0.9546</v>
      </c>
      <c r="AS319" s="17">
        <v>1.1318999999999999</v>
      </c>
      <c r="AT319" s="17">
        <v>0.85460000000000003</v>
      </c>
      <c r="AU319" s="17">
        <v>0.98299999999999998</v>
      </c>
      <c r="AV319" s="17">
        <v>0.877</v>
      </c>
      <c r="AW319" s="17">
        <v>0.66069999999999995</v>
      </c>
      <c r="AX319" s="17">
        <v>0.61040000000000005</v>
      </c>
    </row>
    <row r="320" spans="1:50" x14ac:dyDescent="0.25">
      <c r="A320" s="8" t="s">
        <v>356</v>
      </c>
      <c r="B320" s="10" t="s">
        <v>57</v>
      </c>
      <c r="C320" s="18">
        <v>4.8000000000000001E-2</v>
      </c>
      <c r="D320" s="18">
        <v>0.20880000000000001</v>
      </c>
      <c r="E320" s="18">
        <v>4.8000000000000001E-2</v>
      </c>
      <c r="F320" s="18">
        <v>4.8000000000000001E-2</v>
      </c>
      <c r="G320" s="18">
        <v>0.24929999999999999</v>
      </c>
      <c r="H320" s="18">
        <v>4.8000000000000001E-2</v>
      </c>
      <c r="I320" s="18">
        <v>0.1211</v>
      </c>
      <c r="J320" s="18">
        <v>0.13569999999999999</v>
      </c>
      <c r="K320" s="18">
        <v>4.8000000000000001E-2</v>
      </c>
      <c r="L320" s="18">
        <v>0.20880000000000001</v>
      </c>
      <c r="M320" s="18">
        <v>4.8000000000000001E-2</v>
      </c>
      <c r="N320" s="18">
        <v>9.1899999999999996E-2</v>
      </c>
      <c r="O320" s="18">
        <v>0.16500000000000001</v>
      </c>
      <c r="P320" s="18">
        <v>4.8000000000000001E-2</v>
      </c>
      <c r="Q320" s="18">
        <v>0.2054</v>
      </c>
      <c r="R320" s="18">
        <v>0.1323</v>
      </c>
      <c r="S320" s="18">
        <v>0.45329999999999998</v>
      </c>
      <c r="T320" s="18">
        <v>1.0985</v>
      </c>
      <c r="U320" s="18">
        <v>4.8000000000000001E-2</v>
      </c>
      <c r="V320" s="18">
        <v>0.20880000000000001</v>
      </c>
      <c r="W320" s="18">
        <v>4.8000000000000001E-2</v>
      </c>
      <c r="X320" s="18">
        <v>4.8000000000000001E-2</v>
      </c>
      <c r="Y320" s="18">
        <v>0.1065</v>
      </c>
      <c r="Z320" s="18">
        <v>0.15040000000000001</v>
      </c>
      <c r="AA320" s="18">
        <v>8.48E-2</v>
      </c>
      <c r="AB320" s="18">
        <v>1.5092000000000001</v>
      </c>
      <c r="AC320" s="18">
        <v>0.1585</v>
      </c>
      <c r="AD320" s="18">
        <v>0.1217</v>
      </c>
      <c r="AE320" s="18">
        <v>4.8000000000000001E-2</v>
      </c>
      <c r="AF320" s="18">
        <v>4.8000000000000001E-2</v>
      </c>
      <c r="AG320" s="18">
        <v>4.8000000000000001E-2</v>
      </c>
      <c r="AH320" s="18">
        <v>4.8000000000000001E-2</v>
      </c>
      <c r="AI320" s="18">
        <v>0.18690000000000001</v>
      </c>
      <c r="AJ320" s="18">
        <v>6.9900000000000004E-2</v>
      </c>
      <c r="AK320" s="18">
        <v>0.1138</v>
      </c>
      <c r="AL320" s="18">
        <v>0.14299999999999999</v>
      </c>
      <c r="AM320" s="18">
        <v>4.8000000000000001E-2</v>
      </c>
      <c r="AN320" s="18">
        <v>0.34920000000000001</v>
      </c>
      <c r="AO320" s="18">
        <v>0.52610000000000001</v>
      </c>
      <c r="AP320" s="18">
        <v>0.16950000000000001</v>
      </c>
      <c r="AQ320" s="18">
        <v>0.27050000000000002</v>
      </c>
      <c r="AR320" s="18">
        <v>0.8236</v>
      </c>
      <c r="AS320" s="18">
        <v>0.35170000000000001</v>
      </c>
      <c r="AT320" s="18">
        <v>0.39200000000000002</v>
      </c>
      <c r="AU320" s="18">
        <v>0.3044</v>
      </c>
      <c r="AV320" s="18">
        <v>0.1628</v>
      </c>
      <c r="AW320" s="18">
        <v>0.13569999999999999</v>
      </c>
      <c r="AX320" s="18">
        <v>0.1211</v>
      </c>
    </row>
    <row r="321" spans="1:50" x14ac:dyDescent="0.25">
      <c r="A321" s="16" t="s">
        <v>793</v>
      </c>
      <c r="B321" s="13" t="s">
        <v>464</v>
      </c>
      <c r="C321" s="17">
        <v>8.1900000000000001E-2</v>
      </c>
      <c r="D321" s="17">
        <v>0.183</v>
      </c>
      <c r="E321" s="17">
        <v>5.2999999999999999E-2</v>
      </c>
      <c r="F321" s="17">
        <v>8.1900000000000001E-2</v>
      </c>
      <c r="G321" s="17">
        <v>0.183</v>
      </c>
      <c r="H321" s="17">
        <v>5.2999999999999999E-2</v>
      </c>
      <c r="I321" s="17">
        <v>0.16850000000000001</v>
      </c>
      <c r="J321" s="17">
        <v>9.6299999999999997E-2</v>
      </c>
      <c r="K321" s="17">
        <v>0.1681</v>
      </c>
      <c r="L321" s="17">
        <v>0.19389999999999999</v>
      </c>
      <c r="M321" s="17">
        <v>0.13969999999999999</v>
      </c>
      <c r="N321" s="17">
        <v>5.2999999999999999E-2</v>
      </c>
      <c r="O321" s="17">
        <v>0.13969999999999999</v>
      </c>
      <c r="P321" s="17">
        <v>0.12520000000000001</v>
      </c>
      <c r="Q321" s="17">
        <v>0.16470000000000001</v>
      </c>
      <c r="R321" s="17">
        <v>0.33310000000000001</v>
      </c>
      <c r="S321" s="17">
        <v>5.2999999999999999E-2</v>
      </c>
      <c r="T321" s="17">
        <v>0.13969999999999999</v>
      </c>
      <c r="U321" s="17">
        <v>0.12520000000000001</v>
      </c>
      <c r="V321" s="17">
        <v>0.18529999999999999</v>
      </c>
      <c r="W321" s="17">
        <v>0.19020000000000001</v>
      </c>
      <c r="X321" s="17">
        <v>5.2999999999999999E-2</v>
      </c>
      <c r="Y321" s="17">
        <v>7.4700000000000003E-2</v>
      </c>
      <c r="Z321" s="17">
        <v>0.19020000000000001</v>
      </c>
      <c r="AA321" s="17">
        <v>5.2999999999999999E-2</v>
      </c>
      <c r="AB321" s="17">
        <v>0.32250000000000001</v>
      </c>
      <c r="AC321" s="17">
        <v>0.21729999999999999</v>
      </c>
      <c r="AD321" s="17">
        <v>0.47239999999999999</v>
      </c>
      <c r="AE321" s="17">
        <v>6.0199999999999997E-2</v>
      </c>
      <c r="AF321" s="17">
        <v>0.2046</v>
      </c>
      <c r="AG321" s="17">
        <v>5.2999999999999999E-2</v>
      </c>
      <c r="AH321" s="17">
        <v>0.16850000000000001</v>
      </c>
      <c r="AI321" s="17">
        <v>9.6299999999999997E-2</v>
      </c>
      <c r="AJ321" s="17">
        <v>5.2999999999999999E-2</v>
      </c>
      <c r="AK321" s="17">
        <v>0.37359999999999999</v>
      </c>
      <c r="AL321" s="17">
        <v>0.3553</v>
      </c>
      <c r="AM321" s="17">
        <v>0.25679999999999997</v>
      </c>
      <c r="AN321" s="17">
        <v>0.70430000000000004</v>
      </c>
      <c r="AO321" s="17">
        <v>0.152</v>
      </c>
      <c r="AP321" s="17">
        <v>0.15409999999999999</v>
      </c>
      <c r="AQ321" s="17">
        <v>0.1108</v>
      </c>
      <c r="AR321" s="17">
        <v>9.6299999999999997E-2</v>
      </c>
      <c r="AS321" s="17">
        <v>0.16850000000000001</v>
      </c>
      <c r="AT321" s="17">
        <v>5.2999999999999999E-2</v>
      </c>
      <c r="AU321" s="17">
        <v>5.2999999999999999E-2</v>
      </c>
      <c r="AV321" s="17">
        <v>5.2999999999999999E-2</v>
      </c>
      <c r="AW321" s="17">
        <v>0.21190000000000001</v>
      </c>
      <c r="AX321" s="17">
        <v>5.2999999999999999E-2</v>
      </c>
    </row>
    <row r="322" spans="1:50" x14ac:dyDescent="0.25">
      <c r="A322" s="8" t="s">
        <v>358</v>
      </c>
      <c r="B322" s="10" t="s">
        <v>57</v>
      </c>
      <c r="C322" s="18">
        <v>0.05</v>
      </c>
      <c r="D322" s="18">
        <v>0.05</v>
      </c>
      <c r="E322" s="18">
        <v>0.05</v>
      </c>
      <c r="F322" s="18">
        <v>0.05</v>
      </c>
      <c r="G322" s="18">
        <v>0.05</v>
      </c>
      <c r="H322" s="18">
        <v>0.05</v>
      </c>
      <c r="I322" s="18">
        <v>0.05</v>
      </c>
      <c r="J322" s="18">
        <v>0.05</v>
      </c>
      <c r="K322" s="18">
        <v>0.05</v>
      </c>
      <c r="L322" s="18">
        <v>0.05</v>
      </c>
      <c r="M322" s="18">
        <v>0.05</v>
      </c>
      <c r="N322" s="18">
        <v>0.05</v>
      </c>
      <c r="O322" s="18">
        <v>0.05</v>
      </c>
      <c r="P322" s="18">
        <v>0.05</v>
      </c>
      <c r="Q322" s="18">
        <v>8.8099999999999998E-2</v>
      </c>
      <c r="R322" s="18">
        <v>0.1492</v>
      </c>
      <c r="S322" s="18">
        <v>7.8E-2</v>
      </c>
      <c r="T322" s="18">
        <v>0.35170000000000001</v>
      </c>
      <c r="U322" s="18">
        <v>0.23930000000000001</v>
      </c>
      <c r="V322" s="18">
        <v>0.72230000000000005</v>
      </c>
      <c r="W322" s="18">
        <v>0.16</v>
      </c>
      <c r="X322" s="18">
        <v>0.1081</v>
      </c>
      <c r="Y322" s="18">
        <v>6.54E-2</v>
      </c>
      <c r="Z322" s="18">
        <v>6.3E-2</v>
      </c>
      <c r="AA322" s="18">
        <v>0.2009</v>
      </c>
      <c r="AB322" s="18">
        <v>1.0876999999999999</v>
      </c>
      <c r="AC322" s="18">
        <v>0.05</v>
      </c>
      <c r="AD322" s="18">
        <v>0.29470000000000002</v>
      </c>
      <c r="AE322" s="18">
        <v>0.15690000000000001</v>
      </c>
      <c r="AF322" s="18">
        <v>7.5499999999999998E-2</v>
      </c>
      <c r="AG322" s="18">
        <v>0.05</v>
      </c>
      <c r="AH322" s="18">
        <v>0.05</v>
      </c>
      <c r="AI322" s="18">
        <v>0.05</v>
      </c>
      <c r="AJ322" s="18">
        <v>7.6399999999999996E-2</v>
      </c>
      <c r="AK322" s="18">
        <v>5.9400000000000001E-2</v>
      </c>
      <c r="AL322" s="18">
        <v>6.3E-2</v>
      </c>
      <c r="AM322" s="18">
        <v>8.0799999999999997E-2</v>
      </c>
      <c r="AN322" s="18">
        <v>0.108</v>
      </c>
      <c r="AO322" s="18">
        <v>0.109</v>
      </c>
      <c r="AP322" s="18">
        <v>0.222</v>
      </c>
      <c r="AQ322" s="18">
        <v>0.28100000000000003</v>
      </c>
      <c r="AR322" s="18">
        <v>0.38750000000000001</v>
      </c>
      <c r="AS322" s="18">
        <v>0.37280000000000002</v>
      </c>
      <c r="AT322" s="18">
        <v>0.66459999999999997</v>
      </c>
      <c r="AU322" s="18">
        <v>0.39710000000000001</v>
      </c>
      <c r="AV322" s="18">
        <v>0.43430000000000002</v>
      </c>
      <c r="AW322" s="18">
        <v>0.20319999999999999</v>
      </c>
      <c r="AX322" s="18">
        <v>0.05</v>
      </c>
    </row>
    <row r="323" spans="1:50" x14ac:dyDescent="0.25">
      <c r="A323" s="16" t="s">
        <v>795</v>
      </c>
      <c r="B323" s="13" t="s">
        <v>464</v>
      </c>
      <c r="C323" s="17">
        <v>5.0999999999999997E-2</v>
      </c>
      <c r="D323" s="17">
        <v>0.16520000000000001</v>
      </c>
      <c r="E323" s="17">
        <v>0.1163</v>
      </c>
      <c r="F323" s="17">
        <v>5.0999999999999997E-2</v>
      </c>
      <c r="G323" s="17">
        <v>0.23050000000000001</v>
      </c>
      <c r="H323" s="17">
        <v>5.0999999999999997E-2</v>
      </c>
      <c r="I323" s="17">
        <v>5.0999999999999997E-2</v>
      </c>
      <c r="J323" s="17">
        <v>0.23050000000000001</v>
      </c>
      <c r="K323" s="17">
        <v>5.0999999999999997E-2</v>
      </c>
      <c r="L323" s="17">
        <v>5.0999999999999997E-2</v>
      </c>
      <c r="M323" s="17">
        <v>0.1734</v>
      </c>
      <c r="N323" s="17">
        <v>0.1081</v>
      </c>
      <c r="O323" s="17">
        <v>0.1244</v>
      </c>
      <c r="P323" s="17">
        <v>0.20200000000000001</v>
      </c>
      <c r="Q323" s="17">
        <v>0.32229999999999998</v>
      </c>
      <c r="R323" s="17">
        <v>5.0999999999999997E-2</v>
      </c>
      <c r="S323" s="17">
        <v>5.0999999999999997E-2</v>
      </c>
      <c r="T323" s="17">
        <v>0.36199999999999999</v>
      </c>
      <c r="U323" s="17">
        <v>0.35199999999999998</v>
      </c>
      <c r="V323" s="17">
        <v>0.32729999999999998</v>
      </c>
      <c r="W323" s="17">
        <v>0.21510000000000001</v>
      </c>
      <c r="X323" s="17">
        <v>0.95520000000000005</v>
      </c>
      <c r="Y323" s="17">
        <v>1.0559000000000001</v>
      </c>
      <c r="Z323" s="17">
        <v>0.27800000000000002</v>
      </c>
      <c r="AA323" s="17">
        <v>0.25059999999999999</v>
      </c>
      <c r="AB323" s="17">
        <v>0.22259999999999999</v>
      </c>
      <c r="AC323" s="17">
        <v>0.4168</v>
      </c>
      <c r="AD323" s="17">
        <v>0.21310000000000001</v>
      </c>
      <c r="AE323" s="17">
        <v>0.31119999999999998</v>
      </c>
      <c r="AF323" s="17">
        <v>0.39579999999999999</v>
      </c>
      <c r="AG323" s="17">
        <v>0.222</v>
      </c>
      <c r="AH323" s="17">
        <v>6.7299999999999999E-2</v>
      </c>
      <c r="AI323" s="17">
        <v>0.2142</v>
      </c>
      <c r="AJ323" s="17">
        <v>5.0999999999999997E-2</v>
      </c>
      <c r="AK323" s="17">
        <v>0.23050000000000001</v>
      </c>
      <c r="AL323" s="17">
        <v>0.23499999999999999</v>
      </c>
      <c r="AM323" s="17">
        <v>6.7299999999999999E-2</v>
      </c>
      <c r="AN323" s="17">
        <v>0.25440000000000002</v>
      </c>
      <c r="AO323" s="17">
        <v>1.3146</v>
      </c>
      <c r="AP323" s="17">
        <v>0.39250000000000002</v>
      </c>
      <c r="AQ323" s="17">
        <v>0.59019999999999995</v>
      </c>
      <c r="AR323" s="17">
        <v>0.6028</v>
      </c>
      <c r="AS323" s="17">
        <v>0.18970000000000001</v>
      </c>
      <c r="AT323" s="17">
        <v>9.1800000000000007E-2</v>
      </c>
      <c r="AU323" s="17">
        <v>5.0999999999999997E-2</v>
      </c>
      <c r="AV323" s="17">
        <v>5.0999999999999997E-2</v>
      </c>
      <c r="AW323" s="17">
        <v>0.23050000000000001</v>
      </c>
      <c r="AX323" s="17">
        <v>5.0999999999999997E-2</v>
      </c>
    </row>
    <row r="324" spans="1:50" x14ac:dyDescent="0.25">
      <c r="A324" s="8" t="s">
        <v>360</v>
      </c>
      <c r="B324" s="10" t="s">
        <v>57</v>
      </c>
      <c r="C324" s="18">
        <v>0.1699</v>
      </c>
      <c r="D324" s="18">
        <v>0.22489999999999999</v>
      </c>
      <c r="E324" s="18">
        <v>0.13420000000000001</v>
      </c>
      <c r="F324" s="18">
        <v>8.6699999999999999E-2</v>
      </c>
      <c r="G324" s="18">
        <v>9.8500000000000004E-2</v>
      </c>
      <c r="H324" s="18">
        <v>0.2172</v>
      </c>
      <c r="I324" s="18">
        <v>0.1598</v>
      </c>
      <c r="J324" s="18">
        <v>0.14019999999999999</v>
      </c>
      <c r="K324" s="18">
        <v>0.22489999999999999</v>
      </c>
      <c r="L324" s="18">
        <v>0.1699</v>
      </c>
      <c r="M324" s="18">
        <v>5.0999999999999997E-2</v>
      </c>
      <c r="N324" s="18">
        <v>0.2311</v>
      </c>
      <c r="O324" s="18">
        <v>0.16370000000000001</v>
      </c>
      <c r="P324" s="18">
        <v>0.1115</v>
      </c>
      <c r="Q324" s="18">
        <v>0.1104</v>
      </c>
      <c r="R324" s="18">
        <v>0.22489999999999999</v>
      </c>
      <c r="S324" s="18">
        <v>0.1699</v>
      </c>
      <c r="T324" s="18">
        <v>5.0999999999999997E-2</v>
      </c>
      <c r="U324" s="18">
        <v>0.60229999999999995</v>
      </c>
      <c r="V324" s="18">
        <v>0.1242</v>
      </c>
      <c r="W324" s="18">
        <v>5.7700000000000001E-2</v>
      </c>
      <c r="X324" s="18">
        <v>0.20849999999999999</v>
      </c>
      <c r="Y324" s="18">
        <v>0.42259999999999998</v>
      </c>
      <c r="Z324" s="18">
        <v>0.13619999999999999</v>
      </c>
      <c r="AA324" s="18">
        <v>0.21959999999999999</v>
      </c>
      <c r="AB324" s="18">
        <v>0.27760000000000001</v>
      </c>
      <c r="AC324" s="18">
        <v>0.30759999999999998</v>
      </c>
      <c r="AD324" s="18">
        <v>0.31240000000000001</v>
      </c>
      <c r="AE324" s="18">
        <v>0.44969999999999999</v>
      </c>
      <c r="AF324" s="18">
        <v>0.29339999999999999</v>
      </c>
      <c r="AG324" s="18">
        <v>0.32379999999999998</v>
      </c>
      <c r="AH324" s="18">
        <v>5.0999999999999997E-2</v>
      </c>
      <c r="AI324" s="18">
        <v>0.1699</v>
      </c>
      <c r="AJ324" s="18">
        <v>5.0999999999999997E-2</v>
      </c>
      <c r="AK324" s="18">
        <v>0.33329999999999999</v>
      </c>
      <c r="AL324" s="18">
        <v>0.27329999999999999</v>
      </c>
      <c r="AM324" s="18">
        <v>0.34360000000000002</v>
      </c>
      <c r="AN324" s="18">
        <v>0.2467</v>
      </c>
      <c r="AO324" s="18">
        <v>0.40450000000000003</v>
      </c>
      <c r="AP324" s="18">
        <v>0.49270000000000003</v>
      </c>
      <c r="AQ324" s="18">
        <v>0.29260000000000003</v>
      </c>
      <c r="AR324" s="18">
        <v>0.14610000000000001</v>
      </c>
      <c r="AS324" s="18">
        <v>0.16170000000000001</v>
      </c>
      <c r="AT324" s="18">
        <v>0.19739999999999999</v>
      </c>
      <c r="AU324" s="18">
        <v>0.1104</v>
      </c>
      <c r="AV324" s="18">
        <v>5.0999999999999997E-2</v>
      </c>
      <c r="AW324" s="18">
        <v>0.1699</v>
      </c>
      <c r="AX324" s="18">
        <v>5.0999999999999997E-2</v>
      </c>
    </row>
    <row r="325" spans="1:50" x14ac:dyDescent="0.25">
      <c r="A325" s="8" t="s">
        <v>362</v>
      </c>
      <c r="B325" s="10" t="s">
        <v>57</v>
      </c>
      <c r="C325" s="18">
        <v>0.2515</v>
      </c>
      <c r="D325" s="18">
        <v>4.7E-2</v>
      </c>
      <c r="E325" s="18">
        <v>4.7E-2</v>
      </c>
      <c r="F325" s="18">
        <v>4.7E-2</v>
      </c>
      <c r="G325" s="18">
        <v>6.5500000000000003E-2</v>
      </c>
      <c r="H325" s="18">
        <v>9.5200000000000007E-2</v>
      </c>
      <c r="I325" s="18">
        <v>4.7E-2</v>
      </c>
      <c r="J325" s="18">
        <v>4.7E-2</v>
      </c>
      <c r="K325" s="18">
        <v>4.7E-2</v>
      </c>
      <c r="L325" s="18">
        <v>0.1137</v>
      </c>
      <c r="M325" s="18">
        <v>4.7E-2</v>
      </c>
      <c r="N325" s="18">
        <v>4.7E-2</v>
      </c>
      <c r="O325" s="18">
        <v>6.3899999999999998E-2</v>
      </c>
      <c r="P325" s="18">
        <v>0.3498</v>
      </c>
      <c r="Q325" s="18">
        <v>0.1454</v>
      </c>
      <c r="R325" s="18">
        <v>0.31669999999999998</v>
      </c>
      <c r="S325" s="18">
        <v>0.1699</v>
      </c>
      <c r="T325" s="18">
        <v>0.16320000000000001</v>
      </c>
      <c r="U325" s="18">
        <v>5.0999999999999997E-2</v>
      </c>
      <c r="V325" s="18">
        <v>4.7E-2</v>
      </c>
      <c r="W325" s="18">
        <v>0.12740000000000001</v>
      </c>
      <c r="X325" s="18">
        <v>0.53500000000000003</v>
      </c>
      <c r="Y325" s="18">
        <v>0.51</v>
      </c>
      <c r="Z325" s="18">
        <v>1.6580999999999999</v>
      </c>
      <c r="AA325" s="18">
        <v>8.3799999999999999E-2</v>
      </c>
      <c r="AB325" s="18">
        <v>9.8900000000000002E-2</v>
      </c>
      <c r="AC325" s="18">
        <v>4.7E-2</v>
      </c>
      <c r="AD325" s="18">
        <v>0.1137</v>
      </c>
      <c r="AE325" s="18">
        <v>4.7E-2</v>
      </c>
      <c r="AF325" s="18">
        <v>0.1137</v>
      </c>
      <c r="AG325" s="18">
        <v>4.7E-2</v>
      </c>
      <c r="AH325" s="18">
        <v>0.11</v>
      </c>
      <c r="AI325" s="18">
        <v>5.0700000000000002E-2</v>
      </c>
      <c r="AJ325" s="18">
        <v>7.2999999999999995E-2</v>
      </c>
      <c r="AK325" s="18">
        <v>8.7800000000000003E-2</v>
      </c>
      <c r="AL325" s="18">
        <v>8.0399999999999999E-2</v>
      </c>
      <c r="AM325" s="18">
        <v>8.0399999999999999E-2</v>
      </c>
      <c r="AN325" s="18">
        <v>4.7E-2</v>
      </c>
      <c r="AO325" s="18">
        <v>4.7E-2</v>
      </c>
      <c r="AP325" s="18">
        <v>1.1001000000000001</v>
      </c>
      <c r="AQ325" s="18">
        <v>0.4985</v>
      </c>
      <c r="AR325" s="18">
        <v>0.36099999999999999</v>
      </c>
      <c r="AS325" s="18">
        <v>0.3427</v>
      </c>
      <c r="AT325" s="18">
        <v>0.53890000000000005</v>
      </c>
      <c r="AU325" s="18">
        <v>0.46850000000000003</v>
      </c>
      <c r="AV325" s="18">
        <v>4.7E-2</v>
      </c>
      <c r="AW325" s="18">
        <v>4.7E-2</v>
      </c>
      <c r="AX325" s="18">
        <v>4.7E-2</v>
      </c>
    </row>
    <row r="326" spans="1:50" x14ac:dyDescent="0.25">
      <c r="A326" s="8" t="s">
        <v>364</v>
      </c>
      <c r="B326" s="10" t="s">
        <v>57</v>
      </c>
      <c r="C326" s="18">
        <v>0.21199999999999999</v>
      </c>
      <c r="D326" s="18">
        <v>4.4999999999999998E-2</v>
      </c>
      <c r="E326" s="18">
        <v>4.4999999999999998E-2</v>
      </c>
      <c r="F326" s="18">
        <v>8.3900000000000002E-2</v>
      </c>
      <c r="G326" s="18">
        <v>9.3600000000000003E-2</v>
      </c>
      <c r="H326" s="18">
        <v>4.4999999999999998E-2</v>
      </c>
      <c r="I326" s="18">
        <v>0.13250000000000001</v>
      </c>
      <c r="J326" s="18">
        <v>4.4999999999999998E-2</v>
      </c>
      <c r="K326" s="18">
        <v>0.13250000000000001</v>
      </c>
      <c r="L326" s="18">
        <v>4.4999999999999998E-2</v>
      </c>
      <c r="M326" s="18">
        <v>0.39829999999999999</v>
      </c>
      <c r="N326" s="18">
        <v>0.91259999999999997</v>
      </c>
      <c r="O326" s="18">
        <v>4.4999999999999998E-2</v>
      </c>
      <c r="P326" s="18">
        <v>8.3900000000000002E-2</v>
      </c>
      <c r="Q326" s="18">
        <v>0.2742</v>
      </c>
      <c r="R326" s="18">
        <v>4.4999999999999998E-2</v>
      </c>
      <c r="S326" s="18">
        <v>0.13250000000000001</v>
      </c>
      <c r="T326" s="18">
        <v>4.4999999999999998E-2</v>
      </c>
      <c r="U326" s="18">
        <v>0.13250000000000001</v>
      </c>
      <c r="V326" s="18">
        <v>4.4999999999999998E-2</v>
      </c>
      <c r="W326" s="18">
        <v>0.13250000000000001</v>
      </c>
      <c r="X326" s="18">
        <v>4.4999999999999998E-2</v>
      </c>
      <c r="Y326" s="18">
        <v>4.4999999999999998E-2</v>
      </c>
      <c r="Z326" s="18">
        <v>4.4999999999999998E-2</v>
      </c>
      <c r="AA326" s="18">
        <v>4.4999999999999998E-2</v>
      </c>
      <c r="AB326" s="18">
        <v>5.7700000000000001E-2</v>
      </c>
      <c r="AC326" s="18">
        <v>0.16739999999999999</v>
      </c>
      <c r="AD326" s="18">
        <v>0.88680000000000003</v>
      </c>
      <c r="AE326" s="18">
        <v>0.11310000000000001</v>
      </c>
      <c r="AF326" s="18">
        <v>6.4399999999999999E-2</v>
      </c>
      <c r="AG326" s="18">
        <v>4.4999999999999998E-2</v>
      </c>
      <c r="AH326" s="18">
        <v>5.96E-2</v>
      </c>
      <c r="AI326" s="18">
        <v>0.1179</v>
      </c>
      <c r="AJ326" s="18">
        <v>4.4999999999999998E-2</v>
      </c>
      <c r="AK326" s="18">
        <v>0.76239999999999997</v>
      </c>
      <c r="AL326" s="18">
        <v>0.25259999999999999</v>
      </c>
      <c r="AM326" s="18">
        <v>0.18459999999999999</v>
      </c>
      <c r="AN326" s="18">
        <v>0.30840000000000001</v>
      </c>
      <c r="AO326" s="18">
        <v>0.24679999999999999</v>
      </c>
      <c r="AP326" s="18">
        <v>0.38080000000000003</v>
      </c>
      <c r="AQ326" s="18">
        <v>0.33040000000000003</v>
      </c>
      <c r="AR326" s="18">
        <v>0.26790000000000003</v>
      </c>
      <c r="AS326" s="18">
        <v>0.4425</v>
      </c>
      <c r="AT326" s="18">
        <v>0.20619999999999999</v>
      </c>
      <c r="AU326" s="18">
        <v>0.43030000000000002</v>
      </c>
      <c r="AV326" s="18">
        <v>0.35780000000000001</v>
      </c>
      <c r="AW326" s="18">
        <v>0.44290000000000002</v>
      </c>
      <c r="AX326" s="18">
        <v>0.31950000000000001</v>
      </c>
    </row>
    <row r="327" spans="1:50" x14ac:dyDescent="0.25">
      <c r="A327" s="8" t="s">
        <v>366</v>
      </c>
      <c r="B327" s="10" t="s">
        <v>57</v>
      </c>
      <c r="C327" s="18">
        <v>0.98129999999999995</v>
      </c>
      <c r="D327" s="18">
        <v>0.1472</v>
      </c>
      <c r="E327" s="18">
        <v>0.10639999999999999</v>
      </c>
      <c r="F327" s="18">
        <v>7.9200000000000007E-2</v>
      </c>
      <c r="G327" s="18">
        <v>0.1744</v>
      </c>
      <c r="H327" s="18">
        <v>5.1999999999999998E-2</v>
      </c>
      <c r="I327" s="18">
        <v>0.20150000000000001</v>
      </c>
      <c r="J327" s="18">
        <v>5.1999999999999998E-2</v>
      </c>
      <c r="K327" s="18">
        <v>5.1999999999999998E-2</v>
      </c>
      <c r="L327" s="18">
        <v>0.20150000000000001</v>
      </c>
      <c r="M327" s="18">
        <v>5.1999999999999998E-2</v>
      </c>
      <c r="N327" s="18">
        <v>0.2482</v>
      </c>
      <c r="O327" s="18">
        <v>0.375</v>
      </c>
      <c r="P327" s="18">
        <v>0.30570000000000003</v>
      </c>
      <c r="Q327" s="18">
        <v>1.6382000000000001</v>
      </c>
      <c r="R327" s="18">
        <v>0.25569999999999998</v>
      </c>
      <c r="S327" s="18">
        <v>0.18640000000000001</v>
      </c>
      <c r="T327" s="18">
        <v>1.3725000000000001</v>
      </c>
      <c r="U327" s="18">
        <v>0.60050000000000003</v>
      </c>
      <c r="V327" s="18">
        <v>0.33600000000000002</v>
      </c>
      <c r="W327" s="18">
        <v>0.2036</v>
      </c>
      <c r="X327" s="18">
        <v>0.15679999999999999</v>
      </c>
      <c r="Y327" s="18">
        <v>0.21160000000000001</v>
      </c>
      <c r="Z327" s="18">
        <v>0.46920000000000001</v>
      </c>
      <c r="AA327" s="18">
        <v>0.30659999999999998</v>
      </c>
      <c r="AB327" s="18">
        <v>1.6177999999999999</v>
      </c>
      <c r="AC327" s="18">
        <v>0.47960000000000003</v>
      </c>
      <c r="AD327" s="18">
        <v>0.3206</v>
      </c>
      <c r="AE327" s="18">
        <v>0.21779999999999999</v>
      </c>
      <c r="AF327" s="18">
        <v>0.46429999999999999</v>
      </c>
      <c r="AG327" s="18">
        <v>0.307</v>
      </c>
      <c r="AH327" s="18">
        <v>0.40279999999999999</v>
      </c>
      <c r="AI327" s="18">
        <v>0.27729999999999999</v>
      </c>
      <c r="AJ327" s="18">
        <v>0.3407</v>
      </c>
      <c r="AK327" s="18">
        <v>7.9899999999999999E-2</v>
      </c>
      <c r="AL327" s="18">
        <v>0.3014</v>
      </c>
      <c r="AM327" s="18">
        <v>0.42720000000000002</v>
      </c>
      <c r="AN327" s="18">
        <v>0.16209999999999999</v>
      </c>
      <c r="AO327" s="18">
        <v>0.18149999999999999</v>
      </c>
      <c r="AP327" s="18">
        <v>0.13220000000000001</v>
      </c>
      <c r="AQ327" s="18">
        <v>0.39900000000000002</v>
      </c>
      <c r="AR327" s="18">
        <v>0.35820000000000002</v>
      </c>
      <c r="AS327" s="18">
        <v>0.31640000000000001</v>
      </c>
      <c r="AT327" s="18">
        <v>0.42699999999999999</v>
      </c>
      <c r="AU327" s="18">
        <v>0.31719999999999998</v>
      </c>
      <c r="AV327" s="18">
        <v>0.56820000000000004</v>
      </c>
      <c r="AW327" s="18">
        <v>0.61570000000000003</v>
      </c>
      <c r="AX327" s="18">
        <v>0.39140000000000003</v>
      </c>
    </row>
    <row r="328" spans="1:50" x14ac:dyDescent="0.25">
      <c r="A328" s="8" t="s">
        <v>368</v>
      </c>
      <c r="B328" s="10" t="s">
        <v>57</v>
      </c>
      <c r="C328" s="18">
        <v>8.6800000000000002E-2</v>
      </c>
      <c r="D328" s="18">
        <v>0.1328</v>
      </c>
      <c r="E328" s="18">
        <v>0.1961</v>
      </c>
      <c r="F328" s="18">
        <v>6.2E-2</v>
      </c>
      <c r="G328" s="18">
        <v>0.23499999999999999</v>
      </c>
      <c r="H328" s="18">
        <v>0.1187</v>
      </c>
      <c r="I328" s="18">
        <v>0.1396</v>
      </c>
      <c r="J328" s="18">
        <v>0.2016</v>
      </c>
      <c r="K328" s="18">
        <v>7.4399999999999994E-2</v>
      </c>
      <c r="L328" s="18">
        <v>0.2172</v>
      </c>
      <c r="M328" s="18">
        <v>8.2699999999999996E-2</v>
      </c>
      <c r="N328" s="18">
        <v>0.2427</v>
      </c>
      <c r="O328" s="18">
        <v>9.0200000000000002E-2</v>
      </c>
      <c r="P328" s="18">
        <v>9.0899999999999995E-2</v>
      </c>
      <c r="Q328" s="18">
        <v>0.59309999999999996</v>
      </c>
      <c r="R328" s="18">
        <v>0.24160000000000001</v>
      </c>
      <c r="S328" s="18">
        <v>1.2299</v>
      </c>
      <c r="T328" s="18">
        <v>1.1313</v>
      </c>
      <c r="U328" s="18">
        <v>0.157</v>
      </c>
      <c r="V328" s="18">
        <v>1.1014999999999999</v>
      </c>
      <c r="W328" s="18">
        <v>0.1676</v>
      </c>
      <c r="X328" s="18">
        <v>0.18609999999999999</v>
      </c>
      <c r="Y328" s="18">
        <v>6.2E-2</v>
      </c>
      <c r="Z328" s="18">
        <v>0.29160000000000003</v>
      </c>
      <c r="AA328" s="18">
        <v>6.2E-2</v>
      </c>
      <c r="AB328" s="18">
        <v>6.2E-2</v>
      </c>
      <c r="AC328" s="18">
        <v>6.2E-2</v>
      </c>
      <c r="AD328" s="18">
        <v>0.2172</v>
      </c>
      <c r="AE328" s="18">
        <v>6.2E-2</v>
      </c>
      <c r="AF328" s="18">
        <v>8.2699999999999996E-2</v>
      </c>
      <c r="AG328" s="18">
        <v>0.27100000000000002</v>
      </c>
      <c r="AH328" s="18">
        <v>8.6800000000000002E-2</v>
      </c>
      <c r="AI328" s="18">
        <v>0.1116</v>
      </c>
      <c r="AJ328" s="18">
        <v>0.1968</v>
      </c>
      <c r="AK328" s="18">
        <v>0.27500000000000002</v>
      </c>
      <c r="AL328" s="18">
        <v>0.30299999999999999</v>
      </c>
      <c r="AM328" s="18">
        <v>0.23019999999999999</v>
      </c>
      <c r="AN328" s="18">
        <v>0.22670000000000001</v>
      </c>
      <c r="AO328" s="18">
        <v>0.54710000000000003</v>
      </c>
      <c r="AP328" s="18">
        <v>0.25490000000000002</v>
      </c>
      <c r="AQ328" s="18">
        <v>0.61170000000000002</v>
      </c>
      <c r="AR328" s="18">
        <v>1.0145</v>
      </c>
      <c r="AS328" s="18">
        <v>0.90369999999999995</v>
      </c>
      <c r="AT328" s="18">
        <v>0.79169999999999996</v>
      </c>
      <c r="AU328" s="18">
        <v>0.86809999999999998</v>
      </c>
      <c r="AV328" s="18">
        <v>0.98680000000000001</v>
      </c>
      <c r="AW328" s="18">
        <v>1.0182</v>
      </c>
      <c r="AX328" s="18">
        <v>0.98809999999999998</v>
      </c>
    </row>
    <row r="329" spans="1:50" x14ac:dyDescent="0.25">
      <c r="A329" s="8" t="s">
        <v>370</v>
      </c>
      <c r="B329" s="10" t="s">
        <v>57</v>
      </c>
      <c r="C329" s="18">
        <v>0.1666</v>
      </c>
      <c r="D329" s="18">
        <v>7.9100000000000004E-2</v>
      </c>
      <c r="E329" s="18">
        <v>0.20599999999999999</v>
      </c>
      <c r="F329" s="18">
        <v>0.13780000000000001</v>
      </c>
      <c r="G329" s="18">
        <v>0.04</v>
      </c>
      <c r="H329" s="18">
        <v>0.1004</v>
      </c>
      <c r="I329" s="18">
        <v>0.219</v>
      </c>
      <c r="J329" s="18">
        <v>7.1999999999999995E-2</v>
      </c>
      <c r="K329" s="18">
        <v>0.218</v>
      </c>
      <c r="L329" s="18">
        <v>0.1183</v>
      </c>
      <c r="M329" s="18">
        <v>0.14560000000000001</v>
      </c>
      <c r="N329" s="18">
        <v>0.19819999999999999</v>
      </c>
      <c r="O329" s="18">
        <v>4.7500000000000001E-2</v>
      </c>
      <c r="P329" s="18">
        <v>0.29630000000000001</v>
      </c>
      <c r="Q329" s="18">
        <v>0.04</v>
      </c>
      <c r="R329" s="18">
        <v>0.28120000000000001</v>
      </c>
      <c r="S329" s="18">
        <v>6.2600000000000003E-2</v>
      </c>
      <c r="T329" s="18">
        <v>0.04</v>
      </c>
      <c r="U329" s="18">
        <v>0.34499999999999997</v>
      </c>
      <c r="V329" s="18">
        <v>0.15970000000000001</v>
      </c>
      <c r="W329" s="18">
        <v>0.1772</v>
      </c>
      <c r="X329" s="18">
        <v>0.27660000000000001</v>
      </c>
      <c r="Y329" s="18">
        <v>0.1447</v>
      </c>
      <c r="Z329" s="18">
        <v>0.21920000000000001</v>
      </c>
      <c r="AA329" s="18">
        <v>0.9425</v>
      </c>
      <c r="AB329" s="18">
        <v>8.9800000000000005E-2</v>
      </c>
      <c r="AC329" s="18">
        <v>0.2586</v>
      </c>
      <c r="AD329" s="18">
        <v>0.04</v>
      </c>
      <c r="AE329" s="18">
        <v>0.20599999999999999</v>
      </c>
      <c r="AF329" s="18">
        <v>4.4900000000000002E-2</v>
      </c>
      <c r="AG329" s="18">
        <v>0.26119999999999999</v>
      </c>
      <c r="AH329" s="18">
        <v>7.7700000000000005E-2</v>
      </c>
      <c r="AI329" s="18">
        <v>0.16569999999999999</v>
      </c>
      <c r="AJ329" s="18">
        <v>0.2263</v>
      </c>
      <c r="AK329" s="18">
        <v>5.1799999999999999E-2</v>
      </c>
      <c r="AL329" s="18">
        <v>0.28349999999999997</v>
      </c>
      <c r="AM329" s="18">
        <v>7.1900000000000006E-2</v>
      </c>
      <c r="AN329" s="18">
        <v>0.04</v>
      </c>
      <c r="AO329" s="18">
        <v>0.27710000000000001</v>
      </c>
      <c r="AP329" s="18">
        <v>0.19800000000000001</v>
      </c>
      <c r="AQ329" s="18">
        <v>9.8699999999999996E-2</v>
      </c>
      <c r="AR329" s="18">
        <v>0.24510000000000001</v>
      </c>
      <c r="AS329" s="18">
        <v>0.04</v>
      </c>
      <c r="AT329" s="18">
        <v>0.1134</v>
      </c>
      <c r="AU329" s="18">
        <v>6.4500000000000002E-2</v>
      </c>
      <c r="AV329" s="18">
        <v>0.20599999999999999</v>
      </c>
      <c r="AW329" s="18">
        <v>0.1183</v>
      </c>
      <c r="AX329" s="18">
        <v>0.18029999999999999</v>
      </c>
    </row>
    <row r="330" spans="1:50" x14ac:dyDescent="0.25">
      <c r="A330" s="8" t="s">
        <v>372</v>
      </c>
      <c r="B330" s="10" t="s">
        <v>57</v>
      </c>
      <c r="C330" s="18">
        <v>5.8999999999999997E-2</v>
      </c>
      <c r="D330" s="18">
        <v>5.8999999999999997E-2</v>
      </c>
      <c r="E330" s="18">
        <v>5.8999999999999997E-2</v>
      </c>
      <c r="F330" s="18">
        <v>5.8999999999999997E-2</v>
      </c>
      <c r="G330" s="18">
        <v>5.8999999999999997E-2</v>
      </c>
      <c r="H330" s="18">
        <v>5.8999999999999997E-2</v>
      </c>
      <c r="I330" s="18">
        <v>5.8999999999999997E-2</v>
      </c>
      <c r="J330" s="18">
        <v>5.8999999999999997E-2</v>
      </c>
      <c r="K330" s="18">
        <v>5.8999999999999997E-2</v>
      </c>
      <c r="L330" s="18">
        <v>5.8999999999999997E-2</v>
      </c>
      <c r="M330" s="18">
        <v>5.8999999999999997E-2</v>
      </c>
      <c r="N330" s="18">
        <v>5.8999999999999997E-2</v>
      </c>
      <c r="O330" s="18">
        <v>5.8999999999999997E-2</v>
      </c>
      <c r="P330" s="18">
        <v>0.15770000000000001</v>
      </c>
      <c r="Q330" s="18">
        <v>2.0225</v>
      </c>
      <c r="R330" s="18">
        <v>1.3931</v>
      </c>
      <c r="S330" s="18">
        <v>0.71179999999999999</v>
      </c>
      <c r="T330" s="18">
        <v>0.2069</v>
      </c>
      <c r="U330" s="18">
        <v>0.3145</v>
      </c>
      <c r="V330" s="18">
        <v>0.26419999999999999</v>
      </c>
      <c r="W330" s="18">
        <v>0.13650000000000001</v>
      </c>
      <c r="X330" s="18">
        <v>9.6199999999999994E-2</v>
      </c>
      <c r="Y330" s="18">
        <v>1.0261</v>
      </c>
      <c r="Z330" s="18">
        <v>0.2863</v>
      </c>
      <c r="AA330" s="18">
        <v>0.31130000000000002</v>
      </c>
      <c r="AB330" s="18">
        <v>2.0526</v>
      </c>
      <c r="AC330" s="18">
        <v>0.2112</v>
      </c>
      <c r="AD330" s="18">
        <v>0.27079999999999999</v>
      </c>
      <c r="AE330" s="18">
        <v>0.28820000000000001</v>
      </c>
      <c r="AF330" s="18">
        <v>1.0688</v>
      </c>
      <c r="AG330" s="18">
        <v>0.54520000000000002</v>
      </c>
      <c r="AH330" s="18">
        <v>0.28060000000000002</v>
      </c>
      <c r="AI330" s="18">
        <v>0.21609999999999999</v>
      </c>
      <c r="AJ330" s="18">
        <v>1.5841000000000001</v>
      </c>
      <c r="AK330" s="18">
        <v>1.2023999999999999</v>
      </c>
      <c r="AL330" s="18">
        <v>2.6879</v>
      </c>
      <c r="AM330" s="18">
        <v>0.37219999999999998</v>
      </c>
      <c r="AN330" s="18">
        <v>6.25E-2</v>
      </c>
      <c r="AO330" s="18">
        <v>1.0314000000000001</v>
      </c>
      <c r="AP330" s="18">
        <v>1.0918000000000001</v>
      </c>
      <c r="AQ330" s="18">
        <v>0.30270000000000002</v>
      </c>
      <c r="AR330" s="18">
        <v>0.37769999999999998</v>
      </c>
      <c r="AS330" s="18">
        <v>0.64090000000000003</v>
      </c>
      <c r="AT330" s="18">
        <v>0.75619999999999998</v>
      </c>
      <c r="AU330" s="18">
        <v>0.48780000000000001</v>
      </c>
      <c r="AV330" s="18">
        <v>0.50609999999999999</v>
      </c>
      <c r="AW330" s="18">
        <v>0.81220000000000003</v>
      </c>
      <c r="AX330" s="18">
        <v>0.62849999999999995</v>
      </c>
    </row>
    <row r="331" spans="1:50" x14ac:dyDescent="0.25">
      <c r="A331" s="8" t="s">
        <v>374</v>
      </c>
      <c r="B331" s="10" t="s">
        <v>57</v>
      </c>
      <c r="C331" s="18">
        <v>0.1542</v>
      </c>
      <c r="D331" s="18">
        <v>0.19359999999999999</v>
      </c>
      <c r="E331" s="18">
        <v>0.28760000000000002</v>
      </c>
      <c r="F331" s="18">
        <v>0.19370000000000001</v>
      </c>
      <c r="G331" s="18">
        <v>0.27289999999999998</v>
      </c>
      <c r="H331" s="18">
        <v>0.33500000000000002</v>
      </c>
      <c r="I331" s="18">
        <v>0.13769999999999999</v>
      </c>
      <c r="J331" s="18">
        <v>0.18920000000000001</v>
      </c>
      <c r="K331" s="18">
        <v>0.38529999999999998</v>
      </c>
      <c r="L331" s="18">
        <v>0.1726</v>
      </c>
      <c r="M331" s="18">
        <v>0.11260000000000001</v>
      </c>
      <c r="N331" s="18">
        <v>0.31090000000000001</v>
      </c>
      <c r="O331" s="18">
        <v>0.29199999999999998</v>
      </c>
      <c r="P331" s="18">
        <v>8.5000000000000006E-2</v>
      </c>
      <c r="Q331" s="18">
        <v>0.36149999999999999</v>
      </c>
      <c r="R331" s="18">
        <v>0.15240000000000001</v>
      </c>
      <c r="S331" s="18">
        <v>0.60009999999999997</v>
      </c>
      <c r="T331" s="18">
        <v>0.21779999999999999</v>
      </c>
      <c r="U331" s="18">
        <v>0.18060000000000001</v>
      </c>
      <c r="V331" s="18">
        <v>0.3216</v>
      </c>
      <c r="W331" s="18">
        <v>1.2755000000000001</v>
      </c>
      <c r="X331" s="18">
        <v>0.52410000000000001</v>
      </c>
      <c r="Y331" s="18">
        <v>0.1072</v>
      </c>
      <c r="Z331" s="18">
        <v>0.33939999999999998</v>
      </c>
      <c r="AA331" s="18">
        <v>0.21240000000000001</v>
      </c>
      <c r="AB331" s="18">
        <v>0.28799999999999998</v>
      </c>
      <c r="AC331" s="18">
        <v>0.24560000000000001</v>
      </c>
      <c r="AD331" s="18">
        <v>0.3831</v>
      </c>
      <c r="AE331" s="18">
        <v>0.30120000000000002</v>
      </c>
      <c r="AF331" s="18">
        <v>0.26340000000000002</v>
      </c>
      <c r="AG331" s="18">
        <v>0.1118</v>
      </c>
      <c r="AH331" s="18">
        <v>0.49609999999999999</v>
      </c>
      <c r="AI331" s="18">
        <v>0.25340000000000001</v>
      </c>
      <c r="AJ331" s="18">
        <v>0.57120000000000004</v>
      </c>
      <c r="AK331" s="18">
        <v>0.33610000000000001</v>
      </c>
      <c r="AL331" s="18">
        <v>1.9077999999999999</v>
      </c>
      <c r="AM331" s="18">
        <v>2.9992000000000001</v>
      </c>
      <c r="AN331" s="18">
        <v>1.9639</v>
      </c>
      <c r="AO331" s="18">
        <v>0.50780000000000003</v>
      </c>
      <c r="AP331" s="18">
        <v>0.996</v>
      </c>
      <c r="AQ331" s="18">
        <v>1.252</v>
      </c>
      <c r="AR331" s="18">
        <v>0.73370000000000002</v>
      </c>
      <c r="AS331" s="18">
        <v>0.49370000000000003</v>
      </c>
      <c r="AT331" s="18">
        <v>0.42080000000000001</v>
      </c>
      <c r="AU331" s="18">
        <v>0.29549999999999998</v>
      </c>
      <c r="AV331" s="18">
        <v>0.24079999999999999</v>
      </c>
      <c r="AW331" s="18">
        <v>0.251</v>
      </c>
      <c r="AX331" s="18">
        <v>0.1956</v>
      </c>
    </row>
    <row r="332" spans="1:50" x14ac:dyDescent="0.25">
      <c r="A332" s="16" t="s">
        <v>797</v>
      </c>
      <c r="B332" s="13" t="s">
        <v>464</v>
      </c>
      <c r="C332" s="17">
        <v>5.7000000000000002E-2</v>
      </c>
      <c r="D332" s="17">
        <v>5.7000000000000002E-2</v>
      </c>
      <c r="E332" s="17">
        <v>0.16250000000000001</v>
      </c>
      <c r="F332" s="17">
        <v>5.7000000000000002E-2</v>
      </c>
      <c r="G332" s="17">
        <v>0.1399</v>
      </c>
      <c r="H332" s="17">
        <v>7.9600000000000004E-2</v>
      </c>
      <c r="I332" s="17">
        <v>5.7000000000000002E-2</v>
      </c>
      <c r="J332" s="17">
        <v>7.9600000000000004E-2</v>
      </c>
      <c r="K332" s="17">
        <v>0.1399</v>
      </c>
      <c r="L332" s="17">
        <v>5.7000000000000002E-2</v>
      </c>
      <c r="M332" s="17">
        <v>0.2046</v>
      </c>
      <c r="N332" s="17">
        <v>5.74E-2</v>
      </c>
      <c r="O332" s="17">
        <v>5.7000000000000002E-2</v>
      </c>
      <c r="P332" s="17">
        <v>5.7000000000000002E-2</v>
      </c>
      <c r="Q332" s="17">
        <v>0.16250000000000001</v>
      </c>
      <c r="R332" s="17">
        <v>6.4500000000000002E-2</v>
      </c>
      <c r="S332" s="17">
        <v>8.9899999999999994E-2</v>
      </c>
      <c r="T332" s="17">
        <v>0.16250000000000001</v>
      </c>
      <c r="U332" s="17">
        <v>5.7000000000000002E-2</v>
      </c>
      <c r="V332" s="17">
        <v>7.9600000000000004E-2</v>
      </c>
      <c r="W332" s="17">
        <v>0.1399</v>
      </c>
      <c r="X332" s="17">
        <v>0.14699999999999999</v>
      </c>
      <c r="Y332" s="17">
        <v>0.3221</v>
      </c>
      <c r="Z332" s="17">
        <v>0.46429999999999999</v>
      </c>
      <c r="AA332" s="17">
        <v>0.38529999999999998</v>
      </c>
      <c r="AB332" s="17">
        <v>0.46329999999999999</v>
      </c>
      <c r="AC332" s="17">
        <v>0.3216</v>
      </c>
      <c r="AD332" s="17">
        <v>0.28160000000000002</v>
      </c>
      <c r="AE332" s="17">
        <v>0.35239999999999999</v>
      </c>
      <c r="AF332" s="17">
        <v>0.35539999999999999</v>
      </c>
      <c r="AG332" s="17">
        <v>0.62790000000000001</v>
      </c>
      <c r="AH332" s="17">
        <v>2.4824000000000002</v>
      </c>
      <c r="AI332" s="17">
        <v>2.1221999999999999</v>
      </c>
      <c r="AJ332" s="17">
        <v>0.50009999999999999</v>
      </c>
      <c r="AK332" s="17">
        <v>0.7752</v>
      </c>
      <c r="AL332" s="17">
        <v>0.12479999999999999</v>
      </c>
      <c r="AM332" s="17">
        <v>0.2147</v>
      </c>
      <c r="AN332" s="17">
        <v>0.16420000000000001</v>
      </c>
      <c r="AO332" s="17">
        <v>0.1976</v>
      </c>
      <c r="AP332" s="17">
        <v>0.1857</v>
      </c>
      <c r="AQ332" s="17">
        <v>0.37680000000000002</v>
      </c>
      <c r="AR332" s="17">
        <v>0.39219999999999999</v>
      </c>
      <c r="AS332" s="17">
        <v>0.47220000000000001</v>
      </c>
      <c r="AT332" s="17">
        <v>2.0539000000000001</v>
      </c>
      <c r="AU332" s="17">
        <v>0.99460000000000004</v>
      </c>
      <c r="AV332" s="17">
        <v>0.64539999999999997</v>
      </c>
      <c r="AW332" s="17">
        <v>0.78269999999999995</v>
      </c>
      <c r="AX332" s="17">
        <v>0.68189999999999995</v>
      </c>
    </row>
    <row r="333" spans="1:50" x14ac:dyDescent="0.25">
      <c r="A333" s="16" t="s">
        <v>799</v>
      </c>
      <c r="B333" s="13" t="s">
        <v>464</v>
      </c>
      <c r="C333" s="17">
        <v>4.7E-2</v>
      </c>
      <c r="D333" s="17">
        <v>6.3100000000000003E-2</v>
      </c>
      <c r="E333" s="17">
        <v>0.1033</v>
      </c>
      <c r="F333" s="17">
        <v>4.7E-2</v>
      </c>
      <c r="G333" s="17">
        <v>0.1074</v>
      </c>
      <c r="H333" s="17">
        <v>5.91E-2</v>
      </c>
      <c r="I333" s="17">
        <v>4.7E-2</v>
      </c>
      <c r="J333" s="17">
        <v>0.11940000000000001</v>
      </c>
      <c r="K333" s="17">
        <v>4.7E-2</v>
      </c>
      <c r="L333" s="17">
        <v>4.7E-2</v>
      </c>
      <c r="M333" s="17">
        <v>0.36840000000000001</v>
      </c>
      <c r="N333" s="17">
        <v>0.52729999999999999</v>
      </c>
      <c r="O333" s="17">
        <v>0.2392</v>
      </c>
      <c r="P333" s="17">
        <v>1.2453000000000001</v>
      </c>
      <c r="Q333" s="17">
        <v>0.11940000000000001</v>
      </c>
      <c r="R333" s="17">
        <v>0.1157</v>
      </c>
      <c r="S333" s="17">
        <v>1.1462000000000001</v>
      </c>
      <c r="T333" s="17">
        <v>0.22950000000000001</v>
      </c>
      <c r="U333" s="17">
        <v>6.2E-2</v>
      </c>
      <c r="V333" s="17">
        <v>0.12230000000000001</v>
      </c>
      <c r="W333" s="17">
        <v>4.7E-2</v>
      </c>
      <c r="X333" s="17">
        <v>5.1900000000000002E-2</v>
      </c>
      <c r="Y333" s="17">
        <v>7.9699999999999993E-2</v>
      </c>
      <c r="Z333" s="17">
        <v>0.92259999999999998</v>
      </c>
      <c r="AA333" s="17">
        <v>0.16350000000000001</v>
      </c>
      <c r="AB333" s="17">
        <v>4.9399999999999999E-2</v>
      </c>
      <c r="AC333" s="17">
        <v>1.2648999999999999</v>
      </c>
      <c r="AD333" s="17">
        <v>0.79759999999999998</v>
      </c>
      <c r="AE333" s="17">
        <v>1.6521999999999999</v>
      </c>
      <c r="AF333" s="17">
        <v>0.39779999999999999</v>
      </c>
      <c r="AG333" s="17">
        <v>1.3484</v>
      </c>
      <c r="AH333" s="17">
        <v>1.5358000000000001</v>
      </c>
      <c r="AI333" s="17">
        <v>0.25340000000000001</v>
      </c>
      <c r="AJ333" s="17">
        <v>8.72E-2</v>
      </c>
      <c r="AK333" s="17">
        <v>7.9200000000000007E-2</v>
      </c>
      <c r="AL333" s="17">
        <v>0.1114</v>
      </c>
      <c r="AM333" s="17">
        <v>5.5E-2</v>
      </c>
      <c r="AN333" s="17">
        <v>0.13170000000000001</v>
      </c>
      <c r="AO333" s="17">
        <v>6.83E-2</v>
      </c>
      <c r="AP333" s="17">
        <v>0.1784</v>
      </c>
      <c r="AQ333" s="17">
        <v>0.28420000000000001</v>
      </c>
      <c r="AR333" s="17">
        <v>0.25219999999999998</v>
      </c>
      <c r="AS333" s="17">
        <v>0.39410000000000001</v>
      </c>
      <c r="AT333" s="17">
        <v>0.55889999999999995</v>
      </c>
      <c r="AU333" s="17">
        <v>0.3826</v>
      </c>
      <c r="AV333" s="17">
        <v>0.2853</v>
      </c>
      <c r="AW333" s="17">
        <v>0.10150000000000001</v>
      </c>
      <c r="AX333" s="17">
        <v>0.11940000000000001</v>
      </c>
    </row>
    <row r="334" spans="1:50" x14ac:dyDescent="0.25">
      <c r="A334" s="8" t="s">
        <v>376</v>
      </c>
      <c r="B334" s="10" t="s">
        <v>57</v>
      </c>
      <c r="C334" s="18">
        <v>0.27729999999999999</v>
      </c>
      <c r="D334" s="18">
        <v>0.16200000000000001</v>
      </c>
      <c r="E334" s="18">
        <v>0.16819999999999999</v>
      </c>
      <c r="F334" s="18">
        <v>0.2243</v>
      </c>
      <c r="G334" s="18">
        <v>0.10390000000000001</v>
      </c>
      <c r="H334" s="18">
        <v>0.28860000000000002</v>
      </c>
      <c r="I334" s="18">
        <v>0.1258</v>
      </c>
      <c r="J334" s="18">
        <v>8.9200000000000002E-2</v>
      </c>
      <c r="K334" s="18">
        <v>0.37609999999999999</v>
      </c>
      <c r="L334" s="18">
        <v>5.2999999999999999E-2</v>
      </c>
      <c r="M334" s="18">
        <v>0.12330000000000001</v>
      </c>
      <c r="N334" s="18">
        <v>0.27310000000000001</v>
      </c>
      <c r="O334" s="18">
        <v>0.15160000000000001</v>
      </c>
      <c r="P334" s="18">
        <v>0.24249999999999999</v>
      </c>
      <c r="Q334" s="18">
        <v>0.2122</v>
      </c>
      <c r="R334" s="18">
        <v>5.2999999999999999E-2</v>
      </c>
      <c r="S334" s="18">
        <v>0.31409999999999999</v>
      </c>
      <c r="T334" s="18">
        <v>0.25879999999999997</v>
      </c>
      <c r="U334" s="18">
        <v>0.33379999999999999</v>
      </c>
      <c r="V334" s="18">
        <v>0.47549999999999998</v>
      </c>
      <c r="W334" s="18">
        <v>0.22459999999999999</v>
      </c>
      <c r="X334" s="18">
        <v>0.55159999999999998</v>
      </c>
      <c r="Y334" s="18">
        <v>0.41980000000000001</v>
      </c>
      <c r="Z334" s="18">
        <v>0.34970000000000001</v>
      </c>
      <c r="AA334" s="18">
        <v>0.57120000000000004</v>
      </c>
      <c r="AB334" s="18">
        <v>0.24349999999999999</v>
      </c>
      <c r="AC334" s="18">
        <v>5.2999999999999999E-2</v>
      </c>
      <c r="AD334" s="18">
        <v>0.38690000000000002</v>
      </c>
      <c r="AE334" s="18">
        <v>9.8699999999999996E-2</v>
      </c>
      <c r="AF334" s="18">
        <v>0.19239999999999999</v>
      </c>
      <c r="AG334" s="18">
        <v>0.22570000000000001</v>
      </c>
      <c r="AH334" s="18">
        <v>0.74339999999999995</v>
      </c>
      <c r="AI334" s="18">
        <v>0.33850000000000002</v>
      </c>
      <c r="AJ334" s="18">
        <v>1.583</v>
      </c>
      <c r="AK334" s="18">
        <v>2.4483999999999999</v>
      </c>
      <c r="AL334" s="18">
        <v>0.15770000000000001</v>
      </c>
      <c r="AM334" s="18">
        <v>0.20749999999999999</v>
      </c>
      <c r="AN334" s="18">
        <v>0.30719999999999997</v>
      </c>
      <c r="AO334" s="18">
        <v>1.0549999999999999</v>
      </c>
      <c r="AP334" s="18">
        <v>1.1555</v>
      </c>
      <c r="AQ334" s="18">
        <v>0.1326</v>
      </c>
      <c r="AR334" s="18">
        <v>0.46450000000000002</v>
      </c>
      <c r="AS334" s="18">
        <v>0.57730000000000004</v>
      </c>
      <c r="AT334" s="18">
        <v>0.77639999999999998</v>
      </c>
      <c r="AU334" s="18">
        <v>0.12180000000000001</v>
      </c>
      <c r="AV334" s="18">
        <v>5.2999999999999999E-2</v>
      </c>
      <c r="AW334" s="18">
        <v>0.22439999999999999</v>
      </c>
      <c r="AX334" s="18">
        <v>0.14549999999999999</v>
      </c>
    </row>
    <row r="335" spans="1:50" x14ac:dyDescent="0.25">
      <c r="A335" s="8" t="s">
        <v>378</v>
      </c>
      <c r="B335" s="10" t="s">
        <v>57</v>
      </c>
      <c r="C335" s="18">
        <v>0.17330000000000001</v>
      </c>
      <c r="D335" s="18">
        <v>5.2999999999999999E-2</v>
      </c>
      <c r="E335" s="18">
        <v>0.1923</v>
      </c>
      <c r="F335" s="18">
        <v>5.2999999999999999E-2</v>
      </c>
      <c r="G335" s="18">
        <v>7.4300000000000005E-2</v>
      </c>
      <c r="H335" s="18">
        <v>0.37469999999999998</v>
      </c>
      <c r="I335" s="18">
        <v>0.31530000000000002</v>
      </c>
      <c r="J335" s="18">
        <v>0.4052</v>
      </c>
      <c r="K335" s="18">
        <v>7.1999999999999995E-2</v>
      </c>
      <c r="L335" s="18">
        <v>0.1037</v>
      </c>
      <c r="M335" s="18">
        <v>0.1416</v>
      </c>
      <c r="N335" s="18">
        <v>5.2999999999999999E-2</v>
      </c>
      <c r="O335" s="18">
        <v>0.1923</v>
      </c>
      <c r="P335" s="18">
        <v>5.2999999999999999E-2</v>
      </c>
      <c r="Q335" s="18">
        <v>0.186</v>
      </c>
      <c r="R335" s="18">
        <v>5.9299999999999999E-2</v>
      </c>
      <c r="S335" s="18">
        <v>0.1416</v>
      </c>
      <c r="T335" s="18">
        <v>0.2863</v>
      </c>
      <c r="U335" s="18">
        <v>0.26300000000000001</v>
      </c>
      <c r="V335" s="18">
        <v>0.16700000000000001</v>
      </c>
      <c r="W335" s="18">
        <v>5.2999999999999999E-2</v>
      </c>
      <c r="X335" s="18">
        <v>0.30059999999999998</v>
      </c>
      <c r="Y335" s="18">
        <v>0.1237</v>
      </c>
      <c r="Z335" s="18">
        <v>6.4000000000000001E-2</v>
      </c>
      <c r="AA335" s="18">
        <v>0.19600000000000001</v>
      </c>
      <c r="AB335" s="18">
        <v>5.2999999999999999E-2</v>
      </c>
      <c r="AC335" s="18">
        <v>5.2999999999999999E-2</v>
      </c>
      <c r="AD335" s="18">
        <v>0.14799999999999999</v>
      </c>
      <c r="AE335" s="18">
        <v>9.7299999999999998E-2</v>
      </c>
      <c r="AF335" s="18">
        <v>5.2999999999999999E-2</v>
      </c>
      <c r="AG335" s="18">
        <v>0.1923</v>
      </c>
      <c r="AH335" s="18">
        <v>5.2999999999999999E-2</v>
      </c>
      <c r="AI335" s="18">
        <v>0.14799999999999999</v>
      </c>
      <c r="AJ335" s="18">
        <v>9.7299999999999998E-2</v>
      </c>
      <c r="AK335" s="18">
        <v>0.10539999999999999</v>
      </c>
      <c r="AL335" s="18">
        <v>0.23419999999999999</v>
      </c>
      <c r="AM335" s="18">
        <v>0.1799</v>
      </c>
      <c r="AN335" s="18">
        <v>0.19089999999999999</v>
      </c>
      <c r="AO335" s="18">
        <v>0.30230000000000001</v>
      </c>
      <c r="AP335" s="18">
        <v>0.29220000000000002</v>
      </c>
      <c r="AQ335" s="18">
        <v>0.6109</v>
      </c>
      <c r="AR335" s="18">
        <v>0.48680000000000001</v>
      </c>
      <c r="AS335" s="18">
        <v>0.56630000000000003</v>
      </c>
      <c r="AT335" s="18">
        <v>0.53969999999999996</v>
      </c>
      <c r="AU335" s="18">
        <v>0.44419999999999998</v>
      </c>
      <c r="AV335" s="18">
        <v>0.25369999999999998</v>
      </c>
      <c r="AW335" s="18">
        <v>0.40550000000000003</v>
      </c>
      <c r="AX335" s="18">
        <v>0.25419999999999998</v>
      </c>
    </row>
    <row r="336" spans="1:50" x14ac:dyDescent="0.25">
      <c r="A336" s="8" t="s">
        <v>380</v>
      </c>
      <c r="B336" s="10" t="s">
        <v>57</v>
      </c>
      <c r="C336" s="18">
        <v>0.22869999999999999</v>
      </c>
      <c r="D336" s="18">
        <v>6.6100000000000006E-2</v>
      </c>
      <c r="E336" s="18">
        <v>5.8000000000000003E-2</v>
      </c>
      <c r="F336" s="18">
        <v>0.2369</v>
      </c>
      <c r="G336" s="18">
        <v>5.8000000000000003E-2</v>
      </c>
      <c r="H336" s="18">
        <v>6.6100000000000006E-2</v>
      </c>
      <c r="I336" s="18">
        <v>0.22869999999999999</v>
      </c>
      <c r="J336" s="18">
        <v>5.8000000000000003E-2</v>
      </c>
      <c r="K336" s="18">
        <v>5.8000000000000003E-2</v>
      </c>
      <c r="L336" s="18">
        <v>0.1799</v>
      </c>
      <c r="M336" s="18">
        <v>0.1149</v>
      </c>
      <c r="N336" s="18">
        <v>5.8000000000000003E-2</v>
      </c>
      <c r="O336" s="18">
        <v>5.8000000000000003E-2</v>
      </c>
      <c r="P336" s="18">
        <v>0.2369</v>
      </c>
      <c r="Q336" s="18">
        <v>5.8000000000000003E-2</v>
      </c>
      <c r="R336" s="18">
        <v>1.1757</v>
      </c>
      <c r="S336" s="18">
        <v>0.92220000000000002</v>
      </c>
      <c r="T336" s="18">
        <v>0.55710000000000004</v>
      </c>
      <c r="U336" s="18">
        <v>0.40489999999999998</v>
      </c>
      <c r="V336" s="18">
        <v>0.3412</v>
      </c>
      <c r="W336" s="18">
        <v>0.38340000000000002</v>
      </c>
      <c r="X336" s="18">
        <v>0.4632</v>
      </c>
      <c r="Y336" s="18">
        <v>5.8000000000000003E-2</v>
      </c>
      <c r="Z336" s="18">
        <v>0.2369</v>
      </c>
      <c r="AA336" s="18">
        <v>5.8000000000000003E-2</v>
      </c>
      <c r="AB336" s="18">
        <v>0.15559999999999999</v>
      </c>
      <c r="AC336" s="18">
        <v>0.13930000000000001</v>
      </c>
      <c r="AD336" s="18">
        <v>0.10680000000000001</v>
      </c>
      <c r="AE336" s="18">
        <v>0.18809999999999999</v>
      </c>
      <c r="AF336" s="18">
        <v>5.8000000000000003E-2</v>
      </c>
      <c r="AG336" s="18">
        <v>0.20430000000000001</v>
      </c>
      <c r="AH336" s="18">
        <v>9.0499999999999997E-2</v>
      </c>
      <c r="AI336" s="18">
        <v>0.25990000000000002</v>
      </c>
      <c r="AJ336" s="18">
        <v>0.40050000000000002</v>
      </c>
      <c r="AK336" s="18">
        <v>0.1915</v>
      </c>
      <c r="AL336" s="18">
        <v>0.36780000000000002</v>
      </c>
      <c r="AM336" s="18">
        <v>1.4581999999999999</v>
      </c>
      <c r="AN336" s="18">
        <v>0.15459999999999999</v>
      </c>
      <c r="AO336" s="18">
        <v>0.30690000000000001</v>
      </c>
      <c r="AP336" s="18">
        <v>0.41410000000000002</v>
      </c>
      <c r="AQ336" s="18">
        <v>0.7611</v>
      </c>
      <c r="AR336" s="18">
        <v>0.81459999999999999</v>
      </c>
      <c r="AS336" s="18">
        <v>0.76400000000000001</v>
      </c>
      <c r="AT336" s="18">
        <v>0.75439999999999996</v>
      </c>
      <c r="AU336" s="18">
        <v>0.87170000000000003</v>
      </c>
      <c r="AV336" s="18">
        <v>0.79600000000000004</v>
      </c>
      <c r="AW336" s="18">
        <v>0.58730000000000004</v>
      </c>
      <c r="AX336" s="18">
        <v>0.69569999999999999</v>
      </c>
    </row>
    <row r="337" spans="1:50" x14ac:dyDescent="0.25">
      <c r="A337" s="8" t="s">
        <v>382</v>
      </c>
      <c r="B337" s="10" t="s">
        <v>57</v>
      </c>
      <c r="C337" s="18">
        <v>6.9900000000000004E-2</v>
      </c>
      <c r="D337" s="18">
        <v>0.1857</v>
      </c>
      <c r="E337" s="18">
        <v>5.7000000000000002E-2</v>
      </c>
      <c r="F337" s="18">
        <v>5.7000000000000002E-2</v>
      </c>
      <c r="G337" s="18">
        <v>0.1986</v>
      </c>
      <c r="H337" s="18">
        <v>5.7000000000000002E-2</v>
      </c>
      <c r="I337" s="18">
        <v>5.7000000000000002E-2</v>
      </c>
      <c r="J337" s="18">
        <v>0.1986</v>
      </c>
      <c r="K337" s="18">
        <v>5.7000000000000002E-2</v>
      </c>
      <c r="L337" s="18">
        <v>5.7000000000000002E-2</v>
      </c>
      <c r="M337" s="18">
        <v>0.1986</v>
      </c>
      <c r="N337" s="18">
        <v>5.7000000000000002E-2</v>
      </c>
      <c r="O337" s="18">
        <v>0.1986</v>
      </c>
      <c r="P337" s="18">
        <v>5.7000000000000002E-2</v>
      </c>
      <c r="Q337" s="18">
        <v>6.9900000000000004E-2</v>
      </c>
      <c r="R337" s="18">
        <v>0.1857</v>
      </c>
      <c r="S337" s="18">
        <v>0.17749999999999999</v>
      </c>
      <c r="T337" s="18">
        <v>0.1381</v>
      </c>
      <c r="U337" s="18">
        <v>0.13719999999999999</v>
      </c>
      <c r="V337" s="18">
        <v>8.2000000000000003E-2</v>
      </c>
      <c r="W337" s="18">
        <v>9.3200000000000005E-2</v>
      </c>
      <c r="X337" s="18">
        <v>0.1857</v>
      </c>
      <c r="Y337" s="18">
        <v>8.5000000000000006E-2</v>
      </c>
      <c r="Z337" s="18">
        <v>0.25209999999999999</v>
      </c>
      <c r="AA337" s="18">
        <v>0.12759999999999999</v>
      </c>
      <c r="AB337" s="18">
        <v>0.2303</v>
      </c>
      <c r="AC337" s="18">
        <v>0.2722</v>
      </c>
      <c r="AD337" s="18">
        <v>1.6293</v>
      </c>
      <c r="AE337" s="18">
        <v>0.18090000000000001</v>
      </c>
      <c r="AF337" s="18">
        <v>0.14710000000000001</v>
      </c>
      <c r="AG337" s="18">
        <v>5.7000000000000002E-2</v>
      </c>
      <c r="AH337" s="18">
        <v>5.7000000000000002E-2</v>
      </c>
      <c r="AI337" s="18">
        <v>0.1986</v>
      </c>
      <c r="AJ337" s="18">
        <v>5.7000000000000002E-2</v>
      </c>
      <c r="AK337" s="18">
        <v>5.7000000000000002E-2</v>
      </c>
      <c r="AL337" s="18">
        <v>0.1986</v>
      </c>
      <c r="AM337" s="18">
        <v>8.5900000000000004E-2</v>
      </c>
      <c r="AN337" s="18">
        <v>1.6308</v>
      </c>
      <c r="AO337" s="18">
        <v>0.25119999999999998</v>
      </c>
      <c r="AP337" s="18">
        <v>0.2858</v>
      </c>
      <c r="AQ337" s="18">
        <v>0.27589999999999998</v>
      </c>
      <c r="AR337" s="18">
        <v>0.42749999999999999</v>
      </c>
      <c r="AS337" s="18">
        <v>1.9528000000000001</v>
      </c>
      <c r="AT337" s="18">
        <v>3.0318999999999998</v>
      </c>
      <c r="AU337" s="18">
        <v>1.9149</v>
      </c>
      <c r="AV337" s="18">
        <v>0.3866</v>
      </c>
      <c r="AW337" s="18">
        <v>0.61750000000000005</v>
      </c>
      <c r="AX337" s="18">
        <v>0.27429999999999999</v>
      </c>
    </row>
    <row r="338" spans="1:50" x14ac:dyDescent="0.25">
      <c r="A338" s="8" t="s">
        <v>384</v>
      </c>
      <c r="B338" s="10" t="s">
        <v>57</v>
      </c>
      <c r="C338" s="18">
        <v>4.8000000000000001E-2</v>
      </c>
      <c r="D338" s="18">
        <v>0.20130000000000001</v>
      </c>
      <c r="E338" s="18">
        <v>8.2100000000000006E-2</v>
      </c>
      <c r="F338" s="18">
        <v>4.8000000000000001E-2</v>
      </c>
      <c r="G338" s="18">
        <v>0.1076</v>
      </c>
      <c r="H338" s="18">
        <v>0.1757</v>
      </c>
      <c r="I338" s="18">
        <v>4.8000000000000001E-2</v>
      </c>
      <c r="J338" s="18">
        <v>0.21829999999999999</v>
      </c>
      <c r="K338" s="18">
        <v>6.5000000000000002E-2</v>
      </c>
      <c r="L338" s="18">
        <v>9.06E-2</v>
      </c>
      <c r="M338" s="18">
        <v>0.1928</v>
      </c>
      <c r="N338" s="18">
        <v>4.8000000000000001E-2</v>
      </c>
      <c r="O338" s="18">
        <v>0.2354</v>
      </c>
      <c r="P338" s="18">
        <v>4.8000000000000001E-2</v>
      </c>
      <c r="Q338" s="18">
        <v>0.1928</v>
      </c>
      <c r="R338" s="18">
        <v>9.06E-2</v>
      </c>
      <c r="S338" s="18">
        <v>4.8000000000000001E-2</v>
      </c>
      <c r="T338" s="18">
        <v>0.42770000000000002</v>
      </c>
      <c r="U338" s="18">
        <v>4.8000000000000001E-2</v>
      </c>
      <c r="V338" s="18">
        <v>5.6500000000000002E-2</v>
      </c>
      <c r="W338" s="18">
        <v>0.2268</v>
      </c>
      <c r="X338" s="18">
        <v>4.8000000000000001E-2</v>
      </c>
      <c r="Y338" s="18">
        <v>0.20979999999999999</v>
      </c>
      <c r="Z338" s="18">
        <v>7.3499999999999996E-2</v>
      </c>
      <c r="AA338" s="18">
        <v>4.8000000000000001E-2</v>
      </c>
      <c r="AB338" s="18">
        <v>4.8000000000000001E-2</v>
      </c>
      <c r="AC338" s="18">
        <v>0.2268</v>
      </c>
      <c r="AD338" s="18">
        <v>5.6500000000000002E-2</v>
      </c>
      <c r="AE338" s="18">
        <v>8.2100000000000006E-2</v>
      </c>
      <c r="AF338" s="18">
        <v>0.20130000000000001</v>
      </c>
      <c r="AG338" s="18">
        <v>4.8000000000000001E-2</v>
      </c>
      <c r="AH338" s="18">
        <v>0.20979999999999999</v>
      </c>
      <c r="AI338" s="18">
        <v>0.15060000000000001</v>
      </c>
      <c r="AJ338" s="18">
        <v>0.22409999999999999</v>
      </c>
      <c r="AK338" s="18">
        <v>0.17419999999999999</v>
      </c>
      <c r="AL338" s="18">
        <v>8.0299999999999996E-2</v>
      </c>
      <c r="AM338" s="18">
        <v>0.2225</v>
      </c>
      <c r="AN338" s="18">
        <v>6.6900000000000001E-2</v>
      </c>
      <c r="AO338" s="18">
        <v>5.1999999999999998E-2</v>
      </c>
      <c r="AP338" s="18">
        <v>0.3594</v>
      </c>
      <c r="AQ338" s="18">
        <v>0.21820000000000001</v>
      </c>
      <c r="AR338" s="18">
        <v>0.54349999999999998</v>
      </c>
      <c r="AS338" s="18">
        <v>0.67710000000000004</v>
      </c>
      <c r="AT338" s="18">
        <v>0.53569999999999995</v>
      </c>
      <c r="AU338" s="18">
        <v>0.53200000000000003</v>
      </c>
      <c r="AV338" s="18">
        <v>0.79920000000000002</v>
      </c>
      <c r="AW338" s="18">
        <v>0.42249999999999999</v>
      </c>
      <c r="AX338" s="18">
        <v>0.58289999999999997</v>
      </c>
    </row>
    <row r="339" spans="1:50" x14ac:dyDescent="0.25">
      <c r="A339" s="16" t="s">
        <v>801</v>
      </c>
      <c r="B339" s="13" t="s">
        <v>464</v>
      </c>
      <c r="C339" s="17">
        <v>4.48E-2</v>
      </c>
      <c r="D339" s="17">
        <v>0.5474</v>
      </c>
      <c r="E339" s="17">
        <v>3.5999999999999997E-2</v>
      </c>
      <c r="F339" s="17">
        <v>3.5999999999999997E-2</v>
      </c>
      <c r="G339" s="17">
        <v>3.5999999999999997E-2</v>
      </c>
      <c r="H339" s="17">
        <v>3.5999999999999997E-2</v>
      </c>
      <c r="I339" s="17">
        <v>0.11559999999999999</v>
      </c>
      <c r="J339" s="17">
        <v>3.5999999999999997E-2</v>
      </c>
      <c r="K339" s="17">
        <v>3.5999999999999997E-2</v>
      </c>
      <c r="L339" s="17">
        <v>3.5999999999999997E-2</v>
      </c>
      <c r="M339" s="17">
        <v>3.5999999999999997E-2</v>
      </c>
      <c r="N339" s="17">
        <v>3.5999999999999997E-2</v>
      </c>
      <c r="O339" s="17">
        <v>3.5999999999999997E-2</v>
      </c>
      <c r="P339" s="17">
        <v>0.11559999999999999</v>
      </c>
      <c r="Q339" s="17">
        <v>3.5999999999999997E-2</v>
      </c>
      <c r="R339" s="17">
        <v>0.32550000000000001</v>
      </c>
      <c r="S339" s="17">
        <v>0.5635</v>
      </c>
      <c r="T339" s="17">
        <v>1.5095000000000001</v>
      </c>
      <c r="U339" s="17">
        <v>0.25340000000000001</v>
      </c>
      <c r="V339" s="17">
        <v>0.1749</v>
      </c>
      <c r="W339" s="17">
        <v>0.11559999999999999</v>
      </c>
      <c r="X339" s="17">
        <v>3.5999999999999997E-2</v>
      </c>
      <c r="Y339" s="17">
        <v>4.9299999999999997E-2</v>
      </c>
      <c r="Z339" s="17">
        <v>0.1023</v>
      </c>
      <c r="AA339" s="17">
        <v>0.3886</v>
      </c>
      <c r="AB339" s="17">
        <v>0.24179999999999999</v>
      </c>
      <c r="AC339" s="17">
        <v>0.29559999999999997</v>
      </c>
      <c r="AD339" s="17">
        <v>0.29120000000000001</v>
      </c>
      <c r="AE339" s="17">
        <v>0.1618</v>
      </c>
      <c r="AF339" s="17">
        <v>0.12479999999999999</v>
      </c>
      <c r="AG339" s="17">
        <v>3.5999999999999997E-2</v>
      </c>
      <c r="AH339" s="17">
        <v>0.11559999999999999</v>
      </c>
      <c r="AI339" s="17">
        <v>6.6000000000000003E-2</v>
      </c>
      <c r="AJ339" s="17">
        <v>0.13750000000000001</v>
      </c>
      <c r="AK339" s="17">
        <v>0.17899999999999999</v>
      </c>
      <c r="AL339" s="17">
        <v>1.3505</v>
      </c>
      <c r="AM339" s="17">
        <v>1.4529000000000001</v>
      </c>
      <c r="AN339" s="17">
        <v>0.8498</v>
      </c>
      <c r="AO339" s="17">
        <v>1.4862</v>
      </c>
      <c r="AP339" s="17">
        <v>0.3579</v>
      </c>
      <c r="AQ339" s="17">
        <v>0.26889999999999997</v>
      </c>
      <c r="AR339" s="17">
        <v>0.61660000000000004</v>
      </c>
      <c r="AS339" s="17">
        <v>0.2661</v>
      </c>
      <c r="AT339" s="17">
        <v>0.32640000000000002</v>
      </c>
      <c r="AU339" s="17">
        <v>0.30930000000000002</v>
      </c>
      <c r="AV339" s="17">
        <v>0.11070000000000001</v>
      </c>
      <c r="AW339" s="17">
        <v>0.14299999999999999</v>
      </c>
      <c r="AX339" s="17">
        <v>0.2253</v>
      </c>
    </row>
    <row r="340" spans="1:50" x14ac:dyDescent="0.25">
      <c r="A340" s="8" t="s">
        <v>386</v>
      </c>
      <c r="B340" s="10" t="s">
        <v>57</v>
      </c>
      <c r="C340" s="18">
        <v>4.4999999999999998E-2</v>
      </c>
      <c r="D340" s="18">
        <v>0.2389</v>
      </c>
      <c r="E340" s="18">
        <v>0.1</v>
      </c>
      <c r="F340" s="18">
        <v>0.1265</v>
      </c>
      <c r="G340" s="18">
        <v>4.4999999999999998E-2</v>
      </c>
      <c r="H340" s="18">
        <v>0.2412</v>
      </c>
      <c r="I340" s="18">
        <v>9.2899999999999996E-2</v>
      </c>
      <c r="J340" s="18">
        <v>0.16700000000000001</v>
      </c>
      <c r="K340" s="18">
        <v>8.09E-2</v>
      </c>
      <c r="L340" s="18">
        <v>0.124</v>
      </c>
      <c r="M340" s="18">
        <v>0.21010000000000001</v>
      </c>
      <c r="N340" s="18">
        <v>4.4999999999999998E-2</v>
      </c>
      <c r="O340" s="18">
        <v>0.22420000000000001</v>
      </c>
      <c r="P340" s="18">
        <v>7.85E-2</v>
      </c>
      <c r="Q340" s="18">
        <v>0.19819999999999999</v>
      </c>
      <c r="R340" s="18">
        <v>0.13600000000000001</v>
      </c>
      <c r="S340" s="18">
        <v>9.7699999999999995E-2</v>
      </c>
      <c r="T340" s="18">
        <v>6.83E-2</v>
      </c>
      <c r="U340" s="18">
        <v>0.22689999999999999</v>
      </c>
      <c r="V340" s="18">
        <v>0.13250000000000001</v>
      </c>
      <c r="W340" s="18">
        <v>0.21310000000000001</v>
      </c>
      <c r="X340" s="18">
        <v>0.83260000000000001</v>
      </c>
      <c r="Y340" s="18">
        <v>0.3795</v>
      </c>
      <c r="Z340" s="18">
        <v>0.24199999999999999</v>
      </c>
      <c r="AA340" s="18">
        <v>0.28839999999999999</v>
      </c>
      <c r="AB340" s="18">
        <v>0.13089999999999999</v>
      </c>
      <c r="AC340" s="18">
        <v>1.4995000000000001</v>
      </c>
      <c r="AD340" s="18">
        <v>0.1447</v>
      </c>
      <c r="AE340" s="18">
        <v>0.14549999999999999</v>
      </c>
      <c r="AF340" s="18">
        <v>0.1024</v>
      </c>
      <c r="AG340" s="18">
        <v>0.1336</v>
      </c>
      <c r="AH340" s="18">
        <v>0.2006</v>
      </c>
      <c r="AI340" s="18">
        <v>9.7699999999999995E-2</v>
      </c>
      <c r="AJ340" s="18">
        <v>0.17899999999999999</v>
      </c>
      <c r="AK340" s="18">
        <v>0.1024</v>
      </c>
      <c r="AL340" s="18">
        <v>0.1313</v>
      </c>
      <c r="AM340" s="18">
        <v>0.1024</v>
      </c>
      <c r="AN340" s="18">
        <v>0.23169999999999999</v>
      </c>
      <c r="AO340" s="18">
        <v>4.4999999999999998E-2</v>
      </c>
      <c r="AP340" s="18">
        <v>0.23419999999999999</v>
      </c>
      <c r="AQ340" s="18">
        <v>0.2913</v>
      </c>
      <c r="AR340" s="18">
        <v>4.4999999999999998E-2</v>
      </c>
      <c r="AS340" s="18">
        <v>4.4999999999999998E-2</v>
      </c>
      <c r="AT340" s="18">
        <v>0.214</v>
      </c>
      <c r="AU340" s="18">
        <v>0.39739999999999998</v>
      </c>
      <c r="AV340" s="18">
        <v>0.68430000000000002</v>
      </c>
      <c r="AW340" s="18">
        <v>1.0241</v>
      </c>
      <c r="AX340" s="18">
        <v>0.34899999999999998</v>
      </c>
    </row>
    <row r="341" spans="1:50" x14ac:dyDescent="0.25">
      <c r="A341" s="16" t="s">
        <v>803</v>
      </c>
      <c r="B341" s="13" t="s">
        <v>464</v>
      </c>
      <c r="C341" s="17">
        <v>0.22120000000000001</v>
      </c>
      <c r="D341" s="17">
        <v>0.35310000000000002</v>
      </c>
      <c r="E341" s="17">
        <v>0.05</v>
      </c>
      <c r="F341" s="17">
        <v>0.16769999999999999</v>
      </c>
      <c r="G341" s="17">
        <v>0.1734</v>
      </c>
      <c r="H341" s="17">
        <v>6.0600000000000001E-2</v>
      </c>
      <c r="I341" s="17">
        <v>0.23749999999999999</v>
      </c>
      <c r="J341" s="17">
        <v>9.2899999999999996E-2</v>
      </c>
      <c r="K341" s="17">
        <v>6.8400000000000002E-2</v>
      </c>
      <c r="L341" s="17">
        <v>0.16650000000000001</v>
      </c>
      <c r="M341" s="17">
        <v>0.05</v>
      </c>
      <c r="N341" s="17">
        <v>0.18490000000000001</v>
      </c>
      <c r="O341" s="17">
        <v>0.05</v>
      </c>
      <c r="P341" s="17">
        <v>0.26040000000000002</v>
      </c>
      <c r="Q341" s="17">
        <v>8.0699999999999994E-2</v>
      </c>
      <c r="R341" s="17">
        <v>0.11899999999999999</v>
      </c>
      <c r="S341" s="17">
        <v>0.222</v>
      </c>
      <c r="T341" s="17">
        <v>0.05</v>
      </c>
      <c r="U341" s="17">
        <v>0.15620000000000001</v>
      </c>
      <c r="V341" s="17">
        <v>0.215</v>
      </c>
      <c r="W341" s="17">
        <v>1.4153</v>
      </c>
      <c r="X341" s="17">
        <v>0.24879999999999999</v>
      </c>
      <c r="Y341" s="17">
        <v>0.2172</v>
      </c>
      <c r="Z341" s="17">
        <v>0.34210000000000002</v>
      </c>
      <c r="AA341" s="17">
        <v>0.3044</v>
      </c>
      <c r="AB341" s="17">
        <v>0.1118</v>
      </c>
      <c r="AC341" s="17">
        <v>0.2006</v>
      </c>
      <c r="AD341" s="17">
        <v>0.157</v>
      </c>
      <c r="AE341" s="17">
        <v>0.1968</v>
      </c>
      <c r="AF341" s="17">
        <v>0.2462</v>
      </c>
      <c r="AG341" s="17">
        <v>0.29970000000000002</v>
      </c>
      <c r="AH341" s="17">
        <v>0.29599999999999999</v>
      </c>
      <c r="AI341" s="17">
        <v>0.25879999999999997</v>
      </c>
      <c r="AJ341" s="17">
        <v>0.3301</v>
      </c>
      <c r="AK341" s="17">
        <v>0.22289999999999999</v>
      </c>
      <c r="AL341" s="17">
        <v>0.23100000000000001</v>
      </c>
      <c r="AM341" s="17">
        <v>9.7799999999999998E-2</v>
      </c>
      <c r="AN341" s="17">
        <v>0.12889999999999999</v>
      </c>
      <c r="AO341" s="17">
        <v>0.2122</v>
      </c>
      <c r="AP341" s="17">
        <v>6.2300000000000001E-2</v>
      </c>
      <c r="AQ341" s="17">
        <v>0.1885</v>
      </c>
      <c r="AR341" s="17">
        <v>0.14030000000000001</v>
      </c>
      <c r="AS341" s="17">
        <v>8.0699999999999994E-2</v>
      </c>
      <c r="AT341" s="17">
        <v>0.26040000000000002</v>
      </c>
      <c r="AU341" s="17">
        <v>0.05</v>
      </c>
      <c r="AV341" s="17">
        <v>0.2253</v>
      </c>
      <c r="AW341" s="17">
        <v>0.1158</v>
      </c>
      <c r="AX341" s="17">
        <v>0.11899999999999999</v>
      </c>
    </row>
    <row r="342" spans="1:50" x14ac:dyDescent="0.25">
      <c r="A342" s="16" t="s">
        <v>805</v>
      </c>
      <c r="B342" s="13" t="s">
        <v>464</v>
      </c>
      <c r="C342" s="17">
        <v>0.1915</v>
      </c>
      <c r="D342" s="17">
        <v>0.1234</v>
      </c>
      <c r="E342" s="17">
        <v>5.6000000000000001E-2</v>
      </c>
      <c r="F342" s="17">
        <v>5.6000000000000001E-2</v>
      </c>
      <c r="G342" s="17">
        <v>5.6000000000000001E-2</v>
      </c>
      <c r="H342" s="17">
        <v>0.12740000000000001</v>
      </c>
      <c r="I342" s="17">
        <v>5.6000000000000001E-2</v>
      </c>
      <c r="J342" s="17">
        <v>0.12740000000000001</v>
      </c>
      <c r="K342" s="17">
        <v>5.6000000000000001E-2</v>
      </c>
      <c r="L342" s="17">
        <v>5.6000000000000001E-2</v>
      </c>
      <c r="M342" s="17">
        <v>5.6000000000000001E-2</v>
      </c>
      <c r="N342" s="17">
        <v>0.1075</v>
      </c>
      <c r="O342" s="17">
        <v>7.5800000000000006E-2</v>
      </c>
      <c r="P342" s="17">
        <v>5.6000000000000001E-2</v>
      </c>
      <c r="Q342" s="17">
        <v>0.12740000000000001</v>
      </c>
      <c r="R342" s="17">
        <v>5.6000000000000001E-2</v>
      </c>
      <c r="S342" s="17">
        <v>0.1009</v>
      </c>
      <c r="T342" s="17">
        <v>9.0700000000000003E-2</v>
      </c>
      <c r="U342" s="17">
        <v>0.15479999999999999</v>
      </c>
      <c r="V342" s="17">
        <v>0.1547</v>
      </c>
      <c r="W342" s="17">
        <v>0.11269999999999999</v>
      </c>
      <c r="X342" s="17">
        <v>0.25740000000000002</v>
      </c>
      <c r="Y342" s="17">
        <v>7.4800000000000005E-2</v>
      </c>
      <c r="Z342" s="17">
        <v>0.1124</v>
      </c>
      <c r="AA342" s="17">
        <v>0.13780000000000001</v>
      </c>
      <c r="AB342" s="17">
        <v>0.1094</v>
      </c>
      <c r="AC342" s="17">
        <v>0.12690000000000001</v>
      </c>
      <c r="AD342" s="17">
        <v>8.3799999999999999E-2</v>
      </c>
      <c r="AE342" s="17">
        <v>9.9599999999999994E-2</v>
      </c>
      <c r="AF342" s="17">
        <v>0.06</v>
      </c>
      <c r="AG342" s="17">
        <v>0.1234</v>
      </c>
      <c r="AH342" s="17">
        <v>5.6000000000000001E-2</v>
      </c>
      <c r="AI342" s="17">
        <v>5.6000000000000001E-2</v>
      </c>
      <c r="AJ342" s="17">
        <v>0.1234</v>
      </c>
      <c r="AK342" s="17">
        <v>6.4199999999999993E-2</v>
      </c>
      <c r="AL342" s="17">
        <v>0.24579999999999999</v>
      </c>
      <c r="AM342" s="17">
        <v>0.1797</v>
      </c>
      <c r="AN342" s="17">
        <v>0.1328</v>
      </c>
      <c r="AO342" s="17">
        <v>0.14949999999999999</v>
      </c>
      <c r="AP342" s="17">
        <v>0.28010000000000002</v>
      </c>
      <c r="AQ342" s="17">
        <v>0.49790000000000001</v>
      </c>
      <c r="AR342" s="17">
        <v>0.36959999999999998</v>
      </c>
      <c r="AS342" s="17">
        <v>0.42180000000000001</v>
      </c>
      <c r="AT342" s="17">
        <v>0.60170000000000001</v>
      </c>
      <c r="AU342" s="17">
        <v>0.53369999999999995</v>
      </c>
      <c r="AV342" s="17">
        <v>0.56869999999999998</v>
      </c>
      <c r="AW342" s="17">
        <v>0.20649999999999999</v>
      </c>
      <c r="AX342" s="17">
        <v>0.153</v>
      </c>
    </row>
    <row r="343" spans="1:50" x14ac:dyDescent="0.25">
      <c r="A343" s="8" t="s">
        <v>388</v>
      </c>
      <c r="B343" s="10" t="s">
        <v>57</v>
      </c>
      <c r="C343" s="18">
        <v>0.15409999999999999</v>
      </c>
      <c r="D343" s="18">
        <v>0.16520000000000001</v>
      </c>
      <c r="E343" s="18">
        <v>0.19189999999999999</v>
      </c>
      <c r="F343" s="18">
        <v>7.2400000000000006E-2</v>
      </c>
      <c r="G343" s="18">
        <v>0.28470000000000001</v>
      </c>
      <c r="H343" s="18">
        <v>4.8000000000000001E-2</v>
      </c>
      <c r="I343" s="18">
        <v>0.1812</v>
      </c>
      <c r="J343" s="18">
        <v>0.1759</v>
      </c>
      <c r="K343" s="18">
        <v>0.115</v>
      </c>
      <c r="L343" s="18">
        <v>0.13819999999999999</v>
      </c>
      <c r="M343" s="18">
        <v>0.15190000000000001</v>
      </c>
      <c r="N343" s="18">
        <v>0.1333</v>
      </c>
      <c r="O343" s="18">
        <v>4.8000000000000001E-2</v>
      </c>
      <c r="P343" s="18">
        <v>0.1119</v>
      </c>
      <c r="Q343" s="18">
        <v>0.2452</v>
      </c>
      <c r="R343" s="18">
        <v>4.8000000000000001E-2</v>
      </c>
      <c r="S343" s="18">
        <v>0.1055</v>
      </c>
      <c r="T343" s="18">
        <v>8.4500000000000006E-2</v>
      </c>
      <c r="U343" s="18">
        <v>0.2233</v>
      </c>
      <c r="V343" s="18">
        <v>0.24970000000000001</v>
      </c>
      <c r="W343" s="18">
        <v>6.4000000000000001E-2</v>
      </c>
      <c r="X343" s="18">
        <v>0.2079</v>
      </c>
      <c r="Y343" s="18">
        <v>4.8000000000000001E-2</v>
      </c>
      <c r="Z343" s="18">
        <v>0.1784</v>
      </c>
      <c r="AA343" s="18">
        <v>0.24970000000000001</v>
      </c>
      <c r="AB343" s="18">
        <v>8.6999999999999994E-2</v>
      </c>
      <c r="AC343" s="18">
        <v>0.1537</v>
      </c>
      <c r="AD343" s="18">
        <v>0.36759999999999998</v>
      </c>
      <c r="AE343" s="18">
        <v>0.28839999999999999</v>
      </c>
      <c r="AF343" s="18">
        <v>0.1419</v>
      </c>
      <c r="AG343" s="18">
        <v>0.21990000000000001</v>
      </c>
      <c r="AH343" s="18">
        <v>8.7900000000000006E-2</v>
      </c>
      <c r="AI343" s="18">
        <v>0.32279999999999998</v>
      </c>
      <c r="AJ343" s="18">
        <v>0.25679999999999997</v>
      </c>
      <c r="AK343" s="18">
        <v>0.35639999999999999</v>
      </c>
      <c r="AL343" s="18">
        <v>0.3397</v>
      </c>
      <c r="AM343" s="18">
        <v>0.46689999999999998</v>
      </c>
      <c r="AN343" s="18">
        <v>0.73219999999999996</v>
      </c>
      <c r="AO343" s="18">
        <v>0.2445</v>
      </c>
      <c r="AP343" s="18">
        <v>0.79120000000000001</v>
      </c>
      <c r="AQ343" s="18">
        <v>0.50749999999999995</v>
      </c>
      <c r="AR343" s="18">
        <v>0.94489999999999996</v>
      </c>
      <c r="AS343" s="18">
        <v>0.50390000000000001</v>
      </c>
      <c r="AT343" s="18">
        <v>0.64729999999999999</v>
      </c>
      <c r="AU343" s="18">
        <v>0.7359</v>
      </c>
      <c r="AV343" s="18">
        <v>0.57210000000000005</v>
      </c>
      <c r="AW343" s="18">
        <v>0.72729999999999995</v>
      </c>
      <c r="AX343" s="18">
        <v>0.64219999999999999</v>
      </c>
    </row>
    <row r="344" spans="1:50" x14ac:dyDescent="0.25">
      <c r="A344" s="16" t="s">
        <v>807</v>
      </c>
      <c r="B344" s="13" t="s">
        <v>464</v>
      </c>
      <c r="C344" s="17">
        <v>0.15290000000000001</v>
      </c>
      <c r="D344" s="17">
        <v>0.2676</v>
      </c>
      <c r="E344" s="17">
        <v>8.3500000000000005E-2</v>
      </c>
      <c r="F344" s="17">
        <v>0.1167</v>
      </c>
      <c r="G344" s="17">
        <v>5.7000000000000002E-2</v>
      </c>
      <c r="H344" s="17">
        <v>0.27860000000000001</v>
      </c>
      <c r="I344" s="17">
        <v>8.72E-2</v>
      </c>
      <c r="J344" s="17">
        <v>0.30909999999999999</v>
      </c>
      <c r="K344" s="17">
        <v>0.1406</v>
      </c>
      <c r="L344" s="17">
        <v>8.09E-2</v>
      </c>
      <c r="M344" s="17">
        <v>0.3805</v>
      </c>
      <c r="N344" s="17">
        <v>0.1198</v>
      </c>
      <c r="O344" s="17">
        <v>0.1462</v>
      </c>
      <c r="P344" s="17">
        <v>0.18459999999999999</v>
      </c>
      <c r="Q344" s="17">
        <v>0.12820000000000001</v>
      </c>
      <c r="R344" s="17">
        <v>0.16059999999999999</v>
      </c>
      <c r="S344" s="17">
        <v>1.4699</v>
      </c>
      <c r="T344" s="17">
        <v>0.44019999999999998</v>
      </c>
      <c r="U344" s="17">
        <v>9.1600000000000001E-2</v>
      </c>
      <c r="V344" s="17">
        <v>0.373</v>
      </c>
      <c r="W344" s="17">
        <v>7.5600000000000001E-2</v>
      </c>
      <c r="X344" s="17">
        <v>1.3815999999999999</v>
      </c>
      <c r="Y344" s="17">
        <v>0.1391</v>
      </c>
      <c r="Z344" s="17">
        <v>0.60209999999999997</v>
      </c>
      <c r="AA344" s="17">
        <v>1.2178</v>
      </c>
      <c r="AB344" s="17">
        <v>0.73370000000000002</v>
      </c>
      <c r="AC344" s="17">
        <v>1.1142000000000001</v>
      </c>
      <c r="AD344" s="17">
        <v>0.1517</v>
      </c>
      <c r="AE344" s="17">
        <v>0.33789999999999998</v>
      </c>
      <c r="AF344" s="17">
        <v>1.4759</v>
      </c>
      <c r="AG344" s="17">
        <v>0.37709999999999999</v>
      </c>
      <c r="AH344" s="17">
        <v>0.35970000000000002</v>
      </c>
      <c r="AI344" s="17">
        <v>5.2999999999999999E-2</v>
      </c>
      <c r="AJ344" s="17">
        <v>0.22520000000000001</v>
      </c>
      <c r="AK344" s="17">
        <v>0.17960000000000001</v>
      </c>
      <c r="AL344" s="17">
        <v>0.18090000000000001</v>
      </c>
      <c r="AM344" s="17">
        <v>0.19719999999999999</v>
      </c>
      <c r="AN344" s="17">
        <v>0.1323</v>
      </c>
      <c r="AO344" s="17">
        <v>0.2258</v>
      </c>
      <c r="AP344" s="17">
        <v>0.19789999999999999</v>
      </c>
      <c r="AQ344" s="17">
        <v>0.18090000000000001</v>
      </c>
      <c r="AR344" s="17">
        <v>0.23580000000000001</v>
      </c>
      <c r="AS344" s="17">
        <v>0.11269999999999999</v>
      </c>
      <c r="AT344" s="17">
        <v>0.1862</v>
      </c>
      <c r="AU344" s="17">
        <v>0.12470000000000001</v>
      </c>
      <c r="AV344" s="17">
        <v>0.28249999999999997</v>
      </c>
      <c r="AW344" s="17">
        <v>0.1222</v>
      </c>
      <c r="AX344" s="17">
        <v>7.2900000000000006E-2</v>
      </c>
    </row>
    <row r="345" spans="1:50" x14ac:dyDescent="0.25">
      <c r="A345" s="8" t="s">
        <v>390</v>
      </c>
      <c r="B345" s="10" t="s">
        <v>57</v>
      </c>
      <c r="C345" s="18">
        <v>0.36849999999999999</v>
      </c>
      <c r="D345" s="18">
        <v>0.52759999999999996</v>
      </c>
      <c r="E345" s="18">
        <v>0.3931</v>
      </c>
      <c r="F345" s="18">
        <v>0.89880000000000004</v>
      </c>
      <c r="G345" s="18">
        <v>0.74139999999999995</v>
      </c>
      <c r="H345" s="18">
        <v>0.1857</v>
      </c>
      <c r="I345" s="18">
        <v>6.9900000000000004E-2</v>
      </c>
      <c r="J345" s="18">
        <v>0.2155</v>
      </c>
      <c r="K345" s="18">
        <v>0.14069999999999999</v>
      </c>
      <c r="L345" s="18">
        <v>0.17050000000000001</v>
      </c>
      <c r="M345" s="18">
        <v>0.1857</v>
      </c>
      <c r="N345" s="18">
        <v>0.1217</v>
      </c>
      <c r="O345" s="18">
        <v>0.1895</v>
      </c>
      <c r="P345" s="18">
        <v>0.1021</v>
      </c>
      <c r="Q345" s="18">
        <v>0.13600000000000001</v>
      </c>
      <c r="R345" s="18">
        <v>0.22020000000000001</v>
      </c>
      <c r="S345" s="18">
        <v>5.7000000000000002E-2</v>
      </c>
      <c r="T345" s="18">
        <v>0.22839999999999999</v>
      </c>
      <c r="U345" s="18">
        <v>0.1278</v>
      </c>
      <c r="V345" s="18">
        <v>0.27189999999999998</v>
      </c>
      <c r="W345" s="18">
        <v>0.3669</v>
      </c>
      <c r="X345" s="18">
        <v>0.1709</v>
      </c>
      <c r="Y345" s="18">
        <v>0.1986</v>
      </c>
      <c r="Z345" s="18">
        <v>0.15759999999999999</v>
      </c>
      <c r="AA345" s="18">
        <v>0.1729</v>
      </c>
      <c r="AB345" s="18">
        <v>0.1474</v>
      </c>
      <c r="AC345" s="18">
        <v>0.2109</v>
      </c>
      <c r="AD345" s="18">
        <v>0.45029999999999998</v>
      </c>
      <c r="AE345" s="18">
        <v>1.0682</v>
      </c>
      <c r="AF345" s="18">
        <v>1.6791</v>
      </c>
      <c r="AG345" s="18">
        <v>0.4718</v>
      </c>
      <c r="AH345" s="18">
        <v>1.2665</v>
      </c>
      <c r="AI345" s="18">
        <v>2.8557000000000001</v>
      </c>
      <c r="AJ345" s="18">
        <v>2.4253999999999998</v>
      </c>
      <c r="AK345" s="18">
        <v>0.20799999999999999</v>
      </c>
      <c r="AL345" s="18">
        <v>0.27210000000000001</v>
      </c>
      <c r="AM345" s="18">
        <v>9.1399999999999995E-2</v>
      </c>
      <c r="AN345" s="18">
        <v>0.13600000000000001</v>
      </c>
      <c r="AO345" s="18">
        <v>5.7000000000000002E-2</v>
      </c>
      <c r="AP345" s="18">
        <v>0.23480000000000001</v>
      </c>
      <c r="AQ345" s="18">
        <v>0.12139999999999999</v>
      </c>
      <c r="AR345" s="18">
        <v>7.6300000000000007E-2</v>
      </c>
      <c r="AS345" s="18">
        <v>0.20080000000000001</v>
      </c>
      <c r="AT345" s="18">
        <v>0.13600000000000001</v>
      </c>
      <c r="AU345" s="18">
        <v>0.1021</v>
      </c>
      <c r="AV345" s="18">
        <v>0.25409999999999999</v>
      </c>
      <c r="AW345" s="18">
        <v>5.7000000000000002E-2</v>
      </c>
      <c r="AX345" s="18">
        <v>0.19020000000000001</v>
      </c>
    </row>
    <row r="346" spans="1:50" x14ac:dyDescent="0.25">
      <c r="A346" s="16" t="s">
        <v>809</v>
      </c>
      <c r="B346" s="13" t="s">
        <v>464</v>
      </c>
      <c r="C346" s="17">
        <v>5.8999999999999997E-2</v>
      </c>
      <c r="D346" s="17">
        <v>5.8999999999999997E-2</v>
      </c>
      <c r="E346" s="17">
        <v>0.2475</v>
      </c>
      <c r="F346" s="17">
        <v>0.495</v>
      </c>
      <c r="G346" s="17">
        <v>5.8999999999999997E-2</v>
      </c>
      <c r="H346" s="17">
        <v>5.8999999999999997E-2</v>
      </c>
      <c r="I346" s="17">
        <v>5.8999999999999997E-2</v>
      </c>
      <c r="J346" s="17">
        <v>5.8999999999999997E-2</v>
      </c>
      <c r="K346" s="17">
        <v>5.8999999999999997E-2</v>
      </c>
      <c r="L346" s="17">
        <v>5.8999999999999997E-2</v>
      </c>
      <c r="M346" s="17">
        <v>5.8999999999999997E-2</v>
      </c>
      <c r="N346" s="17">
        <v>5.8999999999999997E-2</v>
      </c>
      <c r="O346" s="17">
        <v>5.8999999999999997E-2</v>
      </c>
      <c r="P346" s="17">
        <v>5.8999999999999997E-2</v>
      </c>
      <c r="Q346" s="17">
        <v>5.8999999999999997E-2</v>
      </c>
      <c r="R346" s="17">
        <v>5.8999999999999997E-2</v>
      </c>
      <c r="S346" s="17">
        <v>5.8999999999999997E-2</v>
      </c>
      <c r="T346" s="17">
        <v>5.8999999999999997E-2</v>
      </c>
      <c r="U346" s="17">
        <v>5.8999999999999997E-2</v>
      </c>
      <c r="V346" s="17">
        <v>5.8999999999999997E-2</v>
      </c>
      <c r="W346" s="17">
        <v>5.8999999999999997E-2</v>
      </c>
      <c r="X346" s="17">
        <v>5.8999999999999997E-2</v>
      </c>
      <c r="Y346" s="17">
        <v>5.8999999999999997E-2</v>
      </c>
      <c r="Z346" s="17">
        <v>5.8999999999999997E-2</v>
      </c>
      <c r="AA346" s="17">
        <v>5.8999999999999997E-2</v>
      </c>
      <c r="AB346" s="17">
        <v>5.8999999999999997E-2</v>
      </c>
      <c r="AC346" s="17">
        <v>5.8999999999999997E-2</v>
      </c>
      <c r="AD346" s="17">
        <v>5.8999999999999997E-2</v>
      </c>
      <c r="AE346" s="17">
        <v>5.8999999999999997E-2</v>
      </c>
      <c r="AF346" s="17">
        <v>5.8999999999999997E-2</v>
      </c>
      <c r="AG346" s="17">
        <v>0.34970000000000001</v>
      </c>
      <c r="AH346" s="17">
        <v>0.27400000000000002</v>
      </c>
      <c r="AI346" s="17">
        <v>0.21329999999999999</v>
      </c>
      <c r="AJ346" s="17">
        <v>0.23469999999999999</v>
      </c>
      <c r="AK346" s="17">
        <v>0.64349999999999996</v>
      </c>
      <c r="AL346" s="17">
        <v>0.46660000000000001</v>
      </c>
      <c r="AM346" s="17">
        <v>0.44350000000000001</v>
      </c>
      <c r="AN346" s="17">
        <v>0.15479999999999999</v>
      </c>
      <c r="AO346" s="17">
        <v>0.20449999999999999</v>
      </c>
      <c r="AP346" s="17">
        <v>0.83940000000000003</v>
      </c>
      <c r="AQ346" s="17">
        <v>0.85189999999999999</v>
      </c>
      <c r="AR346" s="17">
        <v>0.56889999999999996</v>
      </c>
      <c r="AS346" s="17">
        <v>0.87980000000000003</v>
      </c>
      <c r="AT346" s="17">
        <v>1.052</v>
      </c>
      <c r="AU346" s="17">
        <v>0.88870000000000005</v>
      </c>
      <c r="AV346" s="17">
        <v>0.69359999999999999</v>
      </c>
      <c r="AW346" s="17">
        <v>0.90269999999999995</v>
      </c>
      <c r="AX346" s="17">
        <v>0.98480000000000001</v>
      </c>
    </row>
    <row r="347" spans="1:50" x14ac:dyDescent="0.25">
      <c r="A347" s="16" t="s">
        <v>811</v>
      </c>
      <c r="B347" s="13" t="s">
        <v>464</v>
      </c>
      <c r="C347" s="17">
        <v>0.23910000000000001</v>
      </c>
      <c r="D347" s="17">
        <v>0.28639999999999999</v>
      </c>
      <c r="E347" s="17">
        <v>0.36230000000000001</v>
      </c>
      <c r="F347" s="17">
        <v>0.34639999999999999</v>
      </c>
      <c r="G347" s="17">
        <v>0.28749999999999998</v>
      </c>
      <c r="H347" s="17">
        <v>0.18379999999999999</v>
      </c>
      <c r="I347" s="17">
        <v>0.2102</v>
      </c>
      <c r="J347" s="17">
        <v>4.9000000000000002E-2</v>
      </c>
      <c r="K347" s="17">
        <v>0.1575</v>
      </c>
      <c r="L347" s="17">
        <v>0.1235</v>
      </c>
      <c r="M347" s="17">
        <v>0.22770000000000001</v>
      </c>
      <c r="N347" s="17">
        <v>0.21940000000000001</v>
      </c>
      <c r="O347" s="17">
        <v>0.17460000000000001</v>
      </c>
      <c r="P347" s="17">
        <v>4.9000000000000002E-2</v>
      </c>
      <c r="Q347" s="17">
        <v>6.4500000000000002E-2</v>
      </c>
      <c r="R347" s="17">
        <v>0.31069999999999998</v>
      </c>
      <c r="S347" s="17">
        <v>6.7799999999999999E-2</v>
      </c>
      <c r="T347" s="17">
        <v>0.17230000000000001</v>
      </c>
      <c r="U347" s="17">
        <v>0.22520000000000001</v>
      </c>
      <c r="V347" s="17">
        <v>5.4600000000000003E-2</v>
      </c>
      <c r="W347" s="17">
        <v>0.20330000000000001</v>
      </c>
      <c r="X347" s="17">
        <v>0.19070000000000001</v>
      </c>
      <c r="Y347" s="17">
        <v>4.9000000000000002E-2</v>
      </c>
      <c r="Z347" s="17">
        <v>0.28270000000000001</v>
      </c>
      <c r="AA347" s="17">
        <v>1.7341</v>
      </c>
      <c r="AB347" s="17">
        <v>0.20100000000000001</v>
      </c>
      <c r="AC347" s="17">
        <v>0.24959999999999999</v>
      </c>
      <c r="AD347" s="17">
        <v>0.34510000000000002</v>
      </c>
      <c r="AE347" s="17">
        <v>4.9000000000000002E-2</v>
      </c>
      <c r="AF347" s="17">
        <v>0.22209999999999999</v>
      </c>
      <c r="AG347" s="17">
        <v>0.6663</v>
      </c>
      <c r="AH347" s="17">
        <v>0.95720000000000005</v>
      </c>
      <c r="AI347" s="17">
        <v>1.8108</v>
      </c>
      <c r="AJ347" s="17">
        <v>9.01E-2</v>
      </c>
      <c r="AK347" s="17">
        <v>0.15090000000000001</v>
      </c>
      <c r="AL347" s="17">
        <v>0.26140000000000002</v>
      </c>
      <c r="AM347" s="17">
        <v>0.1467</v>
      </c>
      <c r="AN347" s="17">
        <v>0.16869999999999999</v>
      </c>
      <c r="AO347" s="17">
        <v>0.30859999999999999</v>
      </c>
      <c r="AP347" s="17">
        <v>0.25340000000000001</v>
      </c>
      <c r="AQ347" s="17">
        <v>0.50519999999999998</v>
      </c>
      <c r="AR347" s="17">
        <v>0.28100000000000003</v>
      </c>
      <c r="AS347" s="17">
        <v>0.16070000000000001</v>
      </c>
      <c r="AT347" s="17">
        <v>1.0805</v>
      </c>
      <c r="AU347" s="17">
        <v>0.37019999999999997</v>
      </c>
      <c r="AV347" s="17">
        <v>0.36430000000000001</v>
      </c>
      <c r="AW347" s="17">
        <v>0.3372</v>
      </c>
      <c r="AX347" s="17">
        <v>0.4975</v>
      </c>
    </row>
    <row r="348" spans="1:50" x14ac:dyDescent="0.25">
      <c r="A348" s="16" t="s">
        <v>813</v>
      </c>
      <c r="B348" s="13" t="s">
        <v>464</v>
      </c>
      <c r="C348" s="17">
        <v>0.33179999999999998</v>
      </c>
      <c r="D348" s="17">
        <v>0.18099999999999999</v>
      </c>
      <c r="E348" s="17">
        <v>0.11559999999999999</v>
      </c>
      <c r="F348" s="17">
        <v>0.34870000000000001</v>
      </c>
      <c r="G348" s="17">
        <v>9.6500000000000002E-2</v>
      </c>
      <c r="H348" s="17">
        <v>0.1867</v>
      </c>
      <c r="I348" s="17">
        <v>0.3261</v>
      </c>
      <c r="J348" s="17">
        <v>4.8000000000000001E-2</v>
      </c>
      <c r="K348" s="17">
        <v>9.6500000000000002E-2</v>
      </c>
      <c r="L348" s="17">
        <v>0.2681</v>
      </c>
      <c r="M348" s="17">
        <v>0.23769999999999999</v>
      </c>
      <c r="N348" s="17">
        <v>0.14510000000000001</v>
      </c>
      <c r="O348" s="17">
        <v>0.12429999999999999</v>
      </c>
      <c r="P348" s="17">
        <v>0.1173</v>
      </c>
      <c r="Q348" s="17">
        <v>0.31919999999999998</v>
      </c>
      <c r="R348" s="17">
        <v>0.20660000000000001</v>
      </c>
      <c r="S348" s="17">
        <v>0.88400000000000001</v>
      </c>
      <c r="T348" s="17">
        <v>1.2908999999999999</v>
      </c>
      <c r="U348" s="17">
        <v>0.1173</v>
      </c>
      <c r="V348" s="17">
        <v>0.54549999999999998</v>
      </c>
      <c r="W348" s="17">
        <v>0.14069999999999999</v>
      </c>
      <c r="X348" s="17">
        <v>8.09E-2</v>
      </c>
      <c r="Y348" s="17">
        <v>0.3972</v>
      </c>
      <c r="Z348" s="17">
        <v>8.2699999999999996E-2</v>
      </c>
      <c r="AA348" s="17">
        <v>0.2339</v>
      </c>
      <c r="AB348" s="17">
        <v>0.27900000000000003</v>
      </c>
      <c r="AC348" s="17">
        <v>8.9599999999999999E-2</v>
      </c>
      <c r="AD348" s="17">
        <v>0.14510000000000001</v>
      </c>
      <c r="AE348" s="17">
        <v>0.24379999999999999</v>
      </c>
      <c r="AF348" s="17">
        <v>0.1303</v>
      </c>
      <c r="AG348" s="17">
        <v>0.20749999999999999</v>
      </c>
      <c r="AH348" s="17">
        <v>0.12429999999999999</v>
      </c>
      <c r="AI348" s="17">
        <v>0.27239999999999998</v>
      </c>
      <c r="AJ348" s="17">
        <v>0.2404</v>
      </c>
      <c r="AK348" s="17">
        <v>8.9099999999999999E-2</v>
      </c>
      <c r="AL348" s="17">
        <v>0.34050000000000002</v>
      </c>
      <c r="AM348" s="17">
        <v>0.13120000000000001</v>
      </c>
      <c r="AN348" s="17">
        <v>0.1867</v>
      </c>
      <c r="AO348" s="17">
        <v>0.9113</v>
      </c>
      <c r="AP348" s="17">
        <v>1.1169</v>
      </c>
      <c r="AQ348" s="17">
        <v>8.8599999999999998E-2</v>
      </c>
      <c r="AR348" s="17">
        <v>0.63690000000000002</v>
      </c>
      <c r="AS348" s="17">
        <v>0.2848</v>
      </c>
      <c r="AT348" s="17">
        <v>0.1061</v>
      </c>
      <c r="AU348" s="17">
        <v>0.2283</v>
      </c>
      <c r="AV348" s="17">
        <v>0.2291</v>
      </c>
      <c r="AW348" s="17">
        <v>0.17280000000000001</v>
      </c>
      <c r="AX348" s="17">
        <v>0.23300000000000001</v>
      </c>
    </row>
    <row r="349" spans="1:50" x14ac:dyDescent="0.25">
      <c r="A349" s="8" t="s">
        <v>392</v>
      </c>
      <c r="B349" s="10" t="s">
        <v>57</v>
      </c>
      <c r="C349" s="18">
        <v>0.20380000000000001</v>
      </c>
      <c r="D349" s="18">
        <v>0.2515</v>
      </c>
      <c r="E349" s="18">
        <v>0.17699999999999999</v>
      </c>
      <c r="F349" s="18">
        <v>0.12970000000000001</v>
      </c>
      <c r="G349" s="18">
        <v>0.32100000000000001</v>
      </c>
      <c r="H349" s="18">
        <v>0.13420000000000001</v>
      </c>
      <c r="I349" s="18">
        <v>0.29199999999999998</v>
      </c>
      <c r="J349" s="18">
        <v>0.16320000000000001</v>
      </c>
      <c r="K349" s="18">
        <v>8.1900000000000001E-2</v>
      </c>
      <c r="L349" s="18">
        <v>0.2898</v>
      </c>
      <c r="M349" s="18">
        <v>0.13750000000000001</v>
      </c>
      <c r="N349" s="18">
        <v>6.2899999999999998E-2</v>
      </c>
      <c r="O349" s="18">
        <v>0.39229999999999998</v>
      </c>
      <c r="P349" s="18">
        <v>8.0699999999999994E-2</v>
      </c>
      <c r="Q349" s="18">
        <v>0.14230000000000001</v>
      </c>
      <c r="R349" s="18">
        <v>0.49459999999999998</v>
      </c>
      <c r="S349" s="18">
        <v>0.17469999999999999</v>
      </c>
      <c r="T349" s="18">
        <v>0.10979999999999999</v>
      </c>
      <c r="U349" s="18">
        <v>0.43919999999999998</v>
      </c>
      <c r="V349" s="18">
        <v>0.248</v>
      </c>
      <c r="W349" s="18">
        <v>0.31519999999999998</v>
      </c>
      <c r="X349" s="18">
        <v>0.28960000000000002</v>
      </c>
      <c r="Y349" s="18">
        <v>0.11169999999999999</v>
      </c>
      <c r="Z349" s="18">
        <v>0.22989999999999999</v>
      </c>
      <c r="AA349" s="18">
        <v>0.1676</v>
      </c>
      <c r="AB349" s="18">
        <v>0.2074</v>
      </c>
      <c r="AC349" s="18">
        <v>0.54010000000000002</v>
      </c>
      <c r="AD349" s="18">
        <v>1.0435000000000001</v>
      </c>
      <c r="AE349" s="18">
        <v>0.62180000000000002</v>
      </c>
      <c r="AF349" s="18">
        <v>0.52080000000000004</v>
      </c>
      <c r="AG349" s="18">
        <v>0.35809999999999997</v>
      </c>
      <c r="AH349" s="18">
        <v>0.1525</v>
      </c>
      <c r="AI349" s="18">
        <v>0.31480000000000002</v>
      </c>
      <c r="AJ349" s="18">
        <v>9.8500000000000004E-2</v>
      </c>
      <c r="AK349" s="18">
        <v>0.1237</v>
      </c>
      <c r="AL349" s="18">
        <v>0.31809999999999999</v>
      </c>
      <c r="AM349" s="18">
        <v>6.7400000000000002E-2</v>
      </c>
      <c r="AN349" s="18">
        <v>0.29799999999999999</v>
      </c>
      <c r="AO349" s="18">
        <v>0.15720000000000001</v>
      </c>
      <c r="AP349" s="18">
        <v>5.3999999999999999E-2</v>
      </c>
      <c r="AQ349" s="18">
        <v>0.28760000000000002</v>
      </c>
      <c r="AR349" s="18">
        <v>5.3999999999999999E-2</v>
      </c>
      <c r="AS349" s="18">
        <v>0.33839999999999998</v>
      </c>
      <c r="AT349" s="18">
        <v>0.1168</v>
      </c>
      <c r="AU349" s="18">
        <v>0.21299999999999999</v>
      </c>
      <c r="AV349" s="18">
        <v>8.8800000000000004E-2</v>
      </c>
      <c r="AW349" s="18">
        <v>0.2039</v>
      </c>
      <c r="AX349" s="18">
        <v>0.17119999999999999</v>
      </c>
    </row>
    <row r="350" spans="1:50" x14ac:dyDescent="0.25">
      <c r="A350" s="16" t="s">
        <v>815</v>
      </c>
      <c r="B350" s="13" t="s">
        <v>464</v>
      </c>
      <c r="C350" s="17">
        <v>5.8000000000000003E-2</v>
      </c>
      <c r="D350" s="17">
        <v>0.15379999999999999</v>
      </c>
      <c r="E350" s="17">
        <v>5.8000000000000003E-2</v>
      </c>
      <c r="F350" s="17">
        <v>7.9299999999999995E-2</v>
      </c>
      <c r="G350" s="17">
        <v>0.13250000000000001</v>
      </c>
      <c r="H350" s="17">
        <v>5.8000000000000003E-2</v>
      </c>
      <c r="I350" s="17">
        <v>0.12720000000000001</v>
      </c>
      <c r="J350" s="17">
        <v>8.4599999999999995E-2</v>
      </c>
      <c r="K350" s="17">
        <v>5.8000000000000003E-2</v>
      </c>
      <c r="L350" s="17">
        <v>5.8000000000000003E-2</v>
      </c>
      <c r="M350" s="17">
        <v>5.8000000000000003E-2</v>
      </c>
      <c r="N350" s="17">
        <v>5.8000000000000003E-2</v>
      </c>
      <c r="O350" s="17">
        <v>5.8000000000000003E-2</v>
      </c>
      <c r="P350" s="17">
        <v>5.8000000000000003E-2</v>
      </c>
      <c r="Q350" s="17">
        <v>5.8000000000000003E-2</v>
      </c>
      <c r="R350" s="17">
        <v>0.6774</v>
      </c>
      <c r="S350" s="17">
        <v>0.1014</v>
      </c>
      <c r="T350" s="17">
        <v>5.8000000000000003E-2</v>
      </c>
      <c r="U350" s="17">
        <v>0.15379999999999999</v>
      </c>
      <c r="V350" s="17">
        <v>5.8000000000000003E-2</v>
      </c>
      <c r="W350" s="17">
        <v>5.8000000000000003E-2</v>
      </c>
      <c r="X350" s="17">
        <v>0.12189999999999999</v>
      </c>
      <c r="Y350" s="17">
        <v>8.9899999999999994E-2</v>
      </c>
      <c r="Z350" s="17">
        <v>0.13250000000000001</v>
      </c>
      <c r="AA350" s="17">
        <v>7.9299999999999995E-2</v>
      </c>
      <c r="AB350" s="17">
        <v>0.15379999999999999</v>
      </c>
      <c r="AC350" s="17">
        <v>5.8000000000000003E-2</v>
      </c>
      <c r="AD350" s="17">
        <v>0.14849999999999999</v>
      </c>
      <c r="AE350" s="17">
        <v>6.3299999999999995E-2</v>
      </c>
      <c r="AF350" s="17">
        <v>5.8000000000000003E-2</v>
      </c>
      <c r="AG350" s="17">
        <v>5.8000000000000003E-2</v>
      </c>
      <c r="AH350" s="17">
        <v>0.15379999999999999</v>
      </c>
      <c r="AI350" s="17">
        <v>6.5799999999999997E-2</v>
      </c>
      <c r="AJ350" s="17">
        <v>0.66569999999999996</v>
      </c>
      <c r="AK350" s="17">
        <v>0.92900000000000005</v>
      </c>
      <c r="AL350" s="17">
        <v>3.0564</v>
      </c>
      <c r="AM350" s="17">
        <v>1.2492000000000001</v>
      </c>
      <c r="AN350" s="17">
        <v>0.1047</v>
      </c>
      <c r="AO350" s="17">
        <v>0.38479999999999998</v>
      </c>
      <c r="AP350" s="17">
        <v>0.98960000000000004</v>
      </c>
      <c r="AQ350" s="17">
        <v>0.95079999999999998</v>
      </c>
      <c r="AR350" s="17">
        <v>0.96150000000000002</v>
      </c>
      <c r="AS350" s="17">
        <v>0.96689999999999998</v>
      </c>
      <c r="AT350" s="17">
        <v>1.5750999999999999</v>
      </c>
      <c r="AU350" s="17">
        <v>1.2931999999999999</v>
      </c>
      <c r="AV350" s="17">
        <v>0.58120000000000005</v>
      </c>
      <c r="AW350" s="17">
        <v>0.215</v>
      </c>
      <c r="AX350" s="17">
        <v>0.15379999999999999</v>
      </c>
    </row>
    <row r="351" spans="1:50" x14ac:dyDescent="0.25">
      <c r="A351" s="8" t="s">
        <v>394</v>
      </c>
      <c r="B351" s="10" t="s">
        <v>57</v>
      </c>
      <c r="C351" s="18">
        <v>0.14410000000000001</v>
      </c>
      <c r="D351" s="18">
        <v>0.24079999999999999</v>
      </c>
      <c r="E351" s="18">
        <v>9.3100000000000002E-2</v>
      </c>
      <c r="F351" s="18">
        <v>0.26919999999999999</v>
      </c>
      <c r="G351" s="18">
        <v>8.6999999999999994E-2</v>
      </c>
      <c r="H351" s="18">
        <v>8.8200000000000001E-2</v>
      </c>
      <c r="I351" s="18">
        <v>0.1762</v>
      </c>
      <c r="J351" s="18">
        <v>0.20760000000000001</v>
      </c>
      <c r="K351" s="18">
        <v>5.1999999999999998E-2</v>
      </c>
      <c r="L351" s="18">
        <v>0.1424</v>
      </c>
      <c r="M351" s="18">
        <v>0.2422</v>
      </c>
      <c r="N351" s="18">
        <v>8.7400000000000005E-2</v>
      </c>
      <c r="O351" s="18">
        <v>0.21240000000000001</v>
      </c>
      <c r="P351" s="18">
        <v>0.19109999999999999</v>
      </c>
      <c r="Q351" s="18">
        <v>0.27610000000000001</v>
      </c>
      <c r="R351" s="18">
        <v>0.1</v>
      </c>
      <c r="S351" s="18">
        <v>2.6082999999999998</v>
      </c>
      <c r="T351" s="18">
        <v>0.73839999999999995</v>
      </c>
      <c r="U351" s="18">
        <v>0.35780000000000001</v>
      </c>
      <c r="V351" s="18">
        <v>0.15440000000000001</v>
      </c>
      <c r="W351" s="18">
        <v>0.1265</v>
      </c>
      <c r="X351" s="18">
        <v>0.46360000000000001</v>
      </c>
      <c r="Y351" s="18">
        <v>0.15</v>
      </c>
      <c r="Z351" s="18">
        <v>0.36969999999999997</v>
      </c>
      <c r="AA351" s="18">
        <v>0.29120000000000001</v>
      </c>
      <c r="AB351" s="18">
        <v>6.6100000000000006E-2</v>
      </c>
      <c r="AC351" s="18">
        <v>0.122</v>
      </c>
      <c r="AD351" s="18">
        <v>0.2485</v>
      </c>
      <c r="AE351" s="18">
        <v>0.10150000000000001</v>
      </c>
      <c r="AF351" s="18">
        <v>7.46E-2</v>
      </c>
      <c r="AG351" s="18">
        <v>0.1198</v>
      </c>
      <c r="AH351" s="18">
        <v>0.20760000000000001</v>
      </c>
      <c r="AI351" s="18">
        <v>0.107</v>
      </c>
      <c r="AJ351" s="18">
        <v>0.30430000000000001</v>
      </c>
      <c r="AK351" s="18">
        <v>0.1085</v>
      </c>
      <c r="AL351" s="18">
        <v>0.18840000000000001</v>
      </c>
      <c r="AM351" s="18">
        <v>0.24229999999999999</v>
      </c>
      <c r="AN351" s="18">
        <v>0.30520000000000003</v>
      </c>
      <c r="AO351" s="18">
        <v>0.27539999999999998</v>
      </c>
      <c r="AP351" s="18">
        <v>0.44090000000000001</v>
      </c>
      <c r="AQ351" s="18">
        <v>0.2707</v>
      </c>
      <c r="AR351" s="18">
        <v>0.46650000000000003</v>
      </c>
      <c r="AS351" s="18">
        <v>0.63539999999999996</v>
      </c>
      <c r="AT351" s="18">
        <v>0.51290000000000002</v>
      </c>
      <c r="AU351" s="18">
        <v>0.44929999999999998</v>
      </c>
      <c r="AV351" s="18">
        <v>0.21260000000000001</v>
      </c>
      <c r="AW351" s="18">
        <v>0.159</v>
      </c>
      <c r="AX351" s="18">
        <v>0.30620000000000003</v>
      </c>
    </row>
    <row r="352" spans="1:50" x14ac:dyDescent="0.25">
      <c r="A352" s="16" t="s">
        <v>817</v>
      </c>
      <c r="B352" s="13" t="s">
        <v>464</v>
      </c>
      <c r="C352" s="17">
        <v>8.7599999999999997E-2</v>
      </c>
      <c r="D352" s="17">
        <v>0.24840000000000001</v>
      </c>
      <c r="E352" s="17">
        <v>0.21560000000000001</v>
      </c>
      <c r="F352" s="17">
        <v>0.21340000000000001</v>
      </c>
      <c r="G352" s="17">
        <v>0.107</v>
      </c>
      <c r="H352" s="17">
        <v>0.23230000000000001</v>
      </c>
      <c r="I352" s="17">
        <v>0.14180000000000001</v>
      </c>
      <c r="J352" s="17">
        <v>0.26919999999999999</v>
      </c>
      <c r="K352" s="17">
        <v>0.3493</v>
      </c>
      <c r="L352" s="17">
        <v>0.14230000000000001</v>
      </c>
      <c r="M352" s="17">
        <v>0.105</v>
      </c>
      <c r="N352" s="17">
        <v>0.3866</v>
      </c>
      <c r="O352" s="17">
        <v>0.06</v>
      </c>
      <c r="P352" s="17">
        <v>0.2979</v>
      </c>
      <c r="Q352" s="17">
        <v>0.1108</v>
      </c>
      <c r="R352" s="17">
        <v>0.26390000000000002</v>
      </c>
      <c r="S352" s="17">
        <v>0.18160000000000001</v>
      </c>
      <c r="T352" s="17">
        <v>0.27260000000000001</v>
      </c>
      <c r="U352" s="17">
        <v>0.1308</v>
      </c>
      <c r="V352" s="17">
        <v>0.2974</v>
      </c>
      <c r="W352" s="17">
        <v>0.19739999999999999</v>
      </c>
      <c r="X352" s="17">
        <v>1.6122000000000001</v>
      </c>
      <c r="Y352" s="17">
        <v>2.2364000000000002</v>
      </c>
      <c r="Z352" s="17">
        <v>2.7946</v>
      </c>
      <c r="AA352" s="17">
        <v>1.9350000000000001</v>
      </c>
      <c r="AB352" s="17">
        <v>0.18490000000000001</v>
      </c>
      <c r="AC352" s="17">
        <v>0.19439999999999999</v>
      </c>
      <c r="AD352" s="17">
        <v>0.15989999999999999</v>
      </c>
      <c r="AE352" s="17">
        <v>0.24399999999999999</v>
      </c>
      <c r="AF352" s="17">
        <v>0.23</v>
      </c>
      <c r="AG352" s="17">
        <v>7.7600000000000002E-2</v>
      </c>
      <c r="AH352" s="17">
        <v>0.29580000000000001</v>
      </c>
      <c r="AI352" s="17">
        <v>0.1958</v>
      </c>
      <c r="AJ352" s="17">
        <v>0.06</v>
      </c>
      <c r="AK352" s="17">
        <v>0.314</v>
      </c>
      <c r="AL352" s="17">
        <v>0.17760000000000001</v>
      </c>
      <c r="AM352" s="17">
        <v>0.2218</v>
      </c>
      <c r="AN352" s="17">
        <v>0.1711</v>
      </c>
      <c r="AO352" s="17">
        <v>1.1822999999999999</v>
      </c>
      <c r="AP352" s="17">
        <v>0.40920000000000001</v>
      </c>
      <c r="AQ352" s="17">
        <v>0.71009999999999995</v>
      </c>
      <c r="AR352" s="17">
        <v>0.57869999999999999</v>
      </c>
      <c r="AS352" s="17">
        <v>0.37140000000000001</v>
      </c>
      <c r="AT352" s="17">
        <v>0.33510000000000001</v>
      </c>
      <c r="AU352" s="17">
        <v>0.64200000000000002</v>
      </c>
      <c r="AV352" s="17">
        <v>0.4748</v>
      </c>
      <c r="AW352" s="17">
        <v>0.62549999999999994</v>
      </c>
      <c r="AX352" s="17">
        <v>0.34949999999999998</v>
      </c>
    </row>
    <row r="353" spans="1:50" x14ac:dyDescent="0.25">
      <c r="A353" s="16" t="s">
        <v>819</v>
      </c>
      <c r="B353" s="13" t="s">
        <v>464</v>
      </c>
      <c r="C353" s="17">
        <v>0.45290000000000002</v>
      </c>
      <c r="D353" s="17">
        <v>0.72109999999999996</v>
      </c>
      <c r="E353" s="17">
        <v>4.9000000000000002E-2</v>
      </c>
      <c r="F353" s="17">
        <v>0.1174</v>
      </c>
      <c r="G353" s="17">
        <v>0.17699999999999999</v>
      </c>
      <c r="H353" s="17">
        <v>4.9000000000000002E-2</v>
      </c>
      <c r="I353" s="17">
        <v>0.1062</v>
      </c>
      <c r="J353" s="17">
        <v>0.2492</v>
      </c>
      <c r="K353" s="17">
        <v>1.1200000000000001</v>
      </c>
      <c r="L353" s="17">
        <v>4.9000000000000002E-2</v>
      </c>
      <c r="M353" s="17">
        <v>0.129</v>
      </c>
      <c r="N353" s="17">
        <v>8.3299999999999999E-2</v>
      </c>
      <c r="O353" s="17">
        <v>0.19989999999999999</v>
      </c>
      <c r="P353" s="17">
        <v>0.37369999999999998</v>
      </c>
      <c r="Q353" s="17">
        <v>0.20039999999999999</v>
      </c>
      <c r="R353" s="17">
        <v>5.4699999999999999E-2</v>
      </c>
      <c r="S353" s="17">
        <v>0.15759999999999999</v>
      </c>
      <c r="T353" s="17">
        <v>0.1043</v>
      </c>
      <c r="U353" s="17">
        <v>0.53139999999999998</v>
      </c>
      <c r="V353" s="17">
        <v>1.0759000000000001</v>
      </c>
      <c r="W353" s="17">
        <v>0.89680000000000004</v>
      </c>
      <c r="X353" s="17">
        <v>0.29260000000000003</v>
      </c>
      <c r="Y353" s="17">
        <v>0.2218</v>
      </c>
      <c r="Z353" s="17">
        <v>6.3899999999999998E-2</v>
      </c>
      <c r="AA353" s="17">
        <v>0.31909999999999999</v>
      </c>
      <c r="AB353" s="17">
        <v>0.15329999999999999</v>
      </c>
      <c r="AC353" s="17">
        <v>0.1389</v>
      </c>
      <c r="AD353" s="17">
        <v>0.23080000000000001</v>
      </c>
      <c r="AE353" s="17">
        <v>0.43809999999999999</v>
      </c>
      <c r="AF353" s="17">
        <v>0.47370000000000001</v>
      </c>
      <c r="AG353" s="17">
        <v>0.40570000000000001</v>
      </c>
      <c r="AH353" s="17">
        <v>0.20300000000000001</v>
      </c>
      <c r="AI353" s="17">
        <v>0.20699999999999999</v>
      </c>
      <c r="AJ353" s="17">
        <v>0.37569999999999998</v>
      </c>
      <c r="AK353" s="17">
        <v>0.32900000000000001</v>
      </c>
      <c r="AL353" s="17">
        <v>0.70660000000000001</v>
      </c>
      <c r="AM353" s="17">
        <v>1.7498</v>
      </c>
      <c r="AN353" s="17">
        <v>0.21890000000000001</v>
      </c>
      <c r="AO353" s="17">
        <v>0.42749999999999999</v>
      </c>
      <c r="AP353" s="17">
        <v>0.42559999999999998</v>
      </c>
      <c r="AQ353" s="17">
        <v>0.68830000000000002</v>
      </c>
      <c r="AR353" s="17">
        <v>0.64090000000000003</v>
      </c>
      <c r="AS353" s="17">
        <v>0.48749999999999999</v>
      </c>
      <c r="AT353" s="17">
        <v>0.53739999999999999</v>
      </c>
      <c r="AU353" s="17">
        <v>0.48980000000000001</v>
      </c>
      <c r="AV353" s="17">
        <v>0.59530000000000005</v>
      </c>
      <c r="AW353" s="17">
        <v>0.58589999999999998</v>
      </c>
      <c r="AX353" s="17">
        <v>0.25080000000000002</v>
      </c>
    </row>
    <row r="354" spans="1:50" x14ac:dyDescent="0.25">
      <c r="A354" s="8" t="s">
        <v>396</v>
      </c>
      <c r="B354" s="10" t="s">
        <v>57</v>
      </c>
      <c r="C354" s="18">
        <v>0.19689999999999999</v>
      </c>
      <c r="D354" s="18">
        <v>0.123</v>
      </c>
      <c r="E354" s="18">
        <v>0.20610000000000001</v>
      </c>
      <c r="F354" s="18">
        <v>0.19550000000000001</v>
      </c>
      <c r="G354" s="18">
        <v>0.29730000000000001</v>
      </c>
      <c r="H354" s="18">
        <v>0.12239999999999999</v>
      </c>
      <c r="I354" s="18">
        <v>0.26069999999999999</v>
      </c>
      <c r="J354" s="18">
        <v>0.1028</v>
      </c>
      <c r="K354" s="18">
        <v>0.26650000000000001</v>
      </c>
      <c r="L354" s="18">
        <v>4.8000000000000001E-2</v>
      </c>
      <c r="M354" s="18">
        <v>0.24859999999999999</v>
      </c>
      <c r="N354" s="18">
        <v>0.2442</v>
      </c>
      <c r="O354" s="18">
        <v>0.17150000000000001</v>
      </c>
      <c r="P354" s="18">
        <v>0.19450000000000001</v>
      </c>
      <c r="Q354" s="18">
        <v>0.29830000000000001</v>
      </c>
      <c r="R354" s="18">
        <v>4.8000000000000001E-2</v>
      </c>
      <c r="S354" s="18">
        <v>0.30170000000000002</v>
      </c>
      <c r="T354" s="18">
        <v>1.1671</v>
      </c>
      <c r="U354" s="18">
        <v>0.3453</v>
      </c>
      <c r="V354" s="18">
        <v>0.1976</v>
      </c>
      <c r="W354" s="18">
        <v>0.24740000000000001</v>
      </c>
      <c r="X354" s="18">
        <v>0.29110000000000003</v>
      </c>
      <c r="Y354" s="18">
        <v>0.29730000000000001</v>
      </c>
      <c r="Z354" s="18">
        <v>0.24829999999999999</v>
      </c>
      <c r="AA354" s="18">
        <v>1.3149</v>
      </c>
      <c r="AB354" s="18">
        <v>0.2858</v>
      </c>
      <c r="AC354" s="18">
        <v>0.61550000000000005</v>
      </c>
      <c r="AD354" s="18">
        <v>0.46229999999999999</v>
      </c>
      <c r="AE354" s="18">
        <v>0.14580000000000001</v>
      </c>
      <c r="AF354" s="18">
        <v>0.29070000000000001</v>
      </c>
      <c r="AG354" s="18">
        <v>7.8899999999999998E-2</v>
      </c>
      <c r="AH354" s="18">
        <v>0.30230000000000001</v>
      </c>
      <c r="AI354" s="18">
        <v>0.16700000000000001</v>
      </c>
      <c r="AJ354" s="18">
        <v>0.14680000000000001</v>
      </c>
      <c r="AK354" s="18">
        <v>0.14319999999999999</v>
      </c>
      <c r="AL354" s="18">
        <v>0.40450000000000003</v>
      </c>
      <c r="AM354" s="18">
        <v>0.41749999999999998</v>
      </c>
      <c r="AN354" s="18">
        <v>0.48930000000000001</v>
      </c>
      <c r="AO354" s="18">
        <v>0.46439999999999998</v>
      </c>
      <c r="AP354" s="18">
        <v>0.4778</v>
      </c>
      <c r="AQ354" s="18">
        <v>0.66269999999999996</v>
      </c>
      <c r="AR354" s="18">
        <v>0.86280000000000001</v>
      </c>
      <c r="AS354" s="18">
        <v>0.61309999999999998</v>
      </c>
      <c r="AT354" s="18">
        <v>0.43159999999999998</v>
      </c>
      <c r="AU354" s="18">
        <v>1.5221</v>
      </c>
      <c r="AV354" s="18">
        <v>0.54879999999999995</v>
      </c>
      <c r="AW354" s="18">
        <v>0.4713</v>
      </c>
      <c r="AX354" s="18">
        <v>0.36249999999999999</v>
      </c>
    </row>
    <row r="355" spans="1:50" x14ac:dyDescent="0.25">
      <c r="A355" s="16" t="s">
        <v>821</v>
      </c>
      <c r="B355" s="13" t="s">
        <v>464</v>
      </c>
      <c r="C355" s="17">
        <v>5.8000000000000003E-2</v>
      </c>
      <c r="D355" s="17">
        <v>0.21540000000000001</v>
      </c>
      <c r="E355" s="17">
        <v>0.1399</v>
      </c>
      <c r="F355" s="17">
        <v>0.14849999999999999</v>
      </c>
      <c r="G355" s="17">
        <v>0.15040000000000001</v>
      </c>
      <c r="H355" s="17">
        <v>4.4999999999999998E-2</v>
      </c>
      <c r="I355" s="17">
        <v>0.251</v>
      </c>
      <c r="J355" s="17">
        <v>8.2699999999999996E-2</v>
      </c>
      <c r="K355" s="17">
        <v>0.1757</v>
      </c>
      <c r="L355" s="17">
        <v>0.158</v>
      </c>
      <c r="M355" s="17">
        <v>0.11</v>
      </c>
      <c r="N355" s="17">
        <v>0.21609999999999999</v>
      </c>
      <c r="O355" s="17">
        <v>0.10879999999999999</v>
      </c>
      <c r="P355" s="17">
        <v>0.156</v>
      </c>
      <c r="Q355" s="17">
        <v>0.30819999999999997</v>
      </c>
      <c r="R355" s="17">
        <v>0.34539999999999998</v>
      </c>
      <c r="S355" s="17">
        <v>9.2600000000000002E-2</v>
      </c>
      <c r="T355" s="17">
        <v>0.40060000000000001</v>
      </c>
      <c r="U355" s="17">
        <v>9.5699999999999993E-2</v>
      </c>
      <c r="V355" s="17">
        <v>0.43030000000000002</v>
      </c>
      <c r="W355" s="17">
        <v>2.8929</v>
      </c>
      <c r="X355" s="17">
        <v>4.0690999999999997</v>
      </c>
      <c r="Y355" s="17">
        <v>0.37159999999999999</v>
      </c>
      <c r="Z355" s="17">
        <v>0.30120000000000002</v>
      </c>
      <c r="AA355" s="17">
        <v>0.18149999999999999</v>
      </c>
      <c r="AB355" s="17">
        <v>0.18049999999999999</v>
      </c>
      <c r="AC355" s="17">
        <v>8.3900000000000002E-2</v>
      </c>
      <c r="AD355" s="17">
        <v>0.46600000000000003</v>
      </c>
      <c r="AE355" s="17">
        <v>0.1951</v>
      </c>
      <c r="AF355" s="17">
        <v>0.1973</v>
      </c>
      <c r="AG355" s="17">
        <v>0.29630000000000001</v>
      </c>
      <c r="AH355" s="17">
        <v>6.1699999999999998E-2</v>
      </c>
      <c r="AI355" s="17">
        <v>0.115</v>
      </c>
      <c r="AJ355" s="17">
        <v>0.29249999999999998</v>
      </c>
      <c r="AK355" s="17">
        <v>0.34489999999999998</v>
      </c>
      <c r="AL355" s="17">
        <v>0.315</v>
      </c>
      <c r="AM355" s="17">
        <v>0.42970000000000003</v>
      </c>
      <c r="AN355" s="17">
        <v>0.67310000000000003</v>
      </c>
      <c r="AO355" s="17">
        <v>0.40260000000000001</v>
      </c>
      <c r="AP355" s="17">
        <v>0.81740000000000002</v>
      </c>
      <c r="AQ355" s="17">
        <v>0.5706</v>
      </c>
      <c r="AR355" s="17">
        <v>0.56089999999999995</v>
      </c>
      <c r="AS355" s="17">
        <v>1.0507</v>
      </c>
      <c r="AT355" s="17">
        <v>0.70909999999999995</v>
      </c>
      <c r="AU355" s="17">
        <v>1.0105999999999999</v>
      </c>
      <c r="AV355" s="17">
        <v>0.85019999999999996</v>
      </c>
      <c r="AW355" s="17">
        <v>0.87039999999999995</v>
      </c>
      <c r="AX355" s="17">
        <v>0.7288</v>
      </c>
    </row>
    <row r="356" spans="1:50" x14ac:dyDescent="0.25">
      <c r="A356" s="8" t="s">
        <v>398</v>
      </c>
      <c r="B356" s="10" t="s">
        <v>57</v>
      </c>
      <c r="C356" s="18">
        <v>0.20619999999999999</v>
      </c>
      <c r="D356" s="18">
        <v>7.0999999999999994E-2</v>
      </c>
      <c r="E356" s="18">
        <v>0.1245</v>
      </c>
      <c r="F356" s="18">
        <v>0.22120000000000001</v>
      </c>
      <c r="G356" s="18">
        <v>5.6000000000000001E-2</v>
      </c>
      <c r="H356" s="18">
        <v>0.1837</v>
      </c>
      <c r="I356" s="18">
        <v>9.3600000000000003E-2</v>
      </c>
      <c r="J356" s="18">
        <v>0.10920000000000001</v>
      </c>
      <c r="K356" s="18">
        <v>0.2366</v>
      </c>
      <c r="L356" s="18">
        <v>5.6000000000000001E-2</v>
      </c>
      <c r="M356" s="18">
        <v>5.6000000000000001E-2</v>
      </c>
      <c r="N356" s="18">
        <v>0.11310000000000001</v>
      </c>
      <c r="O356" s="18">
        <v>0.1951</v>
      </c>
      <c r="P356" s="18">
        <v>9.3600000000000003E-2</v>
      </c>
      <c r="Q356" s="18">
        <v>0.1245</v>
      </c>
      <c r="R356" s="18">
        <v>0.15359999999999999</v>
      </c>
      <c r="S356" s="18">
        <v>0.19209999999999999</v>
      </c>
      <c r="T356" s="18">
        <v>0.1086</v>
      </c>
      <c r="U356" s="18">
        <v>0.16869999999999999</v>
      </c>
      <c r="V356" s="18">
        <v>5.6000000000000001E-2</v>
      </c>
      <c r="W356" s="18">
        <v>0.22120000000000001</v>
      </c>
      <c r="X356" s="18">
        <v>0.1245</v>
      </c>
      <c r="Y356" s="18">
        <v>0.2102</v>
      </c>
      <c r="Z356" s="18">
        <v>0.15010000000000001</v>
      </c>
      <c r="AA356" s="18">
        <v>7.85E-2</v>
      </c>
      <c r="AB356" s="18">
        <v>0.26719999999999999</v>
      </c>
      <c r="AC356" s="18">
        <v>5.6000000000000001E-2</v>
      </c>
      <c r="AD356" s="18">
        <v>0.22120000000000001</v>
      </c>
      <c r="AE356" s="18">
        <v>0.1207</v>
      </c>
      <c r="AF356" s="18">
        <v>0.13489999999999999</v>
      </c>
      <c r="AG356" s="18">
        <v>0.14610000000000001</v>
      </c>
      <c r="AH356" s="18">
        <v>0.1245</v>
      </c>
      <c r="AI356" s="18">
        <v>0.22120000000000001</v>
      </c>
      <c r="AJ356" s="18">
        <v>7.8799999999999995E-2</v>
      </c>
      <c r="AK356" s="18">
        <v>0.22939999999999999</v>
      </c>
      <c r="AL356" s="18">
        <v>0.1111</v>
      </c>
      <c r="AM356" s="18">
        <v>0.2172</v>
      </c>
      <c r="AN356" s="18">
        <v>0.21920000000000001</v>
      </c>
      <c r="AO356" s="18">
        <v>0.32090000000000002</v>
      </c>
      <c r="AP356" s="18">
        <v>0.34310000000000002</v>
      </c>
      <c r="AQ356" s="18">
        <v>0.3085</v>
      </c>
      <c r="AR356" s="18">
        <v>0.32390000000000002</v>
      </c>
      <c r="AS356" s="18">
        <v>0.56969999999999998</v>
      </c>
      <c r="AT356" s="18">
        <v>0.67710000000000004</v>
      </c>
      <c r="AU356" s="18">
        <v>0.4264</v>
      </c>
      <c r="AV356" s="18">
        <v>0.1762</v>
      </c>
      <c r="AW356" s="18">
        <v>0.11310000000000001</v>
      </c>
      <c r="AX356" s="18">
        <v>0.21759999999999999</v>
      </c>
    </row>
    <row r="357" spans="1:50" x14ac:dyDescent="0.25">
      <c r="A357" s="16" t="s">
        <v>823</v>
      </c>
      <c r="B357" s="13" t="s">
        <v>464</v>
      </c>
      <c r="C357" s="17">
        <v>0.15260000000000001</v>
      </c>
      <c r="D357" s="17">
        <v>0.1</v>
      </c>
      <c r="E357" s="17">
        <v>5.3999999999999999E-2</v>
      </c>
      <c r="F357" s="17">
        <v>0.17879999999999999</v>
      </c>
      <c r="G357" s="17">
        <v>7.3700000000000002E-2</v>
      </c>
      <c r="H357" s="17">
        <v>5.3999999999999999E-2</v>
      </c>
      <c r="I357" s="17">
        <v>9.3399999999999997E-2</v>
      </c>
      <c r="J357" s="17">
        <v>0.15909999999999999</v>
      </c>
      <c r="K357" s="17">
        <v>5.3999999999999999E-2</v>
      </c>
      <c r="L357" s="17">
        <v>0.1328</v>
      </c>
      <c r="M357" s="17">
        <v>0.1197</v>
      </c>
      <c r="N357" s="17">
        <v>6.7100000000000007E-2</v>
      </c>
      <c r="O357" s="17">
        <v>0.18540000000000001</v>
      </c>
      <c r="P357" s="17">
        <v>5.3999999999999999E-2</v>
      </c>
      <c r="Q357" s="17">
        <v>0.19850000000000001</v>
      </c>
      <c r="R357" s="17">
        <v>5.3999999999999999E-2</v>
      </c>
      <c r="S357" s="17">
        <v>5.3999999999999999E-2</v>
      </c>
      <c r="T357" s="17">
        <v>0.19850000000000001</v>
      </c>
      <c r="U357" s="17">
        <v>5.3999999999999999E-2</v>
      </c>
      <c r="V357" s="17">
        <v>9.3899999999999997E-2</v>
      </c>
      <c r="W357" s="17">
        <v>0.19850000000000001</v>
      </c>
      <c r="X357" s="17">
        <v>5.3999999999999999E-2</v>
      </c>
      <c r="Y357" s="17">
        <v>0.21629999999999999</v>
      </c>
      <c r="Z357" s="17">
        <v>0.31159999999999999</v>
      </c>
      <c r="AA357" s="17">
        <v>0.121</v>
      </c>
      <c r="AB357" s="17">
        <v>0.34370000000000001</v>
      </c>
      <c r="AC357" s="17">
        <v>0.61739999999999995</v>
      </c>
      <c r="AD357" s="17">
        <v>1.0944</v>
      </c>
      <c r="AE357" s="17">
        <v>0.20130000000000001</v>
      </c>
      <c r="AF357" s="17">
        <v>0.15890000000000001</v>
      </c>
      <c r="AG357" s="17">
        <v>0.2923</v>
      </c>
      <c r="AH357" s="17">
        <v>1.5798000000000001</v>
      </c>
      <c r="AI357" s="17">
        <v>0.65590000000000004</v>
      </c>
      <c r="AJ357" s="17">
        <v>0.14680000000000001</v>
      </c>
      <c r="AK357" s="17">
        <v>0.61360000000000003</v>
      </c>
      <c r="AL357" s="17">
        <v>0.85829999999999995</v>
      </c>
      <c r="AM357" s="17">
        <v>0.19850000000000001</v>
      </c>
      <c r="AN357" s="17">
        <v>0.2046</v>
      </c>
      <c r="AO357" s="17">
        <v>0.56710000000000005</v>
      </c>
      <c r="AP357" s="17">
        <v>0.51170000000000004</v>
      </c>
      <c r="AQ357" s="17">
        <v>0.42920000000000003</v>
      </c>
      <c r="AR357" s="17">
        <v>0.62870000000000004</v>
      </c>
      <c r="AS357" s="17">
        <v>0.1024</v>
      </c>
      <c r="AT357" s="17">
        <v>9.3399999999999997E-2</v>
      </c>
      <c r="AU357" s="17">
        <v>0.15909999999999999</v>
      </c>
      <c r="AV357" s="17">
        <v>5.3999999999999999E-2</v>
      </c>
      <c r="AW357" s="17">
        <v>0.19850000000000001</v>
      </c>
      <c r="AX357" s="17">
        <v>5.3999999999999999E-2</v>
      </c>
    </row>
    <row r="358" spans="1:50" x14ac:dyDescent="0.25">
      <c r="A358" s="8" t="s">
        <v>400</v>
      </c>
      <c r="B358" s="10" t="s">
        <v>57</v>
      </c>
      <c r="C358" s="18">
        <v>5.3999999999999999E-2</v>
      </c>
      <c r="D358" s="18">
        <v>7.3099999999999998E-2</v>
      </c>
      <c r="E358" s="18">
        <v>0.1038</v>
      </c>
      <c r="F358" s="18">
        <v>5.3999999999999999E-2</v>
      </c>
      <c r="G358" s="18">
        <v>5.3999999999999999E-2</v>
      </c>
      <c r="H358" s="18">
        <v>0.1229</v>
      </c>
      <c r="I358" s="18">
        <v>5.3999999999999999E-2</v>
      </c>
      <c r="J358" s="18">
        <v>5.3999999999999999E-2</v>
      </c>
      <c r="K358" s="18">
        <v>0.1229</v>
      </c>
      <c r="L358" s="18">
        <v>5.3999999999999999E-2</v>
      </c>
      <c r="M358" s="18">
        <v>7.6999999999999999E-2</v>
      </c>
      <c r="N358" s="18">
        <v>0.1</v>
      </c>
      <c r="O358" s="18">
        <v>5.3999999999999999E-2</v>
      </c>
      <c r="P358" s="18">
        <v>0.1229</v>
      </c>
      <c r="Q358" s="18">
        <v>5.3999999999999999E-2</v>
      </c>
      <c r="R358" s="18">
        <v>5.3999999999999999E-2</v>
      </c>
      <c r="S358" s="18">
        <v>5.3999999999999999E-2</v>
      </c>
      <c r="T358" s="18">
        <v>0.12770000000000001</v>
      </c>
      <c r="U358" s="18">
        <v>6.8699999999999997E-2</v>
      </c>
      <c r="V358" s="18">
        <v>0.25790000000000002</v>
      </c>
      <c r="W358" s="18">
        <v>0.19159999999999999</v>
      </c>
      <c r="X358" s="18">
        <v>0.42420000000000002</v>
      </c>
      <c r="Y358" s="18">
        <v>0.15329999999999999</v>
      </c>
      <c r="Z358" s="18">
        <v>0.21190000000000001</v>
      </c>
      <c r="AA358" s="18">
        <v>5.3999999999999999E-2</v>
      </c>
      <c r="AB358" s="18">
        <v>0.33179999999999998</v>
      </c>
      <c r="AC358" s="18">
        <v>6.9099999999999995E-2</v>
      </c>
      <c r="AD358" s="18">
        <v>1.7571000000000001</v>
      </c>
      <c r="AE358" s="18">
        <v>0.83189999999999997</v>
      </c>
      <c r="AF358" s="18">
        <v>0.34110000000000001</v>
      </c>
      <c r="AG358" s="18">
        <v>7.0999999999999994E-2</v>
      </c>
      <c r="AH358" s="18">
        <v>0.1409</v>
      </c>
      <c r="AI358" s="18">
        <v>1.2843</v>
      </c>
      <c r="AJ358" s="18">
        <v>0.23089999999999999</v>
      </c>
      <c r="AK358" s="18">
        <v>1.2932999999999999</v>
      </c>
      <c r="AL358" s="18">
        <v>0.26840000000000003</v>
      </c>
      <c r="AM358" s="18">
        <v>1.1482000000000001</v>
      </c>
      <c r="AN358" s="18">
        <v>1.3834</v>
      </c>
      <c r="AO358" s="18">
        <v>1.1702999999999999</v>
      </c>
      <c r="AP358" s="18">
        <v>0.21390000000000001</v>
      </c>
      <c r="AQ358" s="18">
        <v>0.4556</v>
      </c>
      <c r="AR358" s="18">
        <v>0.3473</v>
      </c>
      <c r="AS358" s="18">
        <v>0.30880000000000002</v>
      </c>
      <c r="AT358" s="18">
        <v>0.39419999999999999</v>
      </c>
      <c r="AU358" s="18">
        <v>0.28720000000000001</v>
      </c>
      <c r="AV358" s="18">
        <v>0.46679999999999999</v>
      </c>
      <c r="AW358" s="18">
        <v>0.28460000000000002</v>
      </c>
      <c r="AX358" s="18">
        <v>0.57730000000000004</v>
      </c>
    </row>
    <row r="359" spans="1:50" x14ac:dyDescent="0.25">
      <c r="A359" s="8" t="s">
        <v>402</v>
      </c>
      <c r="B359" s="10" t="s">
        <v>57</v>
      </c>
      <c r="C359" s="18">
        <v>3.9E-2</v>
      </c>
      <c r="D359" s="18">
        <v>3.9E-2</v>
      </c>
      <c r="E359" s="18">
        <v>3.9E-2</v>
      </c>
      <c r="F359" s="18">
        <v>3.9E-2</v>
      </c>
      <c r="G359" s="18">
        <v>3.9E-2</v>
      </c>
      <c r="H359" s="18">
        <v>3.9E-2</v>
      </c>
      <c r="I359" s="18">
        <v>3.9E-2</v>
      </c>
      <c r="J359" s="18">
        <v>3.9E-2</v>
      </c>
      <c r="K359" s="18">
        <v>3.9E-2</v>
      </c>
      <c r="L359" s="18">
        <v>3.9E-2</v>
      </c>
      <c r="M359" s="18">
        <v>3.9E-2</v>
      </c>
      <c r="N359" s="18">
        <v>3.9E-2</v>
      </c>
      <c r="O359" s="18">
        <v>3.9E-2</v>
      </c>
      <c r="P359" s="18">
        <v>3.9E-2</v>
      </c>
      <c r="Q359" s="18">
        <v>3.9E-2</v>
      </c>
      <c r="R359" s="18">
        <v>3.9E-2</v>
      </c>
      <c r="S359" s="18">
        <v>3.9E-2</v>
      </c>
      <c r="T359" s="18">
        <v>3.9E-2</v>
      </c>
      <c r="U359" s="18">
        <v>3.9E-2</v>
      </c>
      <c r="V359" s="18">
        <v>3.9E-2</v>
      </c>
      <c r="W359" s="18">
        <v>0.2087</v>
      </c>
      <c r="X359" s="18">
        <v>0.45879999999999999</v>
      </c>
      <c r="Y359" s="18">
        <v>0.21809999999999999</v>
      </c>
      <c r="Z359" s="18">
        <v>0.32719999999999999</v>
      </c>
      <c r="AA359" s="18">
        <v>3.9E-2</v>
      </c>
      <c r="AB359" s="18">
        <v>3.9E-2</v>
      </c>
      <c r="AC359" s="18">
        <v>0.56000000000000005</v>
      </c>
      <c r="AD359" s="18">
        <v>4.4299999999999999E-2</v>
      </c>
      <c r="AE359" s="18">
        <v>5.9400000000000001E-2</v>
      </c>
      <c r="AF359" s="18">
        <v>0.10970000000000001</v>
      </c>
      <c r="AG359" s="18">
        <v>6.5699999999999995E-2</v>
      </c>
      <c r="AH359" s="18">
        <v>3.9E-2</v>
      </c>
      <c r="AI359" s="18">
        <v>3.9E-2</v>
      </c>
      <c r="AJ359" s="18">
        <v>4.3299999999999998E-2</v>
      </c>
      <c r="AK359" s="18">
        <v>0.24640000000000001</v>
      </c>
      <c r="AL359" s="18">
        <v>5.1999999999999998E-2</v>
      </c>
      <c r="AM359" s="18">
        <v>4.2900000000000001E-2</v>
      </c>
      <c r="AN359" s="18">
        <v>3.95E-2</v>
      </c>
      <c r="AO359" s="18">
        <v>0.1041</v>
      </c>
      <c r="AP359" s="18">
        <v>5.57E-2</v>
      </c>
      <c r="AQ359" s="18">
        <v>3.9E-2</v>
      </c>
      <c r="AR359" s="18">
        <v>4.0300000000000002E-2</v>
      </c>
      <c r="AS359" s="18">
        <v>0.26390000000000002</v>
      </c>
      <c r="AT359" s="18">
        <v>0.4199</v>
      </c>
      <c r="AU359" s="18">
        <v>0.18920000000000001</v>
      </c>
      <c r="AV359" s="18">
        <v>3.9E-2</v>
      </c>
      <c r="AW359" s="18">
        <v>0.14860000000000001</v>
      </c>
      <c r="AX359" s="18">
        <v>0.2908</v>
      </c>
    </row>
    <row r="360" spans="1:50" x14ac:dyDescent="0.25">
      <c r="A360" s="8" t="s">
        <v>404</v>
      </c>
      <c r="B360" s="10" t="s">
        <v>57</v>
      </c>
      <c r="C360" s="18">
        <v>0.12839999999999999</v>
      </c>
      <c r="D360" s="18">
        <v>0.76419999999999999</v>
      </c>
      <c r="E360" s="18">
        <v>4.4999999999999998E-2</v>
      </c>
      <c r="F360" s="18">
        <v>4.4999999999999998E-2</v>
      </c>
      <c r="G360" s="18">
        <v>4.4999999999999998E-2</v>
      </c>
      <c r="H360" s="18">
        <v>4.4999999999999998E-2</v>
      </c>
      <c r="I360" s="18">
        <v>4.4999999999999998E-2</v>
      </c>
      <c r="J360" s="18">
        <v>4.4999999999999998E-2</v>
      </c>
      <c r="K360" s="18">
        <v>4.4999999999999998E-2</v>
      </c>
      <c r="L360" s="18">
        <v>4.4999999999999998E-2</v>
      </c>
      <c r="M360" s="18">
        <v>4.4999999999999998E-2</v>
      </c>
      <c r="N360" s="18">
        <v>4.4999999999999998E-2</v>
      </c>
      <c r="O360" s="18">
        <v>4.4999999999999998E-2</v>
      </c>
      <c r="P360" s="18">
        <v>4.4999999999999998E-2</v>
      </c>
      <c r="Q360" s="18">
        <v>4.4999999999999998E-2</v>
      </c>
      <c r="R360" s="18">
        <v>4.4999999999999998E-2</v>
      </c>
      <c r="S360" s="18">
        <v>4.4999999999999998E-2</v>
      </c>
      <c r="T360" s="18">
        <v>4.4999999999999998E-2</v>
      </c>
      <c r="U360" s="18">
        <v>0.05</v>
      </c>
      <c r="V360" s="18">
        <v>5.33E-2</v>
      </c>
      <c r="W360" s="18">
        <v>4.4999999999999998E-2</v>
      </c>
      <c r="X360" s="18">
        <v>4.4999999999999998E-2</v>
      </c>
      <c r="Y360" s="18">
        <v>4.4999999999999998E-2</v>
      </c>
      <c r="Z360" s="18">
        <v>4.4999999999999998E-2</v>
      </c>
      <c r="AA360" s="18">
        <v>4.4999999999999998E-2</v>
      </c>
      <c r="AB360" s="18">
        <v>4.4999999999999998E-2</v>
      </c>
      <c r="AC360" s="18">
        <v>4.4999999999999998E-2</v>
      </c>
      <c r="AD360" s="18">
        <v>4.4999999999999998E-2</v>
      </c>
      <c r="AE360" s="18">
        <v>4.4999999999999998E-2</v>
      </c>
      <c r="AF360" s="18">
        <v>4.4999999999999998E-2</v>
      </c>
      <c r="AG360" s="18">
        <v>4.4999999999999998E-2</v>
      </c>
      <c r="AH360" s="18">
        <v>4.4999999999999998E-2</v>
      </c>
      <c r="AI360" s="18">
        <v>4.4999999999999998E-2</v>
      </c>
      <c r="AJ360" s="18">
        <v>4.4999999999999998E-2</v>
      </c>
      <c r="AK360" s="18">
        <v>5.8599999999999999E-2</v>
      </c>
      <c r="AL360" s="18">
        <v>7.9000000000000001E-2</v>
      </c>
      <c r="AM360" s="18">
        <v>8.6199999999999999E-2</v>
      </c>
      <c r="AN360" s="18">
        <v>9.01E-2</v>
      </c>
      <c r="AO360" s="18">
        <v>0.18779999999999999</v>
      </c>
      <c r="AP360" s="18">
        <v>9.4799999999999995E-2</v>
      </c>
      <c r="AQ360" s="18">
        <v>4.4999999999999998E-2</v>
      </c>
      <c r="AR360" s="18">
        <v>4.4999999999999998E-2</v>
      </c>
      <c r="AS360" s="18">
        <v>4.4999999999999998E-2</v>
      </c>
      <c r="AT360" s="18">
        <v>4.4999999999999998E-2</v>
      </c>
      <c r="AU360" s="18">
        <v>4.4999999999999998E-2</v>
      </c>
      <c r="AV360" s="18">
        <v>4.4999999999999998E-2</v>
      </c>
      <c r="AW360" s="18">
        <v>4.4999999999999998E-2</v>
      </c>
      <c r="AX360" s="18">
        <v>4.4999999999999998E-2</v>
      </c>
    </row>
    <row r="361" spans="1:50" x14ac:dyDescent="0.25">
      <c r="A361" s="16" t="s">
        <v>825</v>
      </c>
      <c r="B361" s="13" t="s">
        <v>464</v>
      </c>
      <c r="C361" s="17">
        <v>4.7E-2</v>
      </c>
      <c r="D361" s="17">
        <v>0.1129</v>
      </c>
      <c r="E361" s="17">
        <v>0.22289999999999999</v>
      </c>
      <c r="F361" s="17">
        <v>4.7E-2</v>
      </c>
      <c r="G361" s="17">
        <v>0.20250000000000001</v>
      </c>
      <c r="H361" s="17">
        <v>0.1333</v>
      </c>
      <c r="I361" s="17">
        <v>0.12759999999999999</v>
      </c>
      <c r="J361" s="17">
        <v>0.1129</v>
      </c>
      <c r="K361" s="17">
        <v>0.14230000000000001</v>
      </c>
      <c r="L361" s="17">
        <v>0.19350000000000001</v>
      </c>
      <c r="M361" s="17">
        <v>4.7E-2</v>
      </c>
      <c r="N361" s="17">
        <v>0.14230000000000001</v>
      </c>
      <c r="O361" s="17">
        <v>0.14949999999999999</v>
      </c>
      <c r="P361" s="17">
        <v>9.0899999999999995E-2</v>
      </c>
      <c r="Q361" s="17">
        <v>0.1452</v>
      </c>
      <c r="R361" s="17">
        <v>0.77759999999999996</v>
      </c>
      <c r="S361" s="17">
        <v>0.61929999999999996</v>
      </c>
      <c r="T361" s="17">
        <v>0.25259999999999999</v>
      </c>
      <c r="U361" s="17">
        <v>0.20219999999999999</v>
      </c>
      <c r="V361" s="17">
        <v>1.1420999999999999</v>
      </c>
      <c r="W361" s="17">
        <v>0.20150000000000001</v>
      </c>
      <c r="X361" s="17">
        <v>0.14199999999999999</v>
      </c>
      <c r="Y361" s="17">
        <v>0.30840000000000001</v>
      </c>
      <c r="Z361" s="17">
        <v>0.18240000000000001</v>
      </c>
      <c r="AA361" s="17">
        <v>8.9800000000000005E-2</v>
      </c>
      <c r="AB361" s="17">
        <v>0.109</v>
      </c>
      <c r="AC361" s="17">
        <v>1.2372000000000001</v>
      </c>
      <c r="AD361" s="17">
        <v>5.6800000000000003E-2</v>
      </c>
      <c r="AE361" s="17">
        <v>0.23180000000000001</v>
      </c>
      <c r="AF361" s="17">
        <v>0.104</v>
      </c>
      <c r="AG361" s="17">
        <v>0.1202</v>
      </c>
      <c r="AH361" s="17">
        <v>0.33210000000000001</v>
      </c>
      <c r="AI361" s="17">
        <v>9.8900000000000002E-2</v>
      </c>
      <c r="AJ361" s="17">
        <v>0.21079999999999999</v>
      </c>
      <c r="AK361" s="17">
        <v>0.18909999999999999</v>
      </c>
      <c r="AL361" s="17">
        <v>0.2989</v>
      </c>
      <c r="AM361" s="17">
        <v>0.8841</v>
      </c>
      <c r="AN361" s="17">
        <v>0.59460000000000002</v>
      </c>
      <c r="AO361" s="17">
        <v>0.26690000000000003</v>
      </c>
      <c r="AP361" s="17">
        <v>0.29120000000000001</v>
      </c>
      <c r="AQ361" s="17">
        <v>0.71699999999999997</v>
      </c>
      <c r="AR361" s="17">
        <v>0.97350000000000003</v>
      </c>
      <c r="AS361" s="17">
        <v>1.0995999999999999</v>
      </c>
      <c r="AT361" s="17">
        <v>0.62050000000000005</v>
      </c>
      <c r="AU361" s="17">
        <v>0.82040000000000002</v>
      </c>
      <c r="AV361" s="17">
        <v>1.0617000000000001</v>
      </c>
      <c r="AW361" s="17">
        <v>0.68889999999999996</v>
      </c>
      <c r="AX361" s="17">
        <v>0.81179999999999997</v>
      </c>
    </row>
    <row r="362" spans="1:50" x14ac:dyDescent="0.25">
      <c r="A362" s="16" t="s">
        <v>827</v>
      </c>
      <c r="B362" s="13" t="s">
        <v>464</v>
      </c>
      <c r="C362" s="17">
        <v>0.50429999999999997</v>
      </c>
      <c r="D362" s="17">
        <v>0.25540000000000002</v>
      </c>
      <c r="E362" s="17">
        <v>7.3700000000000002E-2</v>
      </c>
      <c r="F362" s="17">
        <v>0.15179999999999999</v>
      </c>
      <c r="G362" s="17">
        <v>7.3700000000000002E-2</v>
      </c>
      <c r="H362" s="17">
        <v>5.7000000000000002E-2</v>
      </c>
      <c r="I362" s="17">
        <v>5.7000000000000002E-2</v>
      </c>
      <c r="J362" s="17">
        <v>5.7000000000000002E-2</v>
      </c>
      <c r="K362" s="17">
        <v>5.7000000000000002E-2</v>
      </c>
      <c r="L362" s="17">
        <v>5.7000000000000002E-2</v>
      </c>
      <c r="M362" s="17">
        <v>0.16289999999999999</v>
      </c>
      <c r="N362" s="17">
        <v>6.2600000000000003E-2</v>
      </c>
      <c r="O362" s="17">
        <v>0.1072</v>
      </c>
      <c r="P362" s="17">
        <v>0.2167</v>
      </c>
      <c r="Q362" s="17">
        <v>0.2087</v>
      </c>
      <c r="R362" s="17">
        <v>8.4599999999999995E-2</v>
      </c>
      <c r="S362" s="17">
        <v>6.2199999999999998E-2</v>
      </c>
      <c r="T362" s="17">
        <v>0.1109</v>
      </c>
      <c r="U362" s="17">
        <v>0.79849999999999999</v>
      </c>
      <c r="V362" s="17">
        <v>0.49390000000000001</v>
      </c>
      <c r="W362" s="17">
        <v>0.33210000000000001</v>
      </c>
      <c r="X362" s="17">
        <v>0.25509999999999999</v>
      </c>
      <c r="Y362" s="17">
        <v>0.2757</v>
      </c>
      <c r="Z362" s="17">
        <v>0.2329</v>
      </c>
      <c r="AA362" s="17">
        <v>0.34839999999999999</v>
      </c>
      <c r="AB362" s="17">
        <v>0.19500000000000001</v>
      </c>
      <c r="AC362" s="17">
        <v>0.16850000000000001</v>
      </c>
      <c r="AD362" s="17">
        <v>5.7000000000000002E-2</v>
      </c>
      <c r="AE362" s="17">
        <v>5.7000000000000002E-2</v>
      </c>
      <c r="AF362" s="17">
        <v>0.16850000000000001</v>
      </c>
      <c r="AG362" s="17">
        <v>5.7000000000000002E-2</v>
      </c>
      <c r="AH362" s="17">
        <v>0.16850000000000001</v>
      </c>
      <c r="AI362" s="17">
        <v>5.7000000000000002E-2</v>
      </c>
      <c r="AJ362" s="17">
        <v>1.6375</v>
      </c>
      <c r="AK362" s="17">
        <v>0.29880000000000001</v>
      </c>
      <c r="AL362" s="17">
        <v>0.22320000000000001</v>
      </c>
      <c r="AM362" s="17">
        <v>0.26140000000000002</v>
      </c>
      <c r="AN362" s="17">
        <v>1.7822</v>
      </c>
      <c r="AO362" s="17">
        <v>0.40189999999999998</v>
      </c>
      <c r="AP362" s="17">
        <v>0.31609999999999999</v>
      </c>
      <c r="AQ362" s="17">
        <v>0.51329999999999998</v>
      </c>
      <c r="AR362" s="17">
        <v>0.4884</v>
      </c>
      <c r="AS362" s="17">
        <v>0.46820000000000001</v>
      </c>
      <c r="AT362" s="17">
        <v>0.7278</v>
      </c>
      <c r="AU362" s="17">
        <v>0.38300000000000001</v>
      </c>
      <c r="AV362" s="17">
        <v>0.40210000000000001</v>
      </c>
      <c r="AW362" s="17">
        <v>2.9514</v>
      </c>
      <c r="AX362" s="17">
        <v>0.1183</v>
      </c>
    </row>
    <row r="363" spans="1:50" x14ac:dyDescent="0.25">
      <c r="A363" s="16" t="s">
        <v>829</v>
      </c>
      <c r="B363" s="13" t="s">
        <v>464</v>
      </c>
      <c r="C363" s="17">
        <v>0.04</v>
      </c>
      <c r="D363" s="17">
        <v>0.04</v>
      </c>
      <c r="E363" s="17">
        <v>0.27950000000000003</v>
      </c>
      <c r="F363" s="17">
        <v>5.9900000000000002E-2</v>
      </c>
      <c r="G363" s="17">
        <v>0.04</v>
      </c>
      <c r="H363" s="17">
        <v>0.26740000000000003</v>
      </c>
      <c r="I363" s="17">
        <v>7.1999999999999995E-2</v>
      </c>
      <c r="J363" s="17">
        <v>0.1757</v>
      </c>
      <c r="K363" s="17">
        <v>0.1638</v>
      </c>
      <c r="L363" s="17">
        <v>0.04</v>
      </c>
      <c r="M363" s="17">
        <v>9.9599999999999994E-2</v>
      </c>
      <c r="N363" s="17">
        <v>6.3799999999999996E-2</v>
      </c>
      <c r="O363" s="17">
        <v>0.12</v>
      </c>
      <c r="P363" s="17">
        <v>0.21940000000000001</v>
      </c>
      <c r="Q363" s="17">
        <v>0.14849999999999999</v>
      </c>
      <c r="R363" s="17">
        <v>0.45129999999999998</v>
      </c>
      <c r="S363" s="17">
        <v>0.497</v>
      </c>
      <c r="T363" s="17">
        <v>1.4363999999999999</v>
      </c>
      <c r="U363" s="17">
        <v>0.48399999999999999</v>
      </c>
      <c r="V363" s="17">
        <v>0.35909999999999997</v>
      </c>
      <c r="W363" s="17">
        <v>0.08</v>
      </c>
      <c r="X363" s="17">
        <v>0.17299999999999999</v>
      </c>
      <c r="Y363" s="17">
        <v>0.221</v>
      </c>
      <c r="Z363" s="17">
        <v>0.30280000000000001</v>
      </c>
      <c r="AA363" s="17">
        <v>0.04</v>
      </c>
      <c r="AB363" s="17">
        <v>0.2994</v>
      </c>
      <c r="AC363" s="17">
        <v>0.12820000000000001</v>
      </c>
      <c r="AD363" s="17">
        <v>1.3180000000000001</v>
      </c>
      <c r="AE363" s="17">
        <v>0.28439999999999999</v>
      </c>
      <c r="AF363" s="17">
        <v>6.5000000000000002E-2</v>
      </c>
      <c r="AG363" s="17">
        <v>0.27900000000000003</v>
      </c>
      <c r="AH363" s="17">
        <v>0.23899999999999999</v>
      </c>
      <c r="AI363" s="17">
        <v>0.17080000000000001</v>
      </c>
      <c r="AJ363" s="17">
        <v>0.35449999999999998</v>
      </c>
      <c r="AK363" s="17">
        <v>0.1764</v>
      </c>
      <c r="AL363" s="17">
        <v>0.2868</v>
      </c>
      <c r="AM363" s="17">
        <v>0.3024</v>
      </c>
      <c r="AN363" s="17">
        <v>0.16139999999999999</v>
      </c>
      <c r="AO363" s="17">
        <v>0.3896</v>
      </c>
      <c r="AP363" s="17">
        <v>0.52990000000000004</v>
      </c>
      <c r="AQ363" s="17">
        <v>0.35620000000000002</v>
      </c>
      <c r="AR363" s="17">
        <v>0.9073</v>
      </c>
      <c r="AS363" s="17">
        <v>0.61250000000000004</v>
      </c>
      <c r="AT363" s="17">
        <v>0.70450000000000002</v>
      </c>
      <c r="AU363" s="17">
        <v>0.50390000000000001</v>
      </c>
      <c r="AV363" s="17">
        <v>0.4965</v>
      </c>
      <c r="AW363" s="17">
        <v>1.3449</v>
      </c>
      <c r="AX363" s="17">
        <v>1.1192</v>
      </c>
    </row>
    <row r="364" spans="1:50" x14ac:dyDescent="0.25">
      <c r="A364" s="16" t="s">
        <v>831</v>
      </c>
      <c r="B364" s="13" t="s">
        <v>464</v>
      </c>
      <c r="C364" s="17">
        <v>0.06</v>
      </c>
      <c r="D364" s="17">
        <v>0.06</v>
      </c>
      <c r="E364" s="17">
        <v>7.6200000000000004E-2</v>
      </c>
      <c r="F364" s="17">
        <v>0.15190000000000001</v>
      </c>
      <c r="G364" s="17">
        <v>0.06</v>
      </c>
      <c r="H364" s="17">
        <v>0.16819999999999999</v>
      </c>
      <c r="I364" s="17">
        <v>0.06</v>
      </c>
      <c r="J364" s="17">
        <v>8.6999999999999994E-2</v>
      </c>
      <c r="K364" s="17">
        <v>0.1411</v>
      </c>
      <c r="L364" s="17">
        <v>0.06</v>
      </c>
      <c r="M364" s="17">
        <v>0.06</v>
      </c>
      <c r="N364" s="17">
        <v>0.16819999999999999</v>
      </c>
      <c r="O364" s="17">
        <v>0.06</v>
      </c>
      <c r="P364" s="17">
        <v>8.1600000000000006E-2</v>
      </c>
      <c r="Q364" s="17">
        <v>0.14649999999999999</v>
      </c>
      <c r="R364" s="17">
        <v>0.06</v>
      </c>
      <c r="S364" s="17">
        <v>0.16819999999999999</v>
      </c>
      <c r="T364" s="17">
        <v>0.06</v>
      </c>
      <c r="U364" s="17">
        <v>0.16819999999999999</v>
      </c>
      <c r="V364" s="17">
        <v>0.06</v>
      </c>
      <c r="W364" s="17">
        <v>0.28799999999999998</v>
      </c>
      <c r="X364" s="17">
        <v>8.8599999999999998E-2</v>
      </c>
      <c r="Y364" s="17">
        <v>7.3400000000000007E-2</v>
      </c>
      <c r="Z364" s="17">
        <v>0.2233</v>
      </c>
      <c r="AA364" s="17">
        <v>0.26440000000000002</v>
      </c>
      <c r="AB364" s="17">
        <v>0.24</v>
      </c>
      <c r="AC364" s="17">
        <v>0.34870000000000001</v>
      </c>
      <c r="AD364" s="17">
        <v>7.0800000000000002E-2</v>
      </c>
      <c r="AE364" s="17">
        <v>7.0800000000000002E-2</v>
      </c>
      <c r="AF364" s="17">
        <v>0.15740000000000001</v>
      </c>
      <c r="AG364" s="17">
        <v>0.06</v>
      </c>
      <c r="AH364" s="17">
        <v>0.16819999999999999</v>
      </c>
      <c r="AI364" s="17">
        <v>0.06</v>
      </c>
      <c r="AJ364" s="17">
        <v>0.06</v>
      </c>
      <c r="AK364" s="17">
        <v>0.16819999999999999</v>
      </c>
      <c r="AL364" s="17">
        <v>0.06</v>
      </c>
      <c r="AM364" s="17">
        <v>0.14649999999999999</v>
      </c>
      <c r="AN364" s="17">
        <v>8.1600000000000006E-2</v>
      </c>
      <c r="AO364" s="17">
        <v>9.7900000000000001E-2</v>
      </c>
      <c r="AP364" s="17">
        <v>0.1303</v>
      </c>
      <c r="AQ364" s="17">
        <v>0.53649999999999998</v>
      </c>
      <c r="AR364" s="17">
        <v>0.35909999999999997</v>
      </c>
      <c r="AS364" s="17">
        <v>0.31559999999999999</v>
      </c>
      <c r="AT364" s="17">
        <v>0.71099999999999997</v>
      </c>
      <c r="AU364" s="17">
        <v>1.0468</v>
      </c>
      <c r="AV364" s="17">
        <v>0.62160000000000004</v>
      </c>
      <c r="AW364" s="17">
        <v>0.30070000000000002</v>
      </c>
      <c r="AX364" s="17">
        <v>0.06</v>
      </c>
    </row>
    <row r="365" spans="1:50" x14ac:dyDescent="0.25">
      <c r="A365" s="8" t="s">
        <v>406</v>
      </c>
      <c r="B365" s="10" t="s">
        <v>57</v>
      </c>
      <c r="C365" s="18">
        <v>5.11E-2</v>
      </c>
      <c r="D365" s="18">
        <v>0.25319999999999998</v>
      </c>
      <c r="E365" s="18">
        <v>4.7E-2</v>
      </c>
      <c r="F365" s="18">
        <v>0.19550000000000001</v>
      </c>
      <c r="G365" s="18">
        <v>0.10879999999999999</v>
      </c>
      <c r="H365" s="18">
        <v>4.7E-2</v>
      </c>
      <c r="I365" s="18">
        <v>0.184</v>
      </c>
      <c r="J365" s="18">
        <v>0.104</v>
      </c>
      <c r="K365" s="18">
        <v>6.3299999999999995E-2</v>
      </c>
      <c r="L365" s="18">
        <v>0.17019999999999999</v>
      </c>
      <c r="M365" s="18">
        <v>0.13420000000000001</v>
      </c>
      <c r="N365" s="18">
        <v>6.7400000000000002E-2</v>
      </c>
      <c r="O365" s="18">
        <v>0.2369</v>
      </c>
      <c r="P365" s="18">
        <v>9.1800000000000007E-2</v>
      </c>
      <c r="Q365" s="18">
        <v>9.4200000000000006E-2</v>
      </c>
      <c r="R365" s="18">
        <v>0.23050000000000001</v>
      </c>
      <c r="S365" s="18">
        <v>5.5100000000000003E-2</v>
      </c>
      <c r="T365" s="18">
        <v>0.11550000000000001</v>
      </c>
      <c r="U365" s="18">
        <v>0.1888</v>
      </c>
      <c r="V365" s="18">
        <v>7.1900000000000006E-2</v>
      </c>
      <c r="W365" s="18">
        <v>0.2324</v>
      </c>
      <c r="X365" s="18">
        <v>4.7E-2</v>
      </c>
      <c r="Y365" s="18">
        <v>0.2286</v>
      </c>
      <c r="Z365" s="18">
        <v>7.5800000000000006E-2</v>
      </c>
      <c r="AA365" s="18">
        <v>4.9000000000000002E-2</v>
      </c>
      <c r="AB365" s="18">
        <v>0.1767</v>
      </c>
      <c r="AC365" s="18">
        <v>0.2606</v>
      </c>
      <c r="AD365" s="18">
        <v>0.9466</v>
      </c>
      <c r="AE365" s="18">
        <v>0.15740000000000001</v>
      </c>
      <c r="AF365" s="18">
        <v>0.57479999999999998</v>
      </c>
      <c r="AG365" s="18">
        <v>1.0192000000000001</v>
      </c>
      <c r="AH365" s="18">
        <v>0.2326</v>
      </c>
      <c r="AI365" s="18">
        <v>7.17E-2</v>
      </c>
      <c r="AJ365" s="18">
        <v>1.141</v>
      </c>
      <c r="AK365" s="18">
        <v>0.5292</v>
      </c>
      <c r="AL365" s="18">
        <v>0.18679999999999999</v>
      </c>
      <c r="AM365" s="18">
        <v>0.2777</v>
      </c>
      <c r="AN365" s="18">
        <v>0.12039999999999999</v>
      </c>
      <c r="AO365" s="18">
        <v>0.1507</v>
      </c>
      <c r="AP365" s="18">
        <v>0.72960000000000003</v>
      </c>
      <c r="AQ365" s="18">
        <v>0.5665</v>
      </c>
      <c r="AR365" s="18">
        <v>0.54259999999999997</v>
      </c>
      <c r="AS365" s="18">
        <v>0.53300000000000003</v>
      </c>
      <c r="AT365" s="18">
        <v>0.59470000000000001</v>
      </c>
      <c r="AU365" s="18">
        <v>0.75960000000000005</v>
      </c>
      <c r="AV365" s="18">
        <v>0.55359999999999998</v>
      </c>
      <c r="AW365" s="18">
        <v>0.307</v>
      </c>
      <c r="AX365" s="18">
        <v>0.36359999999999998</v>
      </c>
    </row>
    <row r="366" spans="1:50" x14ac:dyDescent="0.25">
      <c r="A366" s="16" t="s">
        <v>833</v>
      </c>
      <c r="B366" s="13" t="s">
        <v>464</v>
      </c>
      <c r="C366" s="17">
        <v>0.24279999999999999</v>
      </c>
      <c r="D366" s="17">
        <v>0.1656</v>
      </c>
      <c r="E366" s="17">
        <v>0.1179</v>
      </c>
      <c r="F366" s="17">
        <v>0.29809999999999998</v>
      </c>
      <c r="G366" s="17">
        <v>6.6199999999999995E-2</v>
      </c>
      <c r="H366" s="17">
        <v>0.19900000000000001</v>
      </c>
      <c r="I366" s="17">
        <v>0.2641</v>
      </c>
      <c r="J366" s="17">
        <v>0.1656</v>
      </c>
      <c r="K366" s="17">
        <v>0.20960000000000001</v>
      </c>
      <c r="L366" s="17">
        <v>0.15110000000000001</v>
      </c>
      <c r="M366" s="17">
        <v>0.15509999999999999</v>
      </c>
      <c r="N366" s="17">
        <v>0.2394</v>
      </c>
      <c r="O366" s="17">
        <v>0.17760000000000001</v>
      </c>
      <c r="P366" s="17">
        <v>0.182</v>
      </c>
      <c r="Q366" s="17">
        <v>0.2293</v>
      </c>
      <c r="R366" s="17">
        <v>0.1019</v>
      </c>
      <c r="S366" s="17">
        <v>0.12529999999999999</v>
      </c>
      <c r="T366" s="17">
        <v>0.34160000000000001</v>
      </c>
      <c r="U366" s="17">
        <v>5.3999999999999999E-2</v>
      </c>
      <c r="V366" s="17">
        <v>0.29049999999999998</v>
      </c>
      <c r="W366" s="17">
        <v>0.1764</v>
      </c>
      <c r="X366" s="17">
        <v>0.2261</v>
      </c>
      <c r="Y366" s="17">
        <v>0.18529999999999999</v>
      </c>
      <c r="Z366" s="17">
        <v>0.24929999999999999</v>
      </c>
      <c r="AA366" s="17">
        <v>1.6693</v>
      </c>
      <c r="AB366" s="17">
        <v>0.36309999999999998</v>
      </c>
      <c r="AC366" s="17">
        <v>0.24779999999999999</v>
      </c>
      <c r="AD366" s="17">
        <v>0.26910000000000001</v>
      </c>
      <c r="AE366" s="17">
        <v>0.15640000000000001</v>
      </c>
      <c r="AF366" s="17">
        <v>0.14369999999999999</v>
      </c>
      <c r="AG366" s="17">
        <v>0.26679999999999998</v>
      </c>
      <c r="AH366" s="17">
        <v>0.18340000000000001</v>
      </c>
      <c r="AI366" s="17">
        <v>0.42720000000000002</v>
      </c>
      <c r="AJ366" s="17">
        <v>0.2346</v>
      </c>
      <c r="AK366" s="17">
        <v>0.1416</v>
      </c>
      <c r="AL366" s="17">
        <v>0.187</v>
      </c>
      <c r="AM366" s="17">
        <v>0.19470000000000001</v>
      </c>
      <c r="AN366" s="17">
        <v>0.246</v>
      </c>
      <c r="AO366" s="17">
        <v>0.50570000000000004</v>
      </c>
      <c r="AP366" s="17">
        <v>0.2185</v>
      </c>
      <c r="AQ366" s="17">
        <v>0.29730000000000001</v>
      </c>
      <c r="AR366" s="17">
        <v>1.3056000000000001</v>
      </c>
      <c r="AS366" s="17">
        <v>1.3146</v>
      </c>
      <c r="AT366" s="17">
        <v>0.48749999999999999</v>
      </c>
      <c r="AU366" s="17">
        <v>0.47870000000000001</v>
      </c>
      <c r="AV366" s="17">
        <v>0.43990000000000001</v>
      </c>
      <c r="AW366" s="17">
        <v>0.57520000000000004</v>
      </c>
      <c r="AX366" s="17">
        <v>0.38769999999999999</v>
      </c>
    </row>
    <row r="367" spans="1:50" x14ac:dyDescent="0.25">
      <c r="A367" s="16" t="s">
        <v>835</v>
      </c>
      <c r="B367" s="13" t="s">
        <v>464</v>
      </c>
      <c r="C367" s="17">
        <v>0.48909999999999998</v>
      </c>
      <c r="D367" s="17">
        <v>0.5625</v>
      </c>
      <c r="E367" s="17">
        <v>0.22109999999999999</v>
      </c>
      <c r="F367" s="17">
        <v>8.1500000000000003E-2</v>
      </c>
      <c r="G367" s="17">
        <v>0.19520000000000001</v>
      </c>
      <c r="H367" s="17">
        <v>0.13619999999999999</v>
      </c>
      <c r="I367" s="17">
        <v>9.9500000000000005E-2</v>
      </c>
      <c r="J367" s="17">
        <v>0.05</v>
      </c>
      <c r="K367" s="17">
        <v>0.35680000000000001</v>
      </c>
      <c r="L367" s="17">
        <v>0.2387</v>
      </c>
      <c r="M367" s="17">
        <v>0.1447</v>
      </c>
      <c r="N367" s="17">
        <v>0.05</v>
      </c>
      <c r="O367" s="17">
        <v>0.31140000000000001</v>
      </c>
      <c r="P367" s="17">
        <v>0.16520000000000001</v>
      </c>
      <c r="Q367" s="17">
        <v>0.12230000000000001</v>
      </c>
      <c r="R367" s="17">
        <v>1.0395000000000001</v>
      </c>
      <c r="S367" s="17">
        <v>1.2126999999999999</v>
      </c>
      <c r="T367" s="17">
        <v>0.1489</v>
      </c>
      <c r="U367" s="17">
        <v>0.28699999999999998</v>
      </c>
      <c r="V367" s="17">
        <v>1.1095999999999999</v>
      </c>
      <c r="W367" s="17">
        <v>0.40160000000000001</v>
      </c>
      <c r="X367" s="17">
        <v>0.4204</v>
      </c>
      <c r="Y367" s="17">
        <v>0.67230000000000001</v>
      </c>
      <c r="Z367" s="17">
        <v>0.24709999999999999</v>
      </c>
      <c r="AA367" s="17">
        <v>0.23180000000000001</v>
      </c>
      <c r="AB367" s="17">
        <v>9.9500000000000005E-2</v>
      </c>
      <c r="AC367" s="17">
        <v>0.05</v>
      </c>
      <c r="AD367" s="17">
        <v>0.32129999999999997</v>
      </c>
      <c r="AE367" s="17">
        <v>0.13100000000000001</v>
      </c>
      <c r="AF367" s="17">
        <v>0.1593</v>
      </c>
      <c r="AG367" s="17">
        <v>0.2858</v>
      </c>
      <c r="AH367" s="17">
        <v>0.19439999999999999</v>
      </c>
      <c r="AI367" s="17">
        <v>0.1867</v>
      </c>
      <c r="AJ367" s="17">
        <v>0.05</v>
      </c>
      <c r="AK367" s="17">
        <v>0.12520000000000001</v>
      </c>
      <c r="AL367" s="17">
        <v>0.20169999999999999</v>
      </c>
      <c r="AM367" s="17">
        <v>5.45E-2</v>
      </c>
      <c r="AN367" s="17">
        <v>0.1993</v>
      </c>
      <c r="AO367" s="17">
        <v>0.13200000000000001</v>
      </c>
      <c r="AP367" s="17">
        <v>0.122</v>
      </c>
      <c r="AQ367" s="17">
        <v>0.19570000000000001</v>
      </c>
      <c r="AR367" s="17">
        <v>0.1447</v>
      </c>
      <c r="AS367" s="17">
        <v>0.05</v>
      </c>
      <c r="AT367" s="17">
        <v>0.05</v>
      </c>
      <c r="AU367" s="17">
        <v>0.20030000000000001</v>
      </c>
      <c r="AV367" s="17">
        <v>0.05</v>
      </c>
      <c r="AW367" s="17">
        <v>7.2499999999999995E-2</v>
      </c>
      <c r="AX367" s="17">
        <v>0.20419999999999999</v>
      </c>
    </row>
    <row r="368" spans="1:50" x14ac:dyDescent="0.25">
      <c r="A368" s="8" t="s">
        <v>408</v>
      </c>
      <c r="B368" s="10" t="s">
        <v>57</v>
      </c>
      <c r="C368" s="18">
        <v>4.2000000000000003E-2</v>
      </c>
      <c r="D368" s="18">
        <v>0.161</v>
      </c>
      <c r="E368" s="18">
        <v>4.2000000000000003E-2</v>
      </c>
      <c r="F368" s="18">
        <v>0.161</v>
      </c>
      <c r="G368" s="18">
        <v>4.2000000000000003E-2</v>
      </c>
      <c r="H368" s="18">
        <v>4.2000000000000003E-2</v>
      </c>
      <c r="I368" s="18">
        <v>0.3236</v>
      </c>
      <c r="J368" s="18">
        <v>0.45029999999999998</v>
      </c>
      <c r="K368" s="18">
        <v>4.2000000000000003E-2</v>
      </c>
      <c r="L368" s="18">
        <v>0.127</v>
      </c>
      <c r="M368" s="18">
        <v>7.5999999999999998E-2</v>
      </c>
      <c r="N368" s="18">
        <v>4.2000000000000003E-2</v>
      </c>
      <c r="O368" s="18">
        <v>0.161</v>
      </c>
      <c r="P368" s="18">
        <v>4.2000000000000003E-2</v>
      </c>
      <c r="Q368" s="18">
        <v>0.14399999999999999</v>
      </c>
      <c r="R368" s="18">
        <v>5.8999999999999997E-2</v>
      </c>
      <c r="S368" s="18">
        <v>4.2000000000000003E-2</v>
      </c>
      <c r="T368" s="18">
        <v>0.127</v>
      </c>
      <c r="U368" s="18">
        <v>7.5999999999999998E-2</v>
      </c>
      <c r="V368" s="18">
        <v>4.2000000000000003E-2</v>
      </c>
      <c r="W368" s="18">
        <v>0.161</v>
      </c>
      <c r="X368" s="18">
        <v>4.2000000000000003E-2</v>
      </c>
      <c r="Y368" s="18">
        <v>0.13550000000000001</v>
      </c>
      <c r="Z368" s="18">
        <v>6.7500000000000004E-2</v>
      </c>
      <c r="AA368" s="18">
        <v>4.2000000000000003E-2</v>
      </c>
      <c r="AB368" s="18">
        <v>0.11</v>
      </c>
      <c r="AC368" s="18">
        <v>9.2999999999999999E-2</v>
      </c>
      <c r="AD368" s="18">
        <v>4.2000000000000003E-2</v>
      </c>
      <c r="AE368" s="18">
        <v>0.161</v>
      </c>
      <c r="AF368" s="18">
        <v>4.2000000000000003E-2</v>
      </c>
      <c r="AG368" s="18">
        <v>0.14399999999999999</v>
      </c>
      <c r="AH368" s="18">
        <v>8.8800000000000004E-2</v>
      </c>
      <c r="AI368" s="18">
        <v>9.2999999999999999E-2</v>
      </c>
      <c r="AJ368" s="18">
        <v>4.53E-2</v>
      </c>
      <c r="AK368" s="18">
        <v>0.45169999999999999</v>
      </c>
      <c r="AL368" s="18">
        <v>1.3812</v>
      </c>
      <c r="AM368" s="18">
        <v>0.15670000000000001</v>
      </c>
      <c r="AN368" s="18">
        <v>0.17860000000000001</v>
      </c>
      <c r="AO368" s="18">
        <v>7.4999999999999997E-2</v>
      </c>
      <c r="AP368" s="18">
        <v>0.41920000000000002</v>
      </c>
      <c r="AQ368" s="18">
        <v>0.41320000000000001</v>
      </c>
      <c r="AR368" s="18">
        <v>0.19670000000000001</v>
      </c>
      <c r="AS368" s="18">
        <v>0.2087</v>
      </c>
      <c r="AT368" s="18">
        <v>0.24959999999999999</v>
      </c>
      <c r="AU368" s="18">
        <v>0.161</v>
      </c>
      <c r="AV368" s="18">
        <v>4.2000000000000003E-2</v>
      </c>
      <c r="AW368" s="18">
        <v>4.2000000000000003E-2</v>
      </c>
      <c r="AX368" s="18">
        <v>0.14399999999999999</v>
      </c>
    </row>
    <row r="369" spans="1:50" x14ac:dyDescent="0.25">
      <c r="A369" s="8" t="s">
        <v>410</v>
      </c>
      <c r="B369" s="10" t="s">
        <v>57</v>
      </c>
      <c r="C369" s="18">
        <v>4.5999999999999999E-2</v>
      </c>
      <c r="D369" s="18">
        <v>0.15129999999999999</v>
      </c>
      <c r="E369" s="18">
        <v>0.192</v>
      </c>
      <c r="F369" s="18">
        <v>4.5999999999999999E-2</v>
      </c>
      <c r="G369" s="18">
        <v>0.20319999999999999</v>
      </c>
      <c r="H369" s="18">
        <v>0.14000000000000001</v>
      </c>
      <c r="I369" s="18">
        <v>9.4600000000000004E-2</v>
      </c>
      <c r="J369" s="18">
        <v>0.1108</v>
      </c>
      <c r="K369" s="18">
        <v>0.1588</v>
      </c>
      <c r="L369" s="18">
        <v>0.18440000000000001</v>
      </c>
      <c r="M369" s="18">
        <v>0.1087</v>
      </c>
      <c r="N369" s="18">
        <v>0.1212</v>
      </c>
      <c r="O369" s="18">
        <v>0.15939999999999999</v>
      </c>
      <c r="P369" s="18">
        <v>0.18390000000000001</v>
      </c>
      <c r="Q369" s="18">
        <v>0.1027</v>
      </c>
      <c r="R369" s="18">
        <v>0.1027</v>
      </c>
      <c r="S369" s="18">
        <v>0.1651</v>
      </c>
      <c r="T369" s="18">
        <v>0.35289999999999999</v>
      </c>
      <c r="U369" s="18">
        <v>0.42809999999999998</v>
      </c>
      <c r="V369" s="18">
        <v>0.28370000000000001</v>
      </c>
      <c r="W369" s="18">
        <v>0.67700000000000005</v>
      </c>
      <c r="X369" s="18">
        <v>1.4753000000000001</v>
      </c>
      <c r="Y369" s="18">
        <v>0.45079999999999998</v>
      </c>
      <c r="Z369" s="18">
        <v>0.2195</v>
      </c>
      <c r="AA369" s="18">
        <v>1.0768</v>
      </c>
      <c r="AB369" s="18">
        <v>3.1819000000000002</v>
      </c>
      <c r="AC369" s="18">
        <v>2.5924</v>
      </c>
      <c r="AD369" s="18">
        <v>0.154</v>
      </c>
      <c r="AE369" s="18">
        <v>0.2346</v>
      </c>
      <c r="AF369" s="18">
        <v>0.1087</v>
      </c>
      <c r="AG369" s="18">
        <v>6.4799999999999996E-2</v>
      </c>
      <c r="AH369" s="18">
        <v>0.27160000000000001</v>
      </c>
      <c r="AI369" s="18">
        <v>7.6200000000000004E-2</v>
      </c>
      <c r="AJ369" s="18">
        <v>0.25530000000000003</v>
      </c>
      <c r="AK369" s="18">
        <v>0.33929999999999999</v>
      </c>
      <c r="AL369" s="18">
        <v>0.59599999999999997</v>
      </c>
      <c r="AM369" s="18">
        <v>0.42520000000000002</v>
      </c>
      <c r="AN369" s="18">
        <v>0.46029999999999999</v>
      </c>
      <c r="AO369" s="18">
        <v>1.7344999999999999</v>
      </c>
      <c r="AP369" s="18">
        <v>0.47960000000000003</v>
      </c>
      <c r="AQ369" s="18">
        <v>0.38919999999999999</v>
      </c>
      <c r="AR369" s="18">
        <v>0.65339999999999998</v>
      </c>
      <c r="AS369" s="18">
        <v>0.50080000000000002</v>
      </c>
      <c r="AT369" s="18">
        <v>0.42009999999999997</v>
      </c>
      <c r="AU369" s="18">
        <v>0.5736</v>
      </c>
      <c r="AV369" s="18">
        <v>0.752</v>
      </c>
      <c r="AW369" s="18">
        <v>0.44629999999999997</v>
      </c>
      <c r="AX369" s="18">
        <v>0.18079999999999999</v>
      </c>
    </row>
    <row r="370" spans="1:50" x14ac:dyDescent="0.25">
      <c r="A370" s="16" t="s">
        <v>837</v>
      </c>
      <c r="B370" s="13" t="s">
        <v>464</v>
      </c>
      <c r="C370" s="17">
        <v>0.26800000000000002</v>
      </c>
      <c r="D370" s="17">
        <v>5.0999999999999997E-2</v>
      </c>
      <c r="E370" s="17">
        <v>6.54E-2</v>
      </c>
      <c r="F370" s="17">
        <v>0.19539999999999999</v>
      </c>
      <c r="G370" s="17">
        <v>5.0999999999999997E-2</v>
      </c>
      <c r="H370" s="17">
        <v>0.2099</v>
      </c>
      <c r="I370" s="17">
        <v>5.0999999999999997E-2</v>
      </c>
      <c r="J370" s="17">
        <v>5.0999999999999997E-2</v>
      </c>
      <c r="K370" s="17">
        <v>0.19539999999999999</v>
      </c>
      <c r="L370" s="17">
        <v>6.54E-2</v>
      </c>
      <c r="M370" s="17">
        <v>5.0999999999999997E-2</v>
      </c>
      <c r="N370" s="17">
        <v>5.0999999999999997E-2</v>
      </c>
      <c r="O370" s="17">
        <v>5.0999999999999997E-2</v>
      </c>
      <c r="P370" s="17">
        <v>0.2099</v>
      </c>
      <c r="Q370" s="17">
        <v>5.0999999999999997E-2</v>
      </c>
      <c r="R370" s="17">
        <v>0.1232</v>
      </c>
      <c r="S370" s="17">
        <v>0.13769999999999999</v>
      </c>
      <c r="T370" s="17">
        <v>7.2700000000000001E-2</v>
      </c>
      <c r="U370" s="17">
        <v>0.18820000000000001</v>
      </c>
      <c r="V370" s="17">
        <v>0.3513</v>
      </c>
      <c r="W370" s="17">
        <v>0.27429999999999999</v>
      </c>
      <c r="X370" s="17">
        <v>6.5299999999999997E-2</v>
      </c>
      <c r="Y370" s="17">
        <v>0.1883</v>
      </c>
      <c r="Z370" s="17">
        <v>0.33460000000000001</v>
      </c>
      <c r="AA370" s="17">
        <v>7.3099999999999998E-2</v>
      </c>
      <c r="AB370" s="17">
        <v>1.3607</v>
      </c>
      <c r="AC370" s="17">
        <v>0.46510000000000001</v>
      </c>
      <c r="AD370" s="17">
        <v>0.11360000000000001</v>
      </c>
      <c r="AE370" s="17">
        <v>0.10879999999999999</v>
      </c>
      <c r="AF370" s="17">
        <v>0.15210000000000001</v>
      </c>
      <c r="AG370" s="17">
        <v>6.54E-2</v>
      </c>
      <c r="AH370" s="17">
        <v>0.20019999999999999</v>
      </c>
      <c r="AI370" s="17">
        <v>0.1037</v>
      </c>
      <c r="AJ370" s="17">
        <v>1.0911999999999999</v>
      </c>
      <c r="AK370" s="17">
        <v>0.79059999999999997</v>
      </c>
      <c r="AL370" s="17">
        <v>0.1085</v>
      </c>
      <c r="AM370" s="17">
        <v>0.10879999999999999</v>
      </c>
      <c r="AN370" s="17">
        <v>0.15210000000000001</v>
      </c>
      <c r="AO370" s="17">
        <v>5.0999999999999997E-2</v>
      </c>
      <c r="AP370" s="17">
        <v>0.2099</v>
      </c>
      <c r="AQ370" s="17">
        <v>5.0999999999999997E-2</v>
      </c>
      <c r="AR370" s="17">
        <v>0.1593</v>
      </c>
      <c r="AS370" s="17">
        <v>0.1016</v>
      </c>
      <c r="AT370" s="17">
        <v>5.0999999999999997E-2</v>
      </c>
      <c r="AU370" s="17">
        <v>5.0999999999999997E-2</v>
      </c>
      <c r="AV370" s="17">
        <v>0.1449</v>
      </c>
      <c r="AW370" s="17">
        <v>0.11600000000000001</v>
      </c>
      <c r="AX370" s="17">
        <v>8.7099999999999997E-2</v>
      </c>
    </row>
    <row r="371" spans="1:50" x14ac:dyDescent="0.25">
      <c r="A371" s="16" t="s">
        <v>839</v>
      </c>
      <c r="B371" s="13" t="s">
        <v>464</v>
      </c>
      <c r="C371" s="17">
        <v>5.1999999999999998E-2</v>
      </c>
      <c r="D371" s="17">
        <v>5.1999999999999998E-2</v>
      </c>
      <c r="E371" s="17">
        <v>5.1999999999999998E-2</v>
      </c>
      <c r="F371" s="17">
        <v>5.1999999999999998E-2</v>
      </c>
      <c r="G371" s="17">
        <v>5.1999999999999998E-2</v>
      </c>
      <c r="H371" s="17">
        <v>5.1999999999999998E-2</v>
      </c>
      <c r="I371" s="17">
        <v>5.1999999999999998E-2</v>
      </c>
      <c r="J371" s="17">
        <v>5.1999999999999998E-2</v>
      </c>
      <c r="K371" s="17">
        <v>5.1999999999999998E-2</v>
      </c>
      <c r="L371" s="17">
        <v>5.1999999999999998E-2</v>
      </c>
      <c r="M371" s="17">
        <v>5.1999999999999998E-2</v>
      </c>
      <c r="N371" s="17">
        <v>5.1999999999999998E-2</v>
      </c>
      <c r="O371" s="17">
        <v>5.1999999999999998E-2</v>
      </c>
      <c r="P371" s="17">
        <v>5.1999999999999998E-2</v>
      </c>
      <c r="Q371" s="17">
        <v>8.5199999999999998E-2</v>
      </c>
      <c r="R371" s="17">
        <v>5.1999999999999998E-2</v>
      </c>
      <c r="S371" s="17">
        <v>5.1999999999999998E-2</v>
      </c>
      <c r="T371" s="17">
        <v>5.1999999999999998E-2</v>
      </c>
      <c r="U371" s="17">
        <v>5.1999999999999998E-2</v>
      </c>
      <c r="V371" s="17">
        <v>5.1999999999999998E-2</v>
      </c>
      <c r="W371" s="17">
        <v>5.1999999999999998E-2</v>
      </c>
      <c r="X371" s="17">
        <v>0.1094</v>
      </c>
      <c r="Y371" s="17">
        <v>7.8299999999999995E-2</v>
      </c>
      <c r="Z371" s="17">
        <v>5.1999999999999998E-2</v>
      </c>
      <c r="AA371" s="17">
        <v>5.1999999999999998E-2</v>
      </c>
      <c r="AB371" s="17">
        <v>6.9599999999999995E-2</v>
      </c>
      <c r="AC371" s="17">
        <v>8.4900000000000003E-2</v>
      </c>
      <c r="AD371" s="17">
        <v>5.1999999999999998E-2</v>
      </c>
      <c r="AE371" s="17">
        <v>5.1999999999999998E-2</v>
      </c>
      <c r="AF371" s="17">
        <v>5.1999999999999998E-2</v>
      </c>
      <c r="AG371" s="17">
        <v>5.1999999999999998E-2</v>
      </c>
      <c r="AH371" s="17">
        <v>5.1999999999999998E-2</v>
      </c>
      <c r="AI371" s="17">
        <v>5.1999999999999998E-2</v>
      </c>
      <c r="AJ371" s="17">
        <v>5.1999999999999998E-2</v>
      </c>
      <c r="AK371" s="17">
        <v>8.2000000000000003E-2</v>
      </c>
      <c r="AL371" s="17">
        <v>1.2446999999999999</v>
      </c>
      <c r="AM371" s="17">
        <v>6.2899999999999998E-2</v>
      </c>
      <c r="AN371" s="17">
        <v>1.393</v>
      </c>
      <c r="AO371" s="17">
        <v>1.1352</v>
      </c>
      <c r="AP371" s="17">
        <v>0.90959999999999996</v>
      </c>
      <c r="AQ371" s="17">
        <v>0.1507</v>
      </c>
      <c r="AR371" s="17">
        <v>0.24990000000000001</v>
      </c>
      <c r="AS371" s="17">
        <v>0.42949999999999999</v>
      </c>
      <c r="AT371" s="17">
        <v>0.41420000000000001</v>
      </c>
      <c r="AU371" s="17">
        <v>0.23319999999999999</v>
      </c>
      <c r="AV371" s="17">
        <v>0.33129999999999998</v>
      </c>
      <c r="AW371" s="17">
        <v>0.50009999999999999</v>
      </c>
      <c r="AX371" s="17">
        <v>5.1999999999999998E-2</v>
      </c>
    </row>
    <row r="372" spans="1:50" x14ac:dyDescent="0.25">
      <c r="A372" s="8" t="s">
        <v>412</v>
      </c>
      <c r="B372" s="10" t="s">
        <v>57</v>
      </c>
      <c r="C372" s="18">
        <v>0.04</v>
      </c>
      <c r="D372" s="18">
        <v>0.04</v>
      </c>
      <c r="E372" s="18">
        <v>0.1157</v>
      </c>
      <c r="F372" s="18">
        <v>0.04</v>
      </c>
      <c r="G372" s="18">
        <v>0.04</v>
      </c>
      <c r="H372" s="18">
        <v>0.04</v>
      </c>
      <c r="I372" s="18">
        <v>0.1157</v>
      </c>
      <c r="J372" s="18">
        <v>0.04</v>
      </c>
      <c r="K372" s="18">
        <v>0.1157</v>
      </c>
      <c r="L372" s="18">
        <v>0.04</v>
      </c>
      <c r="M372" s="18">
        <v>0.04</v>
      </c>
      <c r="N372" s="18">
        <v>6.9400000000000003E-2</v>
      </c>
      <c r="O372" s="18">
        <v>8.6300000000000002E-2</v>
      </c>
      <c r="P372" s="18">
        <v>6.9400000000000003E-2</v>
      </c>
      <c r="Q372" s="18">
        <v>8.6300000000000002E-2</v>
      </c>
      <c r="R372" s="18">
        <v>0.04</v>
      </c>
      <c r="S372" s="18">
        <v>9.0499999999999997E-2</v>
      </c>
      <c r="T372" s="18">
        <v>0.27479999999999999</v>
      </c>
      <c r="U372" s="18">
        <v>7.5800000000000006E-2</v>
      </c>
      <c r="V372" s="18">
        <v>0.1057</v>
      </c>
      <c r="W372" s="18">
        <v>6.9400000000000003E-2</v>
      </c>
      <c r="X372" s="18">
        <v>8.6300000000000002E-2</v>
      </c>
      <c r="Y372" s="18">
        <v>9.0499999999999997E-2</v>
      </c>
      <c r="Z372" s="18">
        <v>6.5199999999999994E-2</v>
      </c>
      <c r="AA372" s="18">
        <v>0.04</v>
      </c>
      <c r="AB372" s="18">
        <v>0.13980000000000001</v>
      </c>
      <c r="AC372" s="18">
        <v>0.1021</v>
      </c>
      <c r="AD372" s="18">
        <v>0.26640000000000003</v>
      </c>
      <c r="AE372" s="18">
        <v>0.1229</v>
      </c>
      <c r="AF372" s="18">
        <v>4.2700000000000002E-2</v>
      </c>
      <c r="AG372" s="18">
        <v>0.04</v>
      </c>
      <c r="AH372" s="18">
        <v>0.04</v>
      </c>
      <c r="AI372" s="18">
        <v>6.7500000000000004E-2</v>
      </c>
      <c r="AJ372" s="18">
        <v>0.17430000000000001</v>
      </c>
      <c r="AK372" s="18">
        <v>0.182</v>
      </c>
      <c r="AL372" s="18">
        <v>0.1983</v>
      </c>
      <c r="AM372" s="18">
        <v>0.49519999999999997</v>
      </c>
      <c r="AN372" s="18">
        <v>0.22020000000000001</v>
      </c>
      <c r="AO372" s="18">
        <v>0.26050000000000001</v>
      </c>
      <c r="AP372" s="18">
        <v>0.29959999999999998</v>
      </c>
      <c r="AQ372" s="18">
        <v>0.47520000000000001</v>
      </c>
      <c r="AR372" s="18">
        <v>0.44640000000000002</v>
      </c>
      <c r="AS372" s="18">
        <v>0.45689999999999997</v>
      </c>
      <c r="AT372" s="18">
        <v>0.49890000000000001</v>
      </c>
      <c r="AU372" s="18">
        <v>9.8900000000000002E-2</v>
      </c>
      <c r="AV372" s="18">
        <v>4.8399999999999999E-2</v>
      </c>
      <c r="AW372" s="18">
        <v>0.10730000000000001</v>
      </c>
      <c r="AX372" s="18">
        <v>0.04</v>
      </c>
    </row>
    <row r="373" spans="1:50" x14ac:dyDescent="0.25">
      <c r="A373" s="16" t="s">
        <v>841</v>
      </c>
      <c r="B373" s="13" t="s">
        <v>464</v>
      </c>
      <c r="C373" s="17">
        <v>0.1222</v>
      </c>
      <c r="D373" s="17">
        <v>9.8799999999999999E-2</v>
      </c>
      <c r="E373" s="17">
        <v>7.2400000000000006E-2</v>
      </c>
      <c r="F373" s="17">
        <v>0.112</v>
      </c>
      <c r="G373" s="17">
        <v>0.15659999999999999</v>
      </c>
      <c r="H373" s="17">
        <v>0.12520000000000001</v>
      </c>
      <c r="I373" s="17">
        <v>4.5999999999999999E-2</v>
      </c>
      <c r="J373" s="17">
        <v>0.22259999999999999</v>
      </c>
      <c r="K373" s="17">
        <v>4.5999999999999999E-2</v>
      </c>
      <c r="L373" s="17">
        <v>4.5999999999999999E-2</v>
      </c>
      <c r="M373" s="17">
        <v>0.21379999999999999</v>
      </c>
      <c r="N373" s="17">
        <v>5.4800000000000001E-2</v>
      </c>
      <c r="O373" s="17">
        <v>6.6900000000000001E-2</v>
      </c>
      <c r="P373" s="17">
        <v>0.1226</v>
      </c>
      <c r="Q373" s="17">
        <v>7.2400000000000006E-2</v>
      </c>
      <c r="R373" s="17">
        <v>0.19620000000000001</v>
      </c>
      <c r="S373" s="17">
        <v>8.2199999999999995E-2</v>
      </c>
      <c r="T373" s="17">
        <v>1.6775</v>
      </c>
      <c r="U373" s="17">
        <v>0.23480000000000001</v>
      </c>
      <c r="V373" s="17">
        <v>0.27829999999999999</v>
      </c>
      <c r="W373" s="17">
        <v>0.22470000000000001</v>
      </c>
      <c r="X373" s="17">
        <v>0.2024</v>
      </c>
      <c r="Y373" s="17">
        <v>9.4399999999999998E-2</v>
      </c>
      <c r="Z373" s="17">
        <v>0.2006</v>
      </c>
      <c r="AA373" s="17">
        <v>6.8000000000000005E-2</v>
      </c>
      <c r="AB373" s="17">
        <v>5.9900000000000002E-2</v>
      </c>
      <c r="AC373" s="17">
        <v>0.21859999999999999</v>
      </c>
      <c r="AD373" s="17">
        <v>6.8699999999999997E-2</v>
      </c>
      <c r="AE373" s="17">
        <v>0.22850000000000001</v>
      </c>
      <c r="AF373" s="17">
        <v>4.5999999999999999E-2</v>
      </c>
      <c r="AG373" s="17">
        <v>0.1353</v>
      </c>
      <c r="AH373" s="17">
        <v>0.1361</v>
      </c>
      <c r="AI373" s="17">
        <v>0.15659999999999999</v>
      </c>
      <c r="AJ373" s="17">
        <v>0.112</v>
      </c>
      <c r="AK373" s="17">
        <v>9.4700000000000006E-2</v>
      </c>
      <c r="AL373" s="17">
        <v>9.4700000000000006E-2</v>
      </c>
      <c r="AM373" s="17">
        <v>7.2400000000000006E-2</v>
      </c>
      <c r="AN373" s="17">
        <v>0.19620000000000001</v>
      </c>
      <c r="AO373" s="17">
        <v>4.5999999999999999E-2</v>
      </c>
      <c r="AP373" s="17">
        <v>0.28520000000000001</v>
      </c>
      <c r="AQ373" s="17">
        <v>0.55549999999999999</v>
      </c>
      <c r="AR373" s="17">
        <v>0.60929999999999995</v>
      </c>
      <c r="AS373" s="17">
        <v>0.5494</v>
      </c>
      <c r="AT373" s="17">
        <v>0.50339999999999996</v>
      </c>
      <c r="AU373" s="17">
        <v>0.65229999999999999</v>
      </c>
      <c r="AV373" s="17">
        <v>0.62549999999999994</v>
      </c>
      <c r="AW373" s="17">
        <v>0.58860000000000001</v>
      </c>
      <c r="AX373" s="17">
        <v>0.29699999999999999</v>
      </c>
    </row>
    <row r="374" spans="1:50" x14ac:dyDescent="0.25">
      <c r="A374" s="16" t="s">
        <v>843</v>
      </c>
      <c r="B374" s="13" t="s">
        <v>464</v>
      </c>
      <c r="C374" s="17">
        <v>0.18779999999999999</v>
      </c>
      <c r="D374" s="17">
        <v>9.3399999999999997E-2</v>
      </c>
      <c r="E374" s="17">
        <v>7.8899999999999998E-2</v>
      </c>
      <c r="F374" s="17">
        <v>0.2422</v>
      </c>
      <c r="G374" s="17">
        <v>7.4899999999999994E-2</v>
      </c>
      <c r="H374" s="17">
        <v>9.8900000000000002E-2</v>
      </c>
      <c r="I374" s="17">
        <v>0.21820000000000001</v>
      </c>
      <c r="J374" s="17">
        <v>7.4899999999999994E-2</v>
      </c>
      <c r="K374" s="17">
        <v>8.2900000000000001E-2</v>
      </c>
      <c r="L374" s="17">
        <v>0.1009</v>
      </c>
      <c r="M374" s="17">
        <v>0.14430000000000001</v>
      </c>
      <c r="N374" s="17">
        <v>5.0999999999999997E-2</v>
      </c>
      <c r="O374" s="17">
        <v>0.2661</v>
      </c>
      <c r="P374" s="17">
        <v>7.0400000000000004E-2</v>
      </c>
      <c r="Q374" s="17">
        <v>0.17349999999999999</v>
      </c>
      <c r="R374" s="17">
        <v>0.1226</v>
      </c>
      <c r="S374" s="17">
        <v>5.0500000000000003E-2</v>
      </c>
      <c r="T374" s="17">
        <v>9.0899999999999995E-2</v>
      </c>
      <c r="U374" s="17">
        <v>0.22620000000000001</v>
      </c>
      <c r="V374" s="17">
        <v>4.2999999999999997E-2</v>
      </c>
      <c r="W374" s="17">
        <v>4.2999999999999997E-2</v>
      </c>
      <c r="X374" s="17">
        <v>0.27410000000000001</v>
      </c>
      <c r="Y374" s="17">
        <v>4.2999999999999997E-2</v>
      </c>
      <c r="Z374" s="17">
        <v>0.2162</v>
      </c>
      <c r="AA374" s="17">
        <v>0.1009</v>
      </c>
      <c r="AB374" s="17">
        <v>4.2999999999999997E-2</v>
      </c>
      <c r="AC374" s="17">
        <v>0.18779999999999999</v>
      </c>
      <c r="AD374" s="17">
        <v>9.3399999999999997E-2</v>
      </c>
      <c r="AE374" s="17">
        <v>0.1368</v>
      </c>
      <c r="AF374" s="17">
        <v>0.14430000000000001</v>
      </c>
      <c r="AG374" s="17">
        <v>4.2999999999999997E-2</v>
      </c>
      <c r="AH374" s="17">
        <v>0.20230000000000001</v>
      </c>
      <c r="AI374" s="17">
        <v>4.2999999999999997E-2</v>
      </c>
      <c r="AJ374" s="17">
        <v>4.2999999999999997E-2</v>
      </c>
      <c r="AK374" s="17">
        <v>0.15160000000000001</v>
      </c>
      <c r="AL374" s="17">
        <v>9.3700000000000006E-2</v>
      </c>
      <c r="AM374" s="17">
        <v>7.8899999999999998E-2</v>
      </c>
      <c r="AN374" s="17">
        <v>0.2382</v>
      </c>
      <c r="AO374" s="17">
        <v>7.8E-2</v>
      </c>
      <c r="AP374" s="17">
        <v>0.30919999999999997</v>
      </c>
      <c r="AQ374" s="17">
        <v>0.56850000000000001</v>
      </c>
      <c r="AR374" s="17">
        <v>0.64229999999999998</v>
      </c>
      <c r="AS374" s="17">
        <v>0.5837</v>
      </c>
      <c r="AT374" s="17">
        <v>0.68769999999999998</v>
      </c>
      <c r="AU374" s="17">
        <v>0.77700000000000002</v>
      </c>
      <c r="AV374" s="17">
        <v>0.19950000000000001</v>
      </c>
      <c r="AW374" s="17">
        <v>0.21540000000000001</v>
      </c>
      <c r="AX374" s="17">
        <v>0.1017</v>
      </c>
    </row>
    <row r="375" spans="1:50" x14ac:dyDescent="0.25">
      <c r="A375" s="8" t="s">
        <v>414</v>
      </c>
      <c r="B375" s="10" t="s">
        <v>57</v>
      </c>
      <c r="C375" s="18">
        <v>0.29549999999999998</v>
      </c>
      <c r="D375" s="18">
        <v>4.1000000000000002E-2</v>
      </c>
      <c r="E375" s="18">
        <v>4.1000000000000002E-2</v>
      </c>
      <c r="F375" s="18">
        <v>4.1000000000000002E-2</v>
      </c>
      <c r="G375" s="18">
        <v>4.1000000000000002E-2</v>
      </c>
      <c r="H375" s="18">
        <v>4.1000000000000002E-2</v>
      </c>
      <c r="I375" s="18">
        <v>4.1000000000000002E-2</v>
      </c>
      <c r="J375" s="18">
        <v>4.1000000000000002E-2</v>
      </c>
      <c r="K375" s="18">
        <v>4.1000000000000002E-2</v>
      </c>
      <c r="L375" s="18">
        <v>4.1000000000000002E-2</v>
      </c>
      <c r="M375" s="18">
        <v>4.1000000000000002E-2</v>
      </c>
      <c r="N375" s="18">
        <v>4.1000000000000002E-2</v>
      </c>
      <c r="O375" s="18">
        <v>4.1000000000000002E-2</v>
      </c>
      <c r="P375" s="18">
        <v>4.1000000000000002E-2</v>
      </c>
      <c r="Q375" s="18">
        <v>7.46E-2</v>
      </c>
      <c r="R375" s="18">
        <v>7.7200000000000005E-2</v>
      </c>
      <c r="S375" s="18">
        <v>1.3101</v>
      </c>
      <c r="T375" s="18">
        <v>5.4800000000000001E-2</v>
      </c>
      <c r="U375" s="18">
        <v>5.8999999999999997E-2</v>
      </c>
      <c r="V375" s="18">
        <v>0.88670000000000004</v>
      </c>
      <c r="W375" s="18">
        <v>0.16159999999999999</v>
      </c>
      <c r="X375" s="18">
        <v>0.15140000000000001</v>
      </c>
      <c r="Y375" s="18">
        <v>0.93920000000000003</v>
      </c>
      <c r="Z375" s="18">
        <v>0.17080000000000001</v>
      </c>
      <c r="AA375" s="18">
        <v>0.22900000000000001</v>
      </c>
      <c r="AB375" s="18">
        <v>0.28349999999999997</v>
      </c>
      <c r="AC375" s="18">
        <v>0.3332</v>
      </c>
      <c r="AD375" s="18">
        <v>0.31569999999999998</v>
      </c>
      <c r="AE375" s="18">
        <v>0.36730000000000002</v>
      </c>
      <c r="AF375" s="18">
        <v>0.31709999999999999</v>
      </c>
      <c r="AG375" s="18">
        <v>0.7157</v>
      </c>
      <c r="AH375" s="18">
        <v>1.2625999999999999</v>
      </c>
      <c r="AI375" s="18">
        <v>1.8529</v>
      </c>
      <c r="AJ375" s="18">
        <v>0.91549999999999998</v>
      </c>
      <c r="AK375" s="18">
        <v>0.5827</v>
      </c>
      <c r="AL375" s="18">
        <v>8.9300000000000004E-2</v>
      </c>
      <c r="AM375" s="18">
        <v>0.38700000000000001</v>
      </c>
      <c r="AN375" s="18">
        <v>0.29970000000000002</v>
      </c>
      <c r="AO375" s="18">
        <v>0.24829999999999999</v>
      </c>
      <c r="AP375" s="18">
        <v>0.30130000000000001</v>
      </c>
      <c r="AQ375" s="18">
        <v>0.40789999999999998</v>
      </c>
      <c r="AR375" s="18">
        <v>0.18579999999999999</v>
      </c>
      <c r="AS375" s="18">
        <v>0.21510000000000001</v>
      </c>
      <c r="AT375" s="18">
        <v>0.29070000000000001</v>
      </c>
      <c r="AU375" s="18">
        <v>0.54969999999999997</v>
      </c>
      <c r="AV375" s="18">
        <v>0.86899999999999999</v>
      </c>
      <c r="AW375" s="18">
        <v>0.56799999999999995</v>
      </c>
      <c r="AX375" s="18">
        <v>0.41830000000000001</v>
      </c>
    </row>
    <row r="376" spans="1:50" x14ac:dyDescent="0.25">
      <c r="A376" s="8" t="s">
        <v>416</v>
      </c>
      <c r="B376" s="10" t="s">
        <v>57</v>
      </c>
      <c r="C376" s="18">
        <v>0.05</v>
      </c>
      <c r="D376" s="18">
        <v>0.1099</v>
      </c>
      <c r="E376" s="18">
        <v>0.23719999999999999</v>
      </c>
      <c r="F376" s="18">
        <v>0.05</v>
      </c>
      <c r="G376" s="18">
        <v>8.7300000000000003E-2</v>
      </c>
      <c r="H376" s="18">
        <v>0.246</v>
      </c>
      <c r="I376" s="18">
        <v>6.3799999999999996E-2</v>
      </c>
      <c r="J376" s="18">
        <v>0.2069</v>
      </c>
      <c r="K376" s="18">
        <v>0.14019999999999999</v>
      </c>
      <c r="L376" s="18">
        <v>5.4600000000000003E-2</v>
      </c>
      <c r="M376" s="18">
        <v>0.1283</v>
      </c>
      <c r="N376" s="18">
        <v>0.05</v>
      </c>
      <c r="O376" s="18">
        <v>9.2600000000000002E-2</v>
      </c>
      <c r="P376" s="18">
        <v>0.2545</v>
      </c>
      <c r="Q376" s="18">
        <v>0.05</v>
      </c>
      <c r="R376" s="18">
        <v>0.25940000000000002</v>
      </c>
      <c r="S376" s="18">
        <v>0.38719999999999999</v>
      </c>
      <c r="T376" s="18">
        <v>0.21429999999999999</v>
      </c>
      <c r="U376" s="18">
        <v>0.66349999999999998</v>
      </c>
      <c r="V376" s="18">
        <v>0.20549999999999999</v>
      </c>
      <c r="W376" s="18">
        <v>0.36449999999999999</v>
      </c>
      <c r="X376" s="18">
        <v>0.34329999999999999</v>
      </c>
      <c r="Y376" s="18">
        <v>0.2278</v>
      </c>
      <c r="Z376" s="18">
        <v>2.5070000000000001</v>
      </c>
      <c r="AA376" s="18">
        <v>2.9782999999999999</v>
      </c>
      <c r="AB376" s="18">
        <v>1.1211</v>
      </c>
      <c r="AC376" s="18">
        <v>0.1022</v>
      </c>
      <c r="AD376" s="18">
        <v>0.05</v>
      </c>
      <c r="AE376" s="18">
        <v>0.25979999999999998</v>
      </c>
      <c r="AF376" s="18">
        <v>8.7300000000000003E-2</v>
      </c>
      <c r="AG376" s="18">
        <v>0.1817</v>
      </c>
      <c r="AH376" s="18">
        <v>0.16539999999999999</v>
      </c>
      <c r="AI376" s="18">
        <v>0.05</v>
      </c>
      <c r="AJ376" s="18">
        <v>0.41120000000000001</v>
      </c>
      <c r="AK376" s="18">
        <v>0.40210000000000001</v>
      </c>
      <c r="AL376" s="18">
        <v>0.30399999999999999</v>
      </c>
      <c r="AM376" s="18">
        <v>0.2329</v>
      </c>
      <c r="AN376" s="18">
        <v>0.122</v>
      </c>
      <c r="AO376" s="18">
        <v>0.77090000000000003</v>
      </c>
      <c r="AP376" s="18">
        <v>0.68640000000000001</v>
      </c>
      <c r="AQ376" s="18">
        <v>0.54200000000000004</v>
      </c>
      <c r="AR376" s="18">
        <v>0.67020000000000002</v>
      </c>
      <c r="AS376" s="18">
        <v>0.64880000000000004</v>
      </c>
      <c r="AT376" s="18">
        <v>0.6512</v>
      </c>
      <c r="AU376" s="18">
        <v>0.97170000000000001</v>
      </c>
      <c r="AV376" s="18">
        <v>0.80489999999999995</v>
      </c>
      <c r="AW376" s="18">
        <v>0.92310000000000003</v>
      </c>
      <c r="AX376" s="18">
        <v>0.64300000000000002</v>
      </c>
    </row>
    <row r="377" spans="1:50" x14ac:dyDescent="0.25">
      <c r="A377" s="16" t="s">
        <v>845</v>
      </c>
      <c r="B377" s="13" t="s">
        <v>464</v>
      </c>
      <c r="C377" s="17">
        <v>0.16880000000000001</v>
      </c>
      <c r="D377" s="17">
        <v>5.8000000000000003E-2</v>
      </c>
      <c r="E377" s="17">
        <v>0.42480000000000001</v>
      </c>
      <c r="F377" s="17">
        <v>5.8000000000000003E-2</v>
      </c>
      <c r="G377" s="17">
        <v>0.34539999999999998</v>
      </c>
      <c r="H377" s="17">
        <v>0.1467</v>
      </c>
      <c r="I377" s="17">
        <v>0.16170000000000001</v>
      </c>
      <c r="J377" s="17">
        <v>0.31180000000000002</v>
      </c>
      <c r="K377" s="17">
        <v>5.8000000000000003E-2</v>
      </c>
      <c r="L377" s="17">
        <v>0.32850000000000001</v>
      </c>
      <c r="M377" s="17">
        <v>7.0300000000000001E-2</v>
      </c>
      <c r="N377" s="17">
        <v>0.23419999999999999</v>
      </c>
      <c r="O377" s="17">
        <v>0.2487</v>
      </c>
      <c r="P377" s="17">
        <v>7.2499999999999995E-2</v>
      </c>
      <c r="Q377" s="17">
        <v>0.4103</v>
      </c>
      <c r="R377" s="17">
        <v>5.8000000000000003E-2</v>
      </c>
      <c r="S377" s="17">
        <v>0.48559999999999998</v>
      </c>
      <c r="T377" s="17">
        <v>0.29799999999999999</v>
      </c>
      <c r="U377" s="17">
        <v>0.3029</v>
      </c>
      <c r="V377" s="17">
        <v>0.44550000000000001</v>
      </c>
      <c r="W377" s="17">
        <v>0.15140000000000001</v>
      </c>
      <c r="X377" s="17">
        <v>0.14199999999999999</v>
      </c>
      <c r="Y377" s="17">
        <v>0.21049999999999999</v>
      </c>
      <c r="Z377" s="17">
        <v>8.8400000000000006E-2</v>
      </c>
      <c r="AA377" s="17">
        <v>0.24199999999999999</v>
      </c>
      <c r="AB377" s="17">
        <v>0.2177</v>
      </c>
      <c r="AC377" s="17">
        <v>0.1196</v>
      </c>
      <c r="AD377" s="17">
        <v>0.26840000000000003</v>
      </c>
      <c r="AE377" s="17">
        <v>0.2021</v>
      </c>
      <c r="AF377" s="17">
        <v>0.1754</v>
      </c>
      <c r="AG377" s="17">
        <v>0.23949999999999999</v>
      </c>
      <c r="AH377" s="17">
        <v>7.6700000000000004E-2</v>
      </c>
      <c r="AI377" s="17">
        <v>0.12330000000000001</v>
      </c>
      <c r="AJ377" s="17">
        <v>0.38840000000000002</v>
      </c>
      <c r="AK377" s="17">
        <v>0.51529999999999998</v>
      </c>
      <c r="AL377" s="17">
        <v>0.62190000000000001</v>
      </c>
      <c r="AM377" s="17">
        <v>0.47360000000000002</v>
      </c>
      <c r="AN377" s="17">
        <v>0.59930000000000005</v>
      </c>
      <c r="AO377" s="17">
        <v>0.38600000000000001</v>
      </c>
      <c r="AP377" s="17">
        <v>0.58399999999999996</v>
      </c>
      <c r="AQ377" s="17">
        <v>0.74590000000000001</v>
      </c>
      <c r="AR377" s="17">
        <v>0.51670000000000005</v>
      </c>
      <c r="AS377" s="17">
        <v>0.54610000000000003</v>
      </c>
      <c r="AT377" s="17">
        <v>0.89959999999999996</v>
      </c>
      <c r="AU377" s="17">
        <v>0.80479999999999996</v>
      </c>
      <c r="AV377" s="17">
        <v>0.47310000000000002</v>
      </c>
      <c r="AW377" s="17">
        <v>0.1244</v>
      </c>
      <c r="AX377" s="17">
        <v>0.1835</v>
      </c>
    </row>
    <row r="378" spans="1:50" x14ac:dyDescent="0.25">
      <c r="A378" s="16" t="s">
        <v>847</v>
      </c>
      <c r="B378" s="13" t="s">
        <v>464</v>
      </c>
      <c r="C378" s="17">
        <v>4.2999999999999997E-2</v>
      </c>
      <c r="D378" s="17">
        <v>0.19980000000000001</v>
      </c>
      <c r="E378" s="17">
        <v>0.18099999999999999</v>
      </c>
      <c r="F378" s="17">
        <v>9.1399999999999995E-2</v>
      </c>
      <c r="G378" s="17">
        <v>0.20230000000000001</v>
      </c>
      <c r="H378" s="17">
        <v>0.22370000000000001</v>
      </c>
      <c r="I378" s="17">
        <v>0.33979999999999999</v>
      </c>
      <c r="J378" s="17">
        <v>0.36049999999999999</v>
      </c>
      <c r="K378" s="17">
        <v>6.0600000000000001E-2</v>
      </c>
      <c r="L378" s="17">
        <v>0.26150000000000001</v>
      </c>
      <c r="M378" s="17">
        <v>0.11940000000000001</v>
      </c>
      <c r="N378" s="17">
        <v>4.2999999999999997E-2</v>
      </c>
      <c r="O378" s="17">
        <v>0.33789999999999998</v>
      </c>
      <c r="P378" s="17">
        <v>4.2999999999999997E-2</v>
      </c>
      <c r="Q378" s="17">
        <v>0.31440000000000001</v>
      </c>
      <c r="R378" s="17">
        <v>6.6500000000000004E-2</v>
      </c>
      <c r="S378" s="17">
        <v>8.5000000000000006E-2</v>
      </c>
      <c r="T378" s="17">
        <v>0.39660000000000001</v>
      </c>
      <c r="U378" s="17">
        <v>0.14599999999999999</v>
      </c>
      <c r="V378" s="17">
        <v>0.2293</v>
      </c>
      <c r="W378" s="17">
        <v>0.15579999999999999</v>
      </c>
      <c r="X378" s="17">
        <v>0.14879999999999999</v>
      </c>
      <c r="Y378" s="17">
        <v>0.2321</v>
      </c>
      <c r="Z378" s="17">
        <v>0.17219999999999999</v>
      </c>
      <c r="AA378" s="17">
        <v>1.5674999999999999</v>
      </c>
      <c r="AB378" s="17">
        <v>0.11609999999999999</v>
      </c>
      <c r="AC378" s="17">
        <v>0.1371</v>
      </c>
      <c r="AD378" s="17">
        <v>0.25569999999999998</v>
      </c>
      <c r="AE378" s="17">
        <v>0.2127</v>
      </c>
      <c r="AF378" s="17">
        <v>0.1036</v>
      </c>
      <c r="AG378" s="17">
        <v>0.43959999999999999</v>
      </c>
      <c r="AH378" s="17">
        <v>6.4500000000000002E-2</v>
      </c>
      <c r="AI378" s="17">
        <v>0.32050000000000001</v>
      </c>
      <c r="AJ378" s="17">
        <v>0.1138</v>
      </c>
      <c r="AK378" s="17">
        <v>0.19059999999999999</v>
      </c>
      <c r="AL378" s="17">
        <v>0.43059999999999998</v>
      </c>
      <c r="AM378" s="17">
        <v>0.24529999999999999</v>
      </c>
      <c r="AN378" s="17">
        <v>0.36480000000000001</v>
      </c>
      <c r="AO378" s="17">
        <v>0.15640000000000001</v>
      </c>
      <c r="AP378" s="17">
        <v>0.31059999999999999</v>
      </c>
      <c r="AQ378" s="17">
        <v>0.25030000000000002</v>
      </c>
      <c r="AR378" s="17">
        <v>0.2203</v>
      </c>
      <c r="AS378" s="17">
        <v>0.13439999999999999</v>
      </c>
      <c r="AT378" s="17">
        <v>0.46700000000000003</v>
      </c>
      <c r="AU378" s="17">
        <v>0.34489999999999998</v>
      </c>
      <c r="AV378" s="17">
        <v>0.53900000000000003</v>
      </c>
      <c r="AW378" s="17">
        <v>0.51549999999999996</v>
      </c>
      <c r="AX378" s="17">
        <v>0.3261</v>
      </c>
    </row>
    <row r="379" spans="1:50" x14ac:dyDescent="0.25">
      <c r="A379" s="8" t="s">
        <v>418</v>
      </c>
      <c r="B379" s="10" t="s">
        <v>57</v>
      </c>
      <c r="C379" s="18">
        <v>9.7799999999999998E-2</v>
      </c>
      <c r="D379" s="18">
        <v>0.16950000000000001</v>
      </c>
      <c r="E379" s="18">
        <v>0.18609999999999999</v>
      </c>
      <c r="F379" s="18">
        <v>6.93E-2</v>
      </c>
      <c r="G379" s="18">
        <v>0.15060000000000001</v>
      </c>
      <c r="H379" s="18">
        <v>0.17649999999999999</v>
      </c>
      <c r="I379" s="18">
        <v>9.0899999999999995E-2</v>
      </c>
      <c r="J379" s="18">
        <v>0.15060000000000001</v>
      </c>
      <c r="K379" s="18">
        <v>9.7799999999999998E-2</v>
      </c>
      <c r="L379" s="18">
        <v>0.2293</v>
      </c>
      <c r="M379" s="18">
        <v>8.8300000000000003E-2</v>
      </c>
      <c r="N379" s="18">
        <v>0.10730000000000001</v>
      </c>
      <c r="O379" s="18">
        <v>0.1865</v>
      </c>
      <c r="P379" s="18">
        <v>0.1406</v>
      </c>
      <c r="Q379" s="18">
        <v>5.5E-2</v>
      </c>
      <c r="R379" s="18">
        <v>0.27210000000000001</v>
      </c>
      <c r="S379" s="18">
        <v>0.13769999999999999</v>
      </c>
      <c r="T379" s="18">
        <v>0.43319999999999997</v>
      </c>
      <c r="U379" s="18">
        <v>1.3541000000000001</v>
      </c>
      <c r="V379" s="18">
        <v>0.90469999999999995</v>
      </c>
      <c r="W379" s="18">
        <v>1.6645000000000001</v>
      </c>
      <c r="X379" s="18">
        <v>0.16489999999999999</v>
      </c>
      <c r="Y379" s="18">
        <v>0.2112</v>
      </c>
      <c r="Z379" s="18">
        <v>0.67789999999999995</v>
      </c>
      <c r="AA379" s="18">
        <v>8.0699999999999994E-2</v>
      </c>
      <c r="AB379" s="18">
        <v>0.53090000000000004</v>
      </c>
      <c r="AC379" s="18">
        <v>0.31940000000000002</v>
      </c>
      <c r="AD379" s="18">
        <v>0.41520000000000001</v>
      </c>
      <c r="AE379" s="18">
        <v>0.27529999999999999</v>
      </c>
      <c r="AF379" s="18">
        <v>0.3498</v>
      </c>
      <c r="AG379" s="18">
        <v>0.25159999999999999</v>
      </c>
      <c r="AH379" s="18">
        <v>0.27239999999999998</v>
      </c>
      <c r="AI379" s="18">
        <v>0.41439999999999999</v>
      </c>
      <c r="AJ379" s="18">
        <v>1.2455000000000001</v>
      </c>
      <c r="AK379" s="18">
        <v>1.3787</v>
      </c>
      <c r="AL379" s="18">
        <v>2.0516999999999999</v>
      </c>
      <c r="AM379" s="18">
        <v>0.40160000000000001</v>
      </c>
      <c r="AN379" s="18">
        <v>0.67310000000000003</v>
      </c>
      <c r="AO379" s="18">
        <v>1.4612000000000001</v>
      </c>
      <c r="AP379" s="18">
        <v>1.2282</v>
      </c>
      <c r="AQ379" s="18">
        <v>1.4503999999999999</v>
      </c>
      <c r="AR379" s="18">
        <v>0.31979999999999997</v>
      </c>
      <c r="AS379" s="18">
        <v>0.31230000000000002</v>
      </c>
      <c r="AT379" s="18">
        <v>0.4672</v>
      </c>
      <c r="AU379" s="18">
        <v>0.45590000000000003</v>
      </c>
      <c r="AV379" s="18">
        <v>0.54779999999999995</v>
      </c>
      <c r="AW379" s="18">
        <v>0.34849999999999998</v>
      </c>
      <c r="AX379" s="18">
        <v>7.2900000000000006E-2</v>
      </c>
    </row>
    <row r="380" spans="1:50" x14ac:dyDescent="0.25">
      <c r="A380" s="16" t="s">
        <v>849</v>
      </c>
      <c r="B380" s="13" t="s">
        <v>464</v>
      </c>
      <c r="C380" s="17">
        <v>0.1016</v>
      </c>
      <c r="D380" s="17">
        <v>4.8000000000000001E-2</v>
      </c>
      <c r="E380" s="17">
        <v>4.8000000000000001E-2</v>
      </c>
      <c r="F380" s="17">
        <v>0.21659999999999999</v>
      </c>
      <c r="G380" s="17">
        <v>4.8000000000000001E-2</v>
      </c>
      <c r="H380" s="17">
        <v>0.14760000000000001</v>
      </c>
      <c r="I380" s="17">
        <v>0.11700000000000001</v>
      </c>
      <c r="J380" s="17">
        <v>5.57E-2</v>
      </c>
      <c r="K380" s="17">
        <v>0.2089</v>
      </c>
      <c r="L380" s="17">
        <v>4.8000000000000001E-2</v>
      </c>
      <c r="M380" s="17">
        <v>4.8000000000000001E-2</v>
      </c>
      <c r="N380" s="17">
        <v>0.21659999999999999</v>
      </c>
      <c r="O380" s="17">
        <v>5.4899999999999997E-2</v>
      </c>
      <c r="P380" s="17">
        <v>5.5599999999999997E-2</v>
      </c>
      <c r="Q380" s="17">
        <v>0.1246</v>
      </c>
      <c r="R380" s="17">
        <v>0.15970000000000001</v>
      </c>
      <c r="S380" s="17">
        <v>0.30590000000000001</v>
      </c>
      <c r="T380" s="17">
        <v>0.3049</v>
      </c>
      <c r="U380" s="17">
        <v>9.2200000000000004E-2</v>
      </c>
      <c r="V380" s="17">
        <v>6.3299999999999995E-2</v>
      </c>
      <c r="W380" s="17">
        <v>0.30280000000000001</v>
      </c>
      <c r="X380" s="17">
        <v>0.16800000000000001</v>
      </c>
      <c r="Y380" s="17">
        <v>4.8000000000000001E-2</v>
      </c>
      <c r="Z380" s="17">
        <v>4.8000000000000001E-2</v>
      </c>
      <c r="AA380" s="17">
        <v>0.21659999999999999</v>
      </c>
      <c r="AB380" s="17">
        <v>4.8000000000000001E-2</v>
      </c>
      <c r="AC380" s="17">
        <v>7.0800000000000002E-2</v>
      </c>
      <c r="AD380" s="17">
        <v>0.20660000000000001</v>
      </c>
      <c r="AE380" s="17">
        <v>9.35E-2</v>
      </c>
      <c r="AF380" s="17">
        <v>0.32350000000000001</v>
      </c>
      <c r="AG380" s="17">
        <v>1.0793999999999999</v>
      </c>
      <c r="AH380" s="17">
        <v>0.52259999999999995</v>
      </c>
      <c r="AI380" s="17">
        <v>0.37780000000000002</v>
      </c>
      <c r="AJ380" s="17">
        <v>0.22739999999999999</v>
      </c>
      <c r="AK380" s="17">
        <v>6.3700000000000007E-2</v>
      </c>
      <c r="AL380" s="17">
        <v>0.42449999999999999</v>
      </c>
      <c r="AM380" s="17">
        <v>5.2699999999999997E-2</v>
      </c>
      <c r="AN380" s="17">
        <v>0.15429999999999999</v>
      </c>
      <c r="AO380" s="17">
        <v>0.2387</v>
      </c>
      <c r="AP380" s="17">
        <v>0.26719999999999999</v>
      </c>
      <c r="AQ380" s="17">
        <v>0.64980000000000004</v>
      </c>
      <c r="AR380" s="17">
        <v>0.19889999999999999</v>
      </c>
      <c r="AS380" s="17">
        <v>0.11700000000000001</v>
      </c>
      <c r="AT380" s="17">
        <v>0.14760000000000001</v>
      </c>
      <c r="AU380" s="17">
        <v>4.8000000000000001E-2</v>
      </c>
      <c r="AV380" s="17">
        <v>0.1399</v>
      </c>
      <c r="AW380" s="17">
        <v>0.1246</v>
      </c>
      <c r="AX380" s="17">
        <v>4.8000000000000001E-2</v>
      </c>
    </row>
    <row r="381" spans="1:50" x14ac:dyDescent="0.25">
      <c r="A381" s="16" t="s">
        <v>851</v>
      </c>
      <c r="B381" s="13" t="s">
        <v>464</v>
      </c>
      <c r="C381" s="17">
        <v>0.19839999999999999</v>
      </c>
      <c r="D381" s="17">
        <v>0.10349999999999999</v>
      </c>
      <c r="E381" s="17">
        <v>0.1084</v>
      </c>
      <c r="F381" s="17">
        <v>0.18440000000000001</v>
      </c>
      <c r="G381" s="17">
        <v>0.1399</v>
      </c>
      <c r="H381" s="17">
        <v>5.8000000000000003E-2</v>
      </c>
      <c r="I381" s="17">
        <v>0.2303</v>
      </c>
      <c r="J381" s="17">
        <v>0.108</v>
      </c>
      <c r="K381" s="17">
        <v>0.1633</v>
      </c>
      <c r="L381" s="17">
        <v>0.17499999999999999</v>
      </c>
      <c r="M381" s="17">
        <v>5.8000000000000003E-2</v>
      </c>
      <c r="N381" s="17">
        <v>0.1263</v>
      </c>
      <c r="O381" s="17">
        <v>0.191</v>
      </c>
      <c r="P381" s="17">
        <v>7.9100000000000004E-2</v>
      </c>
      <c r="Q381" s="17">
        <v>5.8000000000000003E-2</v>
      </c>
      <c r="R381" s="17">
        <v>1.0468</v>
      </c>
      <c r="S381" s="17">
        <v>0.19750000000000001</v>
      </c>
      <c r="T381" s="17">
        <v>0.83879999999999999</v>
      </c>
      <c r="U381" s="17">
        <v>2.7298</v>
      </c>
      <c r="V381" s="17">
        <v>1.4084000000000001</v>
      </c>
      <c r="W381" s="17">
        <v>1.1466000000000001</v>
      </c>
      <c r="X381" s="17">
        <v>0.1258</v>
      </c>
      <c r="Y381" s="17">
        <v>5.8000000000000003E-2</v>
      </c>
      <c r="Z381" s="17">
        <v>0.22570000000000001</v>
      </c>
      <c r="AA381" s="17">
        <v>0.11260000000000001</v>
      </c>
      <c r="AB381" s="17">
        <v>5.8000000000000003E-2</v>
      </c>
      <c r="AC381" s="17">
        <v>0.1399</v>
      </c>
      <c r="AD381" s="17">
        <v>5.8000000000000003E-2</v>
      </c>
      <c r="AE381" s="17">
        <v>0.27579999999999999</v>
      </c>
      <c r="AF381" s="17">
        <v>6.25E-2</v>
      </c>
      <c r="AG381" s="17">
        <v>0.21590000000000001</v>
      </c>
      <c r="AH381" s="17">
        <v>0.36840000000000001</v>
      </c>
      <c r="AI381" s="17">
        <v>2.6048</v>
      </c>
      <c r="AJ381" s="17">
        <v>3.6959</v>
      </c>
      <c r="AK381" s="17">
        <v>0.83320000000000005</v>
      </c>
      <c r="AL381" s="17">
        <v>1.2521</v>
      </c>
      <c r="AM381" s="17">
        <v>1.0929</v>
      </c>
      <c r="AN381" s="17">
        <v>0.497</v>
      </c>
      <c r="AO381" s="17">
        <v>1.2891999999999999</v>
      </c>
      <c r="AP381" s="17">
        <v>0.64790000000000003</v>
      </c>
      <c r="AQ381" s="17">
        <v>0.62509999999999999</v>
      </c>
      <c r="AR381" s="17">
        <v>0.61329999999999996</v>
      </c>
      <c r="AS381" s="17">
        <v>0.71079999999999999</v>
      </c>
      <c r="AT381" s="17">
        <v>1.3103</v>
      </c>
      <c r="AU381" s="17">
        <v>0.53239999999999998</v>
      </c>
      <c r="AV381" s="17">
        <v>7.1999999999999995E-2</v>
      </c>
      <c r="AW381" s="17">
        <v>0.1399</v>
      </c>
      <c r="AX381" s="17">
        <v>0.1633</v>
      </c>
    </row>
    <row r="382" spans="1:50" x14ac:dyDescent="0.25">
      <c r="A382" s="16" t="s">
        <v>853</v>
      </c>
      <c r="B382" s="13" t="s">
        <v>464</v>
      </c>
      <c r="C382" s="17">
        <v>0.1077</v>
      </c>
      <c r="D382" s="17">
        <v>0.21790000000000001</v>
      </c>
      <c r="E382" s="17">
        <v>0.1512</v>
      </c>
      <c r="F382" s="17">
        <v>0.13450000000000001</v>
      </c>
      <c r="G382" s="17">
        <v>0.11360000000000001</v>
      </c>
      <c r="H382" s="17">
        <v>0.2555</v>
      </c>
      <c r="I382" s="17">
        <v>0.1166</v>
      </c>
      <c r="J382" s="17">
        <v>0.1762</v>
      </c>
      <c r="K382" s="17">
        <v>0.22869999999999999</v>
      </c>
      <c r="L382" s="17">
        <v>0.1166</v>
      </c>
      <c r="M382" s="17">
        <v>0.23180000000000001</v>
      </c>
      <c r="N382" s="17">
        <v>0.13730000000000001</v>
      </c>
      <c r="O382" s="17">
        <v>0.23139999999999999</v>
      </c>
      <c r="P382" s="17">
        <v>0.21829999999999999</v>
      </c>
      <c r="Q382" s="17">
        <v>0.13009999999999999</v>
      </c>
      <c r="R382" s="17">
        <v>0.22239999999999999</v>
      </c>
      <c r="S382" s="17">
        <v>0.56679999999999997</v>
      </c>
      <c r="T382" s="17">
        <v>0.26290000000000002</v>
      </c>
      <c r="U382" s="17">
        <v>0.27800000000000002</v>
      </c>
      <c r="V382" s="17">
        <v>0.5524</v>
      </c>
      <c r="W382" s="17">
        <v>0.2177</v>
      </c>
      <c r="X382" s="17">
        <v>0.44990000000000002</v>
      </c>
      <c r="Y382" s="17">
        <v>1.2439</v>
      </c>
      <c r="Z382" s="17">
        <v>0.33160000000000001</v>
      </c>
      <c r="AA382" s="17">
        <v>0.36480000000000001</v>
      </c>
      <c r="AB382" s="17">
        <v>0.28320000000000001</v>
      </c>
      <c r="AC382" s="17">
        <v>7.1999999999999995E-2</v>
      </c>
      <c r="AD382" s="17">
        <v>0.33379999999999999</v>
      </c>
      <c r="AE382" s="17">
        <v>1.1641999999999999</v>
      </c>
      <c r="AF382" s="17">
        <v>0.68700000000000006</v>
      </c>
      <c r="AG382" s="17">
        <v>0.59870000000000001</v>
      </c>
      <c r="AH382" s="17">
        <v>0.18190000000000001</v>
      </c>
      <c r="AI382" s="17">
        <v>0.3528</v>
      </c>
      <c r="AJ382" s="17">
        <v>0.26090000000000002</v>
      </c>
      <c r="AK382" s="17">
        <v>0.46489999999999998</v>
      </c>
      <c r="AL382" s="17">
        <v>0.56120000000000003</v>
      </c>
      <c r="AM382" s="17">
        <v>0.40649999999999997</v>
      </c>
      <c r="AN382" s="17">
        <v>0.38290000000000002</v>
      </c>
      <c r="AO382" s="17">
        <v>0.35770000000000002</v>
      </c>
      <c r="AP382" s="17">
        <v>1.0278</v>
      </c>
      <c r="AQ382" s="17">
        <v>0.53879999999999995</v>
      </c>
      <c r="AR382" s="17">
        <v>0.8286</v>
      </c>
      <c r="AS382" s="17">
        <v>0.96109999999999995</v>
      </c>
      <c r="AT382" s="17">
        <v>0.80600000000000005</v>
      </c>
      <c r="AU382" s="17">
        <v>0.97889999999999999</v>
      </c>
      <c r="AV382" s="17">
        <v>0.88590000000000002</v>
      </c>
      <c r="AW382" s="17">
        <v>0.56110000000000004</v>
      </c>
      <c r="AX382" s="17">
        <v>0.21790000000000001</v>
      </c>
    </row>
    <row r="383" spans="1:50" x14ac:dyDescent="0.25">
      <c r="A383" s="16" t="s">
        <v>855</v>
      </c>
      <c r="B383" s="13" t="s">
        <v>464</v>
      </c>
      <c r="C383" s="17">
        <v>3.5999999999999997E-2</v>
      </c>
      <c r="D383" s="17">
        <v>0.1573</v>
      </c>
      <c r="E383" s="17">
        <v>9.2600000000000002E-2</v>
      </c>
      <c r="F383" s="17">
        <v>6.83E-2</v>
      </c>
      <c r="G383" s="17">
        <v>0.18149999999999999</v>
      </c>
      <c r="H383" s="17">
        <v>3.5999999999999997E-2</v>
      </c>
      <c r="I383" s="17">
        <v>0.1734</v>
      </c>
      <c r="J383" s="17">
        <v>7.6399999999999996E-2</v>
      </c>
      <c r="K383" s="17">
        <v>0.1007</v>
      </c>
      <c r="L383" s="17">
        <v>0.1492</v>
      </c>
      <c r="M383" s="17">
        <v>3.5999999999999997E-2</v>
      </c>
      <c r="N383" s="17">
        <v>0.21379999999999999</v>
      </c>
      <c r="O383" s="17">
        <v>3.5999999999999997E-2</v>
      </c>
      <c r="P383" s="17">
        <v>3.5999999999999997E-2</v>
      </c>
      <c r="Q383" s="17">
        <v>8.4500000000000006E-2</v>
      </c>
      <c r="R383" s="17">
        <v>0.1653</v>
      </c>
      <c r="S383" s="17">
        <v>0.16520000000000001</v>
      </c>
      <c r="T383" s="17">
        <v>0.56420000000000003</v>
      </c>
      <c r="U383" s="17">
        <v>0.23760000000000001</v>
      </c>
      <c r="V383" s="17">
        <v>3.5999999999999997E-2</v>
      </c>
      <c r="W383" s="17">
        <v>5.2200000000000003E-2</v>
      </c>
      <c r="X383" s="17">
        <v>0.31</v>
      </c>
      <c r="Y383" s="17">
        <v>0.38929999999999998</v>
      </c>
      <c r="Z383" s="17">
        <v>0.12529999999999999</v>
      </c>
      <c r="AA383" s="17">
        <v>0.21529999999999999</v>
      </c>
      <c r="AB383" s="17">
        <v>1.5114000000000001</v>
      </c>
      <c r="AC383" s="17">
        <v>1.4463999999999999</v>
      </c>
      <c r="AD383" s="17">
        <v>1.0612999999999999</v>
      </c>
      <c r="AE383" s="17">
        <v>0.18140000000000001</v>
      </c>
      <c r="AF383" s="17">
        <v>0.28079999999999999</v>
      </c>
      <c r="AG383" s="17">
        <v>5.5800000000000002E-2</v>
      </c>
      <c r="AH383" s="17">
        <v>0.20580000000000001</v>
      </c>
      <c r="AI383" s="17">
        <v>3.5999999999999997E-2</v>
      </c>
      <c r="AJ383" s="17">
        <v>0.18959999999999999</v>
      </c>
      <c r="AK383" s="17">
        <v>6.0299999999999999E-2</v>
      </c>
      <c r="AL383" s="17">
        <v>3.5999999999999997E-2</v>
      </c>
      <c r="AM383" s="17">
        <v>0.20580000000000001</v>
      </c>
      <c r="AN383" s="17">
        <v>4.41E-2</v>
      </c>
      <c r="AO383" s="17">
        <v>0.1411</v>
      </c>
      <c r="AP383" s="17">
        <v>0.10879999999999999</v>
      </c>
      <c r="AQ383" s="17">
        <v>3.5999999999999997E-2</v>
      </c>
      <c r="AR383" s="17">
        <v>0.21379999999999999</v>
      </c>
      <c r="AS383" s="17">
        <v>3.5999999999999997E-2</v>
      </c>
      <c r="AT383" s="17">
        <v>0.1249</v>
      </c>
      <c r="AU383" s="17">
        <v>0.1249</v>
      </c>
      <c r="AV383" s="17">
        <v>3.5999999999999997E-2</v>
      </c>
      <c r="AW383" s="17">
        <v>0.1168</v>
      </c>
      <c r="AX383" s="17">
        <v>0.13300000000000001</v>
      </c>
    </row>
    <row r="384" spans="1:50" x14ac:dyDescent="0.25">
      <c r="A384" s="8" t="s">
        <v>420</v>
      </c>
      <c r="B384" s="10" t="s">
        <v>57</v>
      </c>
      <c r="C384" s="18">
        <v>0.15110000000000001</v>
      </c>
      <c r="D384" s="18">
        <v>5.2999999999999999E-2</v>
      </c>
      <c r="E384" s="18">
        <v>0.1338</v>
      </c>
      <c r="F384" s="18">
        <v>0.17380000000000001</v>
      </c>
      <c r="G384" s="18">
        <v>6.2600000000000003E-2</v>
      </c>
      <c r="H384" s="18">
        <v>0.245</v>
      </c>
      <c r="I384" s="18">
        <v>5.2999999999999999E-2</v>
      </c>
      <c r="J384" s="18">
        <v>0.16259999999999999</v>
      </c>
      <c r="K384" s="18">
        <v>0.14499999999999999</v>
      </c>
      <c r="L384" s="18">
        <v>0.128</v>
      </c>
      <c r="M384" s="18">
        <v>9.3399999999999997E-2</v>
      </c>
      <c r="N384" s="18">
        <v>5.2999999999999999E-2</v>
      </c>
      <c r="O384" s="18">
        <v>9.1300000000000006E-2</v>
      </c>
      <c r="P384" s="18">
        <v>0.15279999999999999</v>
      </c>
      <c r="Q384" s="18">
        <v>0.1164</v>
      </c>
      <c r="R384" s="18">
        <v>0.3901</v>
      </c>
      <c r="S384" s="18">
        <v>1.6791</v>
      </c>
      <c r="T384" s="18">
        <v>0.36049999999999999</v>
      </c>
      <c r="U384" s="18">
        <v>9.6100000000000005E-2</v>
      </c>
      <c r="V384" s="18">
        <v>9.6100000000000005E-2</v>
      </c>
      <c r="W384" s="18">
        <v>0.16259999999999999</v>
      </c>
      <c r="X384" s="18">
        <v>0.14499999999999999</v>
      </c>
      <c r="Y384" s="18">
        <v>0.1048</v>
      </c>
      <c r="Z384" s="18">
        <v>0.20280000000000001</v>
      </c>
      <c r="AA384" s="18">
        <v>0.17710000000000001</v>
      </c>
      <c r="AB384" s="18">
        <v>0.33610000000000001</v>
      </c>
      <c r="AC384" s="18">
        <v>0.16900000000000001</v>
      </c>
      <c r="AD384" s="18">
        <v>0.36899999999999999</v>
      </c>
      <c r="AE384" s="18">
        <v>0.49669999999999997</v>
      </c>
      <c r="AF384" s="18">
        <v>0.28160000000000002</v>
      </c>
      <c r="AG384" s="18">
        <v>0.27139999999999997</v>
      </c>
      <c r="AH384" s="18">
        <v>0.26100000000000001</v>
      </c>
      <c r="AI384" s="18">
        <v>0.21440000000000001</v>
      </c>
      <c r="AJ384" s="18">
        <v>0.3201</v>
      </c>
      <c r="AK384" s="18">
        <v>0.48110000000000003</v>
      </c>
      <c r="AL384" s="18">
        <v>1.9870000000000001</v>
      </c>
      <c r="AM384" s="18">
        <v>0.47599999999999998</v>
      </c>
      <c r="AN384" s="18">
        <v>0.48899999999999999</v>
      </c>
      <c r="AO384" s="18">
        <v>0.58989999999999998</v>
      </c>
      <c r="AP384" s="18">
        <v>0.39889999999999998</v>
      </c>
      <c r="AQ384" s="18">
        <v>0.54749999999999999</v>
      </c>
      <c r="AR384" s="18">
        <v>0.73209999999999997</v>
      </c>
      <c r="AS384" s="18">
        <v>0.89590000000000003</v>
      </c>
      <c r="AT384" s="18">
        <v>0.78659999999999997</v>
      </c>
      <c r="AU384" s="18">
        <v>0.88290000000000002</v>
      </c>
      <c r="AV384" s="18">
        <v>0.61270000000000002</v>
      </c>
      <c r="AW384" s="18">
        <v>0.78449999999999998</v>
      </c>
      <c r="AX384" s="18">
        <v>0.77280000000000004</v>
      </c>
    </row>
    <row r="385" spans="1:50" x14ac:dyDescent="0.25">
      <c r="A385" s="16" t="s">
        <v>857</v>
      </c>
      <c r="B385" s="13" t="s">
        <v>464</v>
      </c>
      <c r="C385" s="17">
        <v>5.2999999999999999E-2</v>
      </c>
      <c r="D385" s="17">
        <v>0.17580000000000001</v>
      </c>
      <c r="E385" s="17">
        <v>5.2999999999999999E-2</v>
      </c>
      <c r="F385" s="17">
        <v>5.2999999999999999E-2</v>
      </c>
      <c r="G385" s="17">
        <v>0.17580000000000001</v>
      </c>
      <c r="H385" s="17">
        <v>5.2999999999999999E-2</v>
      </c>
      <c r="I385" s="17">
        <v>5.2999999999999999E-2</v>
      </c>
      <c r="J385" s="17">
        <v>0.17580000000000001</v>
      </c>
      <c r="K385" s="17">
        <v>5.2999999999999999E-2</v>
      </c>
      <c r="L385" s="17">
        <v>5.2999999999999999E-2</v>
      </c>
      <c r="M385" s="17">
        <v>5.2999999999999999E-2</v>
      </c>
      <c r="N385" s="17">
        <v>0.17580000000000001</v>
      </c>
      <c r="O385" s="17">
        <v>5.2999999999999999E-2</v>
      </c>
      <c r="P385" s="17">
        <v>0.14069999999999999</v>
      </c>
      <c r="Q385" s="17">
        <v>0.24890000000000001</v>
      </c>
      <c r="R385" s="17">
        <v>0.2321</v>
      </c>
      <c r="S385" s="17">
        <v>0.26740000000000003</v>
      </c>
      <c r="T385" s="17">
        <v>5.2999999999999999E-2</v>
      </c>
      <c r="U385" s="17">
        <v>0.1462</v>
      </c>
      <c r="V385" s="17">
        <v>0.31380000000000002</v>
      </c>
      <c r="W385" s="17">
        <v>0.2293</v>
      </c>
      <c r="X385" s="17">
        <v>1.6797</v>
      </c>
      <c r="Y385" s="17">
        <v>0.2026</v>
      </c>
      <c r="Z385" s="17">
        <v>7.1300000000000002E-2</v>
      </c>
      <c r="AA385" s="17">
        <v>0.42299999999999999</v>
      </c>
      <c r="AB385" s="17">
        <v>0.10730000000000001</v>
      </c>
      <c r="AC385" s="17">
        <v>5.2999999999999999E-2</v>
      </c>
      <c r="AD385" s="17">
        <v>0.17580000000000001</v>
      </c>
      <c r="AE385" s="17">
        <v>5.2999999999999999E-2</v>
      </c>
      <c r="AF385" s="17">
        <v>5.2999999999999999E-2</v>
      </c>
      <c r="AG385" s="17">
        <v>8.8099999999999998E-2</v>
      </c>
      <c r="AH385" s="17">
        <v>0.14069999999999999</v>
      </c>
      <c r="AI385" s="17">
        <v>5.2999999999999999E-2</v>
      </c>
      <c r="AJ385" s="17">
        <v>0.17580000000000001</v>
      </c>
      <c r="AK385" s="17">
        <v>5.2999999999999999E-2</v>
      </c>
      <c r="AL385" s="17">
        <v>0.1065</v>
      </c>
      <c r="AM385" s="17">
        <v>0.1444</v>
      </c>
      <c r="AN385" s="17">
        <v>5.2999999999999999E-2</v>
      </c>
      <c r="AO385" s="17">
        <v>0.2392</v>
      </c>
      <c r="AP385" s="17">
        <v>0.30869999999999997</v>
      </c>
      <c r="AQ385" s="17">
        <v>5.2999999999999999E-2</v>
      </c>
      <c r="AR385" s="17">
        <v>0.17580000000000001</v>
      </c>
      <c r="AS385" s="17">
        <v>5.2999999999999999E-2</v>
      </c>
      <c r="AT385" s="17">
        <v>0.14949999999999999</v>
      </c>
      <c r="AU385" s="17">
        <v>7.9299999999999995E-2</v>
      </c>
      <c r="AV385" s="17">
        <v>5.2999999999999999E-2</v>
      </c>
      <c r="AW385" s="17">
        <v>0.21260000000000001</v>
      </c>
      <c r="AX385" s="17">
        <v>5.2999999999999999E-2</v>
      </c>
    </row>
    <row r="386" spans="1:50" x14ac:dyDescent="0.25">
      <c r="A386" s="8" t="s">
        <v>422</v>
      </c>
      <c r="B386" s="10" t="s">
        <v>57</v>
      </c>
      <c r="C386" s="18">
        <v>0.21560000000000001</v>
      </c>
      <c r="D386" s="18">
        <v>0.36559999999999998</v>
      </c>
      <c r="E386" s="18">
        <v>0.13850000000000001</v>
      </c>
      <c r="F386" s="18">
        <v>0.19139999999999999</v>
      </c>
      <c r="G386" s="18">
        <v>9.74E-2</v>
      </c>
      <c r="H386" s="18">
        <v>3.1E-2</v>
      </c>
      <c r="I386" s="18">
        <v>0.1013</v>
      </c>
      <c r="J386" s="18">
        <v>0.1661</v>
      </c>
      <c r="K386" s="18">
        <v>5.2299999999999999E-2</v>
      </c>
      <c r="L386" s="18">
        <v>3.1E-2</v>
      </c>
      <c r="M386" s="18">
        <v>3.1E-2</v>
      </c>
      <c r="N386" s="18">
        <v>0.1021</v>
      </c>
      <c r="O386" s="18">
        <v>0.1164</v>
      </c>
      <c r="P386" s="18">
        <v>0.1013</v>
      </c>
      <c r="Q386" s="18">
        <v>5.0500000000000003E-2</v>
      </c>
      <c r="R386" s="18">
        <v>0.2382</v>
      </c>
      <c r="S386" s="18">
        <v>3.1E-2</v>
      </c>
      <c r="T386" s="18">
        <v>3.1E-2</v>
      </c>
      <c r="U386" s="18">
        <v>0.20699999999999999</v>
      </c>
      <c r="V386" s="18">
        <v>8.1799999999999998E-2</v>
      </c>
      <c r="W386" s="18">
        <v>0.10920000000000001</v>
      </c>
      <c r="X386" s="18">
        <v>0.17949999999999999</v>
      </c>
      <c r="Y386" s="18">
        <v>5.2299999999999999E-2</v>
      </c>
      <c r="Z386" s="18">
        <v>0.1661</v>
      </c>
      <c r="AA386" s="18">
        <v>8.9599999999999999E-2</v>
      </c>
      <c r="AB386" s="18">
        <v>4.2700000000000002E-2</v>
      </c>
      <c r="AC386" s="18">
        <v>0.24610000000000001</v>
      </c>
      <c r="AD386" s="18">
        <v>0.24360000000000001</v>
      </c>
      <c r="AE386" s="18">
        <v>0.31040000000000001</v>
      </c>
      <c r="AF386" s="18">
        <v>1.2154</v>
      </c>
      <c r="AG386" s="18">
        <v>2.9165000000000001</v>
      </c>
      <c r="AH386" s="18">
        <v>2.9369999999999998</v>
      </c>
      <c r="AI386" s="18">
        <v>0.41520000000000001</v>
      </c>
      <c r="AJ386" s="18">
        <v>1.2565</v>
      </c>
      <c r="AK386" s="18">
        <v>0.2344</v>
      </c>
      <c r="AL386" s="18">
        <v>8.9200000000000002E-2</v>
      </c>
      <c r="AM386" s="18">
        <v>0.37640000000000001</v>
      </c>
      <c r="AN386" s="18">
        <v>8.4199999999999997E-2</v>
      </c>
      <c r="AO386" s="18">
        <v>0.17249999999999999</v>
      </c>
      <c r="AP386" s="18">
        <v>0.35930000000000001</v>
      </c>
      <c r="AQ386" s="18">
        <v>0.49590000000000001</v>
      </c>
      <c r="AR386" s="18">
        <v>2.7017000000000002</v>
      </c>
      <c r="AS386" s="18">
        <v>2.8166000000000002</v>
      </c>
      <c r="AT386" s="18">
        <v>1.0489999999999999</v>
      </c>
      <c r="AU386" s="18">
        <v>0.58919999999999995</v>
      </c>
      <c r="AV386" s="18">
        <v>0.64449999999999996</v>
      </c>
      <c r="AW386" s="18">
        <v>0.44529999999999997</v>
      </c>
      <c r="AX386" s="18">
        <v>0.26269999999999999</v>
      </c>
    </row>
    <row r="387" spans="1:50" x14ac:dyDescent="0.25">
      <c r="A387" s="8" t="s">
        <v>424</v>
      </c>
      <c r="B387" s="10" t="s">
        <v>57</v>
      </c>
      <c r="C387" s="18">
        <v>5.5E-2</v>
      </c>
      <c r="D387" s="18">
        <v>0.1961</v>
      </c>
      <c r="E387" s="18">
        <v>0.15140000000000001</v>
      </c>
      <c r="F387" s="18">
        <v>0.14419999999999999</v>
      </c>
      <c r="G387" s="18">
        <v>0.20319999999999999</v>
      </c>
      <c r="H387" s="18">
        <v>5.5E-2</v>
      </c>
      <c r="I387" s="18">
        <v>0.2089</v>
      </c>
      <c r="J387" s="18">
        <v>0.13850000000000001</v>
      </c>
      <c r="K387" s="18">
        <v>0.1232</v>
      </c>
      <c r="L387" s="18">
        <v>9.1700000000000004E-2</v>
      </c>
      <c r="M387" s="18">
        <v>0.1875</v>
      </c>
      <c r="N387" s="18">
        <v>0.16</v>
      </c>
      <c r="O387" s="18">
        <v>0.17549999999999999</v>
      </c>
      <c r="P387" s="18">
        <v>6.7000000000000004E-2</v>
      </c>
      <c r="Q387" s="18">
        <v>0.32919999999999999</v>
      </c>
      <c r="R387" s="18">
        <v>0.50800000000000001</v>
      </c>
      <c r="S387" s="18">
        <v>0.1527</v>
      </c>
      <c r="T387" s="18">
        <v>0.3826</v>
      </c>
      <c r="U387" s="18">
        <v>0.35620000000000002</v>
      </c>
      <c r="V387" s="18">
        <v>0.22539999999999999</v>
      </c>
      <c r="W387" s="18">
        <v>0.26329999999999998</v>
      </c>
      <c r="X387" s="18">
        <v>0.40620000000000001</v>
      </c>
      <c r="Y387" s="18">
        <v>2.4723999999999999</v>
      </c>
      <c r="Z387" s="18">
        <v>0.55510000000000004</v>
      </c>
      <c r="AA387" s="18">
        <v>0.309</v>
      </c>
      <c r="AB387" s="18">
        <v>0.42020000000000002</v>
      </c>
      <c r="AC387" s="18">
        <v>0.23219999999999999</v>
      </c>
      <c r="AD387" s="18">
        <v>5.5E-2</v>
      </c>
      <c r="AE387" s="18">
        <v>5.5E-2</v>
      </c>
      <c r="AF387" s="18">
        <v>0.22950000000000001</v>
      </c>
      <c r="AG387" s="18">
        <v>0.11799999999999999</v>
      </c>
      <c r="AH387" s="18">
        <v>5.5E-2</v>
      </c>
      <c r="AI387" s="18">
        <v>5.5E-2</v>
      </c>
      <c r="AJ387" s="18">
        <v>0.27439999999999998</v>
      </c>
      <c r="AK387" s="18">
        <v>7.3099999999999998E-2</v>
      </c>
      <c r="AL387" s="18">
        <v>0.11799999999999999</v>
      </c>
      <c r="AM387" s="18">
        <v>9.7000000000000003E-2</v>
      </c>
      <c r="AN387" s="18">
        <v>0.15740000000000001</v>
      </c>
      <c r="AO387" s="18">
        <v>0.1691</v>
      </c>
      <c r="AP387" s="18">
        <v>7.5999999999999998E-2</v>
      </c>
      <c r="AQ387" s="18">
        <v>0.27150000000000002</v>
      </c>
      <c r="AR387" s="18">
        <v>7.5999999999999998E-2</v>
      </c>
      <c r="AS387" s="18">
        <v>0.2437</v>
      </c>
      <c r="AT387" s="18">
        <v>0.1038</v>
      </c>
      <c r="AU387" s="18">
        <v>5.5E-2</v>
      </c>
      <c r="AV387" s="18">
        <v>0.29249999999999998</v>
      </c>
      <c r="AW387" s="18">
        <v>5.5E-2</v>
      </c>
      <c r="AX387" s="18">
        <v>0.15429999999999999</v>
      </c>
    </row>
    <row r="388" spans="1:50" x14ac:dyDescent="0.25">
      <c r="A388" s="16" t="s">
        <v>859</v>
      </c>
      <c r="B388" s="13" t="s">
        <v>464</v>
      </c>
      <c r="C388" s="17">
        <v>0.15570000000000001</v>
      </c>
      <c r="D388" s="17">
        <v>0.26850000000000002</v>
      </c>
      <c r="E388" s="17">
        <v>4.7E-2</v>
      </c>
      <c r="F388" s="17">
        <v>0.2959</v>
      </c>
      <c r="G388" s="17">
        <v>0.1283</v>
      </c>
      <c r="H388" s="17">
        <v>4.7E-2</v>
      </c>
      <c r="I388" s="17">
        <v>0.2122</v>
      </c>
      <c r="J388" s="17">
        <v>0.21199999999999999</v>
      </c>
      <c r="K388" s="17">
        <v>0.121</v>
      </c>
      <c r="L388" s="17">
        <v>0.30320000000000003</v>
      </c>
      <c r="M388" s="17">
        <v>0.22120000000000001</v>
      </c>
      <c r="N388" s="17">
        <v>4.7E-2</v>
      </c>
      <c r="O388" s="17">
        <v>0.37719999999999998</v>
      </c>
      <c r="P388" s="17">
        <v>4.7E-2</v>
      </c>
      <c r="Q388" s="17">
        <v>0.59379999999999999</v>
      </c>
      <c r="R388" s="17">
        <v>0.19570000000000001</v>
      </c>
      <c r="S388" s="17">
        <v>7.4399999999999994E-2</v>
      </c>
      <c r="T388" s="17">
        <v>0.26669999999999999</v>
      </c>
      <c r="U388" s="17">
        <v>0.13830000000000001</v>
      </c>
      <c r="V388" s="17">
        <v>0.2349</v>
      </c>
      <c r="W388" s="17">
        <v>0.1956</v>
      </c>
      <c r="X388" s="17">
        <v>0.42570000000000002</v>
      </c>
      <c r="Y388" s="17">
        <v>0.38179999999999997</v>
      </c>
      <c r="Z388" s="17">
        <v>0.3392</v>
      </c>
      <c r="AA388" s="17">
        <v>0.36899999999999999</v>
      </c>
      <c r="AB388" s="17">
        <v>0.37059999999999998</v>
      </c>
      <c r="AC388" s="17">
        <v>1.3616999999999999</v>
      </c>
      <c r="AD388" s="17">
        <v>0.39839999999999998</v>
      </c>
      <c r="AE388" s="17">
        <v>0.2994</v>
      </c>
      <c r="AF388" s="17">
        <v>0.48949999999999999</v>
      </c>
      <c r="AG388" s="17">
        <v>0.64500000000000002</v>
      </c>
      <c r="AH388" s="17">
        <v>0.37159999999999999</v>
      </c>
      <c r="AI388" s="17">
        <v>0.64480000000000004</v>
      </c>
      <c r="AJ388" s="17">
        <v>0.3664</v>
      </c>
      <c r="AK388" s="17">
        <v>0.39329999999999998</v>
      </c>
      <c r="AL388" s="17">
        <v>0.21179999999999999</v>
      </c>
      <c r="AM388" s="17">
        <v>0.35020000000000001</v>
      </c>
      <c r="AN388" s="17">
        <v>1.1651</v>
      </c>
      <c r="AO388" s="17">
        <v>0.40689999999999998</v>
      </c>
      <c r="AP388" s="17">
        <v>0.44579999999999997</v>
      </c>
      <c r="AQ388" s="17">
        <v>0.48430000000000001</v>
      </c>
      <c r="AR388" s="17">
        <v>1.7827999999999999</v>
      </c>
      <c r="AS388" s="17">
        <v>0.90280000000000005</v>
      </c>
      <c r="AT388" s="17">
        <v>0.95340000000000003</v>
      </c>
      <c r="AU388" s="17">
        <v>1.1417999999999999</v>
      </c>
      <c r="AV388" s="17">
        <v>0.53039999999999998</v>
      </c>
      <c r="AW388" s="17">
        <v>0.13270000000000001</v>
      </c>
      <c r="AX388" s="17">
        <v>0.14899999999999999</v>
      </c>
    </row>
    <row r="389" spans="1:50" x14ac:dyDescent="0.25">
      <c r="A389" s="16" t="s">
        <v>861</v>
      </c>
      <c r="B389" s="13" t="s">
        <v>464</v>
      </c>
      <c r="C389" s="17">
        <v>5.2999999999999999E-2</v>
      </c>
      <c r="D389" s="17">
        <v>5.2999999999999999E-2</v>
      </c>
      <c r="E389" s="17">
        <v>5.2999999999999999E-2</v>
      </c>
      <c r="F389" s="17">
        <v>5.2999999999999999E-2</v>
      </c>
      <c r="G389" s="17">
        <v>5.2999999999999999E-2</v>
      </c>
      <c r="H389" s="17">
        <v>5.2999999999999999E-2</v>
      </c>
      <c r="I389" s="17">
        <v>5.2999999999999999E-2</v>
      </c>
      <c r="J389" s="17">
        <v>5.2999999999999999E-2</v>
      </c>
      <c r="K389" s="17">
        <v>5.2999999999999999E-2</v>
      </c>
      <c r="L389" s="17">
        <v>5.2999999999999999E-2</v>
      </c>
      <c r="M389" s="17">
        <v>5.2999999999999999E-2</v>
      </c>
      <c r="N389" s="17">
        <v>5.2999999999999999E-2</v>
      </c>
      <c r="O389" s="17">
        <v>5.2999999999999999E-2</v>
      </c>
      <c r="P389" s="17">
        <v>5.2999999999999999E-2</v>
      </c>
      <c r="Q389" s="17">
        <v>8.72E-2</v>
      </c>
      <c r="R389" s="17">
        <v>5.2999999999999999E-2</v>
      </c>
      <c r="S389" s="17">
        <v>5.2999999999999999E-2</v>
      </c>
      <c r="T389" s="17">
        <v>5.7000000000000002E-2</v>
      </c>
      <c r="U389" s="17">
        <v>6.7900000000000002E-2</v>
      </c>
      <c r="V389" s="17">
        <v>0.31330000000000002</v>
      </c>
      <c r="W389" s="17">
        <v>7.1599999999999997E-2</v>
      </c>
      <c r="X389" s="17">
        <v>6.8400000000000002E-2</v>
      </c>
      <c r="Y389" s="17">
        <v>0.1249</v>
      </c>
      <c r="Z389" s="17">
        <v>9.7500000000000003E-2</v>
      </c>
      <c r="AA389" s="17">
        <v>2.1440999999999999</v>
      </c>
      <c r="AB389" s="17">
        <v>3.1309999999999998</v>
      </c>
      <c r="AC389" s="17">
        <v>1.1456999999999999</v>
      </c>
      <c r="AD389" s="17">
        <v>0.15409999999999999</v>
      </c>
      <c r="AE389" s="17">
        <v>0.1197</v>
      </c>
      <c r="AF389" s="17">
        <v>0.18920000000000001</v>
      </c>
      <c r="AG389" s="17">
        <v>0.1211</v>
      </c>
      <c r="AH389" s="17">
        <v>0.26640000000000003</v>
      </c>
      <c r="AI389" s="17">
        <v>7.6300000000000007E-2</v>
      </c>
      <c r="AJ389" s="17">
        <v>1.8735999999999999</v>
      </c>
      <c r="AK389" s="17">
        <v>0.3135</v>
      </c>
      <c r="AL389" s="17">
        <v>6.8599999999999994E-2</v>
      </c>
      <c r="AM389" s="17">
        <v>6.2100000000000002E-2</v>
      </c>
      <c r="AN389" s="17">
        <v>0.11650000000000001</v>
      </c>
      <c r="AO389" s="17">
        <v>0.12939999999999999</v>
      </c>
      <c r="AP389" s="17">
        <v>0.3901</v>
      </c>
      <c r="AQ389" s="17">
        <v>0.4536</v>
      </c>
      <c r="AR389" s="17">
        <v>0.43940000000000001</v>
      </c>
      <c r="AS389" s="17">
        <v>0.47339999999999999</v>
      </c>
      <c r="AT389" s="17">
        <v>0.58950000000000002</v>
      </c>
      <c r="AU389" s="17">
        <v>0.78890000000000005</v>
      </c>
      <c r="AV389" s="17">
        <v>0.55559999999999998</v>
      </c>
      <c r="AW389" s="17">
        <v>0.38340000000000002</v>
      </c>
      <c r="AX389" s="17">
        <v>0.17749999999999999</v>
      </c>
    </row>
    <row r="390" spans="1:50" x14ac:dyDescent="0.25">
      <c r="A390" s="16" t="s">
        <v>863</v>
      </c>
      <c r="B390" s="13" t="s">
        <v>464</v>
      </c>
      <c r="C390" s="17">
        <v>4.7E-2</v>
      </c>
      <c r="D390" s="17">
        <v>0.10150000000000001</v>
      </c>
      <c r="E390" s="17">
        <v>0.14269999999999999</v>
      </c>
      <c r="F390" s="17">
        <v>6.4000000000000001E-2</v>
      </c>
      <c r="G390" s="17">
        <v>0.13780000000000001</v>
      </c>
      <c r="H390" s="17">
        <v>4.7E-2</v>
      </c>
      <c r="I390" s="17">
        <v>4.7E-2</v>
      </c>
      <c r="J390" s="17">
        <v>0.19539999999999999</v>
      </c>
      <c r="K390" s="17">
        <v>0.17419999999999999</v>
      </c>
      <c r="L390" s="17">
        <v>0.10390000000000001</v>
      </c>
      <c r="M390" s="17">
        <v>9.3600000000000003E-2</v>
      </c>
      <c r="N390" s="17">
        <v>0.1421</v>
      </c>
      <c r="O390" s="17">
        <v>0.1191</v>
      </c>
      <c r="P390" s="17">
        <v>0.13780000000000001</v>
      </c>
      <c r="Q390" s="17">
        <v>0.12330000000000001</v>
      </c>
      <c r="R390" s="17">
        <v>4.7E-2</v>
      </c>
      <c r="S390" s="17">
        <v>0.2258</v>
      </c>
      <c r="T390" s="17">
        <v>6.0600000000000001E-2</v>
      </c>
      <c r="U390" s="17">
        <v>5.0200000000000002E-2</v>
      </c>
      <c r="V390" s="17">
        <v>0.24010000000000001</v>
      </c>
      <c r="W390" s="17">
        <v>0.18690000000000001</v>
      </c>
      <c r="X390" s="17">
        <v>0.1739</v>
      </c>
      <c r="Y390" s="17">
        <v>0.23180000000000001</v>
      </c>
      <c r="Z390" s="17">
        <v>0.2177</v>
      </c>
      <c r="AA390" s="17">
        <v>0.2014</v>
      </c>
      <c r="AB390" s="17">
        <v>5.9700000000000003E-2</v>
      </c>
      <c r="AC390" s="17">
        <v>6.8199999999999997E-2</v>
      </c>
      <c r="AD390" s="17">
        <v>0.19289999999999999</v>
      </c>
      <c r="AE390" s="17">
        <v>4.7E-2</v>
      </c>
      <c r="AF390" s="17">
        <v>0.18329999999999999</v>
      </c>
      <c r="AG390" s="17">
        <v>7.7899999999999997E-2</v>
      </c>
      <c r="AH390" s="17">
        <v>8.09E-2</v>
      </c>
      <c r="AI390" s="17">
        <v>0.16209999999999999</v>
      </c>
      <c r="AJ390" s="17">
        <v>9.06E-2</v>
      </c>
      <c r="AK390" s="17">
        <v>0.1615</v>
      </c>
      <c r="AL390" s="17">
        <v>7.4200000000000002E-2</v>
      </c>
      <c r="AM390" s="17">
        <v>8.9399999999999993E-2</v>
      </c>
      <c r="AN390" s="17">
        <v>0.17169999999999999</v>
      </c>
      <c r="AO390" s="17">
        <v>4.7E-2</v>
      </c>
      <c r="AP390" s="17">
        <v>9.06E-2</v>
      </c>
      <c r="AQ390" s="17">
        <v>0.17050000000000001</v>
      </c>
      <c r="AR390" s="17">
        <v>4.7E-2</v>
      </c>
      <c r="AS390" s="17">
        <v>0.12180000000000001</v>
      </c>
      <c r="AT390" s="17">
        <v>0.13930000000000001</v>
      </c>
      <c r="AU390" s="17">
        <v>4.7E-2</v>
      </c>
      <c r="AV390" s="17">
        <v>7.6700000000000004E-2</v>
      </c>
      <c r="AW390" s="17">
        <v>0.14810000000000001</v>
      </c>
      <c r="AX390" s="17">
        <v>0.13420000000000001</v>
      </c>
    </row>
    <row r="391" spans="1:50" x14ac:dyDescent="0.25">
      <c r="A391" s="16" t="s">
        <v>865</v>
      </c>
      <c r="B391" s="13" t="s">
        <v>464</v>
      </c>
      <c r="C391" s="17">
        <v>0.1356</v>
      </c>
      <c r="D391" s="17">
        <v>0.1182</v>
      </c>
      <c r="E391" s="17">
        <v>0.1004</v>
      </c>
      <c r="F391" s="17">
        <v>0.21920000000000001</v>
      </c>
      <c r="G391" s="17">
        <v>8.8099999999999998E-2</v>
      </c>
      <c r="H391" s="17">
        <v>0.2046</v>
      </c>
      <c r="I391" s="17">
        <v>0.1027</v>
      </c>
      <c r="J391" s="17">
        <v>6.3399999999999998E-2</v>
      </c>
      <c r="K391" s="17">
        <v>0.18679999999999999</v>
      </c>
      <c r="L391" s="17">
        <v>0.104</v>
      </c>
      <c r="M391" s="17">
        <v>4.7E-2</v>
      </c>
      <c r="N391" s="17">
        <v>9.8900000000000002E-2</v>
      </c>
      <c r="O391" s="17">
        <v>0.2084</v>
      </c>
      <c r="P391" s="17">
        <v>4.7E-2</v>
      </c>
      <c r="Q391" s="17">
        <v>0.1507</v>
      </c>
      <c r="R391" s="17">
        <v>0.1565</v>
      </c>
      <c r="S391" s="17">
        <v>4.7E-2</v>
      </c>
      <c r="T391" s="17">
        <v>0.26029999999999998</v>
      </c>
      <c r="U391" s="17">
        <v>4.7E-2</v>
      </c>
      <c r="V391" s="17">
        <v>0.1169</v>
      </c>
      <c r="W391" s="17">
        <v>0.14610000000000001</v>
      </c>
      <c r="X391" s="17">
        <v>9.1300000000000006E-2</v>
      </c>
      <c r="Y391" s="17">
        <v>0.1522</v>
      </c>
      <c r="Z391" s="17">
        <v>0.27910000000000001</v>
      </c>
      <c r="AA391" s="17">
        <v>0.1852</v>
      </c>
      <c r="AB391" s="17">
        <v>0.22539999999999999</v>
      </c>
      <c r="AC391" s="17">
        <v>0.30159999999999998</v>
      </c>
      <c r="AD391" s="17">
        <v>0.13600000000000001</v>
      </c>
      <c r="AE391" s="17">
        <v>0.123</v>
      </c>
      <c r="AF391" s="17">
        <v>0.1103</v>
      </c>
      <c r="AG391" s="17">
        <v>4.7E-2</v>
      </c>
      <c r="AH391" s="17">
        <v>0.15260000000000001</v>
      </c>
      <c r="AI391" s="17">
        <v>0.15459999999999999</v>
      </c>
      <c r="AJ391" s="17">
        <v>4.7E-2</v>
      </c>
      <c r="AK391" s="17">
        <v>0.121</v>
      </c>
      <c r="AL391" s="17">
        <v>0.18229999999999999</v>
      </c>
      <c r="AM391" s="17">
        <v>0.15529999999999999</v>
      </c>
      <c r="AN391" s="17">
        <v>0.30070000000000002</v>
      </c>
      <c r="AO391" s="17">
        <v>0.19819999999999999</v>
      </c>
      <c r="AP391" s="17">
        <v>0.16239999999999999</v>
      </c>
      <c r="AQ391" s="17">
        <v>0.45419999999999999</v>
      </c>
      <c r="AR391" s="17">
        <v>0.3085</v>
      </c>
      <c r="AS391" s="17">
        <v>0.34160000000000001</v>
      </c>
      <c r="AT391" s="17">
        <v>0.37909999999999999</v>
      </c>
      <c r="AU391" s="17">
        <v>0.1389</v>
      </c>
      <c r="AV391" s="17">
        <v>0.18909999999999999</v>
      </c>
      <c r="AW391" s="17">
        <v>0.1182</v>
      </c>
      <c r="AX391" s="17">
        <v>4.7E-2</v>
      </c>
    </row>
    <row r="392" spans="1:50" x14ac:dyDescent="0.25">
      <c r="A392" s="8" t="s">
        <v>426</v>
      </c>
      <c r="B392" s="10" t="s">
        <v>57</v>
      </c>
      <c r="C392" s="18">
        <v>4.5999999999999999E-2</v>
      </c>
      <c r="D392" s="18">
        <v>0.1016</v>
      </c>
      <c r="E392" s="18">
        <v>0.14330000000000001</v>
      </c>
      <c r="F392" s="18">
        <v>4.5999999999999999E-2</v>
      </c>
      <c r="G392" s="18">
        <v>0.185</v>
      </c>
      <c r="H392" s="18">
        <v>5.9900000000000002E-2</v>
      </c>
      <c r="I392" s="18">
        <v>5.9900000000000002E-2</v>
      </c>
      <c r="J392" s="18">
        <v>0.185</v>
      </c>
      <c r="K392" s="18">
        <v>4.5999999999999999E-2</v>
      </c>
      <c r="L392" s="18">
        <v>0.185</v>
      </c>
      <c r="M392" s="18">
        <v>5.9900000000000002E-2</v>
      </c>
      <c r="N392" s="18">
        <v>6.6799999999999998E-2</v>
      </c>
      <c r="O392" s="18">
        <v>0.17799999999999999</v>
      </c>
      <c r="P392" s="18">
        <v>4.5999999999999999E-2</v>
      </c>
      <c r="Q392" s="18">
        <v>0.19889999999999999</v>
      </c>
      <c r="R392" s="18">
        <v>4.5999999999999999E-2</v>
      </c>
      <c r="S392" s="18">
        <v>0.1641</v>
      </c>
      <c r="T392" s="18">
        <v>8.0699999999999994E-2</v>
      </c>
      <c r="U392" s="18">
        <v>4.5999999999999999E-2</v>
      </c>
      <c r="V392" s="18">
        <v>5.2900000000000003E-2</v>
      </c>
      <c r="W392" s="18">
        <v>0.19189999999999999</v>
      </c>
      <c r="X392" s="18">
        <v>4.5999999999999999E-2</v>
      </c>
      <c r="Y392" s="18">
        <v>0.19889999999999999</v>
      </c>
      <c r="Z392" s="18">
        <v>4.5999999999999999E-2</v>
      </c>
      <c r="AA392" s="18">
        <v>0.1016</v>
      </c>
      <c r="AB392" s="18">
        <v>0.14330000000000001</v>
      </c>
      <c r="AC392" s="18">
        <v>9.4E-2</v>
      </c>
      <c r="AD392" s="18">
        <v>0.2389</v>
      </c>
      <c r="AE392" s="18">
        <v>7.2700000000000001E-2</v>
      </c>
      <c r="AF392" s="18">
        <v>0.26300000000000001</v>
      </c>
      <c r="AG392" s="18">
        <v>9.11E-2</v>
      </c>
      <c r="AH392" s="18">
        <v>5.1299999999999998E-2</v>
      </c>
      <c r="AI392" s="18">
        <v>0.185</v>
      </c>
      <c r="AJ392" s="18">
        <v>5.9900000000000002E-2</v>
      </c>
      <c r="AK392" s="18">
        <v>4.5999999999999999E-2</v>
      </c>
      <c r="AL392" s="18">
        <v>0.19889999999999999</v>
      </c>
      <c r="AM392" s="18">
        <v>0.126</v>
      </c>
      <c r="AN392" s="18">
        <v>0.1958</v>
      </c>
      <c r="AO392" s="18">
        <v>0.1467</v>
      </c>
      <c r="AP392" s="18">
        <v>0.24110000000000001</v>
      </c>
      <c r="AQ392" s="18">
        <v>0.3453</v>
      </c>
      <c r="AR392" s="18">
        <v>0.31719999999999998</v>
      </c>
      <c r="AS392" s="18">
        <v>0.33</v>
      </c>
      <c r="AT392" s="18">
        <v>0.64559999999999995</v>
      </c>
      <c r="AU392" s="18">
        <v>0.37119999999999997</v>
      </c>
      <c r="AV392" s="18">
        <v>0.48870000000000002</v>
      </c>
      <c r="AW392" s="18">
        <v>0.24460000000000001</v>
      </c>
      <c r="AX392" s="18">
        <v>4.5999999999999999E-2</v>
      </c>
    </row>
    <row r="393" spans="1:50" x14ac:dyDescent="0.25">
      <c r="A393" s="8" t="s">
        <v>428</v>
      </c>
      <c r="B393" s="10" t="s">
        <v>57</v>
      </c>
      <c r="C393" s="18">
        <v>4.3999999999999997E-2</v>
      </c>
      <c r="D393" s="18">
        <v>0.312</v>
      </c>
      <c r="E393" s="18">
        <v>6.8099999999999994E-2</v>
      </c>
      <c r="F393" s="18">
        <v>0.1323</v>
      </c>
      <c r="G393" s="18">
        <v>0.1323</v>
      </c>
      <c r="H393" s="18">
        <v>4.3999999999999997E-2</v>
      </c>
      <c r="I393" s="18">
        <v>4.3999999999999997E-2</v>
      </c>
      <c r="J393" s="18">
        <v>0.22070000000000001</v>
      </c>
      <c r="K393" s="18">
        <v>4.3999999999999997E-2</v>
      </c>
      <c r="L393" s="18">
        <v>6.8099999999999994E-2</v>
      </c>
      <c r="M393" s="18">
        <v>0.1966</v>
      </c>
      <c r="N393" s="18">
        <v>4.3999999999999997E-2</v>
      </c>
      <c r="O393" s="18">
        <v>0.22070000000000001</v>
      </c>
      <c r="P393" s="18">
        <v>4.3999999999999997E-2</v>
      </c>
      <c r="Q393" s="18">
        <v>9.2899999999999996E-2</v>
      </c>
      <c r="R393" s="18">
        <v>0.37680000000000002</v>
      </c>
      <c r="S393" s="18">
        <v>0.3589</v>
      </c>
      <c r="T393" s="18">
        <v>0.10639999999999999</v>
      </c>
      <c r="U393" s="18">
        <v>4.3999999999999997E-2</v>
      </c>
      <c r="V393" s="18">
        <v>0.40660000000000002</v>
      </c>
      <c r="W393" s="18">
        <v>4.3999999999999997E-2</v>
      </c>
      <c r="X393" s="18">
        <v>0.19259999999999999</v>
      </c>
      <c r="Y393" s="18">
        <v>0.18049999999999999</v>
      </c>
      <c r="Z393" s="18">
        <v>4.3999999999999997E-2</v>
      </c>
      <c r="AA393" s="18">
        <v>0.15640000000000001</v>
      </c>
      <c r="AB393" s="18">
        <v>0.1082</v>
      </c>
      <c r="AC393" s="18">
        <v>4.3999999999999997E-2</v>
      </c>
      <c r="AD393" s="18">
        <v>0.16800000000000001</v>
      </c>
      <c r="AE393" s="18">
        <v>1.3747</v>
      </c>
      <c r="AF393" s="18">
        <v>0.15049999999999999</v>
      </c>
      <c r="AG393" s="18">
        <v>8.09E-2</v>
      </c>
      <c r="AH393" s="18">
        <v>0.2702</v>
      </c>
      <c r="AI393" s="18">
        <v>1.4160999999999999</v>
      </c>
      <c r="AJ393" s="18">
        <v>1.2153</v>
      </c>
      <c r="AK393" s="18">
        <v>1.0759000000000001</v>
      </c>
      <c r="AL393" s="18">
        <v>0.1615</v>
      </c>
      <c r="AM393" s="18">
        <v>1.5714999999999999</v>
      </c>
      <c r="AN393" s="18">
        <v>1.7873000000000001</v>
      </c>
      <c r="AO393" s="18">
        <v>1.6859999999999999</v>
      </c>
      <c r="AP393" s="18">
        <v>0.18210000000000001</v>
      </c>
      <c r="AQ393" s="18">
        <v>0.27610000000000001</v>
      </c>
      <c r="AR393" s="18">
        <v>0.22070000000000001</v>
      </c>
      <c r="AS393" s="18">
        <v>0.65600000000000003</v>
      </c>
      <c r="AT393" s="18">
        <v>1.6456</v>
      </c>
      <c r="AU393" s="18">
        <v>0.56889999999999996</v>
      </c>
      <c r="AV393" s="18">
        <v>0.52239999999999998</v>
      </c>
      <c r="AW393" s="18">
        <v>0.22070000000000001</v>
      </c>
      <c r="AX393" s="18">
        <v>4.3999999999999997E-2</v>
      </c>
    </row>
    <row r="394" spans="1:50" x14ac:dyDescent="0.25">
      <c r="A394" s="8" t="s">
        <v>430</v>
      </c>
      <c r="B394" s="10" t="s">
        <v>57</v>
      </c>
      <c r="C394" s="18">
        <v>0.78610000000000002</v>
      </c>
      <c r="D394" s="18">
        <v>0.6663</v>
      </c>
      <c r="E394" s="18">
        <v>0.63519999999999999</v>
      </c>
      <c r="F394" s="18">
        <v>0.49390000000000001</v>
      </c>
      <c r="G394" s="18">
        <v>5.8999999999999997E-2</v>
      </c>
      <c r="H394" s="18">
        <v>9.3600000000000003E-2</v>
      </c>
      <c r="I394" s="18">
        <v>0.2467</v>
      </c>
      <c r="J394" s="18">
        <v>7.3400000000000007E-2</v>
      </c>
      <c r="K394" s="18">
        <v>0.1065</v>
      </c>
      <c r="L394" s="18">
        <v>0.24099999999999999</v>
      </c>
      <c r="M394" s="18">
        <v>6.6199999999999995E-2</v>
      </c>
      <c r="N394" s="18">
        <v>0.124</v>
      </c>
      <c r="O394" s="18">
        <v>0.15290000000000001</v>
      </c>
      <c r="P394" s="18">
        <v>0.1368</v>
      </c>
      <c r="Q394" s="18">
        <v>0.13700000000000001</v>
      </c>
      <c r="R394" s="18">
        <v>0.29620000000000002</v>
      </c>
      <c r="S394" s="18">
        <v>0.2024</v>
      </c>
      <c r="T394" s="18">
        <v>0.15429999999999999</v>
      </c>
      <c r="U394" s="18">
        <v>0.33989999999999998</v>
      </c>
      <c r="V394" s="18">
        <v>0.31580000000000003</v>
      </c>
      <c r="W394" s="18">
        <v>0.3518</v>
      </c>
      <c r="X394" s="18">
        <v>0.11119999999999999</v>
      </c>
      <c r="Y394" s="18">
        <v>0.1042</v>
      </c>
      <c r="Z394" s="18">
        <v>0.4289</v>
      </c>
      <c r="AA394" s="18">
        <v>2.1406999999999998</v>
      </c>
      <c r="AB394" s="18">
        <v>0.65739999999999998</v>
      </c>
      <c r="AC394" s="18">
        <v>0.2445</v>
      </c>
      <c r="AD394" s="18">
        <v>1.5061</v>
      </c>
      <c r="AE394" s="18">
        <v>0.2054</v>
      </c>
      <c r="AF394" s="18">
        <v>7.3200000000000001E-2</v>
      </c>
      <c r="AG394" s="18">
        <v>0.25829999999999997</v>
      </c>
      <c r="AH394" s="18">
        <v>0.29210000000000003</v>
      </c>
      <c r="AI394" s="18">
        <v>0.1263</v>
      </c>
      <c r="AJ394" s="18">
        <v>0.20619999999999999</v>
      </c>
      <c r="AK394" s="18">
        <v>0.16009999999999999</v>
      </c>
      <c r="AL394" s="18">
        <v>0.1368</v>
      </c>
      <c r="AM394" s="18">
        <v>9.9500000000000005E-2</v>
      </c>
      <c r="AN394" s="18">
        <v>0.1031</v>
      </c>
      <c r="AO394" s="18">
        <v>0.32340000000000002</v>
      </c>
      <c r="AP394" s="18">
        <v>0.2109</v>
      </c>
      <c r="AQ394" s="18">
        <v>0.53590000000000004</v>
      </c>
      <c r="AR394" s="18">
        <v>0.24540000000000001</v>
      </c>
      <c r="AS394" s="18">
        <v>0.2606</v>
      </c>
      <c r="AT394" s="18">
        <v>0.38229999999999997</v>
      </c>
      <c r="AU394" s="18">
        <v>0.33019999999999999</v>
      </c>
      <c r="AV394" s="18">
        <v>0.64390000000000003</v>
      </c>
      <c r="AW394" s="18">
        <v>0.54569999999999996</v>
      </c>
      <c r="AX394" s="18">
        <v>0.2419</v>
      </c>
    </row>
    <row r="395" spans="1:50" x14ac:dyDescent="0.25">
      <c r="A395" s="16" t="s">
        <v>867</v>
      </c>
      <c r="B395" s="13" t="s">
        <v>464</v>
      </c>
      <c r="C395" s="17">
        <v>0.12989999999999999</v>
      </c>
      <c r="D395" s="17">
        <v>0.2487</v>
      </c>
      <c r="E395" s="17">
        <v>4.9000000000000002E-2</v>
      </c>
      <c r="F395" s="17">
        <v>0.16889999999999999</v>
      </c>
      <c r="G395" s="17">
        <v>0.27989999999999998</v>
      </c>
      <c r="H395" s="17">
        <v>0.12139999999999999</v>
      </c>
      <c r="I395" s="17">
        <v>0.23180000000000001</v>
      </c>
      <c r="J395" s="17">
        <v>0.25940000000000002</v>
      </c>
      <c r="K395" s="17">
        <v>0.16289999999999999</v>
      </c>
      <c r="L395" s="17">
        <v>7.6200000000000004E-2</v>
      </c>
      <c r="M395" s="17">
        <v>0.30709999999999998</v>
      </c>
      <c r="N395" s="17">
        <v>4.9000000000000002E-2</v>
      </c>
      <c r="O395" s="17">
        <v>0.45419999999999999</v>
      </c>
      <c r="P395" s="17">
        <v>4.9000000000000002E-2</v>
      </c>
      <c r="Q395" s="17">
        <v>4.9000000000000002E-2</v>
      </c>
      <c r="R395" s="17">
        <v>0.24859999999999999</v>
      </c>
      <c r="S395" s="17">
        <v>0.1421</v>
      </c>
      <c r="T395" s="17">
        <v>0.20610000000000001</v>
      </c>
      <c r="U395" s="17">
        <v>0.19470000000000001</v>
      </c>
      <c r="V395" s="17">
        <v>0.28810000000000002</v>
      </c>
      <c r="W395" s="17">
        <v>0.19789999999999999</v>
      </c>
      <c r="X395" s="17">
        <v>8.1000000000000003E-2</v>
      </c>
      <c r="Y395" s="17">
        <v>0.4163</v>
      </c>
      <c r="Z395" s="17">
        <v>5.5E-2</v>
      </c>
      <c r="AA395" s="17">
        <v>0.13469999999999999</v>
      </c>
      <c r="AB395" s="17">
        <v>0.16889999999999999</v>
      </c>
      <c r="AC395" s="17">
        <v>0.26769999999999999</v>
      </c>
      <c r="AD395" s="17">
        <v>0.1164</v>
      </c>
      <c r="AE395" s="17">
        <v>1.6856</v>
      </c>
      <c r="AF395" s="17">
        <v>0.18229999999999999</v>
      </c>
      <c r="AG395" s="17">
        <v>0.22509999999999999</v>
      </c>
      <c r="AH395" s="17">
        <v>0.41370000000000001</v>
      </c>
      <c r="AI395" s="17">
        <v>0.73819999999999997</v>
      </c>
      <c r="AJ395" s="17">
        <v>1.0905</v>
      </c>
      <c r="AK395" s="17">
        <v>0.20960000000000001</v>
      </c>
      <c r="AL395" s="17">
        <v>0.29380000000000001</v>
      </c>
      <c r="AM395" s="17">
        <v>0.45340000000000003</v>
      </c>
      <c r="AN395" s="17">
        <v>0.36230000000000001</v>
      </c>
      <c r="AO395" s="17">
        <v>0.81030000000000002</v>
      </c>
      <c r="AP395" s="17">
        <v>0.1862</v>
      </c>
      <c r="AQ395" s="17">
        <v>0.65410000000000001</v>
      </c>
      <c r="AR395" s="17">
        <v>1.4098999999999999</v>
      </c>
      <c r="AS395" s="17">
        <v>0.59899999999999998</v>
      </c>
      <c r="AT395" s="17">
        <v>0.54179999999999995</v>
      </c>
      <c r="AU395" s="17">
        <v>0.94059999999999999</v>
      </c>
      <c r="AV395" s="17">
        <v>0.17610000000000001</v>
      </c>
      <c r="AW395" s="17">
        <v>0.21959999999999999</v>
      </c>
      <c r="AX395" s="17">
        <v>0.39539999999999997</v>
      </c>
    </row>
    <row r="396" spans="1:50" x14ac:dyDescent="0.25">
      <c r="A396" s="8" t="s">
        <v>432</v>
      </c>
      <c r="B396" s="10" t="s">
        <v>57</v>
      </c>
      <c r="C396" s="18">
        <v>5.1999999999999998E-2</v>
      </c>
      <c r="D396" s="18">
        <v>0.22009999999999999</v>
      </c>
      <c r="E396" s="18">
        <v>5.1999999999999998E-2</v>
      </c>
      <c r="F396" s="18">
        <v>0.22009999999999999</v>
      </c>
      <c r="G396" s="18">
        <v>5.1999999999999998E-2</v>
      </c>
      <c r="H396" s="18">
        <v>5.1999999999999998E-2</v>
      </c>
      <c r="I396" s="18">
        <v>0.22009999999999999</v>
      </c>
      <c r="J396" s="18">
        <v>5.1999999999999998E-2</v>
      </c>
      <c r="K396" s="18">
        <v>0.159</v>
      </c>
      <c r="L396" s="18">
        <v>0.11310000000000001</v>
      </c>
      <c r="M396" s="18">
        <v>5.1999999999999998E-2</v>
      </c>
      <c r="N396" s="18">
        <v>0.22009999999999999</v>
      </c>
      <c r="O396" s="18">
        <v>5.1999999999999998E-2</v>
      </c>
      <c r="P396" s="18">
        <v>5.1999999999999998E-2</v>
      </c>
      <c r="Q396" s="18">
        <v>0.19719999999999999</v>
      </c>
      <c r="R396" s="18">
        <v>0.14760000000000001</v>
      </c>
      <c r="S396" s="18">
        <v>0.3412</v>
      </c>
      <c r="T396" s="18">
        <v>0.19719999999999999</v>
      </c>
      <c r="U396" s="18">
        <v>7.4899999999999994E-2</v>
      </c>
      <c r="V396" s="18">
        <v>0.15939999999999999</v>
      </c>
      <c r="W396" s="18">
        <v>0.15479999999999999</v>
      </c>
      <c r="X396" s="18">
        <v>5.1999999999999998E-2</v>
      </c>
      <c r="Y396" s="18">
        <v>0.1021</v>
      </c>
      <c r="Z396" s="18">
        <v>0.1079</v>
      </c>
      <c r="AA396" s="18">
        <v>0.28339999999999999</v>
      </c>
      <c r="AB396" s="18">
        <v>0.22869999999999999</v>
      </c>
      <c r="AC396" s="18">
        <v>7.7299999999999994E-2</v>
      </c>
      <c r="AD396" s="18">
        <v>1.7815000000000001</v>
      </c>
      <c r="AE396" s="18">
        <v>2.3874</v>
      </c>
      <c r="AF396" s="18">
        <v>0.76149999999999995</v>
      </c>
      <c r="AG396" s="18">
        <v>0.21659999999999999</v>
      </c>
      <c r="AH396" s="18">
        <v>5.1999999999999998E-2</v>
      </c>
      <c r="AI396" s="18">
        <v>0.22009999999999999</v>
      </c>
      <c r="AJ396" s="18">
        <v>5.1999999999999998E-2</v>
      </c>
      <c r="AK396" s="18">
        <v>5.1999999999999998E-2</v>
      </c>
      <c r="AL396" s="18">
        <v>0.2283</v>
      </c>
      <c r="AM396" s="18">
        <v>6.6199999999999995E-2</v>
      </c>
      <c r="AN396" s="18">
        <v>0.14199999999999999</v>
      </c>
      <c r="AO396" s="18">
        <v>0.25829999999999997</v>
      </c>
      <c r="AP396" s="18">
        <v>0.4763</v>
      </c>
      <c r="AQ396" s="18">
        <v>0.64810000000000001</v>
      </c>
      <c r="AR396" s="18">
        <v>0.36680000000000001</v>
      </c>
      <c r="AS396" s="18">
        <v>0.55969999999999998</v>
      </c>
      <c r="AT396" s="18">
        <v>0.44769999999999999</v>
      </c>
      <c r="AU396" s="18">
        <v>0.3987</v>
      </c>
      <c r="AV396" s="18">
        <v>0.57579999999999998</v>
      </c>
      <c r="AW396" s="18">
        <v>0.44</v>
      </c>
      <c r="AX396" s="18">
        <v>0.37869999999999998</v>
      </c>
    </row>
    <row r="397" spans="1:50" x14ac:dyDescent="0.25">
      <c r="A397" s="16" t="s">
        <v>869</v>
      </c>
      <c r="B397" s="13" t="s">
        <v>464</v>
      </c>
      <c r="C397" s="17">
        <v>0.1242</v>
      </c>
      <c r="D397" s="17">
        <v>0.1114</v>
      </c>
      <c r="E397" s="17">
        <v>0.22819999999999999</v>
      </c>
      <c r="F397" s="17">
        <v>6.0400000000000002E-2</v>
      </c>
      <c r="G397" s="17">
        <v>0.13730000000000001</v>
      </c>
      <c r="H397" s="17">
        <v>0.19889999999999999</v>
      </c>
      <c r="I397" s="17">
        <v>5.7000000000000002E-2</v>
      </c>
      <c r="J397" s="17">
        <v>0.1183</v>
      </c>
      <c r="K397" s="17">
        <v>0.2213</v>
      </c>
      <c r="L397" s="17">
        <v>8.77E-2</v>
      </c>
      <c r="M397" s="17">
        <v>8.77E-2</v>
      </c>
      <c r="N397" s="17">
        <v>5.7000000000000002E-2</v>
      </c>
      <c r="O397" s="17">
        <v>0.14069999999999999</v>
      </c>
      <c r="P397" s="17">
        <v>0.19889999999999999</v>
      </c>
      <c r="Q397" s="17">
        <v>0.2979</v>
      </c>
      <c r="R397" s="17">
        <v>0.1132</v>
      </c>
      <c r="S397" s="17">
        <v>0.29509999999999997</v>
      </c>
      <c r="T397" s="17">
        <v>0.16270000000000001</v>
      </c>
      <c r="U397" s="17">
        <v>0.13239999999999999</v>
      </c>
      <c r="V397" s="17">
        <v>0.2888</v>
      </c>
      <c r="W397" s="17">
        <v>0.39179999999999998</v>
      </c>
      <c r="X397" s="17">
        <v>0.25019999999999998</v>
      </c>
      <c r="Y397" s="17">
        <v>0.60009999999999997</v>
      </c>
      <c r="Z397" s="17">
        <v>0.25769999999999998</v>
      </c>
      <c r="AA397" s="17">
        <v>0.32590000000000002</v>
      </c>
      <c r="AB397" s="17">
        <v>0.31719999999999998</v>
      </c>
      <c r="AC397" s="17">
        <v>0.27250000000000002</v>
      </c>
      <c r="AD397" s="17">
        <v>0.44219999999999998</v>
      </c>
      <c r="AE397" s="17">
        <v>0.27189999999999998</v>
      </c>
      <c r="AF397" s="17">
        <v>0.31380000000000002</v>
      </c>
      <c r="AG397" s="17">
        <v>0.44640000000000002</v>
      </c>
      <c r="AH397" s="17">
        <v>0.2944</v>
      </c>
      <c r="AI397" s="17">
        <v>1.7018</v>
      </c>
      <c r="AJ397" s="17">
        <v>0.26379999999999998</v>
      </c>
      <c r="AK397" s="17">
        <v>0.22839999999999999</v>
      </c>
      <c r="AL397" s="17">
        <v>0.41660000000000003</v>
      </c>
      <c r="AM397" s="17">
        <v>0.24690000000000001</v>
      </c>
      <c r="AN397" s="17">
        <v>0.36899999999999999</v>
      </c>
      <c r="AO397" s="17">
        <v>0.37890000000000001</v>
      </c>
      <c r="AP397" s="17">
        <v>0.3034</v>
      </c>
      <c r="AQ397" s="17">
        <v>0.66990000000000005</v>
      </c>
      <c r="AR397" s="17">
        <v>0.39410000000000001</v>
      </c>
      <c r="AS397" s="17">
        <v>0.49440000000000001</v>
      </c>
      <c r="AT397" s="17">
        <v>0.46379999999999999</v>
      </c>
      <c r="AU397" s="17">
        <v>0.87219999999999998</v>
      </c>
      <c r="AV397" s="17">
        <v>0.64049999999999996</v>
      </c>
      <c r="AW397" s="17">
        <v>0.41</v>
      </c>
      <c r="AX397" s="17">
        <v>0.48620000000000002</v>
      </c>
    </row>
    <row r="398" spans="1:50" x14ac:dyDescent="0.25">
      <c r="A398" s="8" t="s">
        <v>434</v>
      </c>
      <c r="B398" s="10" t="s">
        <v>57</v>
      </c>
      <c r="C398" s="18">
        <v>0.32879999999999998</v>
      </c>
      <c r="D398" s="18">
        <v>1.2593000000000001</v>
      </c>
      <c r="E398" s="18">
        <v>1.1119000000000001</v>
      </c>
      <c r="F398" s="18">
        <v>0.375</v>
      </c>
      <c r="G398" s="18">
        <v>0.32290000000000002</v>
      </c>
      <c r="H398" s="18">
        <v>4.2000000000000003E-2</v>
      </c>
      <c r="I398" s="18">
        <v>0.21959999999999999</v>
      </c>
      <c r="J398" s="18">
        <v>4.2000000000000003E-2</v>
      </c>
      <c r="K398" s="18">
        <v>0.155</v>
      </c>
      <c r="L398" s="18">
        <v>0.1066</v>
      </c>
      <c r="M398" s="18">
        <v>4.2000000000000003E-2</v>
      </c>
      <c r="N398" s="18">
        <v>0.2034</v>
      </c>
      <c r="O398" s="18">
        <v>5.8099999999999999E-2</v>
      </c>
      <c r="P398" s="18">
        <v>0.13880000000000001</v>
      </c>
      <c r="Q398" s="18">
        <v>0.1227</v>
      </c>
      <c r="R398" s="18">
        <v>8.2400000000000001E-2</v>
      </c>
      <c r="S398" s="18">
        <v>0.1792</v>
      </c>
      <c r="T398" s="18">
        <v>4.2000000000000003E-2</v>
      </c>
      <c r="U398" s="18">
        <v>5.8099999999999999E-2</v>
      </c>
      <c r="V398" s="18">
        <v>0.2034</v>
      </c>
      <c r="W398" s="18">
        <v>4.2000000000000003E-2</v>
      </c>
      <c r="X398" s="18">
        <v>4.2000000000000003E-2</v>
      </c>
      <c r="Y398" s="18">
        <v>0.1953</v>
      </c>
      <c r="Z398" s="18">
        <v>6.6199999999999995E-2</v>
      </c>
      <c r="AA398" s="18">
        <v>0.1308</v>
      </c>
      <c r="AB398" s="18">
        <v>0.1308</v>
      </c>
      <c r="AC398" s="18">
        <v>4.2000000000000003E-2</v>
      </c>
      <c r="AD398" s="18">
        <v>4.2000000000000003E-2</v>
      </c>
      <c r="AE398" s="18">
        <v>0.21959999999999999</v>
      </c>
      <c r="AF398" s="18">
        <v>4.2000000000000003E-2</v>
      </c>
      <c r="AG398" s="18">
        <v>0.155</v>
      </c>
      <c r="AH398" s="18">
        <v>0.1066</v>
      </c>
      <c r="AI398" s="18">
        <v>4.2000000000000003E-2</v>
      </c>
      <c r="AJ398" s="18">
        <v>0.4204</v>
      </c>
      <c r="AK398" s="18">
        <v>8.7300000000000003E-2</v>
      </c>
      <c r="AL398" s="18">
        <v>0.36899999999999999</v>
      </c>
      <c r="AM398" s="18">
        <v>1.3991</v>
      </c>
      <c r="AN398" s="18">
        <v>0.2964</v>
      </c>
      <c r="AO398" s="18">
        <v>0.42480000000000001</v>
      </c>
      <c r="AP398" s="18">
        <v>0.39889999999999998</v>
      </c>
      <c r="AQ398" s="18">
        <v>0.63690000000000002</v>
      </c>
      <c r="AR398" s="18">
        <v>0.56579999999999997</v>
      </c>
      <c r="AS398" s="18">
        <v>0.33460000000000001</v>
      </c>
      <c r="AT398" s="18">
        <v>0.34449999999999997</v>
      </c>
      <c r="AU398" s="18">
        <v>0.79069999999999996</v>
      </c>
      <c r="AV398" s="18">
        <v>0.48180000000000001</v>
      </c>
      <c r="AW398" s="18">
        <v>4.2000000000000003E-2</v>
      </c>
      <c r="AX398" s="18">
        <v>4.2000000000000003E-2</v>
      </c>
    </row>
    <row r="399" spans="1:50" x14ac:dyDescent="0.25">
      <c r="A399" s="16" t="s">
        <v>871</v>
      </c>
      <c r="B399" s="13" t="s">
        <v>464</v>
      </c>
      <c r="C399" s="17">
        <v>5.6000000000000001E-2</v>
      </c>
      <c r="D399" s="17">
        <v>0.22639999999999999</v>
      </c>
      <c r="E399" s="17">
        <v>5.6000000000000001E-2</v>
      </c>
      <c r="F399" s="17">
        <v>8.6999999999999994E-2</v>
      </c>
      <c r="G399" s="17">
        <v>0.19539999999999999</v>
      </c>
      <c r="H399" s="17">
        <v>5.6000000000000001E-2</v>
      </c>
      <c r="I399" s="17">
        <v>0.21859999999999999</v>
      </c>
      <c r="J399" s="17">
        <v>6.3700000000000007E-2</v>
      </c>
      <c r="K399" s="17">
        <v>5.6000000000000001E-2</v>
      </c>
      <c r="L399" s="17">
        <v>0.15670000000000001</v>
      </c>
      <c r="M399" s="17">
        <v>0.12570000000000001</v>
      </c>
      <c r="N399" s="17">
        <v>5.6000000000000001E-2</v>
      </c>
      <c r="O399" s="17">
        <v>0.22639999999999999</v>
      </c>
      <c r="P399" s="17">
        <v>5.6000000000000001E-2</v>
      </c>
      <c r="Q399" s="17">
        <v>7.3899999999999993E-2</v>
      </c>
      <c r="R399" s="17">
        <v>0.21410000000000001</v>
      </c>
      <c r="S399" s="17">
        <v>0.14249999999999999</v>
      </c>
      <c r="T399" s="17">
        <v>0.29570000000000002</v>
      </c>
      <c r="U399" s="17">
        <v>0.71860000000000002</v>
      </c>
      <c r="V399" s="17">
        <v>0.29449999999999998</v>
      </c>
      <c r="W399" s="17">
        <v>0.1527</v>
      </c>
      <c r="X399" s="17">
        <v>0.22120000000000001</v>
      </c>
      <c r="Y399" s="17">
        <v>7.1499999999999994E-2</v>
      </c>
      <c r="Z399" s="17">
        <v>5.6000000000000001E-2</v>
      </c>
      <c r="AA399" s="17">
        <v>0.22639999999999999</v>
      </c>
      <c r="AB399" s="17">
        <v>5.6000000000000001E-2</v>
      </c>
      <c r="AC399" s="17">
        <v>5.6000000000000001E-2</v>
      </c>
      <c r="AD399" s="17">
        <v>0.22639999999999999</v>
      </c>
      <c r="AE399" s="17">
        <v>8.1900000000000001E-2</v>
      </c>
      <c r="AF399" s="17">
        <v>0.23369999999999999</v>
      </c>
      <c r="AG399" s="17">
        <v>0.1293</v>
      </c>
      <c r="AH399" s="17">
        <v>0.18310000000000001</v>
      </c>
      <c r="AI399" s="17">
        <v>1.0096000000000001</v>
      </c>
      <c r="AJ399" s="17">
        <v>1.3749</v>
      </c>
      <c r="AK399" s="17">
        <v>0.24249999999999999</v>
      </c>
      <c r="AL399" s="17">
        <v>0.12180000000000001</v>
      </c>
      <c r="AM399" s="17">
        <v>0.27139999999999997</v>
      </c>
      <c r="AN399" s="17">
        <v>0.2782</v>
      </c>
      <c r="AO399" s="17">
        <v>0.35859999999999997</v>
      </c>
      <c r="AP399" s="17">
        <v>0.35799999999999998</v>
      </c>
      <c r="AQ399" s="17">
        <v>0.51900000000000002</v>
      </c>
      <c r="AR399" s="17">
        <v>0.50949999999999995</v>
      </c>
      <c r="AS399" s="17">
        <v>0.67400000000000004</v>
      </c>
      <c r="AT399" s="17">
        <v>0.32119999999999999</v>
      </c>
      <c r="AU399" s="17">
        <v>0.49120000000000003</v>
      </c>
      <c r="AV399" s="17">
        <v>0.43880000000000002</v>
      </c>
      <c r="AW399" s="17">
        <v>0.55679999999999996</v>
      </c>
      <c r="AX399" s="17">
        <v>0.2031</v>
      </c>
    </row>
    <row r="400" spans="1:50" x14ac:dyDescent="0.25">
      <c r="A400" s="16" t="s">
        <v>873</v>
      </c>
      <c r="B400" s="13" t="s">
        <v>464</v>
      </c>
      <c r="C400" s="17">
        <v>4.1000000000000002E-2</v>
      </c>
      <c r="D400" s="17">
        <v>0.20050000000000001</v>
      </c>
      <c r="E400" s="17">
        <v>4.1000000000000002E-2</v>
      </c>
      <c r="F400" s="17">
        <v>0.1353</v>
      </c>
      <c r="G400" s="17">
        <v>0.1062</v>
      </c>
      <c r="H400" s="17">
        <v>4.1000000000000002E-2</v>
      </c>
      <c r="I400" s="17">
        <v>0.20050000000000001</v>
      </c>
      <c r="J400" s="17">
        <v>4.1000000000000002E-2</v>
      </c>
      <c r="K400" s="17">
        <v>4.1000000000000002E-2</v>
      </c>
      <c r="L400" s="17">
        <v>0.20050000000000001</v>
      </c>
      <c r="M400" s="17">
        <v>4.1000000000000002E-2</v>
      </c>
      <c r="N400" s="17">
        <v>0.1353</v>
      </c>
      <c r="O400" s="17">
        <v>0.1062</v>
      </c>
      <c r="P400" s="17">
        <v>4.1000000000000002E-2</v>
      </c>
      <c r="Q400" s="17">
        <v>4.1000000000000002E-2</v>
      </c>
      <c r="R400" s="17">
        <v>0.20050000000000001</v>
      </c>
      <c r="S400" s="17">
        <v>4.1000000000000002E-2</v>
      </c>
      <c r="T400" s="17">
        <v>0.1353</v>
      </c>
      <c r="U400" s="17">
        <v>0.13850000000000001</v>
      </c>
      <c r="V400" s="17">
        <v>4.8300000000000003E-2</v>
      </c>
      <c r="W400" s="17">
        <v>0.1933</v>
      </c>
      <c r="X400" s="17">
        <v>4.1000000000000002E-2</v>
      </c>
      <c r="Y400" s="17">
        <v>0.1787</v>
      </c>
      <c r="Z400" s="17">
        <v>6.2799999999999995E-2</v>
      </c>
      <c r="AA400" s="17">
        <v>4.1000000000000002E-2</v>
      </c>
      <c r="AB400" s="17">
        <v>0.1933</v>
      </c>
      <c r="AC400" s="17">
        <v>4.8300000000000003E-2</v>
      </c>
      <c r="AD400" s="17">
        <v>0.1207</v>
      </c>
      <c r="AE400" s="17">
        <v>0.1229</v>
      </c>
      <c r="AF400" s="17">
        <v>0.2072</v>
      </c>
      <c r="AG400" s="17">
        <v>0.1497</v>
      </c>
      <c r="AH400" s="17">
        <v>1.3622000000000001</v>
      </c>
      <c r="AI400" s="17">
        <v>0.7117</v>
      </c>
      <c r="AJ400" s="17">
        <v>0.21099999999999999</v>
      </c>
      <c r="AK400" s="17">
        <v>0.22339999999999999</v>
      </c>
      <c r="AL400" s="17">
        <v>0.32500000000000001</v>
      </c>
      <c r="AM400" s="17">
        <v>0.18029999999999999</v>
      </c>
      <c r="AN400" s="17">
        <v>0.20419999999999999</v>
      </c>
      <c r="AO400" s="17">
        <v>1.1491</v>
      </c>
      <c r="AP400" s="17">
        <v>0.90510000000000002</v>
      </c>
      <c r="AQ400" s="17">
        <v>0.63890000000000002</v>
      </c>
      <c r="AR400" s="17">
        <v>0.47710000000000002</v>
      </c>
      <c r="AS400" s="17">
        <v>0.45800000000000002</v>
      </c>
      <c r="AT400" s="17">
        <v>0.59379999999999999</v>
      </c>
      <c r="AU400" s="17">
        <v>0.45329999999999998</v>
      </c>
      <c r="AV400" s="17">
        <v>0.25509999999999999</v>
      </c>
      <c r="AW400" s="17">
        <v>4.1000000000000002E-2</v>
      </c>
      <c r="AX400" s="17">
        <v>0.128</v>
      </c>
    </row>
    <row r="401" spans="1:50" x14ac:dyDescent="0.25">
      <c r="A401" s="8" t="s">
        <v>436</v>
      </c>
      <c r="B401" s="10" t="s">
        <v>57</v>
      </c>
      <c r="C401" s="18">
        <v>5.4300000000000001E-2</v>
      </c>
      <c r="D401" s="18">
        <v>0.28689999999999999</v>
      </c>
      <c r="E401" s="18">
        <v>0.20380000000000001</v>
      </c>
      <c r="F401" s="18">
        <v>0.1142</v>
      </c>
      <c r="G401" s="18">
        <v>0.11360000000000001</v>
      </c>
      <c r="H401" s="18">
        <v>0.3301</v>
      </c>
      <c r="I401" s="18">
        <v>8.8499999999999995E-2</v>
      </c>
      <c r="J401" s="18">
        <v>0.28689999999999999</v>
      </c>
      <c r="K401" s="18">
        <v>0.12570000000000001</v>
      </c>
      <c r="L401" s="18">
        <v>0.216</v>
      </c>
      <c r="M401" s="18">
        <v>8.8300000000000003E-2</v>
      </c>
      <c r="N401" s="18">
        <v>0.30499999999999999</v>
      </c>
      <c r="O401" s="18">
        <v>0.05</v>
      </c>
      <c r="P401" s="18">
        <v>0.27589999999999998</v>
      </c>
      <c r="Q401" s="18">
        <v>0.12909999999999999</v>
      </c>
      <c r="R401" s="18">
        <v>0.20549999999999999</v>
      </c>
      <c r="S401" s="18">
        <v>0.2903</v>
      </c>
      <c r="T401" s="18">
        <v>0.13159999999999999</v>
      </c>
      <c r="U401" s="18">
        <v>0.25159999999999999</v>
      </c>
      <c r="V401" s="18">
        <v>0.54730000000000001</v>
      </c>
      <c r="W401" s="18">
        <v>0.35349999999999998</v>
      </c>
      <c r="X401" s="18">
        <v>0.21820000000000001</v>
      </c>
      <c r="Y401" s="18">
        <v>1.3119000000000001</v>
      </c>
      <c r="Z401" s="18">
        <v>0.49719999999999998</v>
      </c>
      <c r="AA401" s="18">
        <v>0.54730000000000001</v>
      </c>
      <c r="AB401" s="18">
        <v>0.379</v>
      </c>
      <c r="AC401" s="18">
        <v>0.45739999999999997</v>
      </c>
      <c r="AD401" s="18">
        <v>0.51270000000000004</v>
      </c>
      <c r="AE401" s="18">
        <v>0.82850000000000001</v>
      </c>
      <c r="AF401" s="18">
        <v>1.1845000000000001</v>
      </c>
      <c r="AG401" s="18">
        <v>0.33479999999999999</v>
      </c>
      <c r="AH401" s="18">
        <v>0.26029999999999998</v>
      </c>
      <c r="AI401" s="18">
        <v>0.32669999999999999</v>
      </c>
      <c r="AJ401" s="18">
        <v>0.2994</v>
      </c>
      <c r="AK401" s="18">
        <v>0.16489999999999999</v>
      </c>
      <c r="AL401" s="18">
        <v>5.4300000000000001E-2</v>
      </c>
      <c r="AM401" s="18">
        <v>0.35060000000000002</v>
      </c>
      <c r="AN401" s="18">
        <v>1.2544999999999999</v>
      </c>
      <c r="AO401" s="18">
        <v>1.0504</v>
      </c>
      <c r="AP401" s="18">
        <v>0.86729999999999996</v>
      </c>
      <c r="AQ401" s="18">
        <v>1.3454999999999999</v>
      </c>
      <c r="AR401" s="18">
        <v>1.2048000000000001</v>
      </c>
      <c r="AS401" s="18">
        <v>1.2685999999999999</v>
      </c>
      <c r="AT401" s="18">
        <v>2.2031000000000001</v>
      </c>
      <c r="AU401" s="18">
        <v>0.87729999999999997</v>
      </c>
      <c r="AV401" s="18">
        <v>0.85229999999999995</v>
      </c>
      <c r="AW401" s="18">
        <v>0.99860000000000004</v>
      </c>
      <c r="AX401" s="18">
        <v>0.15629999999999999</v>
      </c>
    </row>
    <row r="402" spans="1:50" x14ac:dyDescent="0.25">
      <c r="A402" s="16" t="s">
        <v>875</v>
      </c>
      <c r="B402" s="13" t="s">
        <v>464</v>
      </c>
      <c r="C402" s="17">
        <v>0.1193</v>
      </c>
      <c r="D402" s="17">
        <v>4.7E-2</v>
      </c>
      <c r="E402" s="17">
        <v>0.15029999999999999</v>
      </c>
      <c r="F402" s="17">
        <v>4.7E-2</v>
      </c>
      <c r="G402" s="17">
        <v>4.7E-2</v>
      </c>
      <c r="H402" s="17">
        <v>0.15029999999999999</v>
      </c>
      <c r="I402" s="17">
        <v>4.7E-2</v>
      </c>
      <c r="J402" s="17">
        <v>0.15029999999999999</v>
      </c>
      <c r="K402" s="17">
        <v>4.7E-2</v>
      </c>
      <c r="L402" s="17">
        <v>9.35E-2</v>
      </c>
      <c r="M402" s="17">
        <v>0.1038</v>
      </c>
      <c r="N402" s="17">
        <v>4.7E-2</v>
      </c>
      <c r="O402" s="17">
        <v>0.15029999999999999</v>
      </c>
      <c r="P402" s="17">
        <v>4.7E-2</v>
      </c>
      <c r="Q402" s="17">
        <v>0.23680000000000001</v>
      </c>
      <c r="R402" s="17">
        <v>4.7E-2</v>
      </c>
      <c r="S402" s="17">
        <v>0.15029999999999999</v>
      </c>
      <c r="T402" s="17">
        <v>0.23139999999999999</v>
      </c>
      <c r="U402" s="17">
        <v>0.1046</v>
      </c>
      <c r="V402" s="17">
        <v>0.1014</v>
      </c>
      <c r="W402" s="17">
        <v>4.9599999999999998E-2</v>
      </c>
      <c r="X402" s="17">
        <v>0.15029999999999999</v>
      </c>
      <c r="Y402" s="17">
        <v>0.46110000000000001</v>
      </c>
      <c r="Z402" s="17">
        <v>9.7000000000000003E-2</v>
      </c>
      <c r="AA402" s="17">
        <v>4.7E-2</v>
      </c>
      <c r="AB402" s="17">
        <v>0.1452</v>
      </c>
      <c r="AC402" s="17">
        <v>1.3132999999999999</v>
      </c>
      <c r="AD402" s="17">
        <v>1.0307999999999999</v>
      </c>
      <c r="AE402" s="17">
        <v>1.0636000000000001</v>
      </c>
      <c r="AF402" s="17">
        <v>4.7E-2</v>
      </c>
      <c r="AG402" s="17">
        <v>0.15029999999999999</v>
      </c>
      <c r="AH402" s="17">
        <v>4.7E-2</v>
      </c>
      <c r="AI402" s="17">
        <v>4.7E-2</v>
      </c>
      <c r="AJ402" s="17">
        <v>7.8E-2</v>
      </c>
      <c r="AK402" s="17">
        <v>0.1193</v>
      </c>
      <c r="AL402" s="17">
        <v>5.7000000000000002E-2</v>
      </c>
      <c r="AM402" s="17">
        <v>0.48039999999999999</v>
      </c>
      <c r="AN402" s="17">
        <v>0.65680000000000005</v>
      </c>
      <c r="AO402" s="17">
        <v>0.30009999999999998</v>
      </c>
      <c r="AP402" s="17">
        <v>0.54459999999999997</v>
      </c>
      <c r="AQ402" s="17">
        <v>0.39</v>
      </c>
      <c r="AR402" s="17">
        <v>0.46820000000000001</v>
      </c>
      <c r="AS402" s="17">
        <v>0.35199999999999998</v>
      </c>
      <c r="AT402" s="17">
        <v>0.42730000000000001</v>
      </c>
      <c r="AU402" s="17">
        <v>0.35070000000000001</v>
      </c>
      <c r="AV402" s="17">
        <v>0.39600000000000002</v>
      </c>
      <c r="AW402" s="17">
        <v>0.2999</v>
      </c>
      <c r="AX402" s="17">
        <v>0.29909999999999998</v>
      </c>
    </row>
    <row r="403" spans="1:50" x14ac:dyDescent="0.25">
      <c r="A403" s="8" t="s">
        <v>438</v>
      </c>
      <c r="B403" s="10" t="s">
        <v>57</v>
      </c>
      <c r="C403" s="18">
        <v>0.1038</v>
      </c>
      <c r="D403" s="18">
        <v>0.1038</v>
      </c>
      <c r="E403" s="18">
        <v>9.2999999999999999E-2</v>
      </c>
      <c r="F403" s="18">
        <v>0.11459999999999999</v>
      </c>
      <c r="G403" s="18">
        <v>0.05</v>
      </c>
      <c r="H403" s="18">
        <v>0.12529999999999999</v>
      </c>
      <c r="I403" s="18">
        <v>8.2299999999999998E-2</v>
      </c>
      <c r="J403" s="18">
        <v>0.05</v>
      </c>
      <c r="K403" s="18">
        <v>0.15759999999999999</v>
      </c>
      <c r="L403" s="18">
        <v>0.05</v>
      </c>
      <c r="M403" s="18">
        <v>0.1361</v>
      </c>
      <c r="N403" s="18">
        <v>7.1499999999999994E-2</v>
      </c>
      <c r="O403" s="18">
        <v>0.05</v>
      </c>
      <c r="P403" s="18">
        <v>0.11990000000000001</v>
      </c>
      <c r="Q403" s="18">
        <v>8.77E-2</v>
      </c>
      <c r="R403" s="18">
        <v>8.14E-2</v>
      </c>
      <c r="S403" s="18">
        <v>0.13519999999999999</v>
      </c>
      <c r="T403" s="18">
        <v>0.05</v>
      </c>
      <c r="U403" s="18">
        <v>0.49120000000000003</v>
      </c>
      <c r="V403" s="18">
        <v>2.4598</v>
      </c>
      <c r="W403" s="18">
        <v>2.1854</v>
      </c>
      <c r="X403" s="18">
        <v>0.1038</v>
      </c>
      <c r="Y403" s="18">
        <v>0.05</v>
      </c>
      <c r="Z403" s="18">
        <v>8.77E-2</v>
      </c>
      <c r="AA403" s="18">
        <v>2.0455000000000001</v>
      </c>
      <c r="AB403" s="18">
        <v>6.54E-2</v>
      </c>
      <c r="AC403" s="18">
        <v>0.1716</v>
      </c>
      <c r="AD403" s="18">
        <v>0.05</v>
      </c>
      <c r="AE403" s="18">
        <v>0.14149999999999999</v>
      </c>
      <c r="AF403" s="18">
        <v>7.9399999999999998E-2</v>
      </c>
      <c r="AG403" s="18">
        <v>0.05</v>
      </c>
      <c r="AH403" s="18">
        <v>0.15040000000000001</v>
      </c>
      <c r="AI403" s="18">
        <v>8.7400000000000005E-2</v>
      </c>
      <c r="AJ403" s="18">
        <v>0.13519999999999999</v>
      </c>
      <c r="AK403" s="18">
        <v>1.0118</v>
      </c>
      <c r="AL403" s="18">
        <v>4.1557000000000004</v>
      </c>
      <c r="AM403" s="18">
        <v>0.3276</v>
      </c>
      <c r="AN403" s="18">
        <v>0.14779999999999999</v>
      </c>
      <c r="AO403" s="18">
        <v>0.371</v>
      </c>
      <c r="AP403" s="18">
        <v>0.44140000000000001</v>
      </c>
      <c r="AQ403" s="18">
        <v>0.2283</v>
      </c>
      <c r="AR403" s="18">
        <v>0.23119999999999999</v>
      </c>
      <c r="AS403" s="18">
        <v>0.42859999999999998</v>
      </c>
      <c r="AT403" s="18">
        <v>0.05</v>
      </c>
      <c r="AU403" s="18">
        <v>0.1588</v>
      </c>
      <c r="AV403" s="18">
        <v>0.15759999999999999</v>
      </c>
      <c r="AW403" s="18">
        <v>0.05</v>
      </c>
      <c r="AX403" s="18">
        <v>0.05</v>
      </c>
    </row>
    <row r="404" spans="1:50" x14ac:dyDescent="0.25">
      <c r="A404" s="16" t="s">
        <v>877</v>
      </c>
      <c r="B404" s="13" t="s">
        <v>464</v>
      </c>
      <c r="C404" s="17">
        <v>0.2545</v>
      </c>
      <c r="D404" s="17">
        <v>5.7000000000000002E-2</v>
      </c>
      <c r="E404" s="17">
        <v>0.22869999999999999</v>
      </c>
      <c r="F404" s="17">
        <v>0.123</v>
      </c>
      <c r="G404" s="17">
        <v>5.7000000000000002E-2</v>
      </c>
      <c r="H404" s="17">
        <v>5.7000000000000002E-2</v>
      </c>
      <c r="I404" s="17">
        <v>0.18920000000000001</v>
      </c>
      <c r="J404" s="17">
        <v>0.16239999999999999</v>
      </c>
      <c r="K404" s="17">
        <v>5.7000000000000002E-2</v>
      </c>
      <c r="L404" s="17">
        <v>0.23019999999999999</v>
      </c>
      <c r="M404" s="17">
        <v>0.18790000000000001</v>
      </c>
      <c r="N404" s="17">
        <v>0.1013</v>
      </c>
      <c r="O404" s="17">
        <v>0.22839999999999999</v>
      </c>
      <c r="P404" s="17">
        <v>0.1232</v>
      </c>
      <c r="Q404" s="17">
        <v>7.7100000000000002E-2</v>
      </c>
      <c r="R404" s="17">
        <v>0.27460000000000001</v>
      </c>
      <c r="S404" s="17">
        <v>5.7000000000000002E-2</v>
      </c>
      <c r="T404" s="17">
        <v>0.24349999999999999</v>
      </c>
      <c r="U404" s="17">
        <v>0.2472</v>
      </c>
      <c r="V404" s="17">
        <v>9.1800000000000007E-2</v>
      </c>
      <c r="W404" s="17">
        <v>0.36480000000000001</v>
      </c>
      <c r="X404" s="17">
        <v>0.29530000000000001</v>
      </c>
      <c r="Y404" s="17">
        <v>0.50760000000000005</v>
      </c>
      <c r="Z404" s="17">
        <v>0.69310000000000005</v>
      </c>
      <c r="AA404" s="17">
        <v>0.59589999999999999</v>
      </c>
      <c r="AB404" s="17">
        <v>0.31690000000000002</v>
      </c>
      <c r="AC404" s="17">
        <v>0.28689999999999999</v>
      </c>
      <c r="AD404" s="17">
        <v>0.3155</v>
      </c>
      <c r="AE404" s="17">
        <v>0.49280000000000002</v>
      </c>
      <c r="AF404" s="17">
        <v>0.28410000000000002</v>
      </c>
      <c r="AG404" s="17">
        <v>0.43430000000000002</v>
      </c>
      <c r="AH404" s="17">
        <v>0.23880000000000001</v>
      </c>
      <c r="AI404" s="17">
        <v>0.21609999999999999</v>
      </c>
      <c r="AJ404" s="17">
        <v>0.22889999999999999</v>
      </c>
      <c r="AK404" s="17">
        <v>1.1064000000000001</v>
      </c>
      <c r="AL404" s="17">
        <v>1.4074</v>
      </c>
      <c r="AM404" s="17">
        <v>0.70930000000000004</v>
      </c>
      <c r="AN404" s="17">
        <v>0.33139999999999997</v>
      </c>
      <c r="AO404" s="17">
        <v>0.40789999999999998</v>
      </c>
      <c r="AP404" s="17">
        <v>0.245</v>
      </c>
      <c r="AQ404" s="17">
        <v>1.6317999999999999</v>
      </c>
      <c r="AR404" s="17">
        <v>0.67269999999999996</v>
      </c>
      <c r="AS404" s="17">
        <v>0.65620000000000001</v>
      </c>
      <c r="AT404" s="17">
        <v>0.54810000000000003</v>
      </c>
      <c r="AU404" s="17">
        <v>0.59060000000000001</v>
      </c>
      <c r="AV404" s="17">
        <v>0.50770000000000004</v>
      </c>
      <c r="AW404" s="17">
        <v>0.58189999999999997</v>
      </c>
      <c r="AX404" s="17">
        <v>0.14729999999999999</v>
      </c>
    </row>
    <row r="405" spans="1:50" x14ac:dyDescent="0.25">
      <c r="A405" s="8" t="s">
        <v>440</v>
      </c>
      <c r="B405" s="10" t="s">
        <v>57</v>
      </c>
      <c r="C405" s="18">
        <v>5.2999999999999999E-2</v>
      </c>
      <c r="D405" s="18">
        <v>5.2999999999999999E-2</v>
      </c>
      <c r="E405" s="18">
        <v>5.2999999999999999E-2</v>
      </c>
      <c r="F405" s="18">
        <v>5.2999999999999999E-2</v>
      </c>
      <c r="G405" s="18">
        <v>5.2999999999999999E-2</v>
      </c>
      <c r="H405" s="18">
        <v>5.2999999999999999E-2</v>
      </c>
      <c r="I405" s="18">
        <v>5.2999999999999999E-2</v>
      </c>
      <c r="J405" s="18">
        <v>5.2999999999999999E-2</v>
      </c>
      <c r="K405" s="18">
        <v>5.2999999999999999E-2</v>
      </c>
      <c r="L405" s="18">
        <v>5.2999999999999999E-2</v>
      </c>
      <c r="M405" s="18">
        <v>5.2999999999999999E-2</v>
      </c>
      <c r="N405" s="18">
        <v>5.2999999999999999E-2</v>
      </c>
      <c r="O405" s="18">
        <v>5.2999999999999999E-2</v>
      </c>
      <c r="P405" s="18">
        <v>5.2999999999999999E-2</v>
      </c>
      <c r="Q405" s="18">
        <v>6.9199999999999998E-2</v>
      </c>
      <c r="R405" s="18">
        <v>0.64200000000000002</v>
      </c>
      <c r="S405" s="18">
        <v>0.66110000000000002</v>
      </c>
      <c r="T405" s="18">
        <v>6.8000000000000005E-2</v>
      </c>
      <c r="U405" s="18">
        <v>6.4000000000000001E-2</v>
      </c>
      <c r="V405" s="18">
        <v>6.4000000000000001E-2</v>
      </c>
      <c r="W405" s="18">
        <v>6.0299999999999999E-2</v>
      </c>
      <c r="X405" s="18">
        <v>5.2999999999999999E-2</v>
      </c>
      <c r="Y405" s="18">
        <v>5.2999999999999999E-2</v>
      </c>
      <c r="Z405" s="18">
        <v>5.2999999999999999E-2</v>
      </c>
      <c r="AA405" s="18">
        <v>5.2999999999999999E-2</v>
      </c>
      <c r="AB405" s="18">
        <v>5.2999999999999999E-2</v>
      </c>
      <c r="AC405" s="18">
        <v>5.2999999999999999E-2</v>
      </c>
      <c r="AD405" s="18">
        <v>5.2999999999999999E-2</v>
      </c>
      <c r="AE405" s="18">
        <v>5.2999999999999999E-2</v>
      </c>
      <c r="AF405" s="18">
        <v>5.2999999999999999E-2</v>
      </c>
      <c r="AG405" s="18">
        <v>5.2999999999999999E-2</v>
      </c>
      <c r="AH405" s="18">
        <v>5.2999999999999999E-2</v>
      </c>
      <c r="AI405" s="18">
        <v>5.2999999999999999E-2</v>
      </c>
      <c r="AJ405" s="18">
        <v>0.1186</v>
      </c>
      <c r="AK405" s="18">
        <v>0.11119999999999999</v>
      </c>
      <c r="AL405" s="18">
        <v>0.29980000000000001</v>
      </c>
      <c r="AM405" s="18">
        <v>0.18210000000000001</v>
      </c>
      <c r="AN405" s="18">
        <v>8.7800000000000003E-2</v>
      </c>
      <c r="AO405" s="18">
        <v>0.4335</v>
      </c>
      <c r="AP405" s="18">
        <v>0.34860000000000002</v>
      </c>
      <c r="AQ405" s="18">
        <v>0.65059999999999996</v>
      </c>
      <c r="AR405" s="18">
        <v>0.54900000000000004</v>
      </c>
      <c r="AS405" s="18">
        <v>0.54010000000000002</v>
      </c>
      <c r="AT405" s="18">
        <v>0.67020000000000002</v>
      </c>
      <c r="AU405" s="18">
        <v>0.79600000000000004</v>
      </c>
      <c r="AV405" s="18">
        <v>0.82420000000000004</v>
      </c>
      <c r="AW405" s="18">
        <v>0.84889999999999999</v>
      </c>
      <c r="AX405" s="18">
        <v>5.2999999999999999E-2</v>
      </c>
    </row>
    <row r="406" spans="1:50" x14ac:dyDescent="0.25">
      <c r="A406" s="8" t="s">
        <v>442</v>
      </c>
      <c r="B406" s="10" t="s">
        <v>57</v>
      </c>
      <c r="C406" s="18">
        <v>0.19239999999999999</v>
      </c>
      <c r="D406" s="18">
        <v>0.15279999999999999</v>
      </c>
      <c r="E406" s="18">
        <v>6.2199999999999998E-2</v>
      </c>
      <c r="F406" s="18">
        <v>0.28310000000000002</v>
      </c>
      <c r="G406" s="18">
        <v>5.2999999999999999E-2</v>
      </c>
      <c r="H406" s="18">
        <v>0.13539999999999999</v>
      </c>
      <c r="I406" s="18">
        <v>8.8700000000000001E-2</v>
      </c>
      <c r="J406" s="18">
        <v>0.17419999999999999</v>
      </c>
      <c r="K406" s="18">
        <v>0.1033</v>
      </c>
      <c r="L406" s="18">
        <v>0.21340000000000001</v>
      </c>
      <c r="M406" s="18">
        <v>0.14099999999999999</v>
      </c>
      <c r="N406" s="18">
        <v>0.1401</v>
      </c>
      <c r="O406" s="18">
        <v>0.1457</v>
      </c>
      <c r="P406" s="18">
        <v>6.0100000000000001E-2</v>
      </c>
      <c r="Q406" s="18">
        <v>0.20280000000000001</v>
      </c>
      <c r="R406" s="18">
        <v>5.2999999999999999E-2</v>
      </c>
      <c r="S406" s="18">
        <v>0.1457</v>
      </c>
      <c r="T406" s="18">
        <v>0.1996</v>
      </c>
      <c r="U406" s="18">
        <v>5.2999999999999999E-2</v>
      </c>
      <c r="V406" s="18">
        <v>9.8799999999999999E-2</v>
      </c>
      <c r="W406" s="18">
        <v>0.1895</v>
      </c>
      <c r="X406" s="18">
        <v>0.1101</v>
      </c>
      <c r="Y406" s="18">
        <v>0.50009999999999999</v>
      </c>
      <c r="Z406" s="18">
        <v>0.57469999999999999</v>
      </c>
      <c r="AA406" s="18">
        <v>8.9499999999999996E-2</v>
      </c>
      <c r="AB406" s="18">
        <v>0.1171</v>
      </c>
      <c r="AC406" s="18">
        <v>1.5275000000000001</v>
      </c>
      <c r="AD406" s="18">
        <v>0.99270000000000003</v>
      </c>
      <c r="AE406" s="18">
        <v>1.0242</v>
      </c>
      <c r="AF406" s="18">
        <v>1.4733000000000001</v>
      </c>
      <c r="AG406" s="18">
        <v>1.3423</v>
      </c>
      <c r="AH406" s="18">
        <v>2.2271999999999998</v>
      </c>
      <c r="AI406" s="18">
        <v>1.3475999999999999</v>
      </c>
      <c r="AJ406" s="18">
        <v>0.4834</v>
      </c>
      <c r="AK406" s="18">
        <v>0.29039999999999999</v>
      </c>
      <c r="AL406" s="18">
        <v>0.35920000000000002</v>
      </c>
      <c r="AM406" s="18">
        <v>0.12180000000000001</v>
      </c>
      <c r="AN406" s="18">
        <v>0.20280000000000001</v>
      </c>
      <c r="AO406" s="18">
        <v>0.13539999999999999</v>
      </c>
      <c r="AP406" s="18">
        <v>8.1500000000000003E-2</v>
      </c>
      <c r="AQ406" s="18">
        <v>0.18140000000000001</v>
      </c>
      <c r="AR406" s="18">
        <v>0.57299999999999995</v>
      </c>
      <c r="AS406" s="18">
        <v>0.78859999999999997</v>
      </c>
      <c r="AT406" s="18">
        <v>0.44540000000000002</v>
      </c>
      <c r="AU406" s="18">
        <v>0.48359999999999997</v>
      </c>
      <c r="AV406" s="18">
        <v>0.38040000000000002</v>
      </c>
      <c r="AW406" s="18">
        <v>7.4399999999999994E-2</v>
      </c>
      <c r="AX406" s="18">
        <v>0.1171</v>
      </c>
    </row>
    <row r="407" spans="1:50" x14ac:dyDescent="0.25">
      <c r="A407" s="16" t="s">
        <v>879</v>
      </c>
      <c r="B407" s="13" t="s">
        <v>464</v>
      </c>
      <c r="C407" s="17">
        <v>0.15809999999999999</v>
      </c>
      <c r="D407" s="17">
        <v>0.1208</v>
      </c>
      <c r="E407" s="17">
        <v>8.3599999999999994E-2</v>
      </c>
      <c r="F407" s="17">
        <v>0.1545</v>
      </c>
      <c r="G407" s="17">
        <v>0.12670000000000001</v>
      </c>
      <c r="H407" s="17">
        <v>0.10340000000000001</v>
      </c>
      <c r="I407" s="17">
        <v>0.35299999999999998</v>
      </c>
      <c r="J407" s="17">
        <v>0.47320000000000001</v>
      </c>
      <c r="K407" s="17">
        <v>5.0999999999999997E-2</v>
      </c>
      <c r="L407" s="17">
        <v>0.23949999999999999</v>
      </c>
      <c r="M407" s="17">
        <v>7.4300000000000005E-2</v>
      </c>
      <c r="N407" s="17">
        <v>0.13009999999999999</v>
      </c>
      <c r="O407" s="17">
        <v>6.1499999999999999E-2</v>
      </c>
      <c r="P407" s="17">
        <v>0.17319999999999999</v>
      </c>
      <c r="Q407" s="17">
        <v>5.0999999999999997E-2</v>
      </c>
      <c r="R407" s="17">
        <v>0.2162</v>
      </c>
      <c r="S407" s="17">
        <v>0.1046</v>
      </c>
      <c r="T407" s="17">
        <v>0.1082</v>
      </c>
      <c r="U407" s="17">
        <v>0.18149999999999999</v>
      </c>
      <c r="V407" s="17">
        <v>5.0999999999999997E-2</v>
      </c>
      <c r="W407" s="17">
        <v>0.26279999999999998</v>
      </c>
      <c r="X407" s="17">
        <v>5.0999999999999997E-2</v>
      </c>
      <c r="Y407" s="17">
        <v>0.17549999999999999</v>
      </c>
      <c r="Z407" s="17">
        <v>0.13830000000000001</v>
      </c>
      <c r="AA407" s="17">
        <v>0.14330000000000001</v>
      </c>
      <c r="AB407" s="17">
        <v>0.1096</v>
      </c>
      <c r="AC407" s="17">
        <v>0.13250000000000001</v>
      </c>
      <c r="AD407" s="17">
        <v>8.8200000000000001E-2</v>
      </c>
      <c r="AE407" s="17">
        <v>0.19650000000000001</v>
      </c>
      <c r="AF407" s="17">
        <v>8.0100000000000005E-2</v>
      </c>
      <c r="AG407" s="17">
        <v>5.0999999999999997E-2</v>
      </c>
      <c r="AH407" s="17">
        <v>9.1700000000000004E-2</v>
      </c>
      <c r="AI407" s="17">
        <v>0.222</v>
      </c>
      <c r="AJ407" s="17">
        <v>5.0999999999999997E-2</v>
      </c>
      <c r="AK407" s="17">
        <v>0.1522</v>
      </c>
      <c r="AL407" s="17">
        <v>0.16159999999999999</v>
      </c>
      <c r="AM407" s="17">
        <v>5.0999999999999997E-2</v>
      </c>
      <c r="AN407" s="17">
        <v>0.17899999999999999</v>
      </c>
      <c r="AO407" s="17">
        <v>0.10680000000000001</v>
      </c>
      <c r="AP407" s="17">
        <v>0.16039999999999999</v>
      </c>
      <c r="AQ407" s="17">
        <v>0.15340000000000001</v>
      </c>
      <c r="AR407" s="17">
        <v>9.64E-2</v>
      </c>
      <c r="AS407" s="17">
        <v>0.16159999999999999</v>
      </c>
      <c r="AT407" s="17">
        <v>0.13469999999999999</v>
      </c>
      <c r="AU407" s="17">
        <v>0.17899999999999999</v>
      </c>
      <c r="AV407" s="17">
        <v>0.13469999999999999</v>
      </c>
      <c r="AW407" s="17">
        <v>0.12670000000000001</v>
      </c>
      <c r="AX407" s="17">
        <v>0.1452</v>
      </c>
    </row>
    <row r="408" spans="1:50" x14ac:dyDescent="0.25">
      <c r="A408" s="16" t="s">
        <v>881</v>
      </c>
      <c r="B408" s="13" t="s">
        <v>464</v>
      </c>
      <c r="C408" s="17">
        <v>0.14990000000000001</v>
      </c>
      <c r="D408" s="17">
        <v>0.25230000000000002</v>
      </c>
      <c r="E408" s="17">
        <v>0.1298</v>
      </c>
      <c r="F408" s="17">
        <v>0.31900000000000001</v>
      </c>
      <c r="G408" s="17">
        <v>0.2051</v>
      </c>
      <c r="H408" s="17">
        <v>0.11409999999999999</v>
      </c>
      <c r="I408" s="17">
        <v>0.35909999999999997</v>
      </c>
      <c r="J408" s="17">
        <v>0.10489999999999999</v>
      </c>
      <c r="K408" s="17">
        <v>0.2291</v>
      </c>
      <c r="L408" s="17">
        <v>0.2349</v>
      </c>
      <c r="M408" s="17">
        <v>6.8000000000000005E-2</v>
      </c>
      <c r="N408" s="17">
        <v>0.30149999999999999</v>
      </c>
      <c r="O408" s="17">
        <v>0.13950000000000001</v>
      </c>
      <c r="P408" s="17">
        <v>6.8000000000000005E-2</v>
      </c>
      <c r="Q408" s="17">
        <v>0.32840000000000003</v>
      </c>
      <c r="R408" s="17">
        <v>0.11260000000000001</v>
      </c>
      <c r="S408" s="17">
        <v>8.7099999999999997E-2</v>
      </c>
      <c r="T408" s="17">
        <v>0.27889999999999998</v>
      </c>
      <c r="U408" s="17">
        <v>0.98419999999999996</v>
      </c>
      <c r="V408" s="17">
        <v>1.5578000000000001</v>
      </c>
      <c r="W408" s="17">
        <v>1.0884</v>
      </c>
      <c r="X408" s="17">
        <v>0.3004</v>
      </c>
      <c r="Y408" s="17">
        <v>0.20130000000000001</v>
      </c>
      <c r="Z408" s="17">
        <v>0.19170000000000001</v>
      </c>
      <c r="AA408" s="17">
        <v>0.85629999999999995</v>
      </c>
      <c r="AB408" s="17">
        <v>1.7964</v>
      </c>
      <c r="AC408" s="17">
        <v>0.2361</v>
      </c>
      <c r="AD408" s="17">
        <v>0.12470000000000001</v>
      </c>
      <c r="AE408" s="17">
        <v>9.7699999999999995E-2</v>
      </c>
      <c r="AF408" s="17">
        <v>0.55920000000000003</v>
      </c>
      <c r="AG408" s="17">
        <v>0.27179999999999999</v>
      </c>
      <c r="AH408" s="17">
        <v>0.38629999999999998</v>
      </c>
      <c r="AI408" s="17">
        <v>0.2205</v>
      </c>
      <c r="AJ408" s="17">
        <v>0.17069999999999999</v>
      </c>
      <c r="AK408" s="17">
        <v>0.1053</v>
      </c>
      <c r="AL408" s="17">
        <v>0.2104</v>
      </c>
      <c r="AM408" s="17">
        <v>0.14319999999999999</v>
      </c>
      <c r="AN408" s="17">
        <v>0.2631</v>
      </c>
      <c r="AO408" s="17">
        <v>0.41260000000000002</v>
      </c>
      <c r="AP408" s="17">
        <v>0.3886</v>
      </c>
      <c r="AQ408" s="17">
        <v>0.40250000000000002</v>
      </c>
      <c r="AR408" s="17">
        <v>0.60370000000000001</v>
      </c>
      <c r="AS408" s="17">
        <v>0.4965</v>
      </c>
      <c r="AT408" s="17">
        <v>0.44069999999999998</v>
      </c>
      <c r="AU408" s="17">
        <v>0.48180000000000001</v>
      </c>
      <c r="AV408" s="17">
        <v>0.217</v>
      </c>
      <c r="AW408" s="17">
        <v>0.18010000000000001</v>
      </c>
      <c r="AX408" s="17">
        <v>5.8799999999999998E-2</v>
      </c>
    </row>
    <row r="409" spans="1:50" x14ac:dyDescent="0.25">
      <c r="A409" s="8" t="s">
        <v>444</v>
      </c>
      <c r="B409" s="10" t="s">
        <v>57</v>
      </c>
      <c r="C409" s="18">
        <v>6.0600000000000001E-2</v>
      </c>
      <c r="D409" s="18">
        <v>0.121</v>
      </c>
      <c r="E409" s="18">
        <v>0.1512</v>
      </c>
      <c r="F409" s="18">
        <v>5.2999999999999999E-2</v>
      </c>
      <c r="G409" s="18">
        <v>0.21920000000000001</v>
      </c>
      <c r="H409" s="18">
        <v>5.2999999999999999E-2</v>
      </c>
      <c r="I409" s="18">
        <v>0.18140000000000001</v>
      </c>
      <c r="J409" s="18">
        <v>9.0800000000000006E-2</v>
      </c>
      <c r="K409" s="18">
        <v>5.2999999999999999E-2</v>
      </c>
      <c r="L409" s="18">
        <v>0.21920000000000001</v>
      </c>
      <c r="M409" s="18">
        <v>5.2999999999999999E-2</v>
      </c>
      <c r="N409" s="18">
        <v>0.121</v>
      </c>
      <c r="O409" s="18">
        <v>0.1512</v>
      </c>
      <c r="P409" s="18">
        <v>5.2999999999999999E-2</v>
      </c>
      <c r="Q409" s="18">
        <v>0.21920000000000001</v>
      </c>
      <c r="R409" s="18">
        <v>5.2999999999999999E-2</v>
      </c>
      <c r="S409" s="18">
        <v>0.1512</v>
      </c>
      <c r="T409" s="18">
        <v>0.121</v>
      </c>
      <c r="U409" s="18">
        <v>5.2999999999999999E-2</v>
      </c>
      <c r="V409" s="18">
        <v>5.2999999999999999E-2</v>
      </c>
      <c r="W409" s="18">
        <v>0.24560000000000001</v>
      </c>
      <c r="X409" s="18">
        <v>0.1028</v>
      </c>
      <c r="Y409" s="18">
        <v>5.2999999999999999E-2</v>
      </c>
      <c r="Z409" s="18">
        <v>0.1588</v>
      </c>
      <c r="AA409" s="18">
        <v>0.1134</v>
      </c>
      <c r="AB409" s="18">
        <v>5.2999999999999999E-2</v>
      </c>
      <c r="AC409" s="18">
        <v>0.2041</v>
      </c>
      <c r="AD409" s="18">
        <v>6.8099999999999994E-2</v>
      </c>
      <c r="AE409" s="18">
        <v>5.2999999999999999E-2</v>
      </c>
      <c r="AF409" s="18">
        <v>0.18140000000000001</v>
      </c>
      <c r="AG409" s="18">
        <v>9.0800000000000006E-2</v>
      </c>
      <c r="AH409" s="18">
        <v>5.2999999999999999E-2</v>
      </c>
      <c r="AI409" s="18">
        <v>0.1739</v>
      </c>
      <c r="AJ409" s="18">
        <v>9.8299999999999998E-2</v>
      </c>
      <c r="AK409" s="18">
        <v>9.3399999999999997E-2</v>
      </c>
      <c r="AL409" s="18">
        <v>0.44819999999999999</v>
      </c>
      <c r="AM409" s="18">
        <v>0.17810000000000001</v>
      </c>
      <c r="AN409" s="18">
        <v>0.43580000000000002</v>
      </c>
      <c r="AO409" s="18">
        <v>0.23130000000000001</v>
      </c>
      <c r="AP409" s="18">
        <v>0.47820000000000001</v>
      </c>
      <c r="AQ409" s="18">
        <v>0.78280000000000005</v>
      </c>
      <c r="AR409" s="18">
        <v>0.7097</v>
      </c>
      <c r="AS409" s="18">
        <v>0.3528</v>
      </c>
      <c r="AT409" s="18">
        <v>9.0800000000000006E-2</v>
      </c>
      <c r="AU409" s="18">
        <v>0.1134</v>
      </c>
      <c r="AV409" s="18">
        <v>0.1588</v>
      </c>
      <c r="AW409" s="18">
        <v>5.2999999999999999E-2</v>
      </c>
      <c r="AX409" s="18">
        <v>0.21920000000000001</v>
      </c>
    </row>
    <row r="410" spans="1:50" x14ac:dyDescent="0.25">
      <c r="A410" s="8" t="s">
        <v>446</v>
      </c>
      <c r="B410" s="10" t="s">
        <v>57</v>
      </c>
      <c r="C410" s="18">
        <v>0.22370000000000001</v>
      </c>
      <c r="D410" s="18">
        <v>0.10929999999999999</v>
      </c>
      <c r="E410" s="18">
        <v>7.5300000000000006E-2</v>
      </c>
      <c r="F410" s="18">
        <v>0.19289999999999999</v>
      </c>
      <c r="G410" s="18">
        <v>8.4900000000000003E-2</v>
      </c>
      <c r="H410" s="18">
        <v>9.6500000000000002E-2</v>
      </c>
      <c r="I410" s="18">
        <v>0.14199999999999999</v>
      </c>
      <c r="J410" s="18">
        <v>0.1825</v>
      </c>
      <c r="K410" s="18">
        <v>0.1178</v>
      </c>
      <c r="L410" s="18">
        <v>0.18509999999999999</v>
      </c>
      <c r="M410" s="18">
        <v>0.1691</v>
      </c>
      <c r="N410" s="18">
        <v>5.3999999999999999E-2</v>
      </c>
      <c r="O410" s="18">
        <v>0.30030000000000001</v>
      </c>
      <c r="P410" s="18">
        <v>5.3999999999999999E-2</v>
      </c>
      <c r="Q410" s="18">
        <v>0.16969999999999999</v>
      </c>
      <c r="R410" s="18">
        <v>0.19889999999999999</v>
      </c>
      <c r="S410" s="18">
        <v>0.16750000000000001</v>
      </c>
      <c r="T410" s="18">
        <v>0.18940000000000001</v>
      </c>
      <c r="U410" s="18">
        <v>0.13059999999999999</v>
      </c>
      <c r="V410" s="18">
        <v>0.1234</v>
      </c>
      <c r="W410" s="18">
        <v>0.23080000000000001</v>
      </c>
      <c r="X410" s="18">
        <v>5.3999999999999999E-2</v>
      </c>
      <c r="Y410" s="18">
        <v>0.30030000000000001</v>
      </c>
      <c r="Z410" s="18">
        <v>5.3999999999999999E-2</v>
      </c>
      <c r="AA410" s="18">
        <v>5.3999999999999999E-2</v>
      </c>
      <c r="AB410" s="18">
        <v>0.17630000000000001</v>
      </c>
      <c r="AC410" s="18">
        <v>0.1779</v>
      </c>
      <c r="AD410" s="18">
        <v>5.3999999999999999E-2</v>
      </c>
      <c r="AE410" s="18">
        <v>0.22770000000000001</v>
      </c>
      <c r="AF410" s="18">
        <v>0.13059999999999999</v>
      </c>
      <c r="AG410" s="18">
        <v>0.15590000000000001</v>
      </c>
      <c r="AH410" s="18">
        <v>1.3684000000000001</v>
      </c>
      <c r="AI410" s="18">
        <v>0.2737</v>
      </c>
      <c r="AJ410" s="18">
        <v>0.3281</v>
      </c>
      <c r="AK410" s="18">
        <v>0.74729999999999996</v>
      </c>
      <c r="AL410" s="18">
        <v>0.72760000000000002</v>
      </c>
      <c r="AM410" s="18">
        <v>0.34570000000000001</v>
      </c>
      <c r="AN410" s="18">
        <v>0.19370000000000001</v>
      </c>
      <c r="AO410" s="18">
        <v>0.3019</v>
      </c>
      <c r="AP410" s="18">
        <v>0.81159999999999999</v>
      </c>
      <c r="AQ410" s="18">
        <v>0.53410000000000002</v>
      </c>
      <c r="AR410" s="18">
        <v>0.77729999999999999</v>
      </c>
      <c r="AS410" s="18">
        <v>0.81020000000000003</v>
      </c>
      <c r="AT410" s="18">
        <v>3.0038</v>
      </c>
      <c r="AU410" s="18">
        <v>3.0426000000000002</v>
      </c>
      <c r="AV410" s="18">
        <v>0.75990000000000002</v>
      </c>
      <c r="AW410" s="18">
        <v>0.1774</v>
      </c>
      <c r="AX410" s="18">
        <v>5.3999999999999999E-2</v>
      </c>
    </row>
    <row r="411" spans="1:50" x14ac:dyDescent="0.25">
      <c r="A411" s="16" t="s">
        <v>883</v>
      </c>
      <c r="B411" s="13" t="s">
        <v>464</v>
      </c>
      <c r="C411" s="17">
        <v>0.96589999999999998</v>
      </c>
      <c r="D411" s="17">
        <v>0.70909999999999995</v>
      </c>
      <c r="E411" s="17">
        <v>0.73270000000000002</v>
      </c>
      <c r="F411" s="17">
        <v>0.61990000000000001</v>
      </c>
      <c r="G411" s="17">
        <v>0.13039999999999999</v>
      </c>
      <c r="H411" s="17">
        <v>0.13189999999999999</v>
      </c>
      <c r="I411" s="17">
        <v>0.25169999999999998</v>
      </c>
      <c r="J411" s="17">
        <v>4.8000000000000001E-2</v>
      </c>
      <c r="K411" s="17">
        <v>0.24979999999999999</v>
      </c>
      <c r="L411" s="17">
        <v>0.1338</v>
      </c>
      <c r="M411" s="17">
        <v>9.9500000000000005E-2</v>
      </c>
      <c r="N411" s="17">
        <v>9.9500000000000005E-2</v>
      </c>
      <c r="O411" s="17">
        <v>0.2326</v>
      </c>
      <c r="P411" s="17">
        <v>0.151</v>
      </c>
      <c r="Q411" s="17">
        <v>0.67920000000000003</v>
      </c>
      <c r="R411" s="17">
        <v>0.20380000000000001</v>
      </c>
      <c r="S411" s="17">
        <v>4.8000000000000001E-2</v>
      </c>
      <c r="T411" s="17">
        <v>0.30470000000000003</v>
      </c>
      <c r="U411" s="17">
        <v>7.8899999999999998E-2</v>
      </c>
      <c r="V411" s="17">
        <v>0.14599999999999999</v>
      </c>
      <c r="W411" s="17">
        <v>0.23760000000000001</v>
      </c>
      <c r="X411" s="17">
        <v>5.45E-2</v>
      </c>
      <c r="Y411" s="17">
        <v>0.252</v>
      </c>
      <c r="Z411" s="17">
        <v>0.38119999999999998</v>
      </c>
      <c r="AA411" s="17">
        <v>0.3785</v>
      </c>
      <c r="AB411" s="17">
        <v>0.12909999999999999</v>
      </c>
      <c r="AC411" s="17">
        <v>0.12529999999999999</v>
      </c>
      <c r="AD411" s="17">
        <v>0.2326</v>
      </c>
      <c r="AE411" s="17">
        <v>0.151</v>
      </c>
      <c r="AF411" s="17">
        <v>0.2074</v>
      </c>
      <c r="AG411" s="17">
        <v>7.3200000000000001E-2</v>
      </c>
      <c r="AH411" s="17">
        <v>0.151</v>
      </c>
      <c r="AI411" s="17">
        <v>4.8000000000000001E-2</v>
      </c>
      <c r="AJ411" s="17">
        <v>0.14069999999999999</v>
      </c>
      <c r="AK411" s="17">
        <v>5.8299999999999998E-2</v>
      </c>
      <c r="AL411" s="17">
        <v>0.44469999999999998</v>
      </c>
      <c r="AM411" s="17">
        <v>0.17480000000000001</v>
      </c>
      <c r="AN411" s="17">
        <v>8.4000000000000005E-2</v>
      </c>
      <c r="AO411" s="17">
        <v>0.53569999999999995</v>
      </c>
      <c r="AP411" s="17">
        <v>2.9788000000000001</v>
      </c>
      <c r="AQ411" s="17">
        <v>1.3306</v>
      </c>
      <c r="AR411" s="17">
        <v>0.7944</v>
      </c>
      <c r="AS411" s="17">
        <v>0.90490000000000004</v>
      </c>
      <c r="AT411" s="17">
        <v>1.0391999999999999</v>
      </c>
      <c r="AU411" s="17">
        <v>2.7244999999999999</v>
      </c>
      <c r="AV411" s="17">
        <v>0.67300000000000004</v>
      </c>
      <c r="AW411" s="17">
        <v>0.48980000000000001</v>
      </c>
      <c r="AX411" s="17">
        <v>4.8000000000000001E-2</v>
      </c>
    </row>
    <row r="412" spans="1:50" x14ac:dyDescent="0.25">
      <c r="A412" s="16" t="s">
        <v>885</v>
      </c>
      <c r="B412" s="13" t="s">
        <v>464</v>
      </c>
      <c r="C412" s="17">
        <v>5.8000000000000003E-2</v>
      </c>
      <c r="D412" s="17">
        <v>0.14990000000000001</v>
      </c>
      <c r="E412" s="17">
        <v>0.16900000000000001</v>
      </c>
      <c r="F412" s="17">
        <v>5.8000000000000003E-2</v>
      </c>
      <c r="G412" s="17">
        <v>0.26079999999999998</v>
      </c>
      <c r="H412" s="17">
        <v>5.8000000000000003E-2</v>
      </c>
      <c r="I412" s="17">
        <v>0.20910000000000001</v>
      </c>
      <c r="J412" s="17">
        <v>0.10970000000000001</v>
      </c>
      <c r="K412" s="17">
        <v>0.10970000000000001</v>
      </c>
      <c r="L412" s="17">
        <v>0.14849999999999999</v>
      </c>
      <c r="M412" s="17">
        <v>0.1052</v>
      </c>
      <c r="N412" s="17">
        <v>0.21360000000000001</v>
      </c>
      <c r="O412" s="17">
        <v>9.8500000000000004E-2</v>
      </c>
      <c r="P412" s="17">
        <v>7.8200000000000006E-2</v>
      </c>
      <c r="Q412" s="17">
        <v>0.19370000000000001</v>
      </c>
      <c r="R412" s="17">
        <v>0.12509999999999999</v>
      </c>
      <c r="S412" s="17">
        <v>1.1831</v>
      </c>
      <c r="T412" s="17">
        <v>0.94530000000000003</v>
      </c>
      <c r="U412" s="17">
        <v>0.36359999999999998</v>
      </c>
      <c r="V412" s="17">
        <v>3.5693000000000001</v>
      </c>
      <c r="W412" s="17">
        <v>4.5056000000000003</v>
      </c>
      <c r="X412" s="17">
        <v>4.4870000000000001</v>
      </c>
      <c r="Y412" s="17">
        <v>1.2215</v>
      </c>
      <c r="Z412" s="17">
        <v>0.68689999999999996</v>
      </c>
      <c r="AA412" s="17">
        <v>1.6771</v>
      </c>
      <c r="AB412" s="17">
        <v>9.1700000000000004E-2</v>
      </c>
      <c r="AC412" s="17">
        <v>0.22040000000000001</v>
      </c>
      <c r="AD412" s="17">
        <v>9.8500000000000004E-2</v>
      </c>
      <c r="AE412" s="17">
        <v>0.60560000000000003</v>
      </c>
      <c r="AF412" s="17">
        <v>0.52659999999999996</v>
      </c>
      <c r="AG412" s="17">
        <v>0.84389999999999998</v>
      </c>
      <c r="AH412" s="17">
        <v>0.59319999999999995</v>
      </c>
      <c r="AI412" s="17">
        <v>2.1797</v>
      </c>
      <c r="AJ412" s="17">
        <v>1.2322</v>
      </c>
      <c r="AK412" s="17">
        <v>2.7370999999999999</v>
      </c>
      <c r="AL412" s="17">
        <v>2.5634999999999999</v>
      </c>
      <c r="AM412" s="17">
        <v>0.97709999999999997</v>
      </c>
      <c r="AN412" s="17">
        <v>8.5000000000000006E-2</v>
      </c>
      <c r="AO412" s="17">
        <v>0.1721</v>
      </c>
      <c r="AP412" s="17">
        <v>0.14680000000000001</v>
      </c>
      <c r="AQ412" s="17">
        <v>0.39800000000000002</v>
      </c>
      <c r="AR412" s="17">
        <v>0.83089999999999997</v>
      </c>
      <c r="AS412" s="17">
        <v>1.3414999999999999</v>
      </c>
      <c r="AT412" s="17">
        <v>1.427</v>
      </c>
      <c r="AU412" s="17">
        <v>1.3170999999999999</v>
      </c>
      <c r="AV412" s="17">
        <v>0.79730000000000001</v>
      </c>
      <c r="AW412" s="17">
        <v>0.42909999999999998</v>
      </c>
      <c r="AX412" s="17">
        <v>0.18079999999999999</v>
      </c>
    </row>
    <row r="413" spans="1:50" x14ac:dyDescent="0.25">
      <c r="A413" s="8" t="s">
        <v>448</v>
      </c>
      <c r="B413" s="10" t="s">
        <v>57</v>
      </c>
      <c r="C413" s="18">
        <v>5.1999999999999998E-2</v>
      </c>
      <c r="D413" s="18">
        <v>5.1999999999999998E-2</v>
      </c>
      <c r="E413" s="18">
        <v>5.1999999999999998E-2</v>
      </c>
      <c r="F413" s="18">
        <v>5.1999999999999998E-2</v>
      </c>
      <c r="G413" s="18">
        <v>5.1999999999999998E-2</v>
      </c>
      <c r="H413" s="18">
        <v>5.1999999999999998E-2</v>
      </c>
      <c r="I413" s="18">
        <v>5.1999999999999998E-2</v>
      </c>
      <c r="J413" s="18">
        <v>5.1999999999999998E-2</v>
      </c>
      <c r="K413" s="18">
        <v>5.1999999999999998E-2</v>
      </c>
      <c r="L413" s="18">
        <v>5.1999999999999998E-2</v>
      </c>
      <c r="M413" s="18">
        <v>5.1999999999999998E-2</v>
      </c>
      <c r="N413" s="18">
        <v>5.1999999999999998E-2</v>
      </c>
      <c r="O413" s="18">
        <v>5.1999999999999998E-2</v>
      </c>
      <c r="P413" s="18">
        <v>5.1999999999999998E-2</v>
      </c>
      <c r="Q413" s="18">
        <v>5.1999999999999998E-2</v>
      </c>
      <c r="R413" s="18">
        <v>5.1999999999999998E-2</v>
      </c>
      <c r="S413" s="18">
        <v>5.1999999999999998E-2</v>
      </c>
      <c r="T413" s="18">
        <v>5.2400000000000002E-2</v>
      </c>
      <c r="U413" s="18">
        <v>6.4199999999999993E-2</v>
      </c>
      <c r="V413" s="18">
        <v>8.8599999999999998E-2</v>
      </c>
      <c r="W413" s="18">
        <v>0.1018</v>
      </c>
      <c r="X413" s="18">
        <v>8.7800000000000003E-2</v>
      </c>
      <c r="Y413" s="18">
        <v>7.4700000000000003E-2</v>
      </c>
      <c r="Z413" s="18">
        <v>5.1999999999999998E-2</v>
      </c>
      <c r="AA413" s="18">
        <v>5.1999999999999998E-2</v>
      </c>
      <c r="AB413" s="18">
        <v>5.1999999999999998E-2</v>
      </c>
      <c r="AC413" s="18">
        <v>5.1999999999999998E-2</v>
      </c>
      <c r="AD413" s="18">
        <v>5.1999999999999998E-2</v>
      </c>
      <c r="AE413" s="18">
        <v>5.1999999999999998E-2</v>
      </c>
      <c r="AF413" s="18">
        <v>5.1999999999999998E-2</v>
      </c>
      <c r="AG413" s="18">
        <v>0.1331</v>
      </c>
      <c r="AH413" s="18">
        <v>0.1052</v>
      </c>
      <c r="AI413" s="18">
        <v>1.0753999999999999</v>
      </c>
      <c r="AJ413" s="18">
        <v>0.96679999999999999</v>
      </c>
      <c r="AK413" s="18">
        <v>0.99509999999999998</v>
      </c>
      <c r="AL413" s="18">
        <v>0.16719999999999999</v>
      </c>
      <c r="AM413" s="18">
        <v>1.0066999999999999</v>
      </c>
      <c r="AN413" s="18">
        <v>0.65290000000000004</v>
      </c>
      <c r="AO413" s="18">
        <v>7.6899999999999996E-2</v>
      </c>
      <c r="AP413" s="18">
        <v>0.35139999999999999</v>
      </c>
      <c r="AQ413" s="18">
        <v>0.3221</v>
      </c>
      <c r="AR413" s="18">
        <v>0.32850000000000001</v>
      </c>
      <c r="AS413" s="18">
        <v>0.56379999999999997</v>
      </c>
      <c r="AT413" s="18">
        <v>0.3574</v>
      </c>
      <c r="AU413" s="18">
        <v>1.1598999999999999</v>
      </c>
      <c r="AV413" s="18">
        <v>0.58620000000000005</v>
      </c>
      <c r="AW413" s="18">
        <v>0.34499999999999997</v>
      </c>
      <c r="AX413" s="18">
        <v>5.1999999999999998E-2</v>
      </c>
    </row>
    <row r="414" spans="1:50" x14ac:dyDescent="0.25">
      <c r="A414" s="8" t="s">
        <v>450</v>
      </c>
      <c r="B414" s="10" t="s">
        <v>57</v>
      </c>
      <c r="C414" s="18">
        <v>0.78400000000000003</v>
      </c>
      <c r="D414" s="18">
        <v>5.2999999999999999E-2</v>
      </c>
      <c r="E414" s="18">
        <v>0.1056</v>
      </c>
      <c r="F414" s="18">
        <v>7.3200000000000001E-2</v>
      </c>
      <c r="G414" s="18">
        <v>0.12590000000000001</v>
      </c>
      <c r="H414" s="18">
        <v>5.2999999999999999E-2</v>
      </c>
      <c r="I414" s="18">
        <v>0.1056</v>
      </c>
      <c r="J414" s="18">
        <v>7.3200000000000001E-2</v>
      </c>
      <c r="K414" s="18">
        <v>7.7299999999999994E-2</v>
      </c>
      <c r="L414" s="18">
        <v>0.1016</v>
      </c>
      <c r="M414" s="18">
        <v>5.2999999999999999E-2</v>
      </c>
      <c r="N414" s="18">
        <v>5.2999999999999999E-2</v>
      </c>
      <c r="O414" s="18">
        <v>0.12590000000000001</v>
      </c>
      <c r="P414" s="18">
        <v>5.2999999999999999E-2</v>
      </c>
      <c r="Q414" s="18">
        <v>0.12590000000000001</v>
      </c>
      <c r="R414" s="18">
        <v>5.2999999999999999E-2</v>
      </c>
      <c r="S414" s="18">
        <v>5.2999999999999999E-2</v>
      </c>
      <c r="T414" s="18">
        <v>0.1178</v>
      </c>
      <c r="U414" s="18">
        <v>6.1100000000000002E-2</v>
      </c>
      <c r="V414" s="18">
        <v>0.12590000000000001</v>
      </c>
      <c r="W414" s="18">
        <v>5.2999999999999999E-2</v>
      </c>
      <c r="X414" s="18">
        <v>0.12590000000000001</v>
      </c>
      <c r="Y414" s="18">
        <v>5.2999999999999999E-2</v>
      </c>
      <c r="Z414" s="18">
        <v>0.12590000000000001</v>
      </c>
      <c r="AA414" s="18">
        <v>5.2999999999999999E-2</v>
      </c>
      <c r="AB414" s="18">
        <v>0.1016</v>
      </c>
      <c r="AC414" s="18">
        <v>7.7299999999999994E-2</v>
      </c>
      <c r="AD414" s="18">
        <v>0.72889999999999999</v>
      </c>
      <c r="AE414" s="18">
        <v>1.7624</v>
      </c>
      <c r="AF414" s="18">
        <v>0.32540000000000002</v>
      </c>
      <c r="AG414" s="18">
        <v>0.1772</v>
      </c>
      <c r="AH414" s="18">
        <v>0.45529999999999998</v>
      </c>
      <c r="AI414" s="18">
        <v>0.1421</v>
      </c>
      <c r="AJ414" s="18">
        <v>0.15479999999999999</v>
      </c>
      <c r="AK414" s="18">
        <v>0.4289</v>
      </c>
      <c r="AL414" s="18">
        <v>1.018</v>
      </c>
      <c r="AM414" s="18">
        <v>0.92810000000000004</v>
      </c>
      <c r="AN414" s="18">
        <v>1.9349000000000001</v>
      </c>
      <c r="AO414" s="18">
        <v>0.51880000000000004</v>
      </c>
      <c r="AP414" s="18">
        <v>0.62329999999999997</v>
      </c>
      <c r="AQ414" s="18">
        <v>0.75249999999999995</v>
      </c>
      <c r="AR414" s="18">
        <v>0.59279999999999999</v>
      </c>
      <c r="AS414" s="18">
        <v>0.56610000000000005</v>
      </c>
      <c r="AT414" s="18">
        <v>0.49680000000000002</v>
      </c>
      <c r="AU414" s="18">
        <v>0.74209999999999998</v>
      </c>
      <c r="AV414" s="18">
        <v>0.58160000000000001</v>
      </c>
      <c r="AW414" s="18">
        <v>0.34160000000000001</v>
      </c>
      <c r="AX414" s="18">
        <v>7.7299999999999994E-2</v>
      </c>
    </row>
    <row r="415" spans="1:50" x14ac:dyDescent="0.25">
      <c r="A415" s="8" t="s">
        <v>452</v>
      </c>
      <c r="B415" s="10" t="s">
        <v>57</v>
      </c>
      <c r="C415" s="18">
        <v>0.2011</v>
      </c>
      <c r="D415" s="18">
        <v>5.7000000000000002E-2</v>
      </c>
      <c r="E415" s="18">
        <v>5.0999999999999997E-2</v>
      </c>
      <c r="F415" s="18">
        <v>0.26090000000000002</v>
      </c>
      <c r="G415" s="18">
        <v>5.7000000000000002E-2</v>
      </c>
      <c r="H415" s="18">
        <v>5.0999999999999997E-2</v>
      </c>
      <c r="I415" s="18">
        <v>0.26690000000000003</v>
      </c>
      <c r="J415" s="18">
        <v>5.0999999999999997E-2</v>
      </c>
      <c r="K415" s="18">
        <v>5.0999999999999997E-2</v>
      </c>
      <c r="L415" s="18">
        <v>0.26100000000000001</v>
      </c>
      <c r="M415" s="18">
        <v>5.7000000000000002E-2</v>
      </c>
      <c r="N415" s="18">
        <v>7.51E-2</v>
      </c>
      <c r="O415" s="18">
        <v>0.14119999999999999</v>
      </c>
      <c r="P415" s="18">
        <v>0.1527</v>
      </c>
      <c r="Q415" s="18">
        <v>0.13539999999999999</v>
      </c>
      <c r="R415" s="18">
        <v>0.17660000000000001</v>
      </c>
      <c r="S415" s="18">
        <v>6.9000000000000006E-2</v>
      </c>
      <c r="T415" s="18">
        <v>0.12330000000000001</v>
      </c>
      <c r="U415" s="18">
        <v>5.0999999999999997E-2</v>
      </c>
      <c r="V415" s="18">
        <v>0.26690000000000003</v>
      </c>
      <c r="W415" s="18">
        <v>5.0999999999999997E-2</v>
      </c>
      <c r="X415" s="18">
        <v>0.16550000000000001</v>
      </c>
      <c r="Y415" s="18">
        <v>0.31190000000000001</v>
      </c>
      <c r="Z415" s="18">
        <v>5.8200000000000002E-2</v>
      </c>
      <c r="AA415" s="18">
        <v>0.91569999999999996</v>
      </c>
      <c r="AB415" s="18">
        <v>0.27960000000000002</v>
      </c>
      <c r="AC415" s="18">
        <v>0.2107</v>
      </c>
      <c r="AD415" s="18">
        <v>0.12870000000000001</v>
      </c>
      <c r="AE415" s="18">
        <v>0.13539999999999999</v>
      </c>
      <c r="AF415" s="18">
        <v>5.0999999999999997E-2</v>
      </c>
      <c r="AG415" s="18">
        <v>0.18260000000000001</v>
      </c>
      <c r="AH415" s="18">
        <v>0.15759999999999999</v>
      </c>
      <c r="AI415" s="18">
        <v>0.1855</v>
      </c>
      <c r="AJ415" s="18">
        <v>0.1825</v>
      </c>
      <c r="AK415" s="18">
        <v>1.2625999999999999</v>
      </c>
      <c r="AL415" s="18">
        <v>0.1754</v>
      </c>
      <c r="AM415" s="18">
        <v>0.25700000000000001</v>
      </c>
      <c r="AN415" s="18">
        <v>0.38479999999999998</v>
      </c>
      <c r="AO415" s="18">
        <v>0.53049999999999997</v>
      </c>
      <c r="AP415" s="18">
        <v>0.24510000000000001</v>
      </c>
      <c r="AQ415" s="18">
        <v>0.25740000000000002</v>
      </c>
      <c r="AR415" s="18">
        <v>0.55030000000000001</v>
      </c>
      <c r="AS415" s="18">
        <v>0.31740000000000002</v>
      </c>
      <c r="AT415" s="18">
        <v>0.43659999999999999</v>
      </c>
      <c r="AU415" s="18">
        <v>0.4199</v>
      </c>
      <c r="AV415" s="18">
        <v>0.27700000000000002</v>
      </c>
      <c r="AW415" s="18">
        <v>0.13539999999999999</v>
      </c>
      <c r="AX415" s="18">
        <v>0.18260000000000001</v>
      </c>
    </row>
    <row r="416" spans="1:50" x14ac:dyDescent="0.25">
      <c r="A416" s="16" t="s">
        <v>887</v>
      </c>
      <c r="B416" s="13" t="s">
        <v>464</v>
      </c>
      <c r="C416" s="17">
        <v>9.0499999999999997E-2</v>
      </c>
      <c r="D416" s="17">
        <v>0.22459999999999999</v>
      </c>
      <c r="E416" s="17">
        <v>4.2000000000000003E-2</v>
      </c>
      <c r="F416" s="17">
        <v>0.1613</v>
      </c>
      <c r="G416" s="17">
        <v>0.1537</v>
      </c>
      <c r="H416" s="17">
        <v>4.2000000000000003E-2</v>
      </c>
      <c r="I416" s="17">
        <v>0.25819999999999999</v>
      </c>
      <c r="J416" s="17">
        <v>5.6899999999999999E-2</v>
      </c>
      <c r="K416" s="17">
        <v>4.2000000000000003E-2</v>
      </c>
      <c r="L416" s="17">
        <v>7.1900000000000006E-2</v>
      </c>
      <c r="M416" s="17">
        <v>0.2432</v>
      </c>
      <c r="N416" s="17">
        <v>4.2000000000000003E-2</v>
      </c>
      <c r="O416" s="17">
        <v>0.1762</v>
      </c>
      <c r="P416" s="17">
        <v>0.13880000000000001</v>
      </c>
      <c r="Q416" s="17">
        <v>4.2000000000000003E-2</v>
      </c>
      <c r="R416" s="17">
        <v>0.16120000000000001</v>
      </c>
      <c r="S416" s="17">
        <v>0.1016</v>
      </c>
      <c r="T416" s="17">
        <v>0.1237</v>
      </c>
      <c r="U416" s="17">
        <v>0.1537</v>
      </c>
      <c r="V416" s="17">
        <v>0.1613</v>
      </c>
      <c r="W416" s="17">
        <v>0.1197</v>
      </c>
      <c r="X416" s="17">
        <v>0.1421</v>
      </c>
      <c r="Y416" s="17">
        <v>0.20930000000000001</v>
      </c>
      <c r="Z416" s="17">
        <v>4.6800000000000001E-2</v>
      </c>
      <c r="AA416" s="17">
        <v>0.12509999999999999</v>
      </c>
      <c r="AB416" s="17">
        <v>0.14599999999999999</v>
      </c>
      <c r="AC416" s="17">
        <v>0.1537</v>
      </c>
      <c r="AD416" s="17">
        <v>0.29899999999999999</v>
      </c>
      <c r="AE416" s="17">
        <v>0.21049999999999999</v>
      </c>
      <c r="AF416" s="17">
        <v>0.33040000000000003</v>
      </c>
      <c r="AG416" s="17">
        <v>0.1285</v>
      </c>
      <c r="AH416" s="17">
        <v>0.32479999999999998</v>
      </c>
      <c r="AI416" s="17">
        <v>0.23949999999999999</v>
      </c>
      <c r="AJ416" s="17">
        <v>7.5600000000000001E-2</v>
      </c>
      <c r="AK416" s="17">
        <v>0.12770000000000001</v>
      </c>
      <c r="AL416" s="17">
        <v>0.2097</v>
      </c>
      <c r="AM416" s="17">
        <v>5.3199999999999997E-2</v>
      </c>
      <c r="AN416" s="17">
        <v>6.4299999999999996E-2</v>
      </c>
      <c r="AO416" s="17">
        <v>0.1835</v>
      </c>
      <c r="AP416" s="17">
        <v>0.10920000000000001</v>
      </c>
      <c r="AQ416" s="17">
        <v>0.1389</v>
      </c>
      <c r="AR416" s="17">
        <v>0.1762</v>
      </c>
      <c r="AS416" s="17">
        <v>4.9399999999999999E-2</v>
      </c>
      <c r="AT416" s="17">
        <v>0.19839999999999999</v>
      </c>
      <c r="AU416" s="17">
        <v>4.2000000000000003E-2</v>
      </c>
      <c r="AV416" s="17">
        <v>0.1837</v>
      </c>
      <c r="AW416" s="17">
        <v>0.13139999999999999</v>
      </c>
      <c r="AX416" s="17">
        <v>4.2000000000000003E-2</v>
      </c>
    </row>
    <row r="417" spans="1:50" x14ac:dyDescent="0.25">
      <c r="A417" s="16" t="s">
        <v>889</v>
      </c>
      <c r="B417" s="13" t="s">
        <v>464</v>
      </c>
      <c r="C417" s="17">
        <v>4.9000000000000002E-2</v>
      </c>
      <c r="D417" s="17">
        <v>4.9000000000000002E-2</v>
      </c>
      <c r="E417" s="17">
        <v>4.9000000000000002E-2</v>
      </c>
      <c r="F417" s="17">
        <v>4.9000000000000002E-2</v>
      </c>
      <c r="G417" s="17">
        <v>4.9000000000000002E-2</v>
      </c>
      <c r="H417" s="17">
        <v>4.9000000000000002E-2</v>
      </c>
      <c r="I417" s="17">
        <v>4.9000000000000002E-2</v>
      </c>
      <c r="J417" s="17">
        <v>4.9000000000000002E-2</v>
      </c>
      <c r="K417" s="17">
        <v>4.9000000000000002E-2</v>
      </c>
      <c r="L417" s="17">
        <v>4.9000000000000002E-2</v>
      </c>
      <c r="M417" s="17">
        <v>4.9000000000000002E-2</v>
      </c>
      <c r="N417" s="17">
        <v>4.9000000000000002E-2</v>
      </c>
      <c r="O417" s="17">
        <v>4.9000000000000002E-2</v>
      </c>
      <c r="P417" s="17">
        <v>4.9000000000000002E-2</v>
      </c>
      <c r="Q417" s="17">
        <v>4.9000000000000002E-2</v>
      </c>
      <c r="R417" s="17">
        <v>6.5699999999999995E-2</v>
      </c>
      <c r="S417" s="17">
        <v>6.0400000000000002E-2</v>
      </c>
      <c r="T417" s="17">
        <v>5.4300000000000001E-2</v>
      </c>
      <c r="U417" s="17">
        <v>7.85E-2</v>
      </c>
      <c r="V417" s="17">
        <v>0.12909999999999999</v>
      </c>
      <c r="W417" s="17">
        <v>9.3700000000000006E-2</v>
      </c>
      <c r="X417" s="17">
        <v>0.11</v>
      </c>
      <c r="Y417" s="17">
        <v>0.97940000000000005</v>
      </c>
      <c r="Z417" s="17">
        <v>0.40379999999999999</v>
      </c>
      <c r="AA417" s="17">
        <v>0.13150000000000001</v>
      </c>
      <c r="AB417" s="17">
        <v>7.6999999999999999E-2</v>
      </c>
      <c r="AC417" s="17">
        <v>4.9000000000000002E-2</v>
      </c>
      <c r="AD417" s="17">
        <v>4.9000000000000002E-2</v>
      </c>
      <c r="AE417" s="17">
        <v>5.5E-2</v>
      </c>
      <c r="AF417" s="17">
        <v>0.11210000000000001</v>
      </c>
      <c r="AG417" s="17">
        <v>0.13339999999999999</v>
      </c>
      <c r="AH417" s="17">
        <v>0.14419999999999999</v>
      </c>
      <c r="AI417" s="17">
        <v>0.109</v>
      </c>
      <c r="AJ417" s="17">
        <v>0.109</v>
      </c>
      <c r="AK417" s="17">
        <v>7.2999999999999995E-2</v>
      </c>
      <c r="AL417" s="17">
        <v>2.8447</v>
      </c>
      <c r="AM417" s="17">
        <v>3.3197999999999999</v>
      </c>
      <c r="AN417" s="17">
        <v>0.51029999999999998</v>
      </c>
      <c r="AO417" s="17">
        <v>0.37990000000000002</v>
      </c>
      <c r="AP417" s="17">
        <v>0.249</v>
      </c>
      <c r="AQ417" s="17">
        <v>0.24360000000000001</v>
      </c>
      <c r="AR417" s="17">
        <v>0.22800000000000001</v>
      </c>
      <c r="AS417" s="17">
        <v>0.31359999999999999</v>
      </c>
      <c r="AT417" s="17">
        <v>1.2369000000000001</v>
      </c>
      <c r="AU417" s="17">
        <v>0.50580000000000003</v>
      </c>
      <c r="AV417" s="17">
        <v>0.58009999999999995</v>
      </c>
      <c r="AW417" s="17">
        <v>0.13439999999999999</v>
      </c>
      <c r="AX417" s="17">
        <v>4.9000000000000002E-2</v>
      </c>
    </row>
    <row r="418" spans="1:50" x14ac:dyDescent="0.25">
      <c r="A418" s="8" t="s">
        <v>454</v>
      </c>
      <c r="B418" s="10" t="s">
        <v>57</v>
      </c>
      <c r="C418" s="18">
        <v>0.1241</v>
      </c>
      <c r="D418" s="18">
        <v>0.1618</v>
      </c>
      <c r="E418" s="18">
        <v>0.17630000000000001</v>
      </c>
      <c r="F418" s="18">
        <v>0.05</v>
      </c>
      <c r="G418" s="18">
        <v>0.24340000000000001</v>
      </c>
      <c r="H418" s="18">
        <v>9.4700000000000006E-2</v>
      </c>
      <c r="I418" s="18">
        <v>0.1077</v>
      </c>
      <c r="J418" s="18">
        <v>0.20810000000000001</v>
      </c>
      <c r="K418" s="18">
        <v>7.2400000000000006E-2</v>
      </c>
      <c r="L418" s="18">
        <v>7.3099999999999998E-2</v>
      </c>
      <c r="M418" s="18">
        <v>0.26500000000000001</v>
      </c>
      <c r="N418" s="18">
        <v>0.05</v>
      </c>
      <c r="O418" s="18">
        <v>0.17680000000000001</v>
      </c>
      <c r="P418" s="18">
        <v>8.7300000000000003E-2</v>
      </c>
      <c r="Q418" s="18">
        <v>9.8599999999999993E-2</v>
      </c>
      <c r="R418" s="18">
        <v>0.23949999999999999</v>
      </c>
      <c r="S418" s="18">
        <v>0.05</v>
      </c>
      <c r="T418" s="18">
        <v>0.1241</v>
      </c>
      <c r="U418" s="18">
        <v>0.05</v>
      </c>
      <c r="V418" s="18">
        <v>0.2429</v>
      </c>
      <c r="W418" s="18">
        <v>9.5299999999999996E-2</v>
      </c>
      <c r="X418" s="18">
        <v>0.1094</v>
      </c>
      <c r="Y418" s="18">
        <v>0.22869999999999999</v>
      </c>
      <c r="Z418" s="18">
        <v>0.05</v>
      </c>
      <c r="AA418" s="18">
        <v>0.1991</v>
      </c>
      <c r="AB418" s="18">
        <v>0.13900000000000001</v>
      </c>
      <c r="AC418" s="18">
        <v>0.1469</v>
      </c>
      <c r="AD418" s="18">
        <v>0.1171</v>
      </c>
      <c r="AE418" s="18">
        <v>0.05</v>
      </c>
      <c r="AF418" s="18">
        <v>0.1241</v>
      </c>
      <c r="AG418" s="18">
        <v>0.05</v>
      </c>
      <c r="AH418" s="18">
        <v>0.05</v>
      </c>
      <c r="AI418" s="18">
        <v>0.05</v>
      </c>
      <c r="AJ418" s="18">
        <v>0.3926</v>
      </c>
      <c r="AK418" s="18">
        <v>0.37730000000000002</v>
      </c>
      <c r="AL418" s="18">
        <v>0.14269999999999999</v>
      </c>
      <c r="AM418" s="18">
        <v>0.31419999999999998</v>
      </c>
      <c r="AN418" s="18">
        <v>0.25030000000000002</v>
      </c>
      <c r="AO418" s="18">
        <v>0.15679999999999999</v>
      </c>
      <c r="AP418" s="18">
        <v>0.56620000000000004</v>
      </c>
      <c r="AQ418" s="18">
        <v>0.3901</v>
      </c>
      <c r="AR418" s="18">
        <v>0.44119999999999998</v>
      </c>
      <c r="AS418" s="18">
        <v>0.38940000000000002</v>
      </c>
      <c r="AT418" s="18">
        <v>0.58499999999999996</v>
      </c>
      <c r="AU418" s="18">
        <v>0.70569999999999999</v>
      </c>
      <c r="AV418" s="18">
        <v>0.33019999999999999</v>
      </c>
      <c r="AW418" s="18">
        <v>0.3246</v>
      </c>
      <c r="AX418" s="18">
        <v>0.05</v>
      </c>
    </row>
    <row r="419" spans="1:50" x14ac:dyDescent="0.25">
      <c r="A419" s="8" t="s">
        <v>456</v>
      </c>
      <c r="B419" s="10" t="s">
        <v>57</v>
      </c>
      <c r="C419" s="18">
        <v>5.5E-2</v>
      </c>
      <c r="D419" s="18">
        <v>0.2276</v>
      </c>
      <c r="E419" s="18">
        <v>5.5E-2</v>
      </c>
      <c r="F419" s="18">
        <v>0.18060000000000001</v>
      </c>
      <c r="G419" s="18">
        <v>0.1021</v>
      </c>
      <c r="H419" s="18">
        <v>5.5E-2</v>
      </c>
      <c r="I419" s="18">
        <v>0.2276</v>
      </c>
      <c r="J419" s="18">
        <v>5.5E-2</v>
      </c>
      <c r="K419" s="18">
        <v>5.5E-2</v>
      </c>
      <c r="L419" s="18">
        <v>0.2276</v>
      </c>
      <c r="M419" s="18">
        <v>5.5E-2</v>
      </c>
      <c r="N419" s="18">
        <v>0.14130000000000001</v>
      </c>
      <c r="O419" s="18">
        <v>0.14130000000000001</v>
      </c>
      <c r="P419" s="18">
        <v>6.2799999999999995E-2</v>
      </c>
      <c r="Q419" s="18">
        <v>0.36730000000000002</v>
      </c>
      <c r="R419" s="18">
        <v>0.18329999999999999</v>
      </c>
      <c r="S419" s="18">
        <v>0.13550000000000001</v>
      </c>
      <c r="T419" s="18">
        <v>0.22259999999999999</v>
      </c>
      <c r="U419" s="18">
        <v>0.29599999999999999</v>
      </c>
      <c r="V419" s="18">
        <v>0.61050000000000004</v>
      </c>
      <c r="W419" s="18">
        <v>3.2149999999999999</v>
      </c>
      <c r="X419" s="18">
        <v>5.2108999999999996</v>
      </c>
      <c r="Y419" s="18">
        <v>0.96540000000000004</v>
      </c>
      <c r="Z419" s="18">
        <v>1.9253</v>
      </c>
      <c r="AA419" s="18">
        <v>0.60199999999999998</v>
      </c>
      <c r="AB419" s="18">
        <v>1.0204</v>
      </c>
      <c r="AC419" s="18">
        <v>0.1125</v>
      </c>
      <c r="AD419" s="18">
        <v>0.30259999999999998</v>
      </c>
      <c r="AE419" s="18">
        <v>0.17</v>
      </c>
      <c r="AF419" s="18">
        <v>0.16919999999999999</v>
      </c>
      <c r="AG419" s="18">
        <v>0.12889999999999999</v>
      </c>
      <c r="AH419" s="18">
        <v>0.1249</v>
      </c>
      <c r="AI419" s="18">
        <v>0.41449999999999998</v>
      </c>
      <c r="AJ419" s="18">
        <v>0.1275</v>
      </c>
      <c r="AK419" s="18">
        <v>0.39229999999999998</v>
      </c>
      <c r="AL419" s="18">
        <v>1.8706</v>
      </c>
      <c r="AM419" s="18">
        <v>1.1808000000000001</v>
      </c>
      <c r="AN419" s="18">
        <v>1.7797000000000001</v>
      </c>
      <c r="AO419" s="18">
        <v>0.37</v>
      </c>
      <c r="AP419" s="18">
        <v>0.59130000000000005</v>
      </c>
      <c r="AQ419" s="18">
        <v>0.29189999999999999</v>
      </c>
      <c r="AR419" s="18">
        <v>0.24640000000000001</v>
      </c>
      <c r="AS419" s="18">
        <v>0.52380000000000004</v>
      </c>
      <c r="AT419" s="18">
        <v>0.68520000000000003</v>
      </c>
      <c r="AU419" s="18">
        <v>0.92830000000000001</v>
      </c>
      <c r="AV419" s="18">
        <v>0.80289999999999995</v>
      </c>
      <c r="AW419" s="18">
        <v>0.44</v>
      </c>
      <c r="AX419" s="18">
        <v>0.43290000000000001</v>
      </c>
    </row>
    <row r="420" spans="1:50" x14ac:dyDescent="0.25">
      <c r="A420" s="8" t="s">
        <v>458</v>
      </c>
      <c r="B420" s="10" t="s">
        <v>57</v>
      </c>
      <c r="C420" s="18">
        <v>0.28510000000000002</v>
      </c>
      <c r="D420" s="18">
        <v>0.37759999999999999</v>
      </c>
      <c r="E420" s="18">
        <v>0.1366</v>
      </c>
      <c r="F420" s="18">
        <v>4.9000000000000002E-2</v>
      </c>
      <c r="G420" s="18">
        <v>0.25580000000000003</v>
      </c>
      <c r="H420" s="18">
        <v>7.3300000000000004E-2</v>
      </c>
      <c r="I420" s="18">
        <v>4.9000000000000002E-2</v>
      </c>
      <c r="J420" s="18">
        <v>0.28010000000000002</v>
      </c>
      <c r="K420" s="18">
        <v>4.9000000000000002E-2</v>
      </c>
      <c r="L420" s="18">
        <v>8.1600000000000006E-2</v>
      </c>
      <c r="M420" s="18">
        <v>0.21340000000000001</v>
      </c>
      <c r="N420" s="18">
        <v>8.3099999999999993E-2</v>
      </c>
      <c r="O420" s="18">
        <v>5.5500000000000001E-2</v>
      </c>
      <c r="P420" s="18">
        <v>0.27360000000000001</v>
      </c>
      <c r="Q420" s="18">
        <v>4.9000000000000002E-2</v>
      </c>
      <c r="R420" s="18">
        <v>0.36299999999999999</v>
      </c>
      <c r="S420" s="18">
        <v>0.22270000000000001</v>
      </c>
      <c r="T420" s="18">
        <v>0.216</v>
      </c>
      <c r="U420" s="18">
        <v>0.35460000000000003</v>
      </c>
      <c r="V420" s="18">
        <v>2.7965</v>
      </c>
      <c r="W420" s="18">
        <v>2.7679999999999998</v>
      </c>
      <c r="X420" s="18">
        <v>0.56510000000000005</v>
      </c>
      <c r="Y420" s="18">
        <v>0.25650000000000001</v>
      </c>
      <c r="Z420" s="18">
        <v>0.26529999999999998</v>
      </c>
      <c r="AA420" s="18">
        <v>0.31909999999999999</v>
      </c>
      <c r="AB420" s="18">
        <v>0.23369999999999999</v>
      </c>
      <c r="AC420" s="18">
        <v>9.8900000000000002E-2</v>
      </c>
      <c r="AD420" s="18">
        <v>0.1469</v>
      </c>
      <c r="AE420" s="18">
        <v>0.3095</v>
      </c>
      <c r="AF420" s="18">
        <v>0.1147</v>
      </c>
      <c r="AG420" s="18">
        <v>0.38329999999999997</v>
      </c>
      <c r="AH420" s="18">
        <v>8.3699999999999997E-2</v>
      </c>
      <c r="AI420" s="18">
        <v>1.6691</v>
      </c>
      <c r="AJ420" s="18">
        <v>0.16070000000000001</v>
      </c>
      <c r="AK420" s="18">
        <v>0.15609999999999999</v>
      </c>
      <c r="AL420" s="18">
        <v>0.32340000000000002</v>
      </c>
      <c r="AM420" s="18">
        <v>1.3434999999999999</v>
      </c>
      <c r="AN420" s="18">
        <v>0.40699999999999997</v>
      </c>
      <c r="AO420" s="18">
        <v>0.3695</v>
      </c>
      <c r="AP420" s="18">
        <v>0.16039999999999999</v>
      </c>
      <c r="AQ420" s="18">
        <v>0.57289999999999996</v>
      </c>
      <c r="AR420" s="18">
        <v>0.48809999999999998</v>
      </c>
      <c r="AS420" s="18">
        <v>0.57210000000000005</v>
      </c>
      <c r="AT420" s="18">
        <v>0.4783</v>
      </c>
      <c r="AU420" s="18">
        <v>0.64180000000000004</v>
      </c>
      <c r="AV420" s="18">
        <v>0.55479999999999996</v>
      </c>
      <c r="AW420" s="18">
        <v>0.15989999999999999</v>
      </c>
      <c r="AX420" s="18">
        <v>8.1600000000000006E-2</v>
      </c>
    </row>
    <row r="421" spans="1:50" x14ac:dyDescent="0.25">
      <c r="A421" s="8" t="s">
        <v>460</v>
      </c>
      <c r="B421" s="10" t="s">
        <v>57</v>
      </c>
      <c r="C421" s="18">
        <v>0.35499999999999998</v>
      </c>
      <c r="D421" s="18">
        <v>4.7E-2</v>
      </c>
      <c r="E421" s="18">
        <v>5.2200000000000003E-2</v>
      </c>
      <c r="F421" s="18">
        <v>0.30330000000000001</v>
      </c>
      <c r="G421" s="18">
        <v>0.1144</v>
      </c>
      <c r="H421" s="18">
        <v>4.7E-2</v>
      </c>
      <c r="I421" s="18">
        <v>0.36509999999999998</v>
      </c>
      <c r="J421" s="18">
        <v>5.79E-2</v>
      </c>
      <c r="K421" s="18">
        <v>0.2334</v>
      </c>
      <c r="L421" s="18">
        <v>0.18959999999999999</v>
      </c>
      <c r="M421" s="18">
        <v>5.2200000000000003E-2</v>
      </c>
      <c r="N421" s="18">
        <v>0.31369999999999998</v>
      </c>
      <c r="O421" s="18">
        <v>0.104</v>
      </c>
      <c r="P421" s="18">
        <v>5.45E-2</v>
      </c>
      <c r="Q421" s="18">
        <v>0.26150000000000001</v>
      </c>
      <c r="R421" s="18">
        <v>0.15390000000000001</v>
      </c>
      <c r="S421" s="18">
        <v>0.1308</v>
      </c>
      <c r="T421" s="18">
        <v>0.42459999999999998</v>
      </c>
      <c r="U421" s="18">
        <v>0.26390000000000002</v>
      </c>
      <c r="V421" s="18">
        <v>0.31509999999999999</v>
      </c>
      <c r="W421" s="18">
        <v>0.55010000000000003</v>
      </c>
      <c r="X421" s="18">
        <v>0.17649999999999999</v>
      </c>
      <c r="Y421" s="18">
        <v>0.46629999999999999</v>
      </c>
      <c r="Z421" s="18">
        <v>0.26019999999999999</v>
      </c>
      <c r="AA421" s="18">
        <v>0.16200000000000001</v>
      </c>
      <c r="AB421" s="18">
        <v>0.2752</v>
      </c>
      <c r="AC421" s="18">
        <v>4.7E-2</v>
      </c>
      <c r="AD421" s="18">
        <v>0.18509999999999999</v>
      </c>
      <c r="AE421" s="18">
        <v>0.2379</v>
      </c>
      <c r="AF421" s="18">
        <v>5.8200000000000002E-2</v>
      </c>
      <c r="AG421" s="18">
        <v>0.35049999999999998</v>
      </c>
      <c r="AH421" s="18">
        <v>8.3699999999999997E-2</v>
      </c>
      <c r="AI421" s="18">
        <v>0.1711</v>
      </c>
      <c r="AJ421" s="18">
        <v>0.38200000000000001</v>
      </c>
      <c r="AK421" s="18">
        <v>0.34229999999999999</v>
      </c>
      <c r="AL421" s="18">
        <v>0.377</v>
      </c>
      <c r="AM421" s="18">
        <v>0.31209999999999999</v>
      </c>
      <c r="AN421" s="18">
        <v>0.1502</v>
      </c>
      <c r="AO421" s="18">
        <v>0.51600000000000001</v>
      </c>
      <c r="AP421" s="18">
        <v>0.37919999999999998</v>
      </c>
      <c r="AQ421" s="18">
        <v>0.63929999999999998</v>
      </c>
      <c r="AR421" s="18">
        <v>0.63859999999999995</v>
      </c>
      <c r="AS421" s="18">
        <v>0.81430000000000002</v>
      </c>
      <c r="AT421" s="18">
        <v>0.71099999999999997</v>
      </c>
      <c r="AU421" s="18">
        <v>0.7843</v>
      </c>
      <c r="AV421" s="18">
        <v>0.84689999999999999</v>
      </c>
      <c r="AW421" s="18">
        <v>0.79269999999999996</v>
      </c>
      <c r="AX421" s="18">
        <v>0.25469999999999998</v>
      </c>
    </row>
  </sheetData>
  <mergeCells count="1">
    <mergeCell ref="A2:F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H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216" width="13" customWidth="1"/>
  </cols>
  <sheetData>
    <row r="1" spans="1:216" ht="19.5" x14ac:dyDescent="0.3">
      <c r="A1" s="1" t="s">
        <v>943</v>
      </c>
    </row>
    <row r="2" spans="1:216" x14ac:dyDescent="0.25">
      <c r="A2" s="29" t="s">
        <v>944</v>
      </c>
      <c r="B2" s="27"/>
      <c r="C2" s="27"/>
      <c r="D2" s="27"/>
      <c r="E2" s="27"/>
      <c r="F2" s="27"/>
      <c r="G2" s="27"/>
      <c r="H2" s="27"/>
    </row>
    <row r="4" spans="1:216" ht="25.5" x14ac:dyDescent="0.25">
      <c r="A4" s="5" t="s">
        <v>945</v>
      </c>
      <c r="B4" s="5" t="s">
        <v>946</v>
      </c>
      <c r="C4" s="5" t="s">
        <v>947</v>
      </c>
      <c r="D4" s="5" t="s">
        <v>948</v>
      </c>
      <c r="E4" s="5" t="s">
        <v>949</v>
      </c>
      <c r="F4" s="5" t="s">
        <v>950</v>
      </c>
      <c r="G4" s="5" t="s">
        <v>951</v>
      </c>
      <c r="H4" s="5" t="s">
        <v>952</v>
      </c>
      <c r="I4" s="5" t="s">
        <v>953</v>
      </c>
      <c r="J4" s="5" t="s">
        <v>954</v>
      </c>
      <c r="K4" s="5" t="s">
        <v>955</v>
      </c>
      <c r="L4" s="5" t="s">
        <v>956</v>
      </c>
      <c r="M4" s="5" t="s">
        <v>957</v>
      </c>
      <c r="N4" s="5" t="s">
        <v>958</v>
      </c>
      <c r="O4" s="5" t="s">
        <v>959</v>
      </c>
      <c r="P4" s="5" t="s">
        <v>960</v>
      </c>
      <c r="Q4" s="5" t="s">
        <v>961</v>
      </c>
      <c r="R4" s="5" t="s">
        <v>962</v>
      </c>
      <c r="S4" s="5" t="s">
        <v>963</v>
      </c>
      <c r="T4" s="5" t="s">
        <v>964</v>
      </c>
      <c r="U4" s="5" t="s">
        <v>965</v>
      </c>
      <c r="V4" s="5" t="s">
        <v>966</v>
      </c>
      <c r="W4" s="5" t="s">
        <v>967</v>
      </c>
      <c r="X4" s="5" t="s">
        <v>968</v>
      </c>
      <c r="Y4" s="5" t="s">
        <v>969</v>
      </c>
      <c r="Z4" s="5" t="s">
        <v>970</v>
      </c>
      <c r="AA4" s="5" t="s">
        <v>971</v>
      </c>
      <c r="AB4" s="5" t="s">
        <v>972</v>
      </c>
      <c r="AC4" s="5" t="s">
        <v>973</v>
      </c>
      <c r="AD4" s="5" t="s">
        <v>974</v>
      </c>
      <c r="AE4" s="5" t="s">
        <v>975</v>
      </c>
      <c r="AF4" s="5" t="s">
        <v>976</v>
      </c>
      <c r="AG4" s="5" t="s">
        <v>977</v>
      </c>
      <c r="AH4" s="5" t="s">
        <v>978</v>
      </c>
      <c r="AI4" s="5" t="s">
        <v>979</v>
      </c>
      <c r="AJ4" s="5" t="s">
        <v>980</v>
      </c>
      <c r="AK4" s="5" t="s">
        <v>981</v>
      </c>
      <c r="AL4" s="5" t="s">
        <v>982</v>
      </c>
      <c r="AM4" s="5" t="s">
        <v>983</v>
      </c>
      <c r="AN4" s="5" t="s">
        <v>984</v>
      </c>
      <c r="AO4" s="5" t="s">
        <v>985</v>
      </c>
      <c r="AP4" s="5" t="s">
        <v>986</v>
      </c>
      <c r="AQ4" s="5" t="s">
        <v>987</v>
      </c>
      <c r="AR4" s="5" t="s">
        <v>988</v>
      </c>
      <c r="AS4" s="5" t="s">
        <v>989</v>
      </c>
      <c r="AT4" s="5" t="s">
        <v>990</v>
      </c>
      <c r="AU4" s="5" t="s">
        <v>991</v>
      </c>
      <c r="AV4" s="5" t="s">
        <v>992</v>
      </c>
      <c r="AW4" s="5" t="s">
        <v>993</v>
      </c>
      <c r="AX4" s="5" t="s">
        <v>994</v>
      </c>
      <c r="AY4" s="5" t="s">
        <v>995</v>
      </c>
      <c r="AZ4" s="5" t="s">
        <v>996</v>
      </c>
      <c r="BA4" s="5" t="s">
        <v>997</v>
      </c>
      <c r="BB4" s="5" t="s">
        <v>998</v>
      </c>
      <c r="BC4" s="5" t="s">
        <v>999</v>
      </c>
      <c r="BD4" s="5" t="s">
        <v>1000</v>
      </c>
      <c r="BE4" s="5" t="s">
        <v>1001</v>
      </c>
      <c r="BF4" s="5" t="s">
        <v>1002</v>
      </c>
      <c r="BG4" s="5" t="s">
        <v>1003</v>
      </c>
      <c r="BH4" s="5" t="s">
        <v>1004</v>
      </c>
      <c r="BI4" s="5" t="s">
        <v>1005</v>
      </c>
      <c r="BJ4" s="5" t="s">
        <v>1006</v>
      </c>
      <c r="BK4" s="5" t="s">
        <v>1007</v>
      </c>
      <c r="BL4" s="5" t="s">
        <v>1008</v>
      </c>
      <c r="BM4" s="5" t="s">
        <v>1009</v>
      </c>
      <c r="BN4" s="5" t="s">
        <v>1010</v>
      </c>
      <c r="BO4" s="5" t="s">
        <v>1011</v>
      </c>
      <c r="BP4" s="5" t="s">
        <v>1012</v>
      </c>
      <c r="BQ4" s="5" t="s">
        <v>1013</v>
      </c>
      <c r="BR4" s="5" t="s">
        <v>1014</v>
      </c>
      <c r="BS4" s="5" t="s">
        <v>1015</v>
      </c>
      <c r="BT4" s="5" t="s">
        <v>1016</v>
      </c>
      <c r="BU4" s="5" t="s">
        <v>1017</v>
      </c>
      <c r="BV4" s="5" t="s">
        <v>1018</v>
      </c>
      <c r="BW4" s="5" t="s">
        <v>1019</v>
      </c>
      <c r="BX4" s="5" t="s">
        <v>1020</v>
      </c>
      <c r="BY4" s="5" t="s">
        <v>1021</v>
      </c>
      <c r="BZ4" s="5" t="s">
        <v>1022</v>
      </c>
      <c r="CA4" s="5" t="s">
        <v>1023</v>
      </c>
      <c r="CB4" s="5" t="s">
        <v>1024</v>
      </c>
      <c r="CC4" s="5" t="s">
        <v>1025</v>
      </c>
      <c r="CD4" s="5" t="s">
        <v>1026</v>
      </c>
      <c r="CE4" s="5" t="s">
        <v>1027</v>
      </c>
      <c r="CF4" s="5" t="s">
        <v>1028</v>
      </c>
      <c r="CG4" s="5" t="s">
        <v>1029</v>
      </c>
      <c r="CH4" s="5" t="s">
        <v>1030</v>
      </c>
      <c r="CI4" s="5" t="s">
        <v>1031</v>
      </c>
      <c r="CJ4" s="5" t="s">
        <v>1032</v>
      </c>
      <c r="CK4" s="5" t="s">
        <v>1033</v>
      </c>
      <c r="CL4" s="5" t="s">
        <v>1034</v>
      </c>
      <c r="CM4" s="5" t="s">
        <v>1035</v>
      </c>
      <c r="CN4" s="5" t="s">
        <v>1036</v>
      </c>
      <c r="CO4" s="5" t="s">
        <v>1037</v>
      </c>
      <c r="CP4" s="5" t="s">
        <v>1038</v>
      </c>
      <c r="CQ4" s="5" t="s">
        <v>1039</v>
      </c>
      <c r="CR4" s="5" t="s">
        <v>1040</v>
      </c>
      <c r="CS4" s="5" t="s">
        <v>1041</v>
      </c>
      <c r="CT4" s="5" t="s">
        <v>1042</v>
      </c>
      <c r="CU4" s="5" t="s">
        <v>1043</v>
      </c>
      <c r="CV4" s="5" t="s">
        <v>1044</v>
      </c>
      <c r="CW4" s="5" t="s">
        <v>1045</v>
      </c>
      <c r="CX4" s="5" t="s">
        <v>1046</v>
      </c>
      <c r="CY4" s="5" t="s">
        <v>1047</v>
      </c>
      <c r="CZ4" s="5" t="s">
        <v>1048</v>
      </c>
      <c r="DA4" s="5" t="s">
        <v>1049</v>
      </c>
      <c r="DB4" s="5" t="s">
        <v>1050</v>
      </c>
      <c r="DC4" s="5" t="s">
        <v>1051</v>
      </c>
      <c r="DD4" s="5" t="s">
        <v>1052</v>
      </c>
      <c r="DE4" s="5" t="s">
        <v>1053</v>
      </c>
      <c r="DF4" s="5" t="s">
        <v>1054</v>
      </c>
      <c r="DG4" s="5" t="s">
        <v>1055</v>
      </c>
      <c r="DH4" s="5" t="s">
        <v>1056</v>
      </c>
      <c r="DI4" s="5" t="s">
        <v>1057</v>
      </c>
      <c r="DJ4" s="5" t="s">
        <v>1058</v>
      </c>
      <c r="DK4" s="5" t="s">
        <v>1059</v>
      </c>
      <c r="DL4" s="5" t="s">
        <v>1060</v>
      </c>
      <c r="DM4" s="5" t="s">
        <v>1061</v>
      </c>
      <c r="DN4" s="5" t="s">
        <v>1062</v>
      </c>
      <c r="DO4" s="5" t="s">
        <v>1063</v>
      </c>
      <c r="DP4" s="5" t="s">
        <v>1064</v>
      </c>
      <c r="DQ4" s="5" t="s">
        <v>1065</v>
      </c>
      <c r="DR4" s="5" t="s">
        <v>1066</v>
      </c>
      <c r="DS4" s="5" t="s">
        <v>1067</v>
      </c>
      <c r="DT4" s="5" t="s">
        <v>1068</v>
      </c>
      <c r="DU4" s="5" t="s">
        <v>1069</v>
      </c>
      <c r="DV4" s="5" t="s">
        <v>1070</v>
      </c>
      <c r="DW4" s="5" t="s">
        <v>1071</v>
      </c>
      <c r="DX4" s="5" t="s">
        <v>1072</v>
      </c>
      <c r="DY4" s="5" t="s">
        <v>1073</v>
      </c>
      <c r="DZ4" s="5" t="s">
        <v>1074</v>
      </c>
      <c r="EA4" s="5" t="s">
        <v>1075</v>
      </c>
      <c r="EB4" s="5" t="s">
        <v>1076</v>
      </c>
      <c r="EC4" s="5" t="s">
        <v>1077</v>
      </c>
      <c r="ED4" s="5" t="s">
        <v>1078</v>
      </c>
      <c r="EE4" s="5" t="s">
        <v>1079</v>
      </c>
      <c r="EF4" s="5" t="s">
        <v>1080</v>
      </c>
      <c r="EG4" s="5" t="s">
        <v>1081</v>
      </c>
      <c r="EH4" s="5" t="s">
        <v>1082</v>
      </c>
      <c r="EI4" s="5" t="s">
        <v>1083</v>
      </c>
      <c r="EJ4" s="5" t="s">
        <v>1084</v>
      </c>
      <c r="EK4" s="5" t="s">
        <v>1085</v>
      </c>
      <c r="EL4" s="5" t="s">
        <v>1086</v>
      </c>
      <c r="EM4" s="5" t="s">
        <v>1087</v>
      </c>
      <c r="EN4" s="5" t="s">
        <v>1088</v>
      </c>
      <c r="EO4" s="5" t="s">
        <v>1089</v>
      </c>
      <c r="EP4" s="5" t="s">
        <v>1090</v>
      </c>
      <c r="EQ4" s="5" t="s">
        <v>1091</v>
      </c>
      <c r="ER4" s="5" t="s">
        <v>1092</v>
      </c>
      <c r="ES4" s="5" t="s">
        <v>1093</v>
      </c>
      <c r="ET4" s="5" t="s">
        <v>1094</v>
      </c>
      <c r="EU4" s="5" t="s">
        <v>1095</v>
      </c>
      <c r="EV4" s="5" t="s">
        <v>1096</v>
      </c>
      <c r="EW4" s="5" t="s">
        <v>1097</v>
      </c>
      <c r="EX4" s="5" t="s">
        <v>1098</v>
      </c>
      <c r="EY4" s="5" t="s">
        <v>1099</v>
      </c>
      <c r="EZ4" s="5" t="s">
        <v>1100</v>
      </c>
      <c r="FA4" s="5" t="s">
        <v>1101</v>
      </c>
      <c r="FB4" s="5" t="s">
        <v>1102</v>
      </c>
      <c r="FC4" s="5" t="s">
        <v>1103</v>
      </c>
      <c r="FD4" s="5" t="s">
        <v>1104</v>
      </c>
      <c r="FE4" s="5" t="s">
        <v>1105</v>
      </c>
      <c r="FF4" s="5" t="s">
        <v>1106</v>
      </c>
      <c r="FG4" s="5" t="s">
        <v>1107</v>
      </c>
      <c r="FH4" s="5" t="s">
        <v>1108</v>
      </c>
      <c r="FI4" s="5" t="s">
        <v>1109</v>
      </c>
      <c r="FJ4" s="5" t="s">
        <v>1110</v>
      </c>
      <c r="FK4" s="5" t="s">
        <v>1111</v>
      </c>
      <c r="FL4" s="5" t="s">
        <v>1112</v>
      </c>
      <c r="FM4" s="5" t="s">
        <v>1113</v>
      </c>
      <c r="FN4" s="5" t="s">
        <v>1114</v>
      </c>
      <c r="FO4" s="5" t="s">
        <v>1115</v>
      </c>
      <c r="FP4" s="5" t="s">
        <v>1116</v>
      </c>
      <c r="FQ4" s="5" t="s">
        <v>1117</v>
      </c>
      <c r="FR4" s="5" t="s">
        <v>1118</v>
      </c>
      <c r="FS4" s="5" t="s">
        <v>1119</v>
      </c>
      <c r="FT4" s="5" t="s">
        <v>1120</v>
      </c>
      <c r="FU4" s="5" t="s">
        <v>1121</v>
      </c>
      <c r="FV4" s="5" t="s">
        <v>1122</v>
      </c>
      <c r="FW4" s="5" t="s">
        <v>1123</v>
      </c>
      <c r="FX4" s="5" t="s">
        <v>1124</v>
      </c>
      <c r="FY4" s="5" t="s">
        <v>1125</v>
      </c>
      <c r="FZ4" s="5" t="s">
        <v>1126</v>
      </c>
      <c r="GA4" s="5" t="s">
        <v>1127</v>
      </c>
      <c r="GB4" s="5" t="s">
        <v>1128</v>
      </c>
      <c r="GC4" s="5" t="s">
        <v>1129</v>
      </c>
      <c r="GD4" s="5" t="s">
        <v>1130</v>
      </c>
      <c r="GE4" s="5" t="s">
        <v>1131</v>
      </c>
      <c r="GF4" s="5" t="s">
        <v>1132</v>
      </c>
      <c r="GG4" s="5" t="s">
        <v>1133</v>
      </c>
      <c r="GH4" s="5" t="s">
        <v>1134</v>
      </c>
      <c r="GI4" s="5" t="s">
        <v>1135</v>
      </c>
      <c r="GJ4" s="5" t="s">
        <v>1136</v>
      </c>
      <c r="GK4" s="5" t="s">
        <v>1137</v>
      </c>
      <c r="GL4" s="5" t="s">
        <v>1138</v>
      </c>
      <c r="GM4" s="5" t="s">
        <v>1139</v>
      </c>
      <c r="GN4" s="5" t="s">
        <v>1140</v>
      </c>
      <c r="GO4" s="5" t="s">
        <v>1141</v>
      </c>
      <c r="GP4" s="5" t="s">
        <v>1142</v>
      </c>
      <c r="GQ4" s="5" t="s">
        <v>1143</v>
      </c>
      <c r="GR4" s="5" t="s">
        <v>1144</v>
      </c>
      <c r="GS4" s="5" t="s">
        <v>1145</v>
      </c>
      <c r="GT4" s="5" t="s">
        <v>1146</v>
      </c>
      <c r="GU4" s="5" t="s">
        <v>1147</v>
      </c>
      <c r="GV4" s="5" t="s">
        <v>1148</v>
      </c>
      <c r="GW4" s="5" t="s">
        <v>1149</v>
      </c>
      <c r="GX4" s="5" t="s">
        <v>1150</v>
      </c>
      <c r="GY4" s="5" t="s">
        <v>1151</v>
      </c>
      <c r="GZ4" s="5" t="s">
        <v>1152</v>
      </c>
      <c r="HA4" s="5" t="s">
        <v>1153</v>
      </c>
      <c r="HB4" s="5" t="s">
        <v>1154</v>
      </c>
      <c r="HC4" s="5" t="s">
        <v>1155</v>
      </c>
      <c r="HD4" s="5" t="s">
        <v>1156</v>
      </c>
      <c r="HE4" s="5" t="s">
        <v>1157</v>
      </c>
      <c r="HF4" s="5" t="s">
        <v>1158</v>
      </c>
      <c r="HG4" s="5" t="s">
        <v>1159</v>
      </c>
      <c r="HH4" s="5" t="s">
        <v>1160</v>
      </c>
    </row>
    <row r="5" spans="1:216" x14ac:dyDescent="0.25">
      <c r="A5" s="8">
        <v>1</v>
      </c>
      <c r="B5" s="8">
        <v>0</v>
      </c>
      <c r="C5" s="17">
        <v>0</v>
      </c>
      <c r="D5" s="17">
        <v>0</v>
      </c>
      <c r="E5" s="17">
        <v>0</v>
      </c>
      <c r="F5" s="17">
        <v>0</v>
      </c>
      <c r="G5" s="17">
        <v>0</v>
      </c>
      <c r="H5" s="17">
        <v>0</v>
      </c>
      <c r="I5" s="17">
        <v>0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7">
        <v>0</v>
      </c>
      <c r="R5" s="17">
        <v>0</v>
      </c>
      <c r="S5" s="17">
        <v>0</v>
      </c>
      <c r="T5" s="17">
        <v>0</v>
      </c>
      <c r="U5" s="17">
        <v>0</v>
      </c>
      <c r="V5" s="17">
        <v>0</v>
      </c>
      <c r="W5" s="17">
        <v>0</v>
      </c>
      <c r="X5" s="17">
        <v>0</v>
      </c>
      <c r="Y5" s="17">
        <v>0</v>
      </c>
      <c r="Z5" s="17">
        <v>0</v>
      </c>
      <c r="AA5" s="17">
        <v>0</v>
      </c>
      <c r="AB5" s="17">
        <v>0</v>
      </c>
      <c r="AC5" s="17">
        <v>0</v>
      </c>
      <c r="AD5" s="17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7">
        <v>0</v>
      </c>
      <c r="AP5" s="17">
        <v>0</v>
      </c>
      <c r="AQ5" s="17">
        <v>0</v>
      </c>
      <c r="AR5" s="17">
        <v>0</v>
      </c>
      <c r="AS5" s="17">
        <v>0</v>
      </c>
      <c r="AT5" s="17">
        <v>0</v>
      </c>
      <c r="AU5" s="17">
        <v>0</v>
      </c>
      <c r="AV5" s="17">
        <v>0</v>
      </c>
      <c r="AW5" s="17">
        <v>0</v>
      </c>
      <c r="AX5" s="17">
        <v>0</v>
      </c>
      <c r="AY5" s="17">
        <v>0</v>
      </c>
      <c r="AZ5" s="17">
        <v>0</v>
      </c>
      <c r="BA5" s="17">
        <v>0</v>
      </c>
      <c r="BB5" s="17">
        <v>0</v>
      </c>
      <c r="BC5" s="17">
        <v>0</v>
      </c>
      <c r="BD5" s="17">
        <v>0</v>
      </c>
      <c r="BE5" s="17">
        <v>0</v>
      </c>
      <c r="BF5" s="17">
        <v>0</v>
      </c>
      <c r="BG5" s="17">
        <v>0</v>
      </c>
      <c r="BH5" s="17">
        <v>0</v>
      </c>
      <c r="BI5" s="17">
        <v>0</v>
      </c>
      <c r="BJ5" s="17">
        <v>0</v>
      </c>
      <c r="BK5" s="17">
        <v>0</v>
      </c>
      <c r="BL5" s="17">
        <v>0</v>
      </c>
      <c r="BM5" s="17">
        <v>0</v>
      </c>
      <c r="BN5" s="17">
        <v>0</v>
      </c>
      <c r="BO5" s="17">
        <v>0</v>
      </c>
      <c r="BP5" s="17">
        <v>0</v>
      </c>
      <c r="BQ5" s="17">
        <v>0</v>
      </c>
      <c r="BR5" s="17">
        <v>0</v>
      </c>
      <c r="BS5" s="17">
        <v>0</v>
      </c>
      <c r="BT5" s="17">
        <v>0</v>
      </c>
      <c r="BU5" s="17">
        <v>0</v>
      </c>
      <c r="BV5" s="17">
        <v>0</v>
      </c>
      <c r="BW5" s="17">
        <v>0</v>
      </c>
      <c r="BX5" s="17">
        <v>0</v>
      </c>
      <c r="BY5" s="17">
        <v>0</v>
      </c>
      <c r="BZ5" s="17">
        <v>0</v>
      </c>
      <c r="CA5" s="17">
        <v>0</v>
      </c>
      <c r="CB5" s="17">
        <v>0</v>
      </c>
      <c r="CC5" s="17">
        <v>0</v>
      </c>
      <c r="CD5" s="17">
        <v>0</v>
      </c>
      <c r="CE5" s="17">
        <v>0</v>
      </c>
      <c r="CF5" s="17">
        <v>0</v>
      </c>
      <c r="CG5" s="17">
        <v>0</v>
      </c>
      <c r="CH5" s="17">
        <v>0</v>
      </c>
      <c r="CI5" s="17">
        <v>0</v>
      </c>
      <c r="CJ5" s="17">
        <v>0</v>
      </c>
      <c r="CK5" s="17">
        <v>0</v>
      </c>
      <c r="CL5" s="17">
        <v>0</v>
      </c>
      <c r="CM5" s="17">
        <v>0</v>
      </c>
      <c r="CN5" s="17">
        <v>0</v>
      </c>
      <c r="CO5" s="17">
        <v>0</v>
      </c>
      <c r="CP5" s="17">
        <v>0</v>
      </c>
      <c r="CQ5" s="17">
        <v>0</v>
      </c>
      <c r="CR5" s="17">
        <v>0</v>
      </c>
      <c r="CS5" s="17">
        <v>0</v>
      </c>
      <c r="CT5" s="17">
        <v>0</v>
      </c>
      <c r="CU5" s="17">
        <v>0</v>
      </c>
      <c r="CV5" s="17">
        <v>0</v>
      </c>
      <c r="CW5" s="17">
        <v>0</v>
      </c>
      <c r="CX5" s="17">
        <v>0</v>
      </c>
      <c r="CY5" s="17">
        <v>0</v>
      </c>
      <c r="CZ5" s="17">
        <v>0</v>
      </c>
      <c r="DA5" s="17">
        <v>0</v>
      </c>
      <c r="DB5" s="17">
        <v>0</v>
      </c>
      <c r="DC5" s="17">
        <v>0</v>
      </c>
      <c r="DD5" s="17">
        <v>0</v>
      </c>
      <c r="DE5" s="17">
        <v>0</v>
      </c>
      <c r="DF5" s="17">
        <v>0</v>
      </c>
      <c r="DG5" s="17">
        <v>0</v>
      </c>
      <c r="DH5" s="17">
        <v>0</v>
      </c>
      <c r="DI5" s="17">
        <v>0</v>
      </c>
      <c r="DJ5" s="17">
        <v>0</v>
      </c>
      <c r="DK5" s="17">
        <v>0</v>
      </c>
      <c r="DL5" s="17">
        <v>0</v>
      </c>
      <c r="DM5" s="17">
        <v>0</v>
      </c>
      <c r="DN5" s="17">
        <v>0</v>
      </c>
      <c r="DO5" s="17">
        <v>0</v>
      </c>
      <c r="DP5" s="17">
        <v>0</v>
      </c>
      <c r="DQ5" s="17">
        <v>0</v>
      </c>
      <c r="DR5" s="17">
        <v>0</v>
      </c>
      <c r="DS5" s="17">
        <v>0</v>
      </c>
      <c r="DT5" s="17">
        <v>0</v>
      </c>
      <c r="DU5" s="17">
        <v>0</v>
      </c>
      <c r="DV5" s="17">
        <v>0</v>
      </c>
      <c r="DW5" s="17">
        <v>0</v>
      </c>
      <c r="DX5" s="17">
        <v>0</v>
      </c>
      <c r="DY5" s="17">
        <v>0</v>
      </c>
      <c r="DZ5" s="17">
        <v>0</v>
      </c>
      <c r="EA5" s="17">
        <v>0</v>
      </c>
      <c r="EB5" s="17">
        <v>0</v>
      </c>
      <c r="EC5" s="17">
        <v>0</v>
      </c>
      <c r="ED5" s="17">
        <v>0</v>
      </c>
      <c r="EE5" s="17">
        <v>0</v>
      </c>
      <c r="EF5" s="17">
        <v>0</v>
      </c>
      <c r="EG5" s="17">
        <v>0</v>
      </c>
      <c r="EH5" s="17">
        <v>0</v>
      </c>
      <c r="EI5" s="17">
        <v>0</v>
      </c>
      <c r="EJ5" s="17">
        <v>0</v>
      </c>
      <c r="EK5" s="17">
        <v>0</v>
      </c>
      <c r="EL5" s="17">
        <v>0</v>
      </c>
      <c r="EM5" s="17">
        <v>0</v>
      </c>
      <c r="EN5" s="17">
        <v>0</v>
      </c>
      <c r="EO5" s="17">
        <v>0</v>
      </c>
      <c r="EP5" s="17">
        <v>0</v>
      </c>
      <c r="EQ5" s="17">
        <v>0</v>
      </c>
      <c r="ER5" s="17">
        <v>0</v>
      </c>
      <c r="ES5" s="17">
        <v>0</v>
      </c>
      <c r="ET5" s="17">
        <v>0</v>
      </c>
      <c r="EU5" s="17">
        <v>0</v>
      </c>
      <c r="EV5" s="17">
        <v>0</v>
      </c>
      <c r="EW5" s="17">
        <v>0</v>
      </c>
      <c r="EX5" s="17">
        <v>0</v>
      </c>
      <c r="EY5" s="17">
        <v>0</v>
      </c>
      <c r="EZ5" s="17">
        <v>0</v>
      </c>
      <c r="FA5" s="17">
        <v>0</v>
      </c>
      <c r="FB5" s="17">
        <v>0</v>
      </c>
      <c r="FC5" s="17">
        <v>0</v>
      </c>
      <c r="FD5" s="17">
        <v>0</v>
      </c>
      <c r="FE5" s="17">
        <v>0</v>
      </c>
      <c r="FF5" s="17">
        <v>0</v>
      </c>
      <c r="FG5" s="17">
        <v>0</v>
      </c>
      <c r="FH5" s="17">
        <v>0</v>
      </c>
      <c r="FI5" s="17">
        <v>0</v>
      </c>
      <c r="FJ5" s="17">
        <v>0</v>
      </c>
      <c r="FK5" s="17">
        <v>0</v>
      </c>
      <c r="FL5" s="17">
        <v>0</v>
      </c>
      <c r="FM5" s="17">
        <v>0</v>
      </c>
      <c r="FN5" s="17">
        <v>0</v>
      </c>
      <c r="FO5" s="17">
        <v>0</v>
      </c>
      <c r="FP5" s="17">
        <v>0</v>
      </c>
      <c r="FQ5" s="17">
        <v>0</v>
      </c>
      <c r="FR5" s="17">
        <v>0</v>
      </c>
      <c r="FS5" s="17">
        <v>0</v>
      </c>
      <c r="FT5" s="17">
        <v>0</v>
      </c>
      <c r="FU5" s="17">
        <v>0</v>
      </c>
      <c r="FV5" s="17">
        <v>0</v>
      </c>
      <c r="FW5" s="17">
        <v>0</v>
      </c>
      <c r="FX5" s="17">
        <v>0</v>
      </c>
      <c r="FY5" s="17">
        <v>0</v>
      </c>
      <c r="FZ5" s="17">
        <v>0</v>
      </c>
      <c r="GA5" s="17">
        <v>0</v>
      </c>
      <c r="GB5" s="17">
        <v>0</v>
      </c>
      <c r="GC5" s="17">
        <v>0</v>
      </c>
      <c r="GD5" s="17">
        <v>0</v>
      </c>
      <c r="GE5" s="17">
        <v>0</v>
      </c>
      <c r="GF5" s="17">
        <v>0</v>
      </c>
      <c r="GG5" s="17">
        <v>0</v>
      </c>
      <c r="GH5" s="17">
        <v>0</v>
      </c>
      <c r="GI5" s="17">
        <v>0</v>
      </c>
      <c r="GJ5" s="17">
        <v>0</v>
      </c>
      <c r="GK5" s="17">
        <v>0</v>
      </c>
      <c r="GL5" s="17">
        <v>0</v>
      </c>
      <c r="GM5" s="17">
        <v>0</v>
      </c>
      <c r="GN5" s="17">
        <v>0</v>
      </c>
      <c r="GO5" s="17">
        <v>0</v>
      </c>
      <c r="GP5" s="17">
        <v>0</v>
      </c>
      <c r="GQ5" s="17">
        <v>0</v>
      </c>
      <c r="GR5" s="17">
        <v>0</v>
      </c>
      <c r="GS5" s="17">
        <v>0</v>
      </c>
      <c r="GT5" s="17">
        <v>0</v>
      </c>
      <c r="GU5" s="17">
        <v>0</v>
      </c>
      <c r="GV5" s="17">
        <v>0</v>
      </c>
      <c r="GW5" s="17">
        <v>0</v>
      </c>
      <c r="GX5" s="17">
        <v>0</v>
      </c>
      <c r="GY5" s="17">
        <v>0</v>
      </c>
      <c r="GZ5" s="17">
        <v>0</v>
      </c>
      <c r="HA5" s="17">
        <v>0</v>
      </c>
      <c r="HB5" s="17">
        <v>0</v>
      </c>
      <c r="HC5" s="17">
        <v>0</v>
      </c>
      <c r="HD5" s="17">
        <v>0</v>
      </c>
      <c r="HE5" s="17">
        <v>0</v>
      </c>
      <c r="HF5" s="17">
        <v>0</v>
      </c>
      <c r="HG5" s="17">
        <v>0</v>
      </c>
      <c r="HH5" s="17">
        <v>0</v>
      </c>
    </row>
    <row r="6" spans="1:216" x14ac:dyDescent="0.25">
      <c r="A6" s="8">
        <v>2</v>
      </c>
      <c r="B6" s="8">
        <v>0.5</v>
      </c>
      <c r="C6" s="17">
        <v>0</v>
      </c>
      <c r="D6" s="17">
        <v>0</v>
      </c>
      <c r="E6" s="17">
        <v>0</v>
      </c>
      <c r="F6" s="17">
        <v>0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7">
        <v>0</v>
      </c>
      <c r="R6" s="17">
        <v>0</v>
      </c>
      <c r="S6" s="17">
        <v>0</v>
      </c>
      <c r="T6" s="17">
        <v>0</v>
      </c>
      <c r="U6" s="17">
        <v>0</v>
      </c>
      <c r="V6" s="17">
        <v>0</v>
      </c>
      <c r="W6" s="17">
        <v>0</v>
      </c>
      <c r="X6" s="17">
        <v>0</v>
      </c>
      <c r="Y6" s="17">
        <v>0</v>
      </c>
      <c r="Z6" s="17">
        <v>0</v>
      </c>
      <c r="AA6" s="17">
        <v>0</v>
      </c>
      <c r="AB6" s="17">
        <v>0</v>
      </c>
      <c r="AC6" s="17">
        <v>0</v>
      </c>
      <c r="AD6" s="17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7">
        <v>0</v>
      </c>
      <c r="AP6" s="17">
        <v>0</v>
      </c>
      <c r="AQ6" s="17">
        <v>0</v>
      </c>
      <c r="AR6" s="17">
        <v>0</v>
      </c>
      <c r="AS6" s="17">
        <v>0</v>
      </c>
      <c r="AT6" s="17">
        <v>0</v>
      </c>
      <c r="AU6" s="17">
        <v>0</v>
      </c>
      <c r="AV6" s="17">
        <v>0</v>
      </c>
      <c r="AW6" s="17">
        <v>0</v>
      </c>
      <c r="AX6" s="17">
        <v>0</v>
      </c>
      <c r="AY6" s="17">
        <v>0</v>
      </c>
      <c r="AZ6" s="17">
        <v>0</v>
      </c>
      <c r="BA6" s="17">
        <v>0</v>
      </c>
      <c r="BB6" s="17">
        <v>0</v>
      </c>
      <c r="BC6" s="17">
        <v>0</v>
      </c>
      <c r="BD6" s="17">
        <v>0</v>
      </c>
      <c r="BE6" s="17">
        <v>0</v>
      </c>
      <c r="BF6" s="17">
        <v>0</v>
      </c>
      <c r="BG6" s="17">
        <v>0</v>
      </c>
      <c r="BH6" s="17">
        <v>0</v>
      </c>
      <c r="BI6" s="17">
        <v>0</v>
      </c>
      <c r="BJ6" s="17">
        <v>0</v>
      </c>
      <c r="BK6" s="17">
        <v>0</v>
      </c>
      <c r="BL6" s="17">
        <v>0</v>
      </c>
      <c r="BM6" s="17">
        <v>0</v>
      </c>
      <c r="BN6" s="17">
        <v>0</v>
      </c>
      <c r="BO6" s="17">
        <v>0</v>
      </c>
      <c r="BP6" s="17">
        <v>0</v>
      </c>
      <c r="BQ6" s="17">
        <v>0</v>
      </c>
      <c r="BR6" s="17">
        <v>0</v>
      </c>
      <c r="BS6" s="17">
        <v>0</v>
      </c>
      <c r="BT6" s="17">
        <v>0</v>
      </c>
      <c r="BU6" s="17">
        <v>0</v>
      </c>
      <c r="BV6" s="17">
        <v>0</v>
      </c>
      <c r="BW6" s="17">
        <v>0</v>
      </c>
      <c r="BX6" s="17">
        <v>0</v>
      </c>
      <c r="BY6" s="17">
        <v>0</v>
      </c>
      <c r="BZ6" s="17">
        <v>0</v>
      </c>
      <c r="CA6" s="17">
        <v>0</v>
      </c>
      <c r="CB6" s="17">
        <v>0</v>
      </c>
      <c r="CC6" s="17">
        <v>0</v>
      </c>
      <c r="CD6" s="17">
        <v>0</v>
      </c>
      <c r="CE6" s="17">
        <v>0</v>
      </c>
      <c r="CF6" s="17">
        <v>0</v>
      </c>
      <c r="CG6" s="17">
        <v>0</v>
      </c>
      <c r="CH6" s="17">
        <v>0</v>
      </c>
      <c r="CI6" s="17">
        <v>0</v>
      </c>
      <c r="CJ6" s="17">
        <v>0</v>
      </c>
      <c r="CK6" s="17">
        <v>0</v>
      </c>
      <c r="CL6" s="17">
        <v>0</v>
      </c>
      <c r="CM6" s="17">
        <v>0</v>
      </c>
      <c r="CN6" s="17">
        <v>0</v>
      </c>
      <c r="CO6" s="17">
        <v>0</v>
      </c>
      <c r="CP6" s="17">
        <v>0</v>
      </c>
      <c r="CQ6" s="17">
        <v>0</v>
      </c>
      <c r="CR6" s="17">
        <v>0</v>
      </c>
      <c r="CS6" s="17">
        <v>0</v>
      </c>
      <c r="CT6" s="17">
        <v>0</v>
      </c>
      <c r="CU6" s="17">
        <v>0</v>
      </c>
      <c r="CV6" s="17">
        <v>0</v>
      </c>
      <c r="CW6" s="17">
        <v>0</v>
      </c>
      <c r="CX6" s="17">
        <v>0</v>
      </c>
      <c r="CY6" s="17">
        <v>0</v>
      </c>
      <c r="CZ6" s="17">
        <v>0</v>
      </c>
      <c r="DA6" s="17">
        <v>0</v>
      </c>
      <c r="DB6" s="17">
        <v>0</v>
      </c>
      <c r="DC6" s="17">
        <v>0</v>
      </c>
      <c r="DD6" s="17">
        <v>0</v>
      </c>
      <c r="DE6" s="17">
        <v>0</v>
      </c>
      <c r="DF6" s="17">
        <v>0</v>
      </c>
      <c r="DG6" s="17">
        <v>0</v>
      </c>
      <c r="DH6" s="17">
        <v>0</v>
      </c>
      <c r="DI6" s="17">
        <v>0</v>
      </c>
      <c r="DJ6" s="17">
        <v>0</v>
      </c>
      <c r="DK6" s="17">
        <v>0</v>
      </c>
      <c r="DL6" s="17">
        <v>0</v>
      </c>
      <c r="DM6" s="17">
        <v>0</v>
      </c>
      <c r="DN6" s="17">
        <v>0</v>
      </c>
      <c r="DO6" s="17">
        <v>0</v>
      </c>
      <c r="DP6" s="17">
        <v>0</v>
      </c>
      <c r="DQ6" s="17">
        <v>0</v>
      </c>
      <c r="DR6" s="17">
        <v>0</v>
      </c>
      <c r="DS6" s="17">
        <v>0</v>
      </c>
      <c r="DT6" s="17">
        <v>0</v>
      </c>
      <c r="DU6" s="17">
        <v>0</v>
      </c>
      <c r="DV6" s="17">
        <v>0</v>
      </c>
      <c r="DW6" s="17">
        <v>0</v>
      </c>
      <c r="DX6" s="17">
        <v>0</v>
      </c>
      <c r="DY6" s="17">
        <v>0</v>
      </c>
      <c r="DZ6" s="17">
        <v>0</v>
      </c>
      <c r="EA6" s="17">
        <v>0</v>
      </c>
      <c r="EB6" s="17">
        <v>0</v>
      </c>
      <c r="EC6" s="17">
        <v>0</v>
      </c>
      <c r="ED6" s="17">
        <v>0</v>
      </c>
      <c r="EE6" s="17">
        <v>0</v>
      </c>
      <c r="EF6" s="17">
        <v>0</v>
      </c>
      <c r="EG6" s="17">
        <v>0</v>
      </c>
      <c r="EH6" s="17">
        <v>0</v>
      </c>
      <c r="EI6" s="17">
        <v>0</v>
      </c>
      <c r="EJ6" s="17">
        <v>0</v>
      </c>
      <c r="EK6" s="17">
        <v>0</v>
      </c>
      <c r="EL6" s="17">
        <v>0</v>
      </c>
      <c r="EM6" s="17">
        <v>0</v>
      </c>
      <c r="EN6" s="17">
        <v>0</v>
      </c>
      <c r="EO6" s="17">
        <v>0</v>
      </c>
      <c r="EP6" s="17">
        <v>0</v>
      </c>
      <c r="EQ6" s="17">
        <v>0</v>
      </c>
      <c r="ER6" s="17">
        <v>0</v>
      </c>
      <c r="ES6" s="17">
        <v>0</v>
      </c>
      <c r="ET6" s="17">
        <v>0</v>
      </c>
      <c r="EU6" s="17">
        <v>0</v>
      </c>
      <c r="EV6" s="17">
        <v>0</v>
      </c>
      <c r="EW6" s="17">
        <v>0</v>
      </c>
      <c r="EX6" s="17">
        <v>0</v>
      </c>
      <c r="EY6" s="17">
        <v>0</v>
      </c>
      <c r="EZ6" s="17">
        <v>0</v>
      </c>
      <c r="FA6" s="17">
        <v>0</v>
      </c>
      <c r="FB6" s="17">
        <v>0</v>
      </c>
      <c r="FC6" s="17">
        <v>0</v>
      </c>
      <c r="FD6" s="17">
        <v>0</v>
      </c>
      <c r="FE6" s="17">
        <v>0</v>
      </c>
      <c r="FF6" s="17">
        <v>0</v>
      </c>
      <c r="FG6" s="17">
        <v>0</v>
      </c>
      <c r="FH6" s="17">
        <v>0</v>
      </c>
      <c r="FI6" s="17">
        <v>0</v>
      </c>
      <c r="FJ6" s="17">
        <v>0</v>
      </c>
      <c r="FK6" s="17">
        <v>0</v>
      </c>
      <c r="FL6" s="17">
        <v>0</v>
      </c>
      <c r="FM6" s="17">
        <v>0</v>
      </c>
      <c r="FN6" s="17">
        <v>0</v>
      </c>
      <c r="FO6" s="17">
        <v>0</v>
      </c>
      <c r="FP6" s="17">
        <v>0</v>
      </c>
      <c r="FQ6" s="17">
        <v>0</v>
      </c>
      <c r="FR6" s="17">
        <v>0</v>
      </c>
      <c r="FS6" s="17">
        <v>0</v>
      </c>
      <c r="FT6" s="17">
        <v>0</v>
      </c>
      <c r="FU6" s="17">
        <v>0</v>
      </c>
      <c r="FV6" s="17">
        <v>0</v>
      </c>
      <c r="FW6" s="17">
        <v>0</v>
      </c>
      <c r="FX6" s="17">
        <v>0</v>
      </c>
      <c r="FY6" s="17">
        <v>0</v>
      </c>
      <c r="FZ6" s="17">
        <v>0</v>
      </c>
      <c r="GA6" s="17">
        <v>0</v>
      </c>
      <c r="GB6" s="17">
        <v>0</v>
      </c>
      <c r="GC6" s="17">
        <v>0</v>
      </c>
      <c r="GD6" s="17">
        <v>0</v>
      </c>
      <c r="GE6" s="17">
        <v>0</v>
      </c>
      <c r="GF6" s="17">
        <v>0</v>
      </c>
      <c r="GG6" s="17">
        <v>0</v>
      </c>
      <c r="GH6" s="17">
        <v>0</v>
      </c>
      <c r="GI6" s="17">
        <v>0</v>
      </c>
      <c r="GJ6" s="17">
        <v>0</v>
      </c>
      <c r="GK6" s="17">
        <v>0</v>
      </c>
      <c r="GL6" s="17">
        <v>0</v>
      </c>
      <c r="GM6" s="17">
        <v>0</v>
      </c>
      <c r="GN6" s="17">
        <v>0</v>
      </c>
      <c r="GO6" s="17">
        <v>0</v>
      </c>
      <c r="GP6" s="17">
        <v>0</v>
      </c>
      <c r="GQ6" s="17">
        <v>0</v>
      </c>
      <c r="GR6" s="17">
        <v>0</v>
      </c>
      <c r="GS6" s="17">
        <v>0</v>
      </c>
      <c r="GT6" s="17">
        <v>0</v>
      </c>
      <c r="GU6" s="17">
        <v>0</v>
      </c>
      <c r="GV6" s="17">
        <v>0</v>
      </c>
      <c r="GW6" s="17">
        <v>0</v>
      </c>
      <c r="GX6" s="17">
        <v>0</v>
      </c>
      <c r="GY6" s="17">
        <v>0</v>
      </c>
      <c r="GZ6" s="17">
        <v>0</v>
      </c>
      <c r="HA6" s="17">
        <v>0</v>
      </c>
      <c r="HB6" s="17">
        <v>0</v>
      </c>
      <c r="HC6" s="17">
        <v>0</v>
      </c>
      <c r="HD6" s="17">
        <v>0</v>
      </c>
      <c r="HE6" s="17">
        <v>0</v>
      </c>
      <c r="HF6" s="17">
        <v>0</v>
      </c>
      <c r="HG6" s="17">
        <v>0</v>
      </c>
      <c r="HH6" s="17">
        <v>0</v>
      </c>
    </row>
    <row r="7" spans="1:216" x14ac:dyDescent="0.25">
      <c r="A7" s="8">
        <v>3</v>
      </c>
      <c r="B7" s="8">
        <v>1</v>
      </c>
      <c r="C7" s="17">
        <v>0</v>
      </c>
      <c r="D7" s="17">
        <v>0</v>
      </c>
      <c r="E7" s="17">
        <v>0</v>
      </c>
      <c r="F7" s="17">
        <v>0</v>
      </c>
      <c r="G7" s="17">
        <v>0</v>
      </c>
      <c r="H7" s="17">
        <v>0</v>
      </c>
      <c r="I7" s="17">
        <v>0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7">
        <v>0</v>
      </c>
      <c r="R7" s="17">
        <v>0</v>
      </c>
      <c r="S7" s="17">
        <v>0</v>
      </c>
      <c r="T7" s="17">
        <v>0</v>
      </c>
      <c r="U7" s="17">
        <v>0</v>
      </c>
      <c r="V7" s="17">
        <v>0</v>
      </c>
      <c r="W7" s="17">
        <v>0</v>
      </c>
      <c r="X7" s="17">
        <v>0</v>
      </c>
      <c r="Y7" s="17">
        <v>0</v>
      </c>
      <c r="Z7" s="17">
        <v>0</v>
      </c>
      <c r="AA7" s="17">
        <v>0</v>
      </c>
      <c r="AB7" s="17">
        <v>0</v>
      </c>
      <c r="AC7" s="17">
        <v>0</v>
      </c>
      <c r="AD7" s="17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7">
        <v>0</v>
      </c>
      <c r="AP7" s="17">
        <v>0</v>
      </c>
      <c r="AQ7" s="17">
        <v>0</v>
      </c>
      <c r="AR7" s="17">
        <v>0</v>
      </c>
      <c r="AS7" s="17">
        <v>0</v>
      </c>
      <c r="AT7" s="17">
        <v>0</v>
      </c>
      <c r="AU7" s="17">
        <v>0</v>
      </c>
      <c r="AV7" s="17">
        <v>0</v>
      </c>
      <c r="AW7" s="17">
        <v>0</v>
      </c>
      <c r="AX7" s="17">
        <v>0</v>
      </c>
      <c r="AY7" s="17">
        <v>0</v>
      </c>
      <c r="AZ7" s="17">
        <v>0</v>
      </c>
      <c r="BA7" s="17">
        <v>0</v>
      </c>
      <c r="BB7" s="17">
        <v>0</v>
      </c>
      <c r="BC7" s="17">
        <v>0</v>
      </c>
      <c r="BD7" s="17">
        <v>0</v>
      </c>
      <c r="BE7" s="17">
        <v>0</v>
      </c>
      <c r="BF7" s="17">
        <v>0</v>
      </c>
      <c r="BG7" s="17">
        <v>0</v>
      </c>
      <c r="BH7" s="17">
        <v>0</v>
      </c>
      <c r="BI7" s="17">
        <v>0</v>
      </c>
      <c r="BJ7" s="17">
        <v>0</v>
      </c>
      <c r="BK7" s="17">
        <v>0</v>
      </c>
      <c r="BL7" s="17">
        <v>0</v>
      </c>
      <c r="BM7" s="17">
        <v>0</v>
      </c>
      <c r="BN7" s="17">
        <v>0</v>
      </c>
      <c r="BO7" s="17">
        <v>0</v>
      </c>
      <c r="BP7" s="17">
        <v>0</v>
      </c>
      <c r="BQ7" s="17">
        <v>0</v>
      </c>
      <c r="BR7" s="17">
        <v>0</v>
      </c>
      <c r="BS7" s="17">
        <v>0</v>
      </c>
      <c r="BT7" s="17">
        <v>0</v>
      </c>
      <c r="BU7" s="17">
        <v>0</v>
      </c>
      <c r="BV7" s="17">
        <v>0</v>
      </c>
      <c r="BW7" s="17">
        <v>0</v>
      </c>
      <c r="BX7" s="17">
        <v>0</v>
      </c>
      <c r="BY7" s="17">
        <v>0</v>
      </c>
      <c r="BZ7" s="17">
        <v>0</v>
      </c>
      <c r="CA7" s="17">
        <v>0</v>
      </c>
      <c r="CB7" s="17">
        <v>0</v>
      </c>
      <c r="CC7" s="17">
        <v>0</v>
      </c>
      <c r="CD7" s="17">
        <v>0</v>
      </c>
      <c r="CE7" s="17">
        <v>0</v>
      </c>
      <c r="CF7" s="17">
        <v>0</v>
      </c>
      <c r="CG7" s="17">
        <v>0</v>
      </c>
      <c r="CH7" s="17">
        <v>0</v>
      </c>
      <c r="CI7" s="17">
        <v>0</v>
      </c>
      <c r="CJ7" s="17">
        <v>0</v>
      </c>
      <c r="CK7" s="17">
        <v>0</v>
      </c>
      <c r="CL7" s="17">
        <v>0</v>
      </c>
      <c r="CM7" s="17">
        <v>0</v>
      </c>
      <c r="CN7" s="17">
        <v>0</v>
      </c>
      <c r="CO7" s="17">
        <v>0</v>
      </c>
      <c r="CP7" s="17">
        <v>0</v>
      </c>
      <c r="CQ7" s="17">
        <v>0</v>
      </c>
      <c r="CR7" s="17">
        <v>0</v>
      </c>
      <c r="CS7" s="17">
        <v>0</v>
      </c>
      <c r="CT7" s="17">
        <v>0</v>
      </c>
      <c r="CU7" s="17">
        <v>0</v>
      </c>
      <c r="CV7" s="17">
        <v>0</v>
      </c>
      <c r="CW7" s="17">
        <v>0</v>
      </c>
      <c r="CX7" s="17">
        <v>0</v>
      </c>
      <c r="CY7" s="17">
        <v>0</v>
      </c>
      <c r="CZ7" s="17">
        <v>0</v>
      </c>
      <c r="DA7" s="17">
        <v>0</v>
      </c>
      <c r="DB7" s="17">
        <v>0</v>
      </c>
      <c r="DC7" s="17">
        <v>0</v>
      </c>
      <c r="DD7" s="17">
        <v>0</v>
      </c>
      <c r="DE7" s="17">
        <v>0</v>
      </c>
      <c r="DF7" s="17">
        <v>0</v>
      </c>
      <c r="DG7" s="17">
        <v>0</v>
      </c>
      <c r="DH7" s="17">
        <v>0</v>
      </c>
      <c r="DI7" s="17">
        <v>0</v>
      </c>
      <c r="DJ7" s="17">
        <v>0</v>
      </c>
      <c r="DK7" s="17">
        <v>0</v>
      </c>
      <c r="DL7" s="17">
        <v>0</v>
      </c>
      <c r="DM7" s="17">
        <v>0</v>
      </c>
      <c r="DN7" s="17">
        <v>0</v>
      </c>
      <c r="DO7" s="17">
        <v>0</v>
      </c>
      <c r="DP7" s="17">
        <v>0</v>
      </c>
      <c r="DQ7" s="17">
        <v>0</v>
      </c>
      <c r="DR7" s="17">
        <v>0</v>
      </c>
      <c r="DS7" s="17">
        <v>0</v>
      </c>
      <c r="DT7" s="17">
        <v>0</v>
      </c>
      <c r="DU7" s="17">
        <v>0</v>
      </c>
      <c r="DV7" s="17">
        <v>0</v>
      </c>
      <c r="DW7" s="17">
        <v>0</v>
      </c>
      <c r="DX7" s="17">
        <v>0</v>
      </c>
      <c r="DY7" s="17">
        <v>0</v>
      </c>
      <c r="DZ7" s="17">
        <v>0</v>
      </c>
      <c r="EA7" s="17">
        <v>0</v>
      </c>
      <c r="EB7" s="17">
        <v>0</v>
      </c>
      <c r="EC7" s="17">
        <v>0</v>
      </c>
      <c r="ED7" s="17">
        <v>0</v>
      </c>
      <c r="EE7" s="17">
        <v>0</v>
      </c>
      <c r="EF7" s="17">
        <v>0</v>
      </c>
      <c r="EG7" s="17">
        <v>0</v>
      </c>
      <c r="EH7" s="17">
        <v>0</v>
      </c>
      <c r="EI7" s="17">
        <v>0</v>
      </c>
      <c r="EJ7" s="17">
        <v>0</v>
      </c>
      <c r="EK7" s="17">
        <v>0</v>
      </c>
      <c r="EL7" s="17">
        <v>0</v>
      </c>
      <c r="EM7" s="17">
        <v>0</v>
      </c>
      <c r="EN7" s="17">
        <v>0</v>
      </c>
      <c r="EO7" s="17">
        <v>0</v>
      </c>
      <c r="EP7" s="17">
        <v>0</v>
      </c>
      <c r="EQ7" s="17">
        <v>0</v>
      </c>
      <c r="ER7" s="17">
        <v>0</v>
      </c>
      <c r="ES7" s="17">
        <v>0</v>
      </c>
      <c r="ET7" s="17">
        <v>0</v>
      </c>
      <c r="EU7" s="17">
        <v>0</v>
      </c>
      <c r="EV7" s="17">
        <v>0</v>
      </c>
      <c r="EW7" s="17">
        <v>0</v>
      </c>
      <c r="EX7" s="17">
        <v>0</v>
      </c>
      <c r="EY7" s="17">
        <v>0</v>
      </c>
      <c r="EZ7" s="17">
        <v>0</v>
      </c>
      <c r="FA7" s="17">
        <v>0</v>
      </c>
      <c r="FB7" s="17">
        <v>0</v>
      </c>
      <c r="FC7" s="17">
        <v>0</v>
      </c>
      <c r="FD7" s="17">
        <v>0</v>
      </c>
      <c r="FE7" s="17">
        <v>0</v>
      </c>
      <c r="FF7" s="17">
        <v>0</v>
      </c>
      <c r="FG7" s="17">
        <v>0</v>
      </c>
      <c r="FH7" s="17">
        <v>0</v>
      </c>
      <c r="FI7" s="17">
        <v>0</v>
      </c>
      <c r="FJ7" s="17">
        <v>0</v>
      </c>
      <c r="FK7" s="17">
        <v>0</v>
      </c>
      <c r="FL7" s="17">
        <v>0</v>
      </c>
      <c r="FM7" s="17">
        <v>0</v>
      </c>
      <c r="FN7" s="17">
        <v>0</v>
      </c>
      <c r="FO7" s="17">
        <v>0</v>
      </c>
      <c r="FP7" s="17">
        <v>0</v>
      </c>
      <c r="FQ7" s="17">
        <v>0</v>
      </c>
      <c r="FR7" s="17">
        <v>0</v>
      </c>
      <c r="FS7" s="17">
        <v>0</v>
      </c>
      <c r="FT7" s="17">
        <v>0</v>
      </c>
      <c r="FU7" s="17">
        <v>0</v>
      </c>
      <c r="FV7" s="17">
        <v>0</v>
      </c>
      <c r="FW7" s="17">
        <v>0</v>
      </c>
      <c r="FX7" s="17">
        <v>0</v>
      </c>
      <c r="FY7" s="17">
        <v>0</v>
      </c>
      <c r="FZ7" s="17">
        <v>0</v>
      </c>
      <c r="GA7" s="17">
        <v>0</v>
      </c>
      <c r="GB7" s="17">
        <v>0</v>
      </c>
      <c r="GC7" s="17">
        <v>0</v>
      </c>
      <c r="GD7" s="17">
        <v>0</v>
      </c>
      <c r="GE7" s="17">
        <v>0</v>
      </c>
      <c r="GF7" s="17">
        <v>0</v>
      </c>
      <c r="GG7" s="17">
        <v>0</v>
      </c>
      <c r="GH7" s="17">
        <v>0</v>
      </c>
      <c r="GI7" s="17">
        <v>0</v>
      </c>
      <c r="GJ7" s="17">
        <v>0</v>
      </c>
      <c r="GK7" s="17">
        <v>0</v>
      </c>
      <c r="GL7" s="17">
        <v>0</v>
      </c>
      <c r="GM7" s="17">
        <v>0</v>
      </c>
      <c r="GN7" s="17">
        <v>0</v>
      </c>
      <c r="GO7" s="17">
        <v>0</v>
      </c>
      <c r="GP7" s="17">
        <v>0</v>
      </c>
      <c r="GQ7" s="17">
        <v>0</v>
      </c>
      <c r="GR7" s="17">
        <v>0</v>
      </c>
      <c r="GS7" s="17">
        <v>0</v>
      </c>
      <c r="GT7" s="17">
        <v>0</v>
      </c>
      <c r="GU7" s="17">
        <v>0</v>
      </c>
      <c r="GV7" s="17">
        <v>0</v>
      </c>
      <c r="GW7" s="17">
        <v>0</v>
      </c>
      <c r="GX7" s="17">
        <v>0</v>
      </c>
      <c r="GY7" s="17">
        <v>0</v>
      </c>
      <c r="GZ7" s="17">
        <v>0</v>
      </c>
      <c r="HA7" s="17">
        <v>0</v>
      </c>
      <c r="HB7" s="17">
        <v>0</v>
      </c>
      <c r="HC7" s="17">
        <v>0</v>
      </c>
      <c r="HD7" s="17">
        <v>0</v>
      </c>
      <c r="HE7" s="17">
        <v>0</v>
      </c>
      <c r="HF7" s="17">
        <v>0</v>
      </c>
      <c r="HG7" s="17">
        <v>0</v>
      </c>
      <c r="HH7" s="17">
        <v>0</v>
      </c>
    </row>
    <row r="8" spans="1:216" x14ac:dyDescent="0.25">
      <c r="A8" s="8">
        <v>4</v>
      </c>
      <c r="B8" s="8">
        <v>1.5</v>
      </c>
      <c r="C8" s="17">
        <v>0</v>
      </c>
      <c r="D8" s="17">
        <v>0</v>
      </c>
      <c r="E8" s="17">
        <v>0</v>
      </c>
      <c r="F8" s="17">
        <v>0</v>
      </c>
      <c r="G8" s="17">
        <v>0</v>
      </c>
      <c r="H8" s="17">
        <v>0</v>
      </c>
      <c r="I8" s="17">
        <v>0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7">
        <v>0</v>
      </c>
      <c r="R8" s="17">
        <v>0</v>
      </c>
      <c r="S8" s="17">
        <v>0</v>
      </c>
      <c r="T8" s="17">
        <v>0</v>
      </c>
      <c r="U8" s="17">
        <v>0</v>
      </c>
      <c r="V8" s="17">
        <v>0</v>
      </c>
      <c r="W8" s="17">
        <v>0</v>
      </c>
      <c r="X8" s="17">
        <v>0</v>
      </c>
      <c r="Y8" s="17">
        <v>0</v>
      </c>
      <c r="Z8" s="17">
        <v>0</v>
      </c>
      <c r="AA8" s="17">
        <v>0</v>
      </c>
      <c r="AB8" s="17">
        <v>0</v>
      </c>
      <c r="AC8" s="17">
        <v>0</v>
      </c>
      <c r="AD8" s="17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7">
        <v>0</v>
      </c>
      <c r="AP8" s="17">
        <v>0</v>
      </c>
      <c r="AQ8" s="17">
        <v>0</v>
      </c>
      <c r="AR8" s="17">
        <v>0</v>
      </c>
      <c r="AS8" s="17">
        <v>0</v>
      </c>
      <c r="AT8" s="17">
        <v>0</v>
      </c>
      <c r="AU8" s="17">
        <v>0</v>
      </c>
      <c r="AV8" s="17">
        <v>0</v>
      </c>
      <c r="AW8" s="17">
        <v>0</v>
      </c>
      <c r="AX8" s="17">
        <v>0</v>
      </c>
      <c r="AY8" s="17">
        <v>0</v>
      </c>
      <c r="AZ8" s="17">
        <v>0</v>
      </c>
      <c r="BA8" s="17">
        <v>0</v>
      </c>
      <c r="BB8" s="17">
        <v>0</v>
      </c>
      <c r="BC8" s="17">
        <v>0</v>
      </c>
      <c r="BD8" s="17">
        <v>0</v>
      </c>
      <c r="BE8" s="17">
        <v>0</v>
      </c>
      <c r="BF8" s="17">
        <v>0</v>
      </c>
      <c r="BG8" s="17">
        <v>0</v>
      </c>
      <c r="BH8" s="17">
        <v>0</v>
      </c>
      <c r="BI8" s="17">
        <v>0</v>
      </c>
      <c r="BJ8" s="17">
        <v>0</v>
      </c>
      <c r="BK8" s="17">
        <v>0</v>
      </c>
      <c r="BL8" s="17">
        <v>0</v>
      </c>
      <c r="BM8" s="17">
        <v>0</v>
      </c>
      <c r="BN8" s="17">
        <v>0</v>
      </c>
      <c r="BO8" s="17">
        <v>0</v>
      </c>
      <c r="BP8" s="17">
        <v>0</v>
      </c>
      <c r="BQ8" s="17">
        <v>0</v>
      </c>
      <c r="BR8" s="17">
        <v>0</v>
      </c>
      <c r="BS8" s="17">
        <v>0</v>
      </c>
      <c r="BT8" s="17">
        <v>0</v>
      </c>
      <c r="BU8" s="17">
        <v>0</v>
      </c>
      <c r="BV8" s="17">
        <v>0</v>
      </c>
      <c r="BW8" s="17">
        <v>0</v>
      </c>
      <c r="BX8" s="17">
        <v>0</v>
      </c>
      <c r="BY8" s="17">
        <v>0</v>
      </c>
      <c r="BZ8" s="17">
        <v>0</v>
      </c>
      <c r="CA8" s="17">
        <v>0</v>
      </c>
      <c r="CB8" s="17">
        <v>0</v>
      </c>
      <c r="CC8" s="17">
        <v>0</v>
      </c>
      <c r="CD8" s="17">
        <v>0</v>
      </c>
      <c r="CE8" s="17">
        <v>0</v>
      </c>
      <c r="CF8" s="17">
        <v>0</v>
      </c>
      <c r="CG8" s="17">
        <v>0</v>
      </c>
      <c r="CH8" s="17">
        <v>0</v>
      </c>
      <c r="CI8" s="17">
        <v>0</v>
      </c>
      <c r="CJ8" s="17">
        <v>0</v>
      </c>
      <c r="CK8" s="17">
        <v>0</v>
      </c>
      <c r="CL8" s="17">
        <v>0</v>
      </c>
      <c r="CM8" s="17">
        <v>0</v>
      </c>
      <c r="CN8" s="17">
        <v>0</v>
      </c>
      <c r="CO8" s="17">
        <v>0</v>
      </c>
      <c r="CP8" s="17">
        <v>0</v>
      </c>
      <c r="CQ8" s="17">
        <v>0</v>
      </c>
      <c r="CR8" s="17">
        <v>0</v>
      </c>
      <c r="CS8" s="17">
        <v>0</v>
      </c>
      <c r="CT8" s="17">
        <v>0</v>
      </c>
      <c r="CU8" s="17">
        <v>0</v>
      </c>
      <c r="CV8" s="17">
        <v>0</v>
      </c>
      <c r="CW8" s="17">
        <v>0</v>
      </c>
      <c r="CX8" s="17">
        <v>0</v>
      </c>
      <c r="CY8" s="17">
        <v>0</v>
      </c>
      <c r="CZ8" s="17">
        <v>0</v>
      </c>
      <c r="DA8" s="17">
        <v>0</v>
      </c>
      <c r="DB8" s="17">
        <v>0</v>
      </c>
      <c r="DC8" s="17">
        <v>0</v>
      </c>
      <c r="DD8" s="17">
        <v>0</v>
      </c>
      <c r="DE8" s="17">
        <v>0</v>
      </c>
      <c r="DF8" s="17">
        <v>0</v>
      </c>
      <c r="DG8" s="17">
        <v>0</v>
      </c>
      <c r="DH8" s="17">
        <v>0</v>
      </c>
      <c r="DI8" s="17">
        <v>0</v>
      </c>
      <c r="DJ8" s="17">
        <v>0</v>
      </c>
      <c r="DK8" s="17">
        <v>0</v>
      </c>
      <c r="DL8" s="17">
        <v>0</v>
      </c>
      <c r="DM8" s="17">
        <v>0</v>
      </c>
      <c r="DN8" s="17">
        <v>0</v>
      </c>
      <c r="DO8" s="17">
        <v>0</v>
      </c>
      <c r="DP8" s="17">
        <v>0</v>
      </c>
      <c r="DQ8" s="17">
        <v>0</v>
      </c>
      <c r="DR8" s="17">
        <v>0</v>
      </c>
      <c r="DS8" s="17">
        <v>0</v>
      </c>
      <c r="DT8" s="17">
        <v>0</v>
      </c>
      <c r="DU8" s="17">
        <v>0</v>
      </c>
      <c r="DV8" s="17">
        <v>0</v>
      </c>
      <c r="DW8" s="17">
        <v>0</v>
      </c>
      <c r="DX8" s="17">
        <v>0</v>
      </c>
      <c r="DY8" s="17">
        <v>0</v>
      </c>
      <c r="DZ8" s="17">
        <v>0</v>
      </c>
      <c r="EA8" s="17">
        <v>0</v>
      </c>
      <c r="EB8" s="17">
        <v>0</v>
      </c>
      <c r="EC8" s="17">
        <v>0</v>
      </c>
      <c r="ED8" s="17">
        <v>0</v>
      </c>
      <c r="EE8" s="17">
        <v>0</v>
      </c>
      <c r="EF8" s="17">
        <v>0</v>
      </c>
      <c r="EG8" s="17">
        <v>0</v>
      </c>
      <c r="EH8" s="17">
        <v>0</v>
      </c>
      <c r="EI8" s="17">
        <v>0</v>
      </c>
      <c r="EJ8" s="17">
        <v>0</v>
      </c>
      <c r="EK8" s="17">
        <v>0</v>
      </c>
      <c r="EL8" s="17">
        <v>0</v>
      </c>
      <c r="EM8" s="17">
        <v>0</v>
      </c>
      <c r="EN8" s="17">
        <v>0</v>
      </c>
      <c r="EO8" s="17">
        <v>0</v>
      </c>
      <c r="EP8" s="17">
        <v>0</v>
      </c>
      <c r="EQ8" s="17">
        <v>0</v>
      </c>
      <c r="ER8" s="17">
        <v>0</v>
      </c>
      <c r="ES8" s="17">
        <v>0</v>
      </c>
      <c r="ET8" s="17">
        <v>0</v>
      </c>
      <c r="EU8" s="17">
        <v>0</v>
      </c>
      <c r="EV8" s="17">
        <v>0</v>
      </c>
      <c r="EW8" s="17">
        <v>0</v>
      </c>
      <c r="EX8" s="17">
        <v>0</v>
      </c>
      <c r="EY8" s="17">
        <v>0</v>
      </c>
      <c r="EZ8" s="17">
        <v>0</v>
      </c>
      <c r="FA8" s="17">
        <v>0</v>
      </c>
      <c r="FB8" s="17">
        <v>0</v>
      </c>
      <c r="FC8" s="17">
        <v>0</v>
      </c>
      <c r="FD8" s="17">
        <v>0</v>
      </c>
      <c r="FE8" s="17">
        <v>0</v>
      </c>
      <c r="FF8" s="17">
        <v>0</v>
      </c>
      <c r="FG8" s="17">
        <v>0</v>
      </c>
      <c r="FH8" s="17">
        <v>0</v>
      </c>
      <c r="FI8" s="17">
        <v>0</v>
      </c>
      <c r="FJ8" s="17">
        <v>0</v>
      </c>
      <c r="FK8" s="17">
        <v>0</v>
      </c>
      <c r="FL8" s="17">
        <v>0</v>
      </c>
      <c r="FM8" s="17">
        <v>0</v>
      </c>
      <c r="FN8" s="17">
        <v>0</v>
      </c>
      <c r="FO8" s="17">
        <v>0</v>
      </c>
      <c r="FP8" s="17">
        <v>0</v>
      </c>
      <c r="FQ8" s="17">
        <v>0</v>
      </c>
      <c r="FR8" s="17">
        <v>0</v>
      </c>
      <c r="FS8" s="17">
        <v>0</v>
      </c>
      <c r="FT8" s="17">
        <v>0</v>
      </c>
      <c r="FU8" s="17">
        <v>0</v>
      </c>
      <c r="FV8" s="17">
        <v>0</v>
      </c>
      <c r="FW8" s="17">
        <v>0</v>
      </c>
      <c r="FX8" s="17">
        <v>0</v>
      </c>
      <c r="FY8" s="17">
        <v>0</v>
      </c>
      <c r="FZ8" s="17">
        <v>0</v>
      </c>
      <c r="GA8" s="17">
        <v>0</v>
      </c>
      <c r="GB8" s="17">
        <v>0</v>
      </c>
      <c r="GC8" s="17">
        <v>0</v>
      </c>
      <c r="GD8" s="17">
        <v>0</v>
      </c>
      <c r="GE8" s="17">
        <v>0</v>
      </c>
      <c r="GF8" s="17">
        <v>0</v>
      </c>
      <c r="GG8" s="17">
        <v>0</v>
      </c>
      <c r="GH8" s="17">
        <v>0</v>
      </c>
      <c r="GI8" s="17">
        <v>0</v>
      </c>
      <c r="GJ8" s="17">
        <v>0</v>
      </c>
      <c r="GK8" s="17">
        <v>0</v>
      </c>
      <c r="GL8" s="17">
        <v>0</v>
      </c>
      <c r="GM8" s="17">
        <v>0</v>
      </c>
      <c r="GN8" s="17">
        <v>0</v>
      </c>
      <c r="GO8" s="17">
        <v>0</v>
      </c>
      <c r="GP8" s="17">
        <v>0</v>
      </c>
      <c r="GQ8" s="17">
        <v>0</v>
      </c>
      <c r="GR8" s="17">
        <v>0</v>
      </c>
      <c r="GS8" s="17">
        <v>0</v>
      </c>
      <c r="GT8" s="17">
        <v>0</v>
      </c>
      <c r="GU8" s="17">
        <v>0</v>
      </c>
      <c r="GV8" s="17">
        <v>0</v>
      </c>
      <c r="GW8" s="17">
        <v>0</v>
      </c>
      <c r="GX8" s="17">
        <v>0</v>
      </c>
      <c r="GY8" s="17">
        <v>0</v>
      </c>
      <c r="GZ8" s="17">
        <v>0</v>
      </c>
      <c r="HA8" s="17">
        <v>0</v>
      </c>
      <c r="HB8" s="17">
        <v>0</v>
      </c>
      <c r="HC8" s="17">
        <v>0</v>
      </c>
      <c r="HD8" s="17">
        <v>0</v>
      </c>
      <c r="HE8" s="17">
        <v>0</v>
      </c>
      <c r="HF8" s="17">
        <v>0</v>
      </c>
      <c r="HG8" s="17">
        <v>0</v>
      </c>
      <c r="HH8" s="17">
        <v>0</v>
      </c>
    </row>
    <row r="9" spans="1:216" x14ac:dyDescent="0.25">
      <c r="A9" s="8">
        <v>5</v>
      </c>
      <c r="B9" s="8">
        <v>2</v>
      </c>
      <c r="C9" s="17">
        <v>0</v>
      </c>
      <c r="D9" s="17">
        <v>0</v>
      </c>
      <c r="E9" s="17">
        <v>0</v>
      </c>
      <c r="F9" s="17">
        <v>0</v>
      </c>
      <c r="G9" s="17">
        <v>0</v>
      </c>
      <c r="H9" s="17">
        <v>0</v>
      </c>
      <c r="I9" s="17">
        <v>0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7">
        <v>0</v>
      </c>
      <c r="R9" s="17">
        <v>0</v>
      </c>
      <c r="S9" s="17">
        <v>0</v>
      </c>
      <c r="T9" s="17">
        <v>0</v>
      </c>
      <c r="U9" s="17">
        <v>0</v>
      </c>
      <c r="V9" s="17">
        <v>0</v>
      </c>
      <c r="W9" s="17">
        <v>0</v>
      </c>
      <c r="X9" s="17">
        <v>0</v>
      </c>
      <c r="Y9" s="17">
        <v>0</v>
      </c>
      <c r="Z9" s="17">
        <v>0</v>
      </c>
      <c r="AA9" s="17">
        <v>0</v>
      </c>
      <c r="AB9" s="17">
        <v>0</v>
      </c>
      <c r="AC9" s="17">
        <v>0</v>
      </c>
      <c r="AD9" s="17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7">
        <v>0</v>
      </c>
      <c r="AP9" s="17">
        <v>0</v>
      </c>
      <c r="AQ9" s="17">
        <v>0</v>
      </c>
      <c r="AR9" s="17">
        <v>0</v>
      </c>
      <c r="AS9" s="17">
        <v>0</v>
      </c>
      <c r="AT9" s="17">
        <v>0</v>
      </c>
      <c r="AU9" s="17">
        <v>0</v>
      </c>
      <c r="AV9" s="17">
        <v>0</v>
      </c>
      <c r="AW9" s="17">
        <v>0</v>
      </c>
      <c r="AX9" s="17">
        <v>0</v>
      </c>
      <c r="AY9" s="17">
        <v>0</v>
      </c>
      <c r="AZ9" s="17">
        <v>0</v>
      </c>
      <c r="BA9" s="17">
        <v>0</v>
      </c>
      <c r="BB9" s="17">
        <v>0</v>
      </c>
      <c r="BC9" s="17">
        <v>0</v>
      </c>
      <c r="BD9" s="17">
        <v>0</v>
      </c>
      <c r="BE9" s="17">
        <v>0</v>
      </c>
      <c r="BF9" s="17">
        <v>0</v>
      </c>
      <c r="BG9" s="17">
        <v>0</v>
      </c>
      <c r="BH9" s="17">
        <v>0</v>
      </c>
      <c r="BI9" s="17">
        <v>0</v>
      </c>
      <c r="BJ9" s="17">
        <v>0</v>
      </c>
      <c r="BK9" s="17">
        <v>0</v>
      </c>
      <c r="BL9" s="17">
        <v>0</v>
      </c>
      <c r="BM9" s="17">
        <v>0</v>
      </c>
      <c r="BN9" s="17">
        <v>0</v>
      </c>
      <c r="BO9" s="17">
        <v>0</v>
      </c>
      <c r="BP9" s="17">
        <v>0</v>
      </c>
      <c r="BQ9" s="17">
        <v>0</v>
      </c>
      <c r="BR9" s="17">
        <v>0</v>
      </c>
      <c r="BS9" s="17">
        <v>0</v>
      </c>
      <c r="BT9" s="17">
        <v>0</v>
      </c>
      <c r="BU9" s="17">
        <v>0</v>
      </c>
      <c r="BV9" s="17">
        <v>0</v>
      </c>
      <c r="BW9" s="17">
        <v>0</v>
      </c>
      <c r="BX9" s="17">
        <v>0</v>
      </c>
      <c r="BY9" s="17">
        <v>0</v>
      </c>
      <c r="BZ9" s="17">
        <v>0</v>
      </c>
      <c r="CA9" s="17">
        <v>0</v>
      </c>
      <c r="CB9" s="17">
        <v>0</v>
      </c>
      <c r="CC9" s="17">
        <v>0</v>
      </c>
      <c r="CD9" s="17">
        <v>0</v>
      </c>
      <c r="CE9" s="17">
        <v>0</v>
      </c>
      <c r="CF9" s="17">
        <v>0</v>
      </c>
      <c r="CG9" s="17">
        <v>0</v>
      </c>
      <c r="CH9" s="17">
        <v>0</v>
      </c>
      <c r="CI9" s="17">
        <v>0</v>
      </c>
      <c r="CJ9" s="17">
        <v>0</v>
      </c>
      <c r="CK9" s="17">
        <v>0</v>
      </c>
      <c r="CL9" s="17">
        <v>0</v>
      </c>
      <c r="CM9" s="17">
        <v>0</v>
      </c>
      <c r="CN9" s="17">
        <v>0</v>
      </c>
      <c r="CO9" s="17">
        <v>0</v>
      </c>
      <c r="CP9" s="17">
        <v>0</v>
      </c>
      <c r="CQ9" s="17">
        <v>0</v>
      </c>
      <c r="CR9" s="17">
        <v>0</v>
      </c>
      <c r="CS9" s="17">
        <v>0</v>
      </c>
      <c r="CT9" s="17">
        <v>0</v>
      </c>
      <c r="CU9" s="17">
        <v>0</v>
      </c>
      <c r="CV9" s="17">
        <v>0</v>
      </c>
      <c r="CW9" s="17">
        <v>0</v>
      </c>
      <c r="CX9" s="17">
        <v>0</v>
      </c>
      <c r="CY9" s="17">
        <v>0</v>
      </c>
      <c r="CZ9" s="17">
        <v>0</v>
      </c>
      <c r="DA9" s="17">
        <v>0</v>
      </c>
      <c r="DB9" s="17">
        <v>0</v>
      </c>
      <c r="DC9" s="17">
        <v>0</v>
      </c>
      <c r="DD9" s="17">
        <v>0</v>
      </c>
      <c r="DE9" s="17">
        <v>0</v>
      </c>
      <c r="DF9" s="17">
        <v>0</v>
      </c>
      <c r="DG9" s="17">
        <v>0</v>
      </c>
      <c r="DH9" s="17">
        <v>0</v>
      </c>
      <c r="DI9" s="17">
        <v>0</v>
      </c>
      <c r="DJ9" s="17">
        <v>0</v>
      </c>
      <c r="DK9" s="17">
        <v>0</v>
      </c>
      <c r="DL9" s="17">
        <v>0</v>
      </c>
      <c r="DM9" s="17">
        <v>0</v>
      </c>
      <c r="DN9" s="17">
        <v>0</v>
      </c>
      <c r="DO9" s="17">
        <v>0</v>
      </c>
      <c r="DP9" s="17">
        <v>0</v>
      </c>
      <c r="DQ9" s="17">
        <v>0</v>
      </c>
      <c r="DR9" s="17">
        <v>0</v>
      </c>
      <c r="DS9" s="17">
        <v>0</v>
      </c>
      <c r="DT9" s="17">
        <v>0</v>
      </c>
      <c r="DU9" s="17">
        <v>0</v>
      </c>
      <c r="DV9" s="17">
        <v>0</v>
      </c>
      <c r="DW9" s="17">
        <v>0</v>
      </c>
      <c r="DX9" s="17">
        <v>0</v>
      </c>
      <c r="DY9" s="17">
        <v>0</v>
      </c>
      <c r="DZ9" s="17">
        <v>0</v>
      </c>
      <c r="EA9" s="17">
        <v>0</v>
      </c>
      <c r="EB9" s="17">
        <v>0</v>
      </c>
      <c r="EC9" s="17">
        <v>0</v>
      </c>
      <c r="ED9" s="17">
        <v>0</v>
      </c>
      <c r="EE9" s="17">
        <v>0</v>
      </c>
      <c r="EF9" s="17">
        <v>0</v>
      </c>
      <c r="EG9" s="17">
        <v>0</v>
      </c>
      <c r="EH9" s="17">
        <v>0</v>
      </c>
      <c r="EI9" s="17">
        <v>0</v>
      </c>
      <c r="EJ9" s="17">
        <v>0</v>
      </c>
      <c r="EK9" s="17">
        <v>0</v>
      </c>
      <c r="EL9" s="17">
        <v>0</v>
      </c>
      <c r="EM9" s="17">
        <v>0</v>
      </c>
      <c r="EN9" s="17">
        <v>0</v>
      </c>
      <c r="EO9" s="17">
        <v>0</v>
      </c>
      <c r="EP9" s="17">
        <v>0</v>
      </c>
      <c r="EQ9" s="17">
        <v>0</v>
      </c>
      <c r="ER9" s="17">
        <v>0</v>
      </c>
      <c r="ES9" s="17">
        <v>0</v>
      </c>
      <c r="ET9" s="17">
        <v>0</v>
      </c>
      <c r="EU9" s="17">
        <v>0</v>
      </c>
      <c r="EV9" s="17">
        <v>0</v>
      </c>
      <c r="EW9" s="17">
        <v>0</v>
      </c>
      <c r="EX9" s="17">
        <v>0</v>
      </c>
      <c r="EY9" s="17">
        <v>0</v>
      </c>
      <c r="EZ9" s="17">
        <v>0</v>
      </c>
      <c r="FA9" s="17">
        <v>0</v>
      </c>
      <c r="FB9" s="17">
        <v>0</v>
      </c>
      <c r="FC9" s="17">
        <v>0</v>
      </c>
      <c r="FD9" s="17">
        <v>0</v>
      </c>
      <c r="FE9" s="17">
        <v>0</v>
      </c>
      <c r="FF9" s="17">
        <v>0</v>
      </c>
      <c r="FG9" s="17">
        <v>0</v>
      </c>
      <c r="FH9" s="17">
        <v>0</v>
      </c>
      <c r="FI9" s="17">
        <v>0</v>
      </c>
      <c r="FJ9" s="17">
        <v>0</v>
      </c>
      <c r="FK9" s="17">
        <v>0</v>
      </c>
      <c r="FL9" s="17">
        <v>0</v>
      </c>
      <c r="FM9" s="17">
        <v>0</v>
      </c>
      <c r="FN9" s="17">
        <v>0</v>
      </c>
      <c r="FO9" s="17">
        <v>0</v>
      </c>
      <c r="FP9" s="17">
        <v>0</v>
      </c>
      <c r="FQ9" s="17">
        <v>0</v>
      </c>
      <c r="FR9" s="17">
        <v>0</v>
      </c>
      <c r="FS9" s="17">
        <v>0</v>
      </c>
      <c r="FT9" s="17">
        <v>0</v>
      </c>
      <c r="FU9" s="17">
        <v>0</v>
      </c>
      <c r="FV9" s="17">
        <v>0</v>
      </c>
      <c r="FW9" s="17">
        <v>0</v>
      </c>
      <c r="FX9" s="17">
        <v>0</v>
      </c>
      <c r="FY9" s="17">
        <v>0</v>
      </c>
      <c r="FZ9" s="17">
        <v>0</v>
      </c>
      <c r="GA9" s="17">
        <v>0</v>
      </c>
      <c r="GB9" s="17">
        <v>0</v>
      </c>
      <c r="GC9" s="17">
        <v>0</v>
      </c>
      <c r="GD9" s="17">
        <v>0</v>
      </c>
      <c r="GE9" s="17">
        <v>0</v>
      </c>
      <c r="GF9" s="17">
        <v>0</v>
      </c>
      <c r="GG9" s="17">
        <v>0</v>
      </c>
      <c r="GH9" s="17">
        <v>0</v>
      </c>
      <c r="GI9" s="17">
        <v>0</v>
      </c>
      <c r="GJ9" s="17">
        <v>0</v>
      </c>
      <c r="GK9" s="17">
        <v>0</v>
      </c>
      <c r="GL9" s="17">
        <v>0</v>
      </c>
      <c r="GM9" s="17">
        <v>0</v>
      </c>
      <c r="GN9" s="17">
        <v>0</v>
      </c>
      <c r="GO9" s="17">
        <v>0</v>
      </c>
      <c r="GP9" s="17">
        <v>0</v>
      </c>
      <c r="GQ9" s="17">
        <v>0</v>
      </c>
      <c r="GR9" s="17">
        <v>0</v>
      </c>
      <c r="GS9" s="17">
        <v>0</v>
      </c>
      <c r="GT9" s="17">
        <v>0</v>
      </c>
      <c r="GU9" s="17">
        <v>0</v>
      </c>
      <c r="GV9" s="17">
        <v>0</v>
      </c>
      <c r="GW9" s="17">
        <v>0</v>
      </c>
      <c r="GX9" s="17">
        <v>0</v>
      </c>
      <c r="GY9" s="17">
        <v>0</v>
      </c>
      <c r="GZ9" s="17">
        <v>0</v>
      </c>
      <c r="HA9" s="17">
        <v>0</v>
      </c>
      <c r="HB9" s="17">
        <v>0</v>
      </c>
      <c r="HC9" s="17">
        <v>0</v>
      </c>
      <c r="HD9" s="17">
        <v>0</v>
      </c>
      <c r="HE9" s="17">
        <v>0</v>
      </c>
      <c r="HF9" s="17">
        <v>0</v>
      </c>
      <c r="HG9" s="17">
        <v>0</v>
      </c>
      <c r="HH9" s="17">
        <v>0</v>
      </c>
    </row>
    <row r="10" spans="1:216" x14ac:dyDescent="0.25">
      <c r="A10" s="8">
        <v>6</v>
      </c>
      <c r="B10" s="8">
        <v>2.5</v>
      </c>
      <c r="C10" s="17">
        <v>0</v>
      </c>
      <c r="D10" s="17">
        <v>0</v>
      </c>
      <c r="E10" s="17">
        <v>0</v>
      </c>
      <c r="F10" s="17">
        <v>0</v>
      </c>
      <c r="G10" s="17">
        <v>0</v>
      </c>
      <c r="H10" s="17">
        <v>0</v>
      </c>
      <c r="I10" s="17">
        <v>0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0</v>
      </c>
      <c r="Q10" s="17">
        <v>0</v>
      </c>
      <c r="R10" s="17">
        <v>0</v>
      </c>
      <c r="S10" s="17">
        <v>0</v>
      </c>
      <c r="T10" s="17">
        <v>0</v>
      </c>
      <c r="U10" s="17">
        <v>0</v>
      </c>
      <c r="V10" s="17">
        <v>0</v>
      </c>
      <c r="W10" s="17">
        <v>0</v>
      </c>
      <c r="X10" s="17">
        <v>0</v>
      </c>
      <c r="Y10" s="17">
        <v>0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7">
        <v>0</v>
      </c>
      <c r="AP10" s="17">
        <v>0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7">
        <v>0</v>
      </c>
      <c r="AX10" s="17">
        <v>0</v>
      </c>
      <c r="AY10" s="17">
        <v>0</v>
      </c>
      <c r="AZ10" s="17">
        <v>0</v>
      </c>
      <c r="BA10" s="17">
        <v>0</v>
      </c>
      <c r="BB10" s="17">
        <v>0</v>
      </c>
      <c r="BC10" s="17">
        <v>0</v>
      </c>
      <c r="BD10" s="17">
        <v>0</v>
      </c>
      <c r="BE10" s="17">
        <v>0</v>
      </c>
      <c r="BF10" s="17">
        <v>0</v>
      </c>
      <c r="BG10" s="17">
        <v>0</v>
      </c>
      <c r="BH10" s="17">
        <v>0</v>
      </c>
      <c r="BI10" s="17">
        <v>0</v>
      </c>
      <c r="BJ10" s="17">
        <v>0</v>
      </c>
      <c r="BK10" s="17">
        <v>0</v>
      </c>
      <c r="BL10" s="17">
        <v>0</v>
      </c>
      <c r="BM10" s="17">
        <v>0</v>
      </c>
      <c r="BN10" s="17">
        <v>0</v>
      </c>
      <c r="BO10" s="17">
        <v>0</v>
      </c>
      <c r="BP10" s="17">
        <v>0</v>
      </c>
      <c r="BQ10" s="17">
        <v>0</v>
      </c>
      <c r="BR10" s="17">
        <v>0</v>
      </c>
      <c r="BS10" s="17">
        <v>0</v>
      </c>
      <c r="BT10" s="17">
        <v>0</v>
      </c>
      <c r="BU10" s="17">
        <v>0</v>
      </c>
      <c r="BV10" s="17">
        <v>0</v>
      </c>
      <c r="BW10" s="17">
        <v>0</v>
      </c>
      <c r="BX10" s="17">
        <v>0</v>
      </c>
      <c r="BY10" s="17">
        <v>0</v>
      </c>
      <c r="BZ10" s="17">
        <v>0</v>
      </c>
      <c r="CA10" s="17">
        <v>0</v>
      </c>
      <c r="CB10" s="17">
        <v>0</v>
      </c>
      <c r="CC10" s="17">
        <v>0</v>
      </c>
      <c r="CD10" s="17">
        <v>0</v>
      </c>
      <c r="CE10" s="17">
        <v>0</v>
      </c>
      <c r="CF10" s="17">
        <v>0</v>
      </c>
      <c r="CG10" s="17">
        <v>0</v>
      </c>
      <c r="CH10" s="17">
        <v>0</v>
      </c>
      <c r="CI10" s="17">
        <v>0</v>
      </c>
      <c r="CJ10" s="17">
        <v>0</v>
      </c>
      <c r="CK10" s="17">
        <v>0</v>
      </c>
      <c r="CL10" s="17">
        <v>0</v>
      </c>
      <c r="CM10" s="17">
        <v>0</v>
      </c>
      <c r="CN10" s="17">
        <v>0</v>
      </c>
      <c r="CO10" s="17">
        <v>0</v>
      </c>
      <c r="CP10" s="17">
        <v>0</v>
      </c>
      <c r="CQ10" s="17">
        <v>0</v>
      </c>
      <c r="CR10" s="17">
        <v>0</v>
      </c>
      <c r="CS10" s="17">
        <v>0</v>
      </c>
      <c r="CT10" s="17">
        <v>0</v>
      </c>
      <c r="CU10" s="17">
        <v>0</v>
      </c>
      <c r="CV10" s="17">
        <v>0</v>
      </c>
      <c r="CW10" s="17">
        <v>0</v>
      </c>
      <c r="CX10" s="17">
        <v>0</v>
      </c>
      <c r="CY10" s="17">
        <v>0</v>
      </c>
      <c r="CZ10" s="17">
        <v>0</v>
      </c>
      <c r="DA10" s="17">
        <v>0</v>
      </c>
      <c r="DB10" s="17">
        <v>0</v>
      </c>
      <c r="DC10" s="17">
        <v>0</v>
      </c>
      <c r="DD10" s="17">
        <v>0</v>
      </c>
      <c r="DE10" s="17">
        <v>0</v>
      </c>
      <c r="DF10" s="17">
        <v>0</v>
      </c>
      <c r="DG10" s="17">
        <v>0</v>
      </c>
      <c r="DH10" s="17">
        <v>0</v>
      </c>
      <c r="DI10" s="17">
        <v>0</v>
      </c>
      <c r="DJ10" s="17">
        <v>0</v>
      </c>
      <c r="DK10" s="17">
        <v>0</v>
      </c>
      <c r="DL10" s="17">
        <v>0</v>
      </c>
      <c r="DM10" s="17">
        <v>0</v>
      </c>
      <c r="DN10" s="17">
        <v>0</v>
      </c>
      <c r="DO10" s="17">
        <v>0</v>
      </c>
      <c r="DP10" s="17">
        <v>0</v>
      </c>
      <c r="DQ10" s="17">
        <v>0</v>
      </c>
      <c r="DR10" s="17">
        <v>0</v>
      </c>
      <c r="DS10" s="17">
        <v>0</v>
      </c>
      <c r="DT10" s="17">
        <v>0</v>
      </c>
      <c r="DU10" s="17">
        <v>0</v>
      </c>
      <c r="DV10" s="17">
        <v>0</v>
      </c>
      <c r="DW10" s="17">
        <v>0</v>
      </c>
      <c r="DX10" s="17">
        <v>0</v>
      </c>
      <c r="DY10" s="17">
        <v>0</v>
      </c>
      <c r="DZ10" s="17">
        <v>0</v>
      </c>
      <c r="EA10" s="17">
        <v>0</v>
      </c>
      <c r="EB10" s="17">
        <v>0</v>
      </c>
      <c r="EC10" s="17">
        <v>0</v>
      </c>
      <c r="ED10" s="17">
        <v>0</v>
      </c>
      <c r="EE10" s="17">
        <v>0</v>
      </c>
      <c r="EF10" s="17">
        <v>0</v>
      </c>
      <c r="EG10" s="17">
        <v>0</v>
      </c>
      <c r="EH10" s="17">
        <v>0</v>
      </c>
      <c r="EI10" s="17">
        <v>0</v>
      </c>
      <c r="EJ10" s="17">
        <v>0</v>
      </c>
      <c r="EK10" s="17">
        <v>0</v>
      </c>
      <c r="EL10" s="17">
        <v>0</v>
      </c>
      <c r="EM10" s="17">
        <v>0</v>
      </c>
      <c r="EN10" s="17">
        <v>0</v>
      </c>
      <c r="EO10" s="17">
        <v>0</v>
      </c>
      <c r="EP10" s="17">
        <v>0</v>
      </c>
      <c r="EQ10" s="17">
        <v>0</v>
      </c>
      <c r="ER10" s="17">
        <v>0</v>
      </c>
      <c r="ES10" s="17">
        <v>0</v>
      </c>
      <c r="ET10" s="17">
        <v>0</v>
      </c>
      <c r="EU10" s="17">
        <v>0</v>
      </c>
      <c r="EV10" s="17">
        <v>0</v>
      </c>
      <c r="EW10" s="17">
        <v>0</v>
      </c>
      <c r="EX10" s="17">
        <v>0</v>
      </c>
      <c r="EY10" s="17">
        <v>0</v>
      </c>
      <c r="EZ10" s="17">
        <v>0</v>
      </c>
      <c r="FA10" s="17">
        <v>0</v>
      </c>
      <c r="FB10" s="17">
        <v>0</v>
      </c>
      <c r="FC10" s="17">
        <v>0</v>
      </c>
      <c r="FD10" s="17">
        <v>0</v>
      </c>
      <c r="FE10" s="17">
        <v>0</v>
      </c>
      <c r="FF10" s="17">
        <v>0</v>
      </c>
      <c r="FG10" s="17">
        <v>0</v>
      </c>
      <c r="FH10" s="17">
        <v>0</v>
      </c>
      <c r="FI10" s="17">
        <v>0</v>
      </c>
      <c r="FJ10" s="17">
        <v>0</v>
      </c>
      <c r="FK10" s="17">
        <v>0</v>
      </c>
      <c r="FL10" s="17">
        <v>0</v>
      </c>
      <c r="FM10" s="17">
        <v>0</v>
      </c>
      <c r="FN10" s="17">
        <v>0</v>
      </c>
      <c r="FO10" s="17">
        <v>0</v>
      </c>
      <c r="FP10" s="17">
        <v>0</v>
      </c>
      <c r="FQ10" s="17">
        <v>0</v>
      </c>
      <c r="FR10" s="17">
        <v>0</v>
      </c>
      <c r="FS10" s="17">
        <v>0</v>
      </c>
      <c r="FT10" s="17">
        <v>0</v>
      </c>
      <c r="FU10" s="17">
        <v>0</v>
      </c>
      <c r="FV10" s="17">
        <v>0</v>
      </c>
      <c r="FW10" s="17">
        <v>0</v>
      </c>
      <c r="FX10" s="17">
        <v>0</v>
      </c>
      <c r="FY10" s="17">
        <v>0</v>
      </c>
      <c r="FZ10" s="17">
        <v>0</v>
      </c>
      <c r="GA10" s="17">
        <v>0</v>
      </c>
      <c r="GB10" s="17">
        <v>0</v>
      </c>
      <c r="GC10" s="17">
        <v>0</v>
      </c>
      <c r="GD10" s="17">
        <v>0</v>
      </c>
      <c r="GE10" s="17">
        <v>0</v>
      </c>
      <c r="GF10" s="17">
        <v>0</v>
      </c>
      <c r="GG10" s="17">
        <v>0</v>
      </c>
      <c r="GH10" s="17">
        <v>0</v>
      </c>
      <c r="GI10" s="17">
        <v>0</v>
      </c>
      <c r="GJ10" s="17">
        <v>0</v>
      </c>
      <c r="GK10" s="17">
        <v>0</v>
      </c>
      <c r="GL10" s="17">
        <v>0</v>
      </c>
      <c r="GM10" s="17">
        <v>0</v>
      </c>
      <c r="GN10" s="17">
        <v>0</v>
      </c>
      <c r="GO10" s="17">
        <v>0</v>
      </c>
      <c r="GP10" s="17">
        <v>0</v>
      </c>
      <c r="GQ10" s="17">
        <v>0</v>
      </c>
      <c r="GR10" s="17">
        <v>0</v>
      </c>
      <c r="GS10" s="17">
        <v>0</v>
      </c>
      <c r="GT10" s="17">
        <v>0</v>
      </c>
      <c r="GU10" s="17">
        <v>0</v>
      </c>
      <c r="GV10" s="17">
        <v>0</v>
      </c>
      <c r="GW10" s="17">
        <v>0</v>
      </c>
      <c r="GX10" s="17">
        <v>0</v>
      </c>
      <c r="GY10" s="17">
        <v>0</v>
      </c>
      <c r="GZ10" s="17">
        <v>0</v>
      </c>
      <c r="HA10" s="17">
        <v>0</v>
      </c>
      <c r="HB10" s="17">
        <v>0</v>
      </c>
      <c r="HC10" s="17">
        <v>0</v>
      </c>
      <c r="HD10" s="17">
        <v>0</v>
      </c>
      <c r="HE10" s="17">
        <v>0</v>
      </c>
      <c r="HF10" s="17">
        <v>0</v>
      </c>
      <c r="HG10" s="17">
        <v>0</v>
      </c>
      <c r="HH10" s="17">
        <v>0</v>
      </c>
    </row>
    <row r="11" spans="1:216" x14ac:dyDescent="0.25">
      <c r="A11" s="8">
        <v>7</v>
      </c>
      <c r="B11" s="8">
        <v>3</v>
      </c>
      <c r="C11" s="17">
        <v>0</v>
      </c>
      <c r="D11" s="17">
        <v>0</v>
      </c>
      <c r="E11" s="17">
        <v>0</v>
      </c>
      <c r="F11" s="17">
        <v>0</v>
      </c>
      <c r="G11" s="17">
        <v>0</v>
      </c>
      <c r="H11" s="17">
        <v>0</v>
      </c>
      <c r="I11" s="17">
        <v>0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0</v>
      </c>
      <c r="Q11" s="17">
        <v>0</v>
      </c>
      <c r="R11" s="17">
        <v>0</v>
      </c>
      <c r="S11" s="17">
        <v>0</v>
      </c>
      <c r="T11" s="17">
        <v>0</v>
      </c>
      <c r="U11" s="17">
        <v>0</v>
      </c>
      <c r="V11" s="17">
        <v>0</v>
      </c>
      <c r="W11" s="17">
        <v>0</v>
      </c>
      <c r="X11" s="17">
        <v>0</v>
      </c>
      <c r="Y11" s="17">
        <v>0</v>
      </c>
      <c r="Z11" s="17">
        <v>0</v>
      </c>
      <c r="AA11" s="17">
        <v>0</v>
      </c>
      <c r="AB11" s="17">
        <v>0</v>
      </c>
      <c r="AC11" s="17">
        <v>0</v>
      </c>
      <c r="AD11" s="17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7">
        <v>0</v>
      </c>
      <c r="AP11" s="17">
        <v>0</v>
      </c>
      <c r="AQ11" s="17">
        <v>0</v>
      </c>
      <c r="AR11" s="17">
        <v>0</v>
      </c>
      <c r="AS11" s="17">
        <v>0</v>
      </c>
      <c r="AT11" s="17">
        <v>0</v>
      </c>
      <c r="AU11" s="17">
        <v>0</v>
      </c>
      <c r="AV11" s="17">
        <v>0</v>
      </c>
      <c r="AW11" s="17">
        <v>0</v>
      </c>
      <c r="AX11" s="17">
        <v>0</v>
      </c>
      <c r="AY11" s="17">
        <v>0</v>
      </c>
      <c r="AZ11" s="17">
        <v>0</v>
      </c>
      <c r="BA11" s="17">
        <v>0</v>
      </c>
      <c r="BB11" s="17">
        <v>0</v>
      </c>
      <c r="BC11" s="17">
        <v>0</v>
      </c>
      <c r="BD11" s="17">
        <v>0</v>
      </c>
      <c r="BE11" s="17">
        <v>0</v>
      </c>
      <c r="BF11" s="17">
        <v>0</v>
      </c>
      <c r="BG11" s="17">
        <v>0</v>
      </c>
      <c r="BH11" s="17">
        <v>0</v>
      </c>
      <c r="BI11" s="17">
        <v>0</v>
      </c>
      <c r="BJ11" s="17">
        <v>0</v>
      </c>
      <c r="BK11" s="17">
        <v>0</v>
      </c>
      <c r="BL11" s="17">
        <v>0</v>
      </c>
      <c r="BM11" s="17">
        <v>0</v>
      </c>
      <c r="BN11" s="17">
        <v>0</v>
      </c>
      <c r="BO11" s="17">
        <v>0</v>
      </c>
      <c r="BP11" s="17">
        <v>0</v>
      </c>
      <c r="BQ11" s="17">
        <v>0</v>
      </c>
      <c r="BR11" s="17">
        <v>0</v>
      </c>
      <c r="BS11" s="17">
        <v>0</v>
      </c>
      <c r="BT11" s="17">
        <v>0</v>
      </c>
      <c r="BU11" s="17">
        <v>0</v>
      </c>
      <c r="BV11" s="17">
        <v>0</v>
      </c>
      <c r="BW11" s="17">
        <v>0</v>
      </c>
      <c r="BX11" s="17">
        <v>0</v>
      </c>
      <c r="BY11" s="17">
        <v>0</v>
      </c>
      <c r="BZ11" s="17">
        <v>0</v>
      </c>
      <c r="CA11" s="17">
        <v>0</v>
      </c>
      <c r="CB11" s="17">
        <v>0</v>
      </c>
      <c r="CC11" s="17">
        <v>0</v>
      </c>
      <c r="CD11" s="17">
        <v>0</v>
      </c>
      <c r="CE11" s="17">
        <v>0</v>
      </c>
      <c r="CF11" s="17">
        <v>0</v>
      </c>
      <c r="CG11" s="17">
        <v>0</v>
      </c>
      <c r="CH11" s="17">
        <v>0</v>
      </c>
      <c r="CI11" s="17">
        <v>0</v>
      </c>
      <c r="CJ11" s="17">
        <v>0</v>
      </c>
      <c r="CK11" s="17">
        <v>0</v>
      </c>
      <c r="CL11" s="17">
        <v>0</v>
      </c>
      <c r="CM11" s="17">
        <v>0</v>
      </c>
      <c r="CN11" s="17">
        <v>0</v>
      </c>
      <c r="CO11" s="17">
        <v>0</v>
      </c>
      <c r="CP11" s="17">
        <v>0</v>
      </c>
      <c r="CQ11" s="17">
        <v>0</v>
      </c>
      <c r="CR11" s="17">
        <v>0</v>
      </c>
      <c r="CS11" s="17">
        <v>0</v>
      </c>
      <c r="CT11" s="17">
        <v>0</v>
      </c>
      <c r="CU11" s="17">
        <v>0</v>
      </c>
      <c r="CV11" s="17">
        <v>0</v>
      </c>
      <c r="CW11" s="17">
        <v>0</v>
      </c>
      <c r="CX11" s="17">
        <v>0</v>
      </c>
      <c r="CY11" s="17">
        <v>0</v>
      </c>
      <c r="CZ11" s="17">
        <v>0</v>
      </c>
      <c r="DA11" s="17">
        <v>0</v>
      </c>
      <c r="DB11" s="17">
        <v>0</v>
      </c>
      <c r="DC11" s="17">
        <v>0</v>
      </c>
      <c r="DD11" s="17">
        <v>0</v>
      </c>
      <c r="DE11" s="17">
        <v>0</v>
      </c>
      <c r="DF11" s="17">
        <v>0</v>
      </c>
      <c r="DG11" s="17">
        <v>0</v>
      </c>
      <c r="DH11" s="17">
        <v>0</v>
      </c>
      <c r="DI11" s="17">
        <v>0</v>
      </c>
      <c r="DJ11" s="17">
        <v>0</v>
      </c>
      <c r="DK11" s="17">
        <v>0</v>
      </c>
      <c r="DL11" s="17">
        <v>0</v>
      </c>
      <c r="DM11" s="17">
        <v>0</v>
      </c>
      <c r="DN11" s="17">
        <v>0</v>
      </c>
      <c r="DO11" s="17">
        <v>0</v>
      </c>
      <c r="DP11" s="17">
        <v>0</v>
      </c>
      <c r="DQ11" s="17">
        <v>0</v>
      </c>
      <c r="DR11" s="17">
        <v>0</v>
      </c>
      <c r="DS11" s="17">
        <v>0</v>
      </c>
      <c r="DT11" s="17">
        <v>0</v>
      </c>
      <c r="DU11" s="17">
        <v>0</v>
      </c>
      <c r="DV11" s="17">
        <v>0</v>
      </c>
      <c r="DW11" s="17">
        <v>0</v>
      </c>
      <c r="DX11" s="17">
        <v>0</v>
      </c>
      <c r="DY11" s="17">
        <v>0</v>
      </c>
      <c r="DZ11" s="17">
        <v>0</v>
      </c>
      <c r="EA11" s="17">
        <v>0</v>
      </c>
      <c r="EB11" s="17">
        <v>0</v>
      </c>
      <c r="EC11" s="17">
        <v>0</v>
      </c>
      <c r="ED11" s="17">
        <v>0</v>
      </c>
      <c r="EE11" s="17">
        <v>0</v>
      </c>
      <c r="EF11" s="17">
        <v>0</v>
      </c>
      <c r="EG11" s="17">
        <v>0</v>
      </c>
      <c r="EH11" s="17">
        <v>0</v>
      </c>
      <c r="EI11" s="17">
        <v>0</v>
      </c>
      <c r="EJ11" s="17">
        <v>0</v>
      </c>
      <c r="EK11" s="17">
        <v>0</v>
      </c>
      <c r="EL11" s="17">
        <v>0</v>
      </c>
      <c r="EM11" s="17">
        <v>0</v>
      </c>
      <c r="EN11" s="17">
        <v>0</v>
      </c>
      <c r="EO11" s="17">
        <v>0</v>
      </c>
      <c r="EP11" s="17">
        <v>0</v>
      </c>
      <c r="EQ11" s="17">
        <v>0</v>
      </c>
      <c r="ER11" s="17">
        <v>0</v>
      </c>
      <c r="ES11" s="17">
        <v>0</v>
      </c>
      <c r="ET11" s="17">
        <v>0</v>
      </c>
      <c r="EU11" s="17">
        <v>0</v>
      </c>
      <c r="EV11" s="17">
        <v>0</v>
      </c>
      <c r="EW11" s="17">
        <v>0</v>
      </c>
      <c r="EX11" s="17">
        <v>0</v>
      </c>
      <c r="EY11" s="17">
        <v>0</v>
      </c>
      <c r="EZ11" s="17">
        <v>0</v>
      </c>
      <c r="FA11" s="17">
        <v>0</v>
      </c>
      <c r="FB11" s="17">
        <v>0</v>
      </c>
      <c r="FC11" s="17">
        <v>0</v>
      </c>
      <c r="FD11" s="17">
        <v>0</v>
      </c>
      <c r="FE11" s="17">
        <v>0</v>
      </c>
      <c r="FF11" s="17">
        <v>0</v>
      </c>
      <c r="FG11" s="17">
        <v>0</v>
      </c>
      <c r="FH11" s="17">
        <v>0</v>
      </c>
      <c r="FI11" s="17">
        <v>0</v>
      </c>
      <c r="FJ11" s="17">
        <v>0</v>
      </c>
      <c r="FK11" s="17">
        <v>0</v>
      </c>
      <c r="FL11" s="17">
        <v>0</v>
      </c>
      <c r="FM11" s="17">
        <v>0</v>
      </c>
      <c r="FN11" s="17">
        <v>0</v>
      </c>
      <c r="FO11" s="17">
        <v>0</v>
      </c>
      <c r="FP11" s="17">
        <v>0</v>
      </c>
      <c r="FQ11" s="17">
        <v>0</v>
      </c>
      <c r="FR11" s="17">
        <v>0</v>
      </c>
      <c r="FS11" s="17">
        <v>0</v>
      </c>
      <c r="FT11" s="17">
        <v>0</v>
      </c>
      <c r="FU11" s="17">
        <v>0</v>
      </c>
      <c r="FV11" s="17">
        <v>0</v>
      </c>
      <c r="FW11" s="17">
        <v>0</v>
      </c>
      <c r="FX11" s="17">
        <v>0</v>
      </c>
      <c r="FY11" s="17">
        <v>0</v>
      </c>
      <c r="FZ11" s="17">
        <v>0</v>
      </c>
      <c r="GA11" s="17">
        <v>0</v>
      </c>
      <c r="GB11" s="17">
        <v>0</v>
      </c>
      <c r="GC11" s="17">
        <v>0</v>
      </c>
      <c r="GD11" s="17">
        <v>0</v>
      </c>
      <c r="GE11" s="17">
        <v>0</v>
      </c>
      <c r="GF11" s="17">
        <v>0</v>
      </c>
      <c r="GG11" s="17">
        <v>0</v>
      </c>
      <c r="GH11" s="17">
        <v>0</v>
      </c>
      <c r="GI11" s="17">
        <v>0</v>
      </c>
      <c r="GJ11" s="17">
        <v>0</v>
      </c>
      <c r="GK11" s="17">
        <v>0</v>
      </c>
      <c r="GL11" s="17">
        <v>0</v>
      </c>
      <c r="GM11" s="17">
        <v>0</v>
      </c>
      <c r="GN11" s="17">
        <v>0</v>
      </c>
      <c r="GO11" s="17">
        <v>0</v>
      </c>
      <c r="GP11" s="17">
        <v>0</v>
      </c>
      <c r="GQ11" s="17">
        <v>0</v>
      </c>
      <c r="GR11" s="17">
        <v>0</v>
      </c>
      <c r="GS11" s="17">
        <v>0</v>
      </c>
      <c r="GT11" s="17">
        <v>0</v>
      </c>
      <c r="GU11" s="17">
        <v>0</v>
      </c>
      <c r="GV11" s="17">
        <v>0</v>
      </c>
      <c r="GW11" s="17">
        <v>0</v>
      </c>
      <c r="GX11" s="17">
        <v>0</v>
      </c>
      <c r="GY11" s="17">
        <v>0</v>
      </c>
      <c r="GZ11" s="17">
        <v>0</v>
      </c>
      <c r="HA11" s="17">
        <v>0</v>
      </c>
      <c r="HB11" s="17">
        <v>0</v>
      </c>
      <c r="HC11" s="17">
        <v>0</v>
      </c>
      <c r="HD11" s="17">
        <v>0</v>
      </c>
      <c r="HE11" s="17">
        <v>0</v>
      </c>
      <c r="HF11" s="17">
        <v>0</v>
      </c>
      <c r="HG11" s="17">
        <v>0</v>
      </c>
      <c r="HH11" s="17">
        <v>0</v>
      </c>
    </row>
    <row r="12" spans="1:216" x14ac:dyDescent="0.25">
      <c r="A12" s="8">
        <v>8</v>
      </c>
      <c r="B12" s="8">
        <v>3.5</v>
      </c>
      <c r="C12" s="17">
        <v>0</v>
      </c>
      <c r="D12" s="17">
        <v>0</v>
      </c>
      <c r="E12" s="17">
        <v>0</v>
      </c>
      <c r="F12" s="17">
        <v>0</v>
      </c>
      <c r="G12" s="17">
        <v>0</v>
      </c>
      <c r="H12" s="17">
        <v>0</v>
      </c>
      <c r="I12" s="17">
        <v>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0</v>
      </c>
      <c r="Q12" s="17">
        <v>0</v>
      </c>
      <c r="R12" s="17">
        <v>0</v>
      </c>
      <c r="S12" s="17">
        <v>0</v>
      </c>
      <c r="T12" s="17">
        <v>0</v>
      </c>
      <c r="U12" s="17">
        <v>0</v>
      </c>
      <c r="V12" s="17">
        <v>0</v>
      </c>
      <c r="W12" s="17">
        <v>0</v>
      </c>
      <c r="X12" s="17">
        <v>0</v>
      </c>
      <c r="Y12" s="17">
        <v>0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7">
        <v>0</v>
      </c>
      <c r="AP12" s="17">
        <v>0</v>
      </c>
      <c r="AQ12" s="17">
        <v>0</v>
      </c>
      <c r="AR12" s="17">
        <v>0</v>
      </c>
      <c r="AS12" s="17">
        <v>0</v>
      </c>
      <c r="AT12" s="17">
        <v>0</v>
      </c>
      <c r="AU12" s="17">
        <v>0</v>
      </c>
      <c r="AV12" s="17">
        <v>0</v>
      </c>
      <c r="AW12" s="17">
        <v>0</v>
      </c>
      <c r="AX12" s="17">
        <v>0</v>
      </c>
      <c r="AY12" s="17">
        <v>0</v>
      </c>
      <c r="AZ12" s="17">
        <v>0</v>
      </c>
      <c r="BA12" s="17">
        <v>0</v>
      </c>
      <c r="BB12" s="17">
        <v>0</v>
      </c>
      <c r="BC12" s="17">
        <v>0</v>
      </c>
      <c r="BD12" s="17">
        <v>0</v>
      </c>
      <c r="BE12" s="17">
        <v>0</v>
      </c>
      <c r="BF12" s="17">
        <v>0</v>
      </c>
      <c r="BG12" s="17">
        <v>0</v>
      </c>
      <c r="BH12" s="17">
        <v>0</v>
      </c>
      <c r="BI12" s="17">
        <v>0</v>
      </c>
      <c r="BJ12" s="17">
        <v>0</v>
      </c>
      <c r="BK12" s="17">
        <v>0</v>
      </c>
      <c r="BL12" s="17">
        <v>0</v>
      </c>
      <c r="BM12" s="17">
        <v>0</v>
      </c>
      <c r="BN12" s="17">
        <v>0</v>
      </c>
      <c r="BO12" s="17">
        <v>0</v>
      </c>
      <c r="BP12" s="17">
        <v>0</v>
      </c>
      <c r="BQ12" s="17">
        <v>0</v>
      </c>
      <c r="BR12" s="17">
        <v>0</v>
      </c>
      <c r="BS12" s="17">
        <v>0</v>
      </c>
      <c r="BT12" s="17">
        <v>0</v>
      </c>
      <c r="BU12" s="17">
        <v>0</v>
      </c>
      <c r="BV12" s="17">
        <v>0</v>
      </c>
      <c r="BW12" s="17">
        <v>0</v>
      </c>
      <c r="BX12" s="17">
        <v>0</v>
      </c>
      <c r="BY12" s="17">
        <v>0</v>
      </c>
      <c r="BZ12" s="17">
        <v>0</v>
      </c>
      <c r="CA12" s="17">
        <v>0</v>
      </c>
      <c r="CB12" s="17">
        <v>0</v>
      </c>
      <c r="CC12" s="17">
        <v>0</v>
      </c>
      <c r="CD12" s="17">
        <v>0</v>
      </c>
      <c r="CE12" s="17">
        <v>0</v>
      </c>
      <c r="CF12" s="17">
        <v>0</v>
      </c>
      <c r="CG12" s="17">
        <v>0</v>
      </c>
      <c r="CH12" s="17">
        <v>0</v>
      </c>
      <c r="CI12" s="17">
        <v>0</v>
      </c>
      <c r="CJ12" s="17">
        <v>0</v>
      </c>
      <c r="CK12" s="17">
        <v>0</v>
      </c>
      <c r="CL12" s="17">
        <v>0</v>
      </c>
      <c r="CM12" s="17">
        <v>0</v>
      </c>
      <c r="CN12" s="17">
        <v>0</v>
      </c>
      <c r="CO12" s="17">
        <v>0</v>
      </c>
      <c r="CP12" s="17">
        <v>0</v>
      </c>
      <c r="CQ12" s="17">
        <v>0</v>
      </c>
      <c r="CR12" s="17">
        <v>0</v>
      </c>
      <c r="CS12" s="17">
        <v>0</v>
      </c>
      <c r="CT12" s="17">
        <v>0</v>
      </c>
      <c r="CU12" s="17">
        <v>0</v>
      </c>
      <c r="CV12" s="17">
        <v>0</v>
      </c>
      <c r="CW12" s="17">
        <v>0</v>
      </c>
      <c r="CX12" s="17">
        <v>0</v>
      </c>
      <c r="CY12" s="17">
        <v>0</v>
      </c>
      <c r="CZ12" s="17">
        <v>0</v>
      </c>
      <c r="DA12" s="17">
        <v>0</v>
      </c>
      <c r="DB12" s="17">
        <v>0</v>
      </c>
      <c r="DC12" s="17">
        <v>0</v>
      </c>
      <c r="DD12" s="17">
        <v>0</v>
      </c>
      <c r="DE12" s="17">
        <v>0</v>
      </c>
      <c r="DF12" s="17">
        <v>0</v>
      </c>
      <c r="DG12" s="17">
        <v>0</v>
      </c>
      <c r="DH12" s="17">
        <v>0</v>
      </c>
      <c r="DI12" s="17">
        <v>0</v>
      </c>
      <c r="DJ12" s="17">
        <v>0</v>
      </c>
      <c r="DK12" s="17">
        <v>0</v>
      </c>
      <c r="DL12" s="17">
        <v>0</v>
      </c>
      <c r="DM12" s="17">
        <v>0</v>
      </c>
      <c r="DN12" s="17">
        <v>0</v>
      </c>
      <c r="DO12" s="17">
        <v>0</v>
      </c>
      <c r="DP12" s="17">
        <v>0</v>
      </c>
      <c r="DQ12" s="17">
        <v>0</v>
      </c>
      <c r="DR12" s="17">
        <v>0</v>
      </c>
      <c r="DS12" s="17">
        <v>0</v>
      </c>
      <c r="DT12" s="17">
        <v>0</v>
      </c>
      <c r="DU12" s="17">
        <v>0</v>
      </c>
      <c r="DV12" s="17">
        <v>0</v>
      </c>
      <c r="DW12" s="17">
        <v>0</v>
      </c>
      <c r="DX12" s="17">
        <v>0</v>
      </c>
      <c r="DY12" s="17">
        <v>0</v>
      </c>
      <c r="DZ12" s="17">
        <v>0</v>
      </c>
      <c r="EA12" s="17">
        <v>0</v>
      </c>
      <c r="EB12" s="17">
        <v>0</v>
      </c>
      <c r="EC12" s="17">
        <v>0</v>
      </c>
      <c r="ED12" s="17">
        <v>0</v>
      </c>
      <c r="EE12" s="17">
        <v>0</v>
      </c>
      <c r="EF12" s="17">
        <v>0</v>
      </c>
      <c r="EG12" s="17">
        <v>0</v>
      </c>
      <c r="EH12" s="17">
        <v>0</v>
      </c>
      <c r="EI12" s="17">
        <v>0</v>
      </c>
      <c r="EJ12" s="17">
        <v>0</v>
      </c>
      <c r="EK12" s="17">
        <v>0</v>
      </c>
      <c r="EL12" s="17">
        <v>0</v>
      </c>
      <c r="EM12" s="17">
        <v>0</v>
      </c>
      <c r="EN12" s="17">
        <v>0</v>
      </c>
      <c r="EO12" s="17">
        <v>0</v>
      </c>
      <c r="EP12" s="17">
        <v>0</v>
      </c>
      <c r="EQ12" s="17">
        <v>0</v>
      </c>
      <c r="ER12" s="17">
        <v>0</v>
      </c>
      <c r="ES12" s="17">
        <v>0</v>
      </c>
      <c r="ET12" s="17">
        <v>0</v>
      </c>
      <c r="EU12" s="17">
        <v>0</v>
      </c>
      <c r="EV12" s="17">
        <v>0</v>
      </c>
      <c r="EW12" s="17">
        <v>0</v>
      </c>
      <c r="EX12" s="17">
        <v>0</v>
      </c>
      <c r="EY12" s="17">
        <v>0</v>
      </c>
      <c r="EZ12" s="17">
        <v>0</v>
      </c>
      <c r="FA12" s="17">
        <v>0</v>
      </c>
      <c r="FB12" s="17">
        <v>0</v>
      </c>
      <c r="FC12" s="17">
        <v>0</v>
      </c>
      <c r="FD12" s="17">
        <v>0</v>
      </c>
      <c r="FE12" s="17">
        <v>0</v>
      </c>
      <c r="FF12" s="17">
        <v>0</v>
      </c>
      <c r="FG12" s="17">
        <v>0</v>
      </c>
      <c r="FH12" s="17">
        <v>0</v>
      </c>
      <c r="FI12" s="17">
        <v>0</v>
      </c>
      <c r="FJ12" s="17">
        <v>0</v>
      </c>
      <c r="FK12" s="17">
        <v>0</v>
      </c>
      <c r="FL12" s="17">
        <v>0</v>
      </c>
      <c r="FM12" s="17">
        <v>0</v>
      </c>
      <c r="FN12" s="17">
        <v>0</v>
      </c>
      <c r="FO12" s="17">
        <v>0</v>
      </c>
      <c r="FP12" s="17">
        <v>0</v>
      </c>
      <c r="FQ12" s="17">
        <v>0</v>
      </c>
      <c r="FR12" s="17">
        <v>0</v>
      </c>
      <c r="FS12" s="17">
        <v>0</v>
      </c>
      <c r="FT12" s="17">
        <v>0</v>
      </c>
      <c r="FU12" s="17">
        <v>0</v>
      </c>
      <c r="FV12" s="17">
        <v>0</v>
      </c>
      <c r="FW12" s="17">
        <v>0</v>
      </c>
      <c r="FX12" s="17">
        <v>0</v>
      </c>
      <c r="FY12" s="17">
        <v>0</v>
      </c>
      <c r="FZ12" s="17">
        <v>0</v>
      </c>
      <c r="GA12" s="17">
        <v>0</v>
      </c>
      <c r="GB12" s="17">
        <v>0</v>
      </c>
      <c r="GC12" s="17">
        <v>0</v>
      </c>
      <c r="GD12" s="17">
        <v>0</v>
      </c>
      <c r="GE12" s="17">
        <v>0</v>
      </c>
      <c r="GF12" s="17">
        <v>0</v>
      </c>
      <c r="GG12" s="17">
        <v>0</v>
      </c>
      <c r="GH12" s="17">
        <v>0</v>
      </c>
      <c r="GI12" s="17">
        <v>0</v>
      </c>
      <c r="GJ12" s="17">
        <v>0</v>
      </c>
      <c r="GK12" s="17">
        <v>0</v>
      </c>
      <c r="GL12" s="17">
        <v>0</v>
      </c>
      <c r="GM12" s="17">
        <v>0</v>
      </c>
      <c r="GN12" s="17">
        <v>0</v>
      </c>
      <c r="GO12" s="17">
        <v>0</v>
      </c>
      <c r="GP12" s="17">
        <v>0</v>
      </c>
      <c r="GQ12" s="17">
        <v>0</v>
      </c>
      <c r="GR12" s="17">
        <v>0</v>
      </c>
      <c r="GS12" s="17">
        <v>0</v>
      </c>
      <c r="GT12" s="17">
        <v>0</v>
      </c>
      <c r="GU12" s="17">
        <v>0</v>
      </c>
      <c r="GV12" s="17">
        <v>0</v>
      </c>
      <c r="GW12" s="17">
        <v>0</v>
      </c>
      <c r="GX12" s="17">
        <v>0</v>
      </c>
      <c r="GY12" s="17">
        <v>0</v>
      </c>
      <c r="GZ12" s="17">
        <v>0</v>
      </c>
      <c r="HA12" s="17">
        <v>0</v>
      </c>
      <c r="HB12" s="17">
        <v>0</v>
      </c>
      <c r="HC12" s="17">
        <v>0</v>
      </c>
      <c r="HD12" s="17">
        <v>0</v>
      </c>
      <c r="HE12" s="17">
        <v>0</v>
      </c>
      <c r="HF12" s="17">
        <v>0</v>
      </c>
      <c r="HG12" s="17">
        <v>0</v>
      </c>
      <c r="HH12" s="17">
        <v>0</v>
      </c>
    </row>
    <row r="13" spans="1:216" x14ac:dyDescent="0.25">
      <c r="A13" s="8">
        <v>9</v>
      </c>
      <c r="B13" s="8">
        <v>4</v>
      </c>
      <c r="C13" s="17">
        <v>0</v>
      </c>
      <c r="D13" s="17">
        <v>0</v>
      </c>
      <c r="E13" s="17">
        <v>2E-3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0</v>
      </c>
      <c r="Q13" s="17">
        <v>0</v>
      </c>
      <c r="R13" s="17">
        <v>1.4E-2</v>
      </c>
      <c r="S13" s="17">
        <v>0</v>
      </c>
      <c r="T13" s="17">
        <v>0</v>
      </c>
      <c r="U13" s="17">
        <v>0</v>
      </c>
      <c r="V13" s="17">
        <v>0</v>
      </c>
      <c r="W13" s="17">
        <v>0</v>
      </c>
      <c r="X13" s="17">
        <v>0</v>
      </c>
      <c r="Y13" s="17">
        <v>0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6.0000000000000001E-3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1E-3</v>
      </c>
      <c r="AN13" s="17">
        <v>8.0000000000000002E-3</v>
      </c>
      <c r="AO13" s="17">
        <v>0</v>
      </c>
      <c r="AP13" s="17">
        <v>0</v>
      </c>
      <c r="AQ13" s="17">
        <v>0</v>
      </c>
      <c r="AR13" s="17">
        <v>0</v>
      </c>
      <c r="AS13" s="17">
        <v>0</v>
      </c>
      <c r="AT13" s="17">
        <v>0</v>
      </c>
      <c r="AU13" s="17">
        <v>0</v>
      </c>
      <c r="AV13" s="17">
        <v>0</v>
      </c>
      <c r="AW13" s="17">
        <v>0</v>
      </c>
      <c r="AX13" s="17">
        <v>0</v>
      </c>
      <c r="AY13" s="17">
        <v>0</v>
      </c>
      <c r="AZ13" s="17">
        <v>0</v>
      </c>
      <c r="BA13" s="17">
        <v>0</v>
      </c>
      <c r="BB13" s="17">
        <v>0</v>
      </c>
      <c r="BC13" s="17">
        <v>0</v>
      </c>
      <c r="BD13" s="17">
        <v>0</v>
      </c>
      <c r="BE13" s="17">
        <v>0</v>
      </c>
      <c r="BF13" s="17">
        <v>0</v>
      </c>
      <c r="BG13" s="17">
        <v>0</v>
      </c>
      <c r="BH13" s="17">
        <v>0</v>
      </c>
      <c r="BI13" s="17">
        <v>0</v>
      </c>
      <c r="BJ13" s="17">
        <v>0</v>
      </c>
      <c r="BK13" s="17">
        <v>0</v>
      </c>
      <c r="BL13" s="17">
        <v>0</v>
      </c>
      <c r="BM13" s="17">
        <v>0</v>
      </c>
      <c r="BN13" s="17">
        <v>0</v>
      </c>
      <c r="BO13" s="17">
        <v>0</v>
      </c>
      <c r="BP13" s="17">
        <v>0</v>
      </c>
      <c r="BQ13" s="17">
        <v>0</v>
      </c>
      <c r="BR13" s="17">
        <v>0</v>
      </c>
      <c r="BS13" s="17">
        <v>0</v>
      </c>
      <c r="BT13" s="17">
        <v>0</v>
      </c>
      <c r="BU13" s="17">
        <v>0</v>
      </c>
      <c r="BV13" s="17">
        <v>6.0000000000000001E-3</v>
      </c>
      <c r="BW13" s="17">
        <v>0</v>
      </c>
      <c r="BX13" s="17">
        <v>0</v>
      </c>
      <c r="BY13" s="17">
        <v>0</v>
      </c>
      <c r="BZ13" s="17">
        <v>0</v>
      </c>
      <c r="CA13" s="17">
        <v>0</v>
      </c>
      <c r="CB13" s="17">
        <v>0</v>
      </c>
      <c r="CC13" s="17">
        <v>0</v>
      </c>
      <c r="CD13" s="17">
        <v>0</v>
      </c>
      <c r="CE13" s="17">
        <v>0</v>
      </c>
      <c r="CF13" s="17">
        <v>0</v>
      </c>
      <c r="CG13" s="17">
        <v>0</v>
      </c>
      <c r="CH13" s="17">
        <v>0</v>
      </c>
      <c r="CI13" s="17">
        <v>0</v>
      </c>
      <c r="CJ13" s="17">
        <v>0</v>
      </c>
      <c r="CK13" s="17">
        <v>0</v>
      </c>
      <c r="CL13" s="17">
        <v>0</v>
      </c>
      <c r="CM13" s="17">
        <v>0</v>
      </c>
      <c r="CN13" s="17">
        <v>0</v>
      </c>
      <c r="CO13" s="17">
        <v>0</v>
      </c>
      <c r="CP13" s="17">
        <v>0</v>
      </c>
      <c r="CQ13" s="17">
        <v>0</v>
      </c>
      <c r="CR13" s="17">
        <v>0</v>
      </c>
      <c r="CS13" s="17">
        <v>0</v>
      </c>
      <c r="CT13" s="17">
        <v>0</v>
      </c>
      <c r="CU13" s="17">
        <v>2E-3</v>
      </c>
      <c r="CV13" s="17">
        <v>0</v>
      </c>
      <c r="CW13" s="17">
        <v>0</v>
      </c>
      <c r="CX13" s="17">
        <v>0</v>
      </c>
      <c r="CY13" s="17">
        <v>0</v>
      </c>
      <c r="CZ13" s="17">
        <v>0</v>
      </c>
      <c r="DA13" s="17">
        <v>0</v>
      </c>
      <c r="DB13" s="17">
        <v>0</v>
      </c>
      <c r="DC13" s="17">
        <v>0</v>
      </c>
      <c r="DD13" s="17">
        <v>0</v>
      </c>
      <c r="DE13" s="17">
        <v>0</v>
      </c>
      <c r="DF13" s="17">
        <v>0</v>
      </c>
      <c r="DG13" s="17">
        <v>0</v>
      </c>
      <c r="DH13" s="17">
        <v>0</v>
      </c>
      <c r="DI13" s="17">
        <v>0</v>
      </c>
      <c r="DJ13" s="17">
        <v>0</v>
      </c>
      <c r="DK13" s="17">
        <v>0</v>
      </c>
      <c r="DL13" s="17">
        <v>0</v>
      </c>
      <c r="DM13" s="17">
        <v>0</v>
      </c>
      <c r="DN13" s="17">
        <v>0</v>
      </c>
      <c r="DO13" s="17">
        <v>0</v>
      </c>
      <c r="DP13" s="17">
        <v>0</v>
      </c>
      <c r="DQ13" s="17">
        <v>0</v>
      </c>
      <c r="DR13" s="17">
        <v>0</v>
      </c>
      <c r="DS13" s="17">
        <v>0</v>
      </c>
      <c r="DT13" s="17">
        <v>0</v>
      </c>
      <c r="DU13" s="17">
        <v>0</v>
      </c>
      <c r="DV13" s="17">
        <v>0</v>
      </c>
      <c r="DW13" s="17">
        <v>0</v>
      </c>
      <c r="DX13" s="17">
        <v>0</v>
      </c>
      <c r="DY13" s="17">
        <v>0</v>
      </c>
      <c r="DZ13" s="17">
        <v>0</v>
      </c>
      <c r="EA13" s="17">
        <v>0</v>
      </c>
      <c r="EB13" s="17">
        <v>4.0000000000000001E-3</v>
      </c>
      <c r="EC13" s="17">
        <v>0</v>
      </c>
      <c r="ED13" s="17">
        <v>0</v>
      </c>
      <c r="EE13" s="17">
        <v>0</v>
      </c>
      <c r="EF13" s="17">
        <v>0</v>
      </c>
      <c r="EG13" s="17">
        <v>0</v>
      </c>
      <c r="EH13" s="17">
        <v>0</v>
      </c>
      <c r="EI13" s="17">
        <v>0</v>
      </c>
      <c r="EJ13" s="17">
        <v>0</v>
      </c>
      <c r="EK13" s="17">
        <v>0</v>
      </c>
      <c r="EL13" s="17">
        <v>0</v>
      </c>
      <c r="EM13" s="17">
        <v>0</v>
      </c>
      <c r="EN13" s="17">
        <v>0</v>
      </c>
      <c r="EO13" s="17">
        <v>1.4E-2</v>
      </c>
      <c r="EP13" s="17">
        <v>0</v>
      </c>
      <c r="EQ13" s="17">
        <v>0</v>
      </c>
      <c r="ER13" s="17">
        <v>0</v>
      </c>
      <c r="ES13" s="17">
        <v>0</v>
      </c>
      <c r="ET13" s="17">
        <v>0</v>
      </c>
      <c r="EU13" s="17">
        <v>0</v>
      </c>
      <c r="EV13" s="17">
        <v>0</v>
      </c>
      <c r="EW13" s="17">
        <v>0</v>
      </c>
      <c r="EX13" s="17">
        <v>0</v>
      </c>
      <c r="EY13" s="17">
        <v>0</v>
      </c>
      <c r="EZ13" s="17">
        <v>0</v>
      </c>
      <c r="FA13" s="17">
        <v>0</v>
      </c>
      <c r="FB13" s="17">
        <v>0</v>
      </c>
      <c r="FC13" s="17">
        <v>0</v>
      </c>
      <c r="FD13" s="17">
        <v>0</v>
      </c>
      <c r="FE13" s="17">
        <v>0</v>
      </c>
      <c r="FF13" s="17">
        <v>0</v>
      </c>
      <c r="FG13" s="17">
        <v>0</v>
      </c>
      <c r="FH13" s="17">
        <v>0</v>
      </c>
      <c r="FI13" s="17">
        <v>0</v>
      </c>
      <c r="FJ13" s="17">
        <v>0</v>
      </c>
      <c r="FK13" s="17">
        <v>0</v>
      </c>
      <c r="FL13" s="17">
        <v>0</v>
      </c>
      <c r="FM13" s="17">
        <v>0</v>
      </c>
      <c r="FN13" s="17">
        <v>0</v>
      </c>
      <c r="FO13" s="17">
        <v>0</v>
      </c>
      <c r="FP13" s="17">
        <v>0</v>
      </c>
      <c r="FQ13" s="17">
        <v>0</v>
      </c>
      <c r="FR13" s="17">
        <v>0</v>
      </c>
      <c r="FS13" s="17">
        <v>0</v>
      </c>
      <c r="FT13" s="17">
        <v>0</v>
      </c>
      <c r="FU13" s="17">
        <v>0</v>
      </c>
      <c r="FV13" s="17">
        <v>0</v>
      </c>
      <c r="FW13" s="17">
        <v>0</v>
      </c>
      <c r="FX13" s="17">
        <v>0</v>
      </c>
      <c r="FY13" s="17">
        <v>0</v>
      </c>
      <c r="FZ13" s="17">
        <v>0</v>
      </c>
      <c r="GA13" s="17">
        <v>0</v>
      </c>
      <c r="GB13" s="17">
        <v>0</v>
      </c>
      <c r="GC13" s="17">
        <v>0</v>
      </c>
      <c r="GD13" s="17">
        <v>0</v>
      </c>
      <c r="GE13" s="17">
        <v>0</v>
      </c>
      <c r="GF13" s="17">
        <v>0</v>
      </c>
      <c r="GG13" s="17">
        <v>0</v>
      </c>
      <c r="GH13" s="17">
        <v>0</v>
      </c>
      <c r="GI13" s="17">
        <v>0</v>
      </c>
      <c r="GJ13" s="17">
        <v>0</v>
      </c>
      <c r="GK13" s="17">
        <v>0</v>
      </c>
      <c r="GL13" s="17">
        <v>0</v>
      </c>
      <c r="GM13" s="17">
        <v>0</v>
      </c>
      <c r="GN13" s="17">
        <v>0</v>
      </c>
      <c r="GO13" s="17">
        <v>0</v>
      </c>
      <c r="GP13" s="17">
        <v>0</v>
      </c>
      <c r="GQ13" s="17">
        <v>0</v>
      </c>
      <c r="GR13" s="17">
        <v>0</v>
      </c>
      <c r="GS13" s="17">
        <v>0</v>
      </c>
      <c r="GT13" s="17">
        <v>0</v>
      </c>
      <c r="GU13" s="17">
        <v>0</v>
      </c>
      <c r="GV13" s="17">
        <v>0</v>
      </c>
      <c r="GW13" s="17">
        <v>0</v>
      </c>
      <c r="GX13" s="17">
        <v>0</v>
      </c>
      <c r="GY13" s="17">
        <v>0</v>
      </c>
      <c r="GZ13" s="17">
        <v>8.9999999999999993E-3</v>
      </c>
      <c r="HA13" s="17">
        <v>0</v>
      </c>
      <c r="HB13" s="17">
        <v>0</v>
      </c>
      <c r="HC13" s="17">
        <v>0</v>
      </c>
      <c r="HD13" s="17">
        <v>0</v>
      </c>
      <c r="HE13" s="17">
        <v>0</v>
      </c>
      <c r="HF13" s="17">
        <v>0</v>
      </c>
      <c r="HG13" s="17">
        <v>8.0000000000000002E-3</v>
      </c>
      <c r="HH13" s="17">
        <v>0</v>
      </c>
    </row>
    <row r="14" spans="1:216" x14ac:dyDescent="0.25">
      <c r="A14" s="8">
        <v>10</v>
      </c>
      <c r="B14" s="8">
        <v>4.5</v>
      </c>
      <c r="C14" s="17">
        <v>0</v>
      </c>
      <c r="D14" s="17">
        <v>0</v>
      </c>
      <c r="E14" s="17">
        <v>0</v>
      </c>
      <c r="F14" s="17">
        <v>5.7000000000000002E-2</v>
      </c>
      <c r="G14" s="17">
        <v>6.8000000000000005E-2</v>
      </c>
      <c r="H14" s="17">
        <v>0.05</v>
      </c>
      <c r="I14" s="17">
        <v>5.6000000000000001E-2</v>
      </c>
      <c r="J14" s="17">
        <v>3.9E-2</v>
      </c>
      <c r="K14" s="17">
        <v>0</v>
      </c>
      <c r="L14" s="17">
        <v>0.04</v>
      </c>
      <c r="M14" s="17">
        <v>2.3E-2</v>
      </c>
      <c r="N14" s="17">
        <v>0.127</v>
      </c>
      <c r="O14" s="17">
        <v>3.5999999999999997E-2</v>
      </c>
      <c r="P14" s="17">
        <v>0.182</v>
      </c>
      <c r="Q14" s="17">
        <v>0</v>
      </c>
      <c r="R14" s="17">
        <v>1.6E-2</v>
      </c>
      <c r="S14" s="17">
        <v>0.14299999999999999</v>
      </c>
      <c r="T14" s="17">
        <v>1.7000000000000001E-2</v>
      </c>
      <c r="U14" s="17">
        <v>9.2999999999999999E-2</v>
      </c>
      <c r="V14" s="17">
        <v>0</v>
      </c>
      <c r="W14" s="17">
        <v>9.2999999999999999E-2</v>
      </c>
      <c r="X14" s="17">
        <v>7.2999999999999995E-2</v>
      </c>
      <c r="Y14" s="17">
        <v>0.123</v>
      </c>
      <c r="Z14" s="17">
        <v>5.1999999999999998E-2</v>
      </c>
      <c r="AA14" s="17">
        <v>0.158</v>
      </c>
      <c r="AB14" s="17">
        <v>3.7999999999999999E-2</v>
      </c>
      <c r="AC14" s="17">
        <v>0.09</v>
      </c>
      <c r="AD14" s="17">
        <v>6.3E-2</v>
      </c>
      <c r="AE14" s="17">
        <v>0</v>
      </c>
      <c r="AF14" s="17">
        <v>7.3999999999999996E-2</v>
      </c>
      <c r="AG14" s="17">
        <v>0.189</v>
      </c>
      <c r="AH14" s="17">
        <v>0.11799999999999999</v>
      </c>
      <c r="AI14" s="17">
        <v>0.123</v>
      </c>
      <c r="AJ14" s="17">
        <v>3.5000000000000003E-2</v>
      </c>
      <c r="AK14" s="17">
        <v>0</v>
      </c>
      <c r="AL14" s="17">
        <v>0.182</v>
      </c>
      <c r="AM14" s="17">
        <v>0.184</v>
      </c>
      <c r="AN14" s="17">
        <v>0.14499999999999999</v>
      </c>
      <c r="AO14" s="17">
        <v>0.09</v>
      </c>
      <c r="AP14" s="17">
        <v>0</v>
      </c>
      <c r="AQ14" s="17">
        <v>0.18099999999999999</v>
      </c>
      <c r="AR14" s="17">
        <v>6.7000000000000004E-2</v>
      </c>
      <c r="AS14" s="17">
        <v>3.9E-2</v>
      </c>
      <c r="AT14" s="17">
        <v>0</v>
      </c>
      <c r="AU14" s="17">
        <v>0.14899999999999999</v>
      </c>
      <c r="AV14" s="17">
        <v>6.8000000000000005E-2</v>
      </c>
      <c r="AW14" s="17">
        <v>2.7E-2</v>
      </c>
      <c r="AX14" s="17">
        <v>4.3999999999999997E-2</v>
      </c>
      <c r="AY14" s="17">
        <v>0</v>
      </c>
      <c r="AZ14" s="17">
        <v>0</v>
      </c>
      <c r="BA14" s="17">
        <v>8.6999999999999994E-2</v>
      </c>
      <c r="BB14" s="17">
        <v>0</v>
      </c>
      <c r="BC14" s="17">
        <v>0</v>
      </c>
      <c r="BD14" s="17">
        <v>0.153</v>
      </c>
      <c r="BE14" s="17">
        <v>0.185</v>
      </c>
      <c r="BF14" s="17">
        <v>2.8000000000000001E-2</v>
      </c>
      <c r="BG14" s="17">
        <v>7.0000000000000001E-3</v>
      </c>
      <c r="BH14" s="17">
        <v>2.7E-2</v>
      </c>
      <c r="BI14" s="17">
        <v>4.9000000000000002E-2</v>
      </c>
      <c r="BJ14" s="17">
        <v>8.7999999999999995E-2</v>
      </c>
      <c r="BK14" s="17">
        <v>6.8000000000000005E-2</v>
      </c>
      <c r="BL14" s="17">
        <v>0</v>
      </c>
      <c r="BM14" s="17">
        <v>0</v>
      </c>
      <c r="BN14" s="17">
        <v>2.5999999999999999E-2</v>
      </c>
      <c r="BO14" s="17">
        <v>0</v>
      </c>
      <c r="BP14" s="17">
        <v>8.0000000000000002E-3</v>
      </c>
      <c r="BQ14" s="17">
        <v>1.0999999999999999E-2</v>
      </c>
      <c r="BR14" s="17">
        <v>0.17599999999999999</v>
      </c>
      <c r="BS14" s="17">
        <v>0</v>
      </c>
      <c r="BT14" s="17">
        <v>8.7999999999999995E-2</v>
      </c>
      <c r="BU14" s="17">
        <v>3.2000000000000001E-2</v>
      </c>
      <c r="BV14" s="17">
        <v>0.189</v>
      </c>
      <c r="BW14" s="17">
        <v>0.01</v>
      </c>
      <c r="BX14" s="17">
        <v>8.5999999999999993E-2</v>
      </c>
      <c r="BY14" s="17">
        <v>0</v>
      </c>
      <c r="BZ14" s="17">
        <v>0.183</v>
      </c>
      <c r="CA14" s="17">
        <v>3.2000000000000001E-2</v>
      </c>
      <c r="CB14" s="17">
        <v>0.12</v>
      </c>
      <c r="CC14" s="17">
        <v>0.18099999999999999</v>
      </c>
      <c r="CD14" s="17">
        <v>6.6000000000000003E-2</v>
      </c>
      <c r="CE14" s="17">
        <v>5.0999999999999997E-2</v>
      </c>
      <c r="CF14" s="17">
        <v>3.0000000000000001E-3</v>
      </c>
      <c r="CG14" s="17">
        <v>0.156</v>
      </c>
      <c r="CH14" s="17">
        <v>4.5999999999999999E-2</v>
      </c>
      <c r="CI14" s="17">
        <v>0.127</v>
      </c>
      <c r="CJ14" s="17">
        <v>0</v>
      </c>
      <c r="CK14" s="17">
        <v>2E-3</v>
      </c>
      <c r="CL14" s="17">
        <v>0.12</v>
      </c>
      <c r="CM14" s="17">
        <v>0</v>
      </c>
      <c r="CN14" s="17">
        <v>9.0999999999999998E-2</v>
      </c>
      <c r="CO14" s="17">
        <v>0</v>
      </c>
      <c r="CP14" s="17">
        <v>0.121</v>
      </c>
      <c r="CQ14" s="17">
        <v>0</v>
      </c>
      <c r="CR14" s="17">
        <v>1.6E-2</v>
      </c>
      <c r="CS14" s="17">
        <v>0.156</v>
      </c>
      <c r="CT14" s="17">
        <v>0.18099999999999999</v>
      </c>
      <c r="CU14" s="17">
        <v>0.185</v>
      </c>
      <c r="CV14" s="17">
        <v>0</v>
      </c>
      <c r="CW14" s="17">
        <v>0</v>
      </c>
      <c r="CX14" s="17">
        <v>0.17699999999999999</v>
      </c>
      <c r="CY14" s="17">
        <v>0.10199999999999999</v>
      </c>
      <c r="CZ14" s="17">
        <v>0</v>
      </c>
      <c r="DA14" s="17">
        <v>5.0000000000000001E-3</v>
      </c>
      <c r="DB14" s="17">
        <v>0.02</v>
      </c>
      <c r="DC14" s="17">
        <v>6.9000000000000006E-2</v>
      </c>
      <c r="DD14" s="17">
        <v>4.3999999999999997E-2</v>
      </c>
      <c r="DE14" s="17">
        <v>8.5999999999999993E-2</v>
      </c>
      <c r="DF14" s="17">
        <v>0</v>
      </c>
      <c r="DG14" s="17">
        <v>0</v>
      </c>
      <c r="DH14" s="17">
        <v>3.0000000000000001E-3</v>
      </c>
      <c r="DI14" s="17">
        <v>7.2999999999999995E-2</v>
      </c>
      <c r="DJ14" s="17">
        <v>9.0999999999999998E-2</v>
      </c>
      <c r="DK14" s="17">
        <v>3.0000000000000001E-3</v>
      </c>
      <c r="DL14" s="17">
        <v>0</v>
      </c>
      <c r="DM14" s="17">
        <v>0</v>
      </c>
      <c r="DN14" s="17">
        <v>1E-3</v>
      </c>
      <c r="DO14" s="17">
        <v>0</v>
      </c>
      <c r="DP14" s="17">
        <v>4.1000000000000002E-2</v>
      </c>
      <c r="DQ14" s="17">
        <v>0.157</v>
      </c>
      <c r="DR14" s="17">
        <v>0</v>
      </c>
      <c r="DS14" s="17">
        <v>0</v>
      </c>
      <c r="DT14" s="17">
        <v>4.0000000000000001E-3</v>
      </c>
      <c r="DU14" s="17">
        <v>0</v>
      </c>
      <c r="DV14" s="17">
        <v>2.3E-2</v>
      </c>
      <c r="DW14" s="17">
        <v>0.03</v>
      </c>
      <c r="DX14" s="17">
        <v>0.104</v>
      </c>
      <c r="DY14" s="17">
        <v>8.5000000000000006E-2</v>
      </c>
      <c r="DZ14" s="17">
        <v>0</v>
      </c>
      <c r="EA14" s="17">
        <v>5.2999999999999999E-2</v>
      </c>
      <c r="EB14" s="17">
        <v>0.187</v>
      </c>
      <c r="EC14" s="17">
        <v>0</v>
      </c>
      <c r="ED14" s="17">
        <v>0.109</v>
      </c>
      <c r="EE14" s="17">
        <v>0</v>
      </c>
      <c r="EF14" s="17">
        <v>8.7999999999999995E-2</v>
      </c>
      <c r="EG14" s="17">
        <v>8.7999999999999995E-2</v>
      </c>
      <c r="EH14" s="17">
        <v>0.112</v>
      </c>
      <c r="EI14" s="17">
        <v>0</v>
      </c>
      <c r="EJ14" s="17">
        <v>0.156</v>
      </c>
      <c r="EK14" s="17">
        <v>0</v>
      </c>
      <c r="EL14" s="17">
        <v>3.4000000000000002E-2</v>
      </c>
      <c r="EM14" s="17">
        <v>1.4E-2</v>
      </c>
      <c r="EN14" s="17">
        <v>0</v>
      </c>
      <c r="EO14" s="17">
        <v>5.3999999999999999E-2</v>
      </c>
      <c r="EP14" s="17">
        <v>6.6000000000000003E-2</v>
      </c>
      <c r="EQ14" s="17">
        <v>4.5999999999999999E-2</v>
      </c>
      <c r="ER14" s="17">
        <v>0.192</v>
      </c>
      <c r="ES14" s="17">
        <v>6.0999999999999999E-2</v>
      </c>
      <c r="ET14" s="17">
        <v>0.11899999999999999</v>
      </c>
      <c r="EU14" s="17">
        <v>0</v>
      </c>
      <c r="EV14" s="17">
        <v>0</v>
      </c>
      <c r="EW14" s="17">
        <v>0.17499999999999999</v>
      </c>
      <c r="EX14" s="17">
        <v>8.3000000000000004E-2</v>
      </c>
      <c r="EY14" s="17">
        <v>6.9000000000000006E-2</v>
      </c>
      <c r="EZ14" s="17">
        <v>0.10199999999999999</v>
      </c>
      <c r="FA14" s="17">
        <v>0.02</v>
      </c>
      <c r="FB14" s="17">
        <v>0</v>
      </c>
      <c r="FC14" s="17">
        <v>0</v>
      </c>
      <c r="FD14" s="17">
        <v>0.124</v>
      </c>
      <c r="FE14" s="17">
        <v>0.17699999999999999</v>
      </c>
      <c r="FF14" s="17">
        <v>6.4000000000000001E-2</v>
      </c>
      <c r="FG14" s="17">
        <v>0.17599999999999999</v>
      </c>
      <c r="FH14" s="17">
        <v>7.9000000000000001E-2</v>
      </c>
      <c r="FI14" s="17">
        <v>0.183</v>
      </c>
      <c r="FJ14" s="17">
        <v>8.2000000000000003E-2</v>
      </c>
      <c r="FK14" s="17">
        <v>0</v>
      </c>
      <c r="FL14" s="17">
        <v>7.0000000000000001E-3</v>
      </c>
      <c r="FM14" s="17">
        <v>0</v>
      </c>
      <c r="FN14" s="17">
        <v>0.123</v>
      </c>
      <c r="FO14" s="17">
        <v>6.9000000000000006E-2</v>
      </c>
      <c r="FP14" s="17">
        <v>0.109</v>
      </c>
      <c r="FQ14" s="17">
        <v>8.0000000000000002E-3</v>
      </c>
      <c r="FR14" s="17">
        <v>8.8999999999999996E-2</v>
      </c>
      <c r="FS14" s="17">
        <v>6.4000000000000001E-2</v>
      </c>
      <c r="FT14" s="17">
        <v>8.5999999999999993E-2</v>
      </c>
      <c r="FU14" s="17">
        <v>2.1999999999999999E-2</v>
      </c>
      <c r="FV14" s="17">
        <v>0</v>
      </c>
      <c r="FW14" s="17">
        <v>0.11600000000000001</v>
      </c>
      <c r="FX14" s="17">
        <v>0.09</v>
      </c>
      <c r="FY14" s="17">
        <v>3.7999999999999999E-2</v>
      </c>
      <c r="FZ14" s="17">
        <v>7.4999999999999997E-2</v>
      </c>
      <c r="GA14" s="17">
        <v>1.2999999999999999E-2</v>
      </c>
      <c r="GB14" s="17">
        <v>3.9E-2</v>
      </c>
      <c r="GC14" s="17">
        <v>0.14699999999999999</v>
      </c>
      <c r="GD14" s="17">
        <v>0.105</v>
      </c>
      <c r="GE14" s="17">
        <v>0.17299999999999999</v>
      </c>
      <c r="GF14" s="17">
        <v>0</v>
      </c>
      <c r="GG14" s="17">
        <v>0</v>
      </c>
      <c r="GH14" s="17">
        <v>0.08</v>
      </c>
      <c r="GI14" s="17">
        <v>0.18099999999999999</v>
      </c>
      <c r="GJ14" s="17">
        <v>7.0000000000000007E-2</v>
      </c>
      <c r="GK14" s="17">
        <v>1.4999999999999999E-2</v>
      </c>
      <c r="GL14" s="17">
        <v>0</v>
      </c>
      <c r="GM14" s="17">
        <v>0</v>
      </c>
      <c r="GN14" s="17">
        <v>0.185</v>
      </c>
      <c r="GO14" s="17">
        <v>5.8000000000000003E-2</v>
      </c>
      <c r="GP14" s="17">
        <v>0.11600000000000001</v>
      </c>
      <c r="GQ14" s="17">
        <v>2.5000000000000001E-2</v>
      </c>
      <c r="GR14" s="17">
        <v>0.18</v>
      </c>
      <c r="GS14" s="17">
        <v>0</v>
      </c>
      <c r="GT14" s="17">
        <v>9.1999999999999998E-2</v>
      </c>
      <c r="GU14" s="17">
        <v>4.1000000000000002E-2</v>
      </c>
      <c r="GV14" s="17">
        <v>4.1000000000000002E-2</v>
      </c>
      <c r="GW14" s="17">
        <v>0.156</v>
      </c>
      <c r="GX14" s="17">
        <v>8.6999999999999994E-2</v>
      </c>
      <c r="GY14" s="17">
        <v>1.7999999999999999E-2</v>
      </c>
      <c r="GZ14" s="17">
        <v>3.2000000000000001E-2</v>
      </c>
      <c r="HA14" s="17">
        <v>8.1000000000000003E-2</v>
      </c>
      <c r="HB14" s="17">
        <v>0</v>
      </c>
      <c r="HC14" s="17">
        <v>0</v>
      </c>
      <c r="HD14" s="17">
        <v>0</v>
      </c>
      <c r="HE14" s="17">
        <v>1.2E-2</v>
      </c>
      <c r="HF14" s="17">
        <v>8.4000000000000005E-2</v>
      </c>
      <c r="HG14" s="17">
        <v>0.161</v>
      </c>
      <c r="HH14" s="17">
        <v>0.125</v>
      </c>
    </row>
    <row r="15" spans="1:216" x14ac:dyDescent="0.25">
      <c r="A15" s="8">
        <v>11</v>
      </c>
      <c r="B15" s="8">
        <v>5</v>
      </c>
      <c r="C15" s="17">
        <v>0.23599999999999999</v>
      </c>
      <c r="D15" s="17">
        <v>0.39100000000000001</v>
      </c>
      <c r="E15" s="17">
        <v>0.41299999999999998</v>
      </c>
      <c r="F15" s="17">
        <v>0.189</v>
      </c>
      <c r="G15" s="17">
        <v>0.183</v>
      </c>
      <c r="H15" s="17">
        <v>0.13600000000000001</v>
      </c>
      <c r="I15" s="17">
        <v>0.20899999999999999</v>
      </c>
      <c r="J15" s="17">
        <v>9.0999999999999998E-2</v>
      </c>
      <c r="K15" s="17">
        <v>0</v>
      </c>
      <c r="L15" s="17">
        <v>0.33200000000000002</v>
      </c>
      <c r="M15" s="17">
        <v>0.28799999999999998</v>
      </c>
      <c r="N15" s="17">
        <v>0.16400000000000001</v>
      </c>
      <c r="O15" s="17">
        <v>0.122</v>
      </c>
      <c r="P15" s="17">
        <v>0.41</v>
      </c>
      <c r="Q15" s="17">
        <v>0.128</v>
      </c>
      <c r="R15" s="17">
        <v>0.43</v>
      </c>
      <c r="S15" s="17">
        <v>0.308</v>
      </c>
      <c r="T15" s="17">
        <v>0</v>
      </c>
      <c r="U15" s="17">
        <v>0.23599999999999999</v>
      </c>
      <c r="V15" s="17">
        <v>0.27</v>
      </c>
      <c r="W15" s="17">
        <v>0.183</v>
      </c>
      <c r="X15" s="17">
        <v>2.3E-2</v>
      </c>
      <c r="Y15" s="17">
        <v>0.29499999999999998</v>
      </c>
      <c r="Z15" s="17">
        <v>0.29099999999999998</v>
      </c>
      <c r="AA15" s="17">
        <v>0.35799999999999998</v>
      </c>
      <c r="AB15" s="17">
        <v>0.124</v>
      </c>
      <c r="AC15" s="17">
        <v>0.23300000000000001</v>
      </c>
      <c r="AD15" s="17">
        <v>3.4000000000000002E-2</v>
      </c>
      <c r="AE15" s="17">
        <v>0.36899999999999999</v>
      </c>
      <c r="AF15" s="17">
        <v>0.34399999999999997</v>
      </c>
      <c r="AG15" s="17">
        <v>0.41699999999999998</v>
      </c>
      <c r="AH15" s="17">
        <v>0.28999999999999998</v>
      </c>
      <c r="AI15" s="17">
        <v>0.16800000000000001</v>
      </c>
      <c r="AJ15" s="17">
        <v>0.34300000000000003</v>
      </c>
      <c r="AK15" s="17">
        <v>0</v>
      </c>
      <c r="AL15" s="17">
        <v>0.27800000000000002</v>
      </c>
      <c r="AM15" s="17">
        <v>0.41199999999999998</v>
      </c>
      <c r="AN15" s="17">
        <v>0.29699999999999999</v>
      </c>
      <c r="AO15" s="17">
        <v>0.23300000000000001</v>
      </c>
      <c r="AP15" s="17">
        <v>7.3999999999999996E-2</v>
      </c>
      <c r="AQ15" s="17">
        <v>0.25700000000000001</v>
      </c>
      <c r="AR15" s="17">
        <v>0.184</v>
      </c>
      <c r="AS15" s="17">
        <v>8.6999999999999994E-2</v>
      </c>
      <c r="AT15" s="17">
        <v>0.40799999999999997</v>
      </c>
      <c r="AU15" s="17">
        <v>0.34899999999999998</v>
      </c>
      <c r="AV15" s="17">
        <v>0.37</v>
      </c>
      <c r="AW15" s="17">
        <v>0.19900000000000001</v>
      </c>
      <c r="AX15" s="17">
        <v>0.158</v>
      </c>
      <c r="AY15" s="17">
        <v>0.156</v>
      </c>
      <c r="AZ15" s="17">
        <v>0.127</v>
      </c>
      <c r="BA15" s="17">
        <v>0.35599999999999998</v>
      </c>
      <c r="BB15" s="17">
        <v>6.7000000000000004E-2</v>
      </c>
      <c r="BC15" s="17">
        <v>0</v>
      </c>
      <c r="BD15" s="17">
        <v>0.31900000000000001</v>
      </c>
      <c r="BE15" s="17">
        <v>0.20300000000000001</v>
      </c>
      <c r="BF15" s="17">
        <v>0.40600000000000003</v>
      </c>
      <c r="BG15" s="17">
        <v>0.39900000000000002</v>
      </c>
      <c r="BH15" s="17">
        <v>0.34300000000000003</v>
      </c>
      <c r="BI15" s="17">
        <v>0.28699999999999998</v>
      </c>
      <c r="BJ15" s="17">
        <v>0.23100000000000001</v>
      </c>
      <c r="BK15" s="17">
        <v>0.183</v>
      </c>
      <c r="BL15" s="17">
        <v>0.12</v>
      </c>
      <c r="BM15" s="17">
        <v>0.216</v>
      </c>
      <c r="BN15" s="17">
        <v>8.2000000000000003E-2</v>
      </c>
      <c r="BO15" s="17">
        <v>0.11799999999999999</v>
      </c>
      <c r="BP15" s="17">
        <v>0</v>
      </c>
      <c r="BQ15" s="17">
        <v>0.38900000000000001</v>
      </c>
      <c r="BR15" s="17">
        <v>0.40400000000000003</v>
      </c>
      <c r="BS15" s="17">
        <v>6.0999999999999999E-2</v>
      </c>
      <c r="BT15" s="17">
        <v>0.23100000000000001</v>
      </c>
      <c r="BU15" s="17">
        <v>1.7999999999999999E-2</v>
      </c>
      <c r="BV15" s="17">
        <v>0.41699999999999998</v>
      </c>
      <c r="BW15" s="17">
        <v>0.13500000000000001</v>
      </c>
      <c r="BX15" s="17">
        <v>0.41099999999999998</v>
      </c>
      <c r="BY15" s="17">
        <v>6.0999999999999999E-2</v>
      </c>
      <c r="BZ15" s="17">
        <v>0.41099999999999998</v>
      </c>
      <c r="CA15" s="17">
        <v>0.09</v>
      </c>
      <c r="CB15" s="17">
        <v>0.252</v>
      </c>
      <c r="CC15" s="17">
        <v>0.40899999999999997</v>
      </c>
      <c r="CD15" s="17">
        <v>0.18099999999999999</v>
      </c>
      <c r="CE15" s="17">
        <v>0.218</v>
      </c>
      <c r="CF15" s="17">
        <v>0.18</v>
      </c>
      <c r="CG15" s="17">
        <v>0.28100000000000003</v>
      </c>
      <c r="CH15" s="17">
        <v>0.28999999999999998</v>
      </c>
      <c r="CI15" s="17">
        <v>0.192</v>
      </c>
      <c r="CJ15" s="17">
        <v>0.125</v>
      </c>
      <c r="CK15" s="17">
        <v>0.28999999999999998</v>
      </c>
      <c r="CL15" s="17">
        <v>0.20899999999999999</v>
      </c>
      <c r="CM15" s="17">
        <v>0.10100000000000001</v>
      </c>
      <c r="CN15" s="17">
        <v>0.30599999999999999</v>
      </c>
      <c r="CO15" s="17">
        <v>0</v>
      </c>
      <c r="CP15" s="17">
        <v>0.19</v>
      </c>
      <c r="CQ15" s="17">
        <v>0.35199999999999998</v>
      </c>
      <c r="CR15" s="17">
        <v>0</v>
      </c>
      <c r="CS15" s="17">
        <v>0.34899999999999998</v>
      </c>
      <c r="CT15" s="17">
        <v>0.26100000000000001</v>
      </c>
      <c r="CU15" s="17">
        <v>0.41299999999999998</v>
      </c>
      <c r="CV15" s="17">
        <v>0.41699999999999998</v>
      </c>
      <c r="CW15" s="17">
        <v>0.124</v>
      </c>
      <c r="CX15" s="17">
        <v>0.40500000000000003</v>
      </c>
      <c r="CY15" s="17">
        <v>0.14799999999999999</v>
      </c>
      <c r="CZ15" s="17">
        <v>0.26800000000000002</v>
      </c>
      <c r="DA15" s="17">
        <v>0.29499999999999998</v>
      </c>
      <c r="DB15" s="17">
        <v>0.23899999999999999</v>
      </c>
      <c r="DC15" s="17">
        <v>0.316</v>
      </c>
      <c r="DD15" s="17">
        <v>0</v>
      </c>
      <c r="DE15" s="17">
        <v>0.35299999999999998</v>
      </c>
      <c r="DF15" s="17">
        <v>0</v>
      </c>
      <c r="DG15" s="17">
        <v>0.23499999999999999</v>
      </c>
      <c r="DH15" s="17">
        <v>0.38700000000000001</v>
      </c>
      <c r="DI15" s="17">
        <v>0.35499999999999998</v>
      </c>
      <c r="DJ15" s="17">
        <v>0.115</v>
      </c>
      <c r="DK15" s="17">
        <v>0.22600000000000001</v>
      </c>
      <c r="DL15" s="17">
        <v>0.17699999999999999</v>
      </c>
      <c r="DM15" s="17">
        <v>0.41</v>
      </c>
      <c r="DN15" s="17">
        <v>0.20899999999999999</v>
      </c>
      <c r="DO15" s="17">
        <v>5.7000000000000002E-2</v>
      </c>
      <c r="DP15" s="17">
        <v>0.29599999999999999</v>
      </c>
      <c r="DQ15" s="17">
        <v>0.28699999999999998</v>
      </c>
      <c r="DR15" s="17">
        <v>0.17599999999999999</v>
      </c>
      <c r="DS15" s="17">
        <v>0.29599999999999999</v>
      </c>
      <c r="DT15" s="17">
        <v>0.38500000000000001</v>
      </c>
      <c r="DU15" s="17">
        <v>0</v>
      </c>
      <c r="DV15" s="17">
        <v>0</v>
      </c>
      <c r="DW15" s="17">
        <v>0.41199999999999998</v>
      </c>
      <c r="DX15" s="17">
        <v>0.14399999999999999</v>
      </c>
      <c r="DY15" s="17">
        <v>0.25600000000000001</v>
      </c>
      <c r="DZ15" s="17">
        <v>0</v>
      </c>
      <c r="EA15" s="17">
        <v>0.18</v>
      </c>
      <c r="EB15" s="17">
        <v>0.41499999999999998</v>
      </c>
      <c r="EC15" s="17">
        <v>0.25600000000000001</v>
      </c>
      <c r="ED15" s="17">
        <v>0.24099999999999999</v>
      </c>
      <c r="EE15" s="17">
        <v>0.34599999999999997</v>
      </c>
      <c r="EF15" s="17">
        <v>0.30299999999999999</v>
      </c>
      <c r="EG15" s="17">
        <v>0.42099999999999999</v>
      </c>
      <c r="EH15" s="17">
        <v>0.40899999999999997</v>
      </c>
      <c r="EI15" s="17">
        <v>0.22600000000000001</v>
      </c>
      <c r="EJ15" s="17">
        <v>0.35599999999999998</v>
      </c>
      <c r="EK15" s="17">
        <v>8.5999999999999993E-2</v>
      </c>
      <c r="EL15" s="17">
        <v>0.35299999999999998</v>
      </c>
      <c r="EM15" s="17">
        <v>6.0000000000000001E-3</v>
      </c>
      <c r="EN15" s="17">
        <v>0.111</v>
      </c>
      <c r="EO15" s="17">
        <v>0.41899999999999998</v>
      </c>
      <c r="EP15" s="17">
        <v>0.16200000000000001</v>
      </c>
      <c r="EQ15" s="17">
        <v>0.13200000000000001</v>
      </c>
      <c r="ER15" s="17">
        <v>0.307</v>
      </c>
      <c r="ES15" s="17">
        <v>0.17599999999999999</v>
      </c>
      <c r="ET15" s="17">
        <v>0.29799999999999999</v>
      </c>
      <c r="EU15" s="17">
        <v>0.28100000000000003</v>
      </c>
      <c r="EV15" s="17">
        <v>0.152</v>
      </c>
      <c r="EW15" s="17">
        <v>0.26100000000000001</v>
      </c>
      <c r="EX15" s="17">
        <v>0.23</v>
      </c>
      <c r="EY15" s="17">
        <v>0.17799999999999999</v>
      </c>
      <c r="EZ15" s="17">
        <v>0.28999999999999998</v>
      </c>
      <c r="FA15" s="17">
        <v>6.0999999999999999E-2</v>
      </c>
      <c r="FB15" s="17">
        <v>8.2000000000000003E-2</v>
      </c>
      <c r="FC15" s="17">
        <v>0.34200000000000003</v>
      </c>
      <c r="FD15" s="17">
        <v>8.1000000000000003E-2</v>
      </c>
      <c r="FE15" s="17">
        <v>0.40500000000000003</v>
      </c>
      <c r="FF15" s="17">
        <v>0.17899999999999999</v>
      </c>
      <c r="FG15" s="17">
        <v>0.25700000000000001</v>
      </c>
      <c r="FH15" s="17">
        <v>0.19400000000000001</v>
      </c>
      <c r="FI15" s="17">
        <v>0.36799999999999999</v>
      </c>
      <c r="FJ15" s="17">
        <v>0.29699999999999999</v>
      </c>
      <c r="FK15" s="17">
        <v>0.28999999999999998</v>
      </c>
      <c r="FL15" s="17">
        <v>0.21</v>
      </c>
      <c r="FM15" s="17">
        <v>0.14899999999999999</v>
      </c>
      <c r="FN15" s="17">
        <v>0.17299999999999999</v>
      </c>
      <c r="FO15" s="17">
        <v>0</v>
      </c>
      <c r="FP15" s="17">
        <v>0.252</v>
      </c>
      <c r="FQ15" s="17">
        <v>0.29599999999999999</v>
      </c>
      <c r="FR15" s="17">
        <v>0.23200000000000001</v>
      </c>
      <c r="FS15" s="17">
        <v>0</v>
      </c>
      <c r="FT15" s="17">
        <v>0.22900000000000001</v>
      </c>
      <c r="FU15" s="17">
        <v>6.0999999999999999E-2</v>
      </c>
      <c r="FV15" s="17">
        <v>0</v>
      </c>
      <c r="FW15" s="17">
        <v>0.28799999999999998</v>
      </c>
      <c r="FX15" s="17">
        <v>0.35599999999999998</v>
      </c>
      <c r="FY15" s="17">
        <v>4.3999999999999997E-2</v>
      </c>
      <c r="FZ15" s="17">
        <v>0.35099999999999998</v>
      </c>
      <c r="GA15" s="17">
        <v>0.16900000000000001</v>
      </c>
      <c r="GB15" s="17">
        <v>0.41399999999999998</v>
      </c>
      <c r="GC15" s="17">
        <v>0.24099999999999999</v>
      </c>
      <c r="GD15" s="17">
        <v>0.189</v>
      </c>
      <c r="GE15" s="17">
        <v>0.40100000000000002</v>
      </c>
      <c r="GF15" s="17">
        <v>1.7999999999999999E-2</v>
      </c>
      <c r="GG15" s="17">
        <v>8.5999999999999993E-2</v>
      </c>
      <c r="GH15" s="17">
        <v>0.23699999999999999</v>
      </c>
      <c r="GI15" s="17">
        <v>0.40899999999999997</v>
      </c>
      <c r="GJ15" s="17">
        <v>1.7000000000000001E-2</v>
      </c>
      <c r="GK15" s="17">
        <v>8.5999999999999993E-2</v>
      </c>
      <c r="GL15" s="17">
        <v>0.16</v>
      </c>
      <c r="GM15" s="17">
        <v>5.3999999999999999E-2</v>
      </c>
      <c r="GN15" s="17">
        <v>0.41299999999999998</v>
      </c>
      <c r="GO15" s="17">
        <v>0.40300000000000002</v>
      </c>
      <c r="GP15" s="17">
        <v>0.23</v>
      </c>
      <c r="GQ15" s="17">
        <v>0.31</v>
      </c>
      <c r="GR15" s="17">
        <v>0.40799999999999997</v>
      </c>
      <c r="GS15" s="17">
        <v>0.182</v>
      </c>
      <c r="GT15" s="17">
        <v>0.23499999999999999</v>
      </c>
      <c r="GU15" s="17">
        <v>0.19500000000000001</v>
      </c>
      <c r="GV15" s="17">
        <v>0.24099999999999999</v>
      </c>
      <c r="GW15" s="17">
        <v>0.154</v>
      </c>
      <c r="GX15" s="17">
        <v>0.25800000000000001</v>
      </c>
      <c r="GY15" s="17">
        <v>0.22</v>
      </c>
      <c r="GZ15" s="17">
        <v>0.42</v>
      </c>
      <c r="HA15" s="17">
        <v>0.24199999999999999</v>
      </c>
      <c r="HB15" s="17">
        <v>0.158</v>
      </c>
      <c r="HC15" s="17">
        <v>0.156</v>
      </c>
      <c r="HD15" s="17">
        <v>0.39300000000000002</v>
      </c>
      <c r="HE15" s="17">
        <v>0.189</v>
      </c>
      <c r="HF15" s="17">
        <v>0.35599999999999998</v>
      </c>
      <c r="HG15" s="17">
        <v>0.218</v>
      </c>
      <c r="HH15" s="17">
        <v>0.29699999999999999</v>
      </c>
    </row>
    <row r="16" spans="1:216" x14ac:dyDescent="0.25">
      <c r="A16" s="8">
        <v>12</v>
      </c>
      <c r="B16" s="8">
        <v>5.5</v>
      </c>
      <c r="C16" s="17">
        <v>0.41199999999999998</v>
      </c>
      <c r="D16" s="17">
        <v>0.59199999999999997</v>
      </c>
      <c r="E16" s="17">
        <v>0.57899999999999996</v>
      </c>
      <c r="F16" s="17">
        <v>0.19</v>
      </c>
      <c r="G16" s="17">
        <v>0.32300000000000001</v>
      </c>
      <c r="H16" s="17">
        <v>0.24099999999999999</v>
      </c>
      <c r="I16" s="17">
        <v>0.34699999999999998</v>
      </c>
      <c r="J16" s="17">
        <v>0.154</v>
      </c>
      <c r="K16" s="17">
        <v>0</v>
      </c>
      <c r="L16" s="17">
        <v>0.68700000000000006</v>
      </c>
      <c r="M16" s="17">
        <v>0.503</v>
      </c>
      <c r="N16" s="17">
        <v>0.50900000000000001</v>
      </c>
      <c r="O16" s="17">
        <v>0.22700000000000001</v>
      </c>
      <c r="P16" s="17">
        <v>0.69099999999999995</v>
      </c>
      <c r="Q16" s="17">
        <v>0</v>
      </c>
      <c r="R16" s="17">
        <v>0.59499999999999997</v>
      </c>
      <c r="S16" s="17">
        <v>0.56200000000000006</v>
      </c>
      <c r="T16" s="17">
        <v>0.23100000000000001</v>
      </c>
      <c r="U16" s="17">
        <v>0.27200000000000002</v>
      </c>
      <c r="V16" s="17">
        <v>0.501</v>
      </c>
      <c r="W16" s="17">
        <v>0.33200000000000002</v>
      </c>
      <c r="X16" s="17">
        <v>0.23200000000000001</v>
      </c>
      <c r="Y16" s="17">
        <v>0.36199999999999999</v>
      </c>
      <c r="Z16" s="17">
        <v>0.47599999999999998</v>
      </c>
      <c r="AA16" s="17">
        <v>0.60299999999999998</v>
      </c>
      <c r="AB16" s="17">
        <v>0.22900000000000001</v>
      </c>
      <c r="AC16" s="17">
        <v>0.40899999999999997</v>
      </c>
      <c r="AD16" s="17">
        <v>0.311</v>
      </c>
      <c r="AE16" s="17">
        <v>0.59599999999999997</v>
      </c>
      <c r="AF16" s="17">
        <v>0.55400000000000005</v>
      </c>
      <c r="AG16" s="17">
        <v>0.69799999999999995</v>
      </c>
      <c r="AH16" s="17">
        <v>0.5</v>
      </c>
      <c r="AI16" s="17">
        <v>0.57199999999999995</v>
      </c>
      <c r="AJ16" s="17">
        <v>0.63400000000000001</v>
      </c>
      <c r="AK16" s="17">
        <v>0.106</v>
      </c>
      <c r="AL16" s="17">
        <v>0.69099999999999995</v>
      </c>
      <c r="AM16" s="17">
        <v>0.69299999999999995</v>
      </c>
      <c r="AN16" s="17">
        <v>0.7</v>
      </c>
      <c r="AO16" s="17">
        <v>0.40899999999999997</v>
      </c>
      <c r="AP16" s="17">
        <v>0.22900000000000001</v>
      </c>
      <c r="AQ16" s="17">
        <v>0.58899999999999997</v>
      </c>
      <c r="AR16" s="17">
        <v>0.19</v>
      </c>
      <c r="AS16" s="17">
        <v>0.153</v>
      </c>
      <c r="AT16" s="17">
        <v>0.51100000000000001</v>
      </c>
      <c r="AU16" s="17">
        <v>0.59399999999999997</v>
      </c>
      <c r="AV16" s="17">
        <v>0.57299999999999995</v>
      </c>
      <c r="AW16" s="17">
        <v>0.497</v>
      </c>
      <c r="AX16" s="17">
        <v>0.17</v>
      </c>
      <c r="AY16" s="17">
        <v>0.192</v>
      </c>
      <c r="AZ16" s="17">
        <v>0.35099999999999998</v>
      </c>
      <c r="BA16" s="17">
        <v>0.60099999999999998</v>
      </c>
      <c r="BB16" s="17">
        <v>0.32700000000000001</v>
      </c>
      <c r="BC16" s="17">
        <v>0.124</v>
      </c>
      <c r="BD16" s="17">
        <v>0.55600000000000005</v>
      </c>
      <c r="BE16" s="17">
        <v>0.62</v>
      </c>
      <c r="BF16" s="17">
        <v>0.68700000000000006</v>
      </c>
      <c r="BG16" s="17">
        <v>0.63900000000000001</v>
      </c>
      <c r="BH16" s="17">
        <v>0.63900000000000001</v>
      </c>
      <c r="BI16" s="17">
        <v>0.497</v>
      </c>
      <c r="BJ16" s="17">
        <v>0.40699999999999997</v>
      </c>
      <c r="BK16" s="17">
        <v>0.32300000000000001</v>
      </c>
      <c r="BL16" s="17">
        <v>0.23</v>
      </c>
      <c r="BM16" s="17">
        <v>0.69299999999999995</v>
      </c>
      <c r="BN16" s="17">
        <v>4.2000000000000003E-2</v>
      </c>
      <c r="BO16" s="17">
        <v>0.122</v>
      </c>
      <c r="BP16" s="17">
        <v>0.22600000000000001</v>
      </c>
      <c r="BQ16" s="17">
        <v>0.56499999999999995</v>
      </c>
      <c r="BR16" s="17">
        <v>0.68500000000000005</v>
      </c>
      <c r="BS16" s="17">
        <v>0.252</v>
      </c>
      <c r="BT16" s="17">
        <v>0.40699999999999997</v>
      </c>
      <c r="BU16" s="17">
        <v>0.223</v>
      </c>
      <c r="BV16" s="17">
        <v>0.58199999999999996</v>
      </c>
      <c r="BW16" s="17">
        <v>0.32100000000000001</v>
      </c>
      <c r="BX16" s="17">
        <v>0.67100000000000004</v>
      </c>
      <c r="BY16" s="17">
        <v>0.129</v>
      </c>
      <c r="BZ16" s="17">
        <v>0.61099999999999999</v>
      </c>
      <c r="CA16" s="17">
        <v>0.29099999999999998</v>
      </c>
      <c r="CB16" s="17">
        <v>0.45300000000000001</v>
      </c>
      <c r="CC16" s="17">
        <v>0.69</v>
      </c>
      <c r="CD16" s="17">
        <v>0.17199999999999999</v>
      </c>
      <c r="CE16" s="17">
        <v>0.40600000000000003</v>
      </c>
      <c r="CF16" s="17">
        <v>7.0000000000000007E-2</v>
      </c>
      <c r="CG16" s="17">
        <v>0.66200000000000003</v>
      </c>
      <c r="CH16" s="17">
        <v>0.60499999999999998</v>
      </c>
      <c r="CI16" s="17">
        <v>0.32200000000000001</v>
      </c>
      <c r="CJ16" s="17">
        <v>7.2999999999999995E-2</v>
      </c>
      <c r="CK16" s="17">
        <v>0.49199999999999999</v>
      </c>
      <c r="CL16" s="17">
        <v>0.45800000000000002</v>
      </c>
      <c r="CM16" s="17">
        <v>0.216</v>
      </c>
      <c r="CN16" s="17">
        <v>0.59699999999999998</v>
      </c>
      <c r="CO16" s="17">
        <v>7.6999999999999999E-2</v>
      </c>
      <c r="CP16" s="17">
        <v>0.44400000000000001</v>
      </c>
      <c r="CQ16" s="17">
        <v>0.59699999999999998</v>
      </c>
      <c r="CR16" s="17">
        <v>2.9000000000000001E-2</v>
      </c>
      <c r="CS16" s="17">
        <v>0.6</v>
      </c>
      <c r="CT16" s="17">
        <v>0.69</v>
      </c>
      <c r="CU16" s="17">
        <v>0.69399999999999995</v>
      </c>
      <c r="CV16" s="17">
        <v>0.58499999999999996</v>
      </c>
      <c r="CW16" s="17">
        <v>0.04</v>
      </c>
      <c r="CX16" s="17">
        <v>0.68600000000000005</v>
      </c>
      <c r="CY16" s="17">
        <v>0.48899999999999999</v>
      </c>
      <c r="CZ16" s="17">
        <v>0.54900000000000004</v>
      </c>
      <c r="DA16" s="17">
        <v>0.35299999999999998</v>
      </c>
      <c r="DB16" s="17">
        <v>0.41499999999999998</v>
      </c>
      <c r="DC16" s="17">
        <v>0.51</v>
      </c>
      <c r="DD16" s="17">
        <v>0.14899999999999999</v>
      </c>
      <c r="DE16" s="17">
        <v>0.69199999999999995</v>
      </c>
      <c r="DF16" s="17">
        <v>0.14799999999999999</v>
      </c>
      <c r="DG16" s="17">
        <v>0.503</v>
      </c>
      <c r="DH16" s="17">
        <v>0.39300000000000002</v>
      </c>
      <c r="DI16" s="17">
        <v>0.6</v>
      </c>
      <c r="DJ16" s="17">
        <v>0.505</v>
      </c>
      <c r="DK16" s="17">
        <v>0.25700000000000001</v>
      </c>
      <c r="DL16" s="17">
        <v>0.27</v>
      </c>
      <c r="DM16" s="17">
        <v>0.65900000000000003</v>
      </c>
      <c r="DN16" s="17">
        <v>0.372</v>
      </c>
      <c r="DO16" s="17">
        <v>0.41399999999999998</v>
      </c>
      <c r="DP16" s="17">
        <v>0.442</v>
      </c>
      <c r="DQ16" s="17">
        <v>0.42199999999999999</v>
      </c>
      <c r="DR16" s="17">
        <v>0.13800000000000001</v>
      </c>
      <c r="DS16" s="17">
        <v>0.44800000000000001</v>
      </c>
      <c r="DT16" s="17">
        <v>0.52</v>
      </c>
      <c r="DU16" s="17">
        <v>0.23</v>
      </c>
      <c r="DV16" s="17">
        <v>0.22700000000000001</v>
      </c>
      <c r="DW16" s="17">
        <v>0.59699999999999998</v>
      </c>
      <c r="DX16" s="17">
        <v>0.375</v>
      </c>
      <c r="DY16" s="17">
        <v>0.59699999999999998</v>
      </c>
      <c r="DZ16" s="17">
        <v>0.14299999999999999</v>
      </c>
      <c r="EA16" s="17">
        <v>0.44800000000000001</v>
      </c>
      <c r="EB16" s="17">
        <v>0.69599999999999995</v>
      </c>
      <c r="EC16" s="17">
        <v>0.51100000000000001</v>
      </c>
      <c r="ED16" s="17">
        <v>0.59599999999999997</v>
      </c>
      <c r="EE16" s="17">
        <v>0.58399999999999996</v>
      </c>
      <c r="EF16" s="17">
        <v>0.59299999999999997</v>
      </c>
      <c r="EG16" s="17">
        <v>0.499</v>
      </c>
      <c r="EH16" s="17">
        <v>0.58699999999999997</v>
      </c>
      <c r="EI16" s="17">
        <v>0.496</v>
      </c>
      <c r="EJ16" s="17">
        <v>0.439</v>
      </c>
      <c r="EK16" s="17">
        <v>0.14000000000000001</v>
      </c>
      <c r="EL16" s="17">
        <v>0.52</v>
      </c>
      <c r="EM16" s="17">
        <v>0.375</v>
      </c>
      <c r="EN16" s="17">
        <v>0.32600000000000001</v>
      </c>
      <c r="EO16" s="17">
        <v>0.61099999999999999</v>
      </c>
      <c r="EP16" s="17">
        <v>0.20499999999999999</v>
      </c>
      <c r="EQ16" s="17">
        <v>0.23699999999999999</v>
      </c>
      <c r="ER16" s="17">
        <v>0.67600000000000005</v>
      </c>
      <c r="ES16" s="17">
        <v>6.8000000000000005E-2</v>
      </c>
      <c r="ET16" s="17">
        <v>0.63200000000000001</v>
      </c>
      <c r="EU16" s="17">
        <v>0.26600000000000001</v>
      </c>
      <c r="EV16" s="17">
        <v>0.50600000000000001</v>
      </c>
      <c r="EW16" s="17">
        <v>0.61299999999999999</v>
      </c>
      <c r="EX16" s="17">
        <v>0.40600000000000003</v>
      </c>
      <c r="EY16" s="17">
        <v>0.32600000000000001</v>
      </c>
      <c r="EZ16" s="17">
        <v>0.46</v>
      </c>
      <c r="FA16" s="17">
        <v>0.22800000000000001</v>
      </c>
      <c r="FB16" s="17">
        <v>0.29899999999999999</v>
      </c>
      <c r="FC16" s="17">
        <v>0.505</v>
      </c>
      <c r="FD16" s="17">
        <v>0.50600000000000001</v>
      </c>
      <c r="FE16" s="17">
        <v>0.68600000000000005</v>
      </c>
      <c r="FF16" s="17">
        <v>0.31900000000000001</v>
      </c>
      <c r="FG16" s="17">
        <v>0.68400000000000005</v>
      </c>
      <c r="FH16" s="17">
        <v>0.33400000000000002</v>
      </c>
      <c r="FI16" s="17">
        <v>0.56599999999999995</v>
      </c>
      <c r="FJ16" s="17">
        <v>0.42</v>
      </c>
      <c r="FK16" s="17">
        <v>0.26400000000000001</v>
      </c>
      <c r="FL16" s="17">
        <v>0.14499999999999999</v>
      </c>
      <c r="FM16" s="17">
        <v>0.41099999999999998</v>
      </c>
      <c r="FN16" s="17">
        <v>0.44800000000000001</v>
      </c>
      <c r="FO16" s="17">
        <v>0</v>
      </c>
      <c r="FP16" s="17">
        <v>0.42799999999999999</v>
      </c>
      <c r="FQ16" s="17">
        <v>0.372</v>
      </c>
      <c r="FR16" s="17">
        <v>0.35599999999999998</v>
      </c>
      <c r="FS16" s="17">
        <v>0.34399999999999997</v>
      </c>
      <c r="FT16" s="17">
        <v>0.40500000000000003</v>
      </c>
      <c r="FU16" s="17">
        <v>0.24399999999999999</v>
      </c>
      <c r="FV16" s="17">
        <v>0.13300000000000001</v>
      </c>
      <c r="FW16" s="17">
        <v>0.498</v>
      </c>
      <c r="FX16" s="17">
        <v>0.35499999999999998</v>
      </c>
      <c r="FY16" s="17">
        <v>0.19500000000000001</v>
      </c>
      <c r="FZ16" s="17">
        <v>0.52600000000000002</v>
      </c>
      <c r="GA16" s="17">
        <v>0.39700000000000002</v>
      </c>
      <c r="GB16" s="17">
        <v>0.6</v>
      </c>
      <c r="GC16" s="17">
        <v>0.58699999999999997</v>
      </c>
      <c r="GD16" s="17">
        <v>0.4</v>
      </c>
      <c r="GE16" s="17">
        <v>0.57399999999999995</v>
      </c>
      <c r="GF16" s="17">
        <v>3.9E-2</v>
      </c>
      <c r="GG16" s="17">
        <v>0.32100000000000001</v>
      </c>
      <c r="GH16" s="17">
        <v>0.41299999999999998</v>
      </c>
      <c r="GI16" s="17">
        <v>0.69</v>
      </c>
      <c r="GJ16" s="17">
        <v>0.316</v>
      </c>
      <c r="GK16" s="17">
        <v>0.32</v>
      </c>
      <c r="GL16" s="17">
        <v>0.13700000000000001</v>
      </c>
      <c r="GM16" s="17">
        <v>0.23499999999999999</v>
      </c>
      <c r="GN16" s="17">
        <v>0.52500000000000002</v>
      </c>
      <c r="GO16" s="17">
        <v>0.61599999999999999</v>
      </c>
      <c r="GP16" s="17">
        <v>0.60499999999999998</v>
      </c>
      <c r="GQ16" s="17">
        <v>0.34300000000000003</v>
      </c>
      <c r="GR16" s="17">
        <v>0.56599999999999995</v>
      </c>
      <c r="GS16" s="17">
        <v>0.60199999999999998</v>
      </c>
      <c r="GT16" s="17">
        <v>0.41099999999999998</v>
      </c>
      <c r="GU16" s="17">
        <v>0.32200000000000001</v>
      </c>
      <c r="GV16" s="17">
        <v>0.36499999999999999</v>
      </c>
      <c r="GW16" s="17">
        <v>0.69299999999999995</v>
      </c>
      <c r="GX16" s="17">
        <v>0.499</v>
      </c>
      <c r="GY16" s="17">
        <v>0.5</v>
      </c>
      <c r="GZ16" s="17">
        <v>0.60699999999999998</v>
      </c>
      <c r="HA16" s="17">
        <v>0.50900000000000001</v>
      </c>
      <c r="HB16" s="17">
        <v>0.45500000000000002</v>
      </c>
      <c r="HC16" s="17">
        <v>0.24099999999999999</v>
      </c>
      <c r="HD16" s="17">
        <v>0.44</v>
      </c>
      <c r="HE16" s="17">
        <v>0.36399999999999999</v>
      </c>
      <c r="HF16" s="17">
        <v>0.52800000000000002</v>
      </c>
      <c r="HG16" s="17">
        <v>0.7</v>
      </c>
      <c r="HH16" s="17">
        <v>0.50700000000000001</v>
      </c>
    </row>
    <row r="17" spans="1:216" x14ac:dyDescent="0.25">
      <c r="A17" s="8">
        <v>13</v>
      </c>
      <c r="B17" s="8">
        <v>6</v>
      </c>
      <c r="C17" s="17">
        <v>0.42799999999999999</v>
      </c>
      <c r="D17" s="17">
        <v>0.873</v>
      </c>
      <c r="E17" s="17">
        <v>0.85199999999999998</v>
      </c>
      <c r="F17" s="17">
        <v>0.61599999999999999</v>
      </c>
      <c r="G17" s="17">
        <v>0.47599999999999998</v>
      </c>
      <c r="H17" s="17">
        <v>0.35599999999999998</v>
      </c>
      <c r="I17" s="17">
        <v>0.73</v>
      </c>
      <c r="J17" s="17">
        <v>0.46800000000000003</v>
      </c>
      <c r="K17" s="17">
        <v>0.21299999999999999</v>
      </c>
      <c r="L17" s="17">
        <v>0.95099999999999996</v>
      </c>
      <c r="M17" s="17">
        <v>0.70899999999999996</v>
      </c>
      <c r="N17" s="17">
        <v>0.60299999999999998</v>
      </c>
      <c r="O17" s="17">
        <v>0.34200000000000003</v>
      </c>
      <c r="P17" s="17">
        <v>0.997</v>
      </c>
      <c r="Q17" s="17">
        <v>0.24299999999999999</v>
      </c>
      <c r="R17" s="17">
        <v>0.94199999999999995</v>
      </c>
      <c r="S17" s="17">
        <v>1.0069999999999999</v>
      </c>
      <c r="T17" s="17">
        <v>0.40200000000000002</v>
      </c>
      <c r="U17" s="17">
        <v>0.58099999999999996</v>
      </c>
      <c r="V17" s="17">
        <v>0.57599999999999996</v>
      </c>
      <c r="W17" s="17">
        <v>0.55700000000000005</v>
      </c>
      <c r="X17" s="17">
        <v>0.34799999999999998</v>
      </c>
      <c r="Y17" s="17">
        <v>0.72099999999999997</v>
      </c>
      <c r="Z17" s="17">
        <v>0.7</v>
      </c>
      <c r="AA17" s="17">
        <v>0.871</v>
      </c>
      <c r="AB17" s="17">
        <v>0.34399999999999997</v>
      </c>
      <c r="AC17" s="17">
        <v>0.55800000000000005</v>
      </c>
      <c r="AD17" s="17">
        <v>0.38200000000000001</v>
      </c>
      <c r="AE17" s="17">
        <v>0.82499999999999996</v>
      </c>
      <c r="AF17" s="17">
        <v>0.82199999999999995</v>
      </c>
      <c r="AG17" s="17">
        <v>1.004</v>
      </c>
      <c r="AH17" s="17">
        <v>0.70599999999999996</v>
      </c>
      <c r="AI17" s="17">
        <v>0.86599999999999999</v>
      </c>
      <c r="AJ17" s="17">
        <v>0.97499999999999998</v>
      </c>
      <c r="AK17" s="17">
        <v>0.25800000000000001</v>
      </c>
      <c r="AL17" s="17">
        <v>0.97299999999999998</v>
      </c>
      <c r="AM17" s="17">
        <v>0.999</v>
      </c>
      <c r="AN17" s="17">
        <v>0.92200000000000004</v>
      </c>
      <c r="AO17" s="17">
        <v>0.56100000000000005</v>
      </c>
      <c r="AP17" s="17">
        <v>0.2</v>
      </c>
      <c r="AQ17" s="17">
        <v>0.996</v>
      </c>
      <c r="AR17" s="17">
        <v>0.60299999999999998</v>
      </c>
      <c r="AS17" s="17">
        <v>0.47499999999999998</v>
      </c>
      <c r="AT17" s="17">
        <v>0.93500000000000005</v>
      </c>
      <c r="AU17" s="17">
        <v>0.86199999999999999</v>
      </c>
      <c r="AV17" s="17">
        <v>0.91900000000000004</v>
      </c>
      <c r="AW17" s="17">
        <v>0.55000000000000004</v>
      </c>
      <c r="AX17" s="17">
        <v>0.47599999999999998</v>
      </c>
      <c r="AY17" s="17">
        <v>0.41699999999999998</v>
      </c>
      <c r="AZ17" s="17">
        <v>0.30399999999999999</v>
      </c>
      <c r="BA17" s="17">
        <v>0.73799999999999999</v>
      </c>
      <c r="BB17" s="17">
        <v>0.252</v>
      </c>
      <c r="BC17" s="17">
        <v>0.42699999999999999</v>
      </c>
      <c r="BD17" s="17">
        <v>0.86599999999999999</v>
      </c>
      <c r="BE17" s="17">
        <v>1</v>
      </c>
      <c r="BF17" s="17">
        <v>0.85699999999999998</v>
      </c>
      <c r="BG17" s="17">
        <v>0.86299999999999999</v>
      </c>
      <c r="BH17" s="17">
        <v>0.89200000000000002</v>
      </c>
      <c r="BI17" s="17">
        <v>0.45300000000000001</v>
      </c>
      <c r="BJ17" s="17">
        <v>0.59799999999999998</v>
      </c>
      <c r="BK17" s="17">
        <v>0.372</v>
      </c>
      <c r="BL17" s="17">
        <v>0.38100000000000001</v>
      </c>
      <c r="BM17" s="17">
        <v>0.84299999999999997</v>
      </c>
      <c r="BN17" s="17">
        <v>0.317</v>
      </c>
      <c r="BO17" s="17">
        <v>0.32</v>
      </c>
      <c r="BP17" s="17">
        <v>0.24199999999999999</v>
      </c>
      <c r="BQ17" s="17">
        <v>0.79800000000000004</v>
      </c>
      <c r="BR17" s="17">
        <v>0.99099999999999999</v>
      </c>
      <c r="BS17" s="17">
        <v>0.35699999999999998</v>
      </c>
      <c r="BT17" s="17">
        <v>0.59799999999999998</v>
      </c>
      <c r="BU17" s="17">
        <v>0.248</v>
      </c>
      <c r="BV17" s="17">
        <v>0.998</v>
      </c>
      <c r="BW17" s="17">
        <v>0.39200000000000002</v>
      </c>
      <c r="BX17" s="17">
        <v>0.92200000000000004</v>
      </c>
      <c r="BY17" s="17">
        <v>0.17899999999999999</v>
      </c>
      <c r="BZ17" s="17">
        <v>0.98799999999999999</v>
      </c>
      <c r="CA17" s="17">
        <v>0.57499999999999996</v>
      </c>
      <c r="CB17" s="17">
        <v>0.66300000000000003</v>
      </c>
      <c r="CC17" s="17">
        <v>0.996</v>
      </c>
      <c r="CD17" s="17">
        <v>0.441</v>
      </c>
      <c r="CE17" s="17">
        <v>0.54900000000000004</v>
      </c>
      <c r="CF17" s="17">
        <v>0</v>
      </c>
      <c r="CG17" s="17">
        <v>0.89800000000000002</v>
      </c>
      <c r="CH17" s="17">
        <v>0.79300000000000004</v>
      </c>
      <c r="CI17" s="17">
        <v>0.67800000000000005</v>
      </c>
      <c r="CJ17" s="17">
        <v>0.34499999999999997</v>
      </c>
      <c r="CK17" s="17">
        <v>0.29899999999999999</v>
      </c>
      <c r="CL17" s="17">
        <v>0.73199999999999998</v>
      </c>
      <c r="CM17" s="17">
        <v>0.38</v>
      </c>
      <c r="CN17" s="17">
        <v>0.81200000000000006</v>
      </c>
      <c r="CO17" s="17">
        <v>0.34499999999999997</v>
      </c>
      <c r="CP17" s="17">
        <v>0.73299999999999998</v>
      </c>
      <c r="CQ17" s="17">
        <v>0.627</v>
      </c>
      <c r="CR17" s="17">
        <v>0.32400000000000001</v>
      </c>
      <c r="CS17" s="17">
        <v>1</v>
      </c>
      <c r="CT17" s="17">
        <v>0</v>
      </c>
      <c r="CU17" s="17">
        <v>1</v>
      </c>
      <c r="CV17" s="17">
        <v>0.85599999999999998</v>
      </c>
      <c r="CW17" s="17">
        <v>0.34399999999999997</v>
      </c>
      <c r="CX17" s="17">
        <v>0.99199999999999999</v>
      </c>
      <c r="CY17" s="17">
        <v>0.55400000000000005</v>
      </c>
      <c r="CZ17" s="17">
        <v>0.81699999999999995</v>
      </c>
      <c r="DA17" s="17">
        <v>0.73499999999999999</v>
      </c>
      <c r="DB17" s="17">
        <v>0.60599999999999998</v>
      </c>
      <c r="DC17" s="17">
        <v>0.98199999999999998</v>
      </c>
      <c r="DD17" s="17">
        <v>0.46</v>
      </c>
      <c r="DE17" s="17">
        <v>0.84499999999999997</v>
      </c>
      <c r="DF17" s="17">
        <v>0.21099999999999999</v>
      </c>
      <c r="DG17" s="17">
        <v>0.67700000000000005</v>
      </c>
      <c r="DH17" s="17">
        <v>0.83899999999999997</v>
      </c>
      <c r="DI17" s="17">
        <v>0.86799999999999999</v>
      </c>
      <c r="DJ17" s="17">
        <v>0.621</v>
      </c>
      <c r="DK17" s="17">
        <v>0.61199999999999999</v>
      </c>
      <c r="DL17" s="17">
        <v>0.47699999999999998</v>
      </c>
      <c r="DM17" s="17">
        <v>0.73599999999999999</v>
      </c>
      <c r="DN17" s="17">
        <v>0.52400000000000002</v>
      </c>
      <c r="DO17" s="17">
        <v>0.51</v>
      </c>
      <c r="DP17" s="17">
        <v>0.71699999999999997</v>
      </c>
      <c r="DQ17" s="17">
        <v>0.875</v>
      </c>
      <c r="DR17" s="17">
        <v>0.36</v>
      </c>
      <c r="DS17" s="17">
        <v>0.65200000000000002</v>
      </c>
      <c r="DT17" s="17">
        <v>0.98799999999999999</v>
      </c>
      <c r="DU17" s="17">
        <v>0.27100000000000002</v>
      </c>
      <c r="DV17" s="17">
        <v>0.24</v>
      </c>
      <c r="DW17" s="17">
        <v>0.873</v>
      </c>
      <c r="DX17" s="17">
        <v>0.61399999999999999</v>
      </c>
      <c r="DY17" s="17">
        <v>0.74</v>
      </c>
      <c r="DZ17" s="17">
        <v>0.109</v>
      </c>
      <c r="EA17" s="17">
        <v>0.69699999999999995</v>
      </c>
      <c r="EB17" s="17">
        <v>1.002</v>
      </c>
      <c r="EC17" s="17">
        <v>0.47399999999999998</v>
      </c>
      <c r="ED17" s="17">
        <v>0.86399999999999999</v>
      </c>
      <c r="EE17" s="17">
        <v>0.64200000000000002</v>
      </c>
      <c r="EF17" s="17">
        <v>0.58899999999999997</v>
      </c>
      <c r="EG17" s="17">
        <v>0.96299999999999997</v>
      </c>
      <c r="EH17" s="17">
        <v>0.89400000000000002</v>
      </c>
      <c r="EI17" s="17">
        <v>0.52800000000000002</v>
      </c>
      <c r="EJ17" s="17">
        <v>0.86899999999999999</v>
      </c>
      <c r="EK17" s="17">
        <v>0.47899999999999998</v>
      </c>
      <c r="EL17" s="17">
        <v>0.93300000000000005</v>
      </c>
      <c r="EM17" s="17">
        <v>0.40100000000000002</v>
      </c>
      <c r="EN17" s="17">
        <v>0.35199999999999998</v>
      </c>
      <c r="EO17" s="17">
        <v>0.95799999999999996</v>
      </c>
      <c r="EP17" s="17">
        <v>0.47399999999999998</v>
      </c>
      <c r="EQ17" s="17">
        <v>0.34399999999999997</v>
      </c>
      <c r="ER17" s="17">
        <v>1.0069999999999999</v>
      </c>
      <c r="ES17" s="17">
        <v>0.46899999999999997</v>
      </c>
      <c r="ET17" s="17">
        <v>0.96099999999999997</v>
      </c>
      <c r="EU17" s="17">
        <v>0.63400000000000001</v>
      </c>
      <c r="EV17" s="17">
        <v>0.73599999999999999</v>
      </c>
      <c r="EW17" s="17">
        <v>0.93500000000000005</v>
      </c>
      <c r="EX17" s="17">
        <v>0.59699999999999998</v>
      </c>
      <c r="EY17" s="17">
        <v>0.60599999999999998</v>
      </c>
      <c r="EZ17" s="17">
        <v>0.82499999999999996</v>
      </c>
      <c r="FA17" s="17">
        <v>0.41699999999999998</v>
      </c>
      <c r="FB17" s="17">
        <v>0.315</v>
      </c>
      <c r="FC17" s="17">
        <v>0.88800000000000001</v>
      </c>
      <c r="FD17" s="17">
        <v>0.73599999999999999</v>
      </c>
      <c r="FE17" s="17">
        <v>0.99199999999999999</v>
      </c>
      <c r="FF17" s="17">
        <v>0.47199999999999998</v>
      </c>
      <c r="FG17" s="17">
        <v>0.99099999999999999</v>
      </c>
      <c r="FH17" s="17">
        <v>0.48699999999999999</v>
      </c>
      <c r="FI17" s="17">
        <v>0.998</v>
      </c>
      <c r="FJ17" s="17">
        <v>0.73699999999999999</v>
      </c>
      <c r="FK17" s="17">
        <v>0.73</v>
      </c>
      <c r="FL17" s="17">
        <v>0.55700000000000005</v>
      </c>
      <c r="FM17" s="17">
        <v>0.51500000000000001</v>
      </c>
      <c r="FN17" s="17">
        <v>0.66200000000000003</v>
      </c>
      <c r="FO17" s="17">
        <v>0.28499999999999998</v>
      </c>
      <c r="FP17" s="17">
        <v>0.61899999999999999</v>
      </c>
      <c r="FQ17" s="17">
        <v>0.73599999999999999</v>
      </c>
      <c r="FR17" s="17">
        <v>0.57899999999999996</v>
      </c>
      <c r="FS17" s="17">
        <v>0.50900000000000001</v>
      </c>
      <c r="FT17" s="17">
        <v>0.59599999999999997</v>
      </c>
      <c r="FU17" s="17">
        <v>0.48</v>
      </c>
      <c r="FV17" s="17">
        <v>0.26900000000000002</v>
      </c>
      <c r="FW17" s="17">
        <v>0.72799999999999998</v>
      </c>
      <c r="FX17" s="17">
        <v>0.98799999999999999</v>
      </c>
      <c r="FY17" s="17">
        <v>0.193</v>
      </c>
      <c r="FZ17" s="17">
        <v>0.93899999999999995</v>
      </c>
      <c r="GA17" s="17">
        <v>0.47</v>
      </c>
      <c r="GB17" s="17">
        <v>0.89800000000000002</v>
      </c>
      <c r="GC17" s="17">
        <v>0.81</v>
      </c>
      <c r="GD17" s="17">
        <v>0.53500000000000003</v>
      </c>
      <c r="GE17" s="17">
        <v>0.98799999999999999</v>
      </c>
      <c r="GF17" s="17">
        <v>0.215</v>
      </c>
      <c r="GG17" s="17">
        <v>0.21299999999999999</v>
      </c>
      <c r="GH17" s="17">
        <v>0.60399999999999998</v>
      </c>
      <c r="GI17" s="17">
        <v>0.996</v>
      </c>
      <c r="GJ17" s="17">
        <v>0.45700000000000002</v>
      </c>
      <c r="GK17" s="17">
        <v>0.25800000000000001</v>
      </c>
      <c r="GL17" s="17">
        <v>0.27500000000000002</v>
      </c>
      <c r="GM17" s="17">
        <v>5.5E-2</v>
      </c>
      <c r="GN17" s="17">
        <v>0.99299999999999999</v>
      </c>
      <c r="GO17" s="17">
        <v>0.85699999999999998</v>
      </c>
      <c r="GP17" s="17">
        <v>0.81699999999999995</v>
      </c>
      <c r="GQ17" s="17">
        <v>0.75</v>
      </c>
      <c r="GR17" s="17">
        <v>0.995</v>
      </c>
      <c r="GS17" s="17">
        <v>0.54</v>
      </c>
      <c r="GT17" s="17">
        <v>0.60199999999999998</v>
      </c>
      <c r="GU17" s="17">
        <v>0.53600000000000003</v>
      </c>
      <c r="GV17" s="17">
        <v>0.44700000000000001</v>
      </c>
      <c r="GW17" s="17">
        <v>0.59399999999999997</v>
      </c>
      <c r="GX17" s="17">
        <v>0.64500000000000002</v>
      </c>
      <c r="GY17" s="17">
        <v>0.56000000000000005</v>
      </c>
      <c r="GZ17" s="17">
        <v>0.94199999999999995</v>
      </c>
      <c r="HA17" s="17">
        <v>0.63600000000000001</v>
      </c>
      <c r="HB17" s="17">
        <v>0.55800000000000005</v>
      </c>
      <c r="HC17" s="17">
        <v>0.46200000000000002</v>
      </c>
      <c r="HD17" s="17">
        <v>0.90800000000000003</v>
      </c>
      <c r="HE17" s="17">
        <v>0.42199999999999999</v>
      </c>
      <c r="HF17" s="17">
        <v>0.94899999999999995</v>
      </c>
      <c r="HG17" s="17">
        <v>0.872</v>
      </c>
      <c r="HH17" s="17">
        <v>0.73699999999999999</v>
      </c>
    </row>
    <row r="18" spans="1:216" x14ac:dyDescent="0.25">
      <c r="A18" s="8">
        <v>14</v>
      </c>
      <c r="B18" s="8">
        <v>6.5</v>
      </c>
      <c r="C18" s="17">
        <v>0.78800000000000003</v>
      </c>
      <c r="D18" s="17">
        <v>1.1970000000000001</v>
      </c>
      <c r="E18" s="17">
        <v>1.31</v>
      </c>
      <c r="F18" s="17">
        <v>0.76500000000000001</v>
      </c>
      <c r="G18" s="17">
        <v>0.63100000000000001</v>
      </c>
      <c r="H18" s="17">
        <v>0.47199999999999998</v>
      </c>
      <c r="I18" s="17">
        <v>0.876</v>
      </c>
      <c r="J18" s="17">
        <v>0.623</v>
      </c>
      <c r="K18" s="17">
        <v>0.13800000000000001</v>
      </c>
      <c r="L18" s="17">
        <v>1.042</v>
      </c>
      <c r="M18" s="17">
        <v>1.0329999999999999</v>
      </c>
      <c r="N18" s="17">
        <v>0.97099999999999997</v>
      </c>
      <c r="O18" s="17">
        <v>0.41099999999999998</v>
      </c>
      <c r="P18" s="17">
        <v>1.3069999999999999</v>
      </c>
      <c r="Q18" s="17">
        <v>0.46400000000000002</v>
      </c>
      <c r="R18" s="17">
        <v>1.246</v>
      </c>
      <c r="S18" s="17">
        <v>1.3169999999999999</v>
      </c>
      <c r="T18" s="17">
        <v>0.42599999999999999</v>
      </c>
      <c r="U18" s="17">
        <v>0.70099999999999996</v>
      </c>
      <c r="V18" s="17">
        <v>0.96299999999999997</v>
      </c>
      <c r="W18" s="17">
        <v>0.71</v>
      </c>
      <c r="X18" s="17">
        <v>0.53800000000000003</v>
      </c>
      <c r="Y18" s="17">
        <v>0.96699999999999997</v>
      </c>
      <c r="Z18" s="17">
        <v>0.996</v>
      </c>
      <c r="AA18" s="17">
        <v>1.1419999999999999</v>
      </c>
      <c r="AB18" s="17">
        <v>0.46</v>
      </c>
      <c r="AC18" s="17">
        <v>0.442</v>
      </c>
      <c r="AD18" s="17">
        <v>0.56399999999999995</v>
      </c>
      <c r="AE18" s="17">
        <v>1.282</v>
      </c>
      <c r="AF18" s="17">
        <v>1.089</v>
      </c>
      <c r="AG18" s="17">
        <v>1.3140000000000001</v>
      </c>
      <c r="AH18" s="17">
        <v>0.95399999999999996</v>
      </c>
      <c r="AI18" s="17">
        <v>1.071</v>
      </c>
      <c r="AJ18" s="17">
        <v>1.115</v>
      </c>
      <c r="AK18" s="17">
        <v>0.42599999999999999</v>
      </c>
      <c r="AL18" s="17">
        <v>1.1140000000000001</v>
      </c>
      <c r="AM18" s="17">
        <v>1.3089999999999999</v>
      </c>
      <c r="AN18" s="17">
        <v>1.232</v>
      </c>
      <c r="AO18" s="17">
        <v>0.71</v>
      </c>
      <c r="AP18" s="17">
        <v>0.41899999999999998</v>
      </c>
      <c r="AQ18" s="17">
        <v>1.135</v>
      </c>
      <c r="AR18" s="17">
        <v>0.66600000000000004</v>
      </c>
      <c r="AS18" s="17">
        <v>0.46100000000000002</v>
      </c>
      <c r="AT18" s="17">
        <v>1.1040000000000001</v>
      </c>
      <c r="AU18" s="17">
        <v>1.034</v>
      </c>
      <c r="AV18" s="17">
        <v>1.3169999999999999</v>
      </c>
      <c r="AW18" s="17">
        <v>0.95899999999999996</v>
      </c>
      <c r="AX18" s="17">
        <v>0.441</v>
      </c>
      <c r="AY18" s="17">
        <v>0.45700000000000002</v>
      </c>
      <c r="AZ18" s="17">
        <v>0.79900000000000004</v>
      </c>
      <c r="BA18" s="17">
        <v>4.5999999999999999E-2</v>
      </c>
      <c r="BB18" s="17">
        <v>0.63500000000000001</v>
      </c>
      <c r="BC18" s="17">
        <v>0.57099999999999995</v>
      </c>
      <c r="BD18" s="17">
        <v>1.137</v>
      </c>
      <c r="BE18" s="17">
        <v>1.2050000000000001</v>
      </c>
      <c r="BF18" s="17">
        <v>1.2889999999999999</v>
      </c>
      <c r="BG18" s="17">
        <v>1.304</v>
      </c>
      <c r="BH18" s="17">
        <v>1.31</v>
      </c>
      <c r="BI18" s="17">
        <v>0.95199999999999996</v>
      </c>
      <c r="BJ18" s="17">
        <v>0.79200000000000004</v>
      </c>
      <c r="BK18" s="17">
        <v>0.41</v>
      </c>
      <c r="BL18" s="17">
        <v>0.67</v>
      </c>
      <c r="BM18" s="17">
        <v>1.3089999999999999</v>
      </c>
      <c r="BN18" s="17">
        <v>0.40400000000000003</v>
      </c>
      <c r="BO18" s="17">
        <v>0.308</v>
      </c>
      <c r="BP18" s="17">
        <v>0.36199999999999999</v>
      </c>
      <c r="BQ18" s="17">
        <v>1.1950000000000001</v>
      </c>
      <c r="BR18" s="17">
        <v>1.077</v>
      </c>
      <c r="BS18" s="17">
        <v>0.45900000000000002</v>
      </c>
      <c r="BT18" s="17">
        <v>0.79200000000000004</v>
      </c>
      <c r="BU18" s="17">
        <v>0.44400000000000001</v>
      </c>
      <c r="BV18" s="17">
        <v>0.70699999999999996</v>
      </c>
      <c r="BW18" s="17">
        <v>0.60799999999999998</v>
      </c>
      <c r="BX18" s="17">
        <v>1.3080000000000001</v>
      </c>
      <c r="BY18" s="17">
        <v>0.33700000000000002</v>
      </c>
      <c r="BZ18" s="17">
        <v>1.232</v>
      </c>
      <c r="CA18" s="17">
        <v>0.74299999999999999</v>
      </c>
      <c r="CB18" s="17">
        <v>0.94399999999999995</v>
      </c>
      <c r="CC18" s="17">
        <v>1.306</v>
      </c>
      <c r="CD18" s="17">
        <v>0.54600000000000004</v>
      </c>
      <c r="CE18" s="17">
        <v>0.73799999999999999</v>
      </c>
      <c r="CF18" s="17">
        <v>0.503</v>
      </c>
      <c r="CG18" s="17">
        <v>1.2270000000000001</v>
      </c>
      <c r="CH18" s="17">
        <v>1.2689999999999999</v>
      </c>
      <c r="CI18" s="17">
        <v>0.72799999999999998</v>
      </c>
      <c r="CJ18" s="17">
        <v>0.46100000000000002</v>
      </c>
      <c r="CK18" s="17">
        <v>0.69599999999999995</v>
      </c>
      <c r="CL18" s="17">
        <v>0.83699999999999997</v>
      </c>
      <c r="CM18" s="17">
        <v>0.56299999999999994</v>
      </c>
      <c r="CN18" s="17">
        <v>1.083</v>
      </c>
      <c r="CO18" s="17">
        <v>0.375</v>
      </c>
      <c r="CP18" s="17">
        <v>0.877</v>
      </c>
      <c r="CQ18" s="17">
        <v>0.95799999999999996</v>
      </c>
      <c r="CR18" s="17">
        <v>0.24299999999999999</v>
      </c>
      <c r="CS18" s="17">
        <v>1.2310000000000001</v>
      </c>
      <c r="CT18" s="17">
        <v>1.1060000000000001</v>
      </c>
      <c r="CU18" s="17">
        <v>1.31</v>
      </c>
      <c r="CV18" s="17">
        <v>1.3140000000000001</v>
      </c>
      <c r="CW18" s="17">
        <v>0</v>
      </c>
      <c r="CX18" s="17">
        <v>1.302</v>
      </c>
      <c r="CY18" s="17">
        <v>0.96499999999999997</v>
      </c>
      <c r="CZ18" s="17">
        <v>1.1379999999999999</v>
      </c>
      <c r="DA18" s="17">
        <v>0.86799999999999999</v>
      </c>
      <c r="DB18" s="17">
        <v>0.8</v>
      </c>
      <c r="DC18" s="17">
        <v>1.0589999999999999</v>
      </c>
      <c r="DD18" s="17">
        <v>0.34599999999999997</v>
      </c>
      <c r="DE18" s="17">
        <v>1.3080000000000001</v>
      </c>
      <c r="DF18" s="17">
        <v>0.27800000000000002</v>
      </c>
      <c r="DG18" s="17">
        <v>1.073</v>
      </c>
      <c r="DH18" s="17">
        <v>1.151</v>
      </c>
      <c r="DI18" s="17">
        <v>1.139</v>
      </c>
      <c r="DJ18" s="17">
        <v>0.87</v>
      </c>
      <c r="DK18" s="17">
        <v>0.77300000000000002</v>
      </c>
      <c r="DL18" s="17">
        <v>0.79</v>
      </c>
      <c r="DM18" s="17">
        <v>1.242</v>
      </c>
      <c r="DN18" s="17">
        <v>0.80900000000000005</v>
      </c>
      <c r="DO18" s="17">
        <v>0.64100000000000001</v>
      </c>
      <c r="DP18" s="17">
        <v>0.90800000000000003</v>
      </c>
      <c r="DQ18" s="17">
        <v>0.16</v>
      </c>
      <c r="DR18" s="17">
        <v>0.55600000000000005</v>
      </c>
      <c r="DS18" s="17">
        <v>0.95499999999999996</v>
      </c>
      <c r="DT18" s="17">
        <v>1.1100000000000001</v>
      </c>
      <c r="DU18" s="17">
        <v>0.28999999999999998</v>
      </c>
      <c r="DV18" s="17">
        <v>0.41099999999999998</v>
      </c>
      <c r="DW18" s="17">
        <v>1.3089999999999999</v>
      </c>
      <c r="DX18" s="17">
        <v>0.68400000000000005</v>
      </c>
      <c r="DY18" s="17">
        <v>1.099</v>
      </c>
      <c r="DZ18" s="17">
        <v>0.27200000000000002</v>
      </c>
      <c r="EA18" s="17">
        <v>0.83799999999999997</v>
      </c>
      <c r="EB18" s="17">
        <v>1.3120000000000001</v>
      </c>
      <c r="EC18" s="17">
        <v>0.97299999999999998</v>
      </c>
      <c r="ED18" s="17">
        <v>1.135</v>
      </c>
      <c r="EE18" s="17">
        <v>1.2849999999999999</v>
      </c>
      <c r="EF18" s="17">
        <v>1.093</v>
      </c>
      <c r="EG18" s="17">
        <v>1.31</v>
      </c>
      <c r="EH18" s="17">
        <v>1.27</v>
      </c>
      <c r="EI18" s="17">
        <v>0.96399999999999997</v>
      </c>
      <c r="EJ18" s="17">
        <v>1.1399999999999999</v>
      </c>
      <c r="EK18" s="17">
        <v>0.63400000000000001</v>
      </c>
      <c r="EL18" s="17">
        <v>1.3089999999999999</v>
      </c>
      <c r="EM18" s="17">
        <v>0.64700000000000002</v>
      </c>
      <c r="EN18" s="17">
        <v>0.58199999999999996</v>
      </c>
      <c r="EO18" s="17">
        <v>1.274</v>
      </c>
      <c r="EP18" s="17">
        <v>0.629</v>
      </c>
      <c r="EQ18" s="17">
        <v>0.40400000000000003</v>
      </c>
      <c r="ER18" s="17">
        <v>1.179</v>
      </c>
      <c r="ES18" s="17">
        <v>0.44600000000000001</v>
      </c>
      <c r="ET18" s="17">
        <v>1.226</v>
      </c>
      <c r="EU18" s="17">
        <v>0.91800000000000004</v>
      </c>
      <c r="EV18" s="17">
        <v>0.84299999999999997</v>
      </c>
      <c r="EW18" s="17">
        <v>1</v>
      </c>
      <c r="EX18" s="17">
        <v>0.79100000000000004</v>
      </c>
      <c r="EY18" s="17">
        <v>0.68300000000000005</v>
      </c>
      <c r="EZ18" s="17">
        <v>1.133</v>
      </c>
      <c r="FA18" s="17">
        <v>0.33200000000000002</v>
      </c>
      <c r="FB18" s="17">
        <v>0.622</v>
      </c>
      <c r="FC18" s="17">
        <v>1.131</v>
      </c>
      <c r="FD18" s="17">
        <v>0.96799999999999997</v>
      </c>
      <c r="FE18" s="17">
        <v>1.302</v>
      </c>
      <c r="FF18" s="17">
        <v>0.59399999999999997</v>
      </c>
      <c r="FG18" s="17">
        <v>1.3009999999999999</v>
      </c>
      <c r="FH18" s="17">
        <v>0.61</v>
      </c>
      <c r="FI18" s="17">
        <v>1.1379999999999999</v>
      </c>
      <c r="FJ18" s="17">
        <v>0.45100000000000001</v>
      </c>
      <c r="FK18" s="17">
        <v>0.96199999999999997</v>
      </c>
      <c r="FL18" s="17">
        <v>0.54400000000000004</v>
      </c>
      <c r="FM18" s="17">
        <v>0.72299999999999998</v>
      </c>
      <c r="FN18" s="17">
        <v>0.81599999999999995</v>
      </c>
      <c r="FO18" s="17">
        <v>0</v>
      </c>
      <c r="FP18" s="17">
        <v>0.73299999999999998</v>
      </c>
      <c r="FQ18" s="17">
        <v>0.75800000000000001</v>
      </c>
      <c r="FR18" s="17">
        <v>0.79300000000000004</v>
      </c>
      <c r="FS18" s="17">
        <v>0.66400000000000003</v>
      </c>
      <c r="FT18" s="17">
        <v>0.79</v>
      </c>
      <c r="FU18" s="17">
        <v>0.8</v>
      </c>
      <c r="FV18" s="17">
        <v>0.39200000000000002</v>
      </c>
      <c r="FW18" s="17">
        <v>0.96</v>
      </c>
      <c r="FX18" s="17">
        <v>1.06</v>
      </c>
      <c r="FY18" s="17">
        <v>0.13500000000000001</v>
      </c>
      <c r="FZ18" s="17">
        <v>1.202</v>
      </c>
      <c r="GA18" s="17">
        <v>0.79500000000000004</v>
      </c>
      <c r="GB18" s="17">
        <v>1.2669999999999999</v>
      </c>
      <c r="GC18" s="17">
        <v>0.97099999999999997</v>
      </c>
      <c r="GD18" s="17">
        <v>0.629</v>
      </c>
      <c r="GE18" s="17">
        <v>1.276</v>
      </c>
      <c r="GF18" s="17">
        <v>0.32700000000000001</v>
      </c>
      <c r="GG18" s="17">
        <v>0.51400000000000001</v>
      </c>
      <c r="GH18" s="17">
        <v>0.63900000000000001</v>
      </c>
      <c r="GI18" s="17">
        <v>1.306</v>
      </c>
      <c r="GJ18" s="17">
        <v>0.55600000000000005</v>
      </c>
      <c r="GK18" s="17">
        <v>0.60799999999999998</v>
      </c>
      <c r="GL18" s="17">
        <v>0.60599999999999998</v>
      </c>
      <c r="GM18" s="17">
        <v>0.46600000000000003</v>
      </c>
      <c r="GN18" s="17">
        <v>1.302</v>
      </c>
      <c r="GO18" s="17">
        <v>1.2789999999999999</v>
      </c>
      <c r="GP18" s="17">
        <v>1.139</v>
      </c>
      <c r="GQ18" s="17">
        <v>0.98199999999999998</v>
      </c>
      <c r="GR18" s="17">
        <v>1.2170000000000001</v>
      </c>
      <c r="GS18" s="17">
        <v>1.141</v>
      </c>
      <c r="GT18" s="17">
        <v>0.79600000000000004</v>
      </c>
      <c r="GU18" s="17">
        <v>0.71099999999999997</v>
      </c>
      <c r="GV18" s="17">
        <v>0.80200000000000005</v>
      </c>
      <c r="GW18" s="17">
        <v>1.3089999999999999</v>
      </c>
      <c r="GX18" s="17">
        <v>0.81899999999999995</v>
      </c>
      <c r="GY18" s="17">
        <v>0.96199999999999997</v>
      </c>
      <c r="GZ18" s="17">
        <v>1.3169999999999999</v>
      </c>
      <c r="HA18" s="17">
        <v>0.97099999999999997</v>
      </c>
      <c r="HB18" s="17">
        <v>0.89500000000000002</v>
      </c>
      <c r="HC18" s="17">
        <v>0.50600000000000001</v>
      </c>
      <c r="HD18" s="17">
        <v>1.29</v>
      </c>
      <c r="HE18" s="17">
        <v>0.69799999999999995</v>
      </c>
      <c r="HF18" s="17">
        <v>1.28</v>
      </c>
      <c r="HG18" s="17">
        <v>1.2190000000000001</v>
      </c>
      <c r="HH18" s="17">
        <v>0.96899999999999997</v>
      </c>
    </row>
    <row r="19" spans="1:216" x14ac:dyDescent="0.25">
      <c r="A19" s="8">
        <v>15</v>
      </c>
      <c r="B19" s="8">
        <v>7</v>
      </c>
      <c r="C19" s="17">
        <v>0.79600000000000004</v>
      </c>
      <c r="D19" s="17">
        <v>1.43</v>
      </c>
      <c r="E19" s="17">
        <v>1.6180000000000001</v>
      </c>
      <c r="F19" s="17">
        <v>0.78300000000000003</v>
      </c>
      <c r="G19" s="17">
        <v>0.51700000000000002</v>
      </c>
      <c r="H19" s="17">
        <v>0.58799999999999997</v>
      </c>
      <c r="I19" s="17">
        <v>1.1259999999999999</v>
      </c>
      <c r="J19" s="17">
        <v>0.432</v>
      </c>
      <c r="K19" s="17">
        <v>0.14799999999999999</v>
      </c>
      <c r="L19" s="17">
        <v>1.583</v>
      </c>
      <c r="M19" s="17">
        <v>1.296</v>
      </c>
      <c r="N19" s="17">
        <v>1.0669999999999999</v>
      </c>
      <c r="O19" s="17">
        <v>0.57399999999999995</v>
      </c>
      <c r="P19" s="17">
        <v>1.615</v>
      </c>
      <c r="Q19" s="17">
        <v>0.56499999999999995</v>
      </c>
      <c r="R19" s="17">
        <v>1.518</v>
      </c>
      <c r="S19" s="17">
        <v>1.472</v>
      </c>
      <c r="T19" s="17">
        <v>0.78</v>
      </c>
      <c r="U19" s="17">
        <v>0.92300000000000004</v>
      </c>
      <c r="V19" s="17">
        <v>1.1100000000000001</v>
      </c>
      <c r="W19" s="17">
        <v>0.95499999999999996</v>
      </c>
      <c r="X19" s="17">
        <v>0.66800000000000004</v>
      </c>
      <c r="Y19" s="17">
        <v>1.0840000000000001</v>
      </c>
      <c r="Z19" s="17">
        <v>1.296</v>
      </c>
      <c r="AA19" s="17">
        <v>1.4119999999999999</v>
      </c>
      <c r="AB19" s="17">
        <v>0.57599999999999996</v>
      </c>
      <c r="AC19" s="17">
        <v>0.94</v>
      </c>
      <c r="AD19" s="17">
        <v>0.77900000000000003</v>
      </c>
      <c r="AE19" s="17">
        <v>1.373</v>
      </c>
      <c r="AF19" s="17">
        <v>1.367</v>
      </c>
      <c r="AG19" s="17">
        <v>1.6220000000000001</v>
      </c>
      <c r="AH19" s="17">
        <v>1.1930000000000001</v>
      </c>
      <c r="AI19" s="17">
        <v>1.3120000000000001</v>
      </c>
      <c r="AJ19" s="17">
        <v>1.577</v>
      </c>
      <c r="AK19" s="17">
        <v>0.52600000000000002</v>
      </c>
      <c r="AL19" s="17">
        <v>1.607</v>
      </c>
      <c r="AM19" s="17">
        <v>1.617</v>
      </c>
      <c r="AN19" s="17">
        <v>1.6240000000000001</v>
      </c>
      <c r="AO19" s="17">
        <v>0.98599999999999999</v>
      </c>
      <c r="AP19" s="17">
        <v>0.57599999999999996</v>
      </c>
      <c r="AQ19" s="17">
        <v>1.6140000000000001</v>
      </c>
      <c r="AR19" s="17">
        <v>0.84599999999999997</v>
      </c>
      <c r="AS19" s="17">
        <v>0.59299999999999997</v>
      </c>
      <c r="AT19" s="17">
        <v>1.4470000000000001</v>
      </c>
      <c r="AU19" s="17">
        <v>1.403</v>
      </c>
      <c r="AV19" s="17">
        <v>1.48</v>
      </c>
      <c r="AW19" s="17">
        <v>1.046</v>
      </c>
      <c r="AX19" s="17">
        <v>0.77700000000000002</v>
      </c>
      <c r="AY19" s="17">
        <v>0.751</v>
      </c>
      <c r="AZ19" s="17">
        <v>0.65400000000000003</v>
      </c>
      <c r="BA19" s="17">
        <v>0.53200000000000003</v>
      </c>
      <c r="BB19" s="17">
        <v>0.58599999999999997</v>
      </c>
      <c r="BC19" s="17">
        <v>0.74099999999999999</v>
      </c>
      <c r="BD19" s="17">
        <v>1.351</v>
      </c>
      <c r="BE19" s="17">
        <v>1.44</v>
      </c>
      <c r="BF19" s="17">
        <v>1.2709999999999999</v>
      </c>
      <c r="BG19" s="17">
        <v>1.4319999999999999</v>
      </c>
      <c r="BH19" s="17">
        <v>1.448</v>
      </c>
      <c r="BI19" s="17">
        <v>1.0489999999999999</v>
      </c>
      <c r="BJ19" s="17">
        <v>0.98399999999999999</v>
      </c>
      <c r="BK19" s="17">
        <v>0.76</v>
      </c>
      <c r="BL19" s="17">
        <v>0.84</v>
      </c>
      <c r="BM19" s="17">
        <v>1.5389999999999999</v>
      </c>
      <c r="BN19" s="17">
        <v>0.41099999999999998</v>
      </c>
      <c r="BO19" s="17">
        <v>0.505</v>
      </c>
      <c r="BP19" s="17">
        <v>0.51900000000000002</v>
      </c>
      <c r="BQ19" s="17">
        <v>1.5580000000000001</v>
      </c>
      <c r="BR19" s="17">
        <v>0.95099999999999996</v>
      </c>
      <c r="BS19" s="17">
        <v>0.76400000000000001</v>
      </c>
      <c r="BT19" s="17">
        <v>0.98399999999999999</v>
      </c>
      <c r="BU19" s="17">
        <v>0.48799999999999999</v>
      </c>
      <c r="BV19" s="17">
        <v>0.76500000000000001</v>
      </c>
      <c r="BW19" s="17">
        <v>0.78300000000000003</v>
      </c>
      <c r="BX19" s="17">
        <v>1.6160000000000001</v>
      </c>
      <c r="BY19" s="17">
        <v>0.57499999999999996</v>
      </c>
      <c r="BZ19" s="17">
        <v>1.601</v>
      </c>
      <c r="CA19" s="17">
        <v>0.80100000000000005</v>
      </c>
      <c r="CB19" s="17">
        <v>1.1559999999999999</v>
      </c>
      <c r="CC19" s="17">
        <v>1.6140000000000001</v>
      </c>
      <c r="CD19" s="17">
        <v>0.68400000000000005</v>
      </c>
      <c r="CE19" s="17">
        <v>0.80800000000000005</v>
      </c>
      <c r="CF19" s="17">
        <v>0.70799999999999996</v>
      </c>
      <c r="CG19" s="17">
        <v>1.5209999999999999</v>
      </c>
      <c r="CH19" s="17">
        <v>1.429</v>
      </c>
      <c r="CI19" s="17">
        <v>1.208</v>
      </c>
      <c r="CJ19" s="17">
        <v>0.28799999999999998</v>
      </c>
      <c r="CK19" s="17">
        <v>1.0349999999999999</v>
      </c>
      <c r="CL19" s="17">
        <v>1.1950000000000001</v>
      </c>
      <c r="CM19" s="17">
        <v>0.64300000000000002</v>
      </c>
      <c r="CN19" s="17">
        <v>1.181</v>
      </c>
      <c r="CO19" s="17">
        <v>0.442</v>
      </c>
      <c r="CP19" s="17">
        <v>1.123</v>
      </c>
      <c r="CQ19" s="17">
        <v>1.4059999999999999</v>
      </c>
      <c r="CR19" s="17">
        <v>0</v>
      </c>
      <c r="CS19" s="17">
        <v>1.5389999999999999</v>
      </c>
      <c r="CT19" s="17">
        <v>1.5940000000000001</v>
      </c>
      <c r="CU19" s="17">
        <v>1.6180000000000001</v>
      </c>
      <c r="CV19" s="17">
        <v>1.56</v>
      </c>
      <c r="CW19" s="17">
        <v>0.161</v>
      </c>
      <c r="CX19" s="17">
        <v>1.61</v>
      </c>
      <c r="CY19" s="17">
        <v>1.1299999999999999</v>
      </c>
      <c r="CZ19" s="17">
        <v>1.3160000000000001</v>
      </c>
      <c r="DA19" s="17">
        <v>1.115</v>
      </c>
      <c r="DB19" s="17">
        <v>0.88800000000000001</v>
      </c>
      <c r="DC19" s="17">
        <v>1.5329999999999999</v>
      </c>
      <c r="DD19" s="17">
        <v>0.47099999999999997</v>
      </c>
      <c r="DE19" s="17">
        <v>1.6160000000000001</v>
      </c>
      <c r="DF19" s="17">
        <v>0.50600000000000001</v>
      </c>
      <c r="DG19" s="17">
        <v>1.2130000000000001</v>
      </c>
      <c r="DH19" s="17">
        <v>1.323</v>
      </c>
      <c r="DI19" s="17">
        <v>1.3819999999999999</v>
      </c>
      <c r="DJ19" s="17">
        <v>1.1779999999999999</v>
      </c>
      <c r="DK19" s="17">
        <v>1.105</v>
      </c>
      <c r="DL19" s="17">
        <v>0.90400000000000003</v>
      </c>
      <c r="DM19" s="17">
        <v>1.2589999999999999</v>
      </c>
      <c r="DN19" s="17">
        <v>0.74</v>
      </c>
      <c r="DO19" s="17">
        <v>0.90900000000000003</v>
      </c>
      <c r="DP19" s="17">
        <v>1.1759999999999999</v>
      </c>
      <c r="DQ19" s="17">
        <v>1.4159999999999999</v>
      </c>
      <c r="DR19" s="17">
        <v>0.68</v>
      </c>
      <c r="DS19" s="17">
        <v>1.07</v>
      </c>
      <c r="DT19" s="17">
        <v>1.5409999999999999</v>
      </c>
      <c r="DU19" s="17">
        <v>0.50700000000000001</v>
      </c>
      <c r="DV19" s="17">
        <v>0.57399999999999995</v>
      </c>
      <c r="DW19" s="17">
        <v>0.27900000000000003</v>
      </c>
      <c r="DX19" s="17">
        <v>0.95899999999999996</v>
      </c>
      <c r="DY19" s="17">
        <v>1.3959999999999999</v>
      </c>
      <c r="DZ19" s="17">
        <v>0.17499999999999999</v>
      </c>
      <c r="EA19" s="17">
        <v>1.1439999999999999</v>
      </c>
      <c r="EB19" s="17">
        <v>1.62</v>
      </c>
      <c r="EC19" s="17">
        <v>1.1080000000000001</v>
      </c>
      <c r="ED19" s="17">
        <v>1.405</v>
      </c>
      <c r="EE19" s="17">
        <v>1.47</v>
      </c>
      <c r="EF19" s="17">
        <v>1.339</v>
      </c>
      <c r="EG19" s="17">
        <v>1.468</v>
      </c>
      <c r="EH19" s="17">
        <v>0.68500000000000005</v>
      </c>
      <c r="EI19" s="17">
        <v>0.98199999999999998</v>
      </c>
      <c r="EJ19" s="17">
        <v>1.3140000000000001</v>
      </c>
      <c r="EK19" s="17">
        <v>0.51300000000000001</v>
      </c>
      <c r="EL19" s="17">
        <v>1.4990000000000001</v>
      </c>
      <c r="EM19" s="17">
        <v>0.755</v>
      </c>
      <c r="EN19" s="17">
        <v>0.78800000000000003</v>
      </c>
      <c r="EO19" s="17">
        <v>1.528</v>
      </c>
      <c r="EP19" s="17">
        <v>0.78300000000000003</v>
      </c>
      <c r="EQ19" s="17">
        <v>0.58399999999999996</v>
      </c>
      <c r="ER19" s="17">
        <v>1.536</v>
      </c>
      <c r="ES19" s="17">
        <v>0.70699999999999996</v>
      </c>
      <c r="ET19" s="17">
        <v>1.516</v>
      </c>
      <c r="EU19" s="17">
        <v>1.012</v>
      </c>
      <c r="EV19" s="17">
        <v>1.1990000000000001</v>
      </c>
      <c r="EW19" s="17">
        <v>1.429</v>
      </c>
      <c r="EX19" s="17">
        <v>0.90200000000000002</v>
      </c>
      <c r="EY19" s="17">
        <v>0.95799999999999996</v>
      </c>
      <c r="EZ19" s="17">
        <v>1.276</v>
      </c>
      <c r="FA19" s="17">
        <v>0.52300000000000002</v>
      </c>
      <c r="FB19" s="17">
        <v>0.69399999999999995</v>
      </c>
      <c r="FC19" s="17">
        <v>0.52</v>
      </c>
      <c r="FD19" s="17">
        <v>1.1990000000000001</v>
      </c>
      <c r="FE19" s="17">
        <v>1.61</v>
      </c>
      <c r="FF19" s="17">
        <v>0.77200000000000002</v>
      </c>
      <c r="FG19" s="17">
        <v>1.5029999999999999</v>
      </c>
      <c r="FH19" s="17">
        <v>0.77800000000000002</v>
      </c>
      <c r="FI19" s="17">
        <v>1.6160000000000001</v>
      </c>
      <c r="FJ19" s="17">
        <v>0.92400000000000004</v>
      </c>
      <c r="FK19" s="17">
        <v>0.98799999999999999</v>
      </c>
      <c r="FL19" s="17">
        <v>0.746</v>
      </c>
      <c r="FM19" s="17">
        <v>0.877</v>
      </c>
      <c r="FN19" s="17">
        <v>0.92700000000000005</v>
      </c>
      <c r="FO19" s="17">
        <v>0.71399999999999997</v>
      </c>
      <c r="FP19" s="17">
        <v>1.0049999999999999</v>
      </c>
      <c r="FQ19" s="17">
        <v>1.169</v>
      </c>
      <c r="FR19" s="17">
        <v>0.91400000000000003</v>
      </c>
      <c r="FS19" s="17">
        <v>0.91300000000000003</v>
      </c>
      <c r="FT19" s="17">
        <v>0.98199999999999998</v>
      </c>
      <c r="FU19" s="17">
        <v>0.97699999999999998</v>
      </c>
      <c r="FV19" s="17">
        <v>0.30599999999999999</v>
      </c>
      <c r="FW19" s="17">
        <v>1.1910000000000001</v>
      </c>
      <c r="FX19" s="17">
        <v>1.5549999999999999</v>
      </c>
      <c r="FY19" s="17">
        <v>0.42399999999999999</v>
      </c>
      <c r="FZ19" s="17">
        <v>1.3580000000000001</v>
      </c>
      <c r="GA19" s="17">
        <v>0.84299999999999997</v>
      </c>
      <c r="GB19" s="17">
        <v>1.5209999999999999</v>
      </c>
      <c r="GC19" s="17">
        <v>1.2490000000000001</v>
      </c>
      <c r="GD19" s="17">
        <v>0.89300000000000002</v>
      </c>
      <c r="GE19" s="17">
        <v>1.5189999999999999</v>
      </c>
      <c r="GF19" s="17">
        <v>0.39500000000000002</v>
      </c>
      <c r="GG19" s="17">
        <v>0.71099999999999997</v>
      </c>
      <c r="GH19" s="17">
        <v>0.99</v>
      </c>
      <c r="GI19" s="17">
        <v>1.581</v>
      </c>
      <c r="GJ19" s="17">
        <v>0.76100000000000001</v>
      </c>
      <c r="GK19" s="17">
        <v>0.65900000000000003</v>
      </c>
      <c r="GL19" s="17">
        <v>0.42299999999999999</v>
      </c>
      <c r="GM19" s="17">
        <v>0.31</v>
      </c>
      <c r="GN19" s="17">
        <v>1.5409999999999999</v>
      </c>
      <c r="GO19" s="17">
        <v>1.6080000000000001</v>
      </c>
      <c r="GP19" s="17">
        <v>1.536</v>
      </c>
      <c r="GQ19" s="17">
        <v>1.165</v>
      </c>
      <c r="GR19" s="17">
        <v>1.417</v>
      </c>
      <c r="GS19" s="17">
        <v>0.86399999999999999</v>
      </c>
      <c r="GT19" s="17">
        <v>0.95399999999999996</v>
      </c>
      <c r="GU19" s="17">
        <v>0.91800000000000004</v>
      </c>
      <c r="GV19" s="17">
        <v>0.89</v>
      </c>
      <c r="GW19" s="17">
        <v>1.617</v>
      </c>
      <c r="GX19" s="17">
        <v>0.95199999999999996</v>
      </c>
      <c r="GY19" s="17">
        <v>1.1759999999999999</v>
      </c>
      <c r="GZ19" s="17">
        <v>1.625</v>
      </c>
      <c r="HA19" s="17">
        <v>1.0129999999999999</v>
      </c>
      <c r="HB19" s="17">
        <v>1.1719999999999999</v>
      </c>
      <c r="HC19" s="17">
        <v>0.78200000000000003</v>
      </c>
      <c r="HD19" s="17">
        <v>1.3380000000000001</v>
      </c>
      <c r="HE19" s="17">
        <v>0.36199999999999999</v>
      </c>
      <c r="HF19" s="17">
        <v>1.472</v>
      </c>
      <c r="HG19" s="17">
        <v>1.6240000000000001</v>
      </c>
      <c r="HH19" s="17">
        <v>1.2</v>
      </c>
    </row>
    <row r="20" spans="1:216" x14ac:dyDescent="0.25">
      <c r="A20" s="8">
        <v>16</v>
      </c>
      <c r="B20" s="8">
        <v>7.5</v>
      </c>
      <c r="C20" s="17">
        <v>0.14499999999999999</v>
      </c>
      <c r="D20" s="17">
        <v>1.7749999999999999</v>
      </c>
      <c r="E20" s="17">
        <v>1.9239999999999999</v>
      </c>
      <c r="F20" s="17">
        <v>1.1160000000000001</v>
      </c>
      <c r="G20" s="17">
        <v>0.76200000000000001</v>
      </c>
      <c r="H20" s="17">
        <v>0.70299999999999996</v>
      </c>
      <c r="I20" s="17">
        <v>1.018</v>
      </c>
      <c r="J20" s="17">
        <v>0.90900000000000003</v>
      </c>
      <c r="K20" s="17">
        <v>0.41699999999999998</v>
      </c>
      <c r="L20" s="17">
        <v>1.6890000000000001</v>
      </c>
      <c r="M20" s="17">
        <v>1.411</v>
      </c>
      <c r="N20" s="17">
        <v>1.4339999999999999</v>
      </c>
      <c r="O20" s="17">
        <v>0.68899999999999995</v>
      </c>
      <c r="P20" s="17">
        <v>0.56200000000000006</v>
      </c>
      <c r="Q20" s="17">
        <v>0.35599999999999998</v>
      </c>
      <c r="R20" s="17">
        <v>1.38</v>
      </c>
      <c r="S20" s="17">
        <v>1.756</v>
      </c>
      <c r="T20" s="17">
        <v>0.72899999999999998</v>
      </c>
      <c r="U20" s="17">
        <v>1.131</v>
      </c>
      <c r="V20" s="17">
        <v>0.99199999999999999</v>
      </c>
      <c r="W20" s="17">
        <v>1.0389999999999999</v>
      </c>
      <c r="X20" s="17">
        <v>0.64100000000000001</v>
      </c>
      <c r="Y20" s="17">
        <v>1.351</v>
      </c>
      <c r="Z20" s="17">
        <v>1.4430000000000001</v>
      </c>
      <c r="AA20" s="17">
        <v>1.1779999999999999</v>
      </c>
      <c r="AB20" s="17">
        <v>0.69099999999999995</v>
      </c>
      <c r="AC20" s="17">
        <v>1.069</v>
      </c>
      <c r="AD20" s="17">
        <v>0.60099999999999998</v>
      </c>
      <c r="AE20" s="17">
        <v>1.913</v>
      </c>
      <c r="AF20" s="17">
        <v>1.6679999999999999</v>
      </c>
      <c r="AG20" s="17">
        <v>1.042</v>
      </c>
      <c r="AH20" s="17">
        <v>1.425</v>
      </c>
      <c r="AI20" s="17">
        <v>1.6619999999999999</v>
      </c>
      <c r="AJ20" s="17">
        <v>1.901</v>
      </c>
      <c r="AK20" s="17">
        <v>0.85799999999999998</v>
      </c>
      <c r="AL20" s="17">
        <v>1.359</v>
      </c>
      <c r="AM20" s="17">
        <v>0.53</v>
      </c>
      <c r="AN20" s="17">
        <v>1.831</v>
      </c>
      <c r="AO20" s="17">
        <v>1.149</v>
      </c>
      <c r="AP20" s="17">
        <v>0.57499999999999996</v>
      </c>
      <c r="AQ20" s="17">
        <v>1.84</v>
      </c>
      <c r="AR20" s="17">
        <v>1.1759999999999999</v>
      </c>
      <c r="AS20" s="17">
        <v>0.72699999999999998</v>
      </c>
      <c r="AT20" s="17">
        <v>1.9219999999999999</v>
      </c>
      <c r="AU20" s="17">
        <v>1.5740000000000001</v>
      </c>
      <c r="AV20" s="17">
        <v>1.7589999999999999</v>
      </c>
      <c r="AW20" s="17">
        <v>1.39</v>
      </c>
      <c r="AX20" s="17">
        <v>0</v>
      </c>
      <c r="AY20" s="17">
        <v>0.77100000000000002</v>
      </c>
      <c r="AZ20" s="17">
        <v>1.0609999999999999</v>
      </c>
      <c r="BA20" s="17">
        <v>0</v>
      </c>
      <c r="BB20" s="17">
        <v>0.91800000000000004</v>
      </c>
      <c r="BC20" s="17">
        <v>0.72399999999999998</v>
      </c>
      <c r="BD20" s="17">
        <v>0.77700000000000002</v>
      </c>
      <c r="BE20" s="17">
        <v>1.8320000000000001</v>
      </c>
      <c r="BF20" s="17">
        <v>1.7629999999999999</v>
      </c>
      <c r="BG20" s="17">
        <v>1.921</v>
      </c>
      <c r="BH20" s="17">
        <v>1.865</v>
      </c>
      <c r="BI20" s="17">
        <v>1.232</v>
      </c>
      <c r="BJ20" s="17">
        <v>1.125</v>
      </c>
      <c r="BK20" s="17">
        <v>0.875</v>
      </c>
      <c r="BL20" s="17">
        <v>0</v>
      </c>
      <c r="BM20" s="17">
        <v>1.6619999999999999</v>
      </c>
      <c r="BN20" s="17">
        <v>0.68600000000000005</v>
      </c>
      <c r="BO20" s="17">
        <v>0.59399999999999997</v>
      </c>
      <c r="BP20" s="17">
        <v>0.57699999999999996</v>
      </c>
      <c r="BQ20" s="17">
        <v>1.67</v>
      </c>
      <c r="BR20" s="17">
        <v>1.54</v>
      </c>
      <c r="BS20" s="17">
        <v>0.80300000000000005</v>
      </c>
      <c r="BT20" s="17">
        <v>1.177</v>
      </c>
      <c r="BU20" s="17">
        <v>0</v>
      </c>
      <c r="BV20" s="17">
        <v>1.8859999999999999</v>
      </c>
      <c r="BW20" s="17">
        <v>0.84799999999999998</v>
      </c>
      <c r="BX20" s="17">
        <v>1.149</v>
      </c>
      <c r="BY20" s="17">
        <v>0.69</v>
      </c>
      <c r="BZ20" s="17">
        <v>0.93200000000000005</v>
      </c>
      <c r="CA20" s="17">
        <v>1.179</v>
      </c>
      <c r="CB20" s="17">
        <v>1.377</v>
      </c>
      <c r="CC20" s="17">
        <v>0.57799999999999996</v>
      </c>
      <c r="CD20" s="17">
        <v>0.93700000000000006</v>
      </c>
      <c r="CE20" s="17">
        <v>0.995</v>
      </c>
      <c r="CF20" s="17">
        <v>0</v>
      </c>
      <c r="CG20" s="17">
        <v>1.9079999999999999</v>
      </c>
      <c r="CH20" s="17">
        <v>1.8740000000000001</v>
      </c>
      <c r="CI20" s="17">
        <v>1.212</v>
      </c>
      <c r="CJ20" s="17">
        <v>0.52900000000000003</v>
      </c>
      <c r="CK20" s="17">
        <v>1.4</v>
      </c>
      <c r="CL20" s="17">
        <v>1.306</v>
      </c>
      <c r="CM20" s="17">
        <v>0.70399999999999996</v>
      </c>
      <c r="CN20" s="17">
        <v>1.4590000000000001</v>
      </c>
      <c r="CO20" s="17">
        <v>0.621</v>
      </c>
      <c r="CP20" s="17">
        <v>1.4279999999999999</v>
      </c>
      <c r="CQ20" s="17">
        <v>1.597</v>
      </c>
      <c r="CR20" s="17">
        <v>0.378</v>
      </c>
      <c r="CS20" s="17">
        <v>1.782</v>
      </c>
      <c r="CT20" s="17">
        <v>1.923</v>
      </c>
      <c r="CU20" s="17">
        <v>0.51400000000000001</v>
      </c>
      <c r="CV20" s="17">
        <v>1.62</v>
      </c>
      <c r="CW20" s="17">
        <v>0.46200000000000002</v>
      </c>
      <c r="CX20" s="17">
        <v>0.64200000000000002</v>
      </c>
      <c r="CY20" s="17">
        <v>1.3129999999999999</v>
      </c>
      <c r="CZ20" s="17">
        <v>1.246</v>
      </c>
      <c r="DA20" s="17">
        <v>1.41</v>
      </c>
      <c r="DB20" s="17">
        <v>1.1850000000000001</v>
      </c>
      <c r="DC20" s="17">
        <v>1.75</v>
      </c>
      <c r="DD20" s="17">
        <v>0.61399999999999999</v>
      </c>
      <c r="DE20" s="17">
        <v>1.5309999999999999</v>
      </c>
      <c r="DF20" s="17">
        <v>0.50900000000000001</v>
      </c>
      <c r="DG20" s="17">
        <v>1.677</v>
      </c>
      <c r="DH20" s="17">
        <v>1.893</v>
      </c>
      <c r="DI20" s="17">
        <v>1.514</v>
      </c>
      <c r="DJ20" s="17">
        <v>1.302</v>
      </c>
      <c r="DK20" s="17">
        <v>1.3440000000000001</v>
      </c>
      <c r="DL20" s="17">
        <v>0.85699999999999998</v>
      </c>
      <c r="DM20" s="17">
        <v>1.7250000000000001</v>
      </c>
      <c r="DN20" s="17">
        <v>0.83099999999999996</v>
      </c>
      <c r="DO20" s="17">
        <v>0.88900000000000001</v>
      </c>
      <c r="DP20" s="17">
        <v>1.3480000000000001</v>
      </c>
      <c r="DQ20" s="17">
        <v>1.585</v>
      </c>
      <c r="DR20" s="17">
        <v>0.85299999999999998</v>
      </c>
      <c r="DS20" s="17">
        <v>1.431</v>
      </c>
      <c r="DT20" s="17">
        <v>1.859</v>
      </c>
      <c r="DU20" s="17">
        <v>0.52600000000000002</v>
      </c>
      <c r="DV20" s="17">
        <v>0.53</v>
      </c>
      <c r="DW20" s="17">
        <v>1.8140000000000001</v>
      </c>
      <c r="DX20" s="17">
        <v>1.147</v>
      </c>
      <c r="DY20" s="17">
        <v>1.667</v>
      </c>
      <c r="DZ20" s="17">
        <v>0.25900000000000001</v>
      </c>
      <c r="EA20" s="17">
        <v>1.3169999999999999</v>
      </c>
      <c r="EB20" s="17">
        <v>0.48199999999999998</v>
      </c>
      <c r="EC20" s="17">
        <v>1.355</v>
      </c>
      <c r="ED20" s="17">
        <v>1.613</v>
      </c>
      <c r="EE20" s="17">
        <v>1.726</v>
      </c>
      <c r="EF20" s="17">
        <v>1.5569999999999999</v>
      </c>
      <c r="EG20" s="17">
        <v>1.9350000000000001</v>
      </c>
      <c r="EH20" s="17">
        <v>0.82</v>
      </c>
      <c r="EI20" s="17">
        <v>1.056</v>
      </c>
      <c r="EJ20" s="17">
        <v>1.2989999999999999</v>
      </c>
      <c r="EK20" s="17">
        <v>0.93200000000000005</v>
      </c>
      <c r="EL20" s="17">
        <v>1.8049999999999999</v>
      </c>
      <c r="EM20" s="17">
        <v>0.92600000000000005</v>
      </c>
      <c r="EN20" s="17">
        <v>0.76300000000000001</v>
      </c>
      <c r="EO20" s="17">
        <v>1.4019999999999999</v>
      </c>
      <c r="EP20" s="17">
        <v>0.88900000000000001</v>
      </c>
      <c r="EQ20" s="17">
        <v>0.52300000000000002</v>
      </c>
      <c r="ER20" s="17">
        <v>1.381</v>
      </c>
      <c r="ES20" s="17">
        <v>0.88700000000000001</v>
      </c>
      <c r="ET20" s="17">
        <v>1.915</v>
      </c>
      <c r="EU20" s="17">
        <v>1.339</v>
      </c>
      <c r="EV20" s="17">
        <v>0.96299999999999997</v>
      </c>
      <c r="EW20" s="17">
        <v>0.68100000000000005</v>
      </c>
      <c r="EX20" s="17">
        <v>1.171</v>
      </c>
      <c r="EY20" s="17">
        <v>1.1850000000000001</v>
      </c>
      <c r="EZ20" s="17">
        <v>1.373</v>
      </c>
      <c r="FA20" s="17">
        <v>0.60099999999999998</v>
      </c>
      <c r="FB20" s="17">
        <v>0.67100000000000004</v>
      </c>
      <c r="FC20" s="17">
        <v>1.6479999999999999</v>
      </c>
      <c r="FD20" s="17">
        <v>1.423</v>
      </c>
      <c r="FE20" s="17">
        <v>0.70099999999999996</v>
      </c>
      <c r="FF20" s="17">
        <v>0.93500000000000005</v>
      </c>
      <c r="FG20" s="17">
        <v>1.2629999999999999</v>
      </c>
      <c r="FH20" s="17">
        <v>0.93400000000000005</v>
      </c>
      <c r="FI20" s="17">
        <v>1.925</v>
      </c>
      <c r="FJ20" s="17">
        <v>1.1859999999999999</v>
      </c>
      <c r="FK20" s="17">
        <v>1.3939999999999999</v>
      </c>
      <c r="FL20" s="17">
        <v>1.014</v>
      </c>
      <c r="FM20" s="17">
        <v>0.90100000000000002</v>
      </c>
      <c r="FN20" s="17">
        <v>1.43</v>
      </c>
      <c r="FO20" s="17">
        <v>0.872</v>
      </c>
      <c r="FP20" s="17">
        <v>0.90900000000000003</v>
      </c>
      <c r="FQ20" s="17">
        <v>1.3620000000000001</v>
      </c>
      <c r="FR20" s="17">
        <v>1.1779999999999999</v>
      </c>
      <c r="FS20" s="17">
        <v>1.0740000000000001</v>
      </c>
      <c r="FT20" s="17">
        <v>1.175</v>
      </c>
      <c r="FU20" s="17">
        <v>0.92300000000000004</v>
      </c>
      <c r="FV20" s="17">
        <v>0.53400000000000003</v>
      </c>
      <c r="FW20" s="17">
        <v>0.80400000000000005</v>
      </c>
      <c r="FX20" s="17">
        <v>1.7110000000000001</v>
      </c>
      <c r="FY20" s="17">
        <v>0.68600000000000005</v>
      </c>
      <c r="FZ20" s="17">
        <v>1.629</v>
      </c>
      <c r="GA20" s="17">
        <v>1.18</v>
      </c>
      <c r="GB20" s="17">
        <v>1.1970000000000001</v>
      </c>
      <c r="GC20" s="17">
        <v>1.643</v>
      </c>
      <c r="GD20" s="17">
        <v>0.78300000000000003</v>
      </c>
      <c r="GE20" s="17">
        <v>1.2829999999999999</v>
      </c>
      <c r="GF20" s="17">
        <v>0.63900000000000001</v>
      </c>
      <c r="GG20" s="17">
        <v>0</v>
      </c>
      <c r="GH20" s="17">
        <v>1.111</v>
      </c>
      <c r="GI20" s="17">
        <v>0.61099999999999999</v>
      </c>
      <c r="GJ20" s="17">
        <v>0.79100000000000004</v>
      </c>
      <c r="GK20" s="17">
        <v>0.86499999999999999</v>
      </c>
      <c r="GL20" s="17">
        <v>0.92900000000000005</v>
      </c>
      <c r="GM20" s="17">
        <v>0.67400000000000004</v>
      </c>
      <c r="GN20" s="17">
        <v>1.395</v>
      </c>
      <c r="GO20" s="17">
        <v>0.92800000000000005</v>
      </c>
      <c r="GP20" s="17">
        <v>1.752</v>
      </c>
      <c r="GQ20" s="17">
        <v>1.3160000000000001</v>
      </c>
      <c r="GR20" s="17">
        <v>1.41</v>
      </c>
      <c r="GS20" s="17">
        <v>1.532</v>
      </c>
      <c r="GT20" s="17">
        <v>1.181</v>
      </c>
      <c r="GU20" s="17">
        <v>1.1870000000000001</v>
      </c>
      <c r="GV20" s="17">
        <v>1.0780000000000001</v>
      </c>
      <c r="GW20" s="17">
        <v>1.726</v>
      </c>
      <c r="GX20" s="17">
        <v>1.3680000000000001</v>
      </c>
      <c r="GY20" s="17">
        <v>1.2669999999999999</v>
      </c>
      <c r="GZ20" s="17">
        <v>1.254</v>
      </c>
      <c r="HA20" s="17">
        <v>1.4339999999999999</v>
      </c>
      <c r="HB20" s="17">
        <v>1.206</v>
      </c>
      <c r="HC20" s="17">
        <v>0.77100000000000002</v>
      </c>
      <c r="HD20" s="17">
        <v>1.8620000000000001</v>
      </c>
      <c r="HE20" s="17">
        <v>1.03</v>
      </c>
      <c r="HF20" s="17">
        <v>1.849</v>
      </c>
      <c r="HG20" s="17">
        <v>1.651</v>
      </c>
      <c r="HH20" s="17">
        <v>1.415</v>
      </c>
    </row>
    <row r="21" spans="1:216" x14ac:dyDescent="0.25">
      <c r="A21" s="8">
        <v>17</v>
      </c>
      <c r="B21" s="8">
        <v>8</v>
      </c>
      <c r="C21" s="17">
        <v>1.1890000000000001</v>
      </c>
      <c r="D21" s="17">
        <v>1.7110000000000001</v>
      </c>
      <c r="E21" s="17">
        <v>0</v>
      </c>
      <c r="F21" s="17">
        <v>0.996</v>
      </c>
      <c r="G21" s="17">
        <v>1.056</v>
      </c>
      <c r="H21" s="17">
        <v>0.81200000000000006</v>
      </c>
      <c r="I21" s="17">
        <v>0.64600000000000002</v>
      </c>
      <c r="J21" s="17">
        <v>1.0149999999999999</v>
      </c>
      <c r="K21" s="17">
        <v>0.17899999999999999</v>
      </c>
      <c r="L21" s="17">
        <v>0.54200000000000004</v>
      </c>
      <c r="M21" s="17">
        <v>1.8979999999999999</v>
      </c>
      <c r="N21" s="17">
        <v>1.3140000000000001</v>
      </c>
      <c r="O21" s="17">
        <v>0.79800000000000004</v>
      </c>
      <c r="P21" s="17">
        <v>0</v>
      </c>
      <c r="Q21" s="17">
        <v>0</v>
      </c>
      <c r="R21" s="17">
        <v>0</v>
      </c>
      <c r="S21" s="17">
        <v>0</v>
      </c>
      <c r="T21" s="17">
        <v>0.92900000000000005</v>
      </c>
      <c r="U21" s="17">
        <v>1.2529999999999999</v>
      </c>
      <c r="V21" s="17">
        <v>1.6160000000000001</v>
      </c>
      <c r="W21" s="17">
        <v>0.65200000000000002</v>
      </c>
      <c r="X21" s="17">
        <v>0.95499999999999996</v>
      </c>
      <c r="Y21" s="17">
        <v>1.6180000000000001</v>
      </c>
      <c r="Z21" s="17">
        <v>0.94</v>
      </c>
      <c r="AA21" s="17">
        <v>0</v>
      </c>
      <c r="AB21" s="17">
        <v>0.57199999999999995</v>
      </c>
      <c r="AC21" s="17">
        <v>1.1379999999999999</v>
      </c>
      <c r="AD21" s="17">
        <v>0</v>
      </c>
      <c r="AE21" s="17">
        <v>1.0569999999999999</v>
      </c>
      <c r="AF21" s="17">
        <v>1.8859999999999999</v>
      </c>
      <c r="AG21" s="17">
        <v>0</v>
      </c>
      <c r="AH21" s="17">
        <v>1.1459999999999999</v>
      </c>
      <c r="AI21" s="17">
        <v>0.80100000000000005</v>
      </c>
      <c r="AJ21" s="17">
        <v>0</v>
      </c>
      <c r="AK21" s="17">
        <v>0.41399999999999998</v>
      </c>
      <c r="AL21" s="17">
        <v>0</v>
      </c>
      <c r="AM21" s="17">
        <v>0</v>
      </c>
      <c r="AN21" s="17">
        <v>1.21</v>
      </c>
      <c r="AO21" s="17">
        <v>1.3120000000000001</v>
      </c>
      <c r="AP21" s="17">
        <v>0.8</v>
      </c>
      <c r="AQ21" s="17">
        <v>0</v>
      </c>
      <c r="AR21" s="17">
        <v>1.0960000000000001</v>
      </c>
      <c r="AS21" s="17">
        <v>0.69499999999999995</v>
      </c>
      <c r="AT21" s="17">
        <v>0.88500000000000001</v>
      </c>
      <c r="AU21" s="17">
        <v>0.28699999999999998</v>
      </c>
      <c r="AV21" s="17">
        <v>0</v>
      </c>
      <c r="AW21" s="17">
        <v>1.446</v>
      </c>
      <c r="AX21" s="17">
        <v>0.95899999999999996</v>
      </c>
      <c r="AY21" s="17">
        <v>0.98299999999999998</v>
      </c>
      <c r="AZ21" s="17">
        <v>1.2350000000000001</v>
      </c>
      <c r="BA21" s="17">
        <v>1.038</v>
      </c>
      <c r="BB21" s="17">
        <v>1.0880000000000001</v>
      </c>
      <c r="BC21" s="17">
        <v>0</v>
      </c>
      <c r="BD21" s="17">
        <v>0</v>
      </c>
      <c r="BE21" s="17">
        <v>0.31</v>
      </c>
      <c r="BF21" s="17">
        <v>0</v>
      </c>
      <c r="BG21" s="17">
        <v>1.405</v>
      </c>
      <c r="BH21" s="17">
        <v>0.93500000000000005</v>
      </c>
      <c r="BI21" s="17">
        <v>1.4890000000000001</v>
      </c>
      <c r="BJ21" s="17">
        <v>0</v>
      </c>
      <c r="BK21" s="17">
        <v>0.96599999999999997</v>
      </c>
      <c r="BL21" s="17">
        <v>1.1659999999999999</v>
      </c>
      <c r="BM21" s="17">
        <v>1.706</v>
      </c>
      <c r="BN21" s="17">
        <v>0.747</v>
      </c>
      <c r="BO21" s="17">
        <v>0.67500000000000004</v>
      </c>
      <c r="BP21" s="17">
        <v>0.629</v>
      </c>
      <c r="BQ21" s="17">
        <v>0.91200000000000003</v>
      </c>
      <c r="BR21" s="17">
        <v>0</v>
      </c>
      <c r="BS21" s="17">
        <v>0.91200000000000003</v>
      </c>
      <c r="BT21" s="17">
        <v>1.3580000000000001</v>
      </c>
      <c r="BU21" s="17">
        <v>0.13800000000000001</v>
      </c>
      <c r="BV21" s="17">
        <v>0.55300000000000005</v>
      </c>
      <c r="BW21" s="17">
        <v>0</v>
      </c>
      <c r="BX21" s="17">
        <v>0</v>
      </c>
      <c r="BY21" s="17">
        <v>0.26500000000000001</v>
      </c>
      <c r="BZ21" s="17">
        <v>0</v>
      </c>
      <c r="CA21" s="17">
        <v>1.1839999999999999</v>
      </c>
      <c r="CB21" s="17">
        <v>1.6439999999999999</v>
      </c>
      <c r="CC21" s="17">
        <v>0</v>
      </c>
      <c r="CD21" s="17">
        <v>0.85699999999999998</v>
      </c>
      <c r="CE21" s="17">
        <v>1.1819999999999999</v>
      </c>
      <c r="CF21" s="17">
        <v>0.63100000000000001</v>
      </c>
      <c r="CG21" s="17">
        <v>0.54400000000000004</v>
      </c>
      <c r="CH21" s="17">
        <v>1.3979999999999999</v>
      </c>
      <c r="CI21" s="17">
        <v>1.579</v>
      </c>
      <c r="CJ21" s="17">
        <v>0.56000000000000005</v>
      </c>
      <c r="CK21" s="17">
        <v>1.534</v>
      </c>
      <c r="CL21" s="17">
        <v>1.377</v>
      </c>
      <c r="CM21" s="17">
        <v>1.0720000000000001</v>
      </c>
      <c r="CN21" s="17">
        <v>1.8160000000000001</v>
      </c>
      <c r="CO21" s="17">
        <v>0.68500000000000005</v>
      </c>
      <c r="CP21" s="17">
        <v>1.4830000000000001</v>
      </c>
      <c r="CQ21" s="17">
        <v>0.77400000000000002</v>
      </c>
      <c r="CR21" s="17">
        <v>0</v>
      </c>
      <c r="CS21" s="17">
        <v>0</v>
      </c>
      <c r="CT21" s="17">
        <v>0.80300000000000005</v>
      </c>
      <c r="CU21" s="17">
        <v>0</v>
      </c>
      <c r="CV21" s="17">
        <v>0</v>
      </c>
      <c r="CW21" s="17">
        <v>0.59</v>
      </c>
      <c r="CX21" s="17">
        <v>0</v>
      </c>
      <c r="CY21" s="17">
        <v>1.643</v>
      </c>
      <c r="CZ21" s="17">
        <v>1.3029999999999999</v>
      </c>
      <c r="DA21" s="17">
        <v>1.2769999999999999</v>
      </c>
      <c r="DB21" s="17">
        <v>1.29</v>
      </c>
      <c r="DC21" s="17">
        <v>1.714</v>
      </c>
      <c r="DD21" s="17">
        <v>0.66100000000000003</v>
      </c>
      <c r="DE21" s="17">
        <v>0</v>
      </c>
      <c r="DF21" s="17">
        <v>0.48399999999999999</v>
      </c>
      <c r="DG21" s="17">
        <v>1.7589999999999999</v>
      </c>
      <c r="DH21" s="17">
        <v>1.3959999999999999</v>
      </c>
      <c r="DI21" s="17">
        <v>0</v>
      </c>
      <c r="DJ21" s="17">
        <v>1.647</v>
      </c>
      <c r="DK21" s="17">
        <v>1.2130000000000001</v>
      </c>
      <c r="DL21" s="17">
        <v>1.097</v>
      </c>
      <c r="DM21" s="17">
        <v>1.044</v>
      </c>
      <c r="DN21" s="17">
        <v>7.5999999999999998E-2</v>
      </c>
      <c r="DO21" s="17">
        <v>1.0249999999999999</v>
      </c>
      <c r="DP21" s="17">
        <v>1.304</v>
      </c>
      <c r="DQ21" s="17">
        <v>1.6559999999999999</v>
      </c>
      <c r="DR21" s="17">
        <v>0.89200000000000002</v>
      </c>
      <c r="DS21" s="17">
        <v>1.413</v>
      </c>
      <c r="DT21" s="17">
        <v>0.107</v>
      </c>
      <c r="DU21" s="17">
        <v>0.61699999999999999</v>
      </c>
      <c r="DV21" s="17">
        <v>0.59599999999999997</v>
      </c>
      <c r="DW21" s="17">
        <v>1.8180000000000001</v>
      </c>
      <c r="DX21" s="17">
        <v>1.234</v>
      </c>
      <c r="DY21" s="17">
        <v>0.877</v>
      </c>
      <c r="DZ21" s="17">
        <v>0</v>
      </c>
      <c r="EA21" s="17">
        <v>1.57</v>
      </c>
      <c r="EB21" s="17">
        <v>0</v>
      </c>
      <c r="EC21" s="17">
        <v>1.5549999999999999</v>
      </c>
      <c r="ED21" s="17">
        <v>0.16300000000000001</v>
      </c>
      <c r="EE21" s="17">
        <v>0.51900000000000002</v>
      </c>
      <c r="EF21" s="17">
        <v>0.71799999999999997</v>
      </c>
      <c r="EG21" s="17">
        <v>0.25600000000000001</v>
      </c>
      <c r="EH21" s="17">
        <v>1.5549999999999999</v>
      </c>
      <c r="EI21" s="17">
        <v>1.4650000000000001</v>
      </c>
      <c r="EJ21" s="17">
        <v>0.71</v>
      </c>
      <c r="EK21" s="17">
        <v>0.95599999999999996</v>
      </c>
      <c r="EL21" s="17">
        <v>0.121</v>
      </c>
      <c r="EM21" s="17">
        <v>1.109</v>
      </c>
      <c r="EN21" s="17">
        <v>1.048</v>
      </c>
      <c r="EO21" s="17">
        <v>0</v>
      </c>
      <c r="EP21" s="17">
        <v>0.997</v>
      </c>
      <c r="EQ21" s="17">
        <v>0.72799999999999998</v>
      </c>
      <c r="ER21" s="17">
        <v>0</v>
      </c>
      <c r="ES21" s="17">
        <v>0.90900000000000003</v>
      </c>
      <c r="ET21" s="17">
        <v>0.41499999999999998</v>
      </c>
      <c r="EU21" s="17">
        <v>1.4330000000000001</v>
      </c>
      <c r="EV21" s="17">
        <v>1.006</v>
      </c>
      <c r="EW21" s="17">
        <v>0</v>
      </c>
      <c r="EX21" s="17">
        <v>1.353</v>
      </c>
      <c r="EY21" s="17">
        <v>1.3320000000000001</v>
      </c>
      <c r="EZ21" s="17">
        <v>1.718</v>
      </c>
      <c r="FA21" s="17">
        <v>0.83799999999999997</v>
      </c>
      <c r="FB21" s="17">
        <v>0.97199999999999998</v>
      </c>
      <c r="FC21" s="17">
        <v>1.625</v>
      </c>
      <c r="FD21" s="17">
        <v>1.2430000000000001</v>
      </c>
      <c r="FE21" s="17">
        <v>0</v>
      </c>
      <c r="FF21" s="17">
        <v>1.0680000000000001</v>
      </c>
      <c r="FG21" s="17">
        <v>0</v>
      </c>
      <c r="FH21" s="17">
        <v>1.095</v>
      </c>
      <c r="FI21" s="17">
        <v>0.74099999999999999</v>
      </c>
      <c r="FJ21" s="17">
        <v>1.4319999999999999</v>
      </c>
      <c r="FK21" s="17">
        <v>1.474</v>
      </c>
      <c r="FL21" s="17">
        <v>1.304</v>
      </c>
      <c r="FM21" s="17">
        <v>1.3620000000000001</v>
      </c>
      <c r="FN21" s="17">
        <v>1.647</v>
      </c>
      <c r="FO21" s="17">
        <v>0</v>
      </c>
      <c r="FP21" s="17">
        <v>0.85199999999999998</v>
      </c>
      <c r="FQ21" s="17">
        <v>1.476</v>
      </c>
      <c r="FR21" s="17">
        <v>1.3140000000000001</v>
      </c>
      <c r="FS21" s="17">
        <v>0</v>
      </c>
      <c r="FT21" s="17">
        <v>1.3560000000000001</v>
      </c>
      <c r="FU21" s="17">
        <v>1.347</v>
      </c>
      <c r="FV21" s="17">
        <v>0</v>
      </c>
      <c r="FW21" s="17">
        <v>1.5820000000000001</v>
      </c>
      <c r="FX21" s="17">
        <v>1.21</v>
      </c>
      <c r="FY21" s="17">
        <v>0.69199999999999995</v>
      </c>
      <c r="FZ21" s="17">
        <v>0.58099999999999996</v>
      </c>
      <c r="GA21" s="17">
        <v>1.361</v>
      </c>
      <c r="GB21" s="17">
        <v>0.59299999999999997</v>
      </c>
      <c r="GC21" s="17">
        <v>1.044</v>
      </c>
      <c r="GD21" s="17">
        <v>0.91800000000000004</v>
      </c>
      <c r="GE21" s="17">
        <v>0</v>
      </c>
      <c r="GF21" s="17">
        <v>0.72399999999999998</v>
      </c>
      <c r="GG21" s="17">
        <v>0</v>
      </c>
      <c r="GH21" s="17">
        <v>1.278</v>
      </c>
      <c r="GI21" s="17">
        <v>0</v>
      </c>
      <c r="GJ21" s="17">
        <v>1.05</v>
      </c>
      <c r="GK21" s="17">
        <v>1.0820000000000001</v>
      </c>
      <c r="GL21" s="17">
        <v>0.64700000000000002</v>
      </c>
      <c r="GM21" s="17">
        <v>0.76400000000000001</v>
      </c>
      <c r="GN21" s="17">
        <v>0</v>
      </c>
      <c r="GO21" s="17">
        <v>0.94399999999999995</v>
      </c>
      <c r="GP21" s="17">
        <v>0.72799999999999998</v>
      </c>
      <c r="GQ21" s="17">
        <v>1.4019999999999999</v>
      </c>
      <c r="GR21" s="17">
        <v>0</v>
      </c>
      <c r="GS21" s="17">
        <v>1.907</v>
      </c>
      <c r="GT21" s="17">
        <v>1.3620000000000001</v>
      </c>
      <c r="GU21" s="17">
        <v>1.1890000000000001</v>
      </c>
      <c r="GV21" s="17">
        <v>1.3680000000000001</v>
      </c>
      <c r="GW21" s="17">
        <v>0.84</v>
      </c>
      <c r="GX21" s="17">
        <v>1.403</v>
      </c>
      <c r="GY21" s="17">
        <v>1.556</v>
      </c>
      <c r="GZ21" s="17">
        <v>0</v>
      </c>
      <c r="HA21" s="17">
        <v>1.2769999999999999</v>
      </c>
      <c r="HB21" s="17">
        <v>1.641</v>
      </c>
      <c r="HC21" s="17">
        <v>1.028</v>
      </c>
      <c r="HD21" s="17">
        <v>1.095</v>
      </c>
      <c r="HE21" s="17">
        <v>1.367</v>
      </c>
      <c r="HF21" s="17">
        <v>4.8000000000000001E-2</v>
      </c>
      <c r="HG21" s="17">
        <v>0</v>
      </c>
      <c r="HH21" s="17">
        <v>0.50600000000000001</v>
      </c>
    </row>
    <row r="22" spans="1:216" x14ac:dyDescent="0.25">
      <c r="A22" s="8">
        <v>18</v>
      </c>
      <c r="B22" s="8">
        <v>8.5</v>
      </c>
      <c r="C22" s="17">
        <v>1.22</v>
      </c>
      <c r="D22" s="17">
        <v>0</v>
      </c>
      <c r="E22" s="17">
        <v>0</v>
      </c>
      <c r="F22" s="17">
        <v>1.34</v>
      </c>
      <c r="G22" s="17">
        <v>0.75700000000000001</v>
      </c>
      <c r="H22" s="17">
        <v>0.41099999999999998</v>
      </c>
      <c r="I22" s="17">
        <v>0.57799999999999996</v>
      </c>
      <c r="J22" s="17">
        <v>0.65700000000000003</v>
      </c>
      <c r="K22" s="17">
        <v>0.50800000000000001</v>
      </c>
      <c r="L22" s="17">
        <v>0</v>
      </c>
      <c r="M22" s="17">
        <v>0.80800000000000005</v>
      </c>
      <c r="N22" s="17">
        <v>0</v>
      </c>
      <c r="O22" s="17">
        <v>0.9</v>
      </c>
      <c r="P22" s="17">
        <v>0</v>
      </c>
      <c r="Q22" s="17">
        <v>0</v>
      </c>
      <c r="R22" s="17">
        <v>0</v>
      </c>
      <c r="S22" s="17">
        <v>0</v>
      </c>
      <c r="T22" s="17">
        <v>1.2150000000000001</v>
      </c>
      <c r="U22" s="17">
        <v>1.143</v>
      </c>
      <c r="V22" s="17">
        <v>0.90500000000000003</v>
      </c>
      <c r="W22" s="17">
        <v>1.401</v>
      </c>
      <c r="X22" s="17">
        <v>1.0649999999999999</v>
      </c>
      <c r="Y22" s="17">
        <v>0.74399999999999999</v>
      </c>
      <c r="Z22" s="17">
        <v>1.0189999999999999</v>
      </c>
      <c r="AA22" s="17">
        <v>0</v>
      </c>
      <c r="AB22" s="17">
        <v>1.7999999999999999E-2</v>
      </c>
      <c r="AC22" s="17">
        <v>1.1919999999999999</v>
      </c>
      <c r="AD22" s="17">
        <v>0</v>
      </c>
      <c r="AE22" s="17">
        <v>0</v>
      </c>
      <c r="AF22" s="17">
        <v>0.16600000000000001</v>
      </c>
      <c r="AG22" s="17">
        <v>0</v>
      </c>
      <c r="AH22" s="17">
        <v>0</v>
      </c>
      <c r="AI22" s="17">
        <v>0</v>
      </c>
      <c r="AJ22" s="17">
        <v>0</v>
      </c>
      <c r="AK22" s="17">
        <v>0.32800000000000001</v>
      </c>
      <c r="AL22" s="17">
        <v>0</v>
      </c>
      <c r="AM22" s="17">
        <v>0</v>
      </c>
      <c r="AN22" s="17">
        <v>0</v>
      </c>
      <c r="AO22" s="17">
        <v>0.72299999999999998</v>
      </c>
      <c r="AP22" s="17">
        <v>0.90200000000000002</v>
      </c>
      <c r="AQ22" s="17">
        <v>0</v>
      </c>
      <c r="AR22" s="17">
        <v>1.5329999999999999</v>
      </c>
      <c r="AS22" s="17">
        <v>0.97699999999999998</v>
      </c>
      <c r="AT22" s="17">
        <v>0</v>
      </c>
      <c r="AU22" s="17">
        <v>0</v>
      </c>
      <c r="AV22" s="17">
        <v>0</v>
      </c>
      <c r="AW22" s="17">
        <v>0.33300000000000002</v>
      </c>
      <c r="AX22" s="17">
        <v>1.1850000000000001</v>
      </c>
      <c r="AY22" s="17">
        <v>1.0780000000000001</v>
      </c>
      <c r="AZ22" s="17">
        <v>1.1459999999999999</v>
      </c>
      <c r="BA22" s="17">
        <v>2.048</v>
      </c>
      <c r="BB22" s="17">
        <v>1.083</v>
      </c>
      <c r="BC22" s="17">
        <v>0.91400000000000003</v>
      </c>
      <c r="BD22" s="17">
        <v>6.3E-2</v>
      </c>
      <c r="BE22" s="17">
        <v>0</v>
      </c>
      <c r="BF22" s="17">
        <v>0</v>
      </c>
      <c r="BG22" s="17">
        <v>0</v>
      </c>
      <c r="BH22" s="17">
        <v>0</v>
      </c>
      <c r="BI22" s="17">
        <v>0.52500000000000002</v>
      </c>
      <c r="BJ22" s="17">
        <v>1.03</v>
      </c>
      <c r="BK22" s="17">
        <v>0.94799999999999995</v>
      </c>
      <c r="BL22" s="17">
        <v>1.4179999999999999</v>
      </c>
      <c r="BM22" s="17">
        <v>0</v>
      </c>
      <c r="BN22" s="17">
        <v>0.629</v>
      </c>
      <c r="BO22" s="17">
        <v>0.80500000000000005</v>
      </c>
      <c r="BP22" s="17">
        <v>0.42799999999999999</v>
      </c>
      <c r="BQ22" s="17">
        <v>0</v>
      </c>
      <c r="BR22" s="17">
        <v>0</v>
      </c>
      <c r="BS22" s="17">
        <v>1.175</v>
      </c>
      <c r="BT22" s="17">
        <v>0.21</v>
      </c>
      <c r="BU22" s="17">
        <v>0</v>
      </c>
      <c r="BV22" s="17">
        <v>0</v>
      </c>
      <c r="BW22" s="17">
        <v>0.91</v>
      </c>
      <c r="BX22" s="17">
        <v>0</v>
      </c>
      <c r="BY22" s="17">
        <v>0.878</v>
      </c>
      <c r="BZ22" s="17">
        <v>0</v>
      </c>
      <c r="CA22" s="17">
        <v>1.446</v>
      </c>
      <c r="CB22" s="17">
        <v>1.359</v>
      </c>
      <c r="CC22" s="17">
        <v>0</v>
      </c>
      <c r="CD22" s="17">
        <v>1.117</v>
      </c>
      <c r="CE22" s="17">
        <v>1.0580000000000001</v>
      </c>
      <c r="CF22" s="17">
        <v>0</v>
      </c>
      <c r="CG22" s="17">
        <v>0</v>
      </c>
      <c r="CH22" s="17">
        <v>0</v>
      </c>
      <c r="CI22" s="17">
        <v>0.83499999999999996</v>
      </c>
      <c r="CJ22" s="17">
        <v>0</v>
      </c>
      <c r="CK22" s="17">
        <v>1.772</v>
      </c>
      <c r="CL22" s="17">
        <v>0</v>
      </c>
      <c r="CM22" s="17">
        <v>0.36499999999999999</v>
      </c>
      <c r="CN22" s="17">
        <v>0.622</v>
      </c>
      <c r="CO22" s="17">
        <v>0</v>
      </c>
      <c r="CP22" s="17">
        <v>1.57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0.68300000000000005</v>
      </c>
      <c r="CX22" s="17">
        <v>0</v>
      </c>
      <c r="CY22" s="17">
        <v>0.156</v>
      </c>
      <c r="CZ22" s="17">
        <v>0</v>
      </c>
      <c r="DA22" s="17">
        <v>0.26700000000000002</v>
      </c>
      <c r="DB22" s="17">
        <v>0.49299999999999999</v>
      </c>
      <c r="DC22" s="17">
        <v>0</v>
      </c>
      <c r="DD22" s="17">
        <v>0</v>
      </c>
      <c r="DE22" s="17">
        <v>0</v>
      </c>
      <c r="DF22" s="17">
        <v>0.4</v>
      </c>
      <c r="DG22" s="17">
        <v>0.83199999999999996</v>
      </c>
      <c r="DH22" s="17">
        <v>0</v>
      </c>
      <c r="DI22" s="17">
        <v>0</v>
      </c>
      <c r="DJ22" s="17">
        <v>2.5999999999999999E-2</v>
      </c>
      <c r="DK22" s="17">
        <v>1.6439999999999999</v>
      </c>
      <c r="DL22" s="17">
        <v>1.4159999999999999</v>
      </c>
      <c r="DM22" s="17">
        <v>0</v>
      </c>
      <c r="DN22" s="17">
        <v>1.3640000000000001</v>
      </c>
      <c r="DO22" s="17">
        <v>0.499</v>
      </c>
      <c r="DP22" s="17">
        <v>0</v>
      </c>
      <c r="DQ22" s="17">
        <v>0</v>
      </c>
      <c r="DR22" s="17">
        <v>0.99399999999999999</v>
      </c>
      <c r="DS22" s="17">
        <v>0</v>
      </c>
      <c r="DT22" s="17">
        <v>0</v>
      </c>
      <c r="DU22" s="17">
        <v>0</v>
      </c>
      <c r="DV22" s="17">
        <v>0.81699999999999995</v>
      </c>
      <c r="DW22" s="17">
        <v>0</v>
      </c>
      <c r="DX22" s="17">
        <v>0.76</v>
      </c>
      <c r="DY22" s="17">
        <v>0</v>
      </c>
      <c r="DZ22" s="17">
        <v>0</v>
      </c>
      <c r="EA22" s="17">
        <v>0.20300000000000001</v>
      </c>
      <c r="EB22" s="17">
        <v>0</v>
      </c>
      <c r="EC22" s="17">
        <v>0.47699999999999998</v>
      </c>
      <c r="ED22" s="17">
        <v>0</v>
      </c>
      <c r="EE22" s="17">
        <v>0</v>
      </c>
      <c r="EF22" s="17">
        <v>0</v>
      </c>
      <c r="EG22" s="17">
        <v>0</v>
      </c>
      <c r="EH22" s="17">
        <v>0.92</v>
      </c>
      <c r="EI22" s="17">
        <v>1.429</v>
      </c>
      <c r="EJ22" s="17">
        <v>0</v>
      </c>
      <c r="EK22" s="17">
        <v>1.0549999999999999</v>
      </c>
      <c r="EL22" s="17">
        <v>0</v>
      </c>
      <c r="EM22" s="17">
        <v>1.3</v>
      </c>
      <c r="EN22" s="17">
        <v>1.212</v>
      </c>
      <c r="EO22" s="17">
        <v>0</v>
      </c>
      <c r="EP22" s="17">
        <v>1.218</v>
      </c>
      <c r="EQ22" s="17">
        <v>0.91</v>
      </c>
      <c r="ER22" s="17">
        <v>0</v>
      </c>
      <c r="ES22" s="17">
        <v>1.026</v>
      </c>
      <c r="ET22" s="17">
        <v>0</v>
      </c>
      <c r="EU22" s="17">
        <v>1.151</v>
      </c>
      <c r="EV22" s="17">
        <v>0</v>
      </c>
      <c r="EW22" s="17">
        <v>0.81299999999999994</v>
      </c>
      <c r="EX22" s="17">
        <v>1.4330000000000001</v>
      </c>
      <c r="EY22" s="17">
        <v>1.0309999999999999</v>
      </c>
      <c r="EZ22" s="17">
        <v>0.57699999999999996</v>
      </c>
      <c r="FA22" s="17">
        <v>0.81799999999999995</v>
      </c>
      <c r="FB22" s="17">
        <v>0.995</v>
      </c>
      <c r="FC22" s="17">
        <v>0.191</v>
      </c>
      <c r="FD22" s="17">
        <v>0</v>
      </c>
      <c r="FE22" s="17">
        <v>0</v>
      </c>
      <c r="FF22" s="17">
        <v>1.21</v>
      </c>
      <c r="FG22" s="17">
        <v>0</v>
      </c>
      <c r="FH22" s="17">
        <v>1.2310000000000001</v>
      </c>
      <c r="FI22" s="17">
        <v>0</v>
      </c>
      <c r="FJ22" s="17">
        <v>0.56799999999999995</v>
      </c>
      <c r="FK22" s="17">
        <v>0.71199999999999997</v>
      </c>
      <c r="FL22" s="17">
        <v>1.534</v>
      </c>
      <c r="FM22" s="17">
        <v>1.446</v>
      </c>
      <c r="FN22" s="17">
        <v>0.15</v>
      </c>
      <c r="FO22" s="17">
        <v>1.0389999999999999</v>
      </c>
      <c r="FP22" s="17">
        <v>7.5999999999999998E-2</v>
      </c>
      <c r="FQ22" s="17">
        <v>0.67500000000000004</v>
      </c>
      <c r="FR22" s="17">
        <v>0.76400000000000001</v>
      </c>
      <c r="FS22" s="17">
        <v>1.145</v>
      </c>
      <c r="FT22" s="17">
        <v>0.94</v>
      </c>
      <c r="FU22" s="17">
        <v>1.413</v>
      </c>
      <c r="FV22" s="17">
        <v>0</v>
      </c>
      <c r="FW22" s="17">
        <v>0</v>
      </c>
      <c r="FX22" s="17">
        <v>0</v>
      </c>
      <c r="FY22" s="17">
        <v>0.84699999999999998</v>
      </c>
      <c r="FZ22" s="17">
        <v>0</v>
      </c>
      <c r="GA22" s="17">
        <v>1.0720000000000001</v>
      </c>
      <c r="GB22" s="17">
        <v>0</v>
      </c>
      <c r="GC22" s="17">
        <v>0</v>
      </c>
      <c r="GD22" s="17">
        <v>0.14899999999999999</v>
      </c>
      <c r="GE22" s="17">
        <v>0</v>
      </c>
      <c r="GF22" s="17">
        <v>0.61</v>
      </c>
      <c r="GG22" s="17">
        <v>1.119</v>
      </c>
      <c r="GH22" s="17">
        <v>1.1890000000000001</v>
      </c>
      <c r="GI22" s="17">
        <v>0</v>
      </c>
      <c r="GJ22" s="17">
        <v>0</v>
      </c>
      <c r="GK22" s="17">
        <v>1.177</v>
      </c>
      <c r="GL22" s="17">
        <v>0.97</v>
      </c>
      <c r="GM22" s="17">
        <v>0.55500000000000005</v>
      </c>
      <c r="GN22" s="17">
        <v>0</v>
      </c>
      <c r="GO22" s="17">
        <v>0</v>
      </c>
      <c r="GP22" s="17">
        <v>0</v>
      </c>
      <c r="GQ22" s="17">
        <v>0</v>
      </c>
      <c r="GR22" s="17">
        <v>0</v>
      </c>
      <c r="GS22" s="17">
        <v>0.25600000000000001</v>
      </c>
      <c r="GT22" s="17">
        <v>0.17199999999999999</v>
      </c>
      <c r="GU22" s="17">
        <v>1.24</v>
      </c>
      <c r="GV22" s="17">
        <v>1.325</v>
      </c>
      <c r="GW22" s="17">
        <v>0</v>
      </c>
      <c r="GX22" s="17">
        <v>0.63300000000000001</v>
      </c>
      <c r="GY22" s="17">
        <v>0.13700000000000001</v>
      </c>
      <c r="GZ22" s="17">
        <v>0</v>
      </c>
      <c r="HA22" s="17">
        <v>0</v>
      </c>
      <c r="HB22" s="17">
        <v>0.56200000000000006</v>
      </c>
      <c r="HC22" s="17">
        <v>1.1599999999999999</v>
      </c>
      <c r="HD22" s="17">
        <v>0</v>
      </c>
      <c r="HE22" s="17">
        <v>1.2809999999999999</v>
      </c>
      <c r="HF22" s="17">
        <v>0</v>
      </c>
      <c r="HG22" s="17">
        <v>0</v>
      </c>
      <c r="HH22" s="17">
        <v>0</v>
      </c>
    </row>
    <row r="23" spans="1:216" x14ac:dyDescent="0.25">
      <c r="A23" s="8">
        <v>19</v>
      </c>
      <c r="B23" s="8">
        <v>9</v>
      </c>
      <c r="C23" s="17">
        <v>1.2929999999999999</v>
      </c>
      <c r="D23" s="17">
        <v>0</v>
      </c>
      <c r="E23" s="17">
        <v>0</v>
      </c>
      <c r="F23" s="17">
        <v>1.008</v>
      </c>
      <c r="G23" s="17">
        <v>7.8E-2</v>
      </c>
      <c r="H23" s="17">
        <v>0</v>
      </c>
      <c r="I23" s="17">
        <v>0.95799999999999996</v>
      </c>
      <c r="J23" s="17">
        <v>1.2789999999999999</v>
      </c>
      <c r="K23" s="17">
        <v>0.55500000000000005</v>
      </c>
      <c r="L23" s="17">
        <v>0</v>
      </c>
      <c r="M23" s="17">
        <v>0</v>
      </c>
      <c r="N23" s="17">
        <v>0</v>
      </c>
      <c r="O23" s="17">
        <v>0.98699999999999999</v>
      </c>
      <c r="P23" s="17">
        <v>0</v>
      </c>
      <c r="Q23" s="17">
        <v>0.309</v>
      </c>
      <c r="R23" s="17">
        <v>0</v>
      </c>
      <c r="S23" s="17">
        <v>0</v>
      </c>
      <c r="T23" s="17">
        <v>1.0629999999999999</v>
      </c>
      <c r="U23" s="17">
        <v>0</v>
      </c>
      <c r="V23" s="17">
        <v>0</v>
      </c>
      <c r="W23" s="17">
        <v>0.46300000000000002</v>
      </c>
      <c r="X23" s="17">
        <v>1.3160000000000001</v>
      </c>
      <c r="Y23" s="17">
        <v>0</v>
      </c>
      <c r="Z23" s="17">
        <v>0</v>
      </c>
      <c r="AA23" s="17">
        <v>0</v>
      </c>
      <c r="AB23" s="17">
        <v>0.39100000000000001</v>
      </c>
      <c r="AC23" s="17">
        <v>0.83399999999999996</v>
      </c>
      <c r="AD23" s="17">
        <v>0.43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3.6999999999999998E-2</v>
      </c>
      <c r="AL23" s="17">
        <v>0</v>
      </c>
      <c r="AM23" s="17">
        <v>0</v>
      </c>
      <c r="AN23" s="17">
        <v>0</v>
      </c>
      <c r="AO23" s="17">
        <v>0</v>
      </c>
      <c r="AP23" s="17">
        <v>0.873</v>
      </c>
      <c r="AQ23" s="17">
        <v>0</v>
      </c>
      <c r="AR23" s="17">
        <v>0.53</v>
      </c>
      <c r="AS23" s="17">
        <v>1.1519999999999999</v>
      </c>
      <c r="AT23" s="17">
        <v>0</v>
      </c>
      <c r="AU23" s="17">
        <v>0</v>
      </c>
      <c r="AV23" s="17">
        <v>0</v>
      </c>
      <c r="AW23" s="17">
        <v>0</v>
      </c>
      <c r="AX23" s="17">
        <v>0</v>
      </c>
      <c r="AY23" s="17">
        <v>1.18</v>
      </c>
      <c r="AZ23" s="17">
        <v>1.292</v>
      </c>
      <c r="BA23" s="17">
        <v>0.89400000000000002</v>
      </c>
      <c r="BB23" s="17">
        <v>1.2350000000000001</v>
      </c>
      <c r="BC23" s="17">
        <v>0.45800000000000002</v>
      </c>
      <c r="BD23" s="17">
        <v>2.2890000000000001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1.532</v>
      </c>
      <c r="BK23" s="17">
        <v>0.153</v>
      </c>
      <c r="BL23" s="17">
        <v>1.34</v>
      </c>
      <c r="BM23" s="17">
        <v>0</v>
      </c>
      <c r="BN23" s="17">
        <v>0.81799999999999995</v>
      </c>
      <c r="BO23" s="17">
        <v>0.97799999999999998</v>
      </c>
      <c r="BP23" s="17">
        <v>0.13300000000000001</v>
      </c>
      <c r="BQ23" s="17">
        <v>0</v>
      </c>
      <c r="BR23" s="17">
        <v>0</v>
      </c>
      <c r="BS23" s="17">
        <v>1.0740000000000001</v>
      </c>
      <c r="BT23" s="17">
        <v>0</v>
      </c>
      <c r="BU23" s="17">
        <v>0.65500000000000003</v>
      </c>
      <c r="BV23" s="17">
        <v>0</v>
      </c>
      <c r="BW23" s="17">
        <v>1.2889999999999999</v>
      </c>
      <c r="BX23" s="17">
        <v>0</v>
      </c>
      <c r="BY23" s="17">
        <v>0.89700000000000002</v>
      </c>
      <c r="BZ23" s="17">
        <v>0</v>
      </c>
      <c r="CA23" s="17">
        <v>0.5</v>
      </c>
      <c r="CB23" s="17">
        <v>0</v>
      </c>
      <c r="CC23" s="17">
        <v>0</v>
      </c>
      <c r="CD23" s="17">
        <v>8.2000000000000003E-2</v>
      </c>
      <c r="CE23" s="17">
        <v>0</v>
      </c>
      <c r="CF23" s="17">
        <v>1.3120000000000001</v>
      </c>
      <c r="CG23" s="17">
        <v>0</v>
      </c>
      <c r="CH23" s="17">
        <v>0</v>
      </c>
      <c r="CI23" s="17">
        <v>0</v>
      </c>
      <c r="CJ23" s="17">
        <v>0</v>
      </c>
      <c r="CK23" s="17">
        <v>0.44900000000000001</v>
      </c>
      <c r="CL23" s="17">
        <v>0</v>
      </c>
      <c r="CM23" s="17">
        <v>0</v>
      </c>
      <c r="CN23" s="17">
        <v>0</v>
      </c>
      <c r="CO23" s="17">
        <v>0.99</v>
      </c>
      <c r="CP23" s="17">
        <v>0</v>
      </c>
      <c r="CQ23" s="17">
        <v>0</v>
      </c>
      <c r="CR23" s="17">
        <v>0.187</v>
      </c>
      <c r="CS23" s="17">
        <v>0</v>
      </c>
      <c r="CT23" s="17">
        <v>0</v>
      </c>
      <c r="CU23" s="17">
        <v>0</v>
      </c>
      <c r="CV23" s="17">
        <v>0</v>
      </c>
      <c r="CW23" s="17">
        <v>0.85099999999999998</v>
      </c>
      <c r="CX23" s="17">
        <v>0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</v>
      </c>
      <c r="DE23" s="17">
        <v>0</v>
      </c>
      <c r="DF23" s="17">
        <v>0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0.66100000000000003</v>
      </c>
      <c r="DM23" s="17">
        <v>0</v>
      </c>
      <c r="DN23" s="17">
        <v>1.089</v>
      </c>
      <c r="DO23" s="17">
        <v>0.877</v>
      </c>
      <c r="DP23" s="17">
        <v>0</v>
      </c>
      <c r="DQ23" s="17">
        <v>0</v>
      </c>
      <c r="DR23" s="17">
        <v>1.1519999999999999</v>
      </c>
      <c r="DS23" s="17">
        <v>0</v>
      </c>
      <c r="DT23" s="17">
        <v>0</v>
      </c>
      <c r="DU23" s="17">
        <v>0.60099999999999998</v>
      </c>
      <c r="DV23" s="17">
        <v>8.5000000000000006E-2</v>
      </c>
      <c r="DW23" s="17">
        <v>0</v>
      </c>
      <c r="DX23" s="17">
        <v>0</v>
      </c>
      <c r="DY23" s="17">
        <v>0</v>
      </c>
      <c r="DZ23" s="17">
        <v>0.6</v>
      </c>
      <c r="EA23" s="17">
        <v>0</v>
      </c>
      <c r="EB23" s="17">
        <v>0</v>
      </c>
      <c r="EC23" s="17">
        <v>0</v>
      </c>
      <c r="ED23" s="17">
        <v>0</v>
      </c>
      <c r="EE23" s="17">
        <v>0</v>
      </c>
      <c r="EF23" s="17">
        <v>0</v>
      </c>
      <c r="EG23" s="17">
        <v>0</v>
      </c>
      <c r="EH23" s="17">
        <v>0.71699999999999997</v>
      </c>
      <c r="EI23" s="17">
        <v>0</v>
      </c>
      <c r="EJ23" s="17">
        <v>0</v>
      </c>
      <c r="EK23" s="17">
        <v>1.296</v>
      </c>
      <c r="EL23" s="17">
        <v>0</v>
      </c>
      <c r="EM23" s="17">
        <v>1.302</v>
      </c>
      <c r="EN23" s="17">
        <v>0.18</v>
      </c>
      <c r="EO23" s="17">
        <v>0</v>
      </c>
      <c r="EP23" s="17">
        <v>0.65700000000000003</v>
      </c>
      <c r="EQ23" s="17">
        <v>0.91900000000000004</v>
      </c>
      <c r="ER23" s="17">
        <v>0</v>
      </c>
      <c r="ES23" s="17">
        <v>1.2609999999999999</v>
      </c>
      <c r="ET23" s="17">
        <v>0</v>
      </c>
      <c r="EU23" s="17">
        <v>0</v>
      </c>
      <c r="EV23" s="17">
        <v>0</v>
      </c>
      <c r="EW23" s="17">
        <v>1.1140000000000001</v>
      </c>
      <c r="EX23" s="17">
        <v>0</v>
      </c>
      <c r="EY23" s="17">
        <v>0</v>
      </c>
      <c r="EZ23" s="17">
        <v>0</v>
      </c>
      <c r="FA23" s="17">
        <v>1.325</v>
      </c>
      <c r="FB23" s="17">
        <v>1.23</v>
      </c>
      <c r="FC23" s="17">
        <v>0</v>
      </c>
      <c r="FD23" s="17">
        <v>0</v>
      </c>
      <c r="FE23" s="17">
        <v>0</v>
      </c>
      <c r="FF23" s="17">
        <v>0.22600000000000001</v>
      </c>
      <c r="FG23" s="17">
        <v>0</v>
      </c>
      <c r="FH23" s="17">
        <v>0.19800000000000001</v>
      </c>
      <c r="FI23" s="17">
        <v>0</v>
      </c>
      <c r="FJ23" s="17">
        <v>0</v>
      </c>
      <c r="FK23" s="17">
        <v>0.26600000000000001</v>
      </c>
      <c r="FL23" s="17">
        <v>0.91700000000000004</v>
      </c>
      <c r="FM23" s="17">
        <v>0</v>
      </c>
      <c r="FN23" s="17">
        <v>0</v>
      </c>
      <c r="FO23" s="17">
        <v>1.3220000000000001</v>
      </c>
      <c r="FP23" s="17">
        <v>1.319</v>
      </c>
      <c r="FQ23" s="17">
        <v>0</v>
      </c>
      <c r="FR23" s="17">
        <v>0</v>
      </c>
      <c r="FS23" s="17">
        <v>1.639</v>
      </c>
      <c r="FT23" s="17">
        <v>0</v>
      </c>
      <c r="FU23" s="17">
        <v>1.3660000000000001</v>
      </c>
      <c r="FV23" s="17">
        <v>0.92100000000000004</v>
      </c>
      <c r="FW23" s="17">
        <v>0</v>
      </c>
      <c r="FX23" s="17">
        <v>0</v>
      </c>
      <c r="FY23" s="17">
        <v>0.50700000000000001</v>
      </c>
      <c r="FZ23" s="17">
        <v>0</v>
      </c>
      <c r="GA23" s="17">
        <v>0</v>
      </c>
      <c r="GB23" s="17">
        <v>0</v>
      </c>
      <c r="GC23" s="17">
        <v>0</v>
      </c>
      <c r="GD23" s="17">
        <v>1.246</v>
      </c>
      <c r="GE23" s="17">
        <v>0</v>
      </c>
      <c r="GF23" s="17">
        <v>0.98399999999999999</v>
      </c>
      <c r="GG23" s="17">
        <v>1.097</v>
      </c>
      <c r="GH23" s="17">
        <v>0</v>
      </c>
      <c r="GI23" s="17">
        <v>0</v>
      </c>
      <c r="GJ23" s="17">
        <v>1.149</v>
      </c>
      <c r="GK23" s="17">
        <v>1.1579999999999999</v>
      </c>
      <c r="GL23" s="17">
        <v>1.081</v>
      </c>
      <c r="GM23" s="17">
        <v>0.89200000000000002</v>
      </c>
      <c r="GN23" s="17">
        <v>0</v>
      </c>
      <c r="GO23" s="17">
        <v>0</v>
      </c>
      <c r="GP23" s="17">
        <v>0</v>
      </c>
      <c r="GQ23" s="17">
        <v>0</v>
      </c>
      <c r="GR23" s="17">
        <v>0</v>
      </c>
      <c r="GS23" s="17">
        <v>0</v>
      </c>
      <c r="GT23" s="17">
        <v>0</v>
      </c>
      <c r="GU23" s="17">
        <v>0</v>
      </c>
      <c r="GV23" s="17">
        <v>7.2999999999999995E-2</v>
      </c>
      <c r="GW23" s="17">
        <v>0</v>
      </c>
      <c r="GX23" s="17">
        <v>0</v>
      </c>
      <c r="GY23" s="17">
        <v>0</v>
      </c>
      <c r="GZ23" s="17">
        <v>0</v>
      </c>
      <c r="HA23" s="17">
        <v>0</v>
      </c>
      <c r="HB23" s="17">
        <v>0</v>
      </c>
      <c r="HC23" s="17">
        <v>1.2030000000000001</v>
      </c>
      <c r="HD23" s="17">
        <v>0</v>
      </c>
      <c r="HE23" s="17">
        <v>1.651</v>
      </c>
      <c r="HF23" s="17">
        <v>0</v>
      </c>
      <c r="HG23" s="17">
        <v>0</v>
      </c>
      <c r="HH23" s="17">
        <v>0</v>
      </c>
    </row>
    <row r="24" spans="1:216" x14ac:dyDescent="0.25">
      <c r="A24" s="8">
        <v>20</v>
      </c>
      <c r="B24" s="8">
        <v>9.5</v>
      </c>
      <c r="C24" s="17">
        <v>0</v>
      </c>
      <c r="D24" s="17">
        <v>0</v>
      </c>
      <c r="E24" s="17">
        <v>0</v>
      </c>
      <c r="F24" s="17">
        <v>0.03</v>
      </c>
      <c r="G24" s="17">
        <v>1.1100000000000001</v>
      </c>
      <c r="H24" s="17">
        <v>0.95599999999999996</v>
      </c>
      <c r="I24" s="17">
        <v>0</v>
      </c>
      <c r="J24" s="17">
        <v>0.96899999999999997</v>
      </c>
      <c r="K24" s="17">
        <v>0.47499999999999998</v>
      </c>
      <c r="L24" s="17">
        <v>0</v>
      </c>
      <c r="M24" s="17">
        <v>0</v>
      </c>
      <c r="N24" s="17">
        <v>0</v>
      </c>
      <c r="O24" s="17">
        <v>0.91600000000000004</v>
      </c>
      <c r="P24" s="17">
        <v>0</v>
      </c>
      <c r="Q24" s="17">
        <v>0.82599999999999996</v>
      </c>
      <c r="R24" s="17">
        <v>0</v>
      </c>
      <c r="S24" s="17">
        <v>0</v>
      </c>
      <c r="T24" s="17">
        <v>1.254</v>
      </c>
      <c r="U24" s="17">
        <v>0</v>
      </c>
      <c r="V24" s="17">
        <v>0</v>
      </c>
      <c r="W24" s="17">
        <v>0</v>
      </c>
      <c r="X24" s="17">
        <v>1.081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0.997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0.93799999999999994</v>
      </c>
      <c r="AL24" s="17">
        <v>0</v>
      </c>
      <c r="AM24" s="17">
        <v>0</v>
      </c>
      <c r="AN24" s="17">
        <v>1.103</v>
      </c>
      <c r="AO24" s="17">
        <v>0</v>
      </c>
      <c r="AP24" s="17">
        <v>1.0629999999999999</v>
      </c>
      <c r="AQ24" s="17">
        <v>0</v>
      </c>
      <c r="AR24" s="17">
        <v>0</v>
      </c>
      <c r="AS24" s="17">
        <v>1.2769999999999999</v>
      </c>
      <c r="AT24" s="17">
        <v>0</v>
      </c>
      <c r="AU24" s="17">
        <v>0</v>
      </c>
      <c r="AV24" s="17">
        <v>0</v>
      </c>
      <c r="AW24" s="17">
        <v>0</v>
      </c>
      <c r="AX24" s="17">
        <v>0.39100000000000001</v>
      </c>
      <c r="AY24" s="17">
        <v>0.73199999999999998</v>
      </c>
      <c r="AZ24" s="17">
        <v>1.0009999999999999</v>
      </c>
      <c r="BA24" s="17">
        <v>0</v>
      </c>
      <c r="BB24" s="17">
        <v>0.58699999999999997</v>
      </c>
      <c r="BC24" s="17">
        <v>0</v>
      </c>
      <c r="BD24" s="17">
        <v>0.42699999999999999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0.249</v>
      </c>
      <c r="BK24" s="17">
        <v>0.70499999999999996</v>
      </c>
      <c r="BL24" s="17">
        <v>1.2270000000000001</v>
      </c>
      <c r="BM24" s="17">
        <v>0</v>
      </c>
      <c r="BN24" s="17">
        <v>0.879</v>
      </c>
      <c r="BO24" s="17">
        <v>0.85199999999999998</v>
      </c>
      <c r="BP24" s="17">
        <v>0.89700000000000002</v>
      </c>
      <c r="BQ24" s="17">
        <v>0</v>
      </c>
      <c r="BR24" s="17">
        <v>0</v>
      </c>
      <c r="BS24" s="17">
        <v>1</v>
      </c>
      <c r="BT24" s="17">
        <v>0</v>
      </c>
      <c r="BU24" s="17">
        <v>0.91600000000000004</v>
      </c>
      <c r="BV24" s="17">
        <v>0</v>
      </c>
      <c r="BW24" s="17">
        <v>1.2410000000000001</v>
      </c>
      <c r="BX24" s="17">
        <v>0</v>
      </c>
      <c r="BY24" s="17">
        <v>0.80400000000000005</v>
      </c>
      <c r="BZ24" s="17">
        <v>0</v>
      </c>
      <c r="CA24" s="17">
        <v>0</v>
      </c>
      <c r="CB24" s="17">
        <v>0</v>
      </c>
      <c r="CC24" s="17">
        <v>0</v>
      </c>
      <c r="CD24" s="17">
        <v>1.417</v>
      </c>
      <c r="CE24" s="17">
        <v>0</v>
      </c>
      <c r="CF24" s="17">
        <v>1.4319999999999999</v>
      </c>
      <c r="CG24" s="17">
        <v>0</v>
      </c>
      <c r="CH24" s="17">
        <v>0</v>
      </c>
      <c r="CI24" s="17">
        <v>0</v>
      </c>
      <c r="CJ24" s="17">
        <v>1.0620000000000001</v>
      </c>
      <c r="CK24" s="17">
        <v>0</v>
      </c>
      <c r="CL24" s="17">
        <v>0</v>
      </c>
      <c r="CM24" s="17">
        <v>0</v>
      </c>
      <c r="CN24" s="17">
        <v>0</v>
      </c>
      <c r="CO24" s="17">
        <v>3.6999999999999998E-2</v>
      </c>
      <c r="CP24" s="17">
        <v>0</v>
      </c>
      <c r="CQ24" s="17">
        <v>0</v>
      </c>
      <c r="CR24" s="17">
        <v>0.81699999999999995</v>
      </c>
      <c r="CS24" s="17">
        <v>0</v>
      </c>
      <c r="CT24" s="17">
        <v>0</v>
      </c>
      <c r="CU24" s="17">
        <v>0</v>
      </c>
      <c r="CV24" s="17">
        <v>0</v>
      </c>
      <c r="CW24" s="17">
        <v>0.77500000000000002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0.40899999999999997</v>
      </c>
      <c r="DE24" s="17">
        <v>0</v>
      </c>
      <c r="DF24" s="17">
        <v>0</v>
      </c>
      <c r="DG24" s="17">
        <v>0</v>
      </c>
      <c r="DH24" s="17">
        <v>0</v>
      </c>
      <c r="DI24" s="17">
        <v>0</v>
      </c>
      <c r="DJ24" s="17">
        <v>0</v>
      </c>
      <c r="DK24" s="17">
        <v>0</v>
      </c>
      <c r="DL24" s="17">
        <v>0</v>
      </c>
      <c r="DM24" s="17">
        <v>0</v>
      </c>
      <c r="DN24" s="17">
        <v>0</v>
      </c>
      <c r="DO24" s="17">
        <v>0.64100000000000001</v>
      </c>
      <c r="DP24" s="17">
        <v>0</v>
      </c>
      <c r="DQ24" s="17">
        <v>0</v>
      </c>
      <c r="DR24" s="17">
        <v>1.256</v>
      </c>
      <c r="DS24" s="17">
        <v>0</v>
      </c>
      <c r="DT24" s="17">
        <v>0</v>
      </c>
      <c r="DU24" s="17">
        <v>0.94199999999999995</v>
      </c>
      <c r="DV24" s="17">
        <v>0</v>
      </c>
      <c r="DW24" s="17">
        <v>0</v>
      </c>
      <c r="DX24" s="17">
        <v>0</v>
      </c>
      <c r="DY24" s="17">
        <v>0</v>
      </c>
      <c r="DZ24" s="17">
        <v>0.58099999999999996</v>
      </c>
      <c r="EA24" s="17">
        <v>0</v>
      </c>
      <c r="EB24" s="17">
        <v>0</v>
      </c>
      <c r="EC24" s="17">
        <v>0</v>
      </c>
      <c r="ED24" s="17">
        <v>0</v>
      </c>
      <c r="EE24" s="17">
        <v>0</v>
      </c>
      <c r="EF24" s="17">
        <v>0</v>
      </c>
      <c r="EG24" s="17">
        <v>0</v>
      </c>
      <c r="EH24" s="17">
        <v>0</v>
      </c>
      <c r="EI24" s="17">
        <v>0</v>
      </c>
      <c r="EJ24" s="17">
        <v>0</v>
      </c>
      <c r="EK24" s="17">
        <v>0.51300000000000001</v>
      </c>
      <c r="EL24" s="17">
        <v>0</v>
      </c>
      <c r="EM24" s="17">
        <v>0</v>
      </c>
      <c r="EN24" s="17">
        <v>1.01</v>
      </c>
      <c r="EO24" s="17">
        <v>0</v>
      </c>
      <c r="EP24" s="17">
        <v>0</v>
      </c>
      <c r="EQ24" s="17">
        <v>0.95199999999999996</v>
      </c>
      <c r="ER24" s="17">
        <v>0</v>
      </c>
      <c r="ES24" s="17">
        <v>0.50700000000000001</v>
      </c>
      <c r="ET24" s="17">
        <v>0</v>
      </c>
      <c r="EU24" s="17">
        <v>0</v>
      </c>
      <c r="EV24" s="17">
        <v>1.74</v>
      </c>
      <c r="EW24" s="17">
        <v>0</v>
      </c>
      <c r="EX24" s="17">
        <v>0</v>
      </c>
      <c r="EY24" s="17">
        <v>0</v>
      </c>
      <c r="EZ24" s="17">
        <v>0</v>
      </c>
      <c r="FA24" s="17">
        <v>1.139</v>
      </c>
      <c r="FB24" s="17">
        <v>0.80600000000000005</v>
      </c>
      <c r="FC24" s="17">
        <v>0</v>
      </c>
      <c r="FD24" s="17">
        <v>0</v>
      </c>
      <c r="FE24" s="17">
        <v>0</v>
      </c>
      <c r="FF24" s="17">
        <v>0</v>
      </c>
      <c r="FG24" s="17">
        <v>0</v>
      </c>
      <c r="FH24" s="17">
        <v>0</v>
      </c>
      <c r="FI24" s="17">
        <v>0</v>
      </c>
      <c r="FJ24" s="17">
        <v>0</v>
      </c>
      <c r="FK24" s="17">
        <v>0</v>
      </c>
      <c r="FL24" s="17">
        <v>0</v>
      </c>
      <c r="FM24" s="17">
        <v>0</v>
      </c>
      <c r="FN24" s="17">
        <v>0</v>
      </c>
      <c r="FO24" s="17">
        <v>1.361</v>
      </c>
      <c r="FP24" s="17">
        <v>0</v>
      </c>
      <c r="FQ24" s="17">
        <v>0</v>
      </c>
      <c r="FR24" s="17">
        <v>0</v>
      </c>
      <c r="FS24" s="17">
        <v>0.746</v>
      </c>
      <c r="FT24" s="17">
        <v>0</v>
      </c>
      <c r="FU24" s="17">
        <v>0</v>
      </c>
      <c r="FV24" s="17">
        <v>0.56699999999999995</v>
      </c>
      <c r="FW24" s="17">
        <v>0</v>
      </c>
      <c r="FX24" s="17">
        <v>0</v>
      </c>
      <c r="FY24" s="17">
        <v>3.6999999999999998E-2</v>
      </c>
      <c r="FZ24" s="17">
        <v>0</v>
      </c>
      <c r="GA24" s="17">
        <v>0</v>
      </c>
      <c r="GB24" s="17">
        <v>0</v>
      </c>
      <c r="GC24" s="17">
        <v>0</v>
      </c>
      <c r="GD24" s="17">
        <v>0.69299999999999995</v>
      </c>
      <c r="GE24" s="17">
        <v>0</v>
      </c>
      <c r="GF24" s="17">
        <v>0.82199999999999995</v>
      </c>
      <c r="GG24" s="17">
        <v>0.374</v>
      </c>
      <c r="GH24" s="17">
        <v>0</v>
      </c>
      <c r="GI24" s="17">
        <v>0</v>
      </c>
      <c r="GJ24" s="17">
        <v>1.2050000000000001</v>
      </c>
      <c r="GK24" s="17">
        <v>0.33400000000000002</v>
      </c>
      <c r="GL24" s="17">
        <v>1.038</v>
      </c>
      <c r="GM24" s="17">
        <v>0.88300000000000001</v>
      </c>
      <c r="GN24" s="17">
        <v>0</v>
      </c>
      <c r="GO24" s="17">
        <v>0</v>
      </c>
      <c r="GP24" s="17">
        <v>0</v>
      </c>
      <c r="GQ24" s="17">
        <v>0</v>
      </c>
      <c r="GR24" s="17">
        <v>0</v>
      </c>
      <c r="GS24" s="17">
        <v>0</v>
      </c>
      <c r="GT24" s="17">
        <v>0</v>
      </c>
      <c r="GU24" s="17">
        <v>0</v>
      </c>
      <c r="GV24" s="17">
        <v>0</v>
      </c>
      <c r="GW24" s="17">
        <v>0</v>
      </c>
      <c r="GX24" s="17">
        <v>0</v>
      </c>
      <c r="GY24" s="17">
        <v>0</v>
      </c>
      <c r="GZ24" s="17">
        <v>0</v>
      </c>
      <c r="HA24" s="17">
        <v>0</v>
      </c>
      <c r="HB24" s="17">
        <v>0</v>
      </c>
      <c r="HC24" s="17">
        <v>0.91600000000000004</v>
      </c>
      <c r="HD24" s="17">
        <v>0</v>
      </c>
      <c r="HE24" s="17">
        <v>0.59299999999999997</v>
      </c>
      <c r="HF24" s="17">
        <v>0</v>
      </c>
      <c r="HG24" s="17">
        <v>0</v>
      </c>
      <c r="HH24" s="17">
        <v>0</v>
      </c>
    </row>
    <row r="25" spans="1:216" x14ac:dyDescent="0.25">
      <c r="A25" s="8">
        <v>21</v>
      </c>
      <c r="B25" s="8">
        <v>10</v>
      </c>
      <c r="C25" s="17">
        <v>0</v>
      </c>
      <c r="D25" s="17">
        <v>0</v>
      </c>
      <c r="E25" s="17">
        <v>0</v>
      </c>
      <c r="F25" s="17">
        <v>0</v>
      </c>
      <c r="G25" s="17">
        <v>0.13100000000000001</v>
      </c>
      <c r="H25" s="17">
        <v>1.038</v>
      </c>
      <c r="I25" s="17">
        <v>0</v>
      </c>
      <c r="J25" s="17">
        <v>0.27100000000000002</v>
      </c>
      <c r="K25" s="17">
        <v>0.621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0.93500000000000005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1.129</v>
      </c>
      <c r="AC25" s="17">
        <v>0</v>
      </c>
      <c r="AD25" s="17">
        <v>0.58599999999999997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1.2470000000000001</v>
      </c>
      <c r="AL25" s="17">
        <v>0</v>
      </c>
      <c r="AM25" s="17">
        <v>0</v>
      </c>
      <c r="AN25" s="17">
        <v>0.2</v>
      </c>
      <c r="AO25" s="17">
        <v>0</v>
      </c>
      <c r="AP25" s="17">
        <v>0.48599999999999999</v>
      </c>
      <c r="AQ25" s="17">
        <v>0</v>
      </c>
      <c r="AR25" s="17">
        <v>0</v>
      </c>
      <c r="AS25" s="17">
        <v>0.183</v>
      </c>
      <c r="AT25" s="17">
        <v>0</v>
      </c>
      <c r="AU25" s="17">
        <v>0</v>
      </c>
      <c r="AV25" s="17">
        <v>0</v>
      </c>
      <c r="AW25" s="17">
        <v>0</v>
      </c>
      <c r="AX25" s="17">
        <v>0.69199999999999995</v>
      </c>
      <c r="AY25" s="17">
        <v>0</v>
      </c>
      <c r="AZ25" s="17">
        <v>0</v>
      </c>
      <c r="BA25" s="17">
        <v>0</v>
      </c>
      <c r="BB25" s="17">
        <v>0</v>
      </c>
      <c r="BC25" s="17">
        <v>0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0.24299999999999999</v>
      </c>
      <c r="BM25" s="17">
        <v>0</v>
      </c>
      <c r="BN25" s="17">
        <v>0.98799999999999999</v>
      </c>
      <c r="BO25" s="17">
        <v>1.117</v>
      </c>
      <c r="BP25" s="17">
        <v>1.0369999999999999</v>
      </c>
      <c r="BQ25" s="17">
        <v>0</v>
      </c>
      <c r="BR25" s="17">
        <v>0</v>
      </c>
      <c r="BS25" s="17">
        <v>0</v>
      </c>
      <c r="BT25" s="17">
        <v>0</v>
      </c>
      <c r="BU25" s="17">
        <v>1.0009999999999999</v>
      </c>
      <c r="BV25" s="17">
        <v>0</v>
      </c>
      <c r="BW25" s="17">
        <v>0</v>
      </c>
      <c r="BX25" s="17">
        <v>0</v>
      </c>
      <c r="BY25" s="17">
        <v>0.86599999999999999</v>
      </c>
      <c r="BZ25" s="17">
        <v>0</v>
      </c>
      <c r="CA25" s="17">
        <v>0</v>
      </c>
      <c r="CB25" s="17">
        <v>0</v>
      </c>
      <c r="CC25" s="17">
        <v>0</v>
      </c>
      <c r="CD25" s="17">
        <v>8.7999999999999995E-2</v>
      </c>
      <c r="CE25" s="17">
        <v>0</v>
      </c>
      <c r="CF25" s="17">
        <v>1.276</v>
      </c>
      <c r="CG25" s="17">
        <v>0</v>
      </c>
      <c r="CH25" s="17">
        <v>0</v>
      </c>
      <c r="CI25" s="17">
        <v>0</v>
      </c>
      <c r="CJ25" s="17">
        <v>0.97199999999999998</v>
      </c>
      <c r="CK25" s="17">
        <v>0</v>
      </c>
      <c r="CL25" s="17">
        <v>0</v>
      </c>
      <c r="CM25" s="17">
        <v>1.4259999999999999</v>
      </c>
      <c r="CN25" s="17">
        <v>0</v>
      </c>
      <c r="CO25" s="17">
        <v>1.0129999999999999</v>
      </c>
      <c r="CP25" s="17">
        <v>0</v>
      </c>
      <c r="CQ25" s="17">
        <v>0</v>
      </c>
      <c r="CR25" s="17">
        <v>0.92300000000000004</v>
      </c>
      <c r="CS25" s="17">
        <v>0</v>
      </c>
      <c r="CT25" s="17">
        <v>0</v>
      </c>
      <c r="CU25" s="17">
        <v>0</v>
      </c>
      <c r="CV25" s="17">
        <v>0</v>
      </c>
      <c r="CW25" s="17">
        <v>0.94399999999999995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</v>
      </c>
      <c r="DE25" s="17">
        <v>0</v>
      </c>
      <c r="DF25" s="17">
        <v>0</v>
      </c>
      <c r="DG25" s="17">
        <v>0</v>
      </c>
      <c r="DH25" s="17">
        <v>0</v>
      </c>
      <c r="DI25" s="17">
        <v>0</v>
      </c>
      <c r="DJ25" s="17">
        <v>0</v>
      </c>
      <c r="DK25" s="17">
        <v>0.19700000000000001</v>
      </c>
      <c r="DL25" s="17">
        <v>0</v>
      </c>
      <c r="DM25" s="17">
        <v>0</v>
      </c>
      <c r="DN25" s="17">
        <v>0</v>
      </c>
      <c r="DO25" s="17">
        <v>0.30299999999999999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0.90100000000000002</v>
      </c>
      <c r="DV25" s="17">
        <v>0</v>
      </c>
      <c r="DW25" s="17">
        <v>0</v>
      </c>
      <c r="DX25" s="17">
        <v>0</v>
      </c>
      <c r="DY25" s="17">
        <v>0</v>
      </c>
      <c r="DZ25" s="17">
        <v>1.9E-2</v>
      </c>
      <c r="EA25" s="17">
        <v>0</v>
      </c>
      <c r="EB25" s="17">
        <v>0</v>
      </c>
      <c r="EC25" s="17">
        <v>0</v>
      </c>
      <c r="ED25" s="17">
        <v>0</v>
      </c>
      <c r="EE25" s="17">
        <v>0</v>
      </c>
      <c r="EF25" s="17">
        <v>0</v>
      </c>
      <c r="EG25" s="17">
        <v>0</v>
      </c>
      <c r="EH25" s="17">
        <v>0</v>
      </c>
      <c r="EI25" s="17">
        <v>0</v>
      </c>
      <c r="EJ25" s="17">
        <v>0</v>
      </c>
      <c r="EK25" s="17">
        <v>0</v>
      </c>
      <c r="EL25" s="17">
        <v>0</v>
      </c>
      <c r="EM25" s="17">
        <v>0</v>
      </c>
      <c r="EN25" s="17">
        <v>0</v>
      </c>
      <c r="EO25" s="17">
        <v>0</v>
      </c>
      <c r="EP25" s="17">
        <v>0</v>
      </c>
      <c r="EQ25" s="17">
        <v>0.16200000000000001</v>
      </c>
      <c r="ER25" s="17">
        <v>0</v>
      </c>
      <c r="ES25" s="17">
        <v>0</v>
      </c>
      <c r="ET25" s="17">
        <v>0</v>
      </c>
      <c r="EU25" s="17">
        <v>0</v>
      </c>
      <c r="EV25" s="17">
        <v>0</v>
      </c>
      <c r="EW25" s="17">
        <v>0</v>
      </c>
      <c r="EX25" s="17">
        <v>0</v>
      </c>
      <c r="EY25" s="17">
        <v>0</v>
      </c>
      <c r="EZ25" s="17">
        <v>0</v>
      </c>
      <c r="FA25" s="17">
        <v>0.46600000000000003</v>
      </c>
      <c r="FB25" s="17">
        <v>0.65600000000000003</v>
      </c>
      <c r="FC25" s="17">
        <v>0</v>
      </c>
      <c r="FD25" s="17">
        <v>0</v>
      </c>
      <c r="FE25" s="17">
        <v>0</v>
      </c>
      <c r="FF25" s="17">
        <v>0</v>
      </c>
      <c r="FG25" s="17">
        <v>0</v>
      </c>
      <c r="FH25" s="17">
        <v>0</v>
      </c>
      <c r="FI25" s="17">
        <v>0</v>
      </c>
      <c r="FJ25" s="17">
        <v>0</v>
      </c>
      <c r="FK25" s="17">
        <v>0</v>
      </c>
      <c r="FL25" s="17">
        <v>0</v>
      </c>
      <c r="FM25" s="17">
        <v>0</v>
      </c>
      <c r="FN25" s="17">
        <v>0</v>
      </c>
      <c r="FO25" s="17">
        <v>1.3049999999999999</v>
      </c>
      <c r="FP25" s="17">
        <v>0</v>
      </c>
      <c r="FQ25" s="17">
        <v>0</v>
      </c>
      <c r="FR25" s="17">
        <v>0</v>
      </c>
      <c r="FS25" s="17">
        <v>0</v>
      </c>
      <c r="FT25" s="17">
        <v>0</v>
      </c>
      <c r="FU25" s="17">
        <v>0</v>
      </c>
      <c r="FV25" s="17">
        <v>1.0369999999999999</v>
      </c>
      <c r="FW25" s="17">
        <v>0</v>
      </c>
      <c r="FX25" s="17">
        <v>0</v>
      </c>
      <c r="FY25" s="17">
        <v>0.28100000000000003</v>
      </c>
      <c r="FZ25" s="17">
        <v>0</v>
      </c>
      <c r="GA25" s="17">
        <v>0</v>
      </c>
      <c r="GB25" s="17">
        <v>0</v>
      </c>
      <c r="GC25" s="17">
        <v>0</v>
      </c>
      <c r="GD25" s="17">
        <v>0</v>
      </c>
      <c r="GE25" s="17">
        <v>0</v>
      </c>
      <c r="GF25" s="17">
        <v>1.0009999999999999</v>
      </c>
      <c r="GG25" s="17">
        <v>1.1679999999999999</v>
      </c>
      <c r="GH25" s="17">
        <v>0</v>
      </c>
      <c r="GI25" s="17">
        <v>0</v>
      </c>
      <c r="GJ25" s="17">
        <v>0.47799999999999998</v>
      </c>
      <c r="GK25" s="17">
        <v>0</v>
      </c>
      <c r="GL25" s="17">
        <v>1.1779999999999999</v>
      </c>
      <c r="GM25" s="17">
        <v>1.022</v>
      </c>
      <c r="GN25" s="17">
        <v>0</v>
      </c>
      <c r="GO25" s="17">
        <v>0</v>
      </c>
      <c r="GP25" s="17">
        <v>0</v>
      </c>
      <c r="GQ25" s="17">
        <v>0</v>
      </c>
      <c r="GR25" s="17">
        <v>0</v>
      </c>
      <c r="GS25" s="17">
        <v>0</v>
      </c>
      <c r="GT25" s="17">
        <v>0</v>
      </c>
      <c r="GU25" s="17">
        <v>0</v>
      </c>
      <c r="GV25" s="17">
        <v>0</v>
      </c>
      <c r="GW25" s="17">
        <v>0</v>
      </c>
      <c r="GX25" s="17">
        <v>0</v>
      </c>
      <c r="GY25" s="17">
        <v>0</v>
      </c>
      <c r="GZ25" s="17">
        <v>0</v>
      </c>
      <c r="HA25" s="17">
        <v>0</v>
      </c>
      <c r="HB25" s="17">
        <v>0</v>
      </c>
      <c r="HC25" s="17">
        <v>0</v>
      </c>
      <c r="HD25" s="17">
        <v>0</v>
      </c>
      <c r="HE25" s="17">
        <v>0</v>
      </c>
      <c r="HF25" s="17">
        <v>0</v>
      </c>
      <c r="HG25" s="17">
        <v>0</v>
      </c>
      <c r="HH25" s="17">
        <v>0</v>
      </c>
    </row>
    <row r="26" spans="1:216" x14ac:dyDescent="0.25">
      <c r="A26" s="8">
        <v>22</v>
      </c>
      <c r="B26" s="8">
        <v>10.5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1.085</v>
      </c>
      <c r="I26" s="17">
        <v>0</v>
      </c>
      <c r="J26" s="17">
        <v>0</v>
      </c>
      <c r="K26" s="17">
        <v>0.49299999999999999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1.0609999999999999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1.1819999999999999</v>
      </c>
      <c r="AC26" s="17">
        <v>0</v>
      </c>
      <c r="AD26" s="17">
        <v>0.71399999999999997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1.028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1.4770000000000001</v>
      </c>
      <c r="AY26" s="17">
        <v>0</v>
      </c>
      <c r="AZ26" s="17">
        <v>0</v>
      </c>
      <c r="BA26" s="17">
        <v>0</v>
      </c>
      <c r="BB26" s="17">
        <v>0</v>
      </c>
      <c r="BC26" s="17">
        <v>1.5069999999999999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0.79</v>
      </c>
      <c r="BO26" s="17">
        <v>1.161</v>
      </c>
      <c r="BP26" s="17">
        <v>1.071</v>
      </c>
      <c r="BQ26" s="17">
        <v>0</v>
      </c>
      <c r="BR26" s="17">
        <v>0</v>
      </c>
      <c r="BS26" s="17">
        <v>0</v>
      </c>
      <c r="BT26" s="17">
        <v>0</v>
      </c>
      <c r="BU26" s="17">
        <v>1.1759999999999999</v>
      </c>
      <c r="BV26" s="17">
        <v>0</v>
      </c>
      <c r="BW26" s="17">
        <v>0</v>
      </c>
      <c r="BX26" s="17">
        <v>0</v>
      </c>
      <c r="BY26" s="17">
        <v>0.85799999999999998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1.591</v>
      </c>
      <c r="CG26" s="17">
        <v>0</v>
      </c>
      <c r="CH26" s="17">
        <v>0</v>
      </c>
      <c r="CI26" s="17">
        <v>0</v>
      </c>
      <c r="CJ26" s="17">
        <v>1.1830000000000001</v>
      </c>
      <c r="CK26" s="17">
        <v>0</v>
      </c>
      <c r="CL26" s="17">
        <v>0</v>
      </c>
      <c r="CM26" s="17">
        <v>0.88100000000000001</v>
      </c>
      <c r="CN26" s="17">
        <v>0</v>
      </c>
      <c r="CO26" s="17">
        <v>1.1539999999999999</v>
      </c>
      <c r="CP26" s="17">
        <v>0</v>
      </c>
      <c r="CQ26" s="17">
        <v>0</v>
      </c>
      <c r="CR26" s="17">
        <v>0</v>
      </c>
      <c r="CS26" s="17">
        <v>0</v>
      </c>
      <c r="CT26" s="17">
        <v>0</v>
      </c>
      <c r="CU26" s="17">
        <v>0</v>
      </c>
      <c r="CV26" s="17">
        <v>0</v>
      </c>
      <c r="CW26" s="17">
        <v>0.92800000000000005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1.1950000000000001</v>
      </c>
      <c r="DE26" s="17">
        <v>0</v>
      </c>
      <c r="DF26" s="17">
        <v>1.149</v>
      </c>
      <c r="DG26" s="17">
        <v>0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1.151</v>
      </c>
      <c r="DV26" s="17">
        <v>0</v>
      </c>
      <c r="DW26" s="17">
        <v>0</v>
      </c>
      <c r="DX26" s="17">
        <v>0</v>
      </c>
      <c r="DY26" s="17">
        <v>0</v>
      </c>
      <c r="DZ26" s="17">
        <v>0</v>
      </c>
      <c r="EA26" s="17">
        <v>0</v>
      </c>
      <c r="EB26" s="17">
        <v>0</v>
      </c>
      <c r="EC26" s="17">
        <v>0</v>
      </c>
      <c r="ED26" s="17">
        <v>0</v>
      </c>
      <c r="EE26" s="17">
        <v>0</v>
      </c>
      <c r="EF26" s="17">
        <v>0</v>
      </c>
      <c r="EG26" s="17">
        <v>0</v>
      </c>
      <c r="EH26" s="17">
        <v>0</v>
      </c>
      <c r="EI26" s="17">
        <v>0</v>
      </c>
      <c r="EJ26" s="17">
        <v>0</v>
      </c>
      <c r="EK26" s="17">
        <v>0</v>
      </c>
      <c r="EL26" s="17">
        <v>0</v>
      </c>
      <c r="EM26" s="17">
        <v>0</v>
      </c>
      <c r="EN26" s="17">
        <v>0</v>
      </c>
      <c r="EO26" s="17">
        <v>0</v>
      </c>
      <c r="EP26" s="17">
        <v>0</v>
      </c>
      <c r="EQ26" s="17">
        <v>0</v>
      </c>
      <c r="ER26" s="17">
        <v>0</v>
      </c>
      <c r="ES26" s="17">
        <v>0</v>
      </c>
      <c r="ET26" s="17">
        <v>0</v>
      </c>
      <c r="EU26" s="17">
        <v>0</v>
      </c>
      <c r="EV26" s="17">
        <v>0</v>
      </c>
      <c r="EW26" s="17">
        <v>0</v>
      </c>
      <c r="EX26" s="17">
        <v>0</v>
      </c>
      <c r="EY26" s="17">
        <v>0</v>
      </c>
      <c r="EZ26" s="17">
        <v>0</v>
      </c>
      <c r="FA26" s="17">
        <v>0</v>
      </c>
      <c r="FB26" s="17">
        <v>0.628</v>
      </c>
      <c r="FC26" s="17">
        <v>0</v>
      </c>
      <c r="FD26" s="17">
        <v>0</v>
      </c>
      <c r="FE26" s="17">
        <v>0</v>
      </c>
      <c r="FF26" s="17">
        <v>0.28799999999999998</v>
      </c>
      <c r="FG26" s="17">
        <v>0</v>
      </c>
      <c r="FH26" s="17">
        <v>0</v>
      </c>
      <c r="FI26" s="17">
        <v>0</v>
      </c>
      <c r="FJ26" s="17">
        <v>0</v>
      </c>
      <c r="FK26" s="17">
        <v>0</v>
      </c>
      <c r="FL26" s="17">
        <v>0</v>
      </c>
      <c r="FM26" s="17">
        <v>0</v>
      </c>
      <c r="FN26" s="17">
        <v>0</v>
      </c>
      <c r="FO26" s="17">
        <v>0</v>
      </c>
      <c r="FP26" s="17">
        <v>0</v>
      </c>
      <c r="FQ26" s="17">
        <v>0</v>
      </c>
      <c r="FR26" s="17">
        <v>0</v>
      </c>
      <c r="FS26" s="17">
        <v>0</v>
      </c>
      <c r="FT26" s="17">
        <v>0</v>
      </c>
      <c r="FU26" s="17">
        <v>0</v>
      </c>
      <c r="FV26" s="17">
        <v>1.1499999999999999</v>
      </c>
      <c r="FW26" s="17">
        <v>0</v>
      </c>
      <c r="FX26" s="17">
        <v>0</v>
      </c>
      <c r="FY26" s="17">
        <v>0.93899999999999995</v>
      </c>
      <c r="FZ26" s="17">
        <v>0</v>
      </c>
      <c r="GA26" s="17">
        <v>0</v>
      </c>
      <c r="GB26" s="17">
        <v>0</v>
      </c>
      <c r="GC26" s="17">
        <v>0</v>
      </c>
      <c r="GD26" s="17">
        <v>0</v>
      </c>
      <c r="GE26" s="17">
        <v>0</v>
      </c>
      <c r="GF26" s="17">
        <v>1.0049999999999999</v>
      </c>
      <c r="GG26" s="17">
        <v>1.2210000000000001</v>
      </c>
      <c r="GH26" s="17">
        <v>0</v>
      </c>
      <c r="GI26" s="17">
        <v>0</v>
      </c>
      <c r="GJ26" s="17">
        <v>0</v>
      </c>
      <c r="GK26" s="17">
        <v>0</v>
      </c>
      <c r="GL26" s="17">
        <v>0</v>
      </c>
      <c r="GM26" s="17">
        <v>1.0820000000000001</v>
      </c>
      <c r="GN26" s="17">
        <v>0</v>
      </c>
      <c r="GO26" s="17">
        <v>0</v>
      </c>
      <c r="GP26" s="17">
        <v>0</v>
      </c>
      <c r="GQ26" s="17">
        <v>0</v>
      </c>
      <c r="GR26" s="17">
        <v>0</v>
      </c>
      <c r="GS26" s="17">
        <v>0</v>
      </c>
      <c r="GT26" s="17">
        <v>0</v>
      </c>
      <c r="GU26" s="17">
        <v>0</v>
      </c>
      <c r="GV26" s="17">
        <v>0</v>
      </c>
      <c r="GW26" s="17">
        <v>0</v>
      </c>
      <c r="GX26" s="17">
        <v>0</v>
      </c>
      <c r="GY26" s="17">
        <v>0</v>
      </c>
      <c r="GZ26" s="17">
        <v>0</v>
      </c>
      <c r="HA26" s="17">
        <v>0</v>
      </c>
      <c r="HB26" s="17">
        <v>0</v>
      </c>
      <c r="HC26" s="17">
        <v>0</v>
      </c>
      <c r="HD26" s="17">
        <v>0</v>
      </c>
      <c r="HE26" s="17">
        <v>0</v>
      </c>
      <c r="HF26" s="17">
        <v>0</v>
      </c>
      <c r="HG26" s="17">
        <v>0</v>
      </c>
      <c r="HH26" s="17">
        <v>0</v>
      </c>
    </row>
    <row r="27" spans="1:216" x14ac:dyDescent="0.25">
      <c r="A27" s="8">
        <v>23</v>
      </c>
      <c r="B27" s="8">
        <v>11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0.39100000000000001</v>
      </c>
      <c r="I27" s="17">
        <v>0</v>
      </c>
      <c r="J27" s="17">
        <v>0</v>
      </c>
      <c r="K27" s="17">
        <v>0.43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1.071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0.71299999999999997</v>
      </c>
      <c r="AC27" s="17">
        <v>0</v>
      </c>
      <c r="AD27" s="17">
        <v>1.3460000000000001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1.2969999999999999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0.32</v>
      </c>
      <c r="AY27" s="17">
        <v>0</v>
      </c>
      <c r="AZ27" s="17">
        <v>1.17</v>
      </c>
      <c r="BA27" s="17">
        <v>0</v>
      </c>
      <c r="BB27" s="17">
        <v>0</v>
      </c>
      <c r="BC27" s="17">
        <v>1.641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8.2000000000000003E-2</v>
      </c>
      <c r="BP27" s="17">
        <v>0.61899999999999999</v>
      </c>
      <c r="BQ27" s="17">
        <v>0</v>
      </c>
      <c r="BR27" s="17">
        <v>0</v>
      </c>
      <c r="BS27" s="17">
        <v>0</v>
      </c>
      <c r="BT27" s="17">
        <v>0</v>
      </c>
      <c r="BU27" s="17">
        <v>1.1339999999999999</v>
      </c>
      <c r="BV27" s="17">
        <v>0</v>
      </c>
      <c r="BW27" s="17">
        <v>0</v>
      </c>
      <c r="BX27" s="17">
        <v>0</v>
      </c>
      <c r="BY27" s="17">
        <v>0.34200000000000003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1.5860000000000001</v>
      </c>
      <c r="CG27" s="17">
        <v>0</v>
      </c>
      <c r="CH27" s="17">
        <v>0</v>
      </c>
      <c r="CI27" s="17">
        <v>0</v>
      </c>
      <c r="CJ27" s="17">
        <v>1.2210000000000001</v>
      </c>
      <c r="CK27" s="17">
        <v>0</v>
      </c>
      <c r="CL27" s="17">
        <v>0</v>
      </c>
      <c r="CM27" s="17">
        <v>0</v>
      </c>
      <c r="CN27" s="17">
        <v>0</v>
      </c>
      <c r="CO27" s="17">
        <v>0.63100000000000001</v>
      </c>
      <c r="CP27" s="17">
        <v>0</v>
      </c>
      <c r="CQ27" s="17">
        <v>0</v>
      </c>
      <c r="CR27" s="17">
        <v>0</v>
      </c>
      <c r="CS27" s="17">
        <v>0</v>
      </c>
      <c r="CT27" s="17">
        <v>0</v>
      </c>
      <c r="CU27" s="17">
        <v>0</v>
      </c>
      <c r="CV27" s="17">
        <v>0</v>
      </c>
      <c r="CW27" s="17">
        <v>1.0489999999999999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1.0900000000000001</v>
      </c>
      <c r="DE27" s="17">
        <v>0</v>
      </c>
      <c r="DF27" s="17">
        <v>9.8000000000000004E-2</v>
      </c>
      <c r="DG27" s="17">
        <v>0</v>
      </c>
      <c r="DH27" s="17">
        <v>0</v>
      </c>
      <c r="DI27" s="17">
        <v>0</v>
      </c>
      <c r="DJ27" s="17">
        <v>0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</v>
      </c>
      <c r="DS27" s="17">
        <v>0</v>
      </c>
      <c r="DT27" s="17">
        <v>0</v>
      </c>
      <c r="DU27" s="17">
        <v>1.0580000000000001</v>
      </c>
      <c r="DV27" s="17">
        <v>0</v>
      </c>
      <c r="DW27" s="17">
        <v>0</v>
      </c>
      <c r="DX27" s="17">
        <v>0</v>
      </c>
      <c r="DY27" s="17">
        <v>0</v>
      </c>
      <c r="DZ27" s="17">
        <v>0</v>
      </c>
      <c r="EA27" s="17">
        <v>0</v>
      </c>
      <c r="EB27" s="17">
        <v>0</v>
      </c>
      <c r="EC27" s="17">
        <v>0</v>
      </c>
      <c r="ED27" s="17">
        <v>0</v>
      </c>
      <c r="EE27" s="17">
        <v>0</v>
      </c>
      <c r="EF27" s="17">
        <v>0</v>
      </c>
      <c r="EG27" s="17">
        <v>0</v>
      </c>
      <c r="EH27" s="17">
        <v>0</v>
      </c>
      <c r="EI27" s="17">
        <v>0</v>
      </c>
      <c r="EJ27" s="17">
        <v>0</v>
      </c>
      <c r="EK27" s="17">
        <v>0</v>
      </c>
      <c r="EL27" s="17">
        <v>0</v>
      </c>
      <c r="EM27" s="17">
        <v>0</v>
      </c>
      <c r="EN27" s="17">
        <v>0</v>
      </c>
      <c r="EO27" s="17">
        <v>0</v>
      </c>
      <c r="EP27" s="17">
        <v>0</v>
      </c>
      <c r="EQ27" s="17">
        <v>0</v>
      </c>
      <c r="ER27" s="17">
        <v>0</v>
      </c>
      <c r="ES27" s="17">
        <v>0</v>
      </c>
      <c r="ET27" s="17">
        <v>0</v>
      </c>
      <c r="EU27" s="17">
        <v>0</v>
      </c>
      <c r="EV27" s="17">
        <v>0</v>
      </c>
      <c r="EW27" s="17">
        <v>0</v>
      </c>
      <c r="EX27" s="17">
        <v>0</v>
      </c>
      <c r="EY27" s="17">
        <v>0</v>
      </c>
      <c r="EZ27" s="17">
        <v>0</v>
      </c>
      <c r="FA27" s="17">
        <v>0</v>
      </c>
      <c r="FB27" s="17">
        <v>0</v>
      </c>
      <c r="FC27" s="17">
        <v>0</v>
      </c>
      <c r="FD27" s="17">
        <v>0</v>
      </c>
      <c r="FE27" s="17">
        <v>0</v>
      </c>
      <c r="FF27" s="17">
        <v>0</v>
      </c>
      <c r="FG27" s="17">
        <v>0</v>
      </c>
      <c r="FH27" s="17">
        <v>0</v>
      </c>
      <c r="FI27" s="17">
        <v>0</v>
      </c>
      <c r="FJ27" s="17">
        <v>0</v>
      </c>
      <c r="FK27" s="17">
        <v>0</v>
      </c>
      <c r="FL27" s="17">
        <v>0</v>
      </c>
      <c r="FM27" s="17">
        <v>0</v>
      </c>
      <c r="FN27" s="17">
        <v>0</v>
      </c>
      <c r="FO27" s="17">
        <v>0</v>
      </c>
      <c r="FP27" s="17">
        <v>0</v>
      </c>
      <c r="FQ27" s="17">
        <v>0</v>
      </c>
      <c r="FR27" s="17">
        <v>0</v>
      </c>
      <c r="FS27" s="17">
        <v>0</v>
      </c>
      <c r="FT27" s="17">
        <v>0</v>
      </c>
      <c r="FU27" s="17">
        <v>0</v>
      </c>
      <c r="FV27" s="17">
        <v>0.872</v>
      </c>
      <c r="FW27" s="17">
        <v>0</v>
      </c>
      <c r="FX27" s="17">
        <v>0</v>
      </c>
      <c r="FY27" s="17">
        <v>1.048</v>
      </c>
      <c r="FZ27" s="17">
        <v>0.873</v>
      </c>
      <c r="GA27" s="17">
        <v>0</v>
      </c>
      <c r="GB27" s="17">
        <v>0</v>
      </c>
      <c r="GC27" s="17">
        <v>0</v>
      </c>
      <c r="GD27" s="17">
        <v>0</v>
      </c>
      <c r="GE27" s="17">
        <v>0</v>
      </c>
      <c r="GF27" s="17">
        <v>0.503</v>
      </c>
      <c r="GG27" s="17">
        <v>1.02</v>
      </c>
      <c r="GH27" s="17">
        <v>0</v>
      </c>
      <c r="GI27" s="17">
        <v>0</v>
      </c>
      <c r="GJ27" s="17">
        <v>0</v>
      </c>
      <c r="GK27" s="17">
        <v>0</v>
      </c>
      <c r="GL27" s="17">
        <v>0</v>
      </c>
      <c r="GM27" s="17">
        <v>0.38300000000000001</v>
      </c>
      <c r="GN27" s="17">
        <v>0</v>
      </c>
      <c r="GO27" s="17">
        <v>0</v>
      </c>
      <c r="GP27" s="17">
        <v>0</v>
      </c>
      <c r="GQ27" s="17">
        <v>0</v>
      </c>
      <c r="GR27" s="17">
        <v>0</v>
      </c>
      <c r="GS27" s="17">
        <v>0</v>
      </c>
      <c r="GT27" s="17">
        <v>0</v>
      </c>
      <c r="GU27" s="17">
        <v>0</v>
      </c>
      <c r="GV27" s="17">
        <v>0</v>
      </c>
      <c r="GW27" s="17">
        <v>0</v>
      </c>
      <c r="GX27" s="17">
        <v>0</v>
      </c>
      <c r="GY27" s="17">
        <v>0</v>
      </c>
      <c r="GZ27" s="17">
        <v>0</v>
      </c>
      <c r="HA27" s="17">
        <v>0</v>
      </c>
      <c r="HB27" s="17">
        <v>0</v>
      </c>
      <c r="HC27" s="17">
        <v>0</v>
      </c>
      <c r="HD27" s="17">
        <v>0</v>
      </c>
      <c r="HE27" s="17">
        <v>0</v>
      </c>
      <c r="HF27" s="17">
        <v>2.1629999999999998</v>
      </c>
      <c r="HG27" s="17">
        <v>0</v>
      </c>
      <c r="HH27" s="17">
        <v>0</v>
      </c>
    </row>
    <row r="28" spans="1:216" x14ac:dyDescent="0.25">
      <c r="A28" s="8">
        <v>24</v>
      </c>
      <c r="B28" s="8">
        <v>11.5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0.621</v>
      </c>
      <c r="L28" s="17">
        <v>0</v>
      </c>
      <c r="M28" s="17">
        <v>0</v>
      </c>
      <c r="N28" s="17">
        <v>0</v>
      </c>
      <c r="O28" s="17">
        <v>0.16700000000000001</v>
      </c>
      <c r="P28" s="17">
        <v>0</v>
      </c>
      <c r="Q28" s="17">
        <v>1.143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0.45400000000000001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0.505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1.863</v>
      </c>
      <c r="BA28" s="17">
        <v>0</v>
      </c>
      <c r="BB28" s="17">
        <v>0</v>
      </c>
      <c r="BC28" s="17">
        <v>1.51</v>
      </c>
      <c r="BD28" s="17">
        <v>0</v>
      </c>
      <c r="BE28" s="17">
        <v>0</v>
      </c>
      <c r="BF28" s="17">
        <v>0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1.2110000000000001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0.246</v>
      </c>
      <c r="CG28" s="17">
        <v>0</v>
      </c>
      <c r="CH28" s="17">
        <v>0</v>
      </c>
      <c r="CI28" s="17">
        <v>0</v>
      </c>
      <c r="CJ28" s="17">
        <v>1.208</v>
      </c>
      <c r="CK28" s="17">
        <v>0</v>
      </c>
      <c r="CL28" s="17">
        <v>0</v>
      </c>
      <c r="CM28" s="17">
        <v>1.17</v>
      </c>
      <c r="CN28" s="17">
        <v>0</v>
      </c>
      <c r="CO28" s="17">
        <v>5.8000000000000003E-2</v>
      </c>
      <c r="CP28" s="17">
        <v>0</v>
      </c>
      <c r="CQ28" s="17">
        <v>0</v>
      </c>
      <c r="CR28" s="17">
        <v>0.57799999999999996</v>
      </c>
      <c r="CS28" s="17">
        <v>0</v>
      </c>
      <c r="CT28" s="17">
        <v>0</v>
      </c>
      <c r="CU28" s="17">
        <v>0</v>
      </c>
      <c r="CV28" s="17">
        <v>0</v>
      </c>
      <c r="CW28" s="17">
        <v>0.61199999999999999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0.59799999999999998</v>
      </c>
      <c r="DE28" s="17">
        <v>0</v>
      </c>
      <c r="DF28" s="17">
        <v>0</v>
      </c>
      <c r="DG28" s="17">
        <v>0</v>
      </c>
      <c r="DH28" s="17">
        <v>0</v>
      </c>
      <c r="DI28" s="17">
        <v>0</v>
      </c>
      <c r="DJ28" s="17">
        <v>0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0.24199999999999999</v>
      </c>
      <c r="DS28" s="17">
        <v>0</v>
      </c>
      <c r="DT28" s="17">
        <v>0</v>
      </c>
      <c r="DU28" s="17">
        <v>0.127</v>
      </c>
      <c r="DV28" s="17">
        <v>0.34399999999999997</v>
      </c>
      <c r="DW28" s="17">
        <v>0</v>
      </c>
      <c r="DX28" s="17">
        <v>0</v>
      </c>
      <c r="DY28" s="17">
        <v>0</v>
      </c>
      <c r="DZ28" s="17">
        <v>1.028</v>
      </c>
      <c r="EA28" s="17">
        <v>0</v>
      </c>
      <c r="EB28" s="17">
        <v>0</v>
      </c>
      <c r="EC28" s="17">
        <v>0</v>
      </c>
      <c r="ED28" s="17">
        <v>0</v>
      </c>
      <c r="EE28" s="17">
        <v>0</v>
      </c>
      <c r="EF28" s="17">
        <v>0</v>
      </c>
      <c r="EG28" s="17">
        <v>0</v>
      </c>
      <c r="EH28" s="17">
        <v>0</v>
      </c>
      <c r="EI28" s="17">
        <v>0</v>
      </c>
      <c r="EJ28" s="17">
        <v>0</v>
      </c>
      <c r="EK28" s="17">
        <v>0</v>
      </c>
      <c r="EL28" s="17">
        <v>0</v>
      </c>
      <c r="EM28" s="17">
        <v>0</v>
      </c>
      <c r="EN28" s="17">
        <v>0</v>
      </c>
      <c r="EO28" s="17">
        <v>0</v>
      </c>
      <c r="EP28" s="17">
        <v>0</v>
      </c>
      <c r="EQ28" s="17">
        <v>0</v>
      </c>
      <c r="ER28" s="17">
        <v>0</v>
      </c>
      <c r="ES28" s="17">
        <v>0</v>
      </c>
      <c r="ET28" s="17">
        <v>0</v>
      </c>
      <c r="EU28" s="17">
        <v>0</v>
      </c>
      <c r="EV28" s="17">
        <v>0</v>
      </c>
      <c r="EW28" s="17">
        <v>0</v>
      </c>
      <c r="EX28" s="17">
        <v>0</v>
      </c>
      <c r="EY28" s="17">
        <v>0</v>
      </c>
      <c r="EZ28" s="17">
        <v>0</v>
      </c>
      <c r="FA28" s="17">
        <v>0</v>
      </c>
      <c r="FB28" s="17">
        <v>0</v>
      </c>
      <c r="FC28" s="17">
        <v>6.2E-2</v>
      </c>
      <c r="FD28" s="17">
        <v>0</v>
      </c>
      <c r="FE28" s="17">
        <v>0</v>
      </c>
      <c r="FF28" s="17">
        <v>0</v>
      </c>
      <c r="FG28" s="17">
        <v>0</v>
      </c>
      <c r="FH28" s="17">
        <v>0</v>
      </c>
      <c r="FI28" s="17">
        <v>0</v>
      </c>
      <c r="FJ28" s="17">
        <v>0</v>
      </c>
      <c r="FK28" s="17">
        <v>0</v>
      </c>
      <c r="FL28" s="17">
        <v>0</v>
      </c>
      <c r="FM28" s="17">
        <v>0</v>
      </c>
      <c r="FN28" s="17">
        <v>0</v>
      </c>
      <c r="FO28" s="17">
        <v>0</v>
      </c>
      <c r="FP28" s="17">
        <v>0</v>
      </c>
      <c r="FQ28" s="17">
        <v>0</v>
      </c>
      <c r="FR28" s="17">
        <v>0</v>
      </c>
      <c r="FS28" s="17">
        <v>0</v>
      </c>
      <c r="FT28" s="17">
        <v>0</v>
      </c>
      <c r="FU28" s="17">
        <v>0</v>
      </c>
      <c r="FV28" s="17">
        <v>1.2030000000000001</v>
      </c>
      <c r="FW28" s="17">
        <v>0</v>
      </c>
      <c r="FX28" s="17">
        <v>0</v>
      </c>
      <c r="FY28" s="17">
        <v>1.222</v>
      </c>
      <c r="FZ28" s="17">
        <v>0</v>
      </c>
      <c r="GA28" s="17">
        <v>0</v>
      </c>
      <c r="GB28" s="17">
        <v>0</v>
      </c>
      <c r="GC28" s="17">
        <v>0</v>
      </c>
      <c r="GD28" s="17">
        <v>0</v>
      </c>
      <c r="GE28" s="17">
        <v>0</v>
      </c>
      <c r="GF28" s="17">
        <v>0</v>
      </c>
      <c r="GG28" s="17">
        <v>0.158</v>
      </c>
      <c r="GH28" s="17">
        <v>0</v>
      </c>
      <c r="GI28" s="17">
        <v>0</v>
      </c>
      <c r="GJ28" s="17">
        <v>0</v>
      </c>
      <c r="GK28" s="17">
        <v>0</v>
      </c>
      <c r="GL28" s="17">
        <v>0</v>
      </c>
      <c r="GM28" s="17">
        <v>0</v>
      </c>
      <c r="GN28" s="17">
        <v>0</v>
      </c>
      <c r="GO28" s="17">
        <v>0</v>
      </c>
      <c r="GP28" s="17">
        <v>0</v>
      </c>
      <c r="GQ28" s="17">
        <v>0</v>
      </c>
      <c r="GR28" s="17">
        <v>0</v>
      </c>
      <c r="GS28" s="17">
        <v>0</v>
      </c>
      <c r="GT28" s="17">
        <v>0</v>
      </c>
      <c r="GU28" s="17">
        <v>0</v>
      </c>
      <c r="GV28" s="17">
        <v>0</v>
      </c>
      <c r="GW28" s="17">
        <v>0</v>
      </c>
      <c r="GX28" s="17">
        <v>0</v>
      </c>
      <c r="GY28" s="17">
        <v>0</v>
      </c>
      <c r="GZ28" s="17">
        <v>0</v>
      </c>
      <c r="HA28" s="17">
        <v>0</v>
      </c>
      <c r="HB28" s="17">
        <v>0</v>
      </c>
      <c r="HC28" s="17">
        <v>0</v>
      </c>
      <c r="HD28" s="17">
        <v>0</v>
      </c>
      <c r="HE28" s="17">
        <v>0</v>
      </c>
      <c r="HF28" s="17">
        <v>1.361</v>
      </c>
      <c r="HG28" s="17">
        <v>0</v>
      </c>
      <c r="HH28" s="17">
        <v>0</v>
      </c>
    </row>
    <row r="29" spans="1:216" x14ac:dyDescent="0.25">
      <c r="A29" s="8">
        <v>25</v>
      </c>
      <c r="B29" s="8">
        <v>12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0.75900000000000001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0.48199999999999998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0.156</v>
      </c>
      <c r="BA29" s="17">
        <v>0</v>
      </c>
      <c r="BB29" s="17">
        <v>0</v>
      </c>
      <c r="BC29" s="17">
        <v>1.5209999999999999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0.224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0.47299999999999998</v>
      </c>
      <c r="CK29" s="17">
        <v>0</v>
      </c>
      <c r="CL29" s="17">
        <v>0</v>
      </c>
      <c r="CM29" s="17">
        <v>1.028</v>
      </c>
      <c r="CN29" s="17">
        <v>0</v>
      </c>
      <c r="CO29" s="17">
        <v>0.32</v>
      </c>
      <c r="CP29" s="17">
        <v>0</v>
      </c>
      <c r="CQ29" s="17">
        <v>0</v>
      </c>
      <c r="CR29" s="17">
        <v>0.44400000000000001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0</v>
      </c>
      <c r="DD29" s="17">
        <v>0.23</v>
      </c>
      <c r="DE29" s="17">
        <v>0</v>
      </c>
      <c r="DF29" s="17">
        <v>1.01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3.1E-2</v>
      </c>
      <c r="DW29" s="17">
        <v>0</v>
      </c>
      <c r="DX29" s="17">
        <v>0</v>
      </c>
      <c r="DY29" s="17">
        <v>0</v>
      </c>
      <c r="DZ29" s="17">
        <v>0</v>
      </c>
      <c r="EA29" s="17">
        <v>0</v>
      </c>
      <c r="EB29" s="17">
        <v>0</v>
      </c>
      <c r="EC29" s="17">
        <v>0</v>
      </c>
      <c r="ED29" s="17">
        <v>0</v>
      </c>
      <c r="EE29" s="17">
        <v>0</v>
      </c>
      <c r="EF29" s="17">
        <v>0</v>
      </c>
      <c r="EG29" s="17">
        <v>0</v>
      </c>
      <c r="EH29" s="17">
        <v>0</v>
      </c>
      <c r="EI29" s="17">
        <v>0</v>
      </c>
      <c r="EJ29" s="17">
        <v>0</v>
      </c>
      <c r="EK29" s="17">
        <v>0</v>
      </c>
      <c r="EL29" s="17">
        <v>0</v>
      </c>
      <c r="EM29" s="17">
        <v>0</v>
      </c>
      <c r="EN29" s="17">
        <v>0</v>
      </c>
      <c r="EO29" s="17">
        <v>0</v>
      </c>
      <c r="EP29" s="17">
        <v>0</v>
      </c>
      <c r="EQ29" s="17">
        <v>0</v>
      </c>
      <c r="ER29" s="17">
        <v>0</v>
      </c>
      <c r="ES29" s="17">
        <v>0</v>
      </c>
      <c r="ET29" s="17">
        <v>0</v>
      </c>
      <c r="EU29" s="17">
        <v>0</v>
      </c>
      <c r="EV29" s="17">
        <v>0</v>
      </c>
      <c r="EW29" s="17">
        <v>0</v>
      </c>
      <c r="EX29" s="17">
        <v>0</v>
      </c>
      <c r="EY29" s="17">
        <v>0</v>
      </c>
      <c r="EZ29" s="17">
        <v>0</v>
      </c>
      <c r="FA29" s="17">
        <v>0</v>
      </c>
      <c r="FB29" s="17">
        <v>0</v>
      </c>
      <c r="FC29" s="17">
        <v>0</v>
      </c>
      <c r="FD29" s="17">
        <v>0</v>
      </c>
      <c r="FE29" s="17">
        <v>0</v>
      </c>
      <c r="FF29" s="17">
        <v>0</v>
      </c>
      <c r="FG29" s="17">
        <v>0</v>
      </c>
      <c r="FH29" s="17">
        <v>0</v>
      </c>
      <c r="FI29" s="17">
        <v>0</v>
      </c>
      <c r="FJ29" s="17">
        <v>0</v>
      </c>
      <c r="FK29" s="17">
        <v>0</v>
      </c>
      <c r="FL29" s="17">
        <v>0</v>
      </c>
      <c r="FM29" s="17">
        <v>0</v>
      </c>
      <c r="FN29" s="17">
        <v>0</v>
      </c>
      <c r="FO29" s="17">
        <v>0</v>
      </c>
      <c r="FP29" s="17">
        <v>0</v>
      </c>
      <c r="FQ29" s="17">
        <v>0</v>
      </c>
      <c r="FR29" s="17">
        <v>0</v>
      </c>
      <c r="FS29" s="17">
        <v>0</v>
      </c>
      <c r="FT29" s="17">
        <v>0</v>
      </c>
      <c r="FU29" s="17">
        <v>0</v>
      </c>
      <c r="FV29" s="17">
        <v>0.51900000000000002</v>
      </c>
      <c r="FW29" s="17">
        <v>0</v>
      </c>
      <c r="FX29" s="17">
        <v>0</v>
      </c>
      <c r="FY29" s="17">
        <v>0.68200000000000005</v>
      </c>
      <c r="FZ29" s="17">
        <v>0</v>
      </c>
      <c r="GA29" s="17">
        <v>0</v>
      </c>
      <c r="GB29" s="17">
        <v>0</v>
      </c>
      <c r="GC29" s="17">
        <v>0</v>
      </c>
      <c r="GD29" s="17">
        <v>0</v>
      </c>
      <c r="GE29" s="17">
        <v>0</v>
      </c>
      <c r="GF29" s="17">
        <v>0</v>
      </c>
      <c r="GG29" s="17">
        <v>0</v>
      </c>
      <c r="GH29" s="17">
        <v>0</v>
      </c>
      <c r="GI29" s="17">
        <v>0</v>
      </c>
      <c r="GJ29" s="17">
        <v>0</v>
      </c>
      <c r="GK29" s="17">
        <v>0</v>
      </c>
      <c r="GL29" s="17">
        <v>0</v>
      </c>
      <c r="GM29" s="17">
        <v>0</v>
      </c>
      <c r="GN29" s="17">
        <v>0</v>
      </c>
      <c r="GO29" s="17">
        <v>0</v>
      </c>
      <c r="GP29" s="17">
        <v>0</v>
      </c>
      <c r="GQ29" s="17">
        <v>0</v>
      </c>
      <c r="GR29" s="17">
        <v>0</v>
      </c>
      <c r="GS29" s="17">
        <v>0</v>
      </c>
      <c r="GT29" s="17">
        <v>0</v>
      </c>
      <c r="GU29" s="17">
        <v>0</v>
      </c>
      <c r="GV29" s="17">
        <v>0</v>
      </c>
      <c r="GW29" s="17">
        <v>0</v>
      </c>
      <c r="GX29" s="17">
        <v>0</v>
      </c>
      <c r="GY29" s="17">
        <v>0</v>
      </c>
      <c r="GZ29" s="17">
        <v>0</v>
      </c>
      <c r="HA29" s="17">
        <v>0</v>
      </c>
      <c r="HB29" s="17">
        <v>0</v>
      </c>
      <c r="HC29" s="17">
        <v>0</v>
      </c>
      <c r="HD29" s="17">
        <v>0</v>
      </c>
      <c r="HE29" s="17">
        <v>0</v>
      </c>
      <c r="HF29" s="17">
        <v>0</v>
      </c>
      <c r="HG29" s="17">
        <v>0</v>
      </c>
      <c r="HH29" s="17">
        <v>0</v>
      </c>
    </row>
    <row r="30" spans="1:216" x14ac:dyDescent="0.25">
      <c r="A30" s="8">
        <v>26</v>
      </c>
      <c r="B30" s="8">
        <v>12.5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0.51900000000000002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0.90600000000000003</v>
      </c>
      <c r="BD30" s="17">
        <v>0</v>
      </c>
      <c r="BE30" s="17">
        <v>0</v>
      </c>
      <c r="BF30" s="17">
        <v>0.83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5.6000000000000001E-2</v>
      </c>
      <c r="CN30" s="17">
        <v>0</v>
      </c>
      <c r="CO30" s="17">
        <v>0.97199999999999998</v>
      </c>
      <c r="CP30" s="17">
        <v>0</v>
      </c>
      <c r="CQ30" s="17">
        <v>0</v>
      </c>
      <c r="CR30" s="17">
        <v>0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</v>
      </c>
      <c r="DE30" s="17">
        <v>0</v>
      </c>
      <c r="DF30" s="17">
        <v>0.79100000000000004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0.751</v>
      </c>
      <c r="DW30" s="17">
        <v>0</v>
      </c>
      <c r="DX30" s="17">
        <v>0</v>
      </c>
      <c r="DY30" s="17">
        <v>0</v>
      </c>
      <c r="DZ30" s="17">
        <v>0.29899999999999999</v>
      </c>
      <c r="EA30" s="17">
        <v>0</v>
      </c>
      <c r="EB30" s="17">
        <v>0</v>
      </c>
      <c r="EC30" s="17">
        <v>0</v>
      </c>
      <c r="ED30" s="17">
        <v>0</v>
      </c>
      <c r="EE30" s="17">
        <v>0</v>
      </c>
      <c r="EF30" s="17">
        <v>0</v>
      </c>
      <c r="EG30" s="17">
        <v>0</v>
      </c>
      <c r="EH30" s="17">
        <v>0</v>
      </c>
      <c r="EI30" s="17">
        <v>0</v>
      </c>
      <c r="EJ30" s="17">
        <v>0</v>
      </c>
      <c r="EK30" s="17">
        <v>0</v>
      </c>
      <c r="EL30" s="17">
        <v>0</v>
      </c>
      <c r="EM30" s="17">
        <v>0</v>
      </c>
      <c r="EN30" s="17">
        <v>0</v>
      </c>
      <c r="EO30" s="17">
        <v>0</v>
      </c>
      <c r="EP30" s="17">
        <v>0</v>
      </c>
      <c r="EQ30" s="17">
        <v>0</v>
      </c>
      <c r="ER30" s="17">
        <v>0</v>
      </c>
      <c r="ES30" s="17">
        <v>0</v>
      </c>
      <c r="ET30" s="17">
        <v>0</v>
      </c>
      <c r="EU30" s="17">
        <v>0</v>
      </c>
      <c r="EV30" s="17">
        <v>0</v>
      </c>
      <c r="EW30" s="17">
        <v>0</v>
      </c>
      <c r="EX30" s="17">
        <v>0</v>
      </c>
      <c r="EY30" s="17">
        <v>0</v>
      </c>
      <c r="EZ30" s="17">
        <v>0</v>
      </c>
      <c r="FA30" s="17">
        <v>0</v>
      </c>
      <c r="FB30" s="17">
        <v>0</v>
      </c>
      <c r="FC30" s="17">
        <v>9.9000000000000005E-2</v>
      </c>
      <c r="FD30" s="17">
        <v>0</v>
      </c>
      <c r="FE30" s="17">
        <v>0</v>
      </c>
      <c r="FF30" s="17">
        <v>0</v>
      </c>
      <c r="FG30" s="17">
        <v>0</v>
      </c>
      <c r="FH30" s="17">
        <v>0</v>
      </c>
      <c r="FI30" s="17">
        <v>0</v>
      </c>
      <c r="FJ30" s="17">
        <v>0</v>
      </c>
      <c r="FK30" s="17">
        <v>0</v>
      </c>
      <c r="FL30" s="17">
        <v>0</v>
      </c>
      <c r="FM30" s="17">
        <v>0</v>
      </c>
      <c r="FN30" s="17">
        <v>0</v>
      </c>
      <c r="FO30" s="17">
        <v>0</v>
      </c>
      <c r="FP30" s="17">
        <v>0</v>
      </c>
      <c r="FQ30" s="17">
        <v>0</v>
      </c>
      <c r="FR30" s="17">
        <v>0</v>
      </c>
      <c r="FS30" s="17">
        <v>0</v>
      </c>
      <c r="FT30" s="17">
        <v>0</v>
      </c>
      <c r="FU30" s="17">
        <v>0</v>
      </c>
      <c r="FV30" s="17">
        <v>0</v>
      </c>
      <c r="FW30" s="17">
        <v>0</v>
      </c>
      <c r="FX30" s="17">
        <v>0</v>
      </c>
      <c r="FY30" s="17">
        <v>0</v>
      </c>
      <c r="FZ30" s="17">
        <v>0</v>
      </c>
      <c r="GA30" s="17">
        <v>0</v>
      </c>
      <c r="GB30" s="17">
        <v>0</v>
      </c>
      <c r="GC30" s="17">
        <v>0</v>
      </c>
      <c r="GD30" s="17">
        <v>0</v>
      </c>
      <c r="GE30" s="17">
        <v>0</v>
      </c>
      <c r="GF30" s="17">
        <v>0.42</v>
      </c>
      <c r="GG30" s="17">
        <v>0</v>
      </c>
      <c r="GH30" s="17">
        <v>0</v>
      </c>
      <c r="GI30" s="17">
        <v>0</v>
      </c>
      <c r="GJ30" s="17">
        <v>0</v>
      </c>
      <c r="GK30" s="17">
        <v>0</v>
      </c>
      <c r="GL30" s="17">
        <v>0</v>
      </c>
      <c r="GM30" s="17">
        <v>0.307</v>
      </c>
      <c r="GN30" s="17">
        <v>0</v>
      </c>
      <c r="GO30" s="17">
        <v>0</v>
      </c>
      <c r="GP30" s="17">
        <v>0</v>
      </c>
      <c r="GQ30" s="17">
        <v>0</v>
      </c>
      <c r="GR30" s="17">
        <v>0</v>
      </c>
      <c r="GS30" s="17">
        <v>0</v>
      </c>
      <c r="GT30" s="17">
        <v>0</v>
      </c>
      <c r="GU30" s="17">
        <v>0</v>
      </c>
      <c r="GV30" s="17">
        <v>0</v>
      </c>
      <c r="GW30" s="17">
        <v>0</v>
      </c>
      <c r="GX30" s="17">
        <v>0</v>
      </c>
      <c r="GY30" s="17">
        <v>0</v>
      </c>
      <c r="GZ30" s="17">
        <v>0</v>
      </c>
      <c r="HA30" s="17">
        <v>0</v>
      </c>
      <c r="HB30" s="17">
        <v>0</v>
      </c>
      <c r="HC30" s="17">
        <v>0</v>
      </c>
      <c r="HD30" s="17">
        <v>0</v>
      </c>
      <c r="HE30" s="17">
        <v>0</v>
      </c>
      <c r="HF30" s="17">
        <v>0</v>
      </c>
      <c r="HG30" s="17">
        <v>0</v>
      </c>
      <c r="HH30" s="17">
        <v>0</v>
      </c>
    </row>
    <row r="31" spans="1:216" x14ac:dyDescent="0.25">
      <c r="A31" s="8">
        <v>27</v>
      </c>
      <c r="B31" s="8">
        <v>13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0.66400000000000003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0.439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0</v>
      </c>
      <c r="CO31" s="17">
        <v>0.83099999999999996</v>
      </c>
      <c r="CP31" s="17">
        <v>0</v>
      </c>
      <c r="CQ31" s="17">
        <v>0</v>
      </c>
      <c r="CR31" s="17">
        <v>0.63800000000000001</v>
      </c>
      <c r="CS31" s="17">
        <v>0</v>
      </c>
      <c r="CT31" s="17">
        <v>0</v>
      </c>
      <c r="CU31" s="17">
        <v>0</v>
      </c>
      <c r="CV31" s="17">
        <v>0</v>
      </c>
      <c r="CW31" s="17">
        <v>0</v>
      </c>
      <c r="CX31" s="17">
        <v>0</v>
      </c>
      <c r="CY31" s="17">
        <v>0</v>
      </c>
      <c r="CZ31" s="17">
        <v>0</v>
      </c>
      <c r="DA31" s="17">
        <v>0</v>
      </c>
      <c r="DB31" s="17">
        <v>0</v>
      </c>
      <c r="DC31" s="17">
        <v>0</v>
      </c>
      <c r="DD31" s="17">
        <v>0</v>
      </c>
      <c r="DE31" s="17">
        <v>0</v>
      </c>
      <c r="DF31" s="17">
        <v>0.91300000000000003</v>
      </c>
      <c r="DG31" s="17">
        <v>0</v>
      </c>
      <c r="DH31" s="17">
        <v>0</v>
      </c>
      <c r="DI31" s="17">
        <v>0</v>
      </c>
      <c r="DJ31" s="17">
        <v>0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</v>
      </c>
      <c r="DR31" s="17">
        <v>0</v>
      </c>
      <c r="DS31" s="17">
        <v>0</v>
      </c>
      <c r="DT31" s="17">
        <v>0</v>
      </c>
      <c r="DU31" s="17">
        <v>0</v>
      </c>
      <c r="DV31" s="17">
        <v>0.98</v>
      </c>
      <c r="DW31" s="17">
        <v>0</v>
      </c>
      <c r="DX31" s="17">
        <v>0</v>
      </c>
      <c r="DY31" s="17">
        <v>0</v>
      </c>
      <c r="DZ31" s="17">
        <v>0</v>
      </c>
      <c r="EA31" s="17">
        <v>0</v>
      </c>
      <c r="EB31" s="17">
        <v>0</v>
      </c>
      <c r="EC31" s="17">
        <v>0</v>
      </c>
      <c r="ED31" s="17">
        <v>0</v>
      </c>
      <c r="EE31" s="17">
        <v>0</v>
      </c>
      <c r="EF31" s="17">
        <v>0</v>
      </c>
      <c r="EG31" s="17">
        <v>0</v>
      </c>
      <c r="EH31" s="17">
        <v>0</v>
      </c>
      <c r="EI31" s="17">
        <v>0</v>
      </c>
      <c r="EJ31" s="17">
        <v>0</v>
      </c>
      <c r="EK31" s="17">
        <v>0</v>
      </c>
      <c r="EL31" s="17">
        <v>0</v>
      </c>
      <c r="EM31" s="17">
        <v>0</v>
      </c>
      <c r="EN31" s="17">
        <v>0</v>
      </c>
      <c r="EO31" s="17">
        <v>0</v>
      </c>
      <c r="EP31" s="17">
        <v>0</v>
      </c>
      <c r="EQ31" s="17">
        <v>0</v>
      </c>
      <c r="ER31" s="17">
        <v>0</v>
      </c>
      <c r="ES31" s="17">
        <v>0</v>
      </c>
      <c r="ET31" s="17">
        <v>0</v>
      </c>
      <c r="EU31" s="17">
        <v>0</v>
      </c>
      <c r="EV31" s="17">
        <v>0</v>
      </c>
      <c r="EW31" s="17">
        <v>0</v>
      </c>
      <c r="EX31" s="17">
        <v>0</v>
      </c>
      <c r="EY31" s="17">
        <v>0</v>
      </c>
      <c r="EZ31" s="17">
        <v>0</v>
      </c>
      <c r="FA31" s="17">
        <v>0</v>
      </c>
      <c r="FB31" s="17">
        <v>0</v>
      </c>
      <c r="FC31" s="17">
        <v>0</v>
      </c>
      <c r="FD31" s="17">
        <v>0</v>
      </c>
      <c r="FE31" s="17">
        <v>0</v>
      </c>
      <c r="FF31" s="17">
        <v>0</v>
      </c>
      <c r="FG31" s="17">
        <v>0</v>
      </c>
      <c r="FH31" s="17">
        <v>0</v>
      </c>
      <c r="FI31" s="17">
        <v>0</v>
      </c>
      <c r="FJ31" s="17">
        <v>0</v>
      </c>
      <c r="FK31" s="17">
        <v>0</v>
      </c>
      <c r="FL31" s="17">
        <v>0</v>
      </c>
      <c r="FM31" s="17">
        <v>0</v>
      </c>
      <c r="FN31" s="17">
        <v>0</v>
      </c>
      <c r="FO31" s="17">
        <v>0</v>
      </c>
      <c r="FP31" s="17">
        <v>0</v>
      </c>
      <c r="FQ31" s="17">
        <v>0</v>
      </c>
      <c r="FR31" s="17">
        <v>0</v>
      </c>
      <c r="FS31" s="17">
        <v>0</v>
      </c>
      <c r="FT31" s="17">
        <v>0</v>
      </c>
      <c r="FU31" s="17">
        <v>0</v>
      </c>
      <c r="FV31" s="17">
        <v>0</v>
      </c>
      <c r="FW31" s="17">
        <v>0</v>
      </c>
      <c r="FX31" s="17">
        <v>0</v>
      </c>
      <c r="FY31" s="17">
        <v>0</v>
      </c>
      <c r="FZ31" s="17">
        <v>0</v>
      </c>
      <c r="GA31" s="17">
        <v>0</v>
      </c>
      <c r="GB31" s="17">
        <v>0</v>
      </c>
      <c r="GC31" s="17">
        <v>0</v>
      </c>
      <c r="GD31" s="17">
        <v>0</v>
      </c>
      <c r="GE31" s="17">
        <v>0</v>
      </c>
      <c r="GF31" s="17">
        <v>0</v>
      </c>
      <c r="GG31" s="17">
        <v>0</v>
      </c>
      <c r="GH31" s="17">
        <v>0</v>
      </c>
      <c r="GI31" s="17">
        <v>0</v>
      </c>
      <c r="GJ31" s="17">
        <v>0</v>
      </c>
      <c r="GK31" s="17">
        <v>0</v>
      </c>
      <c r="GL31" s="17">
        <v>0</v>
      </c>
      <c r="GM31" s="17">
        <v>0</v>
      </c>
      <c r="GN31" s="17">
        <v>0</v>
      </c>
      <c r="GO31" s="17">
        <v>0</v>
      </c>
      <c r="GP31" s="17">
        <v>0</v>
      </c>
      <c r="GQ31" s="17">
        <v>0</v>
      </c>
      <c r="GR31" s="17">
        <v>0</v>
      </c>
      <c r="GS31" s="17">
        <v>0</v>
      </c>
      <c r="GT31" s="17">
        <v>0.94</v>
      </c>
      <c r="GU31" s="17">
        <v>0</v>
      </c>
      <c r="GV31" s="17">
        <v>0</v>
      </c>
      <c r="GW31" s="17">
        <v>0</v>
      </c>
      <c r="GX31" s="17">
        <v>0</v>
      </c>
      <c r="GY31" s="17">
        <v>0</v>
      </c>
      <c r="GZ31" s="17">
        <v>0</v>
      </c>
      <c r="HA31" s="17">
        <v>0</v>
      </c>
      <c r="HB31" s="17">
        <v>0</v>
      </c>
      <c r="HC31" s="17">
        <v>0</v>
      </c>
      <c r="HD31" s="17">
        <v>0</v>
      </c>
      <c r="HE31" s="17">
        <v>0</v>
      </c>
      <c r="HF31" s="17">
        <v>0</v>
      </c>
      <c r="HG31" s="17">
        <v>0</v>
      </c>
      <c r="HH31" s="17">
        <v>0</v>
      </c>
    </row>
    <row r="32" spans="1:216" x14ac:dyDescent="0.25">
      <c r="A32" s="8">
        <v>28</v>
      </c>
      <c r="B32" s="8">
        <v>13.5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0.64200000000000002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0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1.6E-2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0.80500000000000005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1.0069999999999999</v>
      </c>
      <c r="DE32" s="17">
        <v>0</v>
      </c>
      <c r="DF32" s="17">
        <v>0.79300000000000004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0.27100000000000002</v>
      </c>
      <c r="DR32" s="17">
        <v>0</v>
      </c>
      <c r="DS32" s="17">
        <v>0</v>
      </c>
      <c r="DT32" s="17">
        <v>0</v>
      </c>
      <c r="DU32" s="17">
        <v>0.55200000000000005</v>
      </c>
      <c r="DV32" s="17">
        <v>0.01</v>
      </c>
      <c r="DW32" s="17">
        <v>0</v>
      </c>
      <c r="DX32" s="17">
        <v>0</v>
      </c>
      <c r="DY32" s="17">
        <v>0</v>
      </c>
      <c r="DZ32" s="17">
        <v>0.97799999999999998</v>
      </c>
      <c r="EA32" s="17">
        <v>0</v>
      </c>
      <c r="EB32" s="17">
        <v>0</v>
      </c>
      <c r="EC32" s="17">
        <v>0</v>
      </c>
      <c r="ED32" s="17">
        <v>0</v>
      </c>
      <c r="EE32" s="17">
        <v>0</v>
      </c>
      <c r="EF32" s="17">
        <v>0</v>
      </c>
      <c r="EG32" s="17">
        <v>0</v>
      </c>
      <c r="EH32" s="17">
        <v>0</v>
      </c>
      <c r="EI32" s="17">
        <v>0</v>
      </c>
      <c r="EJ32" s="17">
        <v>0</v>
      </c>
      <c r="EK32" s="17">
        <v>0</v>
      </c>
      <c r="EL32" s="17">
        <v>0</v>
      </c>
      <c r="EM32" s="17">
        <v>0</v>
      </c>
      <c r="EN32" s="17">
        <v>0</v>
      </c>
      <c r="EO32" s="17">
        <v>0</v>
      </c>
      <c r="EP32" s="17">
        <v>0</v>
      </c>
      <c r="EQ32" s="17">
        <v>0</v>
      </c>
      <c r="ER32" s="17">
        <v>0</v>
      </c>
      <c r="ES32" s="17">
        <v>0</v>
      </c>
      <c r="ET32" s="17">
        <v>0</v>
      </c>
      <c r="EU32" s="17">
        <v>0</v>
      </c>
      <c r="EV32" s="17">
        <v>0</v>
      </c>
      <c r="EW32" s="17">
        <v>0</v>
      </c>
      <c r="EX32" s="17">
        <v>0</v>
      </c>
      <c r="EY32" s="17">
        <v>0</v>
      </c>
      <c r="EZ32" s="17">
        <v>0</v>
      </c>
      <c r="FA32" s="17">
        <v>0</v>
      </c>
      <c r="FB32" s="17">
        <v>0</v>
      </c>
      <c r="FC32" s="17">
        <v>0</v>
      </c>
      <c r="FD32" s="17">
        <v>0</v>
      </c>
      <c r="FE32" s="17">
        <v>0</v>
      </c>
      <c r="FF32" s="17">
        <v>0.44700000000000001</v>
      </c>
      <c r="FG32" s="17">
        <v>0</v>
      </c>
      <c r="FH32" s="17">
        <v>0</v>
      </c>
      <c r="FI32" s="17">
        <v>0</v>
      </c>
      <c r="FJ32" s="17">
        <v>0</v>
      </c>
      <c r="FK32" s="17">
        <v>0</v>
      </c>
      <c r="FL32" s="17">
        <v>0</v>
      </c>
      <c r="FM32" s="17">
        <v>0</v>
      </c>
      <c r="FN32" s="17">
        <v>0</v>
      </c>
      <c r="FO32" s="17">
        <v>0</v>
      </c>
      <c r="FP32" s="17">
        <v>0</v>
      </c>
      <c r="FQ32" s="17">
        <v>0</v>
      </c>
      <c r="FR32" s="17">
        <v>0</v>
      </c>
      <c r="FS32" s="17">
        <v>0</v>
      </c>
      <c r="FT32" s="17">
        <v>0</v>
      </c>
      <c r="FU32" s="17">
        <v>0</v>
      </c>
      <c r="FV32" s="17">
        <v>0</v>
      </c>
      <c r="FW32" s="17">
        <v>0</v>
      </c>
      <c r="FX32" s="17">
        <v>0</v>
      </c>
      <c r="FY32" s="17">
        <v>0</v>
      </c>
      <c r="FZ32" s="17">
        <v>0</v>
      </c>
      <c r="GA32" s="17">
        <v>0</v>
      </c>
      <c r="GB32" s="17">
        <v>0</v>
      </c>
      <c r="GC32" s="17">
        <v>0</v>
      </c>
      <c r="GD32" s="17">
        <v>0</v>
      </c>
      <c r="GE32" s="17">
        <v>0</v>
      </c>
      <c r="GF32" s="17">
        <v>0</v>
      </c>
      <c r="GG32" s="17">
        <v>0</v>
      </c>
      <c r="GH32" s="17">
        <v>0</v>
      </c>
      <c r="GI32" s="17">
        <v>0</v>
      </c>
      <c r="GJ32" s="17">
        <v>0</v>
      </c>
      <c r="GK32" s="17">
        <v>0</v>
      </c>
      <c r="GL32" s="17">
        <v>0</v>
      </c>
      <c r="GM32" s="17">
        <v>0</v>
      </c>
      <c r="GN32" s="17">
        <v>0</v>
      </c>
      <c r="GO32" s="17">
        <v>0</v>
      </c>
      <c r="GP32" s="17">
        <v>0</v>
      </c>
      <c r="GQ32" s="17">
        <v>0</v>
      </c>
      <c r="GR32" s="17">
        <v>0</v>
      </c>
      <c r="GS32" s="17">
        <v>0</v>
      </c>
      <c r="GT32" s="17">
        <v>0.16500000000000001</v>
      </c>
      <c r="GU32" s="17">
        <v>0</v>
      </c>
      <c r="GV32" s="17">
        <v>0</v>
      </c>
      <c r="GW32" s="17">
        <v>0</v>
      </c>
      <c r="GX32" s="17">
        <v>0</v>
      </c>
      <c r="GY32" s="17">
        <v>0</v>
      </c>
      <c r="GZ32" s="17">
        <v>0</v>
      </c>
      <c r="HA32" s="17">
        <v>0</v>
      </c>
      <c r="HB32" s="17">
        <v>0</v>
      </c>
      <c r="HC32" s="17">
        <v>0</v>
      </c>
      <c r="HD32" s="17">
        <v>0</v>
      </c>
      <c r="HE32" s="17">
        <v>0</v>
      </c>
      <c r="HF32" s="17">
        <v>0</v>
      </c>
      <c r="HG32" s="17">
        <v>0</v>
      </c>
      <c r="HH32" s="17">
        <v>0</v>
      </c>
    </row>
    <row r="33" spans="1:216" x14ac:dyDescent="0.25">
      <c r="A33" s="8">
        <v>29</v>
      </c>
      <c r="B33" s="8">
        <v>14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0.27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0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0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1.004</v>
      </c>
      <c r="CS33" s="17">
        <v>0</v>
      </c>
      <c r="CT33" s="17">
        <v>0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0</v>
      </c>
      <c r="DB33" s="17">
        <v>0</v>
      </c>
      <c r="DC33" s="17">
        <v>0</v>
      </c>
      <c r="DD33" s="17">
        <v>1.343</v>
      </c>
      <c r="DE33" s="17">
        <v>0</v>
      </c>
      <c r="DF33" s="17">
        <v>0.81</v>
      </c>
      <c r="DG33" s="17">
        <v>0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0.151</v>
      </c>
      <c r="DR33" s="17">
        <v>0</v>
      </c>
      <c r="DS33" s="17">
        <v>0</v>
      </c>
      <c r="DT33" s="17">
        <v>0</v>
      </c>
      <c r="DU33" s="17">
        <v>0</v>
      </c>
      <c r="DV33" s="17">
        <v>0.60099999999999998</v>
      </c>
      <c r="DW33" s="17">
        <v>0</v>
      </c>
      <c r="DX33" s="17">
        <v>0</v>
      </c>
      <c r="DY33" s="17">
        <v>0</v>
      </c>
      <c r="DZ33" s="17">
        <v>0.98899999999999999</v>
      </c>
      <c r="EA33" s="17">
        <v>0</v>
      </c>
      <c r="EB33" s="17">
        <v>0</v>
      </c>
      <c r="EC33" s="17">
        <v>0</v>
      </c>
      <c r="ED33" s="17">
        <v>0</v>
      </c>
      <c r="EE33" s="17">
        <v>0</v>
      </c>
      <c r="EF33" s="17">
        <v>0</v>
      </c>
      <c r="EG33" s="17">
        <v>0</v>
      </c>
      <c r="EH33" s="17">
        <v>0</v>
      </c>
      <c r="EI33" s="17">
        <v>0</v>
      </c>
      <c r="EJ33" s="17">
        <v>0</v>
      </c>
      <c r="EK33" s="17">
        <v>0</v>
      </c>
      <c r="EL33" s="17">
        <v>0</v>
      </c>
      <c r="EM33" s="17">
        <v>0</v>
      </c>
      <c r="EN33" s="17">
        <v>0</v>
      </c>
      <c r="EO33" s="17">
        <v>0</v>
      </c>
      <c r="EP33" s="17">
        <v>0</v>
      </c>
      <c r="EQ33" s="17">
        <v>0</v>
      </c>
      <c r="ER33" s="17">
        <v>0</v>
      </c>
      <c r="ES33" s="17">
        <v>0</v>
      </c>
      <c r="ET33" s="17">
        <v>0</v>
      </c>
      <c r="EU33" s="17">
        <v>0</v>
      </c>
      <c r="EV33" s="17">
        <v>0</v>
      </c>
      <c r="EW33" s="17">
        <v>0</v>
      </c>
      <c r="EX33" s="17">
        <v>0</v>
      </c>
      <c r="EY33" s="17">
        <v>0</v>
      </c>
      <c r="EZ33" s="17">
        <v>5.8999999999999997E-2</v>
      </c>
      <c r="FA33" s="17">
        <v>0</v>
      </c>
      <c r="FB33" s="17">
        <v>0</v>
      </c>
      <c r="FC33" s="17">
        <v>0</v>
      </c>
      <c r="FD33" s="17">
        <v>0</v>
      </c>
      <c r="FE33" s="17">
        <v>0</v>
      </c>
      <c r="FF33" s="17">
        <v>0</v>
      </c>
      <c r="FG33" s="17">
        <v>0</v>
      </c>
      <c r="FH33" s="17">
        <v>0</v>
      </c>
      <c r="FI33" s="17">
        <v>0</v>
      </c>
      <c r="FJ33" s="17">
        <v>0</v>
      </c>
      <c r="FK33" s="17">
        <v>0</v>
      </c>
      <c r="FL33" s="17">
        <v>0</v>
      </c>
      <c r="FM33" s="17">
        <v>0</v>
      </c>
      <c r="FN33" s="17">
        <v>0</v>
      </c>
      <c r="FO33" s="17">
        <v>0</v>
      </c>
      <c r="FP33" s="17">
        <v>0</v>
      </c>
      <c r="FQ33" s="17">
        <v>0</v>
      </c>
      <c r="FR33" s="17">
        <v>0</v>
      </c>
      <c r="FS33" s="17">
        <v>0</v>
      </c>
      <c r="FT33" s="17">
        <v>0</v>
      </c>
      <c r="FU33" s="17">
        <v>0</v>
      </c>
      <c r="FV33" s="17">
        <v>0</v>
      </c>
      <c r="FW33" s="17">
        <v>0</v>
      </c>
      <c r="FX33" s="17">
        <v>0</v>
      </c>
      <c r="FY33" s="17">
        <v>0</v>
      </c>
      <c r="FZ33" s="17">
        <v>0</v>
      </c>
      <c r="GA33" s="17">
        <v>0</v>
      </c>
      <c r="GB33" s="17">
        <v>0</v>
      </c>
      <c r="GC33" s="17">
        <v>0</v>
      </c>
      <c r="GD33" s="17">
        <v>0</v>
      </c>
      <c r="GE33" s="17">
        <v>0</v>
      </c>
      <c r="GF33" s="17">
        <v>0</v>
      </c>
      <c r="GG33" s="17">
        <v>0</v>
      </c>
      <c r="GH33" s="17">
        <v>0</v>
      </c>
      <c r="GI33" s="17">
        <v>0</v>
      </c>
      <c r="GJ33" s="17">
        <v>0</v>
      </c>
      <c r="GK33" s="17">
        <v>0</v>
      </c>
      <c r="GL33" s="17">
        <v>0</v>
      </c>
      <c r="GM33" s="17">
        <v>0</v>
      </c>
      <c r="GN33" s="17">
        <v>0</v>
      </c>
      <c r="GO33" s="17">
        <v>0</v>
      </c>
      <c r="GP33" s="17">
        <v>0</v>
      </c>
      <c r="GQ33" s="17">
        <v>0</v>
      </c>
      <c r="GR33" s="17">
        <v>0</v>
      </c>
      <c r="GS33" s="17">
        <v>0</v>
      </c>
      <c r="GT33" s="17">
        <v>0</v>
      </c>
      <c r="GU33" s="17">
        <v>0</v>
      </c>
      <c r="GV33" s="17">
        <v>0</v>
      </c>
      <c r="GW33" s="17">
        <v>0</v>
      </c>
      <c r="GX33" s="17">
        <v>0</v>
      </c>
      <c r="GY33" s="17">
        <v>0</v>
      </c>
      <c r="GZ33" s="17">
        <v>0</v>
      </c>
      <c r="HA33" s="17">
        <v>0</v>
      </c>
      <c r="HB33" s="17">
        <v>0</v>
      </c>
      <c r="HC33" s="17">
        <v>0</v>
      </c>
      <c r="HD33" s="17">
        <v>0</v>
      </c>
      <c r="HE33" s="17">
        <v>0</v>
      </c>
      <c r="HF33" s="17">
        <v>0</v>
      </c>
      <c r="HG33" s="17">
        <v>0</v>
      </c>
      <c r="HH33" s="17">
        <v>0</v>
      </c>
    </row>
    <row r="34" spans="1:216" x14ac:dyDescent="0.25">
      <c r="A34" s="8">
        <v>30</v>
      </c>
      <c r="B34" s="8">
        <v>14.5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0.70699999999999996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0</v>
      </c>
      <c r="CG34" s="17">
        <v>0</v>
      </c>
      <c r="CH34" s="17">
        <v>0</v>
      </c>
      <c r="CI34" s="17">
        <v>0</v>
      </c>
      <c r="CJ34" s="17">
        <v>2.7E-2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0.55500000000000005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0.84699999999999998</v>
      </c>
      <c r="DE34" s="17">
        <v>0</v>
      </c>
      <c r="DF34" s="17">
        <v>0</v>
      </c>
      <c r="DG34" s="17">
        <v>0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0.91300000000000003</v>
      </c>
      <c r="DW34" s="17">
        <v>0</v>
      </c>
      <c r="DX34" s="17">
        <v>0</v>
      </c>
      <c r="DY34" s="17">
        <v>0</v>
      </c>
      <c r="DZ34" s="17">
        <v>0.80200000000000005</v>
      </c>
      <c r="EA34" s="17">
        <v>0</v>
      </c>
      <c r="EB34" s="17">
        <v>0</v>
      </c>
      <c r="EC34" s="17">
        <v>0</v>
      </c>
      <c r="ED34" s="17">
        <v>0</v>
      </c>
      <c r="EE34" s="17">
        <v>0</v>
      </c>
      <c r="EF34" s="17">
        <v>0</v>
      </c>
      <c r="EG34" s="17">
        <v>0</v>
      </c>
      <c r="EH34" s="17">
        <v>0</v>
      </c>
      <c r="EI34" s="17">
        <v>0</v>
      </c>
      <c r="EJ34" s="17">
        <v>0</v>
      </c>
      <c r="EK34" s="17">
        <v>0</v>
      </c>
      <c r="EL34" s="17">
        <v>0</v>
      </c>
      <c r="EM34" s="17">
        <v>0</v>
      </c>
      <c r="EN34" s="17">
        <v>0</v>
      </c>
      <c r="EO34" s="17">
        <v>0</v>
      </c>
      <c r="EP34" s="17">
        <v>0</v>
      </c>
      <c r="EQ34" s="17">
        <v>0</v>
      </c>
      <c r="ER34" s="17">
        <v>0</v>
      </c>
      <c r="ES34" s="17">
        <v>0</v>
      </c>
      <c r="ET34" s="17">
        <v>0</v>
      </c>
      <c r="EU34" s="17">
        <v>0</v>
      </c>
      <c r="EV34" s="17">
        <v>0</v>
      </c>
      <c r="EW34" s="17">
        <v>0</v>
      </c>
      <c r="EX34" s="17">
        <v>0</v>
      </c>
      <c r="EY34" s="17">
        <v>0</v>
      </c>
      <c r="EZ34" s="17">
        <v>0</v>
      </c>
      <c r="FA34" s="17">
        <v>0</v>
      </c>
      <c r="FB34" s="17">
        <v>0</v>
      </c>
      <c r="FC34" s="17">
        <v>2.9000000000000001E-2</v>
      </c>
      <c r="FD34" s="17">
        <v>0</v>
      </c>
      <c r="FE34" s="17">
        <v>0</v>
      </c>
      <c r="FF34" s="17">
        <v>0</v>
      </c>
      <c r="FG34" s="17">
        <v>0</v>
      </c>
      <c r="FH34" s="17">
        <v>0</v>
      </c>
      <c r="FI34" s="17">
        <v>0</v>
      </c>
      <c r="FJ34" s="17">
        <v>0</v>
      </c>
      <c r="FK34" s="17">
        <v>0</v>
      </c>
      <c r="FL34" s="17">
        <v>0</v>
      </c>
      <c r="FM34" s="17">
        <v>0.13600000000000001</v>
      </c>
      <c r="FN34" s="17">
        <v>0</v>
      </c>
      <c r="FO34" s="17">
        <v>0.13300000000000001</v>
      </c>
      <c r="FP34" s="17">
        <v>0</v>
      </c>
      <c r="FQ34" s="17">
        <v>0</v>
      </c>
      <c r="FR34" s="17">
        <v>0</v>
      </c>
      <c r="FS34" s="17">
        <v>0</v>
      </c>
      <c r="FT34" s="17">
        <v>0</v>
      </c>
      <c r="FU34" s="17">
        <v>0</v>
      </c>
      <c r="FV34" s="17">
        <v>0</v>
      </c>
      <c r="FW34" s="17">
        <v>0</v>
      </c>
      <c r="FX34" s="17">
        <v>0</v>
      </c>
      <c r="FY34" s="17">
        <v>0</v>
      </c>
      <c r="FZ34" s="17">
        <v>0</v>
      </c>
      <c r="GA34" s="17">
        <v>0</v>
      </c>
      <c r="GB34" s="17">
        <v>0</v>
      </c>
      <c r="GC34" s="17">
        <v>0</v>
      </c>
      <c r="GD34" s="17">
        <v>0</v>
      </c>
      <c r="GE34" s="17">
        <v>0</v>
      </c>
      <c r="GF34" s="17">
        <v>0</v>
      </c>
      <c r="GG34" s="17">
        <v>0</v>
      </c>
      <c r="GH34" s="17">
        <v>0</v>
      </c>
      <c r="GI34" s="17">
        <v>0</v>
      </c>
      <c r="GJ34" s="17">
        <v>0</v>
      </c>
      <c r="GK34" s="17">
        <v>0</v>
      </c>
      <c r="GL34" s="17">
        <v>0</v>
      </c>
      <c r="GM34" s="17">
        <v>0</v>
      </c>
      <c r="GN34" s="17">
        <v>0</v>
      </c>
      <c r="GO34" s="17">
        <v>0</v>
      </c>
      <c r="GP34" s="17">
        <v>0</v>
      </c>
      <c r="GQ34" s="17">
        <v>0</v>
      </c>
      <c r="GR34" s="17">
        <v>0</v>
      </c>
      <c r="GS34" s="17">
        <v>0</v>
      </c>
      <c r="GT34" s="17">
        <v>0</v>
      </c>
      <c r="GU34" s="17">
        <v>0</v>
      </c>
      <c r="GV34" s="17">
        <v>0</v>
      </c>
      <c r="GW34" s="17">
        <v>0</v>
      </c>
      <c r="GX34" s="17">
        <v>0</v>
      </c>
      <c r="GY34" s="17">
        <v>0</v>
      </c>
      <c r="GZ34" s="17">
        <v>0</v>
      </c>
      <c r="HA34" s="17">
        <v>0</v>
      </c>
      <c r="HB34" s="17">
        <v>0</v>
      </c>
      <c r="HC34" s="17">
        <v>0</v>
      </c>
      <c r="HD34" s="17">
        <v>0</v>
      </c>
      <c r="HE34" s="17">
        <v>0</v>
      </c>
      <c r="HF34" s="17">
        <v>0</v>
      </c>
      <c r="HG34" s="17">
        <v>0</v>
      </c>
      <c r="HH34" s="17">
        <v>0</v>
      </c>
    </row>
    <row r="35" spans="1:216" x14ac:dyDescent="0.25">
      <c r="A35" s="8">
        <v>31</v>
      </c>
      <c r="B35" s="8">
        <v>15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1.381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0.872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0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0.73399999999999999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0.80500000000000005</v>
      </c>
      <c r="DE35" s="17">
        <v>0</v>
      </c>
      <c r="DF35" s="17">
        <v>0.56899999999999995</v>
      </c>
      <c r="DG35" s="17">
        <v>0</v>
      </c>
      <c r="DH35" s="17">
        <v>0</v>
      </c>
      <c r="DI35" s="17">
        <v>0</v>
      </c>
      <c r="DJ35" s="17">
        <v>0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0.95399999999999996</v>
      </c>
      <c r="DW35" s="17">
        <v>0</v>
      </c>
      <c r="DX35" s="17">
        <v>0</v>
      </c>
      <c r="DY35" s="17">
        <v>0</v>
      </c>
      <c r="DZ35" s="17">
        <v>0</v>
      </c>
      <c r="EA35" s="17">
        <v>0</v>
      </c>
      <c r="EB35" s="17">
        <v>0</v>
      </c>
      <c r="EC35" s="17">
        <v>0</v>
      </c>
      <c r="ED35" s="17">
        <v>0</v>
      </c>
      <c r="EE35" s="17">
        <v>0</v>
      </c>
      <c r="EF35" s="17">
        <v>0</v>
      </c>
      <c r="EG35" s="17">
        <v>0</v>
      </c>
      <c r="EH35" s="17">
        <v>0</v>
      </c>
      <c r="EI35" s="17">
        <v>0</v>
      </c>
      <c r="EJ35" s="17">
        <v>0</v>
      </c>
      <c r="EK35" s="17">
        <v>0</v>
      </c>
      <c r="EL35" s="17">
        <v>0</v>
      </c>
      <c r="EM35" s="17">
        <v>0</v>
      </c>
      <c r="EN35" s="17">
        <v>0</v>
      </c>
      <c r="EO35" s="17">
        <v>0</v>
      </c>
      <c r="EP35" s="17">
        <v>0</v>
      </c>
      <c r="EQ35" s="17">
        <v>0</v>
      </c>
      <c r="ER35" s="17">
        <v>0</v>
      </c>
      <c r="ES35" s="17">
        <v>0</v>
      </c>
      <c r="ET35" s="17">
        <v>0</v>
      </c>
      <c r="EU35" s="17">
        <v>0</v>
      </c>
      <c r="EV35" s="17">
        <v>0</v>
      </c>
      <c r="EW35" s="17">
        <v>0</v>
      </c>
      <c r="EX35" s="17">
        <v>0</v>
      </c>
      <c r="EY35" s="17">
        <v>0</v>
      </c>
      <c r="EZ35" s="17">
        <v>0</v>
      </c>
      <c r="FA35" s="17">
        <v>0</v>
      </c>
      <c r="FB35" s="17">
        <v>0</v>
      </c>
      <c r="FC35" s="17">
        <v>0</v>
      </c>
      <c r="FD35" s="17">
        <v>0</v>
      </c>
      <c r="FE35" s="17">
        <v>0</v>
      </c>
      <c r="FF35" s="17">
        <v>0</v>
      </c>
      <c r="FG35" s="17">
        <v>0</v>
      </c>
      <c r="FH35" s="17">
        <v>0</v>
      </c>
      <c r="FI35" s="17">
        <v>0</v>
      </c>
      <c r="FJ35" s="17">
        <v>0</v>
      </c>
      <c r="FK35" s="17">
        <v>0</v>
      </c>
      <c r="FL35" s="17">
        <v>0</v>
      </c>
      <c r="FM35" s="17">
        <v>0</v>
      </c>
      <c r="FN35" s="17">
        <v>0</v>
      </c>
      <c r="FO35" s="17">
        <v>0</v>
      </c>
      <c r="FP35" s="17">
        <v>0</v>
      </c>
      <c r="FQ35" s="17">
        <v>0</v>
      </c>
      <c r="FR35" s="17">
        <v>0</v>
      </c>
      <c r="FS35" s="17">
        <v>0</v>
      </c>
      <c r="FT35" s="17">
        <v>0</v>
      </c>
      <c r="FU35" s="17">
        <v>0</v>
      </c>
      <c r="FV35" s="17">
        <v>0</v>
      </c>
      <c r="FW35" s="17">
        <v>0</v>
      </c>
      <c r="FX35" s="17">
        <v>0</v>
      </c>
      <c r="FY35" s="17">
        <v>0</v>
      </c>
      <c r="FZ35" s="17">
        <v>0</v>
      </c>
      <c r="GA35" s="17">
        <v>0</v>
      </c>
      <c r="GB35" s="17">
        <v>0</v>
      </c>
      <c r="GC35" s="17">
        <v>0</v>
      </c>
      <c r="GD35" s="17">
        <v>0</v>
      </c>
      <c r="GE35" s="17">
        <v>0</v>
      </c>
      <c r="GF35" s="17">
        <v>0</v>
      </c>
      <c r="GG35" s="17">
        <v>0</v>
      </c>
      <c r="GH35" s="17">
        <v>0</v>
      </c>
      <c r="GI35" s="17">
        <v>0</v>
      </c>
      <c r="GJ35" s="17">
        <v>0</v>
      </c>
      <c r="GK35" s="17">
        <v>0</v>
      </c>
      <c r="GL35" s="17">
        <v>0</v>
      </c>
      <c r="GM35" s="17">
        <v>0</v>
      </c>
      <c r="GN35" s="17">
        <v>0</v>
      </c>
      <c r="GO35" s="17">
        <v>0</v>
      </c>
      <c r="GP35" s="17">
        <v>0</v>
      </c>
      <c r="GQ35" s="17">
        <v>0</v>
      </c>
      <c r="GR35" s="17">
        <v>0</v>
      </c>
      <c r="GS35" s="17">
        <v>0</v>
      </c>
      <c r="GT35" s="17">
        <v>0</v>
      </c>
      <c r="GU35" s="17">
        <v>0</v>
      </c>
      <c r="GV35" s="17">
        <v>0</v>
      </c>
      <c r="GW35" s="17">
        <v>0</v>
      </c>
      <c r="GX35" s="17">
        <v>0</v>
      </c>
      <c r="GY35" s="17">
        <v>0</v>
      </c>
      <c r="GZ35" s="17">
        <v>0</v>
      </c>
      <c r="HA35" s="17">
        <v>0</v>
      </c>
      <c r="HB35" s="17">
        <v>0</v>
      </c>
      <c r="HC35" s="17">
        <v>0</v>
      </c>
      <c r="HD35" s="17">
        <v>0</v>
      </c>
      <c r="HE35" s="17">
        <v>0</v>
      </c>
      <c r="HF35" s="17">
        <v>0</v>
      </c>
      <c r="HG35" s="17">
        <v>0</v>
      </c>
      <c r="HH35" s="17">
        <v>0</v>
      </c>
    </row>
    <row r="36" spans="1:216" x14ac:dyDescent="0.25">
      <c r="A36" s="8">
        <v>32</v>
      </c>
      <c r="B36" s="8">
        <v>15.5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0.64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0.82599999999999996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0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0.17199999999999999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0.54500000000000004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0.377</v>
      </c>
      <c r="DE36" s="17">
        <v>0</v>
      </c>
      <c r="DF36" s="17">
        <v>0.42399999999999999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0.81</v>
      </c>
      <c r="DW36" s="17">
        <v>0</v>
      </c>
      <c r="DX36" s="17">
        <v>0</v>
      </c>
      <c r="DY36" s="17">
        <v>0</v>
      </c>
      <c r="DZ36" s="17">
        <v>9.1999999999999998E-2</v>
      </c>
      <c r="EA36" s="17">
        <v>0</v>
      </c>
      <c r="EB36" s="17">
        <v>0</v>
      </c>
      <c r="EC36" s="17">
        <v>0</v>
      </c>
      <c r="ED36" s="17">
        <v>0</v>
      </c>
      <c r="EE36" s="17">
        <v>0</v>
      </c>
      <c r="EF36" s="17">
        <v>0</v>
      </c>
      <c r="EG36" s="17">
        <v>0</v>
      </c>
      <c r="EH36" s="17">
        <v>0</v>
      </c>
      <c r="EI36" s="17">
        <v>0</v>
      </c>
      <c r="EJ36" s="17">
        <v>0</v>
      </c>
      <c r="EK36" s="17">
        <v>0</v>
      </c>
      <c r="EL36" s="17">
        <v>0</v>
      </c>
      <c r="EM36" s="17">
        <v>0</v>
      </c>
      <c r="EN36" s="17">
        <v>0</v>
      </c>
      <c r="EO36" s="17">
        <v>0</v>
      </c>
      <c r="EP36" s="17">
        <v>0</v>
      </c>
      <c r="EQ36" s="17">
        <v>0</v>
      </c>
      <c r="ER36" s="17">
        <v>0</v>
      </c>
      <c r="ES36" s="17">
        <v>0</v>
      </c>
      <c r="ET36" s="17">
        <v>0</v>
      </c>
      <c r="EU36" s="17">
        <v>0</v>
      </c>
      <c r="EV36" s="17">
        <v>0</v>
      </c>
      <c r="EW36" s="17">
        <v>0</v>
      </c>
      <c r="EX36" s="17">
        <v>0</v>
      </c>
      <c r="EY36" s="17">
        <v>0</v>
      </c>
      <c r="EZ36" s="17">
        <v>0</v>
      </c>
      <c r="FA36" s="17">
        <v>0</v>
      </c>
      <c r="FB36" s="17">
        <v>0</v>
      </c>
      <c r="FC36" s="17">
        <v>0</v>
      </c>
      <c r="FD36" s="17">
        <v>0</v>
      </c>
      <c r="FE36" s="17">
        <v>0</v>
      </c>
      <c r="FF36" s="17">
        <v>0</v>
      </c>
      <c r="FG36" s="17">
        <v>0</v>
      </c>
      <c r="FH36" s="17">
        <v>0</v>
      </c>
      <c r="FI36" s="17">
        <v>0</v>
      </c>
      <c r="FJ36" s="17">
        <v>0</v>
      </c>
      <c r="FK36" s="17">
        <v>0</v>
      </c>
      <c r="FL36" s="17">
        <v>0</v>
      </c>
      <c r="FM36" s="17">
        <v>0</v>
      </c>
      <c r="FN36" s="17">
        <v>0</v>
      </c>
      <c r="FO36" s="17">
        <v>0</v>
      </c>
      <c r="FP36" s="17">
        <v>0</v>
      </c>
      <c r="FQ36" s="17">
        <v>0</v>
      </c>
      <c r="FR36" s="17">
        <v>0</v>
      </c>
      <c r="FS36" s="17">
        <v>0</v>
      </c>
      <c r="FT36" s="17">
        <v>0</v>
      </c>
      <c r="FU36" s="17">
        <v>0</v>
      </c>
      <c r="FV36" s="17">
        <v>0</v>
      </c>
      <c r="FW36" s="17">
        <v>0</v>
      </c>
      <c r="FX36" s="17">
        <v>0</v>
      </c>
      <c r="FY36" s="17">
        <v>0</v>
      </c>
      <c r="FZ36" s="17">
        <v>0</v>
      </c>
      <c r="GA36" s="17">
        <v>0</v>
      </c>
      <c r="GB36" s="17">
        <v>0</v>
      </c>
      <c r="GC36" s="17">
        <v>0</v>
      </c>
      <c r="GD36" s="17">
        <v>0</v>
      </c>
      <c r="GE36" s="17">
        <v>0</v>
      </c>
      <c r="GF36" s="17">
        <v>0</v>
      </c>
      <c r="GG36" s="17">
        <v>0</v>
      </c>
      <c r="GH36" s="17">
        <v>0</v>
      </c>
      <c r="GI36" s="17">
        <v>0</v>
      </c>
      <c r="GJ36" s="17">
        <v>0</v>
      </c>
      <c r="GK36" s="17">
        <v>0</v>
      </c>
      <c r="GL36" s="17">
        <v>0</v>
      </c>
      <c r="GM36" s="17">
        <v>0</v>
      </c>
      <c r="GN36" s="17">
        <v>0</v>
      </c>
      <c r="GO36" s="17">
        <v>0</v>
      </c>
      <c r="GP36" s="17">
        <v>0</v>
      </c>
      <c r="GQ36" s="17">
        <v>0</v>
      </c>
      <c r="GR36" s="17">
        <v>0</v>
      </c>
      <c r="GS36" s="17">
        <v>0</v>
      </c>
      <c r="GT36" s="17">
        <v>0</v>
      </c>
      <c r="GU36" s="17">
        <v>0</v>
      </c>
      <c r="GV36" s="17">
        <v>0</v>
      </c>
      <c r="GW36" s="17">
        <v>0</v>
      </c>
      <c r="GX36" s="17">
        <v>0</v>
      </c>
      <c r="GY36" s="17">
        <v>0</v>
      </c>
      <c r="GZ36" s="17">
        <v>0</v>
      </c>
      <c r="HA36" s="17">
        <v>0</v>
      </c>
      <c r="HB36" s="17">
        <v>0</v>
      </c>
      <c r="HC36" s="17">
        <v>0</v>
      </c>
      <c r="HD36" s="17">
        <v>0</v>
      </c>
      <c r="HE36" s="17">
        <v>0</v>
      </c>
      <c r="HF36" s="17">
        <v>0</v>
      </c>
      <c r="HG36" s="17">
        <v>0</v>
      </c>
      <c r="HH36" s="17">
        <v>0</v>
      </c>
    </row>
    <row r="37" spans="1:216" x14ac:dyDescent="0.25">
      <c r="A37" s="8">
        <v>33</v>
      </c>
      <c r="B37" s="8">
        <v>16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0.64400000000000002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6.6000000000000003E-2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</v>
      </c>
      <c r="CJ37" s="17">
        <v>0</v>
      </c>
      <c r="CK37" s="17">
        <v>0</v>
      </c>
      <c r="CL37" s="17">
        <v>0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0.57699999999999996</v>
      </c>
      <c r="CS37" s="17">
        <v>0</v>
      </c>
      <c r="CT37" s="17">
        <v>0</v>
      </c>
      <c r="CU37" s="17">
        <v>0</v>
      </c>
      <c r="CV37" s="17">
        <v>0</v>
      </c>
      <c r="CW37" s="17">
        <v>0</v>
      </c>
      <c r="CX37" s="17">
        <v>0</v>
      </c>
      <c r="CY37" s="17">
        <v>0</v>
      </c>
      <c r="CZ37" s="17">
        <v>0</v>
      </c>
      <c r="DA37" s="17">
        <v>0</v>
      </c>
      <c r="DB37" s="17">
        <v>0</v>
      </c>
      <c r="DC37" s="17">
        <v>0</v>
      </c>
      <c r="DD37" s="17">
        <v>7.5999999999999998E-2</v>
      </c>
      <c r="DE37" s="17">
        <v>0</v>
      </c>
      <c r="DF37" s="17">
        <v>0.43</v>
      </c>
      <c r="DG37" s="17">
        <v>0</v>
      </c>
      <c r="DH37" s="17">
        <v>0</v>
      </c>
      <c r="DI37" s="17">
        <v>0</v>
      </c>
      <c r="DJ37" s="17">
        <v>0</v>
      </c>
      <c r="DK37" s="17">
        <v>0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0.66800000000000004</v>
      </c>
      <c r="DW37" s="17">
        <v>0</v>
      </c>
      <c r="DX37" s="17">
        <v>0</v>
      </c>
      <c r="DY37" s="17">
        <v>0</v>
      </c>
      <c r="DZ37" s="17">
        <v>0.61</v>
      </c>
      <c r="EA37" s="17">
        <v>0</v>
      </c>
      <c r="EB37" s="17">
        <v>0</v>
      </c>
      <c r="EC37" s="17">
        <v>0</v>
      </c>
      <c r="ED37" s="17">
        <v>0</v>
      </c>
      <c r="EE37" s="17">
        <v>0</v>
      </c>
      <c r="EF37" s="17">
        <v>0</v>
      </c>
      <c r="EG37" s="17">
        <v>0</v>
      </c>
      <c r="EH37" s="17">
        <v>0</v>
      </c>
      <c r="EI37" s="17">
        <v>0</v>
      </c>
      <c r="EJ37" s="17">
        <v>0</v>
      </c>
      <c r="EK37" s="17">
        <v>0</v>
      </c>
      <c r="EL37" s="17">
        <v>0</v>
      </c>
      <c r="EM37" s="17">
        <v>0</v>
      </c>
      <c r="EN37" s="17">
        <v>0</v>
      </c>
      <c r="EO37" s="17">
        <v>0</v>
      </c>
      <c r="EP37" s="17">
        <v>0</v>
      </c>
      <c r="EQ37" s="17">
        <v>0</v>
      </c>
      <c r="ER37" s="17">
        <v>0</v>
      </c>
      <c r="ES37" s="17">
        <v>0</v>
      </c>
      <c r="ET37" s="17">
        <v>0</v>
      </c>
      <c r="EU37" s="17">
        <v>0</v>
      </c>
      <c r="EV37" s="17">
        <v>0</v>
      </c>
      <c r="EW37" s="17">
        <v>0</v>
      </c>
      <c r="EX37" s="17">
        <v>0</v>
      </c>
      <c r="EY37" s="17">
        <v>0</v>
      </c>
      <c r="EZ37" s="17">
        <v>0</v>
      </c>
      <c r="FA37" s="17">
        <v>0</v>
      </c>
      <c r="FB37" s="17">
        <v>0</v>
      </c>
      <c r="FC37" s="17">
        <v>0</v>
      </c>
      <c r="FD37" s="17">
        <v>0</v>
      </c>
      <c r="FE37" s="17">
        <v>0</v>
      </c>
      <c r="FF37" s="17">
        <v>0</v>
      </c>
      <c r="FG37" s="17">
        <v>4.8000000000000001E-2</v>
      </c>
      <c r="FH37" s="17">
        <v>0</v>
      </c>
      <c r="FI37" s="17">
        <v>0</v>
      </c>
      <c r="FJ37" s="17">
        <v>0</v>
      </c>
      <c r="FK37" s="17">
        <v>0</v>
      </c>
      <c r="FL37" s="17">
        <v>0</v>
      </c>
      <c r="FM37" s="17">
        <v>0</v>
      </c>
      <c r="FN37" s="17">
        <v>0</v>
      </c>
      <c r="FO37" s="17">
        <v>0.36099999999999999</v>
      </c>
      <c r="FP37" s="17">
        <v>0</v>
      </c>
      <c r="FQ37" s="17">
        <v>0</v>
      </c>
      <c r="FR37" s="17">
        <v>0</v>
      </c>
      <c r="FS37" s="17">
        <v>0</v>
      </c>
      <c r="FT37" s="17">
        <v>0</v>
      </c>
      <c r="FU37" s="17">
        <v>0</v>
      </c>
      <c r="FV37" s="17">
        <v>0</v>
      </c>
      <c r="FW37" s="17">
        <v>0</v>
      </c>
      <c r="FX37" s="17">
        <v>0</v>
      </c>
      <c r="FY37" s="17">
        <v>0</v>
      </c>
      <c r="FZ37" s="17">
        <v>0</v>
      </c>
      <c r="GA37" s="17">
        <v>6.0999999999999999E-2</v>
      </c>
      <c r="GB37" s="17">
        <v>0</v>
      </c>
      <c r="GC37" s="17">
        <v>0</v>
      </c>
      <c r="GD37" s="17">
        <v>0</v>
      </c>
      <c r="GE37" s="17">
        <v>0</v>
      </c>
      <c r="GF37" s="17">
        <v>0</v>
      </c>
      <c r="GG37" s="17">
        <v>0</v>
      </c>
      <c r="GH37" s="17">
        <v>0</v>
      </c>
      <c r="GI37" s="17">
        <v>0</v>
      </c>
      <c r="GJ37" s="17">
        <v>0</v>
      </c>
      <c r="GK37" s="17">
        <v>0</v>
      </c>
      <c r="GL37" s="17">
        <v>0</v>
      </c>
      <c r="GM37" s="17">
        <v>0</v>
      </c>
      <c r="GN37" s="17">
        <v>0</v>
      </c>
      <c r="GO37" s="17">
        <v>0</v>
      </c>
      <c r="GP37" s="17">
        <v>0</v>
      </c>
      <c r="GQ37" s="17">
        <v>0</v>
      </c>
      <c r="GR37" s="17">
        <v>0</v>
      </c>
      <c r="GS37" s="17">
        <v>0</v>
      </c>
      <c r="GT37" s="17">
        <v>0</v>
      </c>
      <c r="GU37" s="17">
        <v>0</v>
      </c>
      <c r="GV37" s="17">
        <v>0</v>
      </c>
      <c r="GW37" s="17">
        <v>0</v>
      </c>
      <c r="GX37" s="17">
        <v>0</v>
      </c>
      <c r="GY37" s="17">
        <v>0</v>
      </c>
      <c r="GZ37" s="17">
        <v>0</v>
      </c>
      <c r="HA37" s="17">
        <v>0</v>
      </c>
      <c r="HB37" s="17">
        <v>0</v>
      </c>
      <c r="HC37" s="17">
        <v>0</v>
      </c>
      <c r="HD37" s="17">
        <v>0</v>
      </c>
      <c r="HE37" s="17">
        <v>0</v>
      </c>
      <c r="HF37" s="17">
        <v>0</v>
      </c>
      <c r="HG37" s="17">
        <v>0</v>
      </c>
      <c r="HH37" s="17">
        <v>0</v>
      </c>
    </row>
    <row r="38" spans="1:216" x14ac:dyDescent="0.25">
      <c r="A38" s="8">
        <v>34</v>
      </c>
      <c r="B38" s="8">
        <v>16.5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0.16400000000000001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0.60299999999999998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</v>
      </c>
      <c r="BM38" s="17">
        <v>0</v>
      </c>
      <c r="BN38" s="17">
        <v>0</v>
      </c>
      <c r="BO38" s="17">
        <v>0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</v>
      </c>
      <c r="CJ38" s="17">
        <v>0</v>
      </c>
      <c r="CK38" s="17">
        <v>0</v>
      </c>
      <c r="CL38" s="17">
        <v>0.98799999999999999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0.47599999999999998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</v>
      </c>
      <c r="DB38" s="17">
        <v>0</v>
      </c>
      <c r="DC38" s="17">
        <v>0</v>
      </c>
      <c r="DD38" s="17">
        <v>0</v>
      </c>
      <c r="DE38" s="17">
        <v>0</v>
      </c>
      <c r="DF38" s="17">
        <v>0.29099999999999998</v>
      </c>
      <c r="DG38" s="17">
        <v>0</v>
      </c>
      <c r="DH38" s="17">
        <v>0</v>
      </c>
      <c r="DI38" s="17">
        <v>0</v>
      </c>
      <c r="DJ38" s="17">
        <v>0</v>
      </c>
      <c r="DK38" s="17">
        <v>0</v>
      </c>
      <c r="DL38" s="17">
        <v>0</v>
      </c>
      <c r="DM38" s="17">
        <v>0</v>
      </c>
      <c r="DN38" s="17">
        <v>0</v>
      </c>
      <c r="DO38" s="17">
        <v>0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0.64100000000000001</v>
      </c>
      <c r="DW38" s="17">
        <v>0</v>
      </c>
      <c r="DX38" s="17">
        <v>0</v>
      </c>
      <c r="DY38" s="17">
        <v>0</v>
      </c>
      <c r="DZ38" s="17">
        <v>9.0999999999999998E-2</v>
      </c>
      <c r="EA38" s="17">
        <v>0</v>
      </c>
      <c r="EB38" s="17">
        <v>0</v>
      </c>
      <c r="EC38" s="17">
        <v>0</v>
      </c>
      <c r="ED38" s="17">
        <v>0</v>
      </c>
      <c r="EE38" s="17">
        <v>0</v>
      </c>
      <c r="EF38" s="17">
        <v>0</v>
      </c>
      <c r="EG38" s="17">
        <v>0</v>
      </c>
      <c r="EH38" s="17">
        <v>0</v>
      </c>
      <c r="EI38" s="17">
        <v>0</v>
      </c>
      <c r="EJ38" s="17">
        <v>0</v>
      </c>
      <c r="EK38" s="17">
        <v>0</v>
      </c>
      <c r="EL38" s="17">
        <v>0</v>
      </c>
      <c r="EM38" s="17">
        <v>0</v>
      </c>
      <c r="EN38" s="17">
        <v>0</v>
      </c>
      <c r="EO38" s="17">
        <v>0</v>
      </c>
      <c r="EP38" s="17">
        <v>0</v>
      </c>
      <c r="EQ38" s="17">
        <v>0</v>
      </c>
      <c r="ER38" s="17">
        <v>0</v>
      </c>
      <c r="ES38" s="17">
        <v>0</v>
      </c>
      <c r="ET38" s="17">
        <v>0</v>
      </c>
      <c r="EU38" s="17">
        <v>0</v>
      </c>
      <c r="EV38" s="17">
        <v>0</v>
      </c>
      <c r="EW38" s="17">
        <v>0</v>
      </c>
      <c r="EX38" s="17">
        <v>0</v>
      </c>
      <c r="EY38" s="17">
        <v>0</v>
      </c>
      <c r="EZ38" s="17">
        <v>0</v>
      </c>
      <c r="FA38" s="17">
        <v>0</v>
      </c>
      <c r="FB38" s="17">
        <v>0</v>
      </c>
      <c r="FC38" s="17">
        <v>0</v>
      </c>
      <c r="FD38" s="17">
        <v>0</v>
      </c>
      <c r="FE38" s="17">
        <v>0</v>
      </c>
      <c r="FF38" s="17">
        <v>0</v>
      </c>
      <c r="FG38" s="17">
        <v>0</v>
      </c>
      <c r="FH38" s="17">
        <v>0</v>
      </c>
      <c r="FI38" s="17">
        <v>0</v>
      </c>
      <c r="FJ38" s="17">
        <v>1.1439999999999999</v>
      </c>
      <c r="FK38" s="17">
        <v>0</v>
      </c>
      <c r="FL38" s="17">
        <v>0</v>
      </c>
      <c r="FM38" s="17">
        <v>0</v>
      </c>
      <c r="FN38" s="17">
        <v>0</v>
      </c>
      <c r="FO38" s="17">
        <v>0</v>
      </c>
      <c r="FP38" s="17">
        <v>0</v>
      </c>
      <c r="FQ38" s="17">
        <v>0</v>
      </c>
      <c r="FR38" s="17">
        <v>0</v>
      </c>
      <c r="FS38" s="17">
        <v>0</v>
      </c>
      <c r="FT38" s="17">
        <v>0</v>
      </c>
      <c r="FU38" s="17">
        <v>0.505</v>
      </c>
      <c r="FV38" s="17">
        <v>0</v>
      </c>
      <c r="FW38" s="17">
        <v>0</v>
      </c>
      <c r="FX38" s="17">
        <v>0</v>
      </c>
      <c r="FY38" s="17">
        <v>0</v>
      </c>
      <c r="FZ38" s="17">
        <v>0</v>
      </c>
      <c r="GA38" s="17">
        <v>0</v>
      </c>
      <c r="GB38" s="17">
        <v>0</v>
      </c>
      <c r="GC38" s="17">
        <v>0</v>
      </c>
      <c r="GD38" s="17">
        <v>0</v>
      </c>
      <c r="GE38" s="17">
        <v>0</v>
      </c>
      <c r="GF38" s="17">
        <v>0</v>
      </c>
      <c r="GG38" s="17">
        <v>0</v>
      </c>
      <c r="GH38" s="17">
        <v>0</v>
      </c>
      <c r="GI38" s="17">
        <v>0</v>
      </c>
      <c r="GJ38" s="17">
        <v>0</v>
      </c>
      <c r="GK38" s="17">
        <v>0</v>
      </c>
      <c r="GL38" s="17">
        <v>0</v>
      </c>
      <c r="GM38" s="17">
        <v>0</v>
      </c>
      <c r="GN38" s="17">
        <v>0</v>
      </c>
      <c r="GO38" s="17">
        <v>0</v>
      </c>
      <c r="GP38" s="17">
        <v>0</v>
      </c>
      <c r="GQ38" s="17">
        <v>0</v>
      </c>
      <c r="GR38" s="17">
        <v>0</v>
      </c>
      <c r="GS38" s="17">
        <v>0</v>
      </c>
      <c r="GT38" s="17">
        <v>0</v>
      </c>
      <c r="GU38" s="17">
        <v>0</v>
      </c>
      <c r="GV38" s="17">
        <v>0</v>
      </c>
      <c r="GW38" s="17">
        <v>0</v>
      </c>
      <c r="GX38" s="17">
        <v>8.3000000000000004E-2</v>
      </c>
      <c r="GY38" s="17">
        <v>0</v>
      </c>
      <c r="GZ38" s="17">
        <v>0</v>
      </c>
      <c r="HA38" s="17">
        <v>0</v>
      </c>
      <c r="HB38" s="17">
        <v>0</v>
      </c>
      <c r="HC38" s="17">
        <v>0</v>
      </c>
      <c r="HD38" s="17">
        <v>0</v>
      </c>
      <c r="HE38" s="17">
        <v>0</v>
      </c>
      <c r="HF38" s="17">
        <v>1.0999999999999999E-2</v>
      </c>
      <c r="HG38" s="17">
        <v>0</v>
      </c>
      <c r="HH38" s="17">
        <v>0</v>
      </c>
    </row>
    <row r="39" spans="1:216" x14ac:dyDescent="0.25">
      <c r="A39" s="8">
        <v>35</v>
      </c>
      <c r="B39" s="8">
        <v>17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3.4000000000000002E-2</v>
      </c>
      <c r="U39" s="17">
        <v>0</v>
      </c>
      <c r="V39" s="17">
        <v>0</v>
      </c>
      <c r="W39" s="17">
        <v>0.38700000000000001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</v>
      </c>
      <c r="AL39" s="17">
        <v>0</v>
      </c>
      <c r="AM39" s="17">
        <v>0</v>
      </c>
      <c r="AN39" s="17">
        <v>0</v>
      </c>
      <c r="AO39" s="17">
        <v>0</v>
      </c>
      <c r="AP39" s="17">
        <v>0.36499999999999999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0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0.42599999999999999</v>
      </c>
      <c r="BM39" s="17">
        <v>0</v>
      </c>
      <c r="BN39" s="17">
        <v>0</v>
      </c>
      <c r="BO39" s="17">
        <v>0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</v>
      </c>
      <c r="CJ39" s="17">
        <v>0</v>
      </c>
      <c r="CK39" s="17">
        <v>2.5999999999999999E-2</v>
      </c>
      <c r="CL39" s="17">
        <v>0.13800000000000001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0.34200000000000003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0.89400000000000002</v>
      </c>
      <c r="DB39" s="17">
        <v>0</v>
      </c>
      <c r="DC39" s="17">
        <v>0</v>
      </c>
      <c r="DD39" s="17">
        <v>0</v>
      </c>
      <c r="DE39" s="17">
        <v>0</v>
      </c>
      <c r="DF39" s="17">
        <v>0</v>
      </c>
      <c r="DG39" s="17">
        <v>0</v>
      </c>
      <c r="DH39" s="17">
        <v>0</v>
      </c>
      <c r="DI39" s="17">
        <v>0</v>
      </c>
      <c r="DJ39" s="17">
        <v>0</v>
      </c>
      <c r="DK39" s="17">
        <v>0</v>
      </c>
      <c r="DL39" s="17">
        <v>0</v>
      </c>
      <c r="DM39" s="17">
        <v>0</v>
      </c>
      <c r="DN39" s="17">
        <v>0</v>
      </c>
      <c r="DO39" s="17">
        <v>0.27400000000000002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0.377</v>
      </c>
      <c r="DW39" s="17">
        <v>0</v>
      </c>
      <c r="DX39" s="17">
        <v>0</v>
      </c>
      <c r="DY39" s="17">
        <v>0</v>
      </c>
      <c r="DZ39" s="17">
        <v>0</v>
      </c>
      <c r="EA39" s="17">
        <v>0</v>
      </c>
      <c r="EB39" s="17">
        <v>0</v>
      </c>
      <c r="EC39" s="17">
        <v>0</v>
      </c>
      <c r="ED39" s="17">
        <v>0</v>
      </c>
      <c r="EE39" s="17">
        <v>0</v>
      </c>
      <c r="EF39" s="17">
        <v>0</v>
      </c>
      <c r="EG39" s="17">
        <v>0</v>
      </c>
      <c r="EH39" s="17">
        <v>0</v>
      </c>
      <c r="EI39" s="17">
        <v>0</v>
      </c>
      <c r="EJ39" s="17">
        <v>0</v>
      </c>
      <c r="EK39" s="17">
        <v>0</v>
      </c>
      <c r="EL39" s="17">
        <v>0</v>
      </c>
      <c r="EM39" s="17">
        <v>0</v>
      </c>
      <c r="EN39" s="17">
        <v>0</v>
      </c>
      <c r="EO39" s="17">
        <v>0</v>
      </c>
      <c r="EP39" s="17">
        <v>0</v>
      </c>
      <c r="EQ39" s="17">
        <v>0</v>
      </c>
      <c r="ER39" s="17">
        <v>0</v>
      </c>
      <c r="ES39" s="17">
        <v>0</v>
      </c>
      <c r="ET39" s="17">
        <v>0</v>
      </c>
      <c r="EU39" s="17">
        <v>0</v>
      </c>
      <c r="EV39" s="17">
        <v>0</v>
      </c>
      <c r="EW39" s="17">
        <v>0</v>
      </c>
      <c r="EX39" s="17">
        <v>0</v>
      </c>
      <c r="EY39" s="17">
        <v>0.315</v>
      </c>
      <c r="EZ39" s="17">
        <v>0</v>
      </c>
      <c r="FA39" s="17">
        <v>0</v>
      </c>
      <c r="FB39" s="17">
        <v>0</v>
      </c>
      <c r="FC39" s="17">
        <v>0</v>
      </c>
      <c r="FD39" s="17">
        <v>0</v>
      </c>
      <c r="FE39" s="17">
        <v>0</v>
      </c>
      <c r="FF39" s="17">
        <v>0</v>
      </c>
      <c r="FG39" s="17">
        <v>0</v>
      </c>
      <c r="FH39" s="17">
        <v>0</v>
      </c>
      <c r="FI39" s="17">
        <v>0</v>
      </c>
      <c r="FJ39" s="17">
        <v>0</v>
      </c>
      <c r="FK39" s="17">
        <v>0</v>
      </c>
      <c r="FL39" s="17">
        <v>0</v>
      </c>
      <c r="FM39" s="17">
        <v>0</v>
      </c>
      <c r="FN39" s="17">
        <v>0</v>
      </c>
      <c r="FO39" s="17">
        <v>0</v>
      </c>
      <c r="FP39" s="17">
        <v>0</v>
      </c>
      <c r="FQ39" s="17">
        <v>0</v>
      </c>
      <c r="FR39" s="17">
        <v>0</v>
      </c>
      <c r="FS39" s="17">
        <v>0</v>
      </c>
      <c r="FT39" s="17">
        <v>0</v>
      </c>
      <c r="FU39" s="17">
        <v>0</v>
      </c>
      <c r="FV39" s="17">
        <v>0</v>
      </c>
      <c r="FW39" s="17">
        <v>0</v>
      </c>
      <c r="FX39" s="17">
        <v>0</v>
      </c>
      <c r="FY39" s="17">
        <v>0</v>
      </c>
      <c r="FZ39" s="17">
        <v>0</v>
      </c>
      <c r="GA39" s="17">
        <v>0</v>
      </c>
      <c r="GB39" s="17">
        <v>0</v>
      </c>
      <c r="GC39" s="17">
        <v>2.7E-2</v>
      </c>
      <c r="GD39" s="17">
        <v>0</v>
      </c>
      <c r="GE39" s="17">
        <v>0</v>
      </c>
      <c r="GF39" s="17">
        <v>0</v>
      </c>
      <c r="GG39" s="17">
        <v>0</v>
      </c>
      <c r="GH39" s="17">
        <v>0</v>
      </c>
      <c r="GI39" s="17">
        <v>0</v>
      </c>
      <c r="GJ39" s="17">
        <v>0</v>
      </c>
      <c r="GK39" s="17">
        <v>0</v>
      </c>
      <c r="GL39" s="17">
        <v>0</v>
      </c>
      <c r="GM39" s="17">
        <v>0</v>
      </c>
      <c r="GN39" s="17">
        <v>0</v>
      </c>
      <c r="GO39" s="17">
        <v>0.70599999999999996</v>
      </c>
      <c r="GP39" s="17">
        <v>0</v>
      </c>
      <c r="GQ39" s="17">
        <v>0</v>
      </c>
      <c r="GR39" s="17">
        <v>0</v>
      </c>
      <c r="GS39" s="17">
        <v>0</v>
      </c>
      <c r="GT39" s="17">
        <v>0.64800000000000002</v>
      </c>
      <c r="GU39" s="17">
        <v>0</v>
      </c>
      <c r="GV39" s="17">
        <v>0</v>
      </c>
      <c r="GW39" s="17">
        <v>0</v>
      </c>
      <c r="GX39" s="17">
        <v>0</v>
      </c>
      <c r="GY39" s="17">
        <v>0</v>
      </c>
      <c r="GZ39" s="17">
        <v>0</v>
      </c>
      <c r="HA39" s="17">
        <v>0</v>
      </c>
      <c r="HB39" s="17">
        <v>0</v>
      </c>
      <c r="HC39" s="17">
        <v>0</v>
      </c>
      <c r="HD39" s="17">
        <v>0</v>
      </c>
      <c r="HE39" s="17">
        <v>0</v>
      </c>
      <c r="HF39" s="17">
        <v>0</v>
      </c>
      <c r="HG39" s="17">
        <v>0</v>
      </c>
      <c r="HH39" s="17">
        <v>0</v>
      </c>
    </row>
    <row r="40" spans="1:216" x14ac:dyDescent="0.25">
      <c r="A40" s="8">
        <v>36</v>
      </c>
      <c r="B40" s="8">
        <v>17.5</v>
      </c>
      <c r="C40" s="17">
        <v>0.48599999999999999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</v>
      </c>
      <c r="AL40" s="17">
        <v>0</v>
      </c>
      <c r="AM40" s="17">
        <v>0</v>
      </c>
      <c r="AN40" s="17">
        <v>0</v>
      </c>
      <c r="AO40" s="17">
        <v>0</v>
      </c>
      <c r="AP40" s="17">
        <v>0.377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1E-3</v>
      </c>
      <c r="AW40" s="17">
        <v>0</v>
      </c>
      <c r="AX40" s="17">
        <v>0</v>
      </c>
      <c r="AY40" s="17">
        <v>0</v>
      </c>
      <c r="AZ40" s="17">
        <v>0</v>
      </c>
      <c r="BA40" s="17">
        <v>0</v>
      </c>
      <c r="BB40" s="17">
        <v>0</v>
      </c>
      <c r="BC40" s="17">
        <v>0</v>
      </c>
      <c r="BD40" s="17">
        <v>0</v>
      </c>
      <c r="BE40" s="17">
        <v>0</v>
      </c>
      <c r="BF40" s="17">
        <v>0</v>
      </c>
      <c r="BG40" s="17">
        <v>0</v>
      </c>
      <c r="BH40" s="17">
        <v>0</v>
      </c>
      <c r="BI40" s="17">
        <v>0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0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0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0</v>
      </c>
      <c r="CI40" s="17">
        <v>0.38300000000000001</v>
      </c>
      <c r="CJ40" s="17">
        <v>0</v>
      </c>
      <c r="CK40" s="17">
        <v>0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0.22800000000000001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0.23499999999999999</v>
      </c>
      <c r="DB40" s="17">
        <v>0</v>
      </c>
      <c r="DC40" s="17">
        <v>0</v>
      </c>
      <c r="DD40" s="17">
        <v>0</v>
      </c>
      <c r="DE40" s="17">
        <v>0</v>
      </c>
      <c r="DF40" s="17">
        <v>0</v>
      </c>
      <c r="DG40" s="17">
        <v>0</v>
      </c>
      <c r="DH40" s="17">
        <v>0</v>
      </c>
      <c r="DI40" s="17">
        <v>0</v>
      </c>
      <c r="DJ40" s="17">
        <v>0</v>
      </c>
      <c r="DK40" s="17">
        <v>0.59399999999999997</v>
      </c>
      <c r="DL40" s="17">
        <v>0</v>
      </c>
      <c r="DM40" s="17">
        <v>0</v>
      </c>
      <c r="DN40" s="17">
        <v>0.65600000000000003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0.04</v>
      </c>
      <c r="DW40" s="17">
        <v>0</v>
      </c>
      <c r="DX40" s="17">
        <v>0</v>
      </c>
      <c r="DY40" s="17">
        <v>0</v>
      </c>
      <c r="DZ40" s="17">
        <v>0</v>
      </c>
      <c r="EA40" s="17">
        <v>0</v>
      </c>
      <c r="EB40" s="17">
        <v>0</v>
      </c>
      <c r="EC40" s="17">
        <v>0</v>
      </c>
      <c r="ED40" s="17">
        <v>0</v>
      </c>
      <c r="EE40" s="17">
        <v>0</v>
      </c>
      <c r="EF40" s="17">
        <v>0</v>
      </c>
      <c r="EG40" s="17">
        <v>0</v>
      </c>
      <c r="EH40" s="17">
        <v>0</v>
      </c>
      <c r="EI40" s="17">
        <v>0</v>
      </c>
      <c r="EJ40" s="17">
        <v>0</v>
      </c>
      <c r="EK40" s="17">
        <v>0</v>
      </c>
      <c r="EL40" s="17">
        <v>0</v>
      </c>
      <c r="EM40" s="17">
        <v>0</v>
      </c>
      <c r="EN40" s="17">
        <v>0</v>
      </c>
      <c r="EO40" s="17">
        <v>0</v>
      </c>
      <c r="EP40" s="17">
        <v>0</v>
      </c>
      <c r="EQ40" s="17">
        <v>0</v>
      </c>
      <c r="ER40" s="17">
        <v>0</v>
      </c>
      <c r="ES40" s="17">
        <v>0</v>
      </c>
      <c r="ET40" s="17">
        <v>0</v>
      </c>
      <c r="EU40" s="17">
        <v>0</v>
      </c>
      <c r="EV40" s="17">
        <v>0</v>
      </c>
      <c r="EW40" s="17">
        <v>0</v>
      </c>
      <c r="EX40" s="17">
        <v>0</v>
      </c>
      <c r="EY40" s="17">
        <v>0</v>
      </c>
      <c r="EZ40" s="17">
        <v>0</v>
      </c>
      <c r="FA40" s="17">
        <v>0.19600000000000001</v>
      </c>
      <c r="FB40" s="17">
        <v>0</v>
      </c>
      <c r="FC40" s="17">
        <v>0</v>
      </c>
      <c r="FD40" s="17">
        <v>0</v>
      </c>
      <c r="FE40" s="17">
        <v>0</v>
      </c>
      <c r="FF40" s="17">
        <v>0</v>
      </c>
      <c r="FG40" s="17">
        <v>0</v>
      </c>
      <c r="FH40" s="17">
        <v>0</v>
      </c>
      <c r="FI40" s="17">
        <v>0</v>
      </c>
      <c r="FJ40" s="17">
        <v>0</v>
      </c>
      <c r="FK40" s="17">
        <v>0</v>
      </c>
      <c r="FL40" s="17">
        <v>0</v>
      </c>
      <c r="FM40" s="17">
        <v>0</v>
      </c>
      <c r="FN40" s="17">
        <v>0</v>
      </c>
      <c r="FO40" s="17">
        <v>0</v>
      </c>
      <c r="FP40" s="17">
        <v>0</v>
      </c>
      <c r="FQ40" s="17">
        <v>0</v>
      </c>
      <c r="FR40" s="17">
        <v>0</v>
      </c>
      <c r="FS40" s="17">
        <v>0</v>
      </c>
      <c r="FT40" s="17">
        <v>0</v>
      </c>
      <c r="FU40" s="17">
        <v>0</v>
      </c>
      <c r="FV40" s="17">
        <v>0</v>
      </c>
      <c r="FW40" s="17">
        <v>0</v>
      </c>
      <c r="FX40" s="17">
        <v>0</v>
      </c>
      <c r="FY40" s="17">
        <v>0</v>
      </c>
      <c r="FZ40" s="17">
        <v>0</v>
      </c>
      <c r="GA40" s="17">
        <v>0</v>
      </c>
      <c r="GB40" s="17">
        <v>0</v>
      </c>
      <c r="GC40" s="17">
        <v>0</v>
      </c>
      <c r="GD40" s="17">
        <v>0</v>
      </c>
      <c r="GE40" s="17">
        <v>0</v>
      </c>
      <c r="GF40" s="17">
        <v>0</v>
      </c>
      <c r="GG40" s="17">
        <v>0</v>
      </c>
      <c r="GH40" s="17">
        <v>0</v>
      </c>
      <c r="GI40" s="17">
        <v>0</v>
      </c>
      <c r="GJ40" s="17">
        <v>0</v>
      </c>
      <c r="GK40" s="17">
        <v>0</v>
      </c>
      <c r="GL40" s="17">
        <v>0</v>
      </c>
      <c r="GM40" s="17">
        <v>0</v>
      </c>
      <c r="GN40" s="17">
        <v>0</v>
      </c>
      <c r="GO40" s="17">
        <v>0</v>
      </c>
      <c r="GP40" s="17">
        <v>0</v>
      </c>
      <c r="GQ40" s="17">
        <v>0</v>
      </c>
      <c r="GR40" s="17">
        <v>0</v>
      </c>
      <c r="GS40" s="17">
        <v>0</v>
      </c>
      <c r="GT40" s="17">
        <v>0.153</v>
      </c>
      <c r="GU40" s="17">
        <v>0</v>
      </c>
      <c r="GV40" s="17">
        <v>0</v>
      </c>
      <c r="GW40" s="17">
        <v>0</v>
      </c>
      <c r="GX40" s="17">
        <v>0</v>
      </c>
      <c r="GY40" s="17">
        <v>0</v>
      </c>
      <c r="GZ40" s="17">
        <v>0</v>
      </c>
      <c r="HA40" s="17">
        <v>0</v>
      </c>
      <c r="HB40" s="17">
        <v>0</v>
      </c>
      <c r="HC40" s="17">
        <v>0</v>
      </c>
      <c r="HD40" s="17">
        <v>0</v>
      </c>
      <c r="HE40" s="17">
        <v>0</v>
      </c>
      <c r="HF40" s="17">
        <v>0</v>
      </c>
      <c r="HG40" s="17">
        <v>0</v>
      </c>
      <c r="HH40" s="17">
        <v>0</v>
      </c>
    </row>
    <row r="41" spans="1:216" x14ac:dyDescent="0.25">
      <c r="A41" s="8">
        <v>37</v>
      </c>
      <c r="B41" s="8">
        <v>18</v>
      </c>
      <c r="C41" s="17">
        <v>0.193</v>
      </c>
      <c r="D41" s="17">
        <v>0</v>
      </c>
      <c r="E41" s="17">
        <v>0</v>
      </c>
      <c r="F41" s="17">
        <v>0.159</v>
      </c>
      <c r="G41" s="17">
        <v>0</v>
      </c>
      <c r="H41" s="17">
        <v>0</v>
      </c>
      <c r="I41" s="17">
        <v>0.193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0.16600000000000001</v>
      </c>
      <c r="AA41" s="17">
        <v>0</v>
      </c>
      <c r="AB41" s="17">
        <v>5.2999999999999999E-2</v>
      </c>
      <c r="AC41" s="17">
        <v>0</v>
      </c>
      <c r="AD41" s="17">
        <v>0.19900000000000001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7">
        <v>0.26400000000000001</v>
      </c>
      <c r="AO41" s="17">
        <v>0</v>
      </c>
      <c r="AP41" s="17">
        <v>0.222</v>
      </c>
      <c r="AQ41" s="17">
        <v>0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0</v>
      </c>
      <c r="AY41" s="17">
        <v>0</v>
      </c>
      <c r="AZ41" s="17">
        <v>0.10199999999999999</v>
      </c>
      <c r="BA41" s="17">
        <v>0</v>
      </c>
      <c r="BB41" s="17">
        <v>0</v>
      </c>
      <c r="BC41" s="17">
        <v>0</v>
      </c>
      <c r="BD41" s="17">
        <v>0</v>
      </c>
      <c r="BE41" s="17">
        <v>0</v>
      </c>
      <c r="BF41" s="17">
        <v>0</v>
      </c>
      <c r="BG41" s="17">
        <v>0</v>
      </c>
      <c r="BH41" s="17">
        <v>0</v>
      </c>
      <c r="BI41" s="17">
        <v>0</v>
      </c>
      <c r="BJ41" s="17">
        <v>0</v>
      </c>
      <c r="BK41" s="17">
        <v>0</v>
      </c>
      <c r="BL41" s="17">
        <v>0</v>
      </c>
      <c r="BM41" s="17">
        <v>0</v>
      </c>
      <c r="BN41" s="17">
        <v>0</v>
      </c>
      <c r="BO41" s="17">
        <v>0</v>
      </c>
      <c r="BP41" s="17">
        <v>0</v>
      </c>
      <c r="BQ41" s="17">
        <v>0</v>
      </c>
      <c r="BR41" s="17">
        <v>0</v>
      </c>
      <c r="BS41" s="17">
        <v>0</v>
      </c>
      <c r="BT41" s="17">
        <v>0</v>
      </c>
      <c r="BU41" s="17">
        <v>0</v>
      </c>
      <c r="BV41" s="17">
        <v>0</v>
      </c>
      <c r="BW41" s="17">
        <v>0</v>
      </c>
      <c r="BX41" s="17">
        <v>0</v>
      </c>
      <c r="BY41" s="17">
        <v>0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</v>
      </c>
      <c r="CG41" s="17">
        <v>0</v>
      </c>
      <c r="CH41" s="17">
        <v>2.1000000000000001E-2</v>
      </c>
      <c r="CI41" s="17">
        <v>0.35899999999999999</v>
      </c>
      <c r="CJ41" s="17">
        <v>0</v>
      </c>
      <c r="CK41" s="17">
        <v>0.18</v>
      </c>
      <c r="CL41" s="17">
        <v>0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0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0</v>
      </c>
      <c r="DA41" s="17">
        <v>0</v>
      </c>
      <c r="DB41" s="17">
        <v>0</v>
      </c>
      <c r="DC41" s="17">
        <v>0</v>
      </c>
      <c r="DD41" s="17">
        <v>0</v>
      </c>
      <c r="DE41" s="17">
        <v>0</v>
      </c>
      <c r="DF41" s="17">
        <v>0</v>
      </c>
      <c r="DG41" s="17">
        <v>0.378</v>
      </c>
      <c r="DH41" s="17">
        <v>0.14299999999999999</v>
      </c>
      <c r="DI41" s="17">
        <v>0</v>
      </c>
      <c r="DJ41" s="17">
        <v>0</v>
      </c>
      <c r="DK41" s="17">
        <v>0.48699999999999999</v>
      </c>
      <c r="DL41" s="17">
        <v>0</v>
      </c>
      <c r="DM41" s="17">
        <v>0</v>
      </c>
      <c r="DN41" s="17">
        <v>0.318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0</v>
      </c>
      <c r="DW41" s="17">
        <v>0.59199999999999997</v>
      </c>
      <c r="DX41" s="17">
        <v>0</v>
      </c>
      <c r="DY41" s="17">
        <v>0</v>
      </c>
      <c r="DZ41" s="17">
        <v>0</v>
      </c>
      <c r="EA41" s="17">
        <v>0</v>
      </c>
      <c r="EB41" s="17">
        <v>0</v>
      </c>
      <c r="EC41" s="17">
        <v>0</v>
      </c>
      <c r="ED41" s="17">
        <v>0</v>
      </c>
      <c r="EE41" s="17">
        <v>0.28899999999999998</v>
      </c>
      <c r="EF41" s="17">
        <v>0</v>
      </c>
      <c r="EG41" s="17">
        <v>0.875</v>
      </c>
      <c r="EH41" s="17">
        <v>0</v>
      </c>
      <c r="EI41" s="17">
        <v>0</v>
      </c>
      <c r="EJ41" s="17">
        <v>0</v>
      </c>
      <c r="EK41" s="17">
        <v>0</v>
      </c>
      <c r="EL41" s="17">
        <v>0.79800000000000004</v>
      </c>
      <c r="EM41" s="17">
        <v>0</v>
      </c>
      <c r="EN41" s="17">
        <v>0</v>
      </c>
      <c r="EO41" s="17">
        <v>0</v>
      </c>
      <c r="EP41" s="17">
        <v>0</v>
      </c>
      <c r="EQ41" s="17">
        <v>0</v>
      </c>
      <c r="ER41" s="17">
        <v>0</v>
      </c>
      <c r="ES41" s="17">
        <v>0</v>
      </c>
      <c r="ET41" s="17">
        <v>0</v>
      </c>
      <c r="EU41" s="17">
        <v>0</v>
      </c>
      <c r="EV41" s="17">
        <v>0</v>
      </c>
      <c r="EW41" s="17">
        <v>0</v>
      </c>
      <c r="EX41" s="17">
        <v>0</v>
      </c>
      <c r="EY41" s="17">
        <v>0</v>
      </c>
      <c r="EZ41" s="17">
        <v>0</v>
      </c>
      <c r="FA41" s="17">
        <v>0</v>
      </c>
      <c r="FB41" s="17">
        <v>0</v>
      </c>
      <c r="FC41" s="17">
        <v>0</v>
      </c>
      <c r="FD41" s="17">
        <v>0</v>
      </c>
      <c r="FE41" s="17">
        <v>0</v>
      </c>
      <c r="FF41" s="17">
        <v>0.17699999999999999</v>
      </c>
      <c r="FG41" s="17">
        <v>0</v>
      </c>
      <c r="FH41" s="17">
        <v>0.40400000000000003</v>
      </c>
      <c r="FI41" s="17">
        <v>0.53100000000000003</v>
      </c>
      <c r="FJ41" s="17">
        <v>0.57999999999999996</v>
      </c>
      <c r="FK41" s="17">
        <v>0</v>
      </c>
      <c r="FL41" s="17">
        <v>0</v>
      </c>
      <c r="FM41" s="17">
        <v>0</v>
      </c>
      <c r="FN41" s="17">
        <v>0</v>
      </c>
      <c r="FO41" s="17">
        <v>0</v>
      </c>
      <c r="FP41" s="17">
        <v>0</v>
      </c>
      <c r="FQ41" s="17">
        <v>0</v>
      </c>
      <c r="FR41" s="17">
        <v>0</v>
      </c>
      <c r="FS41" s="17">
        <v>0</v>
      </c>
      <c r="FT41" s="17">
        <v>0</v>
      </c>
      <c r="FU41" s="17">
        <v>0</v>
      </c>
      <c r="FV41" s="17">
        <v>0</v>
      </c>
      <c r="FW41" s="17">
        <v>0</v>
      </c>
      <c r="FX41" s="17">
        <v>0</v>
      </c>
      <c r="FY41" s="17">
        <v>0</v>
      </c>
      <c r="FZ41" s="17">
        <v>0</v>
      </c>
      <c r="GA41" s="17">
        <v>0.10199999999999999</v>
      </c>
      <c r="GB41" s="17">
        <v>0</v>
      </c>
      <c r="GC41" s="17">
        <v>0</v>
      </c>
      <c r="GD41" s="17">
        <v>0</v>
      </c>
      <c r="GE41" s="17">
        <v>0</v>
      </c>
      <c r="GF41" s="17">
        <v>0</v>
      </c>
      <c r="GG41" s="17">
        <v>0</v>
      </c>
      <c r="GH41" s="17">
        <v>0</v>
      </c>
      <c r="GI41" s="17">
        <v>2.1000000000000001E-2</v>
      </c>
      <c r="GJ41" s="17">
        <v>0</v>
      </c>
      <c r="GK41" s="17">
        <v>0</v>
      </c>
      <c r="GL41" s="17">
        <v>0</v>
      </c>
      <c r="GM41" s="17">
        <v>0</v>
      </c>
      <c r="GN41" s="17">
        <v>0</v>
      </c>
      <c r="GO41" s="17">
        <v>0</v>
      </c>
      <c r="GP41" s="17">
        <v>0</v>
      </c>
      <c r="GQ41" s="17">
        <v>0</v>
      </c>
      <c r="GR41" s="17">
        <v>0</v>
      </c>
      <c r="GS41" s="17">
        <v>0</v>
      </c>
      <c r="GT41" s="17">
        <v>0</v>
      </c>
      <c r="GU41" s="17">
        <v>0</v>
      </c>
      <c r="GV41" s="17">
        <v>0</v>
      </c>
      <c r="GW41" s="17">
        <v>0</v>
      </c>
      <c r="GX41" s="17">
        <v>0</v>
      </c>
      <c r="GY41" s="17">
        <v>0</v>
      </c>
      <c r="GZ41" s="17">
        <v>0</v>
      </c>
      <c r="HA41" s="17">
        <v>0</v>
      </c>
      <c r="HB41" s="17">
        <v>0</v>
      </c>
      <c r="HC41" s="17">
        <v>0</v>
      </c>
      <c r="HD41" s="17">
        <v>0</v>
      </c>
      <c r="HE41" s="17">
        <v>0</v>
      </c>
      <c r="HF41" s="17">
        <v>0</v>
      </c>
      <c r="HG41" s="17">
        <v>0</v>
      </c>
      <c r="HH41" s="17">
        <v>0</v>
      </c>
    </row>
    <row r="42" spans="1:216" x14ac:dyDescent="0.25">
      <c r="A42" s="8">
        <v>38</v>
      </c>
      <c r="B42" s="8">
        <v>18.5</v>
      </c>
      <c r="C42" s="17">
        <v>0</v>
      </c>
      <c r="D42" s="17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0.17599999999999999</v>
      </c>
      <c r="AC42" s="17">
        <v>0</v>
      </c>
      <c r="AD42" s="17">
        <v>0</v>
      </c>
      <c r="AE42" s="17">
        <v>0</v>
      </c>
      <c r="AF42" s="17">
        <v>0</v>
      </c>
      <c r="AG42" s="17">
        <v>0</v>
      </c>
      <c r="AH42" s="17">
        <v>0</v>
      </c>
      <c r="AI42" s="17">
        <v>0</v>
      </c>
      <c r="AJ42" s="17">
        <v>0</v>
      </c>
      <c r="AK42" s="17">
        <v>0</v>
      </c>
      <c r="AL42" s="17">
        <v>0</v>
      </c>
      <c r="AM42" s="17">
        <v>0</v>
      </c>
      <c r="AN42" s="17">
        <v>0</v>
      </c>
      <c r="AO42" s="17">
        <v>0</v>
      </c>
      <c r="AP42" s="17">
        <v>0.16800000000000001</v>
      </c>
      <c r="AQ42" s="17">
        <v>1.4E-2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4.0000000000000001E-3</v>
      </c>
      <c r="AY42" s="17">
        <v>0</v>
      </c>
      <c r="AZ42" s="17">
        <v>0</v>
      </c>
      <c r="BA42" s="17">
        <v>0</v>
      </c>
      <c r="BB42" s="17">
        <v>0</v>
      </c>
      <c r="BC42" s="17">
        <v>0.115</v>
      </c>
      <c r="BD42" s="17">
        <v>0.14799999999999999</v>
      </c>
      <c r="BE42" s="17">
        <v>0</v>
      </c>
      <c r="BF42" s="17">
        <v>0</v>
      </c>
      <c r="BG42" s="17">
        <v>0</v>
      </c>
      <c r="BH42" s="17">
        <v>0</v>
      </c>
      <c r="BI42" s="17">
        <v>0</v>
      </c>
      <c r="BJ42" s="17">
        <v>0</v>
      </c>
      <c r="BK42" s="17">
        <v>0</v>
      </c>
      <c r="BL42" s="17">
        <v>0</v>
      </c>
      <c r="BM42" s="17">
        <v>0</v>
      </c>
      <c r="BN42" s="17">
        <v>0</v>
      </c>
      <c r="BO42" s="17">
        <v>0</v>
      </c>
      <c r="BP42" s="17">
        <v>0</v>
      </c>
      <c r="BQ42" s="17">
        <v>0</v>
      </c>
      <c r="BR42" s="17">
        <v>0</v>
      </c>
      <c r="BS42" s="17">
        <v>0</v>
      </c>
      <c r="BT42" s="17">
        <v>0.249</v>
      </c>
      <c r="BU42" s="17">
        <v>0</v>
      </c>
      <c r="BV42" s="17">
        <v>0.17100000000000001</v>
      </c>
      <c r="BW42" s="17">
        <v>0</v>
      </c>
      <c r="BX42" s="17">
        <v>0</v>
      </c>
      <c r="BY42" s="17">
        <v>0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</v>
      </c>
      <c r="CG42" s="17">
        <v>0</v>
      </c>
      <c r="CH42" s="17">
        <v>0</v>
      </c>
      <c r="CI42" s="17">
        <v>0.32</v>
      </c>
      <c r="CJ42" s="17">
        <v>0</v>
      </c>
      <c r="CK42" s="17">
        <v>0</v>
      </c>
      <c r="CL42" s="17">
        <v>9.2999999999999999E-2</v>
      </c>
      <c r="CM42" s="17">
        <v>0</v>
      </c>
      <c r="CN42" s="17">
        <v>0</v>
      </c>
      <c r="CO42" s="17">
        <v>0</v>
      </c>
      <c r="CP42" s="17">
        <v>0</v>
      </c>
      <c r="CQ42" s="17">
        <v>0</v>
      </c>
      <c r="CR42" s="17">
        <v>1E-3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0</v>
      </c>
      <c r="CZ42" s="17">
        <v>0</v>
      </c>
      <c r="DA42" s="17">
        <v>0</v>
      </c>
      <c r="DB42" s="17">
        <v>0</v>
      </c>
      <c r="DC42" s="17">
        <v>0</v>
      </c>
      <c r="DD42" s="17">
        <v>0</v>
      </c>
      <c r="DE42" s="17">
        <v>0</v>
      </c>
      <c r="DF42" s="17">
        <v>0</v>
      </c>
      <c r="DG42" s="17">
        <v>0</v>
      </c>
      <c r="DH42" s="17">
        <v>0</v>
      </c>
      <c r="DI42" s="17">
        <v>0</v>
      </c>
      <c r="DJ42" s="17">
        <v>0</v>
      </c>
      <c r="DK42" s="17">
        <v>0.26800000000000002</v>
      </c>
      <c r="DL42" s="17">
        <v>0</v>
      </c>
      <c r="DM42" s="17">
        <v>0</v>
      </c>
      <c r="DN42" s="17">
        <v>0.16700000000000001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0</v>
      </c>
      <c r="DV42" s="17">
        <v>0</v>
      </c>
      <c r="DW42" s="17">
        <v>0</v>
      </c>
      <c r="DX42" s="17">
        <v>0.217</v>
      </c>
      <c r="DY42" s="17">
        <v>0</v>
      </c>
      <c r="DZ42" s="17">
        <v>0</v>
      </c>
      <c r="EA42" s="17">
        <v>0</v>
      </c>
      <c r="EB42" s="17">
        <v>0</v>
      </c>
      <c r="EC42" s="17">
        <v>0</v>
      </c>
      <c r="ED42" s="17">
        <v>0</v>
      </c>
      <c r="EE42" s="17">
        <v>0.34499999999999997</v>
      </c>
      <c r="EF42" s="17">
        <v>0</v>
      </c>
      <c r="EG42" s="17">
        <v>0.42399999999999999</v>
      </c>
      <c r="EH42" s="17">
        <v>0</v>
      </c>
      <c r="EI42" s="17">
        <v>0</v>
      </c>
      <c r="EJ42" s="17">
        <v>0</v>
      </c>
      <c r="EK42" s="17">
        <v>0</v>
      </c>
      <c r="EL42" s="17">
        <v>0</v>
      </c>
      <c r="EM42" s="17">
        <v>0</v>
      </c>
      <c r="EN42" s="17">
        <v>0</v>
      </c>
      <c r="EO42" s="17">
        <v>0</v>
      </c>
      <c r="EP42" s="17">
        <v>0</v>
      </c>
      <c r="EQ42" s="17">
        <v>0</v>
      </c>
      <c r="ER42" s="17">
        <v>0</v>
      </c>
      <c r="ES42" s="17">
        <v>0</v>
      </c>
      <c r="ET42" s="17">
        <v>0</v>
      </c>
      <c r="EU42" s="17">
        <v>0</v>
      </c>
      <c r="EV42" s="17">
        <v>0</v>
      </c>
      <c r="EW42" s="17">
        <v>0</v>
      </c>
      <c r="EX42" s="17">
        <v>0</v>
      </c>
      <c r="EY42" s="17">
        <v>0</v>
      </c>
      <c r="EZ42" s="17">
        <v>0</v>
      </c>
      <c r="FA42" s="17">
        <v>0</v>
      </c>
      <c r="FB42" s="17">
        <v>0</v>
      </c>
      <c r="FC42" s="17">
        <v>0</v>
      </c>
      <c r="FD42" s="17">
        <v>0</v>
      </c>
      <c r="FE42" s="17">
        <v>0</v>
      </c>
      <c r="FF42" s="17">
        <v>0</v>
      </c>
      <c r="FG42" s="17">
        <v>0</v>
      </c>
      <c r="FH42" s="17">
        <v>0.26800000000000002</v>
      </c>
      <c r="FI42" s="17">
        <v>0.45700000000000002</v>
      </c>
      <c r="FJ42" s="17">
        <v>0.317</v>
      </c>
      <c r="FK42" s="17">
        <v>0</v>
      </c>
      <c r="FL42" s="17">
        <v>0</v>
      </c>
      <c r="FM42" s="17">
        <v>0</v>
      </c>
      <c r="FN42" s="17">
        <v>0</v>
      </c>
      <c r="FO42" s="17">
        <v>0</v>
      </c>
      <c r="FP42" s="17">
        <v>0</v>
      </c>
      <c r="FQ42" s="17">
        <v>0</v>
      </c>
      <c r="FR42" s="17">
        <v>0</v>
      </c>
      <c r="FS42" s="17">
        <v>0</v>
      </c>
      <c r="FT42" s="17">
        <v>0</v>
      </c>
      <c r="FU42" s="17">
        <v>0</v>
      </c>
      <c r="FV42" s="17">
        <v>0</v>
      </c>
      <c r="FW42" s="17">
        <v>0.36799999999999999</v>
      </c>
      <c r="FX42" s="17">
        <v>0</v>
      </c>
      <c r="FY42" s="17">
        <v>1.7999999999999999E-2</v>
      </c>
      <c r="FZ42" s="17">
        <v>0</v>
      </c>
      <c r="GA42" s="17">
        <v>0</v>
      </c>
      <c r="GB42" s="17">
        <v>0</v>
      </c>
      <c r="GC42" s="17">
        <v>0</v>
      </c>
      <c r="GD42" s="17">
        <v>0</v>
      </c>
      <c r="GE42" s="17">
        <v>0</v>
      </c>
      <c r="GF42" s="17">
        <v>0</v>
      </c>
      <c r="GG42" s="17">
        <v>0</v>
      </c>
      <c r="GH42" s="17">
        <v>0</v>
      </c>
      <c r="GI42" s="17">
        <v>0</v>
      </c>
      <c r="GJ42" s="17">
        <v>0</v>
      </c>
      <c r="GK42" s="17">
        <v>0</v>
      </c>
      <c r="GL42" s="17">
        <v>0</v>
      </c>
      <c r="GM42" s="17">
        <v>0</v>
      </c>
      <c r="GN42" s="17">
        <v>0</v>
      </c>
      <c r="GO42" s="17">
        <v>0.13400000000000001</v>
      </c>
      <c r="GP42" s="17">
        <v>0</v>
      </c>
      <c r="GQ42" s="17">
        <v>0</v>
      </c>
      <c r="GR42" s="17">
        <v>0</v>
      </c>
      <c r="GS42" s="17">
        <v>0</v>
      </c>
      <c r="GT42" s="17">
        <v>0</v>
      </c>
      <c r="GU42" s="17">
        <v>0</v>
      </c>
      <c r="GV42" s="17">
        <v>0</v>
      </c>
      <c r="GW42" s="17">
        <v>0</v>
      </c>
      <c r="GX42" s="17">
        <v>0</v>
      </c>
      <c r="GY42" s="17">
        <v>0</v>
      </c>
      <c r="GZ42" s="17">
        <v>0</v>
      </c>
      <c r="HA42" s="17">
        <v>0</v>
      </c>
      <c r="HB42" s="17">
        <v>0.14199999999999999</v>
      </c>
      <c r="HC42" s="17">
        <v>0</v>
      </c>
      <c r="HD42" s="17">
        <v>0</v>
      </c>
      <c r="HE42" s="17">
        <v>0</v>
      </c>
      <c r="HF42" s="17">
        <v>0.54600000000000004</v>
      </c>
      <c r="HG42" s="17">
        <v>0</v>
      </c>
      <c r="HH42" s="17">
        <v>0</v>
      </c>
    </row>
    <row r="43" spans="1:216" x14ac:dyDescent="0.25">
      <c r="A43" s="8">
        <v>39</v>
      </c>
      <c r="B43" s="8">
        <v>19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0.17699999999999999</v>
      </c>
      <c r="AB43" s="17">
        <v>7.0000000000000007E-2</v>
      </c>
      <c r="AC43" s="17">
        <v>0</v>
      </c>
      <c r="AD43" s="17">
        <v>0</v>
      </c>
      <c r="AE43" s="17">
        <v>0</v>
      </c>
      <c r="AF43" s="17">
        <v>0</v>
      </c>
      <c r="AG43" s="17">
        <v>0</v>
      </c>
      <c r="AH43" s="17">
        <v>0</v>
      </c>
      <c r="AI43" s="17">
        <v>0</v>
      </c>
      <c r="AJ43" s="17">
        <v>0</v>
      </c>
      <c r="AK43" s="17">
        <v>0</v>
      </c>
      <c r="AL43" s="17">
        <v>0</v>
      </c>
      <c r="AM43" s="17">
        <v>0</v>
      </c>
      <c r="AN43" s="17">
        <v>0</v>
      </c>
      <c r="AO43" s="17">
        <v>0</v>
      </c>
      <c r="AP43" s="17">
        <v>0.05</v>
      </c>
      <c r="AQ43" s="17">
        <v>0</v>
      </c>
      <c r="AR43" s="17">
        <v>0</v>
      </c>
      <c r="AS43" s="17">
        <v>0</v>
      </c>
      <c r="AT43" s="17">
        <v>0</v>
      </c>
      <c r="AU43" s="17">
        <v>0</v>
      </c>
      <c r="AV43" s="17">
        <v>0</v>
      </c>
      <c r="AW43" s="17">
        <v>0</v>
      </c>
      <c r="AX43" s="17">
        <v>0</v>
      </c>
      <c r="AY43" s="17">
        <v>0</v>
      </c>
      <c r="AZ43" s="17">
        <v>5.0000000000000001E-3</v>
      </c>
      <c r="BA43" s="17">
        <v>0</v>
      </c>
      <c r="BB43" s="17">
        <v>0</v>
      </c>
      <c r="BC43" s="17">
        <v>0</v>
      </c>
      <c r="BD43" s="17">
        <v>0.154</v>
      </c>
      <c r="BE43" s="17">
        <v>0.06</v>
      </c>
      <c r="BF43" s="17">
        <v>0</v>
      </c>
      <c r="BG43" s="17">
        <v>0</v>
      </c>
      <c r="BH43" s="17">
        <v>0</v>
      </c>
      <c r="BI43" s="17">
        <v>0</v>
      </c>
      <c r="BJ43" s="17">
        <v>0</v>
      </c>
      <c r="BK43" s="17">
        <v>0</v>
      </c>
      <c r="BL43" s="17">
        <v>0</v>
      </c>
      <c r="BM43" s="17">
        <v>0</v>
      </c>
      <c r="BN43" s="17">
        <v>0</v>
      </c>
      <c r="BO43" s="17">
        <v>7.0999999999999994E-2</v>
      </c>
      <c r="BP43" s="17">
        <v>0</v>
      </c>
      <c r="BQ43" s="17">
        <v>0</v>
      </c>
      <c r="BR43" s="17">
        <v>0</v>
      </c>
      <c r="BS43" s="17">
        <v>0</v>
      </c>
      <c r="BT43" s="17">
        <v>0.111</v>
      </c>
      <c r="BU43" s="17">
        <v>0</v>
      </c>
      <c r="BV43" s="17">
        <v>0</v>
      </c>
      <c r="BW43" s="17">
        <v>0</v>
      </c>
      <c r="BX43" s="17">
        <v>0</v>
      </c>
      <c r="BY43" s="17">
        <v>0</v>
      </c>
      <c r="BZ43" s="17">
        <v>0</v>
      </c>
      <c r="CA43" s="17">
        <v>0</v>
      </c>
      <c r="CB43" s="17">
        <v>0</v>
      </c>
      <c r="CC43" s="17">
        <v>0</v>
      </c>
      <c r="CD43" s="17">
        <v>0</v>
      </c>
      <c r="CE43" s="17">
        <v>0</v>
      </c>
      <c r="CF43" s="17">
        <v>0</v>
      </c>
      <c r="CG43" s="17">
        <v>0</v>
      </c>
      <c r="CH43" s="17">
        <v>0</v>
      </c>
      <c r="CI43" s="17">
        <v>1.6E-2</v>
      </c>
      <c r="CJ43" s="17">
        <v>0</v>
      </c>
      <c r="CK43" s="17">
        <v>0</v>
      </c>
      <c r="CL43" s="17">
        <v>0</v>
      </c>
      <c r="CM43" s="17">
        <v>0</v>
      </c>
      <c r="CN43" s="17">
        <v>0</v>
      </c>
      <c r="CO43" s="17">
        <v>0</v>
      </c>
      <c r="CP43" s="17">
        <v>0</v>
      </c>
      <c r="CQ43" s="17">
        <v>0</v>
      </c>
      <c r="CR43" s="17">
        <v>0</v>
      </c>
      <c r="CS43" s="17">
        <v>0</v>
      </c>
      <c r="CT43" s="17">
        <v>0</v>
      </c>
      <c r="CU43" s="17">
        <v>0</v>
      </c>
      <c r="CV43" s="17">
        <v>0</v>
      </c>
      <c r="CW43" s="17">
        <v>0</v>
      </c>
      <c r="CX43" s="17">
        <v>0</v>
      </c>
      <c r="CY43" s="17">
        <v>0</v>
      </c>
      <c r="CZ43" s="17">
        <v>0</v>
      </c>
      <c r="DA43" s="17">
        <v>0</v>
      </c>
      <c r="DB43" s="17">
        <v>0</v>
      </c>
      <c r="DC43" s="17">
        <v>0</v>
      </c>
      <c r="DD43" s="17">
        <v>0</v>
      </c>
      <c r="DE43" s="17">
        <v>0</v>
      </c>
      <c r="DF43" s="17">
        <v>0</v>
      </c>
      <c r="DG43" s="17">
        <v>1.2999999999999999E-2</v>
      </c>
      <c r="DH43" s="17">
        <v>0</v>
      </c>
      <c r="DI43" s="17">
        <v>0</v>
      </c>
      <c r="DJ43" s="17">
        <v>0</v>
      </c>
      <c r="DK43" s="17">
        <v>0</v>
      </c>
      <c r="DL43" s="17">
        <v>0.17100000000000001</v>
      </c>
      <c r="DM43" s="17">
        <v>0</v>
      </c>
      <c r="DN43" s="17">
        <v>0</v>
      </c>
      <c r="DO43" s="17">
        <v>0</v>
      </c>
      <c r="DP43" s="17">
        <v>0</v>
      </c>
      <c r="DQ43" s="17">
        <v>0</v>
      </c>
      <c r="DR43" s="17">
        <v>0</v>
      </c>
      <c r="DS43" s="17">
        <v>0</v>
      </c>
      <c r="DT43" s="17">
        <v>0</v>
      </c>
      <c r="DU43" s="17">
        <v>0</v>
      </c>
      <c r="DV43" s="17">
        <v>0</v>
      </c>
      <c r="DW43" s="17">
        <v>0</v>
      </c>
      <c r="DX43" s="17">
        <v>0</v>
      </c>
      <c r="DY43" s="17">
        <v>0</v>
      </c>
      <c r="DZ43" s="17">
        <v>0</v>
      </c>
      <c r="EA43" s="17">
        <v>0</v>
      </c>
      <c r="EB43" s="17">
        <v>0</v>
      </c>
      <c r="EC43" s="17">
        <v>0</v>
      </c>
      <c r="ED43" s="17">
        <v>0</v>
      </c>
      <c r="EE43" s="17">
        <v>0</v>
      </c>
      <c r="EF43" s="17">
        <v>0</v>
      </c>
      <c r="EG43" s="17">
        <v>0.151</v>
      </c>
      <c r="EH43" s="17">
        <v>0</v>
      </c>
      <c r="EI43" s="17">
        <v>0</v>
      </c>
      <c r="EJ43" s="17">
        <v>0</v>
      </c>
      <c r="EK43" s="17">
        <v>0</v>
      </c>
      <c r="EL43" s="17">
        <v>0.26</v>
      </c>
      <c r="EM43" s="17">
        <v>0</v>
      </c>
      <c r="EN43" s="17">
        <v>0</v>
      </c>
      <c r="EO43" s="17">
        <v>0</v>
      </c>
      <c r="EP43" s="17">
        <v>0</v>
      </c>
      <c r="EQ43" s="17">
        <v>0</v>
      </c>
      <c r="ER43" s="17">
        <v>0</v>
      </c>
      <c r="ES43" s="17">
        <v>0</v>
      </c>
      <c r="ET43" s="17">
        <v>0</v>
      </c>
      <c r="EU43" s="17">
        <v>0</v>
      </c>
      <c r="EV43" s="17">
        <v>0</v>
      </c>
      <c r="EW43" s="17">
        <v>0</v>
      </c>
      <c r="EX43" s="17">
        <v>0</v>
      </c>
      <c r="EY43" s="17">
        <v>0</v>
      </c>
      <c r="EZ43" s="17">
        <v>0</v>
      </c>
      <c r="FA43" s="17">
        <v>0</v>
      </c>
      <c r="FB43" s="17">
        <v>0</v>
      </c>
      <c r="FC43" s="17">
        <v>0</v>
      </c>
      <c r="FD43" s="17">
        <v>0</v>
      </c>
      <c r="FE43" s="17">
        <v>0</v>
      </c>
      <c r="FF43" s="17">
        <v>0</v>
      </c>
      <c r="FG43" s="17">
        <v>0</v>
      </c>
      <c r="FH43" s="17">
        <v>0.107</v>
      </c>
      <c r="FI43" s="17">
        <v>3.9E-2</v>
      </c>
      <c r="FJ43" s="17">
        <v>3.1E-2</v>
      </c>
      <c r="FK43" s="17">
        <v>2.8000000000000001E-2</v>
      </c>
      <c r="FL43" s="17">
        <v>0.125</v>
      </c>
      <c r="FM43" s="17">
        <v>7.8E-2</v>
      </c>
      <c r="FN43" s="17">
        <v>0</v>
      </c>
      <c r="FO43" s="17">
        <v>0</v>
      </c>
      <c r="FP43" s="17">
        <v>0</v>
      </c>
      <c r="FQ43" s="17">
        <v>0</v>
      </c>
      <c r="FR43" s="17">
        <v>0</v>
      </c>
      <c r="FS43" s="17">
        <v>0</v>
      </c>
      <c r="FT43" s="17">
        <v>0</v>
      </c>
      <c r="FU43" s="17">
        <v>0</v>
      </c>
      <c r="FV43" s="17">
        <v>0</v>
      </c>
      <c r="FW43" s="17">
        <v>0</v>
      </c>
      <c r="FX43" s="17">
        <v>0</v>
      </c>
      <c r="FY43" s="17">
        <v>0</v>
      </c>
      <c r="FZ43" s="17">
        <v>0</v>
      </c>
      <c r="GA43" s="17">
        <v>0</v>
      </c>
      <c r="GB43" s="17">
        <v>0</v>
      </c>
      <c r="GC43" s="17">
        <v>0</v>
      </c>
      <c r="GD43" s="17">
        <v>0</v>
      </c>
      <c r="GE43" s="17">
        <v>0</v>
      </c>
      <c r="GF43" s="17">
        <v>0</v>
      </c>
      <c r="GG43" s="17">
        <v>0</v>
      </c>
      <c r="GH43" s="17">
        <v>0</v>
      </c>
      <c r="GI43" s="17">
        <v>0</v>
      </c>
      <c r="GJ43" s="17">
        <v>0</v>
      </c>
      <c r="GK43" s="17">
        <v>0</v>
      </c>
      <c r="GL43" s="17">
        <v>0</v>
      </c>
      <c r="GM43" s="17">
        <v>0</v>
      </c>
      <c r="GN43" s="17">
        <v>0</v>
      </c>
      <c r="GO43" s="17">
        <v>0</v>
      </c>
      <c r="GP43" s="17">
        <v>0</v>
      </c>
      <c r="GQ43" s="17">
        <v>0</v>
      </c>
      <c r="GR43" s="17">
        <v>0</v>
      </c>
      <c r="GS43" s="17">
        <v>0</v>
      </c>
      <c r="GT43" s="17">
        <v>0</v>
      </c>
      <c r="GU43" s="17">
        <v>0</v>
      </c>
      <c r="GV43" s="17">
        <v>0</v>
      </c>
      <c r="GW43" s="17">
        <v>0</v>
      </c>
      <c r="GX43" s="17">
        <v>0</v>
      </c>
      <c r="GY43" s="17">
        <v>0</v>
      </c>
      <c r="GZ43" s="17">
        <v>0</v>
      </c>
      <c r="HA43" s="17">
        <v>0</v>
      </c>
      <c r="HB43" s="17">
        <v>0</v>
      </c>
      <c r="HC43" s="17">
        <v>0</v>
      </c>
      <c r="HD43" s="17">
        <v>0</v>
      </c>
      <c r="HE43" s="17">
        <v>0</v>
      </c>
      <c r="HF43" s="17">
        <v>0.19600000000000001</v>
      </c>
      <c r="HG43" s="17">
        <v>0</v>
      </c>
      <c r="HH43" s="17">
        <v>0</v>
      </c>
    </row>
    <row r="44" spans="1:216" x14ac:dyDescent="0.25">
      <c r="A44" s="8">
        <v>40</v>
      </c>
      <c r="B44" s="8">
        <v>19.5</v>
      </c>
      <c r="C44" s="17">
        <v>0</v>
      </c>
      <c r="D44" s="17">
        <v>0</v>
      </c>
      <c r="E44" s="17">
        <v>0</v>
      </c>
      <c r="F44" s="17">
        <v>0</v>
      </c>
      <c r="G44" s="17">
        <v>0</v>
      </c>
      <c r="H44" s="17">
        <v>0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0</v>
      </c>
      <c r="Q44" s="17">
        <v>0</v>
      </c>
      <c r="R44" s="17">
        <v>0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  <c r="AG44" s="17">
        <v>0</v>
      </c>
      <c r="AH44" s="17">
        <v>0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7">
        <v>0</v>
      </c>
      <c r="AO44" s="17">
        <v>0</v>
      </c>
      <c r="AP44" s="17">
        <v>0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7">
        <v>0</v>
      </c>
      <c r="AX44" s="17">
        <v>0</v>
      </c>
      <c r="AY44" s="17">
        <v>0</v>
      </c>
      <c r="AZ44" s="17">
        <v>0</v>
      </c>
      <c r="BA44" s="17">
        <v>0</v>
      </c>
      <c r="BB44" s="17">
        <v>0</v>
      </c>
      <c r="BC44" s="17">
        <v>0</v>
      </c>
      <c r="BD44" s="17">
        <v>0</v>
      </c>
      <c r="BE44" s="17">
        <v>0</v>
      </c>
      <c r="BF44" s="17">
        <v>0</v>
      </c>
      <c r="BG44" s="17">
        <v>0</v>
      </c>
      <c r="BH44" s="17">
        <v>0</v>
      </c>
      <c r="BI44" s="17">
        <v>0</v>
      </c>
      <c r="BJ44" s="17">
        <v>0</v>
      </c>
      <c r="BK44" s="17">
        <v>0</v>
      </c>
      <c r="BL44" s="17">
        <v>0</v>
      </c>
      <c r="BM44" s="17">
        <v>0</v>
      </c>
      <c r="BN44" s="17">
        <v>0</v>
      </c>
      <c r="BO44" s="17">
        <v>0</v>
      </c>
      <c r="BP44" s="17">
        <v>0</v>
      </c>
      <c r="BQ44" s="17">
        <v>0</v>
      </c>
      <c r="BR44" s="17">
        <v>0</v>
      </c>
      <c r="BS44" s="17">
        <v>0</v>
      </c>
      <c r="BT44" s="17">
        <v>0.01</v>
      </c>
      <c r="BU44" s="17">
        <v>0</v>
      </c>
      <c r="BV44" s="17">
        <v>0</v>
      </c>
      <c r="BW44" s="17">
        <v>0</v>
      </c>
      <c r="BX44" s="17">
        <v>0</v>
      </c>
      <c r="BY44" s="17">
        <v>0</v>
      </c>
      <c r="BZ44" s="17">
        <v>0</v>
      </c>
      <c r="CA44" s="17">
        <v>0</v>
      </c>
      <c r="CB44" s="17">
        <v>0</v>
      </c>
      <c r="CC44" s="17">
        <v>0</v>
      </c>
      <c r="CD44" s="17">
        <v>0</v>
      </c>
      <c r="CE44" s="17">
        <v>0</v>
      </c>
      <c r="CF44" s="17">
        <v>0</v>
      </c>
      <c r="CG44" s="17">
        <v>0</v>
      </c>
      <c r="CH44" s="17">
        <v>0</v>
      </c>
      <c r="CI44" s="17">
        <v>0</v>
      </c>
      <c r="CJ44" s="17">
        <v>0</v>
      </c>
      <c r="CK44" s="17">
        <v>0</v>
      </c>
      <c r="CL44" s="17">
        <v>0</v>
      </c>
      <c r="CM44" s="17">
        <v>0</v>
      </c>
      <c r="CN44" s="17">
        <v>0</v>
      </c>
      <c r="CO44" s="17">
        <v>0</v>
      </c>
      <c r="CP44" s="17">
        <v>0</v>
      </c>
      <c r="CQ44" s="17">
        <v>0</v>
      </c>
      <c r="CR44" s="17">
        <v>0</v>
      </c>
      <c r="CS44" s="17">
        <v>0</v>
      </c>
      <c r="CT44" s="17">
        <v>0</v>
      </c>
      <c r="CU44" s="17">
        <v>0</v>
      </c>
      <c r="CV44" s="17">
        <v>0</v>
      </c>
      <c r="CW44" s="17">
        <v>0</v>
      </c>
      <c r="CX44" s="17">
        <v>0</v>
      </c>
      <c r="CY44" s="17">
        <v>0</v>
      </c>
      <c r="CZ44" s="17">
        <v>0</v>
      </c>
      <c r="DA44" s="17">
        <v>0</v>
      </c>
      <c r="DB44" s="17">
        <v>0</v>
      </c>
      <c r="DC44" s="17">
        <v>0</v>
      </c>
      <c r="DD44" s="17">
        <v>0</v>
      </c>
      <c r="DE44" s="17">
        <v>0</v>
      </c>
      <c r="DF44" s="17">
        <v>0</v>
      </c>
      <c r="DG44" s="17">
        <v>0</v>
      </c>
      <c r="DH44" s="17">
        <v>0</v>
      </c>
      <c r="DI44" s="17">
        <v>0</v>
      </c>
      <c r="DJ44" s="17">
        <v>0</v>
      </c>
      <c r="DK44" s="17">
        <v>0</v>
      </c>
      <c r="DL44" s="17">
        <v>0</v>
      </c>
      <c r="DM44" s="17">
        <v>0</v>
      </c>
      <c r="DN44" s="17">
        <v>0</v>
      </c>
      <c r="DO44" s="17">
        <v>0</v>
      </c>
      <c r="DP44" s="17">
        <v>0</v>
      </c>
      <c r="DQ44" s="17">
        <v>0</v>
      </c>
      <c r="DR44" s="17">
        <v>0</v>
      </c>
      <c r="DS44" s="17">
        <v>0</v>
      </c>
      <c r="DT44" s="17">
        <v>0</v>
      </c>
      <c r="DU44" s="17">
        <v>0</v>
      </c>
      <c r="DV44" s="17">
        <v>0</v>
      </c>
      <c r="DW44" s="17">
        <v>0</v>
      </c>
      <c r="DX44" s="17">
        <v>0</v>
      </c>
      <c r="DY44" s="17">
        <v>0</v>
      </c>
      <c r="DZ44" s="17">
        <v>0</v>
      </c>
      <c r="EA44" s="17">
        <v>0</v>
      </c>
      <c r="EB44" s="17">
        <v>0</v>
      </c>
      <c r="EC44" s="17">
        <v>0</v>
      </c>
      <c r="ED44" s="17">
        <v>0</v>
      </c>
      <c r="EE44" s="17">
        <v>0</v>
      </c>
      <c r="EF44" s="17">
        <v>0</v>
      </c>
      <c r="EG44" s="17">
        <v>0</v>
      </c>
      <c r="EH44" s="17">
        <v>0</v>
      </c>
      <c r="EI44" s="17">
        <v>0</v>
      </c>
      <c r="EJ44" s="17">
        <v>0</v>
      </c>
      <c r="EK44" s="17">
        <v>0</v>
      </c>
      <c r="EL44" s="17">
        <v>0</v>
      </c>
      <c r="EM44" s="17">
        <v>0</v>
      </c>
      <c r="EN44" s="17">
        <v>0</v>
      </c>
      <c r="EO44" s="17">
        <v>0</v>
      </c>
      <c r="EP44" s="17">
        <v>0</v>
      </c>
      <c r="EQ44" s="17">
        <v>0</v>
      </c>
      <c r="ER44" s="17">
        <v>0</v>
      </c>
      <c r="ES44" s="17">
        <v>0</v>
      </c>
      <c r="ET44" s="17">
        <v>0</v>
      </c>
      <c r="EU44" s="17">
        <v>0</v>
      </c>
      <c r="EV44" s="17">
        <v>0</v>
      </c>
      <c r="EW44" s="17">
        <v>0</v>
      </c>
      <c r="EX44" s="17">
        <v>0</v>
      </c>
      <c r="EY44" s="17">
        <v>0</v>
      </c>
      <c r="EZ44" s="17">
        <v>0</v>
      </c>
      <c r="FA44" s="17">
        <v>0</v>
      </c>
      <c r="FB44" s="17">
        <v>0</v>
      </c>
      <c r="FC44" s="17">
        <v>0</v>
      </c>
      <c r="FD44" s="17">
        <v>0</v>
      </c>
      <c r="FE44" s="17">
        <v>0</v>
      </c>
      <c r="FF44" s="17">
        <v>0</v>
      </c>
      <c r="FG44" s="17">
        <v>0</v>
      </c>
      <c r="FH44" s="17">
        <v>0</v>
      </c>
      <c r="FI44" s="17">
        <v>0</v>
      </c>
      <c r="FJ44" s="17">
        <v>0</v>
      </c>
      <c r="FK44" s="17">
        <v>0</v>
      </c>
      <c r="FL44" s="17">
        <v>0</v>
      </c>
      <c r="FM44" s="17">
        <v>0</v>
      </c>
      <c r="FN44" s="17">
        <v>0</v>
      </c>
      <c r="FO44" s="17">
        <v>0</v>
      </c>
      <c r="FP44" s="17">
        <v>0</v>
      </c>
      <c r="FQ44" s="17">
        <v>0</v>
      </c>
      <c r="FR44" s="17">
        <v>0</v>
      </c>
      <c r="FS44" s="17">
        <v>0</v>
      </c>
      <c r="FT44" s="17">
        <v>0</v>
      </c>
      <c r="FU44" s="17">
        <v>0</v>
      </c>
      <c r="FV44" s="17">
        <v>0</v>
      </c>
      <c r="FW44" s="17">
        <v>0</v>
      </c>
      <c r="FX44" s="17">
        <v>0</v>
      </c>
      <c r="FY44" s="17">
        <v>0</v>
      </c>
      <c r="FZ44" s="17">
        <v>0</v>
      </c>
      <c r="GA44" s="17">
        <v>0</v>
      </c>
      <c r="GB44" s="17">
        <v>0</v>
      </c>
      <c r="GC44" s="17">
        <v>0</v>
      </c>
      <c r="GD44" s="17">
        <v>0</v>
      </c>
      <c r="GE44" s="17">
        <v>0</v>
      </c>
      <c r="GF44" s="17">
        <v>0</v>
      </c>
      <c r="GG44" s="17">
        <v>0</v>
      </c>
      <c r="GH44" s="17">
        <v>0</v>
      </c>
      <c r="GI44" s="17">
        <v>0</v>
      </c>
      <c r="GJ44" s="17">
        <v>0</v>
      </c>
      <c r="GK44" s="17">
        <v>0</v>
      </c>
      <c r="GL44" s="17">
        <v>0</v>
      </c>
      <c r="GM44" s="17">
        <v>0</v>
      </c>
      <c r="GN44" s="17">
        <v>0</v>
      </c>
      <c r="GO44" s="17">
        <v>0</v>
      </c>
      <c r="GP44" s="17">
        <v>0</v>
      </c>
      <c r="GQ44" s="17">
        <v>0</v>
      </c>
      <c r="GR44" s="17">
        <v>0</v>
      </c>
      <c r="GS44" s="17">
        <v>0</v>
      </c>
      <c r="GT44" s="17">
        <v>0</v>
      </c>
      <c r="GU44" s="17">
        <v>0</v>
      </c>
      <c r="GV44" s="17">
        <v>0</v>
      </c>
      <c r="GW44" s="17">
        <v>0</v>
      </c>
      <c r="GX44" s="17">
        <v>0</v>
      </c>
      <c r="GY44" s="17">
        <v>0</v>
      </c>
      <c r="GZ44" s="17">
        <v>0</v>
      </c>
      <c r="HA44" s="17">
        <v>0</v>
      </c>
      <c r="HB44" s="17">
        <v>0</v>
      </c>
      <c r="HC44" s="17">
        <v>0</v>
      </c>
      <c r="HD44" s="17">
        <v>0</v>
      </c>
      <c r="HE44" s="17">
        <v>0</v>
      </c>
      <c r="HF44" s="17">
        <v>0</v>
      </c>
      <c r="HG44" s="17">
        <v>0</v>
      </c>
      <c r="HH44" s="17">
        <v>0</v>
      </c>
    </row>
    <row r="45" spans="1:216" x14ac:dyDescent="0.25">
      <c r="A45" s="8">
        <v>41</v>
      </c>
      <c r="B45" s="8">
        <v>20</v>
      </c>
      <c r="C45" s="17">
        <v>0</v>
      </c>
      <c r="D45" s="17">
        <v>0</v>
      </c>
      <c r="E45" s="17">
        <v>0</v>
      </c>
      <c r="F45" s="17">
        <v>0</v>
      </c>
      <c r="G45" s="17">
        <v>0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7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  <c r="AG45" s="17">
        <v>0</v>
      </c>
      <c r="AH45" s="17">
        <v>0</v>
      </c>
      <c r="AI45" s="17">
        <v>0</v>
      </c>
      <c r="AJ45" s="17">
        <v>0</v>
      </c>
      <c r="AK45" s="17">
        <v>0</v>
      </c>
      <c r="AL45" s="17">
        <v>0</v>
      </c>
      <c r="AM45" s="17">
        <v>0</v>
      </c>
      <c r="AN45" s="17">
        <v>0</v>
      </c>
      <c r="AO45" s="17">
        <v>0</v>
      </c>
      <c r="AP45" s="17">
        <v>0</v>
      </c>
      <c r="AQ45" s="17">
        <v>0</v>
      </c>
      <c r="AR45" s="17">
        <v>0</v>
      </c>
      <c r="AS45" s="17">
        <v>0</v>
      </c>
      <c r="AT45" s="17">
        <v>0</v>
      </c>
      <c r="AU45" s="17">
        <v>0</v>
      </c>
      <c r="AV45" s="17">
        <v>0</v>
      </c>
      <c r="AW45" s="17">
        <v>0</v>
      </c>
      <c r="AX45" s="17">
        <v>0</v>
      </c>
      <c r="AY45" s="17">
        <v>0</v>
      </c>
      <c r="AZ45" s="17">
        <v>0</v>
      </c>
      <c r="BA45" s="17">
        <v>0</v>
      </c>
      <c r="BB45" s="17">
        <v>0</v>
      </c>
      <c r="BC45" s="17">
        <v>0</v>
      </c>
      <c r="BD45" s="17">
        <v>0</v>
      </c>
      <c r="BE45" s="17">
        <v>0</v>
      </c>
      <c r="BF45" s="17">
        <v>0</v>
      </c>
      <c r="BG45" s="17">
        <v>0</v>
      </c>
      <c r="BH45" s="17">
        <v>0</v>
      </c>
      <c r="BI45" s="17">
        <v>0</v>
      </c>
      <c r="BJ45" s="17">
        <v>0</v>
      </c>
      <c r="BK45" s="17">
        <v>0</v>
      </c>
      <c r="BL45" s="17">
        <v>0</v>
      </c>
      <c r="BM45" s="17">
        <v>0</v>
      </c>
      <c r="BN45" s="17">
        <v>0</v>
      </c>
      <c r="BO45" s="17">
        <v>0</v>
      </c>
      <c r="BP45" s="17">
        <v>0</v>
      </c>
      <c r="BQ45" s="17">
        <v>0</v>
      </c>
      <c r="BR45" s="17">
        <v>0</v>
      </c>
      <c r="BS45" s="17">
        <v>0</v>
      </c>
      <c r="BT45" s="17">
        <v>0</v>
      </c>
      <c r="BU45" s="17">
        <v>0</v>
      </c>
      <c r="BV45" s="17">
        <v>0</v>
      </c>
      <c r="BW45" s="17">
        <v>0</v>
      </c>
      <c r="BX45" s="17">
        <v>0</v>
      </c>
      <c r="BY45" s="17">
        <v>0</v>
      </c>
      <c r="BZ45" s="17">
        <v>0</v>
      </c>
      <c r="CA45" s="17">
        <v>0</v>
      </c>
      <c r="CB45" s="17">
        <v>0</v>
      </c>
      <c r="CC45" s="17">
        <v>0</v>
      </c>
      <c r="CD45" s="17">
        <v>0</v>
      </c>
      <c r="CE45" s="17">
        <v>0</v>
      </c>
      <c r="CF45" s="17">
        <v>0</v>
      </c>
      <c r="CG45" s="17">
        <v>0</v>
      </c>
      <c r="CH45" s="17">
        <v>0</v>
      </c>
      <c r="CI45" s="17">
        <v>0</v>
      </c>
      <c r="CJ45" s="17">
        <v>0</v>
      </c>
      <c r="CK45" s="17">
        <v>0</v>
      </c>
      <c r="CL45" s="17">
        <v>0</v>
      </c>
      <c r="CM45" s="17">
        <v>0</v>
      </c>
      <c r="CN45" s="17">
        <v>0</v>
      </c>
      <c r="CO45" s="17">
        <v>0</v>
      </c>
      <c r="CP45" s="17">
        <v>0</v>
      </c>
      <c r="CQ45" s="17">
        <v>0</v>
      </c>
      <c r="CR45" s="17">
        <v>0</v>
      </c>
      <c r="CS45" s="17">
        <v>0</v>
      </c>
      <c r="CT45" s="17">
        <v>0</v>
      </c>
      <c r="CU45" s="17">
        <v>0</v>
      </c>
      <c r="CV45" s="17">
        <v>0</v>
      </c>
      <c r="CW45" s="17">
        <v>0</v>
      </c>
      <c r="CX45" s="17">
        <v>0</v>
      </c>
      <c r="CY45" s="17">
        <v>0</v>
      </c>
      <c r="CZ45" s="17">
        <v>0</v>
      </c>
      <c r="DA45" s="17">
        <v>0</v>
      </c>
      <c r="DB45" s="17">
        <v>0</v>
      </c>
      <c r="DC45" s="17">
        <v>0</v>
      </c>
      <c r="DD45" s="17">
        <v>0</v>
      </c>
      <c r="DE45" s="17">
        <v>0</v>
      </c>
      <c r="DF45" s="17">
        <v>0</v>
      </c>
      <c r="DG45" s="17">
        <v>0</v>
      </c>
      <c r="DH45" s="17">
        <v>0</v>
      </c>
      <c r="DI45" s="17">
        <v>0</v>
      </c>
      <c r="DJ45" s="17">
        <v>0</v>
      </c>
      <c r="DK45" s="17">
        <v>0</v>
      </c>
      <c r="DL45" s="17">
        <v>0</v>
      </c>
      <c r="DM45" s="17">
        <v>0</v>
      </c>
      <c r="DN45" s="17">
        <v>0</v>
      </c>
      <c r="DO45" s="17">
        <v>0</v>
      </c>
      <c r="DP45" s="17">
        <v>0</v>
      </c>
      <c r="DQ45" s="17">
        <v>0</v>
      </c>
      <c r="DR45" s="17">
        <v>0</v>
      </c>
      <c r="DS45" s="17">
        <v>0</v>
      </c>
      <c r="DT45" s="17">
        <v>0</v>
      </c>
      <c r="DU45" s="17">
        <v>0</v>
      </c>
      <c r="DV45" s="17">
        <v>0</v>
      </c>
      <c r="DW45" s="17">
        <v>0</v>
      </c>
      <c r="DX45" s="17">
        <v>0</v>
      </c>
      <c r="DY45" s="17">
        <v>0</v>
      </c>
      <c r="DZ45" s="17">
        <v>0</v>
      </c>
      <c r="EA45" s="17">
        <v>0</v>
      </c>
      <c r="EB45" s="17">
        <v>0</v>
      </c>
      <c r="EC45" s="17">
        <v>0</v>
      </c>
      <c r="ED45" s="17">
        <v>0</v>
      </c>
      <c r="EE45" s="17">
        <v>0</v>
      </c>
      <c r="EF45" s="17">
        <v>0</v>
      </c>
      <c r="EG45" s="17">
        <v>0</v>
      </c>
      <c r="EH45" s="17">
        <v>0</v>
      </c>
      <c r="EI45" s="17">
        <v>0</v>
      </c>
      <c r="EJ45" s="17">
        <v>0</v>
      </c>
      <c r="EK45" s="17">
        <v>0</v>
      </c>
      <c r="EL45" s="17">
        <v>0</v>
      </c>
      <c r="EM45" s="17">
        <v>0</v>
      </c>
      <c r="EN45" s="17">
        <v>0</v>
      </c>
      <c r="EO45" s="17">
        <v>0</v>
      </c>
      <c r="EP45" s="17">
        <v>0</v>
      </c>
      <c r="EQ45" s="17">
        <v>0</v>
      </c>
      <c r="ER45" s="17">
        <v>0</v>
      </c>
      <c r="ES45" s="17">
        <v>0</v>
      </c>
      <c r="ET45" s="17">
        <v>0</v>
      </c>
      <c r="EU45" s="17">
        <v>0</v>
      </c>
      <c r="EV45" s="17">
        <v>0</v>
      </c>
      <c r="EW45" s="17">
        <v>0</v>
      </c>
      <c r="EX45" s="17">
        <v>0</v>
      </c>
      <c r="EY45" s="17">
        <v>0</v>
      </c>
      <c r="EZ45" s="17">
        <v>0</v>
      </c>
      <c r="FA45" s="17">
        <v>0</v>
      </c>
      <c r="FB45" s="17">
        <v>0</v>
      </c>
      <c r="FC45" s="17">
        <v>0</v>
      </c>
      <c r="FD45" s="17">
        <v>0</v>
      </c>
      <c r="FE45" s="17">
        <v>0</v>
      </c>
      <c r="FF45" s="17">
        <v>0</v>
      </c>
      <c r="FG45" s="17">
        <v>0</v>
      </c>
      <c r="FH45" s="17">
        <v>0</v>
      </c>
      <c r="FI45" s="17">
        <v>0</v>
      </c>
      <c r="FJ45" s="17">
        <v>0</v>
      </c>
      <c r="FK45" s="17">
        <v>0</v>
      </c>
      <c r="FL45" s="17">
        <v>0</v>
      </c>
      <c r="FM45" s="17">
        <v>0</v>
      </c>
      <c r="FN45" s="17">
        <v>0</v>
      </c>
      <c r="FO45" s="17">
        <v>0</v>
      </c>
      <c r="FP45" s="17">
        <v>0</v>
      </c>
      <c r="FQ45" s="17">
        <v>0</v>
      </c>
      <c r="FR45" s="17">
        <v>0</v>
      </c>
      <c r="FS45" s="17">
        <v>0</v>
      </c>
      <c r="FT45" s="17">
        <v>0</v>
      </c>
      <c r="FU45" s="17">
        <v>0</v>
      </c>
      <c r="FV45" s="17">
        <v>0</v>
      </c>
      <c r="FW45" s="17">
        <v>0</v>
      </c>
      <c r="FX45" s="17">
        <v>0</v>
      </c>
      <c r="FY45" s="17">
        <v>0</v>
      </c>
      <c r="FZ45" s="17">
        <v>0</v>
      </c>
      <c r="GA45" s="17">
        <v>0</v>
      </c>
      <c r="GB45" s="17">
        <v>0</v>
      </c>
      <c r="GC45" s="17">
        <v>0</v>
      </c>
      <c r="GD45" s="17">
        <v>0</v>
      </c>
      <c r="GE45" s="17">
        <v>0</v>
      </c>
      <c r="GF45" s="17">
        <v>0</v>
      </c>
      <c r="GG45" s="17">
        <v>0</v>
      </c>
      <c r="GH45" s="17">
        <v>0</v>
      </c>
      <c r="GI45" s="17">
        <v>0</v>
      </c>
      <c r="GJ45" s="17">
        <v>0</v>
      </c>
      <c r="GK45" s="17">
        <v>0</v>
      </c>
      <c r="GL45" s="17">
        <v>0</v>
      </c>
      <c r="GM45" s="17">
        <v>0</v>
      </c>
      <c r="GN45" s="17">
        <v>0</v>
      </c>
      <c r="GO45" s="17">
        <v>0</v>
      </c>
      <c r="GP45" s="17">
        <v>0</v>
      </c>
      <c r="GQ45" s="17">
        <v>0</v>
      </c>
      <c r="GR45" s="17">
        <v>0</v>
      </c>
      <c r="GS45" s="17">
        <v>0</v>
      </c>
      <c r="GT45" s="17">
        <v>0</v>
      </c>
      <c r="GU45" s="17">
        <v>0</v>
      </c>
      <c r="GV45" s="17">
        <v>0</v>
      </c>
      <c r="GW45" s="17">
        <v>0</v>
      </c>
      <c r="GX45" s="17">
        <v>0</v>
      </c>
      <c r="GY45" s="17">
        <v>0</v>
      </c>
      <c r="GZ45" s="17">
        <v>0</v>
      </c>
      <c r="HA45" s="17">
        <v>0</v>
      </c>
      <c r="HB45" s="17">
        <v>0</v>
      </c>
      <c r="HC45" s="17">
        <v>0</v>
      </c>
      <c r="HD45" s="17">
        <v>0</v>
      </c>
      <c r="HE45" s="17">
        <v>0</v>
      </c>
      <c r="HF45" s="17">
        <v>0</v>
      </c>
      <c r="HG45" s="17">
        <v>0</v>
      </c>
      <c r="HH45" s="17">
        <v>0</v>
      </c>
    </row>
    <row r="46" spans="1:216" x14ac:dyDescent="0.25">
      <c r="A46" s="8">
        <v>42</v>
      </c>
      <c r="B46" s="8">
        <v>20.5</v>
      </c>
      <c r="C46" s="17">
        <v>0</v>
      </c>
      <c r="D46" s="17">
        <v>0</v>
      </c>
      <c r="E46" s="17">
        <v>0</v>
      </c>
      <c r="F46" s="17">
        <v>0</v>
      </c>
      <c r="G46" s="17">
        <v>0</v>
      </c>
      <c r="H46" s="17">
        <v>0</v>
      </c>
      <c r="I46" s="17">
        <v>0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7">
        <v>0</v>
      </c>
      <c r="AG46" s="17">
        <v>0</v>
      </c>
      <c r="AH46" s="17">
        <v>0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7">
        <v>0</v>
      </c>
      <c r="AO46" s="17">
        <v>0</v>
      </c>
      <c r="AP46" s="17">
        <v>0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7">
        <v>0</v>
      </c>
      <c r="AX46" s="17">
        <v>0</v>
      </c>
      <c r="AY46" s="17">
        <v>0</v>
      </c>
      <c r="AZ46" s="17">
        <v>0</v>
      </c>
      <c r="BA46" s="17">
        <v>0</v>
      </c>
      <c r="BB46" s="17">
        <v>0</v>
      </c>
      <c r="BC46" s="17">
        <v>0</v>
      </c>
      <c r="BD46" s="17">
        <v>0</v>
      </c>
      <c r="BE46" s="17">
        <v>0</v>
      </c>
      <c r="BF46" s="17">
        <v>0</v>
      </c>
      <c r="BG46" s="17">
        <v>0</v>
      </c>
      <c r="BH46" s="17">
        <v>0</v>
      </c>
      <c r="BI46" s="17">
        <v>0</v>
      </c>
      <c r="BJ46" s="17">
        <v>0</v>
      </c>
      <c r="BK46" s="17">
        <v>0</v>
      </c>
      <c r="BL46" s="17">
        <v>0</v>
      </c>
      <c r="BM46" s="17">
        <v>0</v>
      </c>
      <c r="BN46" s="17">
        <v>0</v>
      </c>
      <c r="BO46" s="17">
        <v>0</v>
      </c>
      <c r="BP46" s="17">
        <v>0</v>
      </c>
      <c r="BQ46" s="17">
        <v>0</v>
      </c>
      <c r="BR46" s="17">
        <v>0</v>
      </c>
      <c r="BS46" s="17">
        <v>0</v>
      </c>
      <c r="BT46" s="17">
        <v>0</v>
      </c>
      <c r="BU46" s="17">
        <v>0</v>
      </c>
      <c r="BV46" s="17">
        <v>0</v>
      </c>
      <c r="BW46" s="17">
        <v>0</v>
      </c>
      <c r="BX46" s="17">
        <v>0</v>
      </c>
      <c r="BY46" s="17">
        <v>0</v>
      </c>
      <c r="BZ46" s="17">
        <v>0</v>
      </c>
      <c r="CA46" s="17">
        <v>0</v>
      </c>
      <c r="CB46" s="17">
        <v>0</v>
      </c>
      <c r="CC46" s="17">
        <v>0</v>
      </c>
      <c r="CD46" s="17">
        <v>0</v>
      </c>
      <c r="CE46" s="17">
        <v>0</v>
      </c>
      <c r="CF46" s="17">
        <v>0</v>
      </c>
      <c r="CG46" s="17">
        <v>0</v>
      </c>
      <c r="CH46" s="17">
        <v>0</v>
      </c>
      <c r="CI46" s="17">
        <v>0</v>
      </c>
      <c r="CJ46" s="17">
        <v>0</v>
      </c>
      <c r="CK46" s="17">
        <v>0</v>
      </c>
      <c r="CL46" s="17">
        <v>0</v>
      </c>
      <c r="CM46" s="17">
        <v>0</v>
      </c>
      <c r="CN46" s="17">
        <v>0</v>
      </c>
      <c r="CO46" s="17">
        <v>0</v>
      </c>
      <c r="CP46" s="17">
        <v>0</v>
      </c>
      <c r="CQ46" s="17">
        <v>0</v>
      </c>
      <c r="CR46" s="17">
        <v>0</v>
      </c>
      <c r="CS46" s="17">
        <v>0</v>
      </c>
      <c r="CT46" s="17">
        <v>0</v>
      </c>
      <c r="CU46" s="17">
        <v>0</v>
      </c>
      <c r="CV46" s="17">
        <v>0</v>
      </c>
      <c r="CW46" s="17">
        <v>0</v>
      </c>
      <c r="CX46" s="17">
        <v>0</v>
      </c>
      <c r="CY46" s="17">
        <v>0</v>
      </c>
      <c r="CZ46" s="17">
        <v>0</v>
      </c>
      <c r="DA46" s="17">
        <v>0</v>
      </c>
      <c r="DB46" s="17">
        <v>0</v>
      </c>
      <c r="DC46" s="17">
        <v>0</v>
      </c>
      <c r="DD46" s="17">
        <v>0</v>
      </c>
      <c r="DE46" s="17">
        <v>0</v>
      </c>
      <c r="DF46" s="17">
        <v>0</v>
      </c>
      <c r="DG46" s="17">
        <v>0</v>
      </c>
      <c r="DH46" s="17">
        <v>0</v>
      </c>
      <c r="DI46" s="17">
        <v>0</v>
      </c>
      <c r="DJ46" s="17">
        <v>0</v>
      </c>
      <c r="DK46" s="17">
        <v>0</v>
      </c>
      <c r="DL46" s="17">
        <v>0</v>
      </c>
      <c r="DM46" s="17">
        <v>0</v>
      </c>
      <c r="DN46" s="17">
        <v>0</v>
      </c>
      <c r="DO46" s="17">
        <v>0</v>
      </c>
      <c r="DP46" s="17">
        <v>0</v>
      </c>
      <c r="DQ46" s="17">
        <v>0</v>
      </c>
      <c r="DR46" s="17">
        <v>0</v>
      </c>
      <c r="DS46" s="17">
        <v>0</v>
      </c>
      <c r="DT46" s="17">
        <v>0</v>
      </c>
      <c r="DU46" s="17">
        <v>0</v>
      </c>
      <c r="DV46" s="17">
        <v>0</v>
      </c>
      <c r="DW46" s="17">
        <v>0</v>
      </c>
      <c r="DX46" s="17">
        <v>0</v>
      </c>
      <c r="DY46" s="17">
        <v>0</v>
      </c>
      <c r="DZ46" s="17">
        <v>0</v>
      </c>
      <c r="EA46" s="17">
        <v>0</v>
      </c>
      <c r="EB46" s="17">
        <v>0</v>
      </c>
      <c r="EC46" s="17">
        <v>0</v>
      </c>
      <c r="ED46" s="17">
        <v>0</v>
      </c>
      <c r="EE46" s="17">
        <v>0</v>
      </c>
      <c r="EF46" s="17">
        <v>0</v>
      </c>
      <c r="EG46" s="17">
        <v>0</v>
      </c>
      <c r="EH46" s="17">
        <v>0</v>
      </c>
      <c r="EI46" s="17">
        <v>0</v>
      </c>
      <c r="EJ46" s="17">
        <v>0</v>
      </c>
      <c r="EK46" s="17">
        <v>0</v>
      </c>
      <c r="EL46" s="17">
        <v>0</v>
      </c>
      <c r="EM46" s="17">
        <v>0</v>
      </c>
      <c r="EN46" s="17">
        <v>0</v>
      </c>
      <c r="EO46" s="17">
        <v>0</v>
      </c>
      <c r="EP46" s="17">
        <v>0</v>
      </c>
      <c r="EQ46" s="17">
        <v>0</v>
      </c>
      <c r="ER46" s="17">
        <v>0</v>
      </c>
      <c r="ES46" s="17">
        <v>0</v>
      </c>
      <c r="ET46" s="17">
        <v>0</v>
      </c>
      <c r="EU46" s="17">
        <v>0</v>
      </c>
      <c r="EV46" s="17">
        <v>0</v>
      </c>
      <c r="EW46" s="17">
        <v>0</v>
      </c>
      <c r="EX46" s="17">
        <v>0</v>
      </c>
      <c r="EY46" s="17">
        <v>0</v>
      </c>
      <c r="EZ46" s="17">
        <v>0</v>
      </c>
      <c r="FA46" s="17">
        <v>0</v>
      </c>
      <c r="FB46" s="17">
        <v>0</v>
      </c>
      <c r="FC46" s="17">
        <v>0</v>
      </c>
      <c r="FD46" s="17">
        <v>0</v>
      </c>
      <c r="FE46" s="17">
        <v>0</v>
      </c>
      <c r="FF46" s="17">
        <v>0</v>
      </c>
      <c r="FG46" s="17">
        <v>0</v>
      </c>
      <c r="FH46" s="17">
        <v>0</v>
      </c>
      <c r="FI46" s="17">
        <v>0</v>
      </c>
      <c r="FJ46" s="17">
        <v>0</v>
      </c>
      <c r="FK46" s="17">
        <v>0</v>
      </c>
      <c r="FL46" s="17">
        <v>0</v>
      </c>
      <c r="FM46" s="17">
        <v>0</v>
      </c>
      <c r="FN46" s="17">
        <v>0</v>
      </c>
      <c r="FO46" s="17">
        <v>0</v>
      </c>
      <c r="FP46" s="17">
        <v>0</v>
      </c>
      <c r="FQ46" s="17">
        <v>0</v>
      </c>
      <c r="FR46" s="17">
        <v>0</v>
      </c>
      <c r="FS46" s="17">
        <v>0</v>
      </c>
      <c r="FT46" s="17">
        <v>0</v>
      </c>
      <c r="FU46" s="17">
        <v>0</v>
      </c>
      <c r="FV46" s="17">
        <v>0</v>
      </c>
      <c r="FW46" s="17">
        <v>0</v>
      </c>
      <c r="FX46" s="17">
        <v>0</v>
      </c>
      <c r="FY46" s="17">
        <v>0</v>
      </c>
      <c r="FZ46" s="17">
        <v>0</v>
      </c>
      <c r="GA46" s="17">
        <v>0</v>
      </c>
      <c r="GB46" s="17">
        <v>0</v>
      </c>
      <c r="GC46" s="17">
        <v>0</v>
      </c>
      <c r="GD46" s="17">
        <v>0</v>
      </c>
      <c r="GE46" s="17">
        <v>0</v>
      </c>
      <c r="GF46" s="17">
        <v>0</v>
      </c>
      <c r="GG46" s="17">
        <v>0</v>
      </c>
      <c r="GH46" s="17">
        <v>0</v>
      </c>
      <c r="GI46" s="17">
        <v>0</v>
      </c>
      <c r="GJ46" s="17">
        <v>0</v>
      </c>
      <c r="GK46" s="17">
        <v>0</v>
      </c>
      <c r="GL46" s="17">
        <v>0</v>
      </c>
      <c r="GM46" s="17">
        <v>0</v>
      </c>
      <c r="GN46" s="17">
        <v>0</v>
      </c>
      <c r="GO46" s="17">
        <v>0</v>
      </c>
      <c r="GP46" s="17">
        <v>0</v>
      </c>
      <c r="GQ46" s="17">
        <v>0</v>
      </c>
      <c r="GR46" s="17">
        <v>0</v>
      </c>
      <c r="GS46" s="17">
        <v>0</v>
      </c>
      <c r="GT46" s="17">
        <v>0</v>
      </c>
      <c r="GU46" s="17">
        <v>0</v>
      </c>
      <c r="GV46" s="17">
        <v>0</v>
      </c>
      <c r="GW46" s="17">
        <v>0</v>
      </c>
      <c r="GX46" s="17">
        <v>0</v>
      </c>
      <c r="GY46" s="17">
        <v>0</v>
      </c>
      <c r="GZ46" s="17">
        <v>0</v>
      </c>
      <c r="HA46" s="17">
        <v>0</v>
      </c>
      <c r="HB46" s="17">
        <v>0</v>
      </c>
      <c r="HC46" s="17">
        <v>0</v>
      </c>
      <c r="HD46" s="17">
        <v>0</v>
      </c>
      <c r="HE46" s="17">
        <v>0</v>
      </c>
      <c r="HF46" s="17">
        <v>0</v>
      </c>
      <c r="HG46" s="17">
        <v>0</v>
      </c>
      <c r="HH46" s="17">
        <v>0</v>
      </c>
    </row>
    <row r="47" spans="1:216" x14ac:dyDescent="0.25">
      <c r="A47" s="8">
        <v>43</v>
      </c>
      <c r="B47" s="8">
        <v>21</v>
      </c>
      <c r="C47" s="17">
        <v>0</v>
      </c>
      <c r="D47" s="17">
        <v>0</v>
      </c>
      <c r="E47" s="17">
        <v>0</v>
      </c>
      <c r="F47" s="17">
        <v>0</v>
      </c>
      <c r="G47" s="17">
        <v>0</v>
      </c>
      <c r="H47" s="17">
        <v>0</v>
      </c>
      <c r="I47" s="17">
        <v>0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  <c r="AG47" s="17">
        <v>0</v>
      </c>
      <c r="AH47" s="17">
        <v>0</v>
      </c>
      <c r="AI47" s="17">
        <v>0</v>
      </c>
      <c r="AJ47" s="17">
        <v>0</v>
      </c>
      <c r="AK47" s="17">
        <v>0</v>
      </c>
      <c r="AL47" s="17">
        <v>0</v>
      </c>
      <c r="AM47" s="17">
        <v>0</v>
      </c>
      <c r="AN47" s="17">
        <v>0</v>
      </c>
      <c r="AO47" s="17">
        <v>0</v>
      </c>
      <c r="AP47" s="17">
        <v>0</v>
      </c>
      <c r="AQ47" s="17">
        <v>0</v>
      </c>
      <c r="AR47" s="17">
        <v>0</v>
      </c>
      <c r="AS47" s="17">
        <v>0</v>
      </c>
      <c r="AT47" s="17">
        <v>0</v>
      </c>
      <c r="AU47" s="17">
        <v>0</v>
      </c>
      <c r="AV47" s="17">
        <v>0</v>
      </c>
      <c r="AW47" s="17">
        <v>0</v>
      </c>
      <c r="AX47" s="17">
        <v>0</v>
      </c>
      <c r="AY47" s="17">
        <v>0</v>
      </c>
      <c r="AZ47" s="17">
        <v>0</v>
      </c>
      <c r="BA47" s="17">
        <v>0</v>
      </c>
      <c r="BB47" s="17">
        <v>0</v>
      </c>
      <c r="BC47" s="17">
        <v>0</v>
      </c>
      <c r="BD47" s="17">
        <v>0</v>
      </c>
      <c r="BE47" s="17">
        <v>0</v>
      </c>
      <c r="BF47" s="17">
        <v>0</v>
      </c>
      <c r="BG47" s="17">
        <v>0</v>
      </c>
      <c r="BH47" s="17">
        <v>0</v>
      </c>
      <c r="BI47" s="17">
        <v>0</v>
      </c>
      <c r="BJ47" s="17">
        <v>0</v>
      </c>
      <c r="BK47" s="17">
        <v>0</v>
      </c>
      <c r="BL47" s="17">
        <v>0</v>
      </c>
      <c r="BM47" s="17">
        <v>0</v>
      </c>
      <c r="BN47" s="17">
        <v>0</v>
      </c>
      <c r="BO47" s="17">
        <v>0</v>
      </c>
      <c r="BP47" s="17">
        <v>0</v>
      </c>
      <c r="BQ47" s="17">
        <v>0</v>
      </c>
      <c r="BR47" s="17">
        <v>0</v>
      </c>
      <c r="BS47" s="17">
        <v>0</v>
      </c>
      <c r="BT47" s="17">
        <v>0</v>
      </c>
      <c r="BU47" s="17">
        <v>0</v>
      </c>
      <c r="BV47" s="17">
        <v>0</v>
      </c>
      <c r="BW47" s="17">
        <v>0</v>
      </c>
      <c r="BX47" s="17">
        <v>0</v>
      </c>
      <c r="BY47" s="17">
        <v>0</v>
      </c>
      <c r="BZ47" s="17">
        <v>0</v>
      </c>
      <c r="CA47" s="17">
        <v>0</v>
      </c>
      <c r="CB47" s="17">
        <v>0</v>
      </c>
      <c r="CC47" s="17">
        <v>0</v>
      </c>
      <c r="CD47" s="17">
        <v>0</v>
      </c>
      <c r="CE47" s="17">
        <v>0</v>
      </c>
      <c r="CF47" s="17">
        <v>0</v>
      </c>
      <c r="CG47" s="17">
        <v>0</v>
      </c>
      <c r="CH47" s="17">
        <v>0</v>
      </c>
      <c r="CI47" s="17">
        <v>0</v>
      </c>
      <c r="CJ47" s="17">
        <v>0</v>
      </c>
      <c r="CK47" s="17">
        <v>0</v>
      </c>
      <c r="CL47" s="17">
        <v>0</v>
      </c>
      <c r="CM47" s="17">
        <v>0</v>
      </c>
      <c r="CN47" s="17">
        <v>0</v>
      </c>
      <c r="CO47" s="17">
        <v>0</v>
      </c>
      <c r="CP47" s="17">
        <v>0</v>
      </c>
      <c r="CQ47" s="17">
        <v>0</v>
      </c>
      <c r="CR47" s="17">
        <v>0</v>
      </c>
      <c r="CS47" s="17">
        <v>0</v>
      </c>
      <c r="CT47" s="17">
        <v>0</v>
      </c>
      <c r="CU47" s="17">
        <v>0</v>
      </c>
      <c r="CV47" s="17">
        <v>0</v>
      </c>
      <c r="CW47" s="17">
        <v>0</v>
      </c>
      <c r="CX47" s="17">
        <v>0</v>
      </c>
      <c r="CY47" s="17">
        <v>0</v>
      </c>
      <c r="CZ47" s="17">
        <v>0</v>
      </c>
      <c r="DA47" s="17">
        <v>0</v>
      </c>
      <c r="DB47" s="17">
        <v>0</v>
      </c>
      <c r="DC47" s="17">
        <v>0</v>
      </c>
      <c r="DD47" s="17">
        <v>0</v>
      </c>
      <c r="DE47" s="17">
        <v>0</v>
      </c>
      <c r="DF47" s="17">
        <v>0</v>
      </c>
      <c r="DG47" s="17">
        <v>0</v>
      </c>
      <c r="DH47" s="17">
        <v>0</v>
      </c>
      <c r="DI47" s="17">
        <v>0</v>
      </c>
      <c r="DJ47" s="17">
        <v>0</v>
      </c>
      <c r="DK47" s="17">
        <v>0</v>
      </c>
      <c r="DL47" s="17">
        <v>0</v>
      </c>
      <c r="DM47" s="17">
        <v>0</v>
      </c>
      <c r="DN47" s="17">
        <v>0</v>
      </c>
      <c r="DO47" s="17">
        <v>0</v>
      </c>
      <c r="DP47" s="17">
        <v>0</v>
      </c>
      <c r="DQ47" s="17">
        <v>0</v>
      </c>
      <c r="DR47" s="17">
        <v>0</v>
      </c>
      <c r="DS47" s="17">
        <v>0</v>
      </c>
      <c r="DT47" s="17">
        <v>0</v>
      </c>
      <c r="DU47" s="17">
        <v>0</v>
      </c>
      <c r="DV47" s="17">
        <v>0</v>
      </c>
      <c r="DW47" s="17">
        <v>0</v>
      </c>
      <c r="DX47" s="17">
        <v>0</v>
      </c>
      <c r="DY47" s="17">
        <v>0</v>
      </c>
      <c r="DZ47" s="17">
        <v>0</v>
      </c>
      <c r="EA47" s="17">
        <v>0</v>
      </c>
      <c r="EB47" s="17">
        <v>0</v>
      </c>
      <c r="EC47" s="17">
        <v>0</v>
      </c>
      <c r="ED47" s="17">
        <v>0</v>
      </c>
      <c r="EE47" s="17">
        <v>0</v>
      </c>
      <c r="EF47" s="17">
        <v>0</v>
      </c>
      <c r="EG47" s="17">
        <v>0</v>
      </c>
      <c r="EH47" s="17">
        <v>0</v>
      </c>
      <c r="EI47" s="17">
        <v>0</v>
      </c>
      <c r="EJ47" s="17">
        <v>0</v>
      </c>
      <c r="EK47" s="17">
        <v>0</v>
      </c>
      <c r="EL47" s="17">
        <v>0</v>
      </c>
      <c r="EM47" s="17">
        <v>0</v>
      </c>
      <c r="EN47" s="17">
        <v>0</v>
      </c>
      <c r="EO47" s="17">
        <v>0</v>
      </c>
      <c r="EP47" s="17">
        <v>0</v>
      </c>
      <c r="EQ47" s="17">
        <v>0</v>
      </c>
      <c r="ER47" s="17">
        <v>0</v>
      </c>
      <c r="ES47" s="17">
        <v>0</v>
      </c>
      <c r="ET47" s="17">
        <v>0</v>
      </c>
      <c r="EU47" s="17">
        <v>0</v>
      </c>
      <c r="EV47" s="17">
        <v>0</v>
      </c>
      <c r="EW47" s="17">
        <v>0</v>
      </c>
      <c r="EX47" s="17">
        <v>0</v>
      </c>
      <c r="EY47" s="17">
        <v>0</v>
      </c>
      <c r="EZ47" s="17">
        <v>0</v>
      </c>
      <c r="FA47" s="17">
        <v>0</v>
      </c>
      <c r="FB47" s="17">
        <v>0</v>
      </c>
      <c r="FC47" s="17">
        <v>0</v>
      </c>
      <c r="FD47" s="17">
        <v>0</v>
      </c>
      <c r="FE47" s="17">
        <v>0</v>
      </c>
      <c r="FF47" s="17">
        <v>0</v>
      </c>
      <c r="FG47" s="17">
        <v>0</v>
      </c>
      <c r="FH47" s="17">
        <v>0</v>
      </c>
      <c r="FI47" s="17">
        <v>0</v>
      </c>
      <c r="FJ47" s="17">
        <v>0</v>
      </c>
      <c r="FK47" s="17">
        <v>0</v>
      </c>
      <c r="FL47" s="17">
        <v>0</v>
      </c>
      <c r="FM47" s="17">
        <v>0</v>
      </c>
      <c r="FN47" s="17">
        <v>0</v>
      </c>
      <c r="FO47" s="17">
        <v>0</v>
      </c>
      <c r="FP47" s="17">
        <v>0</v>
      </c>
      <c r="FQ47" s="17">
        <v>0</v>
      </c>
      <c r="FR47" s="17">
        <v>0</v>
      </c>
      <c r="FS47" s="17">
        <v>0</v>
      </c>
      <c r="FT47" s="17">
        <v>0</v>
      </c>
      <c r="FU47" s="17">
        <v>0</v>
      </c>
      <c r="FV47" s="17">
        <v>0</v>
      </c>
      <c r="FW47" s="17">
        <v>0</v>
      </c>
      <c r="FX47" s="17">
        <v>0</v>
      </c>
      <c r="FY47" s="17">
        <v>0</v>
      </c>
      <c r="FZ47" s="17">
        <v>0</v>
      </c>
      <c r="GA47" s="17">
        <v>0</v>
      </c>
      <c r="GB47" s="17">
        <v>0</v>
      </c>
      <c r="GC47" s="17">
        <v>0</v>
      </c>
      <c r="GD47" s="17">
        <v>0</v>
      </c>
      <c r="GE47" s="17">
        <v>0</v>
      </c>
      <c r="GF47" s="17">
        <v>0</v>
      </c>
      <c r="GG47" s="17">
        <v>0</v>
      </c>
      <c r="GH47" s="17">
        <v>0</v>
      </c>
      <c r="GI47" s="17">
        <v>0</v>
      </c>
      <c r="GJ47" s="17">
        <v>0</v>
      </c>
      <c r="GK47" s="17">
        <v>0</v>
      </c>
      <c r="GL47" s="17">
        <v>0</v>
      </c>
      <c r="GM47" s="17">
        <v>0</v>
      </c>
      <c r="GN47" s="17">
        <v>0</v>
      </c>
      <c r="GO47" s="17">
        <v>0</v>
      </c>
      <c r="GP47" s="17">
        <v>0</v>
      </c>
      <c r="GQ47" s="17">
        <v>0</v>
      </c>
      <c r="GR47" s="17">
        <v>0</v>
      </c>
      <c r="GS47" s="17">
        <v>0</v>
      </c>
      <c r="GT47" s="17">
        <v>0</v>
      </c>
      <c r="GU47" s="17">
        <v>0</v>
      </c>
      <c r="GV47" s="17">
        <v>0</v>
      </c>
      <c r="GW47" s="17">
        <v>0</v>
      </c>
      <c r="GX47" s="17">
        <v>0</v>
      </c>
      <c r="GY47" s="17">
        <v>0</v>
      </c>
      <c r="GZ47" s="17">
        <v>0</v>
      </c>
      <c r="HA47" s="17">
        <v>0</v>
      </c>
      <c r="HB47" s="17">
        <v>0</v>
      </c>
      <c r="HC47" s="17">
        <v>0</v>
      </c>
      <c r="HD47" s="17">
        <v>0</v>
      </c>
      <c r="HE47" s="17">
        <v>0</v>
      </c>
      <c r="HF47" s="17">
        <v>0</v>
      </c>
      <c r="HG47" s="17">
        <v>0</v>
      </c>
      <c r="HH47" s="17">
        <v>0</v>
      </c>
    </row>
    <row r="48" spans="1:216" x14ac:dyDescent="0.25">
      <c r="A48" s="8">
        <v>44</v>
      </c>
      <c r="B48" s="8">
        <v>21.5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  <c r="AG48" s="17">
        <v>0</v>
      </c>
      <c r="AH48" s="17">
        <v>0</v>
      </c>
      <c r="AI48" s="17">
        <v>0</v>
      </c>
      <c r="AJ48" s="17">
        <v>0</v>
      </c>
      <c r="AK48" s="17">
        <v>0</v>
      </c>
      <c r="AL48" s="17">
        <v>0</v>
      </c>
      <c r="AM48" s="17">
        <v>0</v>
      </c>
      <c r="AN48" s="17">
        <v>0</v>
      </c>
      <c r="AO48" s="17">
        <v>0</v>
      </c>
      <c r="AP48" s="17">
        <v>0</v>
      </c>
      <c r="AQ48" s="17">
        <v>0</v>
      </c>
      <c r="AR48" s="17">
        <v>0</v>
      </c>
      <c r="AS48" s="17">
        <v>0</v>
      </c>
      <c r="AT48" s="17">
        <v>0</v>
      </c>
      <c r="AU48" s="17">
        <v>0</v>
      </c>
      <c r="AV48" s="17">
        <v>0</v>
      </c>
      <c r="AW48" s="17">
        <v>0</v>
      </c>
      <c r="AX48" s="17">
        <v>0</v>
      </c>
      <c r="AY48" s="17">
        <v>0</v>
      </c>
      <c r="AZ48" s="17">
        <v>0</v>
      </c>
      <c r="BA48" s="17">
        <v>0</v>
      </c>
      <c r="BB48" s="17">
        <v>0</v>
      </c>
      <c r="BC48" s="17">
        <v>0</v>
      </c>
      <c r="BD48" s="17">
        <v>0</v>
      </c>
      <c r="BE48" s="17">
        <v>0</v>
      </c>
      <c r="BF48" s="17">
        <v>0</v>
      </c>
      <c r="BG48" s="17">
        <v>0</v>
      </c>
      <c r="BH48" s="17">
        <v>0</v>
      </c>
      <c r="BI48" s="17">
        <v>0</v>
      </c>
      <c r="BJ48" s="17">
        <v>0</v>
      </c>
      <c r="BK48" s="17">
        <v>0</v>
      </c>
      <c r="BL48" s="17">
        <v>0</v>
      </c>
      <c r="BM48" s="17">
        <v>0</v>
      </c>
      <c r="BN48" s="17">
        <v>0</v>
      </c>
      <c r="BO48" s="17">
        <v>0</v>
      </c>
      <c r="BP48" s="17">
        <v>0</v>
      </c>
      <c r="BQ48" s="17">
        <v>0</v>
      </c>
      <c r="BR48" s="17">
        <v>0</v>
      </c>
      <c r="BS48" s="17">
        <v>0</v>
      </c>
      <c r="BT48" s="17">
        <v>0</v>
      </c>
      <c r="BU48" s="17">
        <v>0</v>
      </c>
      <c r="BV48" s="17">
        <v>0</v>
      </c>
      <c r="BW48" s="17">
        <v>0</v>
      </c>
      <c r="BX48" s="17">
        <v>0</v>
      </c>
      <c r="BY48" s="17">
        <v>0</v>
      </c>
      <c r="BZ48" s="17">
        <v>0</v>
      </c>
      <c r="CA48" s="17">
        <v>0</v>
      </c>
      <c r="CB48" s="17">
        <v>0</v>
      </c>
      <c r="CC48" s="17">
        <v>0</v>
      </c>
      <c r="CD48" s="17">
        <v>0</v>
      </c>
      <c r="CE48" s="17">
        <v>0</v>
      </c>
      <c r="CF48" s="17">
        <v>0</v>
      </c>
      <c r="CG48" s="17">
        <v>0</v>
      </c>
      <c r="CH48" s="17">
        <v>0</v>
      </c>
      <c r="CI48" s="17">
        <v>0</v>
      </c>
      <c r="CJ48" s="17">
        <v>0</v>
      </c>
      <c r="CK48" s="17">
        <v>0</v>
      </c>
      <c r="CL48" s="17">
        <v>0</v>
      </c>
      <c r="CM48" s="17">
        <v>0</v>
      </c>
      <c r="CN48" s="17">
        <v>0</v>
      </c>
      <c r="CO48" s="17">
        <v>0</v>
      </c>
      <c r="CP48" s="17">
        <v>0</v>
      </c>
      <c r="CQ48" s="17">
        <v>0</v>
      </c>
      <c r="CR48" s="17">
        <v>0</v>
      </c>
      <c r="CS48" s="17">
        <v>0</v>
      </c>
      <c r="CT48" s="17">
        <v>0</v>
      </c>
      <c r="CU48" s="17">
        <v>0</v>
      </c>
      <c r="CV48" s="17">
        <v>0</v>
      </c>
      <c r="CW48" s="17">
        <v>0</v>
      </c>
      <c r="CX48" s="17">
        <v>0</v>
      </c>
      <c r="CY48" s="17">
        <v>0</v>
      </c>
      <c r="CZ48" s="17">
        <v>0</v>
      </c>
      <c r="DA48" s="17">
        <v>0</v>
      </c>
      <c r="DB48" s="17">
        <v>0</v>
      </c>
      <c r="DC48" s="17">
        <v>0</v>
      </c>
      <c r="DD48" s="17">
        <v>0</v>
      </c>
      <c r="DE48" s="17">
        <v>0</v>
      </c>
      <c r="DF48" s="17">
        <v>0</v>
      </c>
      <c r="DG48" s="17">
        <v>0</v>
      </c>
      <c r="DH48" s="17">
        <v>0</v>
      </c>
      <c r="DI48" s="17">
        <v>0</v>
      </c>
      <c r="DJ48" s="17">
        <v>0</v>
      </c>
      <c r="DK48" s="17">
        <v>0</v>
      </c>
      <c r="DL48" s="17">
        <v>0</v>
      </c>
      <c r="DM48" s="17">
        <v>0</v>
      </c>
      <c r="DN48" s="17">
        <v>0</v>
      </c>
      <c r="DO48" s="17">
        <v>0</v>
      </c>
      <c r="DP48" s="17">
        <v>0</v>
      </c>
      <c r="DQ48" s="17">
        <v>0</v>
      </c>
      <c r="DR48" s="17">
        <v>0</v>
      </c>
      <c r="DS48" s="17">
        <v>0</v>
      </c>
      <c r="DT48" s="17">
        <v>0</v>
      </c>
      <c r="DU48" s="17">
        <v>0</v>
      </c>
      <c r="DV48" s="17">
        <v>0</v>
      </c>
      <c r="DW48" s="17">
        <v>0</v>
      </c>
      <c r="DX48" s="17">
        <v>0</v>
      </c>
      <c r="DY48" s="17">
        <v>0</v>
      </c>
      <c r="DZ48" s="17">
        <v>0</v>
      </c>
      <c r="EA48" s="17">
        <v>0</v>
      </c>
      <c r="EB48" s="17">
        <v>0</v>
      </c>
      <c r="EC48" s="17">
        <v>0</v>
      </c>
      <c r="ED48" s="17">
        <v>0</v>
      </c>
      <c r="EE48" s="17">
        <v>0</v>
      </c>
      <c r="EF48" s="17">
        <v>0</v>
      </c>
      <c r="EG48" s="17">
        <v>0</v>
      </c>
      <c r="EH48" s="17">
        <v>0</v>
      </c>
      <c r="EI48" s="17">
        <v>0</v>
      </c>
      <c r="EJ48" s="17">
        <v>0</v>
      </c>
      <c r="EK48" s="17">
        <v>0</v>
      </c>
      <c r="EL48" s="17">
        <v>0</v>
      </c>
      <c r="EM48" s="17">
        <v>0</v>
      </c>
      <c r="EN48" s="17">
        <v>0</v>
      </c>
      <c r="EO48" s="17">
        <v>0</v>
      </c>
      <c r="EP48" s="17">
        <v>0</v>
      </c>
      <c r="EQ48" s="17">
        <v>0</v>
      </c>
      <c r="ER48" s="17">
        <v>0</v>
      </c>
      <c r="ES48" s="17">
        <v>0</v>
      </c>
      <c r="ET48" s="17">
        <v>0</v>
      </c>
      <c r="EU48" s="17">
        <v>0</v>
      </c>
      <c r="EV48" s="17">
        <v>0</v>
      </c>
      <c r="EW48" s="17">
        <v>0</v>
      </c>
      <c r="EX48" s="17">
        <v>0</v>
      </c>
      <c r="EY48" s="17">
        <v>0</v>
      </c>
      <c r="EZ48" s="17">
        <v>0</v>
      </c>
      <c r="FA48" s="17">
        <v>0</v>
      </c>
      <c r="FB48" s="17">
        <v>0</v>
      </c>
      <c r="FC48" s="17">
        <v>0</v>
      </c>
      <c r="FD48" s="17">
        <v>0</v>
      </c>
      <c r="FE48" s="17">
        <v>0</v>
      </c>
      <c r="FF48" s="17">
        <v>0</v>
      </c>
      <c r="FG48" s="17">
        <v>0</v>
      </c>
      <c r="FH48" s="17">
        <v>0</v>
      </c>
      <c r="FI48" s="17">
        <v>0</v>
      </c>
      <c r="FJ48" s="17">
        <v>0</v>
      </c>
      <c r="FK48" s="17">
        <v>0</v>
      </c>
      <c r="FL48" s="17">
        <v>0</v>
      </c>
      <c r="FM48" s="17">
        <v>0</v>
      </c>
      <c r="FN48" s="17">
        <v>0</v>
      </c>
      <c r="FO48" s="17">
        <v>0</v>
      </c>
      <c r="FP48" s="17">
        <v>0</v>
      </c>
      <c r="FQ48" s="17">
        <v>0</v>
      </c>
      <c r="FR48" s="17">
        <v>0</v>
      </c>
      <c r="FS48" s="17">
        <v>0</v>
      </c>
      <c r="FT48" s="17">
        <v>0</v>
      </c>
      <c r="FU48" s="17">
        <v>0</v>
      </c>
      <c r="FV48" s="17">
        <v>0</v>
      </c>
      <c r="FW48" s="17">
        <v>0</v>
      </c>
      <c r="FX48" s="17">
        <v>0</v>
      </c>
      <c r="FY48" s="17">
        <v>0</v>
      </c>
      <c r="FZ48" s="17">
        <v>0</v>
      </c>
      <c r="GA48" s="17">
        <v>0</v>
      </c>
      <c r="GB48" s="17">
        <v>0</v>
      </c>
      <c r="GC48" s="17">
        <v>0</v>
      </c>
      <c r="GD48" s="17">
        <v>0</v>
      </c>
      <c r="GE48" s="17">
        <v>0</v>
      </c>
      <c r="GF48" s="17">
        <v>0</v>
      </c>
      <c r="GG48" s="17">
        <v>0</v>
      </c>
      <c r="GH48" s="17">
        <v>0</v>
      </c>
      <c r="GI48" s="17">
        <v>0</v>
      </c>
      <c r="GJ48" s="17">
        <v>0</v>
      </c>
      <c r="GK48" s="17">
        <v>0</v>
      </c>
      <c r="GL48" s="17">
        <v>0</v>
      </c>
      <c r="GM48" s="17">
        <v>0</v>
      </c>
      <c r="GN48" s="17">
        <v>0</v>
      </c>
      <c r="GO48" s="17">
        <v>0</v>
      </c>
      <c r="GP48" s="17">
        <v>0</v>
      </c>
      <c r="GQ48" s="17">
        <v>0</v>
      </c>
      <c r="GR48" s="17">
        <v>0</v>
      </c>
      <c r="GS48" s="17">
        <v>0</v>
      </c>
      <c r="GT48" s="17">
        <v>0</v>
      </c>
      <c r="GU48" s="17">
        <v>0</v>
      </c>
      <c r="GV48" s="17">
        <v>0</v>
      </c>
      <c r="GW48" s="17">
        <v>0</v>
      </c>
      <c r="GX48" s="17">
        <v>0</v>
      </c>
      <c r="GY48" s="17">
        <v>0</v>
      </c>
      <c r="GZ48" s="17">
        <v>0</v>
      </c>
      <c r="HA48" s="17">
        <v>0</v>
      </c>
      <c r="HB48" s="17">
        <v>0</v>
      </c>
      <c r="HC48" s="17">
        <v>0</v>
      </c>
      <c r="HD48" s="17">
        <v>0</v>
      </c>
      <c r="HE48" s="17">
        <v>0</v>
      </c>
      <c r="HF48" s="17">
        <v>0</v>
      </c>
      <c r="HG48" s="17">
        <v>0</v>
      </c>
      <c r="HH48" s="17">
        <v>0</v>
      </c>
    </row>
    <row r="49" spans="1:216" x14ac:dyDescent="0.25">
      <c r="A49" s="8">
        <v>45</v>
      </c>
      <c r="B49" s="8">
        <v>22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  <c r="AG49" s="17">
        <v>0</v>
      </c>
      <c r="AH49" s="17">
        <v>0</v>
      </c>
      <c r="AI49" s="17">
        <v>0</v>
      </c>
      <c r="AJ49" s="17">
        <v>0</v>
      </c>
      <c r="AK49" s="17">
        <v>0</v>
      </c>
      <c r="AL49" s="17">
        <v>0</v>
      </c>
      <c r="AM49" s="17">
        <v>0</v>
      </c>
      <c r="AN49" s="17">
        <v>0</v>
      </c>
      <c r="AO49" s="17">
        <v>0</v>
      </c>
      <c r="AP49" s="17">
        <v>0</v>
      </c>
      <c r="AQ49" s="17">
        <v>0</v>
      </c>
      <c r="AR49" s="17">
        <v>0</v>
      </c>
      <c r="AS49" s="17">
        <v>0</v>
      </c>
      <c r="AT49" s="17">
        <v>0</v>
      </c>
      <c r="AU49" s="17">
        <v>0</v>
      </c>
      <c r="AV49" s="17">
        <v>0</v>
      </c>
      <c r="AW49" s="17">
        <v>0</v>
      </c>
      <c r="AX49" s="17">
        <v>0</v>
      </c>
      <c r="AY49" s="17">
        <v>0</v>
      </c>
      <c r="AZ49" s="17">
        <v>0</v>
      </c>
      <c r="BA49" s="17">
        <v>0</v>
      </c>
      <c r="BB49" s="17">
        <v>0</v>
      </c>
      <c r="BC49" s="17">
        <v>0</v>
      </c>
      <c r="BD49" s="17">
        <v>0</v>
      </c>
      <c r="BE49" s="17">
        <v>0</v>
      </c>
      <c r="BF49" s="17">
        <v>0</v>
      </c>
      <c r="BG49" s="17">
        <v>0</v>
      </c>
      <c r="BH49" s="17">
        <v>0</v>
      </c>
      <c r="BI49" s="17">
        <v>0</v>
      </c>
      <c r="BJ49" s="17">
        <v>0</v>
      </c>
      <c r="BK49" s="17">
        <v>0</v>
      </c>
      <c r="BL49" s="17">
        <v>0</v>
      </c>
      <c r="BM49" s="17">
        <v>0</v>
      </c>
      <c r="BN49" s="17">
        <v>0</v>
      </c>
      <c r="BO49" s="17">
        <v>0</v>
      </c>
      <c r="BP49" s="17">
        <v>0</v>
      </c>
      <c r="BQ49" s="17">
        <v>0</v>
      </c>
      <c r="BR49" s="17">
        <v>0</v>
      </c>
      <c r="BS49" s="17">
        <v>0</v>
      </c>
      <c r="BT49" s="17">
        <v>0</v>
      </c>
      <c r="BU49" s="17">
        <v>0</v>
      </c>
      <c r="BV49" s="17">
        <v>0</v>
      </c>
      <c r="BW49" s="17">
        <v>0</v>
      </c>
      <c r="BX49" s="17">
        <v>0</v>
      </c>
      <c r="BY49" s="17">
        <v>0</v>
      </c>
      <c r="BZ49" s="17">
        <v>0</v>
      </c>
      <c r="CA49" s="17">
        <v>0</v>
      </c>
      <c r="CB49" s="17">
        <v>0</v>
      </c>
      <c r="CC49" s="17">
        <v>0</v>
      </c>
      <c r="CD49" s="17">
        <v>0</v>
      </c>
      <c r="CE49" s="17">
        <v>0</v>
      </c>
      <c r="CF49" s="17">
        <v>0</v>
      </c>
      <c r="CG49" s="17">
        <v>0</v>
      </c>
      <c r="CH49" s="17">
        <v>0</v>
      </c>
      <c r="CI49" s="17">
        <v>0</v>
      </c>
      <c r="CJ49" s="17">
        <v>0</v>
      </c>
      <c r="CK49" s="17">
        <v>0</v>
      </c>
      <c r="CL49" s="17">
        <v>0</v>
      </c>
      <c r="CM49" s="17">
        <v>0</v>
      </c>
      <c r="CN49" s="17">
        <v>0</v>
      </c>
      <c r="CO49" s="17">
        <v>0</v>
      </c>
      <c r="CP49" s="17">
        <v>0</v>
      </c>
      <c r="CQ49" s="17">
        <v>0</v>
      </c>
      <c r="CR49" s="17">
        <v>0</v>
      </c>
      <c r="CS49" s="17">
        <v>0</v>
      </c>
      <c r="CT49" s="17">
        <v>0</v>
      </c>
      <c r="CU49" s="17">
        <v>0</v>
      </c>
      <c r="CV49" s="17">
        <v>0</v>
      </c>
      <c r="CW49" s="17">
        <v>0</v>
      </c>
      <c r="CX49" s="17">
        <v>0</v>
      </c>
      <c r="CY49" s="17">
        <v>0</v>
      </c>
      <c r="CZ49" s="17">
        <v>0</v>
      </c>
      <c r="DA49" s="17">
        <v>0</v>
      </c>
      <c r="DB49" s="17">
        <v>0</v>
      </c>
      <c r="DC49" s="17">
        <v>0</v>
      </c>
      <c r="DD49" s="17">
        <v>0</v>
      </c>
      <c r="DE49" s="17">
        <v>0</v>
      </c>
      <c r="DF49" s="17">
        <v>0</v>
      </c>
      <c r="DG49" s="17">
        <v>0</v>
      </c>
      <c r="DH49" s="17">
        <v>0</v>
      </c>
      <c r="DI49" s="17">
        <v>0</v>
      </c>
      <c r="DJ49" s="17">
        <v>0</v>
      </c>
      <c r="DK49" s="17">
        <v>0</v>
      </c>
      <c r="DL49" s="17">
        <v>0</v>
      </c>
      <c r="DM49" s="17">
        <v>0</v>
      </c>
      <c r="DN49" s="17">
        <v>0</v>
      </c>
      <c r="DO49" s="17">
        <v>0</v>
      </c>
      <c r="DP49" s="17">
        <v>0</v>
      </c>
      <c r="DQ49" s="17">
        <v>0</v>
      </c>
      <c r="DR49" s="17">
        <v>0</v>
      </c>
      <c r="DS49" s="17">
        <v>0</v>
      </c>
      <c r="DT49" s="17">
        <v>0</v>
      </c>
      <c r="DU49" s="17">
        <v>0</v>
      </c>
      <c r="DV49" s="17">
        <v>0</v>
      </c>
      <c r="DW49" s="17">
        <v>0</v>
      </c>
      <c r="DX49" s="17">
        <v>0</v>
      </c>
      <c r="DY49" s="17">
        <v>0</v>
      </c>
      <c r="DZ49" s="17">
        <v>0</v>
      </c>
      <c r="EA49" s="17">
        <v>0</v>
      </c>
      <c r="EB49" s="17">
        <v>0</v>
      </c>
      <c r="EC49" s="17">
        <v>0</v>
      </c>
      <c r="ED49" s="17">
        <v>0</v>
      </c>
      <c r="EE49" s="17">
        <v>0</v>
      </c>
      <c r="EF49" s="17">
        <v>0</v>
      </c>
      <c r="EG49" s="17">
        <v>0</v>
      </c>
      <c r="EH49" s="17">
        <v>0</v>
      </c>
      <c r="EI49" s="17">
        <v>0</v>
      </c>
      <c r="EJ49" s="17">
        <v>0</v>
      </c>
      <c r="EK49" s="17">
        <v>0</v>
      </c>
      <c r="EL49" s="17">
        <v>0</v>
      </c>
      <c r="EM49" s="17">
        <v>0</v>
      </c>
      <c r="EN49" s="17">
        <v>0</v>
      </c>
      <c r="EO49" s="17">
        <v>0</v>
      </c>
      <c r="EP49" s="17">
        <v>0</v>
      </c>
      <c r="EQ49" s="17">
        <v>0</v>
      </c>
      <c r="ER49" s="17">
        <v>0</v>
      </c>
      <c r="ES49" s="17">
        <v>0</v>
      </c>
      <c r="ET49" s="17">
        <v>0</v>
      </c>
      <c r="EU49" s="17">
        <v>0</v>
      </c>
      <c r="EV49" s="17">
        <v>0</v>
      </c>
      <c r="EW49" s="17">
        <v>0</v>
      </c>
      <c r="EX49" s="17">
        <v>0</v>
      </c>
      <c r="EY49" s="17">
        <v>0</v>
      </c>
      <c r="EZ49" s="17">
        <v>0</v>
      </c>
      <c r="FA49" s="17">
        <v>0</v>
      </c>
      <c r="FB49" s="17">
        <v>0</v>
      </c>
      <c r="FC49" s="17">
        <v>0</v>
      </c>
      <c r="FD49" s="17">
        <v>0</v>
      </c>
      <c r="FE49" s="17">
        <v>0</v>
      </c>
      <c r="FF49" s="17">
        <v>0</v>
      </c>
      <c r="FG49" s="17">
        <v>0</v>
      </c>
      <c r="FH49" s="17">
        <v>0</v>
      </c>
      <c r="FI49" s="17">
        <v>0</v>
      </c>
      <c r="FJ49" s="17">
        <v>0</v>
      </c>
      <c r="FK49" s="17">
        <v>0</v>
      </c>
      <c r="FL49" s="17">
        <v>0</v>
      </c>
      <c r="FM49" s="17">
        <v>0</v>
      </c>
      <c r="FN49" s="17">
        <v>0</v>
      </c>
      <c r="FO49" s="17">
        <v>0</v>
      </c>
      <c r="FP49" s="17">
        <v>0</v>
      </c>
      <c r="FQ49" s="17">
        <v>0</v>
      </c>
      <c r="FR49" s="17">
        <v>0</v>
      </c>
      <c r="FS49" s="17">
        <v>0</v>
      </c>
      <c r="FT49" s="17">
        <v>0</v>
      </c>
      <c r="FU49" s="17">
        <v>0</v>
      </c>
      <c r="FV49" s="17">
        <v>0</v>
      </c>
      <c r="FW49" s="17">
        <v>0</v>
      </c>
      <c r="FX49" s="17">
        <v>0</v>
      </c>
      <c r="FY49" s="17">
        <v>0</v>
      </c>
      <c r="FZ49" s="17">
        <v>0</v>
      </c>
      <c r="GA49" s="17">
        <v>0</v>
      </c>
      <c r="GB49" s="17">
        <v>0</v>
      </c>
      <c r="GC49" s="17">
        <v>0</v>
      </c>
      <c r="GD49" s="17">
        <v>0</v>
      </c>
      <c r="GE49" s="17">
        <v>0</v>
      </c>
      <c r="GF49" s="17">
        <v>0</v>
      </c>
      <c r="GG49" s="17">
        <v>0</v>
      </c>
      <c r="GH49" s="17">
        <v>0</v>
      </c>
      <c r="GI49" s="17">
        <v>0</v>
      </c>
      <c r="GJ49" s="17">
        <v>0</v>
      </c>
      <c r="GK49" s="17">
        <v>0</v>
      </c>
      <c r="GL49" s="17">
        <v>0</v>
      </c>
      <c r="GM49" s="17">
        <v>0</v>
      </c>
      <c r="GN49" s="17">
        <v>0</v>
      </c>
      <c r="GO49" s="17">
        <v>0</v>
      </c>
      <c r="GP49" s="17">
        <v>0</v>
      </c>
      <c r="GQ49" s="17">
        <v>0</v>
      </c>
      <c r="GR49" s="17">
        <v>0</v>
      </c>
      <c r="GS49" s="17">
        <v>0</v>
      </c>
      <c r="GT49" s="17">
        <v>0</v>
      </c>
      <c r="GU49" s="17">
        <v>0</v>
      </c>
      <c r="GV49" s="17">
        <v>0</v>
      </c>
      <c r="GW49" s="17">
        <v>0</v>
      </c>
      <c r="GX49" s="17">
        <v>0</v>
      </c>
      <c r="GY49" s="17">
        <v>0</v>
      </c>
      <c r="GZ49" s="17">
        <v>0</v>
      </c>
      <c r="HA49" s="17">
        <v>0</v>
      </c>
      <c r="HB49" s="17">
        <v>0</v>
      </c>
      <c r="HC49" s="17">
        <v>0</v>
      </c>
      <c r="HD49" s="17">
        <v>0</v>
      </c>
      <c r="HE49" s="17">
        <v>0</v>
      </c>
      <c r="HF49" s="17">
        <v>0</v>
      </c>
      <c r="HG49" s="17">
        <v>0</v>
      </c>
      <c r="HH49" s="17">
        <v>0</v>
      </c>
    </row>
    <row r="50" spans="1:216" x14ac:dyDescent="0.25">
      <c r="A50" s="8">
        <v>46</v>
      </c>
      <c r="B50" s="8">
        <v>22.5</v>
      </c>
      <c r="C50" s="17">
        <v>0</v>
      </c>
      <c r="D50" s="17">
        <v>0</v>
      </c>
      <c r="E50" s="17">
        <v>0</v>
      </c>
      <c r="F50" s="17">
        <v>0</v>
      </c>
      <c r="G50" s="17">
        <v>0</v>
      </c>
      <c r="H50" s="17">
        <v>0</v>
      </c>
      <c r="I50" s="17">
        <v>0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  <c r="AG50" s="17">
        <v>0</v>
      </c>
      <c r="AH50" s="17">
        <v>0</v>
      </c>
      <c r="AI50" s="17">
        <v>0</v>
      </c>
      <c r="AJ50" s="17">
        <v>0</v>
      </c>
      <c r="AK50" s="17">
        <v>0</v>
      </c>
      <c r="AL50" s="17">
        <v>0</v>
      </c>
      <c r="AM50" s="17">
        <v>0</v>
      </c>
      <c r="AN50" s="17">
        <v>0</v>
      </c>
      <c r="AO50" s="17">
        <v>0</v>
      </c>
      <c r="AP50" s="17">
        <v>0</v>
      </c>
      <c r="AQ50" s="17">
        <v>0</v>
      </c>
      <c r="AR50" s="17">
        <v>0</v>
      </c>
      <c r="AS50" s="17">
        <v>0</v>
      </c>
      <c r="AT50" s="17">
        <v>0</v>
      </c>
      <c r="AU50" s="17">
        <v>0</v>
      </c>
      <c r="AV50" s="17">
        <v>0</v>
      </c>
      <c r="AW50" s="17">
        <v>0</v>
      </c>
      <c r="AX50" s="17">
        <v>0</v>
      </c>
      <c r="AY50" s="17">
        <v>0</v>
      </c>
      <c r="AZ50" s="17">
        <v>0</v>
      </c>
      <c r="BA50" s="17">
        <v>0</v>
      </c>
      <c r="BB50" s="17">
        <v>0</v>
      </c>
      <c r="BC50" s="17">
        <v>0</v>
      </c>
      <c r="BD50" s="17">
        <v>0</v>
      </c>
      <c r="BE50" s="17">
        <v>0</v>
      </c>
      <c r="BF50" s="17">
        <v>0</v>
      </c>
      <c r="BG50" s="17">
        <v>0</v>
      </c>
      <c r="BH50" s="17">
        <v>0</v>
      </c>
      <c r="BI50" s="17">
        <v>0</v>
      </c>
      <c r="BJ50" s="17">
        <v>0</v>
      </c>
      <c r="BK50" s="17">
        <v>0</v>
      </c>
      <c r="BL50" s="17">
        <v>0</v>
      </c>
      <c r="BM50" s="17">
        <v>0</v>
      </c>
      <c r="BN50" s="17">
        <v>0</v>
      </c>
      <c r="BO50" s="17">
        <v>0</v>
      </c>
      <c r="BP50" s="17">
        <v>0</v>
      </c>
      <c r="BQ50" s="17">
        <v>0</v>
      </c>
      <c r="BR50" s="17">
        <v>0</v>
      </c>
      <c r="BS50" s="17">
        <v>0</v>
      </c>
      <c r="BT50" s="17">
        <v>0</v>
      </c>
      <c r="BU50" s="17">
        <v>0</v>
      </c>
      <c r="BV50" s="17">
        <v>0</v>
      </c>
      <c r="BW50" s="17">
        <v>0</v>
      </c>
      <c r="BX50" s="17">
        <v>0</v>
      </c>
      <c r="BY50" s="17">
        <v>0</v>
      </c>
      <c r="BZ50" s="17">
        <v>0</v>
      </c>
      <c r="CA50" s="17">
        <v>0</v>
      </c>
      <c r="CB50" s="17">
        <v>0</v>
      </c>
      <c r="CC50" s="17">
        <v>0</v>
      </c>
      <c r="CD50" s="17">
        <v>0</v>
      </c>
      <c r="CE50" s="17">
        <v>0</v>
      </c>
      <c r="CF50" s="17">
        <v>0</v>
      </c>
      <c r="CG50" s="17">
        <v>0</v>
      </c>
      <c r="CH50" s="17">
        <v>0</v>
      </c>
      <c r="CI50" s="17">
        <v>0</v>
      </c>
      <c r="CJ50" s="17">
        <v>0</v>
      </c>
      <c r="CK50" s="17">
        <v>0</v>
      </c>
      <c r="CL50" s="17">
        <v>0</v>
      </c>
      <c r="CM50" s="17">
        <v>0</v>
      </c>
      <c r="CN50" s="17">
        <v>0</v>
      </c>
      <c r="CO50" s="17">
        <v>0</v>
      </c>
      <c r="CP50" s="17">
        <v>0</v>
      </c>
      <c r="CQ50" s="17">
        <v>0</v>
      </c>
      <c r="CR50" s="17">
        <v>0</v>
      </c>
      <c r="CS50" s="17">
        <v>0</v>
      </c>
      <c r="CT50" s="17">
        <v>0</v>
      </c>
      <c r="CU50" s="17">
        <v>0</v>
      </c>
      <c r="CV50" s="17">
        <v>0</v>
      </c>
      <c r="CW50" s="17">
        <v>0</v>
      </c>
      <c r="CX50" s="17">
        <v>0</v>
      </c>
      <c r="CY50" s="17">
        <v>0</v>
      </c>
      <c r="CZ50" s="17">
        <v>0</v>
      </c>
      <c r="DA50" s="17">
        <v>0</v>
      </c>
      <c r="DB50" s="17">
        <v>0</v>
      </c>
      <c r="DC50" s="17">
        <v>0</v>
      </c>
      <c r="DD50" s="17">
        <v>0</v>
      </c>
      <c r="DE50" s="17">
        <v>0</v>
      </c>
      <c r="DF50" s="17">
        <v>0</v>
      </c>
      <c r="DG50" s="17">
        <v>0</v>
      </c>
      <c r="DH50" s="17">
        <v>0</v>
      </c>
      <c r="DI50" s="17">
        <v>0</v>
      </c>
      <c r="DJ50" s="17">
        <v>0</v>
      </c>
      <c r="DK50" s="17">
        <v>0</v>
      </c>
      <c r="DL50" s="17">
        <v>0</v>
      </c>
      <c r="DM50" s="17">
        <v>0</v>
      </c>
      <c r="DN50" s="17">
        <v>0</v>
      </c>
      <c r="DO50" s="17">
        <v>0</v>
      </c>
      <c r="DP50" s="17">
        <v>0</v>
      </c>
      <c r="DQ50" s="17">
        <v>0</v>
      </c>
      <c r="DR50" s="17">
        <v>0</v>
      </c>
      <c r="DS50" s="17">
        <v>0</v>
      </c>
      <c r="DT50" s="17">
        <v>0</v>
      </c>
      <c r="DU50" s="17">
        <v>0</v>
      </c>
      <c r="DV50" s="17">
        <v>0</v>
      </c>
      <c r="DW50" s="17">
        <v>0</v>
      </c>
      <c r="DX50" s="17">
        <v>0</v>
      </c>
      <c r="DY50" s="17">
        <v>0</v>
      </c>
      <c r="DZ50" s="17">
        <v>0</v>
      </c>
      <c r="EA50" s="17">
        <v>0</v>
      </c>
      <c r="EB50" s="17">
        <v>0</v>
      </c>
      <c r="EC50" s="17">
        <v>0</v>
      </c>
      <c r="ED50" s="17">
        <v>0</v>
      </c>
      <c r="EE50" s="17">
        <v>0</v>
      </c>
      <c r="EF50" s="17">
        <v>0</v>
      </c>
      <c r="EG50" s="17">
        <v>0</v>
      </c>
      <c r="EH50" s="17">
        <v>0</v>
      </c>
      <c r="EI50" s="17">
        <v>0</v>
      </c>
      <c r="EJ50" s="17">
        <v>0</v>
      </c>
      <c r="EK50" s="17">
        <v>0</v>
      </c>
      <c r="EL50" s="17">
        <v>0</v>
      </c>
      <c r="EM50" s="17">
        <v>0</v>
      </c>
      <c r="EN50" s="17">
        <v>0</v>
      </c>
      <c r="EO50" s="17">
        <v>0</v>
      </c>
      <c r="EP50" s="17">
        <v>0</v>
      </c>
      <c r="EQ50" s="17">
        <v>0</v>
      </c>
      <c r="ER50" s="17">
        <v>0</v>
      </c>
      <c r="ES50" s="17">
        <v>0</v>
      </c>
      <c r="ET50" s="17">
        <v>0</v>
      </c>
      <c r="EU50" s="17">
        <v>0</v>
      </c>
      <c r="EV50" s="17">
        <v>0</v>
      </c>
      <c r="EW50" s="17">
        <v>0</v>
      </c>
      <c r="EX50" s="17">
        <v>0</v>
      </c>
      <c r="EY50" s="17">
        <v>0</v>
      </c>
      <c r="EZ50" s="17">
        <v>0</v>
      </c>
      <c r="FA50" s="17">
        <v>0</v>
      </c>
      <c r="FB50" s="17">
        <v>0</v>
      </c>
      <c r="FC50" s="17">
        <v>0</v>
      </c>
      <c r="FD50" s="17">
        <v>0</v>
      </c>
      <c r="FE50" s="17">
        <v>0</v>
      </c>
      <c r="FF50" s="17">
        <v>0</v>
      </c>
      <c r="FG50" s="17">
        <v>0</v>
      </c>
      <c r="FH50" s="17">
        <v>0</v>
      </c>
      <c r="FI50" s="17">
        <v>0</v>
      </c>
      <c r="FJ50" s="17">
        <v>0</v>
      </c>
      <c r="FK50" s="17">
        <v>0</v>
      </c>
      <c r="FL50" s="17">
        <v>0</v>
      </c>
      <c r="FM50" s="17">
        <v>0</v>
      </c>
      <c r="FN50" s="17">
        <v>0</v>
      </c>
      <c r="FO50" s="17">
        <v>0</v>
      </c>
      <c r="FP50" s="17">
        <v>0</v>
      </c>
      <c r="FQ50" s="17">
        <v>0</v>
      </c>
      <c r="FR50" s="17">
        <v>0</v>
      </c>
      <c r="FS50" s="17">
        <v>0</v>
      </c>
      <c r="FT50" s="17">
        <v>0</v>
      </c>
      <c r="FU50" s="17">
        <v>0</v>
      </c>
      <c r="FV50" s="17">
        <v>0</v>
      </c>
      <c r="FW50" s="17">
        <v>0</v>
      </c>
      <c r="FX50" s="17">
        <v>0</v>
      </c>
      <c r="FY50" s="17">
        <v>0</v>
      </c>
      <c r="FZ50" s="17">
        <v>0</v>
      </c>
      <c r="GA50" s="17">
        <v>0</v>
      </c>
      <c r="GB50" s="17">
        <v>0</v>
      </c>
      <c r="GC50" s="17">
        <v>0</v>
      </c>
      <c r="GD50" s="17">
        <v>0</v>
      </c>
      <c r="GE50" s="17">
        <v>0</v>
      </c>
      <c r="GF50" s="17">
        <v>0</v>
      </c>
      <c r="GG50" s="17">
        <v>0</v>
      </c>
      <c r="GH50" s="17">
        <v>0</v>
      </c>
      <c r="GI50" s="17">
        <v>0</v>
      </c>
      <c r="GJ50" s="17">
        <v>0</v>
      </c>
      <c r="GK50" s="17">
        <v>0</v>
      </c>
      <c r="GL50" s="17">
        <v>0</v>
      </c>
      <c r="GM50" s="17">
        <v>0</v>
      </c>
      <c r="GN50" s="17">
        <v>0</v>
      </c>
      <c r="GO50" s="17">
        <v>0</v>
      </c>
      <c r="GP50" s="17">
        <v>0</v>
      </c>
      <c r="GQ50" s="17">
        <v>0</v>
      </c>
      <c r="GR50" s="17">
        <v>0</v>
      </c>
      <c r="GS50" s="17">
        <v>0</v>
      </c>
      <c r="GT50" s="17">
        <v>0</v>
      </c>
      <c r="GU50" s="17">
        <v>0</v>
      </c>
      <c r="GV50" s="17">
        <v>0</v>
      </c>
      <c r="GW50" s="17">
        <v>0</v>
      </c>
      <c r="GX50" s="17">
        <v>0</v>
      </c>
      <c r="GY50" s="17">
        <v>0</v>
      </c>
      <c r="GZ50" s="17">
        <v>0</v>
      </c>
      <c r="HA50" s="17">
        <v>0</v>
      </c>
      <c r="HB50" s="17">
        <v>0</v>
      </c>
      <c r="HC50" s="17">
        <v>0</v>
      </c>
      <c r="HD50" s="17">
        <v>0</v>
      </c>
      <c r="HE50" s="17">
        <v>0</v>
      </c>
      <c r="HF50" s="17">
        <v>0</v>
      </c>
      <c r="HG50" s="17">
        <v>0</v>
      </c>
      <c r="HH50" s="17">
        <v>0</v>
      </c>
    </row>
    <row r="51" spans="1:216" x14ac:dyDescent="0.25">
      <c r="A51" s="8">
        <v>47</v>
      </c>
      <c r="B51" s="8">
        <v>23</v>
      </c>
      <c r="C51" s="17">
        <v>0</v>
      </c>
      <c r="D51" s="17">
        <v>0</v>
      </c>
      <c r="E51" s="17">
        <v>0</v>
      </c>
      <c r="F51" s="17">
        <v>0</v>
      </c>
      <c r="G51" s="17">
        <v>0</v>
      </c>
      <c r="H51" s="17">
        <v>0</v>
      </c>
      <c r="I51" s="17">
        <v>0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0</v>
      </c>
      <c r="P51" s="17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  <c r="AG51" s="17">
        <v>0</v>
      </c>
      <c r="AH51" s="17">
        <v>0</v>
      </c>
      <c r="AI51" s="17">
        <v>0</v>
      </c>
      <c r="AJ51" s="17">
        <v>0</v>
      </c>
      <c r="AK51" s="17">
        <v>0</v>
      </c>
      <c r="AL51" s="17">
        <v>0</v>
      </c>
      <c r="AM51" s="17">
        <v>0</v>
      </c>
      <c r="AN51" s="17">
        <v>0</v>
      </c>
      <c r="AO51" s="17">
        <v>0</v>
      </c>
      <c r="AP51" s="17">
        <v>0</v>
      </c>
      <c r="AQ51" s="17">
        <v>0</v>
      </c>
      <c r="AR51" s="17">
        <v>0</v>
      </c>
      <c r="AS51" s="17">
        <v>0</v>
      </c>
      <c r="AT51" s="17">
        <v>0</v>
      </c>
      <c r="AU51" s="17">
        <v>0</v>
      </c>
      <c r="AV51" s="17">
        <v>0</v>
      </c>
      <c r="AW51" s="17">
        <v>0</v>
      </c>
      <c r="AX51" s="17">
        <v>0</v>
      </c>
      <c r="AY51" s="17">
        <v>0</v>
      </c>
      <c r="AZ51" s="17">
        <v>0</v>
      </c>
      <c r="BA51" s="17">
        <v>0</v>
      </c>
      <c r="BB51" s="17">
        <v>0</v>
      </c>
      <c r="BC51" s="17">
        <v>0</v>
      </c>
      <c r="BD51" s="17">
        <v>0</v>
      </c>
      <c r="BE51" s="17">
        <v>0</v>
      </c>
      <c r="BF51" s="17">
        <v>0</v>
      </c>
      <c r="BG51" s="17">
        <v>0</v>
      </c>
      <c r="BH51" s="17">
        <v>0</v>
      </c>
      <c r="BI51" s="17">
        <v>0</v>
      </c>
      <c r="BJ51" s="17">
        <v>0</v>
      </c>
      <c r="BK51" s="17">
        <v>0</v>
      </c>
      <c r="BL51" s="17">
        <v>0</v>
      </c>
      <c r="BM51" s="17">
        <v>0</v>
      </c>
      <c r="BN51" s="17">
        <v>0</v>
      </c>
      <c r="BO51" s="17">
        <v>0</v>
      </c>
      <c r="BP51" s="17">
        <v>0</v>
      </c>
      <c r="BQ51" s="17">
        <v>0</v>
      </c>
      <c r="BR51" s="17">
        <v>0</v>
      </c>
      <c r="BS51" s="17">
        <v>0</v>
      </c>
      <c r="BT51" s="17">
        <v>0</v>
      </c>
      <c r="BU51" s="17">
        <v>0</v>
      </c>
      <c r="BV51" s="17">
        <v>0</v>
      </c>
      <c r="BW51" s="17">
        <v>0</v>
      </c>
      <c r="BX51" s="17">
        <v>0</v>
      </c>
      <c r="BY51" s="17">
        <v>0</v>
      </c>
      <c r="BZ51" s="17">
        <v>0</v>
      </c>
      <c r="CA51" s="17">
        <v>0</v>
      </c>
      <c r="CB51" s="17">
        <v>0</v>
      </c>
      <c r="CC51" s="17">
        <v>0</v>
      </c>
      <c r="CD51" s="17">
        <v>0</v>
      </c>
      <c r="CE51" s="17">
        <v>0</v>
      </c>
      <c r="CF51" s="17">
        <v>0</v>
      </c>
      <c r="CG51" s="17">
        <v>0</v>
      </c>
      <c r="CH51" s="17">
        <v>0</v>
      </c>
      <c r="CI51" s="17">
        <v>0</v>
      </c>
      <c r="CJ51" s="17">
        <v>0</v>
      </c>
      <c r="CK51" s="17">
        <v>0</v>
      </c>
      <c r="CL51" s="17">
        <v>0</v>
      </c>
      <c r="CM51" s="17">
        <v>0</v>
      </c>
      <c r="CN51" s="17">
        <v>0</v>
      </c>
      <c r="CO51" s="17">
        <v>0</v>
      </c>
      <c r="CP51" s="17">
        <v>0</v>
      </c>
      <c r="CQ51" s="17">
        <v>0</v>
      </c>
      <c r="CR51" s="17">
        <v>0</v>
      </c>
      <c r="CS51" s="17">
        <v>0</v>
      </c>
      <c r="CT51" s="17">
        <v>0</v>
      </c>
      <c r="CU51" s="17">
        <v>0</v>
      </c>
      <c r="CV51" s="17">
        <v>0</v>
      </c>
      <c r="CW51" s="17">
        <v>0</v>
      </c>
      <c r="CX51" s="17">
        <v>0</v>
      </c>
      <c r="CY51" s="17">
        <v>0</v>
      </c>
      <c r="CZ51" s="17">
        <v>0</v>
      </c>
      <c r="DA51" s="17">
        <v>0</v>
      </c>
      <c r="DB51" s="17">
        <v>0</v>
      </c>
      <c r="DC51" s="17">
        <v>0</v>
      </c>
      <c r="DD51" s="17">
        <v>0</v>
      </c>
      <c r="DE51" s="17">
        <v>0</v>
      </c>
      <c r="DF51" s="17">
        <v>0</v>
      </c>
      <c r="DG51" s="17">
        <v>0</v>
      </c>
      <c r="DH51" s="17">
        <v>0</v>
      </c>
      <c r="DI51" s="17">
        <v>0</v>
      </c>
      <c r="DJ51" s="17">
        <v>0</v>
      </c>
      <c r="DK51" s="17">
        <v>0</v>
      </c>
      <c r="DL51" s="17">
        <v>0</v>
      </c>
      <c r="DM51" s="17">
        <v>0</v>
      </c>
      <c r="DN51" s="17">
        <v>0</v>
      </c>
      <c r="DO51" s="17">
        <v>0</v>
      </c>
      <c r="DP51" s="17">
        <v>0</v>
      </c>
      <c r="DQ51" s="17">
        <v>0</v>
      </c>
      <c r="DR51" s="17">
        <v>0</v>
      </c>
      <c r="DS51" s="17">
        <v>0</v>
      </c>
      <c r="DT51" s="17">
        <v>0</v>
      </c>
      <c r="DU51" s="17">
        <v>0</v>
      </c>
      <c r="DV51" s="17">
        <v>0</v>
      </c>
      <c r="DW51" s="17">
        <v>0</v>
      </c>
      <c r="DX51" s="17">
        <v>0</v>
      </c>
      <c r="DY51" s="17">
        <v>0</v>
      </c>
      <c r="DZ51" s="17">
        <v>0</v>
      </c>
      <c r="EA51" s="17">
        <v>0</v>
      </c>
      <c r="EB51" s="17">
        <v>0</v>
      </c>
      <c r="EC51" s="17">
        <v>0</v>
      </c>
      <c r="ED51" s="17">
        <v>0</v>
      </c>
      <c r="EE51" s="17">
        <v>0</v>
      </c>
      <c r="EF51" s="17">
        <v>0</v>
      </c>
      <c r="EG51" s="17">
        <v>0</v>
      </c>
      <c r="EH51" s="17">
        <v>0</v>
      </c>
      <c r="EI51" s="17">
        <v>0</v>
      </c>
      <c r="EJ51" s="17">
        <v>0</v>
      </c>
      <c r="EK51" s="17">
        <v>0</v>
      </c>
      <c r="EL51" s="17">
        <v>0</v>
      </c>
      <c r="EM51" s="17">
        <v>0</v>
      </c>
      <c r="EN51" s="17">
        <v>0</v>
      </c>
      <c r="EO51" s="17">
        <v>0</v>
      </c>
      <c r="EP51" s="17">
        <v>0</v>
      </c>
      <c r="EQ51" s="17">
        <v>0</v>
      </c>
      <c r="ER51" s="17">
        <v>0</v>
      </c>
      <c r="ES51" s="17">
        <v>0</v>
      </c>
      <c r="ET51" s="17">
        <v>0</v>
      </c>
      <c r="EU51" s="17">
        <v>0</v>
      </c>
      <c r="EV51" s="17">
        <v>0</v>
      </c>
      <c r="EW51" s="17">
        <v>0</v>
      </c>
      <c r="EX51" s="17">
        <v>0</v>
      </c>
      <c r="EY51" s="17">
        <v>0</v>
      </c>
      <c r="EZ51" s="17">
        <v>0</v>
      </c>
      <c r="FA51" s="17">
        <v>0</v>
      </c>
      <c r="FB51" s="17">
        <v>0</v>
      </c>
      <c r="FC51" s="17">
        <v>0</v>
      </c>
      <c r="FD51" s="17">
        <v>0</v>
      </c>
      <c r="FE51" s="17">
        <v>0</v>
      </c>
      <c r="FF51" s="17">
        <v>0</v>
      </c>
      <c r="FG51" s="17">
        <v>0</v>
      </c>
      <c r="FH51" s="17">
        <v>0</v>
      </c>
      <c r="FI51" s="17">
        <v>0</v>
      </c>
      <c r="FJ51" s="17">
        <v>0</v>
      </c>
      <c r="FK51" s="17">
        <v>0</v>
      </c>
      <c r="FL51" s="17">
        <v>0</v>
      </c>
      <c r="FM51" s="17">
        <v>0</v>
      </c>
      <c r="FN51" s="17">
        <v>0</v>
      </c>
      <c r="FO51" s="17">
        <v>0</v>
      </c>
      <c r="FP51" s="17">
        <v>0</v>
      </c>
      <c r="FQ51" s="17">
        <v>0</v>
      </c>
      <c r="FR51" s="17">
        <v>0</v>
      </c>
      <c r="FS51" s="17">
        <v>0</v>
      </c>
      <c r="FT51" s="17">
        <v>0</v>
      </c>
      <c r="FU51" s="17">
        <v>0</v>
      </c>
      <c r="FV51" s="17">
        <v>0</v>
      </c>
      <c r="FW51" s="17">
        <v>0</v>
      </c>
      <c r="FX51" s="17">
        <v>0</v>
      </c>
      <c r="FY51" s="17">
        <v>0</v>
      </c>
      <c r="FZ51" s="17">
        <v>0</v>
      </c>
      <c r="GA51" s="17">
        <v>0</v>
      </c>
      <c r="GB51" s="17">
        <v>0</v>
      </c>
      <c r="GC51" s="17">
        <v>0</v>
      </c>
      <c r="GD51" s="17">
        <v>0</v>
      </c>
      <c r="GE51" s="17">
        <v>0</v>
      </c>
      <c r="GF51" s="17">
        <v>0</v>
      </c>
      <c r="GG51" s="17">
        <v>0</v>
      </c>
      <c r="GH51" s="17">
        <v>0</v>
      </c>
      <c r="GI51" s="17">
        <v>0</v>
      </c>
      <c r="GJ51" s="17">
        <v>0</v>
      </c>
      <c r="GK51" s="17">
        <v>0</v>
      </c>
      <c r="GL51" s="17">
        <v>0</v>
      </c>
      <c r="GM51" s="17">
        <v>0</v>
      </c>
      <c r="GN51" s="17">
        <v>0</v>
      </c>
      <c r="GO51" s="17">
        <v>0</v>
      </c>
      <c r="GP51" s="17">
        <v>0</v>
      </c>
      <c r="GQ51" s="17">
        <v>0</v>
      </c>
      <c r="GR51" s="17">
        <v>0</v>
      </c>
      <c r="GS51" s="17">
        <v>0</v>
      </c>
      <c r="GT51" s="17">
        <v>0</v>
      </c>
      <c r="GU51" s="17">
        <v>0</v>
      </c>
      <c r="GV51" s="17">
        <v>0</v>
      </c>
      <c r="GW51" s="17">
        <v>0</v>
      </c>
      <c r="GX51" s="17">
        <v>0</v>
      </c>
      <c r="GY51" s="17">
        <v>0</v>
      </c>
      <c r="GZ51" s="17">
        <v>0</v>
      </c>
      <c r="HA51" s="17">
        <v>0</v>
      </c>
      <c r="HB51" s="17">
        <v>0</v>
      </c>
      <c r="HC51" s="17">
        <v>0</v>
      </c>
      <c r="HD51" s="17">
        <v>0</v>
      </c>
      <c r="HE51" s="17">
        <v>0</v>
      </c>
      <c r="HF51" s="17">
        <v>0</v>
      </c>
      <c r="HG51" s="17">
        <v>0</v>
      </c>
      <c r="HH51" s="17">
        <v>0</v>
      </c>
    </row>
    <row r="52" spans="1:216" x14ac:dyDescent="0.25">
      <c r="A52" s="8">
        <v>48</v>
      </c>
      <c r="B52" s="8">
        <v>23.5</v>
      </c>
      <c r="C52" s="17">
        <v>0</v>
      </c>
      <c r="D52" s="17">
        <v>0</v>
      </c>
      <c r="E52" s="17">
        <v>0</v>
      </c>
      <c r="F52" s="17">
        <v>0</v>
      </c>
      <c r="G52" s="17">
        <v>0</v>
      </c>
      <c r="H52" s="17">
        <v>0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7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  <c r="AF52" s="17">
        <v>0</v>
      </c>
      <c r="AG52" s="17">
        <v>0</v>
      </c>
      <c r="AH52" s="17">
        <v>0</v>
      </c>
      <c r="AI52" s="17">
        <v>0</v>
      </c>
      <c r="AJ52" s="17">
        <v>0</v>
      </c>
      <c r="AK52" s="17">
        <v>0</v>
      </c>
      <c r="AL52" s="17">
        <v>0</v>
      </c>
      <c r="AM52" s="17">
        <v>0</v>
      </c>
      <c r="AN52" s="17">
        <v>0</v>
      </c>
      <c r="AO52" s="17">
        <v>0</v>
      </c>
      <c r="AP52" s="17">
        <v>0</v>
      </c>
      <c r="AQ52" s="17">
        <v>0</v>
      </c>
      <c r="AR52" s="17">
        <v>0</v>
      </c>
      <c r="AS52" s="17">
        <v>0</v>
      </c>
      <c r="AT52" s="17">
        <v>0</v>
      </c>
      <c r="AU52" s="17">
        <v>0</v>
      </c>
      <c r="AV52" s="17">
        <v>0</v>
      </c>
      <c r="AW52" s="17">
        <v>0</v>
      </c>
      <c r="AX52" s="17">
        <v>0</v>
      </c>
      <c r="AY52" s="17">
        <v>0</v>
      </c>
      <c r="AZ52" s="17">
        <v>0</v>
      </c>
      <c r="BA52" s="17">
        <v>0</v>
      </c>
      <c r="BB52" s="17">
        <v>0</v>
      </c>
      <c r="BC52" s="17">
        <v>0</v>
      </c>
      <c r="BD52" s="17">
        <v>0</v>
      </c>
      <c r="BE52" s="17">
        <v>0</v>
      </c>
      <c r="BF52" s="17">
        <v>0</v>
      </c>
      <c r="BG52" s="17">
        <v>0</v>
      </c>
      <c r="BH52" s="17">
        <v>0</v>
      </c>
      <c r="BI52" s="17">
        <v>0</v>
      </c>
      <c r="BJ52" s="17">
        <v>0</v>
      </c>
      <c r="BK52" s="17">
        <v>0</v>
      </c>
      <c r="BL52" s="17">
        <v>0</v>
      </c>
      <c r="BM52" s="17">
        <v>0</v>
      </c>
      <c r="BN52" s="17">
        <v>0</v>
      </c>
      <c r="BO52" s="17">
        <v>0</v>
      </c>
      <c r="BP52" s="17">
        <v>0</v>
      </c>
      <c r="BQ52" s="17">
        <v>0</v>
      </c>
      <c r="BR52" s="17">
        <v>0</v>
      </c>
      <c r="BS52" s="17">
        <v>0</v>
      </c>
      <c r="BT52" s="17">
        <v>0</v>
      </c>
      <c r="BU52" s="17">
        <v>0</v>
      </c>
      <c r="BV52" s="17">
        <v>0</v>
      </c>
      <c r="BW52" s="17">
        <v>0</v>
      </c>
      <c r="BX52" s="17">
        <v>0</v>
      </c>
      <c r="BY52" s="17">
        <v>0</v>
      </c>
      <c r="BZ52" s="17">
        <v>0</v>
      </c>
      <c r="CA52" s="17">
        <v>0</v>
      </c>
      <c r="CB52" s="17">
        <v>0</v>
      </c>
      <c r="CC52" s="17">
        <v>0</v>
      </c>
      <c r="CD52" s="17">
        <v>0</v>
      </c>
      <c r="CE52" s="17">
        <v>0</v>
      </c>
      <c r="CF52" s="17">
        <v>0</v>
      </c>
      <c r="CG52" s="17">
        <v>0</v>
      </c>
      <c r="CH52" s="17">
        <v>0</v>
      </c>
      <c r="CI52" s="17">
        <v>0</v>
      </c>
      <c r="CJ52" s="17">
        <v>0</v>
      </c>
      <c r="CK52" s="17">
        <v>0</v>
      </c>
      <c r="CL52" s="17">
        <v>0</v>
      </c>
      <c r="CM52" s="17">
        <v>0</v>
      </c>
      <c r="CN52" s="17">
        <v>0</v>
      </c>
      <c r="CO52" s="17">
        <v>0</v>
      </c>
      <c r="CP52" s="17">
        <v>0</v>
      </c>
      <c r="CQ52" s="17">
        <v>0</v>
      </c>
      <c r="CR52" s="17">
        <v>0</v>
      </c>
      <c r="CS52" s="17">
        <v>0</v>
      </c>
      <c r="CT52" s="17">
        <v>0</v>
      </c>
      <c r="CU52" s="17">
        <v>0</v>
      </c>
      <c r="CV52" s="17">
        <v>0</v>
      </c>
      <c r="CW52" s="17">
        <v>0</v>
      </c>
      <c r="CX52" s="17">
        <v>0</v>
      </c>
      <c r="CY52" s="17">
        <v>0</v>
      </c>
      <c r="CZ52" s="17">
        <v>0</v>
      </c>
      <c r="DA52" s="17">
        <v>0</v>
      </c>
      <c r="DB52" s="17">
        <v>0</v>
      </c>
      <c r="DC52" s="17">
        <v>0</v>
      </c>
      <c r="DD52" s="17">
        <v>0</v>
      </c>
      <c r="DE52" s="17">
        <v>0</v>
      </c>
      <c r="DF52" s="17">
        <v>0</v>
      </c>
      <c r="DG52" s="17">
        <v>0</v>
      </c>
      <c r="DH52" s="17">
        <v>0</v>
      </c>
      <c r="DI52" s="17">
        <v>0</v>
      </c>
      <c r="DJ52" s="17">
        <v>0</v>
      </c>
      <c r="DK52" s="17">
        <v>0</v>
      </c>
      <c r="DL52" s="17">
        <v>0</v>
      </c>
      <c r="DM52" s="17">
        <v>0</v>
      </c>
      <c r="DN52" s="17">
        <v>0</v>
      </c>
      <c r="DO52" s="17">
        <v>0</v>
      </c>
      <c r="DP52" s="17">
        <v>0</v>
      </c>
      <c r="DQ52" s="17">
        <v>0</v>
      </c>
      <c r="DR52" s="17">
        <v>0</v>
      </c>
      <c r="DS52" s="17">
        <v>0</v>
      </c>
      <c r="DT52" s="17">
        <v>0</v>
      </c>
      <c r="DU52" s="17">
        <v>0</v>
      </c>
      <c r="DV52" s="17">
        <v>0</v>
      </c>
      <c r="DW52" s="17">
        <v>0</v>
      </c>
      <c r="DX52" s="17">
        <v>0</v>
      </c>
      <c r="DY52" s="17">
        <v>0</v>
      </c>
      <c r="DZ52" s="17">
        <v>0</v>
      </c>
      <c r="EA52" s="17">
        <v>0</v>
      </c>
      <c r="EB52" s="17">
        <v>0</v>
      </c>
      <c r="EC52" s="17">
        <v>0</v>
      </c>
      <c r="ED52" s="17">
        <v>0</v>
      </c>
      <c r="EE52" s="17">
        <v>0</v>
      </c>
      <c r="EF52" s="17">
        <v>0</v>
      </c>
      <c r="EG52" s="17">
        <v>0</v>
      </c>
      <c r="EH52" s="17">
        <v>0</v>
      </c>
      <c r="EI52" s="17">
        <v>0</v>
      </c>
      <c r="EJ52" s="17">
        <v>0</v>
      </c>
      <c r="EK52" s="17">
        <v>0</v>
      </c>
      <c r="EL52" s="17">
        <v>0</v>
      </c>
      <c r="EM52" s="17">
        <v>0</v>
      </c>
      <c r="EN52" s="17">
        <v>0</v>
      </c>
      <c r="EO52" s="17">
        <v>0</v>
      </c>
      <c r="EP52" s="17">
        <v>0</v>
      </c>
      <c r="EQ52" s="17">
        <v>0</v>
      </c>
      <c r="ER52" s="17">
        <v>0</v>
      </c>
      <c r="ES52" s="17">
        <v>0</v>
      </c>
      <c r="ET52" s="17">
        <v>0</v>
      </c>
      <c r="EU52" s="17">
        <v>0</v>
      </c>
      <c r="EV52" s="17">
        <v>0</v>
      </c>
      <c r="EW52" s="17">
        <v>0</v>
      </c>
      <c r="EX52" s="17">
        <v>0</v>
      </c>
      <c r="EY52" s="17">
        <v>0</v>
      </c>
      <c r="EZ52" s="17">
        <v>0</v>
      </c>
      <c r="FA52" s="17">
        <v>0</v>
      </c>
      <c r="FB52" s="17">
        <v>0</v>
      </c>
      <c r="FC52" s="17">
        <v>0</v>
      </c>
      <c r="FD52" s="17">
        <v>0</v>
      </c>
      <c r="FE52" s="17">
        <v>0</v>
      </c>
      <c r="FF52" s="17">
        <v>0</v>
      </c>
      <c r="FG52" s="17">
        <v>0</v>
      </c>
      <c r="FH52" s="17">
        <v>0</v>
      </c>
      <c r="FI52" s="17">
        <v>0</v>
      </c>
      <c r="FJ52" s="17">
        <v>0</v>
      </c>
      <c r="FK52" s="17">
        <v>0</v>
      </c>
      <c r="FL52" s="17">
        <v>0</v>
      </c>
      <c r="FM52" s="17">
        <v>0</v>
      </c>
      <c r="FN52" s="17">
        <v>0</v>
      </c>
      <c r="FO52" s="17">
        <v>0</v>
      </c>
      <c r="FP52" s="17">
        <v>0</v>
      </c>
      <c r="FQ52" s="17">
        <v>0</v>
      </c>
      <c r="FR52" s="17">
        <v>0</v>
      </c>
      <c r="FS52" s="17">
        <v>0</v>
      </c>
      <c r="FT52" s="17">
        <v>0</v>
      </c>
      <c r="FU52" s="17">
        <v>0</v>
      </c>
      <c r="FV52" s="17">
        <v>0</v>
      </c>
      <c r="FW52" s="17">
        <v>0</v>
      </c>
      <c r="FX52" s="17">
        <v>0</v>
      </c>
      <c r="FY52" s="17">
        <v>0</v>
      </c>
      <c r="FZ52" s="17">
        <v>0</v>
      </c>
      <c r="GA52" s="17">
        <v>0</v>
      </c>
      <c r="GB52" s="17">
        <v>0</v>
      </c>
      <c r="GC52" s="17">
        <v>0</v>
      </c>
      <c r="GD52" s="17">
        <v>0</v>
      </c>
      <c r="GE52" s="17">
        <v>0</v>
      </c>
      <c r="GF52" s="17">
        <v>0</v>
      </c>
      <c r="GG52" s="17">
        <v>0</v>
      </c>
      <c r="GH52" s="17">
        <v>0</v>
      </c>
      <c r="GI52" s="17">
        <v>0</v>
      </c>
      <c r="GJ52" s="17">
        <v>0</v>
      </c>
      <c r="GK52" s="17">
        <v>0</v>
      </c>
      <c r="GL52" s="17">
        <v>0</v>
      </c>
      <c r="GM52" s="17">
        <v>0</v>
      </c>
      <c r="GN52" s="17">
        <v>0</v>
      </c>
      <c r="GO52" s="17">
        <v>0</v>
      </c>
      <c r="GP52" s="17">
        <v>0</v>
      </c>
      <c r="GQ52" s="17">
        <v>0</v>
      </c>
      <c r="GR52" s="17">
        <v>0</v>
      </c>
      <c r="GS52" s="17">
        <v>0</v>
      </c>
      <c r="GT52" s="17">
        <v>0</v>
      </c>
      <c r="GU52" s="17">
        <v>0</v>
      </c>
      <c r="GV52" s="17">
        <v>0</v>
      </c>
      <c r="GW52" s="17">
        <v>0</v>
      </c>
      <c r="GX52" s="17">
        <v>0</v>
      </c>
      <c r="GY52" s="17">
        <v>0</v>
      </c>
      <c r="GZ52" s="17">
        <v>0</v>
      </c>
      <c r="HA52" s="17">
        <v>0</v>
      </c>
      <c r="HB52" s="17">
        <v>0</v>
      </c>
      <c r="HC52" s="17">
        <v>0</v>
      </c>
      <c r="HD52" s="17">
        <v>0</v>
      </c>
      <c r="HE52" s="17">
        <v>0</v>
      </c>
      <c r="HF52" s="17">
        <v>0</v>
      </c>
      <c r="HG52" s="17">
        <v>0</v>
      </c>
      <c r="HH52" s="17">
        <v>0</v>
      </c>
    </row>
  </sheetData>
  <mergeCells count="1">
    <mergeCell ref="A2:H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H52"/>
  <sheetViews>
    <sheetView showGridLines="0"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7" customWidth="1"/>
    <col min="2" max="2" width="6" customWidth="1"/>
    <col min="3" max="216" width="13" customWidth="1"/>
  </cols>
  <sheetData>
    <row r="1" spans="1:216" ht="19.5" x14ac:dyDescent="0.3">
      <c r="A1" s="1" t="s">
        <v>1161</v>
      </c>
    </row>
    <row r="2" spans="1:216" x14ac:dyDescent="0.25">
      <c r="A2" s="29" t="s">
        <v>1162</v>
      </c>
      <c r="B2" s="27"/>
      <c r="C2" s="27"/>
      <c r="D2" s="27"/>
      <c r="E2" s="27"/>
      <c r="F2" s="27"/>
      <c r="G2" s="27"/>
      <c r="H2" s="27"/>
    </row>
    <row r="4" spans="1:216" ht="25.5" x14ac:dyDescent="0.25">
      <c r="A4" s="5" t="s">
        <v>945</v>
      </c>
      <c r="B4" s="5" t="s">
        <v>946</v>
      </c>
      <c r="C4" s="5" t="s">
        <v>947</v>
      </c>
      <c r="D4" s="5" t="s">
        <v>948</v>
      </c>
      <c r="E4" s="5" t="s">
        <v>949</v>
      </c>
      <c r="F4" s="5" t="s">
        <v>950</v>
      </c>
      <c r="G4" s="5" t="s">
        <v>951</v>
      </c>
      <c r="H4" s="5" t="s">
        <v>952</v>
      </c>
      <c r="I4" s="5" t="s">
        <v>953</v>
      </c>
      <c r="J4" s="5" t="s">
        <v>954</v>
      </c>
      <c r="K4" s="5" t="s">
        <v>955</v>
      </c>
      <c r="L4" s="5" t="s">
        <v>956</v>
      </c>
      <c r="M4" s="5" t="s">
        <v>957</v>
      </c>
      <c r="N4" s="5" t="s">
        <v>958</v>
      </c>
      <c r="O4" s="5" t="s">
        <v>959</v>
      </c>
      <c r="P4" s="5" t="s">
        <v>960</v>
      </c>
      <c r="Q4" s="5" t="s">
        <v>961</v>
      </c>
      <c r="R4" s="5" t="s">
        <v>962</v>
      </c>
      <c r="S4" s="5" t="s">
        <v>963</v>
      </c>
      <c r="T4" s="5" t="s">
        <v>964</v>
      </c>
      <c r="U4" s="5" t="s">
        <v>965</v>
      </c>
      <c r="V4" s="5" t="s">
        <v>966</v>
      </c>
      <c r="W4" s="5" t="s">
        <v>967</v>
      </c>
      <c r="X4" s="5" t="s">
        <v>968</v>
      </c>
      <c r="Y4" s="5" t="s">
        <v>969</v>
      </c>
      <c r="Z4" s="5" t="s">
        <v>970</v>
      </c>
      <c r="AA4" s="5" t="s">
        <v>971</v>
      </c>
      <c r="AB4" s="5" t="s">
        <v>972</v>
      </c>
      <c r="AC4" s="5" t="s">
        <v>973</v>
      </c>
      <c r="AD4" s="5" t="s">
        <v>974</v>
      </c>
      <c r="AE4" s="5" t="s">
        <v>975</v>
      </c>
      <c r="AF4" s="5" t="s">
        <v>976</v>
      </c>
      <c r="AG4" s="5" t="s">
        <v>977</v>
      </c>
      <c r="AH4" s="5" t="s">
        <v>978</v>
      </c>
      <c r="AI4" s="5" t="s">
        <v>979</v>
      </c>
      <c r="AJ4" s="5" t="s">
        <v>980</v>
      </c>
      <c r="AK4" s="5" t="s">
        <v>981</v>
      </c>
      <c r="AL4" s="5" t="s">
        <v>982</v>
      </c>
      <c r="AM4" s="5" t="s">
        <v>983</v>
      </c>
      <c r="AN4" s="5" t="s">
        <v>984</v>
      </c>
      <c r="AO4" s="5" t="s">
        <v>985</v>
      </c>
      <c r="AP4" s="5" t="s">
        <v>986</v>
      </c>
      <c r="AQ4" s="5" t="s">
        <v>987</v>
      </c>
      <c r="AR4" s="5" t="s">
        <v>988</v>
      </c>
      <c r="AS4" s="5" t="s">
        <v>989</v>
      </c>
      <c r="AT4" s="5" t="s">
        <v>990</v>
      </c>
      <c r="AU4" s="5" t="s">
        <v>991</v>
      </c>
      <c r="AV4" s="5" t="s">
        <v>992</v>
      </c>
      <c r="AW4" s="5" t="s">
        <v>993</v>
      </c>
      <c r="AX4" s="5" t="s">
        <v>994</v>
      </c>
      <c r="AY4" s="5" t="s">
        <v>995</v>
      </c>
      <c r="AZ4" s="5" t="s">
        <v>996</v>
      </c>
      <c r="BA4" s="5" t="s">
        <v>997</v>
      </c>
      <c r="BB4" s="5" t="s">
        <v>998</v>
      </c>
      <c r="BC4" s="5" t="s">
        <v>999</v>
      </c>
      <c r="BD4" s="5" t="s">
        <v>1000</v>
      </c>
      <c r="BE4" s="5" t="s">
        <v>1001</v>
      </c>
      <c r="BF4" s="5" t="s">
        <v>1002</v>
      </c>
      <c r="BG4" s="5" t="s">
        <v>1003</v>
      </c>
      <c r="BH4" s="5" t="s">
        <v>1004</v>
      </c>
      <c r="BI4" s="5" t="s">
        <v>1005</v>
      </c>
      <c r="BJ4" s="5" t="s">
        <v>1006</v>
      </c>
      <c r="BK4" s="5" t="s">
        <v>1007</v>
      </c>
      <c r="BL4" s="5" t="s">
        <v>1008</v>
      </c>
      <c r="BM4" s="5" t="s">
        <v>1009</v>
      </c>
      <c r="BN4" s="5" t="s">
        <v>1010</v>
      </c>
      <c r="BO4" s="5" t="s">
        <v>1011</v>
      </c>
      <c r="BP4" s="5" t="s">
        <v>1012</v>
      </c>
      <c r="BQ4" s="5" t="s">
        <v>1013</v>
      </c>
      <c r="BR4" s="5" t="s">
        <v>1014</v>
      </c>
      <c r="BS4" s="5" t="s">
        <v>1015</v>
      </c>
      <c r="BT4" s="5" t="s">
        <v>1016</v>
      </c>
      <c r="BU4" s="5" t="s">
        <v>1017</v>
      </c>
      <c r="BV4" s="5" t="s">
        <v>1018</v>
      </c>
      <c r="BW4" s="5" t="s">
        <v>1019</v>
      </c>
      <c r="BX4" s="5" t="s">
        <v>1020</v>
      </c>
      <c r="BY4" s="5" t="s">
        <v>1021</v>
      </c>
      <c r="BZ4" s="5" t="s">
        <v>1022</v>
      </c>
      <c r="CA4" s="5" t="s">
        <v>1023</v>
      </c>
      <c r="CB4" s="5" t="s">
        <v>1024</v>
      </c>
      <c r="CC4" s="5" t="s">
        <v>1025</v>
      </c>
      <c r="CD4" s="5" t="s">
        <v>1026</v>
      </c>
      <c r="CE4" s="5" t="s">
        <v>1027</v>
      </c>
      <c r="CF4" s="5" t="s">
        <v>1028</v>
      </c>
      <c r="CG4" s="5" t="s">
        <v>1029</v>
      </c>
      <c r="CH4" s="5" t="s">
        <v>1030</v>
      </c>
      <c r="CI4" s="5" t="s">
        <v>1031</v>
      </c>
      <c r="CJ4" s="5" t="s">
        <v>1032</v>
      </c>
      <c r="CK4" s="5" t="s">
        <v>1033</v>
      </c>
      <c r="CL4" s="5" t="s">
        <v>1034</v>
      </c>
      <c r="CM4" s="5" t="s">
        <v>1035</v>
      </c>
      <c r="CN4" s="5" t="s">
        <v>1036</v>
      </c>
      <c r="CO4" s="5" t="s">
        <v>1037</v>
      </c>
      <c r="CP4" s="5" t="s">
        <v>1038</v>
      </c>
      <c r="CQ4" s="5" t="s">
        <v>1039</v>
      </c>
      <c r="CR4" s="5" t="s">
        <v>1040</v>
      </c>
      <c r="CS4" s="5" t="s">
        <v>1041</v>
      </c>
      <c r="CT4" s="5" t="s">
        <v>1042</v>
      </c>
      <c r="CU4" s="5" t="s">
        <v>1043</v>
      </c>
      <c r="CV4" s="5" t="s">
        <v>1044</v>
      </c>
      <c r="CW4" s="5" t="s">
        <v>1045</v>
      </c>
      <c r="CX4" s="5" t="s">
        <v>1046</v>
      </c>
      <c r="CY4" s="5" t="s">
        <v>1047</v>
      </c>
      <c r="CZ4" s="5" t="s">
        <v>1048</v>
      </c>
      <c r="DA4" s="5" t="s">
        <v>1049</v>
      </c>
      <c r="DB4" s="5" t="s">
        <v>1050</v>
      </c>
      <c r="DC4" s="5" t="s">
        <v>1051</v>
      </c>
      <c r="DD4" s="5" t="s">
        <v>1052</v>
      </c>
      <c r="DE4" s="5" t="s">
        <v>1053</v>
      </c>
      <c r="DF4" s="5" t="s">
        <v>1054</v>
      </c>
      <c r="DG4" s="5" t="s">
        <v>1055</v>
      </c>
      <c r="DH4" s="5" t="s">
        <v>1056</v>
      </c>
      <c r="DI4" s="5" t="s">
        <v>1057</v>
      </c>
      <c r="DJ4" s="5" t="s">
        <v>1058</v>
      </c>
      <c r="DK4" s="5" t="s">
        <v>1059</v>
      </c>
      <c r="DL4" s="5" t="s">
        <v>1060</v>
      </c>
      <c r="DM4" s="5" t="s">
        <v>1061</v>
      </c>
      <c r="DN4" s="5" t="s">
        <v>1062</v>
      </c>
      <c r="DO4" s="5" t="s">
        <v>1063</v>
      </c>
      <c r="DP4" s="5" t="s">
        <v>1064</v>
      </c>
      <c r="DQ4" s="5" t="s">
        <v>1065</v>
      </c>
      <c r="DR4" s="5" t="s">
        <v>1066</v>
      </c>
      <c r="DS4" s="5" t="s">
        <v>1067</v>
      </c>
      <c r="DT4" s="5" t="s">
        <v>1068</v>
      </c>
      <c r="DU4" s="5" t="s">
        <v>1069</v>
      </c>
      <c r="DV4" s="5" t="s">
        <v>1070</v>
      </c>
      <c r="DW4" s="5" t="s">
        <v>1071</v>
      </c>
      <c r="DX4" s="5" t="s">
        <v>1072</v>
      </c>
      <c r="DY4" s="5" t="s">
        <v>1073</v>
      </c>
      <c r="DZ4" s="5" t="s">
        <v>1074</v>
      </c>
      <c r="EA4" s="5" t="s">
        <v>1075</v>
      </c>
      <c r="EB4" s="5" t="s">
        <v>1076</v>
      </c>
      <c r="EC4" s="5" t="s">
        <v>1077</v>
      </c>
      <c r="ED4" s="5" t="s">
        <v>1078</v>
      </c>
      <c r="EE4" s="5" t="s">
        <v>1079</v>
      </c>
      <c r="EF4" s="5" t="s">
        <v>1080</v>
      </c>
      <c r="EG4" s="5" t="s">
        <v>1081</v>
      </c>
      <c r="EH4" s="5" t="s">
        <v>1082</v>
      </c>
      <c r="EI4" s="5" t="s">
        <v>1083</v>
      </c>
      <c r="EJ4" s="5" t="s">
        <v>1084</v>
      </c>
      <c r="EK4" s="5" t="s">
        <v>1085</v>
      </c>
      <c r="EL4" s="5" t="s">
        <v>1086</v>
      </c>
      <c r="EM4" s="5" t="s">
        <v>1087</v>
      </c>
      <c r="EN4" s="5" t="s">
        <v>1088</v>
      </c>
      <c r="EO4" s="5" t="s">
        <v>1089</v>
      </c>
      <c r="EP4" s="5" t="s">
        <v>1090</v>
      </c>
      <c r="EQ4" s="5" t="s">
        <v>1091</v>
      </c>
      <c r="ER4" s="5" t="s">
        <v>1092</v>
      </c>
      <c r="ES4" s="5" t="s">
        <v>1093</v>
      </c>
      <c r="ET4" s="5" t="s">
        <v>1094</v>
      </c>
      <c r="EU4" s="5" t="s">
        <v>1095</v>
      </c>
      <c r="EV4" s="5" t="s">
        <v>1096</v>
      </c>
      <c r="EW4" s="5" t="s">
        <v>1097</v>
      </c>
      <c r="EX4" s="5" t="s">
        <v>1098</v>
      </c>
      <c r="EY4" s="5" t="s">
        <v>1099</v>
      </c>
      <c r="EZ4" s="5" t="s">
        <v>1100</v>
      </c>
      <c r="FA4" s="5" t="s">
        <v>1101</v>
      </c>
      <c r="FB4" s="5" t="s">
        <v>1102</v>
      </c>
      <c r="FC4" s="5" t="s">
        <v>1103</v>
      </c>
      <c r="FD4" s="5" t="s">
        <v>1104</v>
      </c>
      <c r="FE4" s="5" t="s">
        <v>1105</v>
      </c>
      <c r="FF4" s="5" t="s">
        <v>1106</v>
      </c>
      <c r="FG4" s="5" t="s">
        <v>1107</v>
      </c>
      <c r="FH4" s="5" t="s">
        <v>1108</v>
      </c>
      <c r="FI4" s="5" t="s">
        <v>1109</v>
      </c>
      <c r="FJ4" s="5" t="s">
        <v>1110</v>
      </c>
      <c r="FK4" s="5" t="s">
        <v>1111</v>
      </c>
      <c r="FL4" s="5" t="s">
        <v>1112</v>
      </c>
      <c r="FM4" s="5" t="s">
        <v>1113</v>
      </c>
      <c r="FN4" s="5" t="s">
        <v>1114</v>
      </c>
      <c r="FO4" s="5" t="s">
        <v>1115</v>
      </c>
      <c r="FP4" s="5" t="s">
        <v>1116</v>
      </c>
      <c r="FQ4" s="5" t="s">
        <v>1117</v>
      </c>
      <c r="FR4" s="5" t="s">
        <v>1118</v>
      </c>
      <c r="FS4" s="5" t="s">
        <v>1119</v>
      </c>
      <c r="FT4" s="5" t="s">
        <v>1120</v>
      </c>
      <c r="FU4" s="5" t="s">
        <v>1121</v>
      </c>
      <c r="FV4" s="5" t="s">
        <v>1122</v>
      </c>
      <c r="FW4" s="5" t="s">
        <v>1123</v>
      </c>
      <c r="FX4" s="5" t="s">
        <v>1124</v>
      </c>
      <c r="FY4" s="5" t="s">
        <v>1125</v>
      </c>
      <c r="FZ4" s="5" t="s">
        <v>1126</v>
      </c>
      <c r="GA4" s="5" t="s">
        <v>1127</v>
      </c>
      <c r="GB4" s="5" t="s">
        <v>1128</v>
      </c>
      <c r="GC4" s="5" t="s">
        <v>1129</v>
      </c>
      <c r="GD4" s="5" t="s">
        <v>1130</v>
      </c>
      <c r="GE4" s="5" t="s">
        <v>1131</v>
      </c>
      <c r="GF4" s="5" t="s">
        <v>1132</v>
      </c>
      <c r="GG4" s="5" t="s">
        <v>1133</v>
      </c>
      <c r="GH4" s="5" t="s">
        <v>1134</v>
      </c>
      <c r="GI4" s="5" t="s">
        <v>1135</v>
      </c>
      <c r="GJ4" s="5" t="s">
        <v>1136</v>
      </c>
      <c r="GK4" s="5" t="s">
        <v>1137</v>
      </c>
      <c r="GL4" s="5" t="s">
        <v>1138</v>
      </c>
      <c r="GM4" s="5" t="s">
        <v>1139</v>
      </c>
      <c r="GN4" s="5" t="s">
        <v>1140</v>
      </c>
      <c r="GO4" s="5" t="s">
        <v>1141</v>
      </c>
      <c r="GP4" s="5" t="s">
        <v>1142</v>
      </c>
      <c r="GQ4" s="5" t="s">
        <v>1143</v>
      </c>
      <c r="GR4" s="5" t="s">
        <v>1144</v>
      </c>
      <c r="GS4" s="5" t="s">
        <v>1145</v>
      </c>
      <c r="GT4" s="5" t="s">
        <v>1146</v>
      </c>
      <c r="GU4" s="5" t="s">
        <v>1147</v>
      </c>
      <c r="GV4" s="5" t="s">
        <v>1148</v>
      </c>
      <c r="GW4" s="5" t="s">
        <v>1149</v>
      </c>
      <c r="GX4" s="5" t="s">
        <v>1150</v>
      </c>
      <c r="GY4" s="5" t="s">
        <v>1151</v>
      </c>
      <c r="GZ4" s="5" t="s">
        <v>1152</v>
      </c>
      <c r="HA4" s="5" t="s">
        <v>1153</v>
      </c>
      <c r="HB4" s="5" t="s">
        <v>1154</v>
      </c>
      <c r="HC4" s="5" t="s">
        <v>1155</v>
      </c>
      <c r="HD4" s="5" t="s">
        <v>1156</v>
      </c>
      <c r="HE4" s="5" t="s">
        <v>1157</v>
      </c>
      <c r="HF4" s="5" t="s">
        <v>1158</v>
      </c>
      <c r="HG4" s="5" t="s">
        <v>1159</v>
      </c>
      <c r="HH4" s="5" t="s">
        <v>1160</v>
      </c>
    </row>
    <row r="5" spans="1:216" x14ac:dyDescent="0.25">
      <c r="A5" s="8">
        <v>1</v>
      </c>
      <c r="B5" s="8">
        <v>0</v>
      </c>
      <c r="C5" s="17">
        <v>0.23599999999999999</v>
      </c>
      <c r="D5" s="17">
        <v>0.75800000000000001</v>
      </c>
      <c r="E5" s="17">
        <v>0.17100000000000001</v>
      </c>
      <c r="F5" s="17">
        <v>0.28999999999999998</v>
      </c>
      <c r="G5" s="17">
        <v>0.122</v>
      </c>
      <c r="H5" s="17">
        <v>0.38</v>
      </c>
      <c r="I5" s="17">
        <v>5.6000000000000001E-2</v>
      </c>
      <c r="J5" s="17">
        <v>0.16200000000000001</v>
      </c>
      <c r="K5" s="17">
        <v>4.9000000000000002E-2</v>
      </c>
      <c r="L5" s="17">
        <v>0.27900000000000003</v>
      </c>
      <c r="M5" s="17">
        <v>0.7</v>
      </c>
      <c r="N5" s="17">
        <v>0.16200000000000001</v>
      </c>
      <c r="O5" s="17">
        <v>0.156</v>
      </c>
      <c r="P5" s="17">
        <v>5.0999999999999997E-2</v>
      </c>
      <c r="Q5" s="17">
        <v>0.193</v>
      </c>
      <c r="R5" s="17">
        <v>4.4999999999999998E-2</v>
      </c>
      <c r="S5" s="17">
        <v>0.14499999999999999</v>
      </c>
      <c r="T5" s="17">
        <v>0.16700000000000001</v>
      </c>
      <c r="U5" s="17">
        <v>9.6000000000000002E-2</v>
      </c>
      <c r="V5" s="17">
        <v>0.73299999999999998</v>
      </c>
      <c r="W5" s="17">
        <v>0.185</v>
      </c>
      <c r="X5" s="17">
        <v>0.38900000000000001</v>
      </c>
      <c r="Y5" s="17">
        <v>5.0999999999999997E-2</v>
      </c>
      <c r="Z5" s="17">
        <v>8.3000000000000004E-2</v>
      </c>
      <c r="AA5" s="17">
        <v>4.5999999999999999E-2</v>
      </c>
      <c r="AB5" s="17">
        <v>0.14199999999999999</v>
      </c>
      <c r="AC5" s="17">
        <v>0.60399999999999998</v>
      </c>
      <c r="AD5" s="17">
        <v>0.114</v>
      </c>
      <c r="AE5" s="17">
        <v>8.4000000000000005E-2</v>
      </c>
      <c r="AF5" s="17">
        <v>2.0270000000000001</v>
      </c>
      <c r="AG5" s="17">
        <v>0.34699999999999998</v>
      </c>
      <c r="AH5" s="17">
        <v>0.51</v>
      </c>
      <c r="AI5" s="17">
        <v>0.153</v>
      </c>
      <c r="AJ5" s="17">
        <v>0.13</v>
      </c>
      <c r="AK5" s="17">
        <v>0.59199999999999997</v>
      </c>
      <c r="AL5" s="17">
        <v>5.0999999999999997E-2</v>
      </c>
      <c r="AM5" s="17">
        <v>4.9000000000000002E-2</v>
      </c>
      <c r="AN5" s="17">
        <v>0.68400000000000005</v>
      </c>
      <c r="AO5" s="17">
        <v>0.13300000000000001</v>
      </c>
      <c r="AP5" s="17">
        <v>4.9000000000000002E-2</v>
      </c>
      <c r="AQ5" s="17">
        <v>0.26100000000000001</v>
      </c>
      <c r="AR5" s="17">
        <v>0.13</v>
      </c>
      <c r="AS5" s="17">
        <v>0.122</v>
      </c>
      <c r="AT5" s="17">
        <v>8.3000000000000004E-2</v>
      </c>
      <c r="AU5" s="17">
        <v>0.13900000000000001</v>
      </c>
      <c r="AV5" s="17">
        <v>0.191</v>
      </c>
      <c r="AW5" s="17">
        <v>5.8999999999999997E-2</v>
      </c>
      <c r="AX5" s="17">
        <v>0.39700000000000002</v>
      </c>
      <c r="AY5" s="17">
        <v>6.5000000000000002E-2</v>
      </c>
      <c r="AZ5" s="17">
        <v>0.79900000000000004</v>
      </c>
      <c r="BA5" s="17">
        <v>4.8000000000000001E-2</v>
      </c>
      <c r="BB5" s="17">
        <v>0.25800000000000001</v>
      </c>
      <c r="BC5" s="17">
        <v>5.0999999999999997E-2</v>
      </c>
      <c r="BD5" s="17">
        <v>0.10199999999999999</v>
      </c>
      <c r="BE5" s="17">
        <v>0.14799999999999999</v>
      </c>
      <c r="BF5" s="17">
        <v>5.5E-2</v>
      </c>
      <c r="BG5" s="17">
        <v>0.93899999999999995</v>
      </c>
      <c r="BH5" s="17">
        <v>0.53300000000000003</v>
      </c>
      <c r="BI5" s="17">
        <v>5.8999999999999997E-2</v>
      </c>
      <c r="BJ5" s="17">
        <v>0.79400000000000004</v>
      </c>
      <c r="BK5" s="17">
        <v>4.8000000000000001E-2</v>
      </c>
      <c r="BL5" s="17">
        <v>0.23300000000000001</v>
      </c>
      <c r="BM5" s="17">
        <v>2.391</v>
      </c>
      <c r="BN5" s="17">
        <v>0.249</v>
      </c>
      <c r="BO5" s="17">
        <v>0.46200000000000002</v>
      </c>
      <c r="BP5" s="17">
        <v>0.3</v>
      </c>
      <c r="BQ5" s="17">
        <v>0.246</v>
      </c>
      <c r="BR5" s="17">
        <v>5.7000000000000002E-2</v>
      </c>
      <c r="BS5" s="17">
        <v>0.151</v>
      </c>
      <c r="BT5" s="17">
        <v>5.7000000000000002E-2</v>
      </c>
      <c r="BU5" s="17">
        <v>0.155</v>
      </c>
      <c r="BV5" s="17">
        <v>0.105</v>
      </c>
      <c r="BW5" s="17">
        <v>0.05</v>
      </c>
      <c r="BX5" s="17">
        <v>0.05</v>
      </c>
      <c r="BY5" s="17">
        <v>0.05</v>
      </c>
      <c r="BZ5" s="17">
        <v>0.05</v>
      </c>
      <c r="CA5" s="17">
        <v>0.11</v>
      </c>
      <c r="CB5" s="17">
        <v>1.0589999999999999</v>
      </c>
      <c r="CC5" s="17">
        <v>5.1999999999999998E-2</v>
      </c>
      <c r="CD5" s="17">
        <v>0.23100000000000001</v>
      </c>
      <c r="CE5" s="17">
        <v>0.14499999999999999</v>
      </c>
      <c r="CF5" s="17">
        <v>5.0999999999999997E-2</v>
      </c>
      <c r="CG5" s="17">
        <v>0.86399999999999999</v>
      </c>
      <c r="CH5" s="17">
        <v>0.33300000000000002</v>
      </c>
      <c r="CI5" s="17">
        <v>4.1000000000000002E-2</v>
      </c>
      <c r="CJ5" s="17">
        <v>4.8000000000000001E-2</v>
      </c>
      <c r="CK5" s="17">
        <v>0.58899999999999997</v>
      </c>
      <c r="CL5" s="17">
        <v>5.3999999999999999E-2</v>
      </c>
      <c r="CM5" s="17">
        <v>0.155</v>
      </c>
      <c r="CN5" s="17">
        <v>1.341</v>
      </c>
      <c r="CO5" s="17">
        <v>0.16600000000000001</v>
      </c>
      <c r="CP5" s="17">
        <v>0.376</v>
      </c>
      <c r="CQ5" s="17">
        <v>0.20899999999999999</v>
      </c>
      <c r="CR5" s="17">
        <v>0.25</v>
      </c>
      <c r="CS5" s="17">
        <v>4.8000000000000001E-2</v>
      </c>
      <c r="CT5" s="17">
        <v>0.17399999999999999</v>
      </c>
      <c r="CU5" s="17">
        <v>4.8000000000000001E-2</v>
      </c>
      <c r="CV5" s="17">
        <v>4.3999999999999997E-2</v>
      </c>
      <c r="CW5" s="17">
        <v>0.23799999999999999</v>
      </c>
      <c r="CX5" s="17">
        <v>5.6000000000000001E-2</v>
      </c>
      <c r="CY5" s="17">
        <v>0.14599999999999999</v>
      </c>
      <c r="CZ5" s="17">
        <v>0.13400000000000001</v>
      </c>
      <c r="DA5" s="17">
        <v>5.0999999999999997E-2</v>
      </c>
      <c r="DB5" s="17">
        <v>4.9000000000000002E-2</v>
      </c>
      <c r="DC5" s="17">
        <v>0.24399999999999999</v>
      </c>
      <c r="DD5" s="17">
        <v>0.19800000000000001</v>
      </c>
      <c r="DE5" s="17">
        <v>0.20200000000000001</v>
      </c>
      <c r="DF5" s="17">
        <v>0.27500000000000002</v>
      </c>
      <c r="DG5" s="17">
        <v>0.441</v>
      </c>
      <c r="DH5" s="17">
        <v>0.20100000000000001</v>
      </c>
      <c r="DI5" s="17">
        <v>4.9000000000000002E-2</v>
      </c>
      <c r="DJ5" s="17">
        <v>8.3000000000000004E-2</v>
      </c>
      <c r="DK5" s="17">
        <v>0.25700000000000001</v>
      </c>
      <c r="DL5" s="17">
        <v>0.112</v>
      </c>
      <c r="DM5" s="17">
        <v>0.17799999999999999</v>
      </c>
      <c r="DN5" s="17">
        <v>0.06</v>
      </c>
      <c r="DO5" s="17">
        <v>9.8000000000000004E-2</v>
      </c>
      <c r="DP5" s="17">
        <v>5.8999999999999997E-2</v>
      </c>
      <c r="DQ5" s="17">
        <v>5.5E-2</v>
      </c>
      <c r="DR5" s="17">
        <v>0.15</v>
      </c>
      <c r="DS5" s="17">
        <v>0.193</v>
      </c>
      <c r="DT5" s="17">
        <v>0.106</v>
      </c>
      <c r="DU5" s="17">
        <v>0.16800000000000001</v>
      </c>
      <c r="DV5" s="17">
        <v>0.2</v>
      </c>
      <c r="DW5" s="17">
        <v>0.115</v>
      </c>
      <c r="DX5" s="17">
        <v>4.1000000000000002E-2</v>
      </c>
      <c r="DY5" s="17">
        <v>0.41</v>
      </c>
      <c r="DZ5" s="17">
        <v>0.21199999999999999</v>
      </c>
      <c r="EA5" s="17">
        <v>0.14599999999999999</v>
      </c>
      <c r="EB5" s="17">
        <v>4.5999999999999999E-2</v>
      </c>
      <c r="EC5" s="17">
        <v>7.3999999999999996E-2</v>
      </c>
      <c r="ED5" s="17">
        <v>0.10100000000000001</v>
      </c>
      <c r="EE5" s="17">
        <v>0.104</v>
      </c>
      <c r="EF5" s="17">
        <v>5.6000000000000001E-2</v>
      </c>
      <c r="EG5" s="17">
        <v>0.23599999999999999</v>
      </c>
      <c r="EH5" s="17">
        <v>0.96499999999999997</v>
      </c>
      <c r="EI5" s="17">
        <v>0.32500000000000001</v>
      </c>
      <c r="EJ5" s="17">
        <v>4.8000000000000001E-2</v>
      </c>
      <c r="EK5" s="17">
        <v>6.0999999999999999E-2</v>
      </c>
      <c r="EL5" s="17">
        <v>0.17899999999999999</v>
      </c>
      <c r="EM5" s="17">
        <v>4.8000000000000001E-2</v>
      </c>
      <c r="EN5" s="17">
        <v>0.20899999999999999</v>
      </c>
      <c r="EO5" s="17">
        <v>3.5999999999999997E-2</v>
      </c>
      <c r="EP5" s="17">
        <v>0.05</v>
      </c>
      <c r="EQ5" s="17">
        <v>0.113</v>
      </c>
      <c r="ER5" s="17">
        <v>0.17899999999999999</v>
      </c>
      <c r="ES5" s="17">
        <v>5.5E-2</v>
      </c>
      <c r="ET5" s="17">
        <v>0.68700000000000006</v>
      </c>
      <c r="EU5" s="17">
        <v>0.23400000000000001</v>
      </c>
      <c r="EV5" s="17">
        <v>7.4999999999999997E-2</v>
      </c>
      <c r="EW5" s="17">
        <v>0.121</v>
      </c>
      <c r="EX5" s="17">
        <v>0.74099999999999999</v>
      </c>
      <c r="EY5" s="17">
        <v>0.16500000000000001</v>
      </c>
      <c r="EZ5" s="17">
        <v>9.8000000000000004E-2</v>
      </c>
      <c r="FA5" s="17">
        <v>0.16300000000000001</v>
      </c>
      <c r="FB5" s="17">
        <v>0.83899999999999997</v>
      </c>
      <c r="FC5" s="17">
        <v>0.187</v>
      </c>
      <c r="FD5" s="17">
        <v>0.33800000000000002</v>
      </c>
      <c r="FE5" s="17">
        <v>0.109</v>
      </c>
      <c r="FF5" s="17">
        <v>5.1999999999999998E-2</v>
      </c>
      <c r="FG5" s="17">
        <v>5.7000000000000002E-2</v>
      </c>
      <c r="FH5" s="17">
        <v>0.29499999999999998</v>
      </c>
      <c r="FI5" s="17">
        <v>0.64400000000000002</v>
      </c>
      <c r="FJ5" s="17">
        <v>0.126</v>
      </c>
      <c r="FK5" s="17">
        <v>0.23400000000000001</v>
      </c>
      <c r="FL5" s="17">
        <v>0.32500000000000001</v>
      </c>
      <c r="FM5" s="17">
        <v>8.2000000000000003E-2</v>
      </c>
      <c r="FN5" s="17">
        <v>5.0999999999999997E-2</v>
      </c>
      <c r="FO5" s="17">
        <v>4.7E-2</v>
      </c>
      <c r="FP5" s="17">
        <v>4.4999999999999998E-2</v>
      </c>
      <c r="FQ5" s="17">
        <v>0.221</v>
      </c>
      <c r="FR5" s="17">
        <v>0.192</v>
      </c>
      <c r="FS5" s="17">
        <v>0.153</v>
      </c>
      <c r="FT5" s="17">
        <v>5.8999999999999997E-2</v>
      </c>
      <c r="FU5" s="17">
        <v>0.23899999999999999</v>
      </c>
      <c r="FV5" s="17">
        <v>0.33200000000000002</v>
      </c>
      <c r="FW5" s="17">
        <v>5.8000000000000003E-2</v>
      </c>
      <c r="FX5" s="17">
        <v>8.7999999999999995E-2</v>
      </c>
      <c r="FY5" s="17">
        <v>0.45300000000000001</v>
      </c>
      <c r="FZ5" s="17">
        <v>5.8000000000000003E-2</v>
      </c>
      <c r="GA5" s="17">
        <v>0.153</v>
      </c>
      <c r="GB5" s="17">
        <v>4.7E-2</v>
      </c>
      <c r="GC5" s="17">
        <v>0.504</v>
      </c>
      <c r="GD5" s="17">
        <v>0.04</v>
      </c>
      <c r="GE5" s="17">
        <v>0.06</v>
      </c>
      <c r="GF5" s="17">
        <v>0.24299999999999999</v>
      </c>
      <c r="GG5" s="17">
        <v>0.48899999999999999</v>
      </c>
      <c r="GH5" s="17">
        <v>0.26800000000000002</v>
      </c>
      <c r="GI5" s="17">
        <v>5.1999999999999998E-2</v>
      </c>
      <c r="GJ5" s="17">
        <v>0.122</v>
      </c>
      <c r="GK5" s="17">
        <v>0.188</v>
      </c>
      <c r="GL5" s="17">
        <v>0.16900000000000001</v>
      </c>
      <c r="GM5" s="17">
        <v>4.2999999999999997E-2</v>
      </c>
      <c r="GN5" s="17">
        <v>0.10199999999999999</v>
      </c>
      <c r="GO5" s="17">
        <v>0.19800000000000001</v>
      </c>
      <c r="GP5" s="17">
        <v>0.108</v>
      </c>
      <c r="GQ5" s="17">
        <v>3.5999999999999997E-2</v>
      </c>
      <c r="GR5" s="17">
        <v>5.2999999999999999E-2</v>
      </c>
      <c r="GS5" s="17">
        <v>0.156</v>
      </c>
      <c r="GT5" s="17">
        <v>5.2999999999999999E-2</v>
      </c>
      <c r="GU5" s="17">
        <v>4.7E-2</v>
      </c>
      <c r="GV5" s="17">
        <v>0.13600000000000001</v>
      </c>
      <c r="GW5" s="17">
        <v>0.13</v>
      </c>
      <c r="GX5" s="17">
        <v>0.124</v>
      </c>
      <c r="GY5" s="17">
        <v>5.6000000000000001E-2</v>
      </c>
      <c r="GZ5" s="17">
        <v>4.1000000000000002E-2</v>
      </c>
      <c r="HA5" s="17">
        <v>0.11899999999999999</v>
      </c>
      <c r="HB5" s="17">
        <v>0.254</v>
      </c>
      <c r="HC5" s="17">
        <v>0.158</v>
      </c>
      <c r="HD5" s="17">
        <v>0.15</v>
      </c>
      <c r="HE5" s="17">
        <v>0.96599999999999997</v>
      </c>
      <c r="HF5" s="17">
        <v>5.8000000000000003E-2</v>
      </c>
      <c r="HG5" s="17">
        <v>0.09</v>
      </c>
      <c r="HH5" s="17">
        <v>4.9000000000000002E-2</v>
      </c>
    </row>
    <row r="6" spans="1:216" x14ac:dyDescent="0.25">
      <c r="A6" s="8">
        <v>2</v>
      </c>
      <c r="B6" s="8">
        <v>0.5</v>
      </c>
      <c r="C6" s="17">
        <v>5.1999999999999998E-2</v>
      </c>
      <c r="D6" s="17">
        <v>0.628</v>
      </c>
      <c r="E6" s="17">
        <v>0.188</v>
      </c>
      <c r="F6" s="17">
        <v>0.06</v>
      </c>
      <c r="G6" s="17">
        <v>4.8000000000000001E-2</v>
      </c>
      <c r="H6" s="17">
        <v>3.6999999999999998E-2</v>
      </c>
      <c r="I6" s="17">
        <v>0.29099999999999998</v>
      </c>
      <c r="J6" s="17">
        <v>0.19500000000000001</v>
      </c>
      <c r="K6" s="17">
        <v>0.4</v>
      </c>
      <c r="L6" s="17">
        <v>0.12</v>
      </c>
      <c r="M6" s="17">
        <v>0.59799999999999998</v>
      </c>
      <c r="N6" s="17">
        <v>6.7000000000000004E-2</v>
      </c>
      <c r="O6" s="17">
        <v>0.10199999999999999</v>
      </c>
      <c r="P6" s="17">
        <v>5.0999999999999997E-2</v>
      </c>
      <c r="Q6" s="17">
        <v>0.13700000000000001</v>
      </c>
      <c r="R6" s="17">
        <v>8.5000000000000006E-2</v>
      </c>
      <c r="S6" s="17">
        <v>4.1000000000000002E-2</v>
      </c>
      <c r="T6" s="17">
        <v>0.28999999999999998</v>
      </c>
      <c r="U6" s="17">
        <v>0.16900000000000001</v>
      </c>
      <c r="V6" s="17">
        <v>5.5E-2</v>
      </c>
      <c r="W6" s="17">
        <v>5.1999999999999998E-2</v>
      </c>
      <c r="X6" s="17">
        <v>3.5999999999999997E-2</v>
      </c>
      <c r="Y6" s="17">
        <v>0.42599999999999999</v>
      </c>
      <c r="Z6" s="17">
        <v>0.3</v>
      </c>
      <c r="AA6" s="17">
        <v>4.5999999999999999E-2</v>
      </c>
      <c r="AB6" s="17">
        <v>4.9000000000000002E-2</v>
      </c>
      <c r="AC6" s="17">
        <v>0.47799999999999998</v>
      </c>
      <c r="AD6" s="17">
        <v>5.2999999999999999E-2</v>
      </c>
      <c r="AE6" s="17">
        <v>0.19800000000000001</v>
      </c>
      <c r="AF6" s="17">
        <v>0.36399999999999999</v>
      </c>
      <c r="AG6" s="17">
        <v>0.27300000000000002</v>
      </c>
      <c r="AH6" s="17">
        <v>5.6000000000000001E-2</v>
      </c>
      <c r="AI6" s="17">
        <v>0.19</v>
      </c>
      <c r="AJ6" s="17">
        <v>9.6000000000000002E-2</v>
      </c>
      <c r="AK6" s="17">
        <v>0.374</v>
      </c>
      <c r="AL6" s="17">
        <v>0.183</v>
      </c>
      <c r="AM6" s="17">
        <v>4.9000000000000002E-2</v>
      </c>
      <c r="AN6" s="17">
        <v>4.2000000000000003E-2</v>
      </c>
      <c r="AO6" s="17">
        <v>5.5E-2</v>
      </c>
      <c r="AP6" s="17">
        <v>0.124</v>
      </c>
      <c r="AQ6" s="17">
        <v>8.8999999999999996E-2</v>
      </c>
      <c r="AR6" s="17">
        <v>0.23499999999999999</v>
      </c>
      <c r="AS6" s="17">
        <v>0.34300000000000003</v>
      </c>
      <c r="AT6" s="17">
        <v>0.245</v>
      </c>
      <c r="AU6" s="17">
        <v>7.0000000000000007E-2</v>
      </c>
      <c r="AV6" s="17">
        <v>0.157</v>
      </c>
      <c r="AW6" s="17">
        <v>5.8999999999999997E-2</v>
      </c>
      <c r="AX6" s="17">
        <v>4.8000000000000001E-2</v>
      </c>
      <c r="AY6" s="17">
        <v>9.1999999999999998E-2</v>
      </c>
      <c r="AZ6" s="17">
        <v>0.318</v>
      </c>
      <c r="BA6" s="17">
        <v>9.8000000000000004E-2</v>
      </c>
      <c r="BB6" s="17">
        <v>5.8000000000000003E-2</v>
      </c>
      <c r="BC6" s="17">
        <v>0.107</v>
      </c>
      <c r="BD6" s="17">
        <v>7.6999999999999999E-2</v>
      </c>
      <c r="BE6" s="17">
        <v>0.10199999999999999</v>
      </c>
      <c r="BF6" s="17">
        <v>0.17</v>
      </c>
      <c r="BG6" s="17">
        <v>0.80300000000000005</v>
      </c>
      <c r="BH6" s="17">
        <v>0.46300000000000002</v>
      </c>
      <c r="BI6" s="17">
        <v>0.114</v>
      </c>
      <c r="BJ6" s="17">
        <v>5.7000000000000002E-2</v>
      </c>
      <c r="BK6" s="17">
        <v>4.8000000000000001E-2</v>
      </c>
      <c r="BL6" s="17">
        <v>0.314</v>
      </c>
      <c r="BM6" s="17">
        <v>0</v>
      </c>
      <c r="BN6" s="17">
        <v>7.5999999999999998E-2</v>
      </c>
      <c r="BO6" s="17">
        <v>0.53300000000000003</v>
      </c>
      <c r="BP6" s="17">
        <v>5.1999999999999998E-2</v>
      </c>
      <c r="BQ6" s="17">
        <v>0.14299999999999999</v>
      </c>
      <c r="BR6" s="17">
        <v>5.7000000000000002E-2</v>
      </c>
      <c r="BS6" s="17">
        <v>0.23599999999999999</v>
      </c>
      <c r="BT6" s="17">
        <v>5.7000000000000002E-2</v>
      </c>
      <c r="BU6" s="17">
        <v>5.5E-2</v>
      </c>
      <c r="BV6" s="17">
        <v>0.105</v>
      </c>
      <c r="BW6" s="17">
        <v>0.13200000000000001</v>
      </c>
      <c r="BX6" s="17">
        <v>0.13300000000000001</v>
      </c>
      <c r="BY6" s="17">
        <v>0.222</v>
      </c>
      <c r="BZ6" s="17">
        <v>0.14099999999999999</v>
      </c>
      <c r="CA6" s="17">
        <v>0.189</v>
      </c>
      <c r="CB6" s="17">
        <v>0.81799999999999995</v>
      </c>
      <c r="CC6" s="17">
        <v>5.1999999999999998E-2</v>
      </c>
      <c r="CD6" s="17">
        <v>0.05</v>
      </c>
      <c r="CE6" s="17">
        <v>4.5999999999999999E-2</v>
      </c>
      <c r="CF6" s="17">
        <v>0.126</v>
      </c>
      <c r="CG6" s="17">
        <v>0.10299999999999999</v>
      </c>
      <c r="CH6" s="17">
        <v>0.11</v>
      </c>
      <c r="CI6" s="17">
        <v>0.21299999999999999</v>
      </c>
      <c r="CJ6" s="17">
        <v>0.127</v>
      </c>
      <c r="CK6" s="17">
        <v>0.57899999999999996</v>
      </c>
      <c r="CL6" s="17">
        <v>5.3999999999999999E-2</v>
      </c>
      <c r="CM6" s="17">
        <v>0.158</v>
      </c>
      <c r="CN6" s="17">
        <v>1.05</v>
      </c>
      <c r="CO6" s="17">
        <v>0.151</v>
      </c>
      <c r="CP6" s="17">
        <v>0.91</v>
      </c>
      <c r="CQ6" s="17">
        <v>5.1999999999999998E-2</v>
      </c>
      <c r="CR6" s="17">
        <v>8.1000000000000003E-2</v>
      </c>
      <c r="CS6" s="17">
        <v>4.8000000000000001E-2</v>
      </c>
      <c r="CT6" s="17">
        <v>7.9000000000000001E-2</v>
      </c>
      <c r="CU6" s="17">
        <v>4.8000000000000001E-2</v>
      </c>
      <c r="CV6" s="17">
        <v>4.3999999999999997E-2</v>
      </c>
      <c r="CW6" s="17">
        <v>0.16500000000000001</v>
      </c>
      <c r="CX6" s="17">
        <v>5.6000000000000001E-2</v>
      </c>
      <c r="CY6" s="17">
        <v>0.14000000000000001</v>
      </c>
      <c r="CZ6" s="17">
        <v>0.19400000000000001</v>
      </c>
      <c r="DA6" s="17">
        <v>0.1</v>
      </c>
      <c r="DB6" s="17">
        <v>4.9000000000000002E-2</v>
      </c>
      <c r="DC6" s="17">
        <v>0.34</v>
      </c>
      <c r="DD6" s="17">
        <v>0.23</v>
      </c>
      <c r="DE6" s="17">
        <v>6.4000000000000001E-2</v>
      </c>
      <c r="DF6" s="17">
        <v>5.8000000000000003E-2</v>
      </c>
      <c r="DG6" s="17">
        <v>0.64300000000000002</v>
      </c>
      <c r="DH6" s="17">
        <v>0.20899999999999999</v>
      </c>
      <c r="DI6" s="17">
        <v>0.13</v>
      </c>
      <c r="DJ6" s="17">
        <v>7.5999999999999998E-2</v>
      </c>
      <c r="DK6" s="17">
        <v>0.13400000000000001</v>
      </c>
      <c r="DL6" s="17">
        <v>0.19500000000000001</v>
      </c>
      <c r="DM6" s="17">
        <v>0.20100000000000001</v>
      </c>
      <c r="DN6" s="17">
        <v>0.04</v>
      </c>
      <c r="DO6" s="17">
        <v>4.2999999999999997E-2</v>
      </c>
      <c r="DP6" s="17">
        <v>0.124</v>
      </c>
      <c r="DQ6" s="17">
        <v>0.115</v>
      </c>
      <c r="DR6" s="17">
        <v>0.17699999999999999</v>
      </c>
      <c r="DS6" s="17">
        <v>0.05</v>
      </c>
      <c r="DT6" s="17">
        <v>0.16900000000000001</v>
      </c>
      <c r="DU6" s="17">
        <v>0.153</v>
      </c>
      <c r="DV6" s="17">
        <v>5.0999999999999997E-2</v>
      </c>
      <c r="DW6" s="17">
        <v>0.44400000000000001</v>
      </c>
      <c r="DX6" s="17">
        <v>0.192</v>
      </c>
      <c r="DY6" s="17">
        <v>0.17699999999999999</v>
      </c>
      <c r="DZ6" s="17">
        <v>0.105</v>
      </c>
      <c r="EA6" s="17">
        <v>0.125</v>
      </c>
      <c r="EB6" s="17">
        <v>4.5999999999999999E-2</v>
      </c>
      <c r="EC6" s="17">
        <v>0.26700000000000002</v>
      </c>
      <c r="ED6" s="17">
        <v>0.156</v>
      </c>
      <c r="EE6" s="17">
        <v>0.16500000000000001</v>
      </c>
      <c r="EF6" s="17">
        <v>0.214</v>
      </c>
      <c r="EG6" s="17">
        <v>0.17899999999999999</v>
      </c>
      <c r="EH6" s="17">
        <v>0.91700000000000004</v>
      </c>
      <c r="EI6" s="17">
        <v>0.48099999999999998</v>
      </c>
      <c r="EJ6" s="17">
        <v>6.3E-2</v>
      </c>
      <c r="EK6" s="17">
        <v>0.13400000000000001</v>
      </c>
      <c r="EL6" s="17">
        <v>0.12</v>
      </c>
      <c r="EM6" s="17">
        <v>4.8000000000000001E-2</v>
      </c>
      <c r="EN6" s="17">
        <v>7.5999999999999998E-2</v>
      </c>
      <c r="EO6" s="17">
        <v>0.186</v>
      </c>
      <c r="EP6" s="17">
        <v>0.184</v>
      </c>
      <c r="EQ6" s="17">
        <v>4.1000000000000002E-2</v>
      </c>
      <c r="ER6" s="17">
        <v>4.1000000000000002E-2</v>
      </c>
      <c r="ES6" s="17">
        <v>0.16800000000000001</v>
      </c>
      <c r="ET6" s="17">
        <v>7.5999999999999998E-2</v>
      </c>
      <c r="EU6" s="17">
        <v>5.1999999999999998E-2</v>
      </c>
      <c r="EV6" s="17">
        <v>0.15</v>
      </c>
      <c r="EW6" s="17">
        <v>5.0999999999999997E-2</v>
      </c>
      <c r="EX6" s="17">
        <v>0.12</v>
      </c>
      <c r="EY6" s="17">
        <v>4.9000000000000002E-2</v>
      </c>
      <c r="EZ6" s="17">
        <v>0.505</v>
      </c>
      <c r="FA6" s="17">
        <v>8.1000000000000003E-2</v>
      </c>
      <c r="FB6" s="17">
        <v>0.96499999999999997</v>
      </c>
      <c r="FC6" s="17">
        <v>0.17199999999999999</v>
      </c>
      <c r="FD6" s="17">
        <v>0.22500000000000001</v>
      </c>
      <c r="FE6" s="17">
        <v>5.6000000000000001E-2</v>
      </c>
      <c r="FF6" s="17">
        <v>5.1999999999999998E-2</v>
      </c>
      <c r="FG6" s="17">
        <v>5.7000000000000002E-2</v>
      </c>
      <c r="FH6" s="17">
        <v>3.6999999999999998E-2</v>
      </c>
      <c r="FI6" s="17">
        <v>0.55000000000000004</v>
      </c>
      <c r="FJ6" s="17">
        <v>5.8999999999999997E-2</v>
      </c>
      <c r="FK6" s="17">
        <v>0.11</v>
      </c>
      <c r="FL6" s="17">
        <v>5.0999999999999997E-2</v>
      </c>
      <c r="FM6" s="17">
        <v>0.183</v>
      </c>
      <c r="FN6" s="17">
        <v>0.16500000000000001</v>
      </c>
      <c r="FO6" s="17">
        <v>6.3E-2</v>
      </c>
      <c r="FP6" s="17">
        <v>0.54700000000000004</v>
      </c>
      <c r="FQ6" s="17">
        <v>0.35299999999999998</v>
      </c>
      <c r="FR6" s="17">
        <v>0.123</v>
      </c>
      <c r="FS6" s="17">
        <v>0.26800000000000002</v>
      </c>
      <c r="FT6" s="17">
        <v>5.8999999999999997E-2</v>
      </c>
      <c r="FU6" s="17">
        <v>0.28599999999999998</v>
      </c>
      <c r="FV6" s="17">
        <v>0.18099999999999999</v>
      </c>
      <c r="FW6" s="17">
        <v>0.154</v>
      </c>
      <c r="FX6" s="17">
        <v>0.248</v>
      </c>
      <c r="FY6" s="17">
        <v>0.72099999999999997</v>
      </c>
      <c r="FZ6" s="17">
        <v>0.215</v>
      </c>
      <c r="GA6" s="17">
        <v>0.1</v>
      </c>
      <c r="GB6" s="17">
        <v>0.113</v>
      </c>
      <c r="GC6" s="17">
        <v>0.255</v>
      </c>
      <c r="GD6" s="17">
        <v>0.04</v>
      </c>
      <c r="GE6" s="17">
        <v>0.06</v>
      </c>
      <c r="GF6" s="17">
        <v>0.16600000000000001</v>
      </c>
      <c r="GG6" s="17">
        <v>0.56200000000000006</v>
      </c>
      <c r="GH6" s="17">
        <v>5.0999999999999997E-2</v>
      </c>
      <c r="GI6" s="17">
        <v>5.1999999999999998E-2</v>
      </c>
      <c r="GJ6" s="17">
        <v>9.9000000000000005E-2</v>
      </c>
      <c r="GK6" s="17">
        <v>9.2999999999999999E-2</v>
      </c>
      <c r="GL6" s="17">
        <v>5.8000000000000003E-2</v>
      </c>
      <c r="GM6" s="17">
        <v>0.2</v>
      </c>
      <c r="GN6" s="17">
        <v>4.8000000000000001E-2</v>
      </c>
      <c r="GO6" s="17">
        <v>0.104</v>
      </c>
      <c r="GP6" s="17">
        <v>0.218</v>
      </c>
      <c r="GQ6" s="17">
        <v>0.157</v>
      </c>
      <c r="GR6" s="17">
        <v>0.17599999999999999</v>
      </c>
      <c r="GS6" s="17">
        <v>0.26900000000000002</v>
      </c>
      <c r="GT6" s="17">
        <v>5.2999999999999999E-2</v>
      </c>
      <c r="GU6" s="17">
        <v>0.10100000000000001</v>
      </c>
      <c r="GV6" s="17">
        <v>0.11799999999999999</v>
      </c>
      <c r="GW6" s="17">
        <v>0.249</v>
      </c>
      <c r="GX6" s="17">
        <v>0.111</v>
      </c>
      <c r="GY6" s="17">
        <v>0.22600000000000001</v>
      </c>
      <c r="GZ6" s="17">
        <v>0.20100000000000001</v>
      </c>
      <c r="HA6" s="17">
        <v>4.7E-2</v>
      </c>
      <c r="HB6" s="17">
        <v>5.7000000000000002E-2</v>
      </c>
      <c r="HC6" s="17">
        <v>0.121</v>
      </c>
      <c r="HD6" s="17">
        <v>0.252</v>
      </c>
      <c r="HE6" s="17">
        <v>0.70899999999999996</v>
      </c>
      <c r="HF6" s="17">
        <v>0.15</v>
      </c>
      <c r="HG6" s="17">
        <v>0.22500000000000001</v>
      </c>
      <c r="HH6" s="17">
        <v>4.9000000000000002E-2</v>
      </c>
    </row>
    <row r="7" spans="1:216" x14ac:dyDescent="0.25">
      <c r="A7" s="8">
        <v>3</v>
      </c>
      <c r="B7" s="8">
        <v>1</v>
      </c>
      <c r="C7" s="17">
        <v>0.16</v>
      </c>
      <c r="D7" s="17">
        <v>0.77700000000000002</v>
      </c>
      <c r="E7" s="17">
        <v>0.115</v>
      </c>
      <c r="F7" s="17">
        <v>0.36099999999999999</v>
      </c>
      <c r="G7" s="17">
        <v>0.122</v>
      </c>
      <c r="H7" s="17">
        <v>3.6999999999999998E-2</v>
      </c>
      <c r="I7" s="17">
        <v>5.6000000000000001E-2</v>
      </c>
      <c r="J7" s="17">
        <v>5.6000000000000001E-2</v>
      </c>
      <c r="K7" s="17">
        <v>9.8000000000000004E-2</v>
      </c>
      <c r="L7" s="17">
        <v>0.16600000000000001</v>
      </c>
      <c r="M7" s="17">
        <v>0.70199999999999996</v>
      </c>
      <c r="N7" s="17">
        <v>0.122</v>
      </c>
      <c r="O7" s="17">
        <v>7.8E-2</v>
      </c>
      <c r="P7" s="17">
        <v>5.0999999999999997E-2</v>
      </c>
      <c r="Q7" s="17">
        <v>4.4999999999999998E-2</v>
      </c>
      <c r="R7" s="17">
        <v>0.16800000000000001</v>
      </c>
      <c r="S7" s="17">
        <v>0.216</v>
      </c>
      <c r="T7" s="17">
        <v>0.126</v>
      </c>
      <c r="U7" s="17">
        <v>5.1999999999999998E-2</v>
      </c>
      <c r="V7" s="17">
        <v>5.5E-2</v>
      </c>
      <c r="W7" s="17">
        <v>0.13800000000000001</v>
      </c>
      <c r="X7" s="17">
        <v>6.6000000000000003E-2</v>
      </c>
      <c r="Y7" s="17">
        <v>0.40200000000000002</v>
      </c>
      <c r="Z7" s="17">
        <v>0.12</v>
      </c>
      <c r="AA7" s="17">
        <v>4.5999999999999999E-2</v>
      </c>
      <c r="AB7" s="17">
        <v>4.9000000000000002E-2</v>
      </c>
      <c r="AC7" s="17">
        <v>5.5E-2</v>
      </c>
      <c r="AD7" s="17">
        <v>0.155</v>
      </c>
      <c r="AE7" s="17">
        <v>0.129</v>
      </c>
      <c r="AF7" s="17">
        <v>0</v>
      </c>
      <c r="AG7" s="17">
        <v>4.3999999999999997E-2</v>
      </c>
      <c r="AH7" s="17">
        <v>5.6000000000000001E-2</v>
      </c>
      <c r="AI7" s="17">
        <v>5.0999999999999997E-2</v>
      </c>
      <c r="AJ7" s="17">
        <v>0.16600000000000001</v>
      </c>
      <c r="AK7" s="17">
        <v>0.44800000000000001</v>
      </c>
      <c r="AL7" s="17">
        <v>5.0999999999999997E-2</v>
      </c>
      <c r="AM7" s="17">
        <v>4.9000000000000002E-2</v>
      </c>
      <c r="AN7" s="17">
        <v>0.17499999999999999</v>
      </c>
      <c r="AO7" s="17">
        <v>7.1999999999999995E-2</v>
      </c>
      <c r="AP7" s="17">
        <v>0.09</v>
      </c>
      <c r="AQ7" s="17">
        <v>8.4000000000000005E-2</v>
      </c>
      <c r="AR7" s="17">
        <v>0.111</v>
      </c>
      <c r="AS7" s="17">
        <v>4.9000000000000002E-2</v>
      </c>
      <c r="AT7" s="17">
        <v>0.19800000000000001</v>
      </c>
      <c r="AU7" s="17">
        <v>5.5E-2</v>
      </c>
      <c r="AV7" s="17">
        <v>4.1000000000000002E-2</v>
      </c>
      <c r="AW7" s="17">
        <v>0.23599999999999999</v>
      </c>
      <c r="AX7" s="17">
        <v>0.22500000000000001</v>
      </c>
      <c r="AY7" s="17">
        <v>0.27400000000000002</v>
      </c>
      <c r="AZ7" s="17">
        <v>0.26300000000000001</v>
      </c>
      <c r="BA7" s="17">
        <v>0.13500000000000001</v>
      </c>
      <c r="BB7" s="17">
        <v>0.23599999999999999</v>
      </c>
      <c r="BC7" s="17">
        <v>9.7000000000000003E-2</v>
      </c>
      <c r="BD7" s="17">
        <v>5.0999999999999997E-2</v>
      </c>
      <c r="BE7" s="17">
        <v>0.23499999999999999</v>
      </c>
      <c r="BF7" s="17">
        <v>8.8999999999999996E-2</v>
      </c>
      <c r="BG7" s="17">
        <v>0.64900000000000002</v>
      </c>
      <c r="BH7" s="17">
        <v>9.2999999999999999E-2</v>
      </c>
      <c r="BI7" s="17">
        <v>0.27</v>
      </c>
      <c r="BJ7" s="17">
        <v>5.7000000000000002E-2</v>
      </c>
      <c r="BK7" s="17">
        <v>4.8000000000000001E-2</v>
      </c>
      <c r="BL7" s="17">
        <v>0.06</v>
      </c>
      <c r="BM7" s="17">
        <v>0</v>
      </c>
      <c r="BN7" s="17">
        <v>0.214</v>
      </c>
      <c r="BO7" s="17">
        <v>0.216</v>
      </c>
      <c r="BP7" s="17">
        <v>5.1999999999999998E-2</v>
      </c>
      <c r="BQ7" s="17">
        <v>5.6000000000000001E-2</v>
      </c>
      <c r="BR7" s="17">
        <v>5.7000000000000002E-2</v>
      </c>
      <c r="BS7" s="17">
        <v>6.9000000000000006E-2</v>
      </c>
      <c r="BT7" s="17">
        <v>5.7000000000000002E-2</v>
      </c>
      <c r="BU7" s="17">
        <v>5.5E-2</v>
      </c>
      <c r="BV7" s="17">
        <v>4.3999999999999997E-2</v>
      </c>
      <c r="BW7" s="17">
        <v>7.0000000000000007E-2</v>
      </c>
      <c r="BX7" s="17">
        <v>9.1999999999999998E-2</v>
      </c>
      <c r="BY7" s="17">
        <v>0.17199999999999999</v>
      </c>
      <c r="BZ7" s="17">
        <v>0.05</v>
      </c>
      <c r="CA7" s="17">
        <v>5.5E-2</v>
      </c>
      <c r="CB7" s="17">
        <v>5.3999999999999999E-2</v>
      </c>
      <c r="CC7" s="17">
        <v>5.1999999999999998E-2</v>
      </c>
      <c r="CD7" s="17">
        <v>0.05</v>
      </c>
      <c r="CE7" s="17">
        <v>4.5999999999999999E-2</v>
      </c>
      <c r="CF7" s="17">
        <v>0.219</v>
      </c>
      <c r="CG7" s="17">
        <v>0.17699999999999999</v>
      </c>
      <c r="CH7" s="17">
        <v>0.13</v>
      </c>
      <c r="CI7" s="17">
        <v>0.17499999999999999</v>
      </c>
      <c r="CJ7" s="17">
        <v>0.127</v>
      </c>
      <c r="CK7" s="17">
        <v>0.751</v>
      </c>
      <c r="CL7" s="17">
        <v>0.06</v>
      </c>
      <c r="CM7" s="17">
        <v>0.16</v>
      </c>
      <c r="CN7" s="17">
        <v>0</v>
      </c>
      <c r="CO7" s="17">
        <v>6.4000000000000001E-2</v>
      </c>
      <c r="CP7" s="17">
        <v>1.1040000000000001</v>
      </c>
      <c r="CQ7" s="17">
        <v>5.1999999999999998E-2</v>
      </c>
      <c r="CR7" s="17">
        <v>5.7000000000000002E-2</v>
      </c>
      <c r="CS7" s="17">
        <v>0.19900000000000001</v>
      </c>
      <c r="CT7" s="17">
        <v>7.1999999999999995E-2</v>
      </c>
      <c r="CU7" s="17">
        <v>4.8000000000000001E-2</v>
      </c>
      <c r="CV7" s="17">
        <v>4.3999999999999997E-2</v>
      </c>
      <c r="CW7" s="17">
        <v>0.13300000000000001</v>
      </c>
      <c r="CX7" s="17">
        <v>5.6000000000000001E-2</v>
      </c>
      <c r="CY7" s="17">
        <v>0.14599999999999999</v>
      </c>
      <c r="CZ7" s="17">
        <v>7.9000000000000001E-2</v>
      </c>
      <c r="DA7" s="17">
        <v>0.155</v>
      </c>
      <c r="DB7" s="17">
        <v>0.125</v>
      </c>
      <c r="DC7" s="17">
        <v>0.33500000000000002</v>
      </c>
      <c r="DD7" s="17">
        <v>0.252</v>
      </c>
      <c r="DE7" s="17">
        <v>0.189</v>
      </c>
      <c r="DF7" s="17">
        <v>0.32400000000000001</v>
      </c>
      <c r="DG7" s="17">
        <v>0.66500000000000004</v>
      </c>
      <c r="DH7" s="17">
        <v>0.05</v>
      </c>
      <c r="DI7" s="17">
        <v>4.9000000000000002E-2</v>
      </c>
      <c r="DJ7" s="17">
        <v>0.09</v>
      </c>
      <c r="DK7" s="17">
        <v>0.22700000000000001</v>
      </c>
      <c r="DL7" s="17">
        <v>5.8999999999999997E-2</v>
      </c>
      <c r="DM7" s="17">
        <v>9.0999999999999998E-2</v>
      </c>
      <c r="DN7" s="17">
        <v>0.04</v>
      </c>
      <c r="DO7" s="17">
        <v>0.29199999999999998</v>
      </c>
      <c r="DP7" s="17">
        <v>0.05</v>
      </c>
      <c r="DQ7" s="17">
        <v>0.19600000000000001</v>
      </c>
      <c r="DR7" s="17">
        <v>0.21299999999999999</v>
      </c>
      <c r="DS7" s="17">
        <v>0.05</v>
      </c>
      <c r="DT7" s="17">
        <v>0.13400000000000001</v>
      </c>
      <c r="DU7" s="17">
        <v>0.25800000000000001</v>
      </c>
      <c r="DV7" s="17">
        <v>0.105</v>
      </c>
      <c r="DW7" s="17">
        <v>0.35799999999999998</v>
      </c>
      <c r="DX7" s="17">
        <v>4.1000000000000002E-2</v>
      </c>
      <c r="DY7" s="17">
        <v>8.8999999999999996E-2</v>
      </c>
      <c r="DZ7" s="17">
        <v>0.34399999999999997</v>
      </c>
      <c r="EA7" s="17">
        <v>0.14499999999999999</v>
      </c>
      <c r="EB7" s="17">
        <v>4.5999999999999999E-2</v>
      </c>
      <c r="EC7" s="17">
        <v>0.06</v>
      </c>
      <c r="ED7" s="17">
        <v>5.2999999999999999E-2</v>
      </c>
      <c r="EE7" s="17">
        <v>0.05</v>
      </c>
      <c r="EF7" s="17">
        <v>7.0999999999999994E-2</v>
      </c>
      <c r="EG7" s="17">
        <v>0.28000000000000003</v>
      </c>
      <c r="EH7" s="17">
        <v>0.40799999999999997</v>
      </c>
      <c r="EI7" s="17">
        <v>0.113</v>
      </c>
      <c r="EJ7" s="17">
        <v>0.19600000000000001</v>
      </c>
      <c r="EK7" s="17">
        <v>0.22600000000000001</v>
      </c>
      <c r="EL7" s="17">
        <v>8.6999999999999994E-2</v>
      </c>
      <c r="EM7" s="17">
        <v>0.29899999999999999</v>
      </c>
      <c r="EN7" s="17">
        <v>7.6999999999999999E-2</v>
      </c>
      <c r="EO7" s="17">
        <v>3.5999999999999997E-2</v>
      </c>
      <c r="EP7" s="17">
        <v>0.05</v>
      </c>
      <c r="EQ7" s="17">
        <v>4.1000000000000002E-2</v>
      </c>
      <c r="ER7" s="17">
        <v>0.14799999999999999</v>
      </c>
      <c r="ES7" s="17">
        <v>6.0999999999999999E-2</v>
      </c>
      <c r="ET7" s="17">
        <v>8.5999999999999993E-2</v>
      </c>
      <c r="EU7" s="17">
        <v>0.248</v>
      </c>
      <c r="EV7" s="17">
        <v>0.05</v>
      </c>
      <c r="EW7" s="17">
        <v>0.184</v>
      </c>
      <c r="EX7" s="17">
        <v>5.8000000000000003E-2</v>
      </c>
      <c r="EY7" s="17">
        <v>0.186</v>
      </c>
      <c r="EZ7" s="17">
        <v>0.35</v>
      </c>
      <c r="FA7" s="17">
        <v>0.27500000000000002</v>
      </c>
      <c r="FB7" s="17">
        <v>0.29699999999999999</v>
      </c>
      <c r="FC7" s="17">
        <v>0.14099999999999999</v>
      </c>
      <c r="FD7" s="17">
        <v>0.05</v>
      </c>
      <c r="FE7" s="17">
        <v>5.6000000000000001E-2</v>
      </c>
      <c r="FF7" s="17">
        <v>5.1999999999999998E-2</v>
      </c>
      <c r="FG7" s="17">
        <v>0.16300000000000001</v>
      </c>
      <c r="FH7" s="17">
        <v>3.6999999999999998E-2</v>
      </c>
      <c r="FI7" s="17">
        <v>0.125</v>
      </c>
      <c r="FJ7" s="17">
        <v>9.2999999999999999E-2</v>
      </c>
      <c r="FK7" s="17">
        <v>0.17599999999999999</v>
      </c>
      <c r="FL7" s="17">
        <v>7.2999999999999995E-2</v>
      </c>
      <c r="FM7" s="17">
        <v>5.2999999999999999E-2</v>
      </c>
      <c r="FN7" s="17">
        <v>0.11600000000000001</v>
      </c>
      <c r="FO7" s="17">
        <v>0.10299999999999999</v>
      </c>
      <c r="FP7" s="17">
        <v>3.5999999999999997E-2</v>
      </c>
      <c r="FQ7" s="17">
        <v>0.05</v>
      </c>
      <c r="FR7" s="17">
        <v>5.6000000000000001E-2</v>
      </c>
      <c r="FS7" s="17">
        <v>8.4000000000000005E-2</v>
      </c>
      <c r="FT7" s="17">
        <v>0.247</v>
      </c>
      <c r="FU7" s="17">
        <v>0.36199999999999999</v>
      </c>
      <c r="FV7" s="17">
        <v>0.11600000000000001</v>
      </c>
      <c r="FW7" s="17">
        <v>5.8000000000000003E-2</v>
      </c>
      <c r="FX7" s="17">
        <v>0.216</v>
      </c>
      <c r="FY7" s="17">
        <v>4.9000000000000002E-2</v>
      </c>
      <c r="FZ7" s="17">
        <v>0.14000000000000001</v>
      </c>
      <c r="GA7" s="17">
        <v>5.3999999999999999E-2</v>
      </c>
      <c r="GB7" s="17">
        <v>0.223</v>
      </c>
      <c r="GC7" s="17">
        <v>7.3999999999999996E-2</v>
      </c>
      <c r="GD7" s="17">
        <v>0.28000000000000003</v>
      </c>
      <c r="GE7" s="17">
        <v>7.5999999999999998E-2</v>
      </c>
      <c r="GF7" s="17">
        <v>0.11799999999999999</v>
      </c>
      <c r="GG7" s="17">
        <v>0.221</v>
      </c>
      <c r="GH7" s="17">
        <v>6.5000000000000002E-2</v>
      </c>
      <c r="GI7" s="17">
        <v>5.1999999999999998E-2</v>
      </c>
      <c r="GJ7" s="17">
        <v>7.1999999999999995E-2</v>
      </c>
      <c r="GK7" s="17">
        <v>7.9000000000000001E-2</v>
      </c>
      <c r="GL7" s="17">
        <v>0.42499999999999999</v>
      </c>
      <c r="GM7" s="17">
        <v>0.18099999999999999</v>
      </c>
      <c r="GN7" s="17">
        <v>4.8000000000000001E-2</v>
      </c>
      <c r="GO7" s="17">
        <v>0.108</v>
      </c>
      <c r="GP7" s="17">
        <v>0.151</v>
      </c>
      <c r="GQ7" s="17">
        <v>9.2999999999999999E-2</v>
      </c>
      <c r="GR7" s="17">
        <v>5.2999999999999999E-2</v>
      </c>
      <c r="GS7" s="17">
        <v>4.7E-2</v>
      </c>
      <c r="GT7" s="17">
        <v>5.2999999999999999E-2</v>
      </c>
      <c r="GU7" s="17">
        <v>0.14299999999999999</v>
      </c>
      <c r="GV7" s="17">
        <v>0.1</v>
      </c>
      <c r="GW7" s="17">
        <v>4.9000000000000002E-2</v>
      </c>
      <c r="GX7" s="17">
        <v>0.22800000000000001</v>
      </c>
      <c r="GY7" s="17">
        <v>5.6000000000000001E-2</v>
      </c>
      <c r="GZ7" s="17">
        <v>4.1000000000000002E-2</v>
      </c>
      <c r="HA7" s="17">
        <v>0.15</v>
      </c>
      <c r="HB7" s="17">
        <v>0.22900000000000001</v>
      </c>
      <c r="HC7" s="17">
        <v>8.4000000000000005E-2</v>
      </c>
      <c r="HD7" s="17">
        <v>0.13</v>
      </c>
      <c r="HE7" s="17">
        <v>0.71599999999999997</v>
      </c>
      <c r="HF7" s="17">
        <v>0.16900000000000001</v>
      </c>
      <c r="HG7" s="17">
        <v>4.2000000000000003E-2</v>
      </c>
      <c r="HH7" s="17">
        <v>4.9000000000000002E-2</v>
      </c>
    </row>
    <row r="8" spans="1:216" x14ac:dyDescent="0.25">
      <c r="A8" s="8">
        <v>4</v>
      </c>
      <c r="B8" s="8">
        <v>1.5</v>
      </c>
      <c r="C8" s="17">
        <v>0.127</v>
      </c>
      <c r="D8" s="17">
        <v>0.22800000000000001</v>
      </c>
      <c r="E8" s="17">
        <v>0.115</v>
      </c>
      <c r="F8" s="17">
        <v>3.9E-2</v>
      </c>
      <c r="G8" s="17">
        <v>4.8000000000000001E-2</v>
      </c>
      <c r="H8" s="17">
        <v>3.6999999999999998E-2</v>
      </c>
      <c r="I8" s="17">
        <v>5.6000000000000001E-2</v>
      </c>
      <c r="J8" s="17">
        <v>0.26200000000000001</v>
      </c>
      <c r="K8" s="17">
        <v>0.16200000000000001</v>
      </c>
      <c r="L8" s="17">
        <v>0.219</v>
      </c>
      <c r="M8" s="17">
        <v>0.35099999999999998</v>
      </c>
      <c r="N8" s="17">
        <v>0.108</v>
      </c>
      <c r="O8" s="17">
        <v>5.0999999999999997E-2</v>
      </c>
      <c r="P8" s="17">
        <v>5.0999999999999997E-2</v>
      </c>
      <c r="Q8" s="17">
        <v>0.19500000000000001</v>
      </c>
      <c r="R8" s="17">
        <v>3.1E-2</v>
      </c>
      <c r="S8" s="17">
        <v>0.11799999999999999</v>
      </c>
      <c r="T8" s="17">
        <v>0.17499999999999999</v>
      </c>
      <c r="U8" s="17">
        <v>5.1999999999999998E-2</v>
      </c>
      <c r="V8" s="17">
        <v>0.21</v>
      </c>
      <c r="W8" s="17">
        <v>9.8000000000000004E-2</v>
      </c>
      <c r="X8" s="17">
        <v>0.28000000000000003</v>
      </c>
      <c r="Y8" s="17">
        <v>0.34699999999999998</v>
      </c>
      <c r="Z8" s="17">
        <v>0.186</v>
      </c>
      <c r="AA8" s="17">
        <v>4.5999999999999999E-2</v>
      </c>
      <c r="AB8" s="17">
        <v>4.9000000000000002E-2</v>
      </c>
      <c r="AC8" s="17">
        <v>5.5E-2</v>
      </c>
      <c r="AD8" s="17">
        <v>0.10100000000000001</v>
      </c>
      <c r="AE8" s="17">
        <v>6.2E-2</v>
      </c>
      <c r="AF8" s="17">
        <v>0</v>
      </c>
      <c r="AG8" s="17">
        <v>4.3999999999999997E-2</v>
      </c>
      <c r="AH8" s="17">
        <v>5.6000000000000001E-2</v>
      </c>
      <c r="AI8" s="17">
        <v>0.248</v>
      </c>
      <c r="AJ8" s="17">
        <v>8.1000000000000003E-2</v>
      </c>
      <c r="AK8" s="17">
        <v>0.20699999999999999</v>
      </c>
      <c r="AL8" s="17">
        <v>5.0999999999999997E-2</v>
      </c>
      <c r="AM8" s="17">
        <v>4.9000000000000002E-2</v>
      </c>
      <c r="AN8" s="17">
        <v>1.147</v>
      </c>
      <c r="AO8" s="17">
        <v>0.11600000000000001</v>
      </c>
      <c r="AP8" s="17">
        <v>4.9000000000000002E-2</v>
      </c>
      <c r="AQ8" s="17">
        <v>0.10299999999999999</v>
      </c>
      <c r="AR8" s="17">
        <v>0.15</v>
      </c>
      <c r="AS8" s="17">
        <v>8.5999999999999993E-2</v>
      </c>
      <c r="AT8" s="17">
        <v>0.23699999999999999</v>
      </c>
      <c r="AU8" s="17">
        <v>0.129</v>
      </c>
      <c r="AV8" s="17">
        <v>0.25700000000000001</v>
      </c>
      <c r="AW8" s="17">
        <v>5.8999999999999997E-2</v>
      </c>
      <c r="AX8" s="17">
        <v>4.8000000000000001E-2</v>
      </c>
      <c r="AY8" s="17">
        <v>4.4999999999999998E-2</v>
      </c>
      <c r="AZ8" s="17">
        <v>0.20100000000000001</v>
      </c>
      <c r="BA8" s="17">
        <v>0.06</v>
      </c>
      <c r="BB8" s="17">
        <v>0.08</v>
      </c>
      <c r="BC8" s="17">
        <v>7.6999999999999999E-2</v>
      </c>
      <c r="BD8" s="17">
        <v>5.0999999999999997E-2</v>
      </c>
      <c r="BE8" s="17">
        <v>9.5000000000000001E-2</v>
      </c>
      <c r="BF8" s="17">
        <v>0.13</v>
      </c>
      <c r="BG8" s="17">
        <v>0</v>
      </c>
      <c r="BH8" s="17">
        <v>0.23499999999999999</v>
      </c>
      <c r="BI8" s="17">
        <v>7.4999999999999997E-2</v>
      </c>
      <c r="BJ8" s="17">
        <v>5.7000000000000002E-2</v>
      </c>
      <c r="BK8" s="17">
        <v>4.8000000000000001E-2</v>
      </c>
      <c r="BL8" s="17">
        <v>0.25600000000000001</v>
      </c>
      <c r="BM8" s="17">
        <v>0</v>
      </c>
      <c r="BN8" s="17">
        <v>0.11700000000000001</v>
      </c>
      <c r="BO8" s="17">
        <v>0.17599999999999999</v>
      </c>
      <c r="BP8" s="17">
        <v>0.192</v>
      </c>
      <c r="BQ8" s="17">
        <v>0.371</v>
      </c>
      <c r="BR8" s="17">
        <v>5.7000000000000002E-2</v>
      </c>
      <c r="BS8" s="17">
        <v>0.16700000000000001</v>
      </c>
      <c r="BT8" s="17">
        <v>5.7000000000000002E-2</v>
      </c>
      <c r="BU8" s="17">
        <v>0.155</v>
      </c>
      <c r="BV8" s="17">
        <v>0.13800000000000001</v>
      </c>
      <c r="BW8" s="17">
        <v>0.05</v>
      </c>
      <c r="BX8" s="17">
        <v>0.1</v>
      </c>
      <c r="BY8" s="17">
        <v>0.05</v>
      </c>
      <c r="BZ8" s="17">
        <v>0.05</v>
      </c>
      <c r="CA8" s="17">
        <v>0.16900000000000001</v>
      </c>
      <c r="CB8" s="17">
        <v>6.9000000000000006E-2</v>
      </c>
      <c r="CC8" s="17">
        <v>5.1999999999999998E-2</v>
      </c>
      <c r="CD8" s="17">
        <v>0.23100000000000001</v>
      </c>
      <c r="CE8" s="17">
        <v>4.5999999999999999E-2</v>
      </c>
      <c r="CF8" s="17">
        <v>5.0999999999999997E-2</v>
      </c>
      <c r="CG8" s="17">
        <v>5.7000000000000002E-2</v>
      </c>
      <c r="CH8" s="17">
        <v>0.20799999999999999</v>
      </c>
      <c r="CI8" s="17">
        <v>0.112</v>
      </c>
      <c r="CJ8" s="17">
        <v>5.5E-2</v>
      </c>
      <c r="CK8" s="17">
        <v>0.47199999999999998</v>
      </c>
      <c r="CL8" s="17">
        <v>0.17499999999999999</v>
      </c>
      <c r="CM8" s="17">
        <v>9.6000000000000002E-2</v>
      </c>
      <c r="CN8" s="17">
        <v>0</v>
      </c>
      <c r="CO8" s="17">
        <v>0.10299999999999999</v>
      </c>
      <c r="CP8" s="17">
        <v>0</v>
      </c>
      <c r="CQ8" s="17">
        <v>0.14499999999999999</v>
      </c>
      <c r="CR8" s="17">
        <v>0.38</v>
      </c>
      <c r="CS8" s="17">
        <v>5.5E-2</v>
      </c>
      <c r="CT8" s="17">
        <v>0.18</v>
      </c>
      <c r="CU8" s="17">
        <v>4.8000000000000001E-2</v>
      </c>
      <c r="CV8" s="17">
        <v>0.17</v>
      </c>
      <c r="CW8" s="17">
        <v>0.16</v>
      </c>
      <c r="CX8" s="17">
        <v>5.6000000000000001E-2</v>
      </c>
      <c r="CY8" s="17">
        <v>0.125</v>
      </c>
      <c r="CZ8" s="17">
        <v>0.192</v>
      </c>
      <c r="DA8" s="17">
        <v>5.0999999999999997E-2</v>
      </c>
      <c r="DB8" s="17">
        <v>4.9000000000000002E-2</v>
      </c>
      <c r="DC8" s="17">
        <v>0.21099999999999999</v>
      </c>
      <c r="DD8" s="17">
        <v>0.24199999999999999</v>
      </c>
      <c r="DE8" s="17">
        <v>0.05</v>
      </c>
      <c r="DF8" s="17">
        <v>0.13500000000000001</v>
      </c>
      <c r="DG8" s="17">
        <v>0.64200000000000002</v>
      </c>
      <c r="DH8" s="17">
        <v>0.251</v>
      </c>
      <c r="DI8" s="17">
        <v>4.9000000000000002E-2</v>
      </c>
      <c r="DJ8" s="17">
        <v>8.5000000000000006E-2</v>
      </c>
      <c r="DK8" s="17">
        <v>0.23200000000000001</v>
      </c>
      <c r="DL8" s="17">
        <v>8.8999999999999996E-2</v>
      </c>
      <c r="DM8" s="17">
        <v>0.36199999999999999</v>
      </c>
      <c r="DN8" s="17">
        <v>0.04</v>
      </c>
      <c r="DO8" s="17">
        <v>0.06</v>
      </c>
      <c r="DP8" s="17">
        <v>0.05</v>
      </c>
      <c r="DQ8" s="17">
        <v>7.4999999999999997E-2</v>
      </c>
      <c r="DR8" s="17">
        <v>0.184</v>
      </c>
      <c r="DS8" s="17">
        <v>0.05</v>
      </c>
      <c r="DT8" s="17">
        <v>5.0999999999999997E-2</v>
      </c>
      <c r="DU8" s="17">
        <v>4.8000000000000001E-2</v>
      </c>
      <c r="DV8" s="17">
        <v>0.14599999999999999</v>
      </c>
      <c r="DW8" s="17">
        <v>8.6999999999999994E-2</v>
      </c>
      <c r="DX8" s="17">
        <v>9.6000000000000002E-2</v>
      </c>
      <c r="DY8" s="17">
        <v>5.1999999999999998E-2</v>
      </c>
      <c r="DZ8" s="17">
        <v>0.161</v>
      </c>
      <c r="EA8" s="17">
        <v>5.6000000000000001E-2</v>
      </c>
      <c r="EB8" s="17">
        <v>4.5999999999999999E-2</v>
      </c>
      <c r="EC8" s="17">
        <v>5.1999999999999998E-2</v>
      </c>
      <c r="ED8" s="17">
        <v>5.2999999999999999E-2</v>
      </c>
      <c r="EE8" s="17">
        <v>0.104</v>
      </c>
      <c r="EF8" s="17">
        <v>5.6000000000000001E-2</v>
      </c>
      <c r="EG8" s="17">
        <v>0.128</v>
      </c>
      <c r="EH8" s="17">
        <v>9.1999999999999998E-2</v>
      </c>
      <c r="EI8" s="17">
        <v>0.13800000000000001</v>
      </c>
      <c r="EJ8" s="17">
        <v>4.8000000000000001E-2</v>
      </c>
      <c r="EK8" s="17">
        <v>0.13400000000000001</v>
      </c>
      <c r="EL8" s="17">
        <v>0.161</v>
      </c>
      <c r="EM8" s="17">
        <v>0.14899999999999999</v>
      </c>
      <c r="EN8" s="17">
        <v>0.112</v>
      </c>
      <c r="EO8" s="17">
        <v>3.5999999999999997E-2</v>
      </c>
      <c r="EP8" s="17">
        <v>0.05</v>
      </c>
      <c r="EQ8" s="17">
        <v>6.0999999999999999E-2</v>
      </c>
      <c r="ER8" s="17">
        <v>7.1999999999999995E-2</v>
      </c>
      <c r="ES8" s="17">
        <v>5.5E-2</v>
      </c>
      <c r="ET8" s="17">
        <v>0.191</v>
      </c>
      <c r="EU8" s="17">
        <v>0.189</v>
      </c>
      <c r="EV8" s="17">
        <v>0.17499999999999999</v>
      </c>
      <c r="EW8" s="17">
        <v>0.152</v>
      </c>
      <c r="EX8" s="17">
        <v>0.10100000000000001</v>
      </c>
      <c r="EY8" s="17">
        <v>6.3E-2</v>
      </c>
      <c r="EZ8" s="17">
        <v>0.69099999999999995</v>
      </c>
      <c r="FA8" s="17">
        <v>5.1999999999999998E-2</v>
      </c>
      <c r="FB8" s="17">
        <v>0.27900000000000003</v>
      </c>
      <c r="FC8" s="17">
        <v>0.17899999999999999</v>
      </c>
      <c r="FD8" s="17">
        <v>0.05</v>
      </c>
      <c r="FE8" s="17">
        <v>5.6000000000000001E-2</v>
      </c>
      <c r="FF8" s="17">
        <v>5.1999999999999998E-2</v>
      </c>
      <c r="FG8" s="17">
        <v>5.7000000000000002E-2</v>
      </c>
      <c r="FH8" s="17">
        <v>3.6999999999999998E-2</v>
      </c>
      <c r="FI8" s="17">
        <v>0.14499999999999999</v>
      </c>
      <c r="FJ8" s="17">
        <v>9.2999999999999999E-2</v>
      </c>
      <c r="FK8" s="17">
        <v>0.14000000000000001</v>
      </c>
      <c r="FL8" s="17">
        <v>0.30399999999999999</v>
      </c>
      <c r="FM8" s="17">
        <v>8.2000000000000003E-2</v>
      </c>
      <c r="FN8" s="17">
        <v>5.0999999999999997E-2</v>
      </c>
      <c r="FO8" s="17">
        <v>4.7E-2</v>
      </c>
      <c r="FP8" s="17">
        <v>3.5999999999999997E-2</v>
      </c>
      <c r="FQ8" s="17">
        <v>0.16800000000000001</v>
      </c>
      <c r="FR8" s="17">
        <v>5.6000000000000001E-2</v>
      </c>
      <c r="FS8" s="17">
        <v>0.11700000000000001</v>
      </c>
      <c r="FT8" s="17">
        <v>0.495</v>
      </c>
      <c r="FU8" s="17">
        <v>0.34599999999999997</v>
      </c>
      <c r="FV8" s="17">
        <v>0.34899999999999998</v>
      </c>
      <c r="FW8" s="17">
        <v>7.9000000000000001E-2</v>
      </c>
      <c r="FX8" s="17">
        <v>0.21299999999999999</v>
      </c>
      <c r="FY8" s="17">
        <v>0.11700000000000001</v>
      </c>
      <c r="FZ8" s="17">
        <v>0.14899999999999999</v>
      </c>
      <c r="GA8" s="17">
        <v>0.17899999999999999</v>
      </c>
      <c r="GB8" s="17">
        <v>4.7E-2</v>
      </c>
      <c r="GC8" s="17">
        <v>0.152</v>
      </c>
      <c r="GD8" s="17">
        <v>0.06</v>
      </c>
      <c r="GE8" s="17">
        <v>0.152</v>
      </c>
      <c r="GF8" s="17">
        <v>0.29799999999999999</v>
      </c>
      <c r="GG8" s="17">
        <v>8.1000000000000003E-2</v>
      </c>
      <c r="GH8" s="17">
        <v>0.19500000000000001</v>
      </c>
      <c r="GI8" s="17">
        <v>5.1999999999999998E-2</v>
      </c>
      <c r="GJ8" s="17">
        <v>0.112</v>
      </c>
      <c r="GK8" s="17">
        <v>0.24199999999999999</v>
      </c>
      <c r="GL8" s="17">
        <v>5.8000000000000003E-2</v>
      </c>
      <c r="GM8" s="17">
        <v>9.0999999999999998E-2</v>
      </c>
      <c r="GN8" s="17">
        <v>0.217</v>
      </c>
      <c r="GO8" s="17">
        <v>0.184</v>
      </c>
      <c r="GP8" s="17">
        <v>0.13500000000000001</v>
      </c>
      <c r="GQ8" s="17">
        <v>6.8000000000000005E-2</v>
      </c>
      <c r="GR8" s="17">
        <v>5.2999999999999999E-2</v>
      </c>
      <c r="GS8" s="17">
        <v>0.29599999999999999</v>
      </c>
      <c r="GT8" s="17">
        <v>5.2999999999999999E-2</v>
      </c>
      <c r="GU8" s="17">
        <v>6.4000000000000001E-2</v>
      </c>
      <c r="GV8" s="17">
        <v>0.219</v>
      </c>
      <c r="GW8" s="17">
        <v>0.16900000000000001</v>
      </c>
      <c r="GX8" s="17">
        <v>0.06</v>
      </c>
      <c r="GY8" s="17">
        <v>8.6999999999999994E-2</v>
      </c>
      <c r="GZ8" s="17">
        <v>0.13500000000000001</v>
      </c>
      <c r="HA8" s="17">
        <v>4.7E-2</v>
      </c>
      <c r="HB8" s="17">
        <v>0.123</v>
      </c>
      <c r="HC8" s="17">
        <v>0.155</v>
      </c>
      <c r="HD8" s="17">
        <v>0.31900000000000001</v>
      </c>
      <c r="HE8" s="17">
        <v>0</v>
      </c>
      <c r="HF8" s="17">
        <v>5.8000000000000003E-2</v>
      </c>
      <c r="HG8" s="17">
        <v>0.161</v>
      </c>
      <c r="HH8" s="17">
        <v>4.9000000000000002E-2</v>
      </c>
    </row>
    <row r="9" spans="1:216" x14ac:dyDescent="0.25">
      <c r="A9" s="8">
        <v>5</v>
      </c>
      <c r="B9" s="8">
        <v>2</v>
      </c>
      <c r="C9" s="17">
        <v>5.1999999999999998E-2</v>
      </c>
      <c r="D9" s="17">
        <v>0</v>
      </c>
      <c r="E9" s="17">
        <v>0.17599999999999999</v>
      </c>
      <c r="F9" s="17">
        <v>0.10299999999999999</v>
      </c>
      <c r="G9" s="17">
        <v>4.8000000000000001E-2</v>
      </c>
      <c r="H9" s="17">
        <v>3.6999999999999998E-2</v>
      </c>
      <c r="I9" s="17">
        <v>0.17100000000000001</v>
      </c>
      <c r="J9" s="17">
        <v>9.5000000000000001E-2</v>
      </c>
      <c r="K9" s="17">
        <v>0.22600000000000001</v>
      </c>
      <c r="L9" s="17">
        <v>5.5E-2</v>
      </c>
      <c r="M9" s="17">
        <v>0.04</v>
      </c>
      <c r="N9" s="17">
        <v>4.7E-2</v>
      </c>
      <c r="O9" s="17">
        <v>5.0999999999999997E-2</v>
      </c>
      <c r="P9" s="17">
        <v>5.0999999999999997E-2</v>
      </c>
      <c r="Q9" s="17">
        <v>0.24099999999999999</v>
      </c>
      <c r="R9" s="17">
        <v>0.222</v>
      </c>
      <c r="S9" s="17">
        <v>0.11799999999999999</v>
      </c>
      <c r="T9" s="17">
        <v>0.218</v>
      </c>
      <c r="U9" s="17">
        <v>0.214</v>
      </c>
      <c r="V9" s="17">
        <v>5.5E-2</v>
      </c>
      <c r="W9" s="17">
        <v>0.112</v>
      </c>
      <c r="X9" s="17">
        <v>3.5999999999999997E-2</v>
      </c>
      <c r="Y9" s="17">
        <v>5.0999999999999997E-2</v>
      </c>
      <c r="Z9" s="17">
        <v>0.26400000000000001</v>
      </c>
      <c r="AA9" s="17">
        <v>4.5999999999999999E-2</v>
      </c>
      <c r="AB9" s="17">
        <v>4.9000000000000002E-2</v>
      </c>
      <c r="AC9" s="17">
        <v>5.5E-2</v>
      </c>
      <c r="AD9" s="17">
        <v>7.2999999999999995E-2</v>
      </c>
      <c r="AE9" s="17">
        <v>7.0999999999999994E-2</v>
      </c>
      <c r="AF9" s="17">
        <v>0</v>
      </c>
      <c r="AG9" s="17">
        <v>4.3999999999999997E-2</v>
      </c>
      <c r="AH9" s="17">
        <v>5.6000000000000001E-2</v>
      </c>
      <c r="AI9" s="17">
        <v>9.5000000000000001E-2</v>
      </c>
      <c r="AJ9" s="17">
        <v>0.20100000000000001</v>
      </c>
      <c r="AK9" s="17">
        <v>0.17</v>
      </c>
      <c r="AL9" s="17">
        <v>0.11700000000000001</v>
      </c>
      <c r="AM9" s="17">
        <v>4.9000000000000002E-2</v>
      </c>
      <c r="AN9" s="17">
        <v>5.7000000000000002E-2</v>
      </c>
      <c r="AO9" s="17">
        <v>5.5E-2</v>
      </c>
      <c r="AP9" s="17">
        <v>0.16500000000000001</v>
      </c>
      <c r="AQ9" s="17">
        <v>7.4999999999999997E-2</v>
      </c>
      <c r="AR9" s="17">
        <v>9.8000000000000004E-2</v>
      </c>
      <c r="AS9" s="17">
        <v>0.27700000000000002</v>
      </c>
      <c r="AT9" s="17">
        <v>0.23499999999999999</v>
      </c>
      <c r="AU9" s="17">
        <v>0.08</v>
      </c>
      <c r="AV9" s="17">
        <v>4.1000000000000002E-2</v>
      </c>
      <c r="AW9" s="17">
        <v>0.19500000000000001</v>
      </c>
      <c r="AX9" s="17">
        <v>0.17699999999999999</v>
      </c>
      <c r="AY9" s="17">
        <v>0.28499999999999998</v>
      </c>
      <c r="AZ9" s="17">
        <v>8.8999999999999996E-2</v>
      </c>
      <c r="BA9" s="17">
        <v>0.17199999999999999</v>
      </c>
      <c r="BB9" s="17">
        <v>7.5999999999999998E-2</v>
      </c>
      <c r="BC9" s="17">
        <v>0.128</v>
      </c>
      <c r="BD9" s="17">
        <v>5.0999999999999997E-2</v>
      </c>
      <c r="BE9" s="17">
        <v>0.20899999999999999</v>
      </c>
      <c r="BF9" s="17">
        <v>0.13</v>
      </c>
      <c r="BG9" s="17">
        <v>0</v>
      </c>
      <c r="BH9" s="17">
        <v>4.8000000000000001E-2</v>
      </c>
      <c r="BI9" s="17">
        <v>5.8999999999999997E-2</v>
      </c>
      <c r="BJ9" s="17">
        <v>5.7000000000000002E-2</v>
      </c>
      <c r="BK9" s="17">
        <v>4.8000000000000001E-2</v>
      </c>
      <c r="BL9" s="17">
        <v>0.14299999999999999</v>
      </c>
      <c r="BM9" s="17">
        <v>0</v>
      </c>
      <c r="BN9" s="17">
        <v>0.19600000000000001</v>
      </c>
      <c r="BO9" s="17">
        <v>0.11899999999999999</v>
      </c>
      <c r="BP9" s="17">
        <v>0.16</v>
      </c>
      <c r="BQ9" s="17">
        <v>9.4E-2</v>
      </c>
      <c r="BR9" s="17">
        <v>5.7000000000000002E-2</v>
      </c>
      <c r="BS9" s="17">
        <v>0.23699999999999999</v>
      </c>
      <c r="BT9" s="17">
        <v>5.7000000000000002E-2</v>
      </c>
      <c r="BU9" s="17">
        <v>5.5E-2</v>
      </c>
      <c r="BV9" s="17">
        <v>7.1999999999999995E-2</v>
      </c>
      <c r="BW9" s="17">
        <v>0.05</v>
      </c>
      <c r="BX9" s="17">
        <v>0.14699999999999999</v>
      </c>
      <c r="BY9" s="17">
        <v>0.214</v>
      </c>
      <c r="BZ9" s="17">
        <v>0.05</v>
      </c>
      <c r="CA9" s="17">
        <v>0.20200000000000001</v>
      </c>
      <c r="CB9" s="17">
        <v>0.128</v>
      </c>
      <c r="CC9" s="17">
        <v>5.1999999999999998E-2</v>
      </c>
      <c r="CD9" s="17">
        <v>0.05</v>
      </c>
      <c r="CE9" s="17">
        <v>0.11799999999999999</v>
      </c>
      <c r="CF9" s="17">
        <v>7.5999999999999998E-2</v>
      </c>
      <c r="CG9" s="17">
        <v>9.0999999999999998E-2</v>
      </c>
      <c r="CH9" s="17">
        <v>9.4E-2</v>
      </c>
      <c r="CI9" s="17">
        <v>0.14299999999999999</v>
      </c>
      <c r="CJ9" s="17">
        <v>0.19800000000000001</v>
      </c>
      <c r="CK9" s="17">
        <v>0</v>
      </c>
      <c r="CL9" s="17">
        <v>5.3999999999999999E-2</v>
      </c>
      <c r="CM9" s="17">
        <v>0.13</v>
      </c>
      <c r="CN9" s="17">
        <v>0</v>
      </c>
      <c r="CO9" s="17">
        <v>0.16</v>
      </c>
      <c r="CP9" s="17">
        <v>0</v>
      </c>
      <c r="CQ9" s="17">
        <v>0.11600000000000001</v>
      </c>
      <c r="CR9" s="17">
        <v>5.7000000000000002E-2</v>
      </c>
      <c r="CS9" s="17">
        <v>0.192</v>
      </c>
      <c r="CT9" s="17">
        <v>5.1999999999999998E-2</v>
      </c>
      <c r="CU9" s="17">
        <v>4.8000000000000001E-2</v>
      </c>
      <c r="CV9" s="17">
        <v>0.17799999999999999</v>
      </c>
      <c r="CW9" s="17">
        <v>8.2000000000000003E-2</v>
      </c>
      <c r="CX9" s="17">
        <v>5.6000000000000001E-2</v>
      </c>
      <c r="CY9" s="17">
        <v>0.10100000000000001</v>
      </c>
      <c r="CZ9" s="17">
        <v>0.16500000000000001</v>
      </c>
      <c r="DA9" s="17">
        <v>0.20399999999999999</v>
      </c>
      <c r="DB9" s="17">
        <v>4.9000000000000002E-2</v>
      </c>
      <c r="DC9" s="17">
        <v>0.70199999999999996</v>
      </c>
      <c r="DD9" s="17">
        <v>0.28299999999999997</v>
      </c>
      <c r="DE9" s="17">
        <v>0.161</v>
      </c>
      <c r="DF9" s="17">
        <v>0.125</v>
      </c>
      <c r="DG9" s="17">
        <v>0</v>
      </c>
      <c r="DH9" s="17">
        <v>0.29499999999999998</v>
      </c>
      <c r="DI9" s="17">
        <v>0.13</v>
      </c>
      <c r="DJ9" s="17">
        <v>0.20399999999999999</v>
      </c>
      <c r="DK9" s="17">
        <v>0.22</v>
      </c>
      <c r="DL9" s="17">
        <v>0.24199999999999999</v>
      </c>
      <c r="DM9" s="17">
        <v>0.16700000000000001</v>
      </c>
      <c r="DN9" s="17">
        <v>0.151</v>
      </c>
      <c r="DO9" s="17">
        <v>0.105</v>
      </c>
      <c r="DP9" s="17">
        <v>0.17299999999999999</v>
      </c>
      <c r="DQ9" s="17">
        <v>0.11700000000000001</v>
      </c>
      <c r="DR9" s="17">
        <v>0.14499999999999999</v>
      </c>
      <c r="DS9" s="17">
        <v>0.10199999999999999</v>
      </c>
      <c r="DT9" s="17">
        <v>0.13400000000000001</v>
      </c>
      <c r="DU9" s="17">
        <v>0.28799999999999998</v>
      </c>
      <c r="DV9" s="17">
        <v>5.0999999999999997E-2</v>
      </c>
      <c r="DW9" s="17">
        <v>0.21</v>
      </c>
      <c r="DX9" s="17">
        <v>0.13700000000000001</v>
      </c>
      <c r="DY9" s="17">
        <v>0.17699999999999999</v>
      </c>
      <c r="DZ9" s="17">
        <v>0.25</v>
      </c>
      <c r="EA9" s="17">
        <v>0.21299999999999999</v>
      </c>
      <c r="EB9" s="17">
        <v>4.5999999999999999E-2</v>
      </c>
      <c r="EC9" s="17">
        <v>0.30399999999999999</v>
      </c>
      <c r="ED9" s="17">
        <v>5.2999999999999999E-2</v>
      </c>
      <c r="EE9" s="17">
        <v>0.16500000000000001</v>
      </c>
      <c r="EF9" s="17">
        <v>6.3E-2</v>
      </c>
      <c r="EG9" s="17">
        <v>0.223</v>
      </c>
      <c r="EH9" s="17">
        <v>8.9999999999999993E-3</v>
      </c>
      <c r="EI9" s="17">
        <v>0.16900000000000001</v>
      </c>
      <c r="EJ9" s="17">
        <v>4.8000000000000001E-2</v>
      </c>
      <c r="EK9" s="17">
        <v>0.126</v>
      </c>
      <c r="EL9" s="17">
        <v>6.7000000000000004E-2</v>
      </c>
      <c r="EM9" s="17">
        <v>4.8000000000000001E-2</v>
      </c>
      <c r="EN9" s="17">
        <v>0.14199999999999999</v>
      </c>
      <c r="EO9" s="17">
        <v>7.0000000000000007E-2</v>
      </c>
      <c r="EP9" s="17">
        <v>0.05</v>
      </c>
      <c r="EQ9" s="17">
        <v>9.2999999999999999E-2</v>
      </c>
      <c r="ER9" s="17">
        <v>4.1000000000000002E-2</v>
      </c>
      <c r="ES9" s="17">
        <v>0.23300000000000001</v>
      </c>
      <c r="ET9" s="17">
        <v>5.1999999999999998E-2</v>
      </c>
      <c r="EU9" s="17">
        <v>0.105</v>
      </c>
      <c r="EV9" s="17">
        <v>0.05</v>
      </c>
      <c r="EW9" s="17">
        <v>5.0999999999999997E-2</v>
      </c>
      <c r="EX9" s="17">
        <v>0.10100000000000001</v>
      </c>
      <c r="EY9" s="17">
        <v>4.9000000000000002E-2</v>
      </c>
      <c r="EZ9" s="17">
        <v>5.5E-2</v>
      </c>
      <c r="FA9" s="17">
        <v>0.20599999999999999</v>
      </c>
      <c r="FB9" s="17">
        <v>1.0999999999999999E-2</v>
      </c>
      <c r="FC9" s="17">
        <v>5.6000000000000001E-2</v>
      </c>
      <c r="FD9" s="17">
        <v>0.05</v>
      </c>
      <c r="FE9" s="17">
        <v>5.6000000000000001E-2</v>
      </c>
      <c r="FF9" s="17">
        <v>5.1999999999999998E-2</v>
      </c>
      <c r="FG9" s="17">
        <v>0.14000000000000001</v>
      </c>
      <c r="FH9" s="17">
        <v>3.6999999999999998E-2</v>
      </c>
      <c r="FI9" s="17">
        <v>0.05</v>
      </c>
      <c r="FJ9" s="17">
        <v>4.9000000000000002E-2</v>
      </c>
      <c r="FK9" s="17">
        <v>9.9000000000000005E-2</v>
      </c>
      <c r="FL9" s="17">
        <v>7.0999999999999994E-2</v>
      </c>
      <c r="FM9" s="17">
        <v>0.183</v>
      </c>
      <c r="FN9" s="17">
        <v>0.23</v>
      </c>
      <c r="FO9" s="17">
        <v>0.107</v>
      </c>
      <c r="FP9" s="17">
        <v>3.5999999999999997E-2</v>
      </c>
      <c r="FQ9" s="17">
        <v>0.17299999999999999</v>
      </c>
      <c r="FR9" s="17">
        <v>5.6000000000000001E-2</v>
      </c>
      <c r="FS9" s="17">
        <v>5.7000000000000002E-2</v>
      </c>
      <c r="FT9" s="17">
        <v>5.8999999999999997E-2</v>
      </c>
      <c r="FU9" s="17">
        <v>0.28699999999999998</v>
      </c>
      <c r="FV9" s="17">
        <v>9.7000000000000003E-2</v>
      </c>
      <c r="FW9" s="17">
        <v>0.13300000000000001</v>
      </c>
      <c r="FX9" s="17">
        <v>0.107</v>
      </c>
      <c r="FY9" s="17">
        <v>0.17699999999999999</v>
      </c>
      <c r="FZ9" s="17">
        <v>0.15</v>
      </c>
      <c r="GA9" s="17">
        <v>7.3999999999999996E-2</v>
      </c>
      <c r="GB9" s="17">
        <v>0.20200000000000001</v>
      </c>
      <c r="GC9" s="17">
        <v>7.3999999999999996E-2</v>
      </c>
      <c r="GD9" s="17">
        <v>0.04</v>
      </c>
      <c r="GE9" s="17">
        <v>0.06</v>
      </c>
      <c r="GF9" s="17">
        <v>6.6000000000000003E-2</v>
      </c>
      <c r="GG9" s="17">
        <v>0.19500000000000001</v>
      </c>
      <c r="GH9" s="17">
        <v>5.0999999999999997E-2</v>
      </c>
      <c r="GI9" s="17">
        <v>5.1999999999999998E-2</v>
      </c>
      <c r="GJ9" s="17">
        <v>0.157</v>
      </c>
      <c r="GK9" s="17">
        <v>7.4999999999999997E-2</v>
      </c>
      <c r="GL9" s="17">
        <v>0.34499999999999997</v>
      </c>
      <c r="GM9" s="17">
        <v>0.20200000000000001</v>
      </c>
      <c r="GN9" s="17">
        <v>4.8000000000000001E-2</v>
      </c>
      <c r="GO9" s="17">
        <v>0.14000000000000001</v>
      </c>
      <c r="GP9" s="17">
        <v>0.114</v>
      </c>
      <c r="GQ9" s="17">
        <v>0.182</v>
      </c>
      <c r="GR9" s="17">
        <v>0.17599999999999999</v>
      </c>
      <c r="GS9" s="17">
        <v>0.128</v>
      </c>
      <c r="GT9" s="17">
        <v>5.2999999999999999E-2</v>
      </c>
      <c r="GU9" s="17">
        <v>0.13800000000000001</v>
      </c>
      <c r="GV9" s="17">
        <v>8.7999999999999995E-2</v>
      </c>
      <c r="GW9" s="17">
        <v>0.28000000000000003</v>
      </c>
      <c r="GX9" s="17">
        <v>0.13700000000000001</v>
      </c>
      <c r="GY9" s="17">
        <v>0.19500000000000001</v>
      </c>
      <c r="GZ9" s="17">
        <v>0.106</v>
      </c>
      <c r="HA9" s="17">
        <v>4.7E-2</v>
      </c>
      <c r="HB9" s="17">
        <v>5.7000000000000002E-2</v>
      </c>
      <c r="HC9" s="17">
        <v>0.127</v>
      </c>
      <c r="HD9" s="17">
        <v>0.20499999999999999</v>
      </c>
      <c r="HE9" s="17">
        <v>0</v>
      </c>
      <c r="HF9" s="17">
        <v>0.26100000000000001</v>
      </c>
      <c r="HG9" s="17">
        <v>0.154</v>
      </c>
      <c r="HH9" s="17">
        <v>4.9000000000000002E-2</v>
      </c>
    </row>
    <row r="10" spans="1:216" x14ac:dyDescent="0.25">
      <c r="A10" s="8">
        <v>6</v>
      </c>
      <c r="B10" s="8">
        <v>2.5</v>
      </c>
      <c r="C10" s="17">
        <v>9.4E-2</v>
      </c>
      <c r="D10" s="17">
        <v>0</v>
      </c>
      <c r="E10" s="17">
        <v>4.8000000000000001E-2</v>
      </c>
      <c r="F10" s="17">
        <v>0.26600000000000001</v>
      </c>
      <c r="G10" s="17">
        <v>7.6999999999999999E-2</v>
      </c>
      <c r="H10" s="17">
        <v>3.6999999999999998E-2</v>
      </c>
      <c r="I10" s="17">
        <v>0.09</v>
      </c>
      <c r="J10" s="17">
        <v>0.152</v>
      </c>
      <c r="K10" s="17">
        <v>0.17499999999999999</v>
      </c>
      <c r="L10" s="17">
        <v>9.7000000000000003E-2</v>
      </c>
      <c r="M10" s="17">
        <v>0</v>
      </c>
      <c r="N10" s="17">
        <v>4.7E-2</v>
      </c>
      <c r="O10" s="17">
        <v>5.0999999999999997E-2</v>
      </c>
      <c r="P10" s="17">
        <v>5.0999999999999997E-2</v>
      </c>
      <c r="Q10" s="17">
        <v>6.2E-2</v>
      </c>
      <c r="R10" s="17">
        <v>3.1E-2</v>
      </c>
      <c r="S10" s="17">
        <v>0.215</v>
      </c>
      <c r="T10" s="17">
        <v>0.155</v>
      </c>
      <c r="U10" s="17">
        <v>5.1999999999999998E-2</v>
      </c>
      <c r="V10" s="17">
        <v>7.5999999999999998E-2</v>
      </c>
      <c r="W10" s="17">
        <v>0.125</v>
      </c>
      <c r="X10" s="17">
        <v>0.251</v>
      </c>
      <c r="Y10" s="17">
        <v>0.108</v>
      </c>
      <c r="Z10" s="17">
        <v>5.2999999999999999E-2</v>
      </c>
      <c r="AA10" s="17">
        <v>4.5999999999999999E-2</v>
      </c>
      <c r="AB10" s="17">
        <v>4.9000000000000002E-2</v>
      </c>
      <c r="AC10" s="17">
        <v>5.5E-2</v>
      </c>
      <c r="AD10" s="17">
        <v>0.183</v>
      </c>
      <c r="AE10" s="17">
        <v>0.11899999999999999</v>
      </c>
      <c r="AF10" s="17">
        <v>0</v>
      </c>
      <c r="AG10" s="17">
        <v>4.3999999999999997E-2</v>
      </c>
      <c r="AH10" s="17">
        <v>5.6000000000000001E-2</v>
      </c>
      <c r="AI10" s="17">
        <v>5.0999999999999997E-2</v>
      </c>
      <c r="AJ10" s="17">
        <v>0.13800000000000001</v>
      </c>
      <c r="AK10" s="17">
        <v>6.4000000000000001E-2</v>
      </c>
      <c r="AL10" s="17">
        <v>0.11700000000000001</v>
      </c>
      <c r="AM10" s="17">
        <v>4.9000000000000002E-2</v>
      </c>
      <c r="AN10" s="17">
        <v>0.19500000000000001</v>
      </c>
      <c r="AO10" s="17">
        <v>0.13300000000000001</v>
      </c>
      <c r="AP10" s="17">
        <v>4.9000000000000002E-2</v>
      </c>
      <c r="AQ10" s="17">
        <v>0.2</v>
      </c>
      <c r="AR10" s="17">
        <v>7.8E-2</v>
      </c>
      <c r="AS10" s="17">
        <v>4.9000000000000002E-2</v>
      </c>
      <c r="AT10" s="17">
        <v>0.14199999999999999</v>
      </c>
      <c r="AU10" s="17">
        <v>0.124</v>
      </c>
      <c r="AV10" s="17">
        <v>4.1000000000000002E-2</v>
      </c>
      <c r="AW10" s="17">
        <v>9.9000000000000005E-2</v>
      </c>
      <c r="AX10" s="17">
        <v>9.6000000000000002E-2</v>
      </c>
      <c r="AY10" s="17">
        <v>0.08</v>
      </c>
      <c r="AZ10" s="17">
        <v>0.26500000000000001</v>
      </c>
      <c r="BA10" s="17">
        <v>4.8000000000000001E-2</v>
      </c>
      <c r="BB10" s="17">
        <v>0.24</v>
      </c>
      <c r="BC10" s="17">
        <v>5.0999999999999997E-2</v>
      </c>
      <c r="BD10" s="17">
        <v>0.11899999999999999</v>
      </c>
      <c r="BE10" s="17">
        <v>0.17100000000000001</v>
      </c>
      <c r="BF10" s="17">
        <v>5.5E-2</v>
      </c>
      <c r="BG10" s="17">
        <v>0</v>
      </c>
      <c r="BH10" s="17">
        <v>0.12</v>
      </c>
      <c r="BI10" s="17">
        <v>5.8999999999999997E-2</v>
      </c>
      <c r="BJ10" s="17">
        <v>5.7000000000000002E-2</v>
      </c>
      <c r="BK10" s="17">
        <v>4.8000000000000001E-2</v>
      </c>
      <c r="BL10" s="17">
        <v>0.17499999999999999</v>
      </c>
      <c r="BM10" s="17">
        <v>0</v>
      </c>
      <c r="BN10" s="17">
        <v>0.124</v>
      </c>
      <c r="BO10" s="17">
        <v>9.6000000000000002E-2</v>
      </c>
      <c r="BP10" s="17">
        <v>0.109</v>
      </c>
      <c r="BQ10" s="17">
        <v>0.20100000000000001</v>
      </c>
      <c r="BR10" s="17">
        <v>5.7000000000000002E-2</v>
      </c>
      <c r="BS10" s="17">
        <v>5.1999999999999998E-2</v>
      </c>
      <c r="BT10" s="17">
        <v>5.7000000000000002E-2</v>
      </c>
      <c r="BU10" s="17">
        <v>0.155</v>
      </c>
      <c r="BV10" s="17">
        <v>4.3999999999999997E-2</v>
      </c>
      <c r="BW10" s="17">
        <v>0.152</v>
      </c>
      <c r="BX10" s="17">
        <v>0.05</v>
      </c>
      <c r="BY10" s="17">
        <v>0.14299999999999999</v>
      </c>
      <c r="BZ10" s="17">
        <v>0.05</v>
      </c>
      <c r="CA10" s="17">
        <v>9.2999999999999999E-2</v>
      </c>
      <c r="CB10" s="17">
        <v>5.3999999999999999E-2</v>
      </c>
      <c r="CC10" s="17">
        <v>5.1999999999999998E-2</v>
      </c>
      <c r="CD10" s="17">
        <v>8.3000000000000004E-2</v>
      </c>
      <c r="CE10" s="17">
        <v>4.5999999999999999E-2</v>
      </c>
      <c r="CF10" s="17">
        <v>0.11600000000000001</v>
      </c>
      <c r="CG10" s="17">
        <v>0.151</v>
      </c>
      <c r="CH10" s="17">
        <v>0.249</v>
      </c>
      <c r="CI10" s="17">
        <v>0.14799999999999999</v>
      </c>
      <c r="CJ10" s="17">
        <v>4.8000000000000001E-2</v>
      </c>
      <c r="CK10" s="17">
        <v>0</v>
      </c>
      <c r="CL10" s="17">
        <v>0.182</v>
      </c>
      <c r="CM10" s="17">
        <v>0.23200000000000001</v>
      </c>
      <c r="CN10" s="17">
        <v>0</v>
      </c>
      <c r="CO10" s="17">
        <v>0.17199999999999999</v>
      </c>
      <c r="CP10" s="17">
        <v>0</v>
      </c>
      <c r="CQ10" s="17">
        <v>8.1000000000000003E-2</v>
      </c>
      <c r="CR10" s="17">
        <v>0.18099999999999999</v>
      </c>
      <c r="CS10" s="17">
        <v>0.27400000000000002</v>
      </c>
      <c r="CT10" s="17">
        <v>0.18</v>
      </c>
      <c r="CU10" s="17">
        <v>4.8000000000000001E-2</v>
      </c>
      <c r="CV10" s="17">
        <v>7.6999999999999999E-2</v>
      </c>
      <c r="CW10" s="17">
        <v>0.11600000000000001</v>
      </c>
      <c r="CX10" s="17">
        <v>5.6000000000000001E-2</v>
      </c>
      <c r="CY10" s="17">
        <v>0.113</v>
      </c>
      <c r="CZ10" s="17">
        <v>7.0000000000000007E-2</v>
      </c>
      <c r="DA10" s="17">
        <v>5.0999999999999997E-2</v>
      </c>
      <c r="DB10" s="17">
        <v>4.9000000000000002E-2</v>
      </c>
      <c r="DC10" s="17">
        <v>9.6000000000000002E-2</v>
      </c>
      <c r="DD10" s="17">
        <v>0.17799999999999999</v>
      </c>
      <c r="DE10" s="17">
        <v>9.1999999999999998E-2</v>
      </c>
      <c r="DF10" s="17">
        <v>0.223</v>
      </c>
      <c r="DG10" s="17">
        <v>0</v>
      </c>
      <c r="DH10" s="17">
        <v>6.6000000000000003E-2</v>
      </c>
      <c r="DI10" s="17">
        <v>4.9000000000000002E-2</v>
      </c>
      <c r="DJ10" s="17">
        <v>7.5999999999999998E-2</v>
      </c>
      <c r="DK10" s="17">
        <v>6.7000000000000004E-2</v>
      </c>
      <c r="DL10" s="17">
        <v>7.2999999999999995E-2</v>
      </c>
      <c r="DM10" s="17">
        <v>5.0999999999999997E-2</v>
      </c>
      <c r="DN10" s="17">
        <v>7.2999999999999995E-2</v>
      </c>
      <c r="DO10" s="17">
        <v>0.214</v>
      </c>
      <c r="DP10" s="17">
        <v>0.17899999999999999</v>
      </c>
      <c r="DQ10" s="17">
        <v>0.15</v>
      </c>
      <c r="DR10" s="17">
        <v>0.13</v>
      </c>
      <c r="DS10" s="17">
        <v>0.14099999999999999</v>
      </c>
      <c r="DT10" s="17">
        <v>0.13800000000000001</v>
      </c>
      <c r="DU10" s="17">
        <v>4.8000000000000001E-2</v>
      </c>
      <c r="DV10" s="17">
        <v>0.2</v>
      </c>
      <c r="DW10" s="17">
        <v>0.109</v>
      </c>
      <c r="DX10" s="17">
        <v>4.1000000000000002E-2</v>
      </c>
      <c r="DY10" s="17">
        <v>8.8999999999999996E-2</v>
      </c>
      <c r="DZ10" s="17">
        <v>0.20599999999999999</v>
      </c>
      <c r="EA10" s="17">
        <v>0.04</v>
      </c>
      <c r="EB10" s="17">
        <v>4.5999999999999999E-2</v>
      </c>
      <c r="EC10" s="17">
        <v>4.4999999999999998E-2</v>
      </c>
      <c r="ED10" s="17">
        <v>0.115</v>
      </c>
      <c r="EE10" s="17">
        <v>0.05</v>
      </c>
      <c r="EF10" s="17">
        <v>0.221</v>
      </c>
      <c r="EG10" s="17">
        <v>4.4999999999999998E-2</v>
      </c>
      <c r="EH10" s="17">
        <v>0</v>
      </c>
      <c r="EI10" s="17">
        <v>6.5000000000000002E-2</v>
      </c>
      <c r="EJ10" s="17">
        <v>0.21</v>
      </c>
      <c r="EK10" s="17">
        <v>0.20200000000000001</v>
      </c>
      <c r="EL10" s="17">
        <v>0.152</v>
      </c>
      <c r="EM10" s="17">
        <v>0.32300000000000001</v>
      </c>
      <c r="EN10" s="17">
        <v>4.4999999999999998E-2</v>
      </c>
      <c r="EO10" s="17">
        <v>0.152</v>
      </c>
      <c r="EP10" s="17">
        <v>0.05</v>
      </c>
      <c r="EQ10" s="17">
        <v>4.1000000000000002E-2</v>
      </c>
      <c r="ER10" s="17">
        <v>0.17899999999999999</v>
      </c>
      <c r="ES10" s="17">
        <v>0.126</v>
      </c>
      <c r="ET10" s="17">
        <v>0.22500000000000001</v>
      </c>
      <c r="EU10" s="17">
        <v>0.19600000000000001</v>
      </c>
      <c r="EV10" s="17">
        <v>0.17499999999999999</v>
      </c>
      <c r="EW10" s="17">
        <v>0.28100000000000003</v>
      </c>
      <c r="EX10" s="17">
        <v>5.8000000000000003E-2</v>
      </c>
      <c r="EY10" s="17">
        <v>6.3E-2</v>
      </c>
      <c r="EZ10" s="17">
        <v>0.04</v>
      </c>
      <c r="FA10" s="17">
        <v>7.9000000000000001E-2</v>
      </c>
      <c r="FB10" s="17">
        <v>0</v>
      </c>
      <c r="FC10" s="17">
        <v>5.6000000000000001E-2</v>
      </c>
      <c r="FD10" s="17">
        <v>0.05</v>
      </c>
      <c r="FE10" s="17">
        <v>5.6000000000000001E-2</v>
      </c>
      <c r="FF10" s="17">
        <v>8.5000000000000006E-2</v>
      </c>
      <c r="FG10" s="17">
        <v>0.08</v>
      </c>
      <c r="FH10" s="17">
        <v>3.6999999999999998E-2</v>
      </c>
      <c r="FI10" s="17">
        <v>0.11</v>
      </c>
      <c r="FJ10" s="17">
        <v>4.9000000000000002E-2</v>
      </c>
      <c r="FK10" s="17">
        <v>0.18099999999999999</v>
      </c>
      <c r="FL10" s="17">
        <v>0.153</v>
      </c>
      <c r="FM10" s="17">
        <v>5.2999999999999999E-2</v>
      </c>
      <c r="FN10" s="17">
        <v>5.0999999999999997E-2</v>
      </c>
      <c r="FO10" s="17">
        <v>5.8999999999999997E-2</v>
      </c>
      <c r="FP10" s="17">
        <v>3.5999999999999997E-2</v>
      </c>
      <c r="FQ10" s="17">
        <v>6.0999999999999999E-2</v>
      </c>
      <c r="FR10" s="17">
        <v>0.127</v>
      </c>
      <c r="FS10" s="17">
        <v>0.27900000000000003</v>
      </c>
      <c r="FT10" s="17">
        <v>5.8999999999999997E-2</v>
      </c>
      <c r="FU10" s="17">
        <v>0.184</v>
      </c>
      <c r="FV10" s="17">
        <v>0.187</v>
      </c>
      <c r="FW10" s="17">
        <v>5.8000000000000003E-2</v>
      </c>
      <c r="FX10" s="17">
        <v>0.23200000000000001</v>
      </c>
      <c r="FY10" s="17">
        <v>4.9000000000000002E-2</v>
      </c>
      <c r="FZ10" s="17">
        <v>4.4999999999999998E-2</v>
      </c>
      <c r="GA10" s="17">
        <v>5.3999999999999999E-2</v>
      </c>
      <c r="GB10" s="17">
        <v>0.13300000000000001</v>
      </c>
      <c r="GC10" s="17">
        <v>5.7000000000000002E-2</v>
      </c>
      <c r="GD10" s="17">
        <v>0.26700000000000002</v>
      </c>
      <c r="GE10" s="17">
        <v>0.16800000000000001</v>
      </c>
      <c r="GF10" s="17">
        <v>0.19900000000000001</v>
      </c>
      <c r="GG10" s="17">
        <v>0.13600000000000001</v>
      </c>
      <c r="GH10" s="17">
        <v>0.21</v>
      </c>
      <c r="GI10" s="17">
        <v>5.1999999999999998E-2</v>
      </c>
      <c r="GJ10" s="17">
        <v>0.125</v>
      </c>
      <c r="GK10" s="17">
        <v>9.9000000000000005E-2</v>
      </c>
      <c r="GL10" s="17">
        <v>0.14699999999999999</v>
      </c>
      <c r="GM10" s="17">
        <v>0.224</v>
      </c>
      <c r="GN10" s="17">
        <v>0.14799999999999999</v>
      </c>
      <c r="GO10" s="17">
        <v>5.8000000000000003E-2</v>
      </c>
      <c r="GP10" s="17">
        <v>0.25600000000000001</v>
      </c>
      <c r="GQ10" s="17">
        <v>3.5999999999999997E-2</v>
      </c>
      <c r="GR10" s="17">
        <v>5.2999999999999999E-2</v>
      </c>
      <c r="GS10" s="17">
        <v>4.7E-2</v>
      </c>
      <c r="GT10" s="17">
        <v>5.2999999999999999E-2</v>
      </c>
      <c r="GU10" s="17">
        <v>4.7E-2</v>
      </c>
      <c r="GV10" s="17">
        <v>0.20499999999999999</v>
      </c>
      <c r="GW10" s="17">
        <v>0.121</v>
      </c>
      <c r="GX10" s="17">
        <v>0.19900000000000001</v>
      </c>
      <c r="GY10" s="17">
        <v>5.6000000000000001E-2</v>
      </c>
      <c r="GZ10" s="17">
        <v>4.1000000000000002E-2</v>
      </c>
      <c r="HA10" s="17">
        <v>0.15</v>
      </c>
      <c r="HB10" s="17">
        <v>5.7000000000000002E-2</v>
      </c>
      <c r="HC10" s="17">
        <v>0.10299999999999999</v>
      </c>
      <c r="HD10" s="17">
        <v>0.114</v>
      </c>
      <c r="HE10" s="17">
        <v>0</v>
      </c>
      <c r="HF10" s="17">
        <v>5.8000000000000003E-2</v>
      </c>
      <c r="HG10" s="17">
        <v>4.2000000000000003E-2</v>
      </c>
      <c r="HH10" s="17">
        <v>4.9000000000000002E-2</v>
      </c>
    </row>
    <row r="11" spans="1:216" x14ac:dyDescent="0.25">
      <c r="A11" s="8">
        <v>7</v>
      </c>
      <c r="B11" s="8">
        <v>3</v>
      </c>
      <c r="C11" s="17">
        <v>0.19400000000000001</v>
      </c>
      <c r="D11" s="17">
        <v>0</v>
      </c>
      <c r="E11" s="17">
        <v>0.311</v>
      </c>
      <c r="F11" s="17">
        <v>9.1999999999999998E-2</v>
      </c>
      <c r="G11" s="17">
        <v>9.2999999999999999E-2</v>
      </c>
      <c r="H11" s="17">
        <v>3.6999999999999998E-2</v>
      </c>
      <c r="I11" s="17">
        <v>0.14199999999999999</v>
      </c>
      <c r="J11" s="17">
        <v>0.20399999999999999</v>
      </c>
      <c r="K11" s="17">
        <v>0.24199999999999999</v>
      </c>
      <c r="L11" s="17">
        <v>0.249</v>
      </c>
      <c r="M11" s="17">
        <v>0</v>
      </c>
      <c r="N11" s="17">
        <v>0.122</v>
      </c>
      <c r="O11" s="17">
        <v>5.0999999999999997E-2</v>
      </c>
      <c r="P11" s="17">
        <v>5.0999999999999997E-2</v>
      </c>
      <c r="Q11" s="17">
        <v>0.253</v>
      </c>
      <c r="R11" s="17">
        <v>0.121</v>
      </c>
      <c r="S11" s="17">
        <v>4.1000000000000002E-2</v>
      </c>
      <c r="T11" s="17">
        <v>6.4000000000000001E-2</v>
      </c>
      <c r="U11" s="17">
        <v>5.1999999999999998E-2</v>
      </c>
      <c r="V11" s="17">
        <v>0.189</v>
      </c>
      <c r="W11" s="17">
        <v>5.1999999999999998E-2</v>
      </c>
      <c r="X11" s="17">
        <v>9.5000000000000001E-2</v>
      </c>
      <c r="Y11" s="17">
        <v>0.151</v>
      </c>
      <c r="Z11" s="17">
        <v>0.39700000000000002</v>
      </c>
      <c r="AA11" s="17">
        <v>4.5999999999999999E-2</v>
      </c>
      <c r="AB11" s="17">
        <v>4.9000000000000002E-2</v>
      </c>
      <c r="AC11" s="17">
        <v>5.5E-2</v>
      </c>
      <c r="AD11" s="17">
        <v>5.2999999999999999E-2</v>
      </c>
      <c r="AE11" s="17">
        <v>8.1000000000000003E-2</v>
      </c>
      <c r="AF11" s="17">
        <v>0</v>
      </c>
      <c r="AG11" s="17">
        <v>4.3999999999999997E-2</v>
      </c>
      <c r="AH11" s="17">
        <v>5.6000000000000001E-2</v>
      </c>
      <c r="AI11" s="17">
        <v>0.219</v>
      </c>
      <c r="AJ11" s="17">
        <v>8.8999999999999996E-2</v>
      </c>
      <c r="AK11" s="17">
        <v>0.35399999999999998</v>
      </c>
      <c r="AL11" s="17">
        <v>7.4999999999999997E-2</v>
      </c>
      <c r="AM11" s="17">
        <v>4.9000000000000002E-2</v>
      </c>
      <c r="AN11" s="17">
        <v>4.2000000000000003E-2</v>
      </c>
      <c r="AO11" s="17">
        <v>5.5E-2</v>
      </c>
      <c r="AP11" s="17">
        <v>6.6000000000000003E-2</v>
      </c>
      <c r="AQ11" s="17">
        <v>0.13500000000000001</v>
      </c>
      <c r="AR11" s="17">
        <v>0.3</v>
      </c>
      <c r="AS11" s="17">
        <v>0.23699999999999999</v>
      </c>
      <c r="AT11" s="17">
        <v>0.23799999999999999</v>
      </c>
      <c r="AU11" s="17">
        <v>8.5000000000000006E-2</v>
      </c>
      <c r="AV11" s="17">
        <v>0.25700000000000001</v>
      </c>
      <c r="AW11" s="17">
        <v>0.13100000000000001</v>
      </c>
      <c r="AX11" s="17">
        <v>4.8000000000000001E-2</v>
      </c>
      <c r="AY11" s="17">
        <v>0.123</v>
      </c>
      <c r="AZ11" s="17">
        <v>0.16</v>
      </c>
      <c r="BA11" s="17">
        <v>0.154</v>
      </c>
      <c r="BB11" s="17">
        <v>4.3999999999999997E-2</v>
      </c>
      <c r="BC11" s="17">
        <v>5.0999999999999997E-2</v>
      </c>
      <c r="BD11" s="17">
        <v>0.06</v>
      </c>
      <c r="BE11" s="17">
        <v>4.8000000000000001E-2</v>
      </c>
      <c r="BF11" s="17">
        <v>0.11600000000000001</v>
      </c>
      <c r="BG11" s="17">
        <v>0</v>
      </c>
      <c r="BH11" s="17">
        <v>0.20799999999999999</v>
      </c>
      <c r="BI11" s="17">
        <v>0.29099999999999998</v>
      </c>
      <c r="BJ11" s="17">
        <v>5.7000000000000002E-2</v>
      </c>
      <c r="BK11" s="17">
        <v>4.8000000000000001E-2</v>
      </c>
      <c r="BL11" s="17">
        <v>0.29499999999999998</v>
      </c>
      <c r="BM11" s="17">
        <v>0</v>
      </c>
      <c r="BN11" s="17">
        <v>7.1999999999999995E-2</v>
      </c>
      <c r="BO11" s="17">
        <v>0.17699999999999999</v>
      </c>
      <c r="BP11" s="17">
        <v>9.5000000000000001E-2</v>
      </c>
      <c r="BQ11" s="17">
        <v>0.26400000000000001</v>
      </c>
      <c r="BR11" s="17">
        <v>5.7000000000000002E-2</v>
      </c>
      <c r="BS11" s="17">
        <v>0.23400000000000001</v>
      </c>
      <c r="BT11" s="17">
        <v>5.7000000000000002E-2</v>
      </c>
      <c r="BU11" s="17">
        <v>5.5E-2</v>
      </c>
      <c r="BV11" s="17">
        <v>0.127</v>
      </c>
      <c r="BW11" s="17">
        <v>0.05</v>
      </c>
      <c r="BX11" s="17">
        <v>9.0999999999999998E-2</v>
      </c>
      <c r="BY11" s="17">
        <v>9.4E-2</v>
      </c>
      <c r="BZ11" s="17">
        <v>0.05</v>
      </c>
      <c r="CA11" s="17">
        <v>0.27800000000000002</v>
      </c>
      <c r="CB11" s="17">
        <v>0.14299999999999999</v>
      </c>
      <c r="CC11" s="17">
        <v>5.1999999999999998E-2</v>
      </c>
      <c r="CD11" s="17">
        <v>0.19800000000000001</v>
      </c>
      <c r="CE11" s="17">
        <v>4.5999999999999999E-2</v>
      </c>
      <c r="CF11" s="17">
        <v>0.20399999999999999</v>
      </c>
      <c r="CG11" s="17">
        <v>0.129</v>
      </c>
      <c r="CH11" s="17">
        <v>0.39300000000000002</v>
      </c>
      <c r="CI11" s="17">
        <v>0.24</v>
      </c>
      <c r="CJ11" s="17">
        <v>0.191</v>
      </c>
      <c r="CK11" s="17">
        <v>0</v>
      </c>
      <c r="CL11" s="17">
        <v>5.3999999999999999E-2</v>
      </c>
      <c r="CM11" s="17">
        <v>5.1999999999999998E-2</v>
      </c>
      <c r="CN11" s="17">
        <v>0</v>
      </c>
      <c r="CO11" s="17">
        <v>0.107</v>
      </c>
      <c r="CP11" s="17">
        <v>0</v>
      </c>
      <c r="CQ11" s="17">
        <v>0.18099999999999999</v>
      </c>
      <c r="CR11" s="17">
        <v>0.24199999999999999</v>
      </c>
      <c r="CS11" s="17">
        <v>0.221</v>
      </c>
      <c r="CT11" s="17">
        <v>7.1999999999999995E-2</v>
      </c>
      <c r="CU11" s="17">
        <v>4.8000000000000001E-2</v>
      </c>
      <c r="CV11" s="17">
        <v>0.27200000000000002</v>
      </c>
      <c r="CW11" s="17">
        <v>0.16</v>
      </c>
      <c r="CX11" s="17">
        <v>5.6000000000000001E-2</v>
      </c>
      <c r="CY11" s="17">
        <v>5.2999999999999999E-2</v>
      </c>
      <c r="CZ11" s="17">
        <v>0.16500000000000001</v>
      </c>
      <c r="DA11" s="17">
        <v>0.16900000000000001</v>
      </c>
      <c r="DB11" s="17">
        <v>9.6000000000000002E-2</v>
      </c>
      <c r="DC11" s="17">
        <v>0.20200000000000001</v>
      </c>
      <c r="DD11" s="17">
        <v>0.17100000000000001</v>
      </c>
      <c r="DE11" s="17">
        <v>0.05</v>
      </c>
      <c r="DF11" s="17">
        <v>9.0999999999999998E-2</v>
      </c>
      <c r="DG11" s="17">
        <v>0</v>
      </c>
      <c r="DH11" s="17">
        <v>0.34100000000000003</v>
      </c>
      <c r="DI11" s="17">
        <v>4.9000000000000002E-2</v>
      </c>
      <c r="DJ11" s="17">
        <v>7.5999999999999998E-2</v>
      </c>
      <c r="DK11" s="17">
        <v>0.158</v>
      </c>
      <c r="DL11" s="17">
        <v>0.12</v>
      </c>
      <c r="DM11" s="17">
        <v>0.29399999999999998</v>
      </c>
      <c r="DN11" s="17">
        <v>7.9000000000000001E-2</v>
      </c>
      <c r="DO11" s="17">
        <v>0.2</v>
      </c>
      <c r="DP11" s="17">
        <v>0.05</v>
      </c>
      <c r="DQ11" s="17">
        <v>0.11899999999999999</v>
      </c>
      <c r="DR11" s="17">
        <v>0.17699999999999999</v>
      </c>
      <c r="DS11" s="17">
        <v>5.6000000000000001E-2</v>
      </c>
      <c r="DT11" s="17">
        <v>0.221</v>
      </c>
      <c r="DU11" s="17">
        <v>4.8000000000000001E-2</v>
      </c>
      <c r="DV11" s="17">
        <v>5.0999999999999997E-2</v>
      </c>
      <c r="DW11" s="17">
        <v>8.4000000000000005E-2</v>
      </c>
      <c r="DX11" s="17">
        <v>4.1000000000000002E-2</v>
      </c>
      <c r="DY11" s="17">
        <v>5.1999999999999998E-2</v>
      </c>
      <c r="DZ11" s="17">
        <v>0.14000000000000001</v>
      </c>
      <c r="EA11" s="17">
        <v>0.114</v>
      </c>
      <c r="EB11" s="17">
        <v>4.5999999999999999E-2</v>
      </c>
      <c r="EC11" s="17">
        <v>4.4999999999999998E-2</v>
      </c>
      <c r="ED11" s="17">
        <v>0.14199999999999999</v>
      </c>
      <c r="EE11" s="17">
        <v>0.219</v>
      </c>
      <c r="EF11" s="17">
        <v>5.6000000000000001E-2</v>
      </c>
      <c r="EG11" s="17">
        <v>0.20499999999999999</v>
      </c>
      <c r="EH11" s="17">
        <v>0</v>
      </c>
      <c r="EI11" s="17">
        <v>0.14000000000000001</v>
      </c>
      <c r="EJ11" s="17">
        <v>4.8000000000000001E-2</v>
      </c>
      <c r="EK11" s="17">
        <v>0.108</v>
      </c>
      <c r="EL11" s="17">
        <v>0.14299999999999999</v>
      </c>
      <c r="EM11" s="17">
        <v>7.3999999999999996E-2</v>
      </c>
      <c r="EN11" s="17">
        <v>0.20899999999999999</v>
      </c>
      <c r="EO11" s="17">
        <v>3.5999999999999997E-2</v>
      </c>
      <c r="EP11" s="17">
        <v>0.05</v>
      </c>
      <c r="EQ11" s="17">
        <v>4.1000000000000002E-2</v>
      </c>
      <c r="ER11" s="17">
        <v>4.1000000000000002E-2</v>
      </c>
      <c r="ES11" s="17">
        <v>5.5E-2</v>
      </c>
      <c r="ET11" s="17">
        <v>5.5E-2</v>
      </c>
      <c r="EU11" s="17">
        <v>0.189</v>
      </c>
      <c r="EV11" s="17">
        <v>0.05</v>
      </c>
      <c r="EW11" s="17">
        <v>5.3999999999999999E-2</v>
      </c>
      <c r="EX11" s="17">
        <v>0.14399999999999999</v>
      </c>
      <c r="EY11" s="17">
        <v>0.186</v>
      </c>
      <c r="EZ11" s="17">
        <v>0.23300000000000001</v>
      </c>
      <c r="FA11" s="17">
        <v>0.23300000000000001</v>
      </c>
      <c r="FB11" s="17">
        <v>0</v>
      </c>
      <c r="FC11" s="17">
        <v>0.32600000000000001</v>
      </c>
      <c r="FD11" s="17">
        <v>0.05</v>
      </c>
      <c r="FE11" s="17">
        <v>5.6000000000000001E-2</v>
      </c>
      <c r="FF11" s="17">
        <v>5.1999999999999998E-2</v>
      </c>
      <c r="FG11" s="17">
        <v>5.7000000000000002E-2</v>
      </c>
      <c r="FH11" s="17">
        <v>3.6999999999999998E-2</v>
      </c>
      <c r="FI11" s="17">
        <v>0.159</v>
      </c>
      <c r="FJ11" s="17">
        <v>0.13600000000000001</v>
      </c>
      <c r="FK11" s="17">
        <v>0.16800000000000001</v>
      </c>
      <c r="FL11" s="17">
        <v>0.217</v>
      </c>
      <c r="FM11" s="17">
        <v>0.16900000000000001</v>
      </c>
      <c r="FN11" s="17">
        <v>5.0999999999999997E-2</v>
      </c>
      <c r="FO11" s="17">
        <v>4.7E-2</v>
      </c>
      <c r="FP11" s="17">
        <v>0.11600000000000001</v>
      </c>
      <c r="FQ11" s="17">
        <v>0.23799999999999999</v>
      </c>
      <c r="FR11" s="17">
        <v>5.6000000000000001E-2</v>
      </c>
      <c r="FS11" s="17">
        <v>8.6999999999999994E-2</v>
      </c>
      <c r="FT11" s="17">
        <v>5.8999999999999997E-2</v>
      </c>
      <c r="FU11" s="17">
        <v>0.21</v>
      </c>
      <c r="FV11" s="17">
        <v>0.32600000000000001</v>
      </c>
      <c r="FW11" s="17">
        <v>0.127</v>
      </c>
      <c r="FX11" s="17">
        <v>0.14199999999999999</v>
      </c>
      <c r="FY11" s="17">
        <v>0.106</v>
      </c>
      <c r="FZ11" s="17">
        <v>0.251</v>
      </c>
      <c r="GA11" s="17">
        <v>9.2999999999999999E-2</v>
      </c>
      <c r="GB11" s="17">
        <v>0.128</v>
      </c>
      <c r="GC11" s="17">
        <v>5.7000000000000002E-2</v>
      </c>
      <c r="GD11" s="17">
        <v>7.1999999999999995E-2</v>
      </c>
      <c r="GE11" s="17">
        <v>0.06</v>
      </c>
      <c r="GF11" s="17">
        <v>0.26400000000000001</v>
      </c>
      <c r="GG11" s="17">
        <v>9.9000000000000005E-2</v>
      </c>
      <c r="GH11" s="17">
        <v>5.0999999999999997E-2</v>
      </c>
      <c r="GI11" s="17">
        <v>5.1999999999999998E-2</v>
      </c>
      <c r="GJ11" s="17">
        <v>4.5999999999999999E-2</v>
      </c>
      <c r="GK11" s="17">
        <v>0.218</v>
      </c>
      <c r="GL11" s="17">
        <v>0.16200000000000001</v>
      </c>
      <c r="GM11" s="17">
        <v>0.34</v>
      </c>
      <c r="GN11" s="17">
        <v>0.11700000000000001</v>
      </c>
      <c r="GO11" s="17">
        <v>0.23</v>
      </c>
      <c r="GP11" s="17">
        <v>0.11700000000000001</v>
      </c>
      <c r="GQ11" s="17">
        <v>0.17299999999999999</v>
      </c>
      <c r="GR11" s="17">
        <v>5.2999999999999999E-2</v>
      </c>
      <c r="GS11" s="17">
        <v>0.21199999999999999</v>
      </c>
      <c r="GT11" s="17">
        <v>5.2999999999999999E-2</v>
      </c>
      <c r="GU11" s="17">
        <v>4.7E-2</v>
      </c>
      <c r="GV11" s="17">
        <v>0.10299999999999999</v>
      </c>
      <c r="GW11" s="17">
        <v>0.23200000000000001</v>
      </c>
      <c r="GX11" s="17">
        <v>5.7000000000000002E-2</v>
      </c>
      <c r="GY11" s="17">
        <v>0.219</v>
      </c>
      <c r="GZ11" s="17">
        <v>0.20100000000000001</v>
      </c>
      <c r="HA11" s="17">
        <v>4.7E-2</v>
      </c>
      <c r="HB11" s="17">
        <v>0.189</v>
      </c>
      <c r="HC11" s="17">
        <v>0.35299999999999998</v>
      </c>
      <c r="HD11" s="17">
        <v>0.35899999999999999</v>
      </c>
      <c r="HE11" s="17">
        <v>0</v>
      </c>
      <c r="HF11" s="17">
        <v>0.20899999999999999</v>
      </c>
      <c r="HG11" s="17">
        <v>0.25800000000000001</v>
      </c>
      <c r="HH11" s="17">
        <v>4.9000000000000002E-2</v>
      </c>
    </row>
    <row r="12" spans="1:216" x14ac:dyDescent="0.25">
      <c r="A12" s="8">
        <v>8</v>
      </c>
      <c r="B12" s="8">
        <v>3.5</v>
      </c>
      <c r="C12" s="17">
        <v>0.05</v>
      </c>
      <c r="D12" s="17">
        <v>0</v>
      </c>
      <c r="E12" s="17">
        <v>4.4999999999999998E-2</v>
      </c>
      <c r="F12" s="17">
        <v>0.28699999999999998</v>
      </c>
      <c r="G12" s="17">
        <v>4.5999999999999999E-2</v>
      </c>
      <c r="H12" s="17">
        <v>3.5999999999999997E-2</v>
      </c>
      <c r="I12" s="17">
        <v>5.2999999999999999E-2</v>
      </c>
      <c r="J12" s="17">
        <v>8.5000000000000006E-2</v>
      </c>
      <c r="K12" s="17">
        <v>0.23899999999999999</v>
      </c>
      <c r="L12" s="17">
        <v>0.11899999999999999</v>
      </c>
      <c r="M12" s="17">
        <v>0</v>
      </c>
      <c r="N12" s="17">
        <v>0.105</v>
      </c>
      <c r="O12" s="17">
        <v>0.05</v>
      </c>
      <c r="P12" s="17">
        <v>4.8000000000000001E-2</v>
      </c>
      <c r="Q12" s="17">
        <v>0.16400000000000001</v>
      </c>
      <c r="R12" s="17">
        <v>4.2999999999999997E-2</v>
      </c>
      <c r="S12" s="17">
        <v>3.7999999999999999E-2</v>
      </c>
      <c r="T12" s="17">
        <v>0.17799999999999999</v>
      </c>
      <c r="U12" s="17">
        <v>0.123</v>
      </c>
      <c r="V12" s="17">
        <v>5.1999999999999998E-2</v>
      </c>
      <c r="W12" s="17">
        <v>0.156</v>
      </c>
      <c r="X12" s="17">
        <v>0.14299999999999999</v>
      </c>
      <c r="Y12" s="17">
        <v>5.6000000000000001E-2</v>
      </c>
      <c r="Z12" s="17">
        <v>0.05</v>
      </c>
      <c r="AA12" s="17">
        <v>4.2999999999999997E-2</v>
      </c>
      <c r="AB12" s="17">
        <v>4.8000000000000001E-2</v>
      </c>
      <c r="AC12" s="17">
        <v>5.2999999999999999E-2</v>
      </c>
      <c r="AD12" s="17">
        <v>0.18099999999999999</v>
      </c>
      <c r="AE12" s="17">
        <v>1.1020000000000001</v>
      </c>
      <c r="AF12" s="17">
        <v>0</v>
      </c>
      <c r="AG12" s="17">
        <v>4.1000000000000002E-2</v>
      </c>
      <c r="AH12" s="17">
        <v>5.2999999999999999E-2</v>
      </c>
      <c r="AI12" s="17">
        <v>0.121</v>
      </c>
      <c r="AJ12" s="17">
        <v>0.20499999999999999</v>
      </c>
      <c r="AK12" s="17">
        <v>0.18099999999999999</v>
      </c>
      <c r="AL12" s="17">
        <v>0.156</v>
      </c>
      <c r="AM12" s="17">
        <v>4.5999999999999999E-2</v>
      </c>
      <c r="AN12" s="17">
        <v>4.9000000000000002E-2</v>
      </c>
      <c r="AO12" s="17">
        <v>5.2999999999999999E-2</v>
      </c>
      <c r="AP12" s="17">
        <v>0.14699999999999999</v>
      </c>
      <c r="AQ12" s="17">
        <v>4.9000000000000002E-2</v>
      </c>
      <c r="AR12" s="17">
        <v>0.05</v>
      </c>
      <c r="AS12" s="17">
        <v>0.123</v>
      </c>
      <c r="AT12" s="17">
        <v>0.14099999999999999</v>
      </c>
      <c r="AU12" s="17">
        <v>7.1999999999999995E-2</v>
      </c>
      <c r="AV12" s="17">
        <v>3.7999999999999999E-2</v>
      </c>
      <c r="AW12" s="17">
        <v>0.161</v>
      </c>
      <c r="AX12" s="17">
        <v>4.5999999999999999E-2</v>
      </c>
      <c r="AY12" s="17">
        <v>7.6999999999999999E-2</v>
      </c>
      <c r="AZ12" s="17">
        <v>0.191</v>
      </c>
      <c r="BA12" s="17">
        <v>7.5999999999999998E-2</v>
      </c>
      <c r="BB12" s="17">
        <v>0.19600000000000001</v>
      </c>
      <c r="BC12" s="17">
        <v>4.9000000000000002E-2</v>
      </c>
      <c r="BD12" s="17">
        <v>4.8000000000000001E-2</v>
      </c>
      <c r="BE12" s="17">
        <v>6.0999999999999999E-2</v>
      </c>
      <c r="BF12" s="17">
        <v>0.14000000000000001</v>
      </c>
      <c r="BG12" s="17">
        <v>0</v>
      </c>
      <c r="BH12" s="17">
        <v>4.4999999999999998E-2</v>
      </c>
      <c r="BI12" s="17">
        <v>0.106</v>
      </c>
      <c r="BJ12" s="17">
        <v>5.5E-2</v>
      </c>
      <c r="BK12" s="17">
        <v>4.5999999999999999E-2</v>
      </c>
      <c r="BL12" s="17">
        <v>9.6000000000000002E-2</v>
      </c>
      <c r="BM12" s="17">
        <v>0</v>
      </c>
      <c r="BN12" s="17">
        <v>9.6000000000000002E-2</v>
      </c>
      <c r="BO12" s="17">
        <v>0.10100000000000001</v>
      </c>
      <c r="BP12" s="17">
        <v>0.13900000000000001</v>
      </c>
      <c r="BQ12" s="17">
        <v>5.2999999999999999E-2</v>
      </c>
      <c r="BR12" s="17">
        <v>5.3999999999999999E-2</v>
      </c>
      <c r="BS12" s="17">
        <v>0.16800000000000001</v>
      </c>
      <c r="BT12" s="17">
        <v>5.5E-2</v>
      </c>
      <c r="BU12" s="17">
        <v>6.4000000000000001E-2</v>
      </c>
      <c r="BV12" s="17">
        <v>7.9000000000000001E-2</v>
      </c>
      <c r="BW12" s="17">
        <v>0.13</v>
      </c>
      <c r="BX12" s="17">
        <v>0.10199999999999999</v>
      </c>
      <c r="BY12" s="17">
        <v>0.21199999999999999</v>
      </c>
      <c r="BZ12" s="17">
        <v>0.13800000000000001</v>
      </c>
      <c r="CA12" s="17">
        <v>5.2999999999999999E-2</v>
      </c>
      <c r="CB12" s="17">
        <v>5.0999999999999997E-2</v>
      </c>
      <c r="CC12" s="17">
        <v>4.9000000000000002E-2</v>
      </c>
      <c r="CD12" s="17">
        <v>4.8000000000000001E-2</v>
      </c>
      <c r="CE12" s="17">
        <v>0.11600000000000001</v>
      </c>
      <c r="CF12" s="17">
        <v>0.14000000000000001</v>
      </c>
      <c r="CG12" s="17">
        <v>0.11700000000000001</v>
      </c>
      <c r="CH12" s="17">
        <v>0.33700000000000002</v>
      </c>
      <c r="CI12" s="17">
        <v>3.7999999999999999E-2</v>
      </c>
      <c r="CJ12" s="17">
        <v>6.0999999999999999E-2</v>
      </c>
      <c r="CK12" s="17">
        <v>0</v>
      </c>
      <c r="CL12" s="17">
        <v>7.6999999999999999E-2</v>
      </c>
      <c r="CM12" s="17">
        <v>0.25700000000000001</v>
      </c>
      <c r="CN12" s="17">
        <v>0</v>
      </c>
      <c r="CO12" s="17">
        <v>4.7E-2</v>
      </c>
      <c r="CP12" s="17">
        <v>0</v>
      </c>
      <c r="CQ12" s="17">
        <v>4.9000000000000002E-2</v>
      </c>
      <c r="CR12" s="17">
        <v>0.124</v>
      </c>
      <c r="CS12" s="17">
        <v>4.4999999999999998E-2</v>
      </c>
      <c r="CT12" s="17">
        <v>7.5999999999999998E-2</v>
      </c>
      <c r="CU12" s="17">
        <v>4.4999999999999998E-2</v>
      </c>
      <c r="CV12" s="17">
        <v>4.1000000000000002E-2</v>
      </c>
      <c r="CW12" s="17">
        <v>0.127</v>
      </c>
      <c r="CX12" s="17">
        <v>5.2999999999999999E-2</v>
      </c>
      <c r="CY12" s="17">
        <v>0.158</v>
      </c>
      <c r="CZ12" s="17">
        <v>0.16900000000000001</v>
      </c>
      <c r="DA12" s="17">
        <v>8.3000000000000004E-2</v>
      </c>
      <c r="DB12" s="17">
        <v>7.6999999999999999E-2</v>
      </c>
      <c r="DC12" s="17">
        <v>0.192</v>
      </c>
      <c r="DD12" s="17">
        <v>0.18</v>
      </c>
      <c r="DE12" s="17">
        <v>0.19900000000000001</v>
      </c>
      <c r="DF12" s="17">
        <v>0.36699999999999999</v>
      </c>
      <c r="DG12" s="17">
        <v>0</v>
      </c>
      <c r="DH12" s="17">
        <v>0.186</v>
      </c>
      <c r="DI12" s="17">
        <v>4.5999999999999999E-2</v>
      </c>
      <c r="DJ12" s="17">
        <v>0.188</v>
      </c>
      <c r="DK12" s="17">
        <v>0.13100000000000001</v>
      </c>
      <c r="DL12" s="17">
        <v>0.14899999999999999</v>
      </c>
      <c r="DM12" s="17">
        <v>0.114</v>
      </c>
      <c r="DN12" s="17">
        <v>0.14199999999999999</v>
      </c>
      <c r="DO12" s="17">
        <v>4.8000000000000001E-2</v>
      </c>
      <c r="DP12" s="17">
        <v>0.13100000000000001</v>
      </c>
      <c r="DQ12" s="17">
        <v>0.222</v>
      </c>
      <c r="DR12" s="17">
        <v>0.218</v>
      </c>
      <c r="DS12" s="17">
        <v>0.184</v>
      </c>
      <c r="DT12" s="17">
        <v>4.8000000000000001E-2</v>
      </c>
      <c r="DU12" s="17">
        <v>0.115</v>
      </c>
      <c r="DV12" s="17">
        <v>0.17899999999999999</v>
      </c>
      <c r="DW12" s="17">
        <v>0.16400000000000001</v>
      </c>
      <c r="DX12" s="17">
        <v>3.9E-2</v>
      </c>
      <c r="DY12" s="17">
        <v>0.159</v>
      </c>
      <c r="DZ12" s="17">
        <v>0.27</v>
      </c>
      <c r="EA12" s="17">
        <v>0.124</v>
      </c>
      <c r="EB12" s="17">
        <v>4.2999999999999997E-2</v>
      </c>
      <c r="EC12" s="17">
        <v>0.309</v>
      </c>
      <c r="ED12" s="17">
        <v>0.05</v>
      </c>
      <c r="EE12" s="17">
        <v>4.7E-2</v>
      </c>
      <c r="EF12" s="17">
        <v>5.2999999999999999E-2</v>
      </c>
      <c r="EG12" s="17">
        <v>7.2999999999999995E-2</v>
      </c>
      <c r="EH12" s="17">
        <v>0</v>
      </c>
      <c r="EI12" s="17">
        <v>0.17599999999999999</v>
      </c>
      <c r="EJ12" s="17">
        <v>0.17799999999999999</v>
      </c>
      <c r="EK12" s="17">
        <v>4.2999999999999997E-2</v>
      </c>
      <c r="EL12" s="17">
        <v>0.16300000000000001</v>
      </c>
      <c r="EM12" s="17">
        <v>9.7000000000000003E-2</v>
      </c>
      <c r="EN12" s="17">
        <v>4.2999999999999997E-2</v>
      </c>
      <c r="EO12" s="17">
        <v>0.3</v>
      </c>
      <c r="EP12" s="17">
        <v>4.8000000000000001E-2</v>
      </c>
      <c r="EQ12" s="17">
        <v>5.1999999999999998E-2</v>
      </c>
      <c r="ER12" s="17">
        <v>9.4E-2</v>
      </c>
      <c r="ES12" s="17">
        <v>0.17100000000000001</v>
      </c>
      <c r="ET12" s="17">
        <v>0.14599999999999999</v>
      </c>
      <c r="EU12" s="17">
        <v>0.10199999999999999</v>
      </c>
      <c r="EV12" s="17">
        <v>0.17299999999999999</v>
      </c>
      <c r="EW12" s="17">
        <v>0.221</v>
      </c>
      <c r="EX12" s="17">
        <v>5.6000000000000001E-2</v>
      </c>
      <c r="EY12" s="17">
        <v>4.7E-2</v>
      </c>
      <c r="EZ12" s="17">
        <v>6.7000000000000004E-2</v>
      </c>
      <c r="FA12" s="17">
        <v>0.10199999999999999</v>
      </c>
      <c r="FB12" s="17">
        <v>0</v>
      </c>
      <c r="FC12" s="17">
        <v>7.5999999999999998E-2</v>
      </c>
      <c r="FD12" s="17">
        <v>4.7E-2</v>
      </c>
      <c r="FE12" s="17">
        <v>5.2999999999999999E-2</v>
      </c>
      <c r="FF12" s="17">
        <v>0.05</v>
      </c>
      <c r="FG12" s="17">
        <v>7.5999999999999998E-2</v>
      </c>
      <c r="FH12" s="17">
        <v>3.5000000000000003E-2</v>
      </c>
      <c r="FI12" s="17">
        <v>9.7000000000000003E-2</v>
      </c>
      <c r="FJ12" s="17">
        <v>4.5999999999999999E-2</v>
      </c>
      <c r="FK12" s="17">
        <v>5.2999999999999999E-2</v>
      </c>
      <c r="FL12" s="17">
        <v>7.5999999999999998E-2</v>
      </c>
      <c r="FM12" s="17">
        <v>9.4E-2</v>
      </c>
      <c r="FN12" s="17">
        <v>0.22800000000000001</v>
      </c>
      <c r="FO12" s="17">
        <v>0.11799999999999999</v>
      </c>
      <c r="FP12" s="17">
        <v>3.4000000000000002E-2</v>
      </c>
      <c r="FQ12" s="17">
        <v>0.09</v>
      </c>
      <c r="FR12" s="17">
        <v>0.125</v>
      </c>
      <c r="FS12" s="17">
        <v>0.307</v>
      </c>
      <c r="FT12" s="17">
        <v>5.7000000000000002E-2</v>
      </c>
      <c r="FU12" s="17">
        <v>4.7E-2</v>
      </c>
      <c r="FV12" s="17">
        <v>4.7E-2</v>
      </c>
      <c r="FW12" s="17">
        <v>8.2000000000000003E-2</v>
      </c>
      <c r="FX12" s="17">
        <v>0.26600000000000001</v>
      </c>
      <c r="FY12" s="17">
        <v>0.248</v>
      </c>
      <c r="FZ12" s="17">
        <v>7.9000000000000001E-2</v>
      </c>
      <c r="GA12" s="17">
        <v>0.157</v>
      </c>
      <c r="GB12" s="17">
        <v>0.109</v>
      </c>
      <c r="GC12" s="17">
        <v>5.3999999999999999E-2</v>
      </c>
      <c r="GD12" s="17">
        <v>0.17399999999999999</v>
      </c>
      <c r="GE12" s="17">
        <v>8.4000000000000005E-2</v>
      </c>
      <c r="GF12" s="17">
        <v>0.16400000000000001</v>
      </c>
      <c r="GG12" s="17">
        <v>4.8000000000000001E-2</v>
      </c>
      <c r="GH12" s="17">
        <v>4.9000000000000002E-2</v>
      </c>
      <c r="GI12" s="17">
        <v>4.9000000000000002E-2</v>
      </c>
      <c r="GJ12" s="17">
        <v>0.221</v>
      </c>
      <c r="GK12" s="17">
        <v>7.2999999999999995E-2</v>
      </c>
      <c r="GL12" s="17">
        <v>0.31</v>
      </c>
      <c r="GM12" s="17">
        <v>0.35899999999999999</v>
      </c>
      <c r="GN12" s="17">
        <v>5.1999999999999998E-2</v>
      </c>
      <c r="GO12" s="17">
        <v>0.105</v>
      </c>
      <c r="GP12" s="17">
        <v>0.17299999999999999</v>
      </c>
      <c r="GQ12" s="17">
        <v>7.3999999999999996E-2</v>
      </c>
      <c r="GR12" s="17">
        <v>0.17199999999999999</v>
      </c>
      <c r="GS12" s="17">
        <v>0.20899999999999999</v>
      </c>
      <c r="GT12" s="17">
        <v>5.0999999999999997E-2</v>
      </c>
      <c r="GU12" s="17">
        <v>0.193</v>
      </c>
      <c r="GV12" s="17">
        <v>6.0999999999999999E-2</v>
      </c>
      <c r="GW12" s="17">
        <v>0.25600000000000001</v>
      </c>
      <c r="GX12" s="17">
        <v>0.11600000000000001</v>
      </c>
      <c r="GY12" s="17">
        <v>6.0999999999999999E-2</v>
      </c>
      <c r="GZ12" s="17">
        <v>3.7999999999999999E-2</v>
      </c>
      <c r="HA12" s="17">
        <v>0.14799999999999999</v>
      </c>
      <c r="HB12" s="17">
        <v>0.16</v>
      </c>
      <c r="HC12" s="17">
        <v>0.47199999999999998</v>
      </c>
      <c r="HD12" s="17">
        <v>0.10100000000000001</v>
      </c>
      <c r="HE12" s="17">
        <v>0</v>
      </c>
      <c r="HF12" s="17">
        <v>0.106</v>
      </c>
      <c r="HG12" s="17">
        <v>5.2999999999999999E-2</v>
      </c>
      <c r="HH12" s="17">
        <v>4.5999999999999999E-2</v>
      </c>
    </row>
    <row r="13" spans="1:216" x14ac:dyDescent="0.25">
      <c r="A13" s="8">
        <v>9</v>
      </c>
      <c r="B13" s="8">
        <v>4</v>
      </c>
      <c r="C13" s="17">
        <v>2.1000000000000001E-2</v>
      </c>
      <c r="D13" s="17">
        <v>0</v>
      </c>
      <c r="E13" s="17">
        <v>0</v>
      </c>
      <c r="F13" s="17">
        <v>0.10199999999999999</v>
      </c>
      <c r="G13" s="17">
        <v>9.7000000000000003E-2</v>
      </c>
      <c r="H13" s="17">
        <v>1.7999999999999999E-2</v>
      </c>
      <c r="I13" s="17">
        <v>0.192</v>
      </c>
      <c r="J13" s="17">
        <v>0.224</v>
      </c>
      <c r="K13" s="17">
        <v>0.17399999999999999</v>
      </c>
      <c r="L13" s="17">
        <v>9.5000000000000001E-2</v>
      </c>
      <c r="M13" s="17">
        <v>0</v>
      </c>
      <c r="N13" s="17">
        <v>0.01</v>
      </c>
      <c r="O13" s="17">
        <v>3.2000000000000001E-2</v>
      </c>
      <c r="P13" s="17">
        <v>1E-3</v>
      </c>
      <c r="Q13" s="17">
        <v>2.5999999999999999E-2</v>
      </c>
      <c r="R13" s="17">
        <v>0</v>
      </c>
      <c r="S13" s="17">
        <v>0.19400000000000001</v>
      </c>
      <c r="T13" s="17">
        <v>0.14299999999999999</v>
      </c>
      <c r="U13" s="17">
        <v>0.109</v>
      </c>
      <c r="V13" s="17">
        <v>1.7999999999999999E-2</v>
      </c>
      <c r="W13" s="17">
        <v>4.7E-2</v>
      </c>
      <c r="X13" s="17">
        <v>0.16900000000000001</v>
      </c>
      <c r="Y13" s="17">
        <v>0.16400000000000001</v>
      </c>
      <c r="Z13" s="17">
        <v>0.255</v>
      </c>
      <c r="AA13" s="17">
        <v>2E-3</v>
      </c>
      <c r="AB13" s="17">
        <v>0.03</v>
      </c>
      <c r="AC13" s="17">
        <v>2.4E-2</v>
      </c>
      <c r="AD13" s="17">
        <v>4.9000000000000002E-2</v>
      </c>
      <c r="AE13" s="17">
        <v>2E-3</v>
      </c>
      <c r="AF13" s="17">
        <v>0</v>
      </c>
      <c r="AG13" s="17">
        <v>0</v>
      </c>
      <c r="AH13" s="17">
        <v>1.9E-2</v>
      </c>
      <c r="AI13" s="17">
        <v>7.0000000000000001E-3</v>
      </c>
      <c r="AJ13" s="17">
        <v>3.5000000000000003E-2</v>
      </c>
      <c r="AK13" s="17">
        <v>0</v>
      </c>
      <c r="AL13" s="17">
        <v>1E-3</v>
      </c>
      <c r="AM13" s="17">
        <v>0</v>
      </c>
      <c r="AN13" s="17">
        <v>0</v>
      </c>
      <c r="AO13" s="17">
        <v>0.10199999999999999</v>
      </c>
      <c r="AP13" s="17">
        <v>0.03</v>
      </c>
      <c r="AQ13" s="17">
        <v>0.17299999999999999</v>
      </c>
      <c r="AR13" s="17">
        <v>0.26900000000000002</v>
      </c>
      <c r="AS13" s="17">
        <v>6.9000000000000006E-2</v>
      </c>
      <c r="AT13" s="17">
        <v>0.152</v>
      </c>
      <c r="AU13" s="17">
        <v>9.0999999999999998E-2</v>
      </c>
      <c r="AV13" s="17">
        <v>3.4000000000000002E-2</v>
      </c>
      <c r="AW13" s="17">
        <v>2.1999999999999999E-2</v>
      </c>
      <c r="AX13" s="17">
        <v>0.17599999999999999</v>
      </c>
      <c r="AY13" s="17">
        <v>0.189</v>
      </c>
      <c r="AZ13" s="17">
        <v>1.9E-2</v>
      </c>
      <c r="BA13" s="17">
        <v>7.2999999999999995E-2</v>
      </c>
      <c r="BB13" s="17">
        <v>9.4E-2</v>
      </c>
      <c r="BC13" s="17">
        <v>0.39400000000000002</v>
      </c>
      <c r="BD13" s="17">
        <v>8.4000000000000005E-2</v>
      </c>
      <c r="BE13" s="17">
        <v>0.26500000000000001</v>
      </c>
      <c r="BF13" s="17">
        <v>5.0000000000000001E-3</v>
      </c>
      <c r="BG13" s="17">
        <v>0</v>
      </c>
      <c r="BH13" s="17">
        <v>0.188</v>
      </c>
      <c r="BI13" s="17">
        <v>6.6000000000000003E-2</v>
      </c>
      <c r="BJ13" s="17">
        <v>2.5999999999999999E-2</v>
      </c>
      <c r="BK13" s="17">
        <v>2.3E-2</v>
      </c>
      <c r="BL13" s="17">
        <v>0.2</v>
      </c>
      <c r="BM13" s="17">
        <v>0</v>
      </c>
      <c r="BN13" s="17">
        <v>0.21099999999999999</v>
      </c>
      <c r="BO13" s="17">
        <v>9.6000000000000002E-2</v>
      </c>
      <c r="BP13" s="17">
        <v>9.4E-2</v>
      </c>
      <c r="BQ13" s="17">
        <v>0.17699999999999999</v>
      </c>
      <c r="BR13" s="17">
        <v>7.0000000000000001E-3</v>
      </c>
      <c r="BS13" s="17">
        <v>6.8000000000000005E-2</v>
      </c>
      <c r="BT13" s="17">
        <v>2.5999999999999999E-2</v>
      </c>
      <c r="BU13" s="17">
        <v>0.126</v>
      </c>
      <c r="BV13" s="17">
        <v>0</v>
      </c>
      <c r="BW13" s="17">
        <v>4.5999999999999999E-2</v>
      </c>
      <c r="BX13" s="17">
        <v>2.9999999999999997E-4</v>
      </c>
      <c r="BY13" s="17">
        <v>0.13500000000000001</v>
      </c>
      <c r="BZ13" s="17">
        <v>2.9999999999999997E-4</v>
      </c>
      <c r="CA13" s="17">
        <v>0.22600000000000001</v>
      </c>
      <c r="CB13" s="17">
        <v>1.4E-2</v>
      </c>
      <c r="CC13" s="17">
        <v>2E-3</v>
      </c>
      <c r="CD13" s="17">
        <v>0.20699999999999999</v>
      </c>
      <c r="CE13" s="17">
        <v>1.4999999999999999E-2</v>
      </c>
      <c r="CF13" s="17">
        <v>0.11600000000000001</v>
      </c>
      <c r="CG13" s="17">
        <v>7.0000000000000001E-3</v>
      </c>
      <c r="CH13" s="17">
        <v>0.29799999999999999</v>
      </c>
      <c r="CI13" s="17">
        <v>0.30299999999999999</v>
      </c>
      <c r="CJ13" s="17">
        <v>8.6999999999999994E-2</v>
      </c>
      <c r="CK13" s="17">
        <v>0</v>
      </c>
      <c r="CL13" s="17">
        <v>0.11899999999999999</v>
      </c>
      <c r="CM13" s="17">
        <v>7.8E-2</v>
      </c>
      <c r="CN13" s="17">
        <v>0</v>
      </c>
      <c r="CO13" s="17">
        <v>0.36799999999999999</v>
      </c>
      <c r="CP13" s="17">
        <v>0</v>
      </c>
      <c r="CQ13" s="17">
        <v>8.0000000000000002E-3</v>
      </c>
      <c r="CR13" s="17">
        <v>0.34899999999999998</v>
      </c>
      <c r="CS13" s="17">
        <v>0.128</v>
      </c>
      <c r="CT13" s="17">
        <v>0.124</v>
      </c>
      <c r="CU13" s="17">
        <v>0</v>
      </c>
      <c r="CV13" s="17">
        <v>3.3000000000000002E-2</v>
      </c>
      <c r="CW13" s="17">
        <v>0.189</v>
      </c>
      <c r="CX13" s="17">
        <v>6.0000000000000001E-3</v>
      </c>
      <c r="CY13" s="17">
        <v>8.7999999999999995E-2</v>
      </c>
      <c r="CZ13" s="17">
        <v>6.0000000000000001E-3</v>
      </c>
      <c r="DA13" s="17">
        <v>4.8000000000000001E-2</v>
      </c>
      <c r="DB13" s="17">
        <v>1.7999999999999999E-2</v>
      </c>
      <c r="DC13" s="17">
        <v>3.6999999999999998E-2</v>
      </c>
      <c r="DD13" s="17">
        <v>0.25800000000000001</v>
      </c>
      <c r="DE13" s="17">
        <v>2.9999999999999997E-4</v>
      </c>
      <c r="DF13" s="17">
        <v>3.9E-2</v>
      </c>
      <c r="DG13" s="17">
        <v>0</v>
      </c>
      <c r="DH13" s="17">
        <v>0.26600000000000001</v>
      </c>
      <c r="DI13" s="17">
        <v>5.0000000000000001E-3</v>
      </c>
      <c r="DJ13" s="17">
        <v>6.0999999999999999E-2</v>
      </c>
      <c r="DK13" s="17">
        <v>0.251</v>
      </c>
      <c r="DL13" s="17">
        <v>0.10199999999999999</v>
      </c>
      <c r="DM13" s="17">
        <v>8.6999999999999994E-2</v>
      </c>
      <c r="DN13" s="17">
        <v>8.9999999999999993E-3</v>
      </c>
      <c r="DO13" s="17">
        <v>0.217</v>
      </c>
      <c r="DP13" s="17">
        <v>1.2999999999999999E-2</v>
      </c>
      <c r="DQ13" s="17">
        <v>7.1999999999999995E-2</v>
      </c>
      <c r="DR13" s="17">
        <v>0.11600000000000001</v>
      </c>
      <c r="DS13" s="17">
        <v>1.2999999999999999E-2</v>
      </c>
      <c r="DT13" s="17">
        <v>0.08</v>
      </c>
      <c r="DU13" s="17">
        <v>0.128</v>
      </c>
      <c r="DV13" s="17">
        <v>5.2999999999999999E-2</v>
      </c>
      <c r="DW13" s="17">
        <v>6.7000000000000004E-2</v>
      </c>
      <c r="DX13" s="17">
        <v>0.01</v>
      </c>
      <c r="DY13" s="17">
        <v>0.06</v>
      </c>
      <c r="DZ13" s="17">
        <v>0.21099999999999999</v>
      </c>
      <c r="EA13" s="17">
        <v>0.06</v>
      </c>
      <c r="EB13" s="17">
        <v>0</v>
      </c>
      <c r="EC13" s="17">
        <v>8.0000000000000002E-3</v>
      </c>
      <c r="ED13" s="17">
        <v>8.9999999999999993E-3</v>
      </c>
      <c r="EE13" s="17">
        <v>1.2999999999999999E-2</v>
      </c>
      <c r="EF13" s="17">
        <v>8.1000000000000003E-2</v>
      </c>
      <c r="EG13" s="17">
        <v>9.6000000000000002E-2</v>
      </c>
      <c r="EH13" s="17">
        <v>0</v>
      </c>
      <c r="EI13" s="17">
        <v>1.7000000000000001E-2</v>
      </c>
      <c r="EJ13" s="17">
        <v>3.4000000000000002E-2</v>
      </c>
      <c r="EK13" s="17">
        <v>0.11899999999999999</v>
      </c>
      <c r="EL13" s="17">
        <v>6.0999999999999999E-2</v>
      </c>
      <c r="EM13" s="17">
        <v>0.28499999999999998</v>
      </c>
      <c r="EN13" s="17">
        <v>0.02</v>
      </c>
      <c r="EO13" s="17">
        <v>0</v>
      </c>
      <c r="EP13" s="17">
        <v>0.159</v>
      </c>
      <c r="EQ13" s="17">
        <v>8.2000000000000003E-2</v>
      </c>
      <c r="ER13" s="17">
        <v>7.2999999999999995E-2</v>
      </c>
      <c r="ES13" s="17">
        <v>0.161</v>
      </c>
      <c r="ET13" s="17">
        <v>7.3999999999999996E-2</v>
      </c>
      <c r="EU13" s="17">
        <v>0.19600000000000001</v>
      </c>
      <c r="EV13" s="17">
        <v>1.2999999999999999E-2</v>
      </c>
      <c r="EW13" s="17">
        <v>6.2E-2</v>
      </c>
      <c r="EX13" s="17">
        <v>0.108</v>
      </c>
      <c r="EY13" s="17">
        <v>0.14099999999999999</v>
      </c>
      <c r="EZ13" s="17">
        <v>0.158</v>
      </c>
      <c r="FA13" s="17">
        <v>0.11799999999999999</v>
      </c>
      <c r="FB13" s="17">
        <v>0</v>
      </c>
      <c r="FC13" s="17">
        <v>0.16700000000000001</v>
      </c>
      <c r="FD13" s="17">
        <v>1.2999999999999999E-2</v>
      </c>
      <c r="FE13" s="17">
        <v>6.0000000000000001E-3</v>
      </c>
      <c r="FF13" s="17">
        <v>2.7E-2</v>
      </c>
      <c r="FG13" s="17">
        <v>0.09</v>
      </c>
      <c r="FH13" s="17">
        <v>1.2E-2</v>
      </c>
      <c r="FI13" s="17">
        <v>0.11899999999999999</v>
      </c>
      <c r="FJ13" s="17">
        <v>5.5E-2</v>
      </c>
      <c r="FK13" s="17">
        <v>0.377</v>
      </c>
      <c r="FL13" s="17">
        <v>0.22800000000000001</v>
      </c>
      <c r="FM13" s="17">
        <v>0.13700000000000001</v>
      </c>
      <c r="FN13" s="17">
        <v>1.4E-2</v>
      </c>
      <c r="FO13" s="17">
        <v>2.1999999999999999E-2</v>
      </c>
      <c r="FP13" s="17">
        <v>5.0000000000000001E-3</v>
      </c>
      <c r="FQ13" s="17">
        <v>3.1E-2</v>
      </c>
      <c r="FR13" s="17">
        <v>2.5000000000000001E-2</v>
      </c>
      <c r="FS13" s="17">
        <v>0.11</v>
      </c>
      <c r="FT13" s="17">
        <v>2.8000000000000001E-2</v>
      </c>
      <c r="FU13" s="17">
        <v>0.126</v>
      </c>
      <c r="FV13" s="17">
        <v>7.8E-2</v>
      </c>
      <c r="FW13" s="17">
        <v>2.1000000000000001E-2</v>
      </c>
      <c r="FX13" s="17">
        <v>0.3</v>
      </c>
      <c r="FY13" s="17">
        <v>0.47</v>
      </c>
      <c r="FZ13" s="17">
        <v>0.126</v>
      </c>
      <c r="GA13" s="17">
        <v>2.3E-2</v>
      </c>
      <c r="GB13" s="17">
        <v>9.2999999999999999E-2</v>
      </c>
      <c r="GC13" s="17">
        <v>1.2999999999999999E-2</v>
      </c>
      <c r="GD13" s="17">
        <v>0.13300000000000001</v>
      </c>
      <c r="GE13" s="17">
        <v>9.0999999999999998E-2</v>
      </c>
      <c r="GF13" s="17">
        <v>0.191</v>
      </c>
      <c r="GG13" s="17">
        <v>0.33200000000000002</v>
      </c>
      <c r="GH13" s="17">
        <v>0.16400000000000001</v>
      </c>
      <c r="GI13" s="17">
        <v>2E-3</v>
      </c>
      <c r="GJ13" s="17">
        <v>2.1000000000000001E-2</v>
      </c>
      <c r="GK13" s="17">
        <v>5.8000000000000003E-2</v>
      </c>
      <c r="GL13" s="17">
        <v>3.3000000000000002E-2</v>
      </c>
      <c r="GM13" s="17">
        <v>4.2000000000000003E-2</v>
      </c>
      <c r="GN13" s="17">
        <v>0.159</v>
      </c>
      <c r="GO13" s="17">
        <v>0.114</v>
      </c>
      <c r="GP13" s="17">
        <v>0.17899999999999999</v>
      </c>
      <c r="GQ13" s="17">
        <v>6.3E-2</v>
      </c>
      <c r="GR13" s="17">
        <v>3.0000000000000001E-3</v>
      </c>
      <c r="GS13" s="17">
        <v>7.6999999999999999E-2</v>
      </c>
      <c r="GT13" s="17">
        <v>2.1999999999999999E-2</v>
      </c>
      <c r="GU13" s="17">
        <v>0.14299999999999999</v>
      </c>
      <c r="GV13" s="17">
        <v>0.156</v>
      </c>
      <c r="GW13" s="17">
        <v>0.113</v>
      </c>
      <c r="GX13" s="17">
        <v>0.184</v>
      </c>
      <c r="GY13" s="17">
        <v>1.9E-2</v>
      </c>
      <c r="GZ13" s="17">
        <v>0</v>
      </c>
      <c r="HA13" s="17">
        <v>0.01</v>
      </c>
      <c r="HB13" s="17">
        <v>0.02</v>
      </c>
      <c r="HC13" s="17">
        <v>2.5999999999999999E-2</v>
      </c>
      <c r="HD13" s="17">
        <v>0.17899999999999999</v>
      </c>
      <c r="HE13" s="17">
        <v>0</v>
      </c>
      <c r="HF13" s="17">
        <v>0.06</v>
      </c>
      <c r="HG13" s="17">
        <v>0</v>
      </c>
      <c r="HH13" s="17">
        <v>1.2E-2</v>
      </c>
    </row>
    <row r="14" spans="1:216" x14ac:dyDescent="0.25">
      <c r="A14" s="8">
        <v>10</v>
      </c>
      <c r="B14" s="8">
        <v>4.5</v>
      </c>
      <c r="C14" s="17">
        <v>0.09</v>
      </c>
      <c r="D14" s="17">
        <v>0</v>
      </c>
      <c r="E14" s="17">
        <v>7.8E-2</v>
      </c>
      <c r="F14" s="17">
        <v>0</v>
      </c>
      <c r="G14" s="17">
        <v>0</v>
      </c>
      <c r="H14" s="17">
        <v>0</v>
      </c>
      <c r="I14" s="17">
        <v>0</v>
      </c>
      <c r="J14" s="17">
        <v>0</v>
      </c>
      <c r="K14" s="17">
        <v>0.14899999999999999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7">
        <v>6.3E-2</v>
      </c>
      <c r="R14" s="17">
        <v>0</v>
      </c>
      <c r="S14" s="17">
        <v>0</v>
      </c>
      <c r="T14" s="17">
        <v>0</v>
      </c>
      <c r="U14" s="17">
        <v>0</v>
      </c>
      <c r="V14" s="17">
        <v>1.4999999999999999E-2</v>
      </c>
      <c r="W14" s="17">
        <v>0</v>
      </c>
      <c r="X14" s="17">
        <v>0</v>
      </c>
      <c r="Y14" s="17">
        <v>0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4.3999999999999997E-2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7">
        <v>0</v>
      </c>
      <c r="AP14" s="17">
        <v>2.8000000000000001E-2</v>
      </c>
      <c r="AQ14" s="17">
        <v>0</v>
      </c>
      <c r="AR14" s="17">
        <v>0</v>
      </c>
      <c r="AS14" s="17">
        <v>0</v>
      </c>
      <c r="AT14" s="17">
        <v>3.7999999999999999E-2</v>
      </c>
      <c r="AU14" s="17">
        <v>0</v>
      </c>
      <c r="AV14" s="17">
        <v>0</v>
      </c>
      <c r="AW14" s="17">
        <v>0</v>
      </c>
      <c r="AX14" s="17">
        <v>0</v>
      </c>
      <c r="AY14" s="17">
        <v>3.5000000000000003E-2</v>
      </c>
      <c r="AZ14" s="17">
        <v>8.5000000000000006E-2</v>
      </c>
      <c r="BA14" s="17">
        <v>0</v>
      </c>
      <c r="BB14" s="17">
        <v>3.6999999999999998E-2</v>
      </c>
      <c r="BC14" s="17">
        <v>0.313</v>
      </c>
      <c r="BD14" s="17">
        <v>0</v>
      </c>
      <c r="BE14" s="17">
        <v>0</v>
      </c>
      <c r="BF14" s="17">
        <v>0</v>
      </c>
      <c r="BG14" s="17">
        <v>0</v>
      </c>
      <c r="BH14" s="17">
        <v>0</v>
      </c>
      <c r="BI14" s="17">
        <v>0</v>
      </c>
      <c r="BJ14" s="17">
        <v>0</v>
      </c>
      <c r="BK14" s="17">
        <v>0</v>
      </c>
      <c r="BL14" s="17">
        <v>0.13100000000000001</v>
      </c>
      <c r="BM14" s="17">
        <v>0</v>
      </c>
      <c r="BN14" s="17">
        <v>0</v>
      </c>
      <c r="BO14" s="17">
        <v>0.11899999999999999</v>
      </c>
      <c r="BP14" s="17">
        <v>0</v>
      </c>
      <c r="BQ14" s="17">
        <v>0</v>
      </c>
      <c r="BR14" s="17">
        <v>0</v>
      </c>
      <c r="BS14" s="17">
        <v>0.01</v>
      </c>
      <c r="BT14" s="17">
        <v>0</v>
      </c>
      <c r="BU14" s="17">
        <v>0</v>
      </c>
      <c r="BV14" s="17">
        <v>0</v>
      </c>
      <c r="BW14" s="17">
        <v>0</v>
      </c>
      <c r="BX14" s="17">
        <v>0</v>
      </c>
      <c r="BY14" s="17">
        <v>0.121</v>
      </c>
      <c r="BZ14" s="17">
        <v>0</v>
      </c>
      <c r="CA14" s="17">
        <v>0</v>
      </c>
      <c r="CB14" s="17">
        <v>0</v>
      </c>
      <c r="CC14" s="17">
        <v>0</v>
      </c>
      <c r="CD14" s="17">
        <v>0</v>
      </c>
      <c r="CE14" s="17">
        <v>0</v>
      </c>
      <c r="CF14" s="17">
        <v>0</v>
      </c>
      <c r="CG14" s="17">
        <v>0</v>
      </c>
      <c r="CH14" s="17">
        <v>0</v>
      </c>
      <c r="CI14" s="17">
        <v>0</v>
      </c>
      <c r="CJ14" s="17">
        <v>6.0999999999999999E-2</v>
      </c>
      <c r="CK14" s="17">
        <v>0</v>
      </c>
      <c r="CL14" s="17">
        <v>0</v>
      </c>
      <c r="CM14" s="17">
        <v>1.2999999999999999E-2</v>
      </c>
      <c r="CN14" s="17">
        <v>0</v>
      </c>
      <c r="CO14" s="17">
        <v>0.156</v>
      </c>
      <c r="CP14" s="17">
        <v>0</v>
      </c>
      <c r="CQ14" s="17">
        <v>6.0000000000000001E-3</v>
      </c>
      <c r="CR14" s="17">
        <v>0</v>
      </c>
      <c r="CS14" s="17">
        <v>0</v>
      </c>
      <c r="CT14" s="17">
        <v>0</v>
      </c>
      <c r="CU14" s="17">
        <v>0</v>
      </c>
      <c r="CV14" s="17">
        <v>3.4000000000000002E-2</v>
      </c>
      <c r="CW14" s="17">
        <v>7.6999999999999999E-2</v>
      </c>
      <c r="CX14" s="17">
        <v>0</v>
      </c>
      <c r="CY14" s="17">
        <v>0</v>
      </c>
      <c r="CZ14" s="17">
        <v>1.7999999999999999E-2</v>
      </c>
      <c r="DA14" s="17">
        <v>0</v>
      </c>
      <c r="DB14" s="17">
        <v>0</v>
      </c>
      <c r="DC14" s="17">
        <v>0</v>
      </c>
      <c r="DD14" s="17">
        <v>0</v>
      </c>
      <c r="DE14" s="17">
        <v>0</v>
      </c>
      <c r="DF14" s="17">
        <v>8.8999999999999996E-2</v>
      </c>
      <c r="DG14" s="17">
        <v>0</v>
      </c>
      <c r="DH14" s="17">
        <v>0</v>
      </c>
      <c r="DI14" s="17">
        <v>0</v>
      </c>
      <c r="DJ14" s="17">
        <v>0</v>
      </c>
      <c r="DK14" s="17">
        <v>0</v>
      </c>
      <c r="DL14" s="17">
        <v>6.3E-2</v>
      </c>
      <c r="DM14" s="17">
        <v>4.2000000000000003E-2</v>
      </c>
      <c r="DN14" s="17">
        <v>0</v>
      </c>
      <c r="DO14" s="17">
        <v>3.1E-2</v>
      </c>
      <c r="DP14" s="17">
        <v>0</v>
      </c>
      <c r="DQ14" s="17">
        <v>0</v>
      </c>
      <c r="DR14" s="17">
        <v>0.06</v>
      </c>
      <c r="DS14" s="17">
        <v>1.7999999999999999E-2</v>
      </c>
      <c r="DT14" s="17">
        <v>0</v>
      </c>
      <c r="DU14" s="17">
        <v>4.2999999999999997E-2</v>
      </c>
      <c r="DV14" s="17">
        <v>0</v>
      </c>
      <c r="DW14" s="17">
        <v>0</v>
      </c>
      <c r="DX14" s="17">
        <v>0</v>
      </c>
      <c r="DY14" s="17">
        <v>0</v>
      </c>
      <c r="DZ14" s="17">
        <v>7.3999999999999996E-2</v>
      </c>
      <c r="EA14" s="17">
        <v>0</v>
      </c>
      <c r="EB14" s="17">
        <v>0</v>
      </c>
      <c r="EC14" s="17">
        <v>9.2999999999999999E-2</v>
      </c>
      <c r="ED14" s="17">
        <v>0</v>
      </c>
      <c r="EE14" s="17">
        <v>0.217</v>
      </c>
      <c r="EF14" s="17">
        <v>0</v>
      </c>
      <c r="EG14" s="17">
        <v>0</v>
      </c>
      <c r="EH14" s="17">
        <v>0</v>
      </c>
      <c r="EI14" s="17">
        <v>2.4E-2</v>
      </c>
      <c r="EJ14" s="17">
        <v>0</v>
      </c>
      <c r="EK14" s="17">
        <v>1.0999999999999999E-2</v>
      </c>
      <c r="EL14" s="17">
        <v>0</v>
      </c>
      <c r="EM14" s="17">
        <v>0</v>
      </c>
      <c r="EN14" s="17">
        <v>1.7999999999999999E-2</v>
      </c>
      <c r="EO14" s="17">
        <v>0</v>
      </c>
      <c r="EP14" s="17">
        <v>0</v>
      </c>
      <c r="EQ14" s="17">
        <v>0</v>
      </c>
      <c r="ER14" s="17">
        <v>0</v>
      </c>
      <c r="ES14" s="17">
        <v>0</v>
      </c>
      <c r="ET14" s="17">
        <v>0</v>
      </c>
      <c r="EU14" s="17">
        <v>3.7999999999999999E-2</v>
      </c>
      <c r="EV14" s="17">
        <v>0.151</v>
      </c>
      <c r="EW14" s="17">
        <v>0</v>
      </c>
      <c r="EX14" s="17">
        <v>0</v>
      </c>
      <c r="EY14" s="17">
        <v>0</v>
      </c>
      <c r="EZ14" s="17">
        <v>0</v>
      </c>
      <c r="FA14" s="17">
        <v>0</v>
      </c>
      <c r="FB14" s="17">
        <v>0</v>
      </c>
      <c r="FC14" s="17">
        <v>2.5999999999999999E-2</v>
      </c>
      <c r="FD14" s="17">
        <v>0</v>
      </c>
      <c r="FE14" s="17">
        <v>0</v>
      </c>
      <c r="FF14" s="17">
        <v>0</v>
      </c>
      <c r="FG14" s="17">
        <v>0</v>
      </c>
      <c r="FH14" s="17">
        <v>0</v>
      </c>
      <c r="FI14" s="17">
        <v>0</v>
      </c>
      <c r="FJ14" s="17">
        <v>0</v>
      </c>
      <c r="FK14" s="17">
        <v>5.2999999999999999E-2</v>
      </c>
      <c r="FL14" s="17">
        <v>0</v>
      </c>
      <c r="FM14" s="17">
        <v>4.9000000000000002E-2</v>
      </c>
      <c r="FN14" s="17">
        <v>0</v>
      </c>
      <c r="FO14" s="17">
        <v>0</v>
      </c>
      <c r="FP14" s="17">
        <v>0</v>
      </c>
      <c r="FQ14" s="17">
        <v>0</v>
      </c>
      <c r="FR14" s="17">
        <v>0</v>
      </c>
      <c r="FS14" s="17">
        <v>0</v>
      </c>
      <c r="FT14" s="17">
        <v>0</v>
      </c>
      <c r="FU14" s="17">
        <v>0</v>
      </c>
      <c r="FV14" s="17">
        <v>0.18099999999999999</v>
      </c>
      <c r="FW14" s="17">
        <v>0</v>
      </c>
      <c r="FX14" s="17">
        <v>0</v>
      </c>
      <c r="FY14" s="17">
        <v>0</v>
      </c>
      <c r="FZ14" s="17">
        <v>0</v>
      </c>
      <c r="GA14" s="17">
        <v>0</v>
      </c>
      <c r="GB14" s="17">
        <v>0</v>
      </c>
      <c r="GC14" s="17">
        <v>0</v>
      </c>
      <c r="GD14" s="17">
        <v>0</v>
      </c>
      <c r="GE14" s="17">
        <v>0</v>
      </c>
      <c r="GF14" s="17">
        <v>6.4000000000000001E-2</v>
      </c>
      <c r="GG14" s="17">
        <v>0.122</v>
      </c>
      <c r="GH14" s="17">
        <v>0</v>
      </c>
      <c r="GI14" s="17">
        <v>0</v>
      </c>
      <c r="GJ14" s="17">
        <v>0</v>
      </c>
      <c r="GK14" s="17">
        <v>0</v>
      </c>
      <c r="GL14" s="17">
        <v>0.21199999999999999</v>
      </c>
      <c r="GM14" s="17">
        <v>0.17399999999999999</v>
      </c>
      <c r="GN14" s="17">
        <v>0</v>
      </c>
      <c r="GO14" s="17">
        <v>0</v>
      </c>
      <c r="GP14" s="17">
        <v>0</v>
      </c>
      <c r="GQ14" s="17">
        <v>0</v>
      </c>
      <c r="GR14" s="17">
        <v>0</v>
      </c>
      <c r="GS14" s="17">
        <v>0.1</v>
      </c>
      <c r="GT14" s="17">
        <v>0</v>
      </c>
      <c r="GU14" s="17">
        <v>0</v>
      </c>
      <c r="GV14" s="17">
        <v>0</v>
      </c>
      <c r="GW14" s="17">
        <v>0</v>
      </c>
      <c r="GX14" s="17">
        <v>0</v>
      </c>
      <c r="GY14" s="17">
        <v>0</v>
      </c>
      <c r="GZ14" s="17">
        <v>0</v>
      </c>
      <c r="HA14" s="17">
        <v>0</v>
      </c>
      <c r="HB14" s="17">
        <v>5.6000000000000001E-2</v>
      </c>
      <c r="HC14" s="17">
        <v>0.123</v>
      </c>
      <c r="HD14" s="17">
        <v>2E-3</v>
      </c>
      <c r="HE14" s="17">
        <v>0</v>
      </c>
      <c r="HF14" s="17">
        <v>0</v>
      </c>
      <c r="HG14" s="17">
        <v>0</v>
      </c>
      <c r="HH14" s="17">
        <v>0</v>
      </c>
    </row>
    <row r="15" spans="1:216" x14ac:dyDescent="0.25">
      <c r="A15" s="8">
        <v>11</v>
      </c>
      <c r="B15" s="8">
        <v>5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3.7999999999999999E-2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7">
        <v>0</v>
      </c>
      <c r="R15" s="17">
        <v>0</v>
      </c>
      <c r="S15" s="17">
        <v>0</v>
      </c>
      <c r="T15" s="17">
        <v>4.3999999999999997E-2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7">
        <v>0</v>
      </c>
      <c r="AA15" s="17">
        <v>0</v>
      </c>
      <c r="AB15" s="17">
        <v>0</v>
      </c>
      <c r="AC15" s="17">
        <v>0</v>
      </c>
      <c r="AD15" s="17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7">
        <v>0</v>
      </c>
      <c r="AP15" s="17">
        <v>0</v>
      </c>
      <c r="AQ15" s="17">
        <v>0</v>
      </c>
      <c r="AR15" s="17">
        <v>0</v>
      </c>
      <c r="AS15" s="17">
        <v>0</v>
      </c>
      <c r="AT15" s="17">
        <v>0</v>
      </c>
      <c r="AU15" s="17">
        <v>0</v>
      </c>
      <c r="AV15" s="17">
        <v>0</v>
      </c>
      <c r="AW15" s="17">
        <v>0</v>
      </c>
      <c r="AX15" s="17">
        <v>0</v>
      </c>
      <c r="AY15" s="17">
        <v>0</v>
      </c>
      <c r="AZ15" s="17">
        <v>0</v>
      </c>
      <c r="BA15" s="17">
        <v>0</v>
      </c>
      <c r="BB15" s="17">
        <v>0</v>
      </c>
      <c r="BC15" s="17">
        <v>0.153</v>
      </c>
      <c r="BD15" s="17">
        <v>0</v>
      </c>
      <c r="BE15" s="17">
        <v>0</v>
      </c>
      <c r="BF15" s="17">
        <v>0</v>
      </c>
      <c r="BG15" s="17">
        <v>0</v>
      </c>
      <c r="BH15" s="17">
        <v>0</v>
      </c>
      <c r="BI15" s="17">
        <v>0</v>
      </c>
      <c r="BJ15" s="17">
        <v>0</v>
      </c>
      <c r="BK15" s="17">
        <v>0</v>
      </c>
      <c r="BL15" s="17">
        <v>0</v>
      </c>
      <c r="BM15" s="17">
        <v>0</v>
      </c>
      <c r="BN15" s="17">
        <v>0</v>
      </c>
      <c r="BO15" s="17">
        <v>0</v>
      </c>
      <c r="BP15" s="17">
        <v>0.1</v>
      </c>
      <c r="BQ15" s="17">
        <v>0</v>
      </c>
      <c r="BR15" s="17">
        <v>0</v>
      </c>
      <c r="BS15" s="17">
        <v>0</v>
      </c>
      <c r="BT15" s="17">
        <v>0</v>
      </c>
      <c r="BU15" s="17">
        <v>0</v>
      </c>
      <c r="BV15" s="17">
        <v>0</v>
      </c>
      <c r="BW15" s="17">
        <v>0</v>
      </c>
      <c r="BX15" s="17">
        <v>0</v>
      </c>
      <c r="BY15" s="17">
        <v>0</v>
      </c>
      <c r="BZ15" s="17">
        <v>0</v>
      </c>
      <c r="CA15" s="17">
        <v>0</v>
      </c>
      <c r="CB15" s="17">
        <v>0</v>
      </c>
      <c r="CC15" s="17">
        <v>0</v>
      </c>
      <c r="CD15" s="17">
        <v>0</v>
      </c>
      <c r="CE15" s="17">
        <v>0</v>
      </c>
      <c r="CF15" s="17">
        <v>0</v>
      </c>
      <c r="CG15" s="17">
        <v>0</v>
      </c>
      <c r="CH15" s="17">
        <v>0</v>
      </c>
      <c r="CI15" s="17">
        <v>0</v>
      </c>
      <c r="CJ15" s="17">
        <v>0</v>
      </c>
      <c r="CK15" s="17">
        <v>0</v>
      </c>
      <c r="CL15" s="17">
        <v>0</v>
      </c>
      <c r="CM15" s="17">
        <v>0</v>
      </c>
      <c r="CN15" s="17">
        <v>0</v>
      </c>
      <c r="CO15" s="17">
        <v>9.2999999999999999E-2</v>
      </c>
      <c r="CP15" s="17">
        <v>0</v>
      </c>
      <c r="CQ15" s="17">
        <v>0</v>
      </c>
      <c r="CR15" s="17">
        <v>1.6E-2</v>
      </c>
      <c r="CS15" s="17">
        <v>0</v>
      </c>
      <c r="CT15" s="17">
        <v>0</v>
      </c>
      <c r="CU15" s="17">
        <v>0</v>
      </c>
      <c r="CV15" s="17">
        <v>0</v>
      </c>
      <c r="CW15" s="17">
        <v>0</v>
      </c>
      <c r="CX15" s="17">
        <v>0</v>
      </c>
      <c r="CY15" s="17">
        <v>0</v>
      </c>
      <c r="CZ15" s="17">
        <v>0</v>
      </c>
      <c r="DA15" s="17">
        <v>0</v>
      </c>
      <c r="DB15" s="17">
        <v>0</v>
      </c>
      <c r="DC15" s="17">
        <v>0</v>
      </c>
      <c r="DD15" s="17">
        <v>8.8999999999999996E-2</v>
      </c>
      <c r="DE15" s="17">
        <v>0</v>
      </c>
      <c r="DF15" s="17">
        <v>3.7999999999999999E-2</v>
      </c>
      <c r="DG15" s="17">
        <v>0</v>
      </c>
      <c r="DH15" s="17">
        <v>0</v>
      </c>
      <c r="DI15" s="17">
        <v>0</v>
      </c>
      <c r="DJ15" s="17">
        <v>0</v>
      </c>
      <c r="DK15" s="17">
        <v>0</v>
      </c>
      <c r="DL15" s="17">
        <v>0</v>
      </c>
      <c r="DM15" s="17">
        <v>0</v>
      </c>
      <c r="DN15" s="17">
        <v>0</v>
      </c>
      <c r="DO15" s="17">
        <v>0</v>
      </c>
      <c r="DP15" s="17">
        <v>0</v>
      </c>
      <c r="DQ15" s="17">
        <v>0</v>
      </c>
      <c r="DR15" s="17">
        <v>0</v>
      </c>
      <c r="DS15" s="17">
        <v>0</v>
      </c>
      <c r="DT15" s="17">
        <v>0</v>
      </c>
      <c r="DU15" s="17">
        <v>0.35799999999999998</v>
      </c>
      <c r="DV15" s="17">
        <v>1.4E-2</v>
      </c>
      <c r="DW15" s="17">
        <v>0</v>
      </c>
      <c r="DX15" s="17">
        <v>0</v>
      </c>
      <c r="DY15" s="17">
        <v>0</v>
      </c>
      <c r="DZ15" s="17">
        <v>0.192</v>
      </c>
      <c r="EA15" s="17">
        <v>0</v>
      </c>
      <c r="EB15" s="17">
        <v>0</v>
      </c>
      <c r="EC15" s="17">
        <v>0</v>
      </c>
      <c r="ED15" s="17">
        <v>0</v>
      </c>
      <c r="EE15" s="17">
        <v>0</v>
      </c>
      <c r="EF15" s="17">
        <v>0</v>
      </c>
      <c r="EG15" s="17">
        <v>0</v>
      </c>
      <c r="EH15" s="17">
        <v>0</v>
      </c>
      <c r="EI15" s="17">
        <v>0</v>
      </c>
      <c r="EJ15" s="17">
        <v>0</v>
      </c>
      <c r="EK15" s="17">
        <v>0</v>
      </c>
      <c r="EL15" s="17">
        <v>0</v>
      </c>
      <c r="EM15" s="17">
        <v>0</v>
      </c>
      <c r="EN15" s="17">
        <v>0</v>
      </c>
      <c r="EO15" s="17">
        <v>0</v>
      </c>
      <c r="EP15" s="17">
        <v>0</v>
      </c>
      <c r="EQ15" s="17">
        <v>0</v>
      </c>
      <c r="ER15" s="17">
        <v>0</v>
      </c>
      <c r="ES15" s="17">
        <v>0</v>
      </c>
      <c r="ET15" s="17">
        <v>0</v>
      </c>
      <c r="EU15" s="17">
        <v>0</v>
      </c>
      <c r="EV15" s="17">
        <v>0</v>
      </c>
      <c r="EW15" s="17">
        <v>0</v>
      </c>
      <c r="EX15" s="17">
        <v>0</v>
      </c>
      <c r="EY15" s="17">
        <v>0</v>
      </c>
      <c r="EZ15" s="17">
        <v>0</v>
      </c>
      <c r="FA15" s="17">
        <v>0</v>
      </c>
      <c r="FB15" s="17">
        <v>0</v>
      </c>
      <c r="FC15" s="17">
        <v>0</v>
      </c>
      <c r="FD15" s="17">
        <v>0</v>
      </c>
      <c r="FE15" s="17">
        <v>0</v>
      </c>
      <c r="FF15" s="17">
        <v>0</v>
      </c>
      <c r="FG15" s="17">
        <v>0</v>
      </c>
      <c r="FH15" s="17">
        <v>0</v>
      </c>
      <c r="FI15" s="17">
        <v>0</v>
      </c>
      <c r="FJ15" s="17">
        <v>0</v>
      </c>
      <c r="FK15" s="17">
        <v>0</v>
      </c>
      <c r="FL15" s="17">
        <v>0</v>
      </c>
      <c r="FM15" s="17">
        <v>0</v>
      </c>
      <c r="FN15" s="17">
        <v>0</v>
      </c>
      <c r="FO15" s="17">
        <v>0.13800000000000001</v>
      </c>
      <c r="FP15" s="17">
        <v>0</v>
      </c>
      <c r="FQ15" s="17">
        <v>0</v>
      </c>
      <c r="FR15" s="17">
        <v>0</v>
      </c>
      <c r="FS15" s="17">
        <v>9.1999999999999998E-2</v>
      </c>
      <c r="FT15" s="17">
        <v>0</v>
      </c>
      <c r="FU15" s="17">
        <v>0</v>
      </c>
      <c r="FV15" s="17">
        <v>6.5000000000000002E-2</v>
      </c>
      <c r="FW15" s="17">
        <v>0</v>
      </c>
      <c r="FX15" s="17">
        <v>0</v>
      </c>
      <c r="FY15" s="17">
        <v>0</v>
      </c>
      <c r="FZ15" s="17">
        <v>0</v>
      </c>
      <c r="GA15" s="17">
        <v>0</v>
      </c>
      <c r="GB15" s="17">
        <v>0</v>
      </c>
      <c r="GC15" s="17">
        <v>0</v>
      </c>
      <c r="GD15" s="17">
        <v>0</v>
      </c>
      <c r="GE15" s="17">
        <v>0</v>
      </c>
      <c r="GF15" s="17">
        <v>0</v>
      </c>
      <c r="GG15" s="17">
        <v>0</v>
      </c>
      <c r="GH15" s="17">
        <v>0</v>
      </c>
      <c r="GI15" s="17">
        <v>0</v>
      </c>
      <c r="GJ15" s="17">
        <v>0</v>
      </c>
      <c r="GK15" s="17">
        <v>0</v>
      </c>
      <c r="GL15" s="17">
        <v>0</v>
      </c>
      <c r="GM15" s="17">
        <v>0</v>
      </c>
      <c r="GN15" s="17">
        <v>0</v>
      </c>
      <c r="GO15" s="17">
        <v>0</v>
      </c>
      <c r="GP15" s="17">
        <v>0</v>
      </c>
      <c r="GQ15" s="17">
        <v>0</v>
      </c>
      <c r="GR15" s="17">
        <v>0</v>
      </c>
      <c r="GS15" s="17">
        <v>0</v>
      </c>
      <c r="GT15" s="17">
        <v>0</v>
      </c>
      <c r="GU15" s="17">
        <v>0</v>
      </c>
      <c r="GV15" s="17">
        <v>0</v>
      </c>
      <c r="GW15" s="17">
        <v>0</v>
      </c>
      <c r="GX15" s="17">
        <v>0</v>
      </c>
      <c r="GY15" s="17">
        <v>0</v>
      </c>
      <c r="GZ15" s="17">
        <v>0</v>
      </c>
      <c r="HA15" s="17">
        <v>0</v>
      </c>
      <c r="HB15" s="17">
        <v>0</v>
      </c>
      <c r="HC15" s="17">
        <v>0</v>
      </c>
      <c r="HD15" s="17">
        <v>0</v>
      </c>
      <c r="HE15" s="17">
        <v>0</v>
      </c>
      <c r="HF15" s="17">
        <v>0</v>
      </c>
      <c r="HG15" s="17">
        <v>0</v>
      </c>
      <c r="HH15" s="17">
        <v>0</v>
      </c>
    </row>
    <row r="16" spans="1:216" x14ac:dyDescent="0.25">
      <c r="A16" s="8">
        <v>12</v>
      </c>
      <c r="B16" s="8">
        <v>5.5</v>
      </c>
      <c r="C16" s="17">
        <v>0</v>
      </c>
      <c r="D16" s="17">
        <v>0</v>
      </c>
      <c r="E16" s="17">
        <v>0</v>
      </c>
      <c r="F16" s="17">
        <v>0</v>
      </c>
      <c r="G16" s="17">
        <v>0</v>
      </c>
      <c r="H16" s="17">
        <v>0</v>
      </c>
      <c r="I16" s="17">
        <v>0</v>
      </c>
      <c r="J16" s="17">
        <v>0</v>
      </c>
      <c r="K16" s="17">
        <v>0.153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8.0000000000000002E-3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7">
        <v>0</v>
      </c>
      <c r="AP16" s="17">
        <v>0</v>
      </c>
      <c r="AQ16" s="17">
        <v>0</v>
      </c>
      <c r="AR16" s="17">
        <v>0</v>
      </c>
      <c r="AS16" s="17">
        <v>0</v>
      </c>
      <c r="AT16" s="17">
        <v>0</v>
      </c>
      <c r="AU16" s="17">
        <v>0</v>
      </c>
      <c r="AV16" s="17">
        <v>0</v>
      </c>
      <c r="AW16" s="17">
        <v>0</v>
      </c>
      <c r="AX16" s="17">
        <v>0</v>
      </c>
      <c r="AY16" s="17">
        <v>0</v>
      </c>
      <c r="AZ16" s="17">
        <v>0</v>
      </c>
      <c r="BA16" s="17">
        <v>0</v>
      </c>
      <c r="BB16" s="17">
        <v>0</v>
      </c>
      <c r="BC16" s="17">
        <v>0</v>
      </c>
      <c r="BD16" s="17">
        <v>0</v>
      </c>
      <c r="BE16" s="17">
        <v>0</v>
      </c>
      <c r="BF16" s="17">
        <v>0</v>
      </c>
      <c r="BG16" s="17">
        <v>0</v>
      </c>
      <c r="BH16" s="17">
        <v>0</v>
      </c>
      <c r="BI16" s="17">
        <v>0</v>
      </c>
      <c r="BJ16" s="17">
        <v>0</v>
      </c>
      <c r="BK16" s="17">
        <v>0</v>
      </c>
      <c r="BL16" s="17">
        <v>0</v>
      </c>
      <c r="BM16" s="17">
        <v>0</v>
      </c>
      <c r="BN16" s="17">
        <v>0</v>
      </c>
      <c r="BO16" s="17">
        <v>0</v>
      </c>
      <c r="BP16" s="17">
        <v>0</v>
      </c>
      <c r="BQ16" s="17">
        <v>0</v>
      </c>
      <c r="BR16" s="17">
        <v>0</v>
      </c>
      <c r="BS16" s="17">
        <v>0</v>
      </c>
      <c r="BT16" s="17">
        <v>0</v>
      </c>
      <c r="BU16" s="17">
        <v>0</v>
      </c>
      <c r="BV16" s="17">
        <v>0</v>
      </c>
      <c r="BW16" s="17">
        <v>0</v>
      </c>
      <c r="BX16" s="17">
        <v>0</v>
      </c>
      <c r="BY16" s="17">
        <v>0</v>
      </c>
      <c r="BZ16" s="17">
        <v>0</v>
      </c>
      <c r="CA16" s="17">
        <v>0</v>
      </c>
      <c r="CB16" s="17">
        <v>0</v>
      </c>
      <c r="CC16" s="17">
        <v>0</v>
      </c>
      <c r="CD16" s="17">
        <v>0</v>
      </c>
      <c r="CE16" s="17">
        <v>0</v>
      </c>
      <c r="CF16" s="17">
        <v>0</v>
      </c>
      <c r="CG16" s="17">
        <v>0</v>
      </c>
      <c r="CH16" s="17">
        <v>0</v>
      </c>
      <c r="CI16" s="17">
        <v>0</v>
      </c>
      <c r="CJ16" s="17">
        <v>0</v>
      </c>
      <c r="CK16" s="17">
        <v>0</v>
      </c>
      <c r="CL16" s="17">
        <v>0</v>
      </c>
      <c r="CM16" s="17">
        <v>0</v>
      </c>
      <c r="CN16" s="17">
        <v>0</v>
      </c>
      <c r="CO16" s="17">
        <v>0</v>
      </c>
      <c r="CP16" s="17">
        <v>0</v>
      </c>
      <c r="CQ16" s="17">
        <v>0</v>
      </c>
      <c r="CR16" s="17">
        <v>0</v>
      </c>
      <c r="CS16" s="17">
        <v>0</v>
      </c>
      <c r="CT16" s="17">
        <v>0</v>
      </c>
      <c r="CU16" s="17">
        <v>0</v>
      </c>
      <c r="CV16" s="17">
        <v>0</v>
      </c>
      <c r="CW16" s="17">
        <v>0</v>
      </c>
      <c r="CX16" s="17">
        <v>0</v>
      </c>
      <c r="CY16" s="17">
        <v>0</v>
      </c>
      <c r="CZ16" s="17">
        <v>0</v>
      </c>
      <c r="DA16" s="17">
        <v>0</v>
      </c>
      <c r="DB16" s="17">
        <v>0</v>
      </c>
      <c r="DC16" s="17">
        <v>0</v>
      </c>
      <c r="DD16" s="17">
        <v>0</v>
      </c>
      <c r="DE16" s="17">
        <v>0</v>
      </c>
      <c r="DF16" s="17">
        <v>0</v>
      </c>
      <c r="DG16" s="17">
        <v>0</v>
      </c>
      <c r="DH16" s="17">
        <v>0</v>
      </c>
      <c r="DI16" s="17">
        <v>0</v>
      </c>
      <c r="DJ16" s="17">
        <v>0</v>
      </c>
      <c r="DK16" s="17">
        <v>0</v>
      </c>
      <c r="DL16" s="17">
        <v>0</v>
      </c>
      <c r="DM16" s="17">
        <v>0</v>
      </c>
      <c r="DN16" s="17">
        <v>0</v>
      </c>
      <c r="DO16" s="17">
        <v>0</v>
      </c>
      <c r="DP16" s="17">
        <v>0</v>
      </c>
      <c r="DQ16" s="17">
        <v>0</v>
      </c>
      <c r="DR16" s="17">
        <v>0</v>
      </c>
      <c r="DS16" s="17">
        <v>0</v>
      </c>
      <c r="DT16" s="17">
        <v>0</v>
      </c>
      <c r="DU16" s="17">
        <v>0</v>
      </c>
      <c r="DV16" s="17">
        <v>0</v>
      </c>
      <c r="DW16" s="17">
        <v>0</v>
      </c>
      <c r="DX16" s="17">
        <v>0</v>
      </c>
      <c r="DY16" s="17">
        <v>0</v>
      </c>
      <c r="DZ16" s="17">
        <v>0</v>
      </c>
      <c r="EA16" s="17">
        <v>0</v>
      </c>
      <c r="EB16" s="17">
        <v>0</v>
      </c>
      <c r="EC16" s="17">
        <v>0</v>
      </c>
      <c r="ED16" s="17">
        <v>0</v>
      </c>
      <c r="EE16" s="17">
        <v>0</v>
      </c>
      <c r="EF16" s="17">
        <v>0</v>
      </c>
      <c r="EG16" s="17">
        <v>0</v>
      </c>
      <c r="EH16" s="17">
        <v>0</v>
      </c>
      <c r="EI16" s="17">
        <v>0</v>
      </c>
      <c r="EJ16" s="17">
        <v>0</v>
      </c>
      <c r="EK16" s="17">
        <v>0</v>
      </c>
      <c r="EL16" s="17">
        <v>0</v>
      </c>
      <c r="EM16" s="17">
        <v>0</v>
      </c>
      <c r="EN16" s="17">
        <v>0</v>
      </c>
      <c r="EO16" s="17">
        <v>0</v>
      </c>
      <c r="EP16" s="17">
        <v>0</v>
      </c>
      <c r="EQ16" s="17">
        <v>0</v>
      </c>
      <c r="ER16" s="17">
        <v>0</v>
      </c>
      <c r="ES16" s="17">
        <v>0</v>
      </c>
      <c r="ET16" s="17">
        <v>0</v>
      </c>
      <c r="EU16" s="17">
        <v>0</v>
      </c>
      <c r="EV16" s="17">
        <v>0</v>
      </c>
      <c r="EW16" s="17">
        <v>0</v>
      </c>
      <c r="EX16" s="17">
        <v>0</v>
      </c>
      <c r="EY16" s="17">
        <v>0</v>
      </c>
      <c r="EZ16" s="17">
        <v>0</v>
      </c>
      <c r="FA16" s="17">
        <v>0</v>
      </c>
      <c r="FB16" s="17">
        <v>0</v>
      </c>
      <c r="FC16" s="17">
        <v>0</v>
      </c>
      <c r="FD16" s="17">
        <v>0</v>
      </c>
      <c r="FE16" s="17">
        <v>0</v>
      </c>
      <c r="FF16" s="17">
        <v>0</v>
      </c>
      <c r="FG16" s="17">
        <v>0</v>
      </c>
      <c r="FH16" s="17">
        <v>0</v>
      </c>
      <c r="FI16" s="17">
        <v>0</v>
      </c>
      <c r="FJ16" s="17">
        <v>0</v>
      </c>
      <c r="FK16" s="17">
        <v>0</v>
      </c>
      <c r="FL16" s="17">
        <v>0</v>
      </c>
      <c r="FM16" s="17">
        <v>0</v>
      </c>
      <c r="FN16" s="17">
        <v>0</v>
      </c>
      <c r="FO16" s="17">
        <v>0.156</v>
      </c>
      <c r="FP16" s="17">
        <v>0</v>
      </c>
      <c r="FQ16" s="17">
        <v>0</v>
      </c>
      <c r="FR16" s="17">
        <v>0</v>
      </c>
      <c r="FS16" s="17">
        <v>0</v>
      </c>
      <c r="FT16" s="17">
        <v>0</v>
      </c>
      <c r="FU16" s="17">
        <v>0</v>
      </c>
      <c r="FV16" s="17">
        <v>0</v>
      </c>
      <c r="FW16" s="17">
        <v>0</v>
      </c>
      <c r="FX16" s="17">
        <v>0</v>
      </c>
      <c r="FY16" s="17">
        <v>0</v>
      </c>
      <c r="FZ16" s="17">
        <v>0</v>
      </c>
      <c r="GA16" s="17">
        <v>0</v>
      </c>
      <c r="GB16" s="17">
        <v>0</v>
      </c>
      <c r="GC16" s="17">
        <v>0</v>
      </c>
      <c r="GD16" s="17">
        <v>0</v>
      </c>
      <c r="GE16" s="17">
        <v>0</v>
      </c>
      <c r="GF16" s="17">
        <v>0</v>
      </c>
      <c r="GG16" s="17">
        <v>0</v>
      </c>
      <c r="GH16" s="17">
        <v>0</v>
      </c>
      <c r="GI16" s="17">
        <v>0</v>
      </c>
      <c r="GJ16" s="17">
        <v>0</v>
      </c>
      <c r="GK16" s="17">
        <v>0</v>
      </c>
      <c r="GL16" s="17">
        <v>0</v>
      </c>
      <c r="GM16" s="17">
        <v>0</v>
      </c>
      <c r="GN16" s="17">
        <v>0</v>
      </c>
      <c r="GO16" s="17">
        <v>0</v>
      </c>
      <c r="GP16" s="17">
        <v>0</v>
      </c>
      <c r="GQ16" s="17">
        <v>0</v>
      </c>
      <c r="GR16" s="17">
        <v>0</v>
      </c>
      <c r="GS16" s="17">
        <v>0</v>
      </c>
      <c r="GT16" s="17">
        <v>0</v>
      </c>
      <c r="GU16" s="17">
        <v>0</v>
      </c>
      <c r="GV16" s="17">
        <v>0</v>
      </c>
      <c r="GW16" s="17">
        <v>0</v>
      </c>
      <c r="GX16" s="17">
        <v>0</v>
      </c>
      <c r="GY16" s="17">
        <v>0</v>
      </c>
      <c r="GZ16" s="17">
        <v>0</v>
      </c>
      <c r="HA16" s="17">
        <v>0</v>
      </c>
      <c r="HB16" s="17">
        <v>0</v>
      </c>
      <c r="HC16" s="17">
        <v>0</v>
      </c>
      <c r="HD16" s="17">
        <v>0</v>
      </c>
      <c r="HE16" s="17">
        <v>0</v>
      </c>
      <c r="HF16" s="17">
        <v>0</v>
      </c>
      <c r="HG16" s="17">
        <v>0</v>
      </c>
      <c r="HH16" s="17">
        <v>0</v>
      </c>
    </row>
    <row r="17" spans="1:216" x14ac:dyDescent="0.25">
      <c r="A17" s="8">
        <v>13</v>
      </c>
      <c r="B17" s="8">
        <v>6</v>
      </c>
      <c r="C17" s="17">
        <v>0</v>
      </c>
      <c r="D17" s="17">
        <v>0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7">
        <v>0</v>
      </c>
      <c r="AP17" s="17">
        <v>0</v>
      </c>
      <c r="AQ17" s="17">
        <v>0</v>
      </c>
      <c r="AR17" s="17">
        <v>0</v>
      </c>
      <c r="AS17" s="17">
        <v>0</v>
      </c>
      <c r="AT17" s="17">
        <v>0</v>
      </c>
      <c r="AU17" s="17">
        <v>0</v>
      </c>
      <c r="AV17" s="17">
        <v>0</v>
      </c>
      <c r="AW17" s="17">
        <v>0</v>
      </c>
      <c r="AX17" s="17">
        <v>0</v>
      </c>
      <c r="AY17" s="17">
        <v>0</v>
      </c>
      <c r="AZ17" s="17">
        <v>0</v>
      </c>
      <c r="BA17" s="17">
        <v>0</v>
      </c>
      <c r="BB17" s="17">
        <v>0</v>
      </c>
      <c r="BC17" s="17">
        <v>0</v>
      </c>
      <c r="BD17" s="17">
        <v>0</v>
      </c>
      <c r="BE17" s="17">
        <v>0</v>
      </c>
      <c r="BF17" s="17">
        <v>0</v>
      </c>
      <c r="BG17" s="17">
        <v>0</v>
      </c>
      <c r="BH17" s="17">
        <v>0</v>
      </c>
      <c r="BI17" s="17">
        <v>0</v>
      </c>
      <c r="BJ17" s="17">
        <v>0</v>
      </c>
      <c r="BK17" s="17">
        <v>0</v>
      </c>
      <c r="BL17" s="17">
        <v>0</v>
      </c>
      <c r="BM17" s="17">
        <v>0</v>
      </c>
      <c r="BN17" s="17">
        <v>0</v>
      </c>
      <c r="BO17" s="17">
        <v>0</v>
      </c>
      <c r="BP17" s="17">
        <v>0</v>
      </c>
      <c r="BQ17" s="17">
        <v>0</v>
      </c>
      <c r="BR17" s="17">
        <v>0</v>
      </c>
      <c r="BS17" s="17">
        <v>0</v>
      </c>
      <c r="BT17" s="17">
        <v>0</v>
      </c>
      <c r="BU17" s="17">
        <v>0</v>
      </c>
      <c r="BV17" s="17">
        <v>0</v>
      </c>
      <c r="BW17" s="17">
        <v>0</v>
      </c>
      <c r="BX17" s="17">
        <v>0</v>
      </c>
      <c r="BY17" s="17">
        <v>0</v>
      </c>
      <c r="BZ17" s="17">
        <v>0</v>
      </c>
      <c r="CA17" s="17">
        <v>0</v>
      </c>
      <c r="CB17" s="17">
        <v>0</v>
      </c>
      <c r="CC17" s="17">
        <v>0</v>
      </c>
      <c r="CD17" s="17">
        <v>0</v>
      </c>
      <c r="CE17" s="17">
        <v>0</v>
      </c>
      <c r="CF17" s="17">
        <v>0.73499999999999999</v>
      </c>
      <c r="CG17" s="17">
        <v>0</v>
      </c>
      <c r="CH17" s="17">
        <v>0</v>
      </c>
      <c r="CI17" s="17">
        <v>0</v>
      </c>
      <c r="CJ17" s="17">
        <v>0</v>
      </c>
      <c r="CK17" s="17">
        <v>0</v>
      </c>
      <c r="CL17" s="17">
        <v>0</v>
      </c>
      <c r="CM17" s="17">
        <v>0</v>
      </c>
      <c r="CN17" s="17">
        <v>0</v>
      </c>
      <c r="CO17" s="17">
        <v>0</v>
      </c>
      <c r="CP17" s="17">
        <v>0</v>
      </c>
      <c r="CQ17" s="17">
        <v>0</v>
      </c>
      <c r="CR17" s="17">
        <v>0</v>
      </c>
      <c r="CS17" s="17">
        <v>0</v>
      </c>
      <c r="CT17" s="17">
        <v>0.111</v>
      </c>
      <c r="CU17" s="17">
        <v>0</v>
      </c>
      <c r="CV17" s="17">
        <v>0</v>
      </c>
      <c r="CW17" s="17">
        <v>0</v>
      </c>
      <c r="CX17" s="17">
        <v>0</v>
      </c>
      <c r="CY17" s="17">
        <v>0</v>
      </c>
      <c r="CZ17" s="17">
        <v>0</v>
      </c>
      <c r="DA17" s="17">
        <v>0</v>
      </c>
      <c r="DB17" s="17">
        <v>0</v>
      </c>
      <c r="DC17" s="17">
        <v>0</v>
      </c>
      <c r="DD17" s="17">
        <v>0</v>
      </c>
      <c r="DE17" s="17">
        <v>0</v>
      </c>
      <c r="DF17" s="17">
        <v>0</v>
      </c>
      <c r="DG17" s="17">
        <v>0</v>
      </c>
      <c r="DH17" s="17">
        <v>0</v>
      </c>
      <c r="DI17" s="17">
        <v>0</v>
      </c>
      <c r="DJ17" s="17">
        <v>0</v>
      </c>
      <c r="DK17" s="17">
        <v>0</v>
      </c>
      <c r="DL17" s="17">
        <v>0</v>
      </c>
      <c r="DM17" s="17">
        <v>0</v>
      </c>
      <c r="DN17" s="17">
        <v>0</v>
      </c>
      <c r="DO17" s="17">
        <v>0</v>
      </c>
      <c r="DP17" s="17">
        <v>0</v>
      </c>
      <c r="DQ17" s="17">
        <v>0</v>
      </c>
      <c r="DR17" s="17">
        <v>0</v>
      </c>
      <c r="DS17" s="17">
        <v>0</v>
      </c>
      <c r="DT17" s="17">
        <v>0</v>
      </c>
      <c r="DU17" s="17">
        <v>0</v>
      </c>
      <c r="DV17" s="17">
        <v>0</v>
      </c>
      <c r="DW17" s="17">
        <v>0</v>
      </c>
      <c r="DX17" s="17">
        <v>0</v>
      </c>
      <c r="DY17" s="17">
        <v>0</v>
      </c>
      <c r="DZ17" s="17">
        <v>0</v>
      </c>
      <c r="EA17" s="17">
        <v>0</v>
      </c>
      <c r="EB17" s="17">
        <v>0</v>
      </c>
      <c r="EC17" s="17">
        <v>0</v>
      </c>
      <c r="ED17" s="17">
        <v>0</v>
      </c>
      <c r="EE17" s="17">
        <v>0</v>
      </c>
      <c r="EF17" s="17">
        <v>0</v>
      </c>
      <c r="EG17" s="17">
        <v>0</v>
      </c>
      <c r="EH17" s="17">
        <v>0</v>
      </c>
      <c r="EI17" s="17">
        <v>0</v>
      </c>
      <c r="EJ17" s="17">
        <v>0</v>
      </c>
      <c r="EK17" s="17">
        <v>0</v>
      </c>
      <c r="EL17" s="17">
        <v>0</v>
      </c>
      <c r="EM17" s="17">
        <v>0</v>
      </c>
      <c r="EN17" s="17">
        <v>0</v>
      </c>
      <c r="EO17" s="17">
        <v>0</v>
      </c>
      <c r="EP17" s="17">
        <v>0</v>
      </c>
      <c r="EQ17" s="17">
        <v>0</v>
      </c>
      <c r="ER17" s="17">
        <v>0</v>
      </c>
      <c r="ES17" s="17">
        <v>0</v>
      </c>
      <c r="ET17" s="17">
        <v>0</v>
      </c>
      <c r="EU17" s="17">
        <v>0</v>
      </c>
      <c r="EV17" s="17">
        <v>0</v>
      </c>
      <c r="EW17" s="17">
        <v>0</v>
      </c>
      <c r="EX17" s="17">
        <v>0</v>
      </c>
      <c r="EY17" s="17">
        <v>0</v>
      </c>
      <c r="EZ17" s="17">
        <v>0</v>
      </c>
      <c r="FA17" s="17">
        <v>0</v>
      </c>
      <c r="FB17" s="17">
        <v>0</v>
      </c>
      <c r="FC17" s="17">
        <v>0</v>
      </c>
      <c r="FD17" s="17">
        <v>0</v>
      </c>
      <c r="FE17" s="17">
        <v>0</v>
      </c>
      <c r="FF17" s="17">
        <v>0</v>
      </c>
      <c r="FG17" s="17">
        <v>0</v>
      </c>
      <c r="FH17" s="17">
        <v>0</v>
      </c>
      <c r="FI17" s="17">
        <v>0</v>
      </c>
      <c r="FJ17" s="17">
        <v>0</v>
      </c>
      <c r="FK17" s="17">
        <v>0</v>
      </c>
      <c r="FL17" s="17">
        <v>0</v>
      </c>
      <c r="FM17" s="17">
        <v>0</v>
      </c>
      <c r="FN17" s="17">
        <v>0</v>
      </c>
      <c r="FO17" s="17">
        <v>0</v>
      </c>
      <c r="FP17" s="17">
        <v>0</v>
      </c>
      <c r="FQ17" s="17">
        <v>0</v>
      </c>
      <c r="FR17" s="17">
        <v>0</v>
      </c>
      <c r="FS17" s="17">
        <v>0</v>
      </c>
      <c r="FT17" s="17">
        <v>0</v>
      </c>
      <c r="FU17" s="17">
        <v>0</v>
      </c>
      <c r="FV17" s="17">
        <v>0</v>
      </c>
      <c r="FW17" s="17">
        <v>0</v>
      </c>
      <c r="FX17" s="17">
        <v>0</v>
      </c>
      <c r="FY17" s="17">
        <v>0</v>
      </c>
      <c r="FZ17" s="17">
        <v>0</v>
      </c>
      <c r="GA17" s="17">
        <v>0</v>
      </c>
      <c r="GB17" s="17">
        <v>0</v>
      </c>
      <c r="GC17" s="17">
        <v>0</v>
      </c>
      <c r="GD17" s="17">
        <v>0</v>
      </c>
      <c r="GE17" s="17">
        <v>0</v>
      </c>
      <c r="GF17" s="17">
        <v>0</v>
      </c>
      <c r="GG17" s="17">
        <v>0</v>
      </c>
      <c r="GH17" s="17">
        <v>0</v>
      </c>
      <c r="GI17" s="17">
        <v>0</v>
      </c>
      <c r="GJ17" s="17">
        <v>0</v>
      </c>
      <c r="GK17" s="17">
        <v>0</v>
      </c>
      <c r="GL17" s="17">
        <v>0</v>
      </c>
      <c r="GM17" s="17">
        <v>0</v>
      </c>
      <c r="GN17" s="17">
        <v>0</v>
      </c>
      <c r="GO17" s="17">
        <v>0</v>
      </c>
      <c r="GP17" s="17">
        <v>0</v>
      </c>
      <c r="GQ17" s="17">
        <v>0</v>
      </c>
      <c r="GR17" s="17">
        <v>0</v>
      </c>
      <c r="GS17" s="17">
        <v>0</v>
      </c>
      <c r="GT17" s="17">
        <v>0</v>
      </c>
      <c r="GU17" s="17">
        <v>0</v>
      </c>
      <c r="GV17" s="17">
        <v>0</v>
      </c>
      <c r="GW17" s="17">
        <v>0</v>
      </c>
      <c r="GX17" s="17">
        <v>0</v>
      </c>
      <c r="GY17" s="17">
        <v>0</v>
      </c>
      <c r="GZ17" s="17">
        <v>0</v>
      </c>
      <c r="HA17" s="17">
        <v>0</v>
      </c>
      <c r="HB17" s="17">
        <v>0</v>
      </c>
      <c r="HC17" s="17">
        <v>0</v>
      </c>
      <c r="HD17" s="17">
        <v>0</v>
      </c>
      <c r="HE17" s="17">
        <v>0</v>
      </c>
      <c r="HF17" s="17">
        <v>0</v>
      </c>
      <c r="HG17" s="17">
        <v>0</v>
      </c>
      <c r="HH17" s="17">
        <v>0</v>
      </c>
    </row>
    <row r="18" spans="1:216" x14ac:dyDescent="0.25">
      <c r="A18" s="8">
        <v>14</v>
      </c>
      <c r="B18" s="8">
        <v>6.5</v>
      </c>
      <c r="C18" s="17">
        <v>0</v>
      </c>
      <c r="D18" s="17">
        <v>0</v>
      </c>
      <c r="E18" s="17">
        <v>0</v>
      </c>
      <c r="F18" s="17">
        <v>0</v>
      </c>
      <c r="G18" s="17">
        <v>0</v>
      </c>
      <c r="H18" s="17">
        <v>0</v>
      </c>
      <c r="I18" s="17">
        <v>0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0</v>
      </c>
      <c r="Q18" s="17">
        <v>0</v>
      </c>
      <c r="R18" s="17">
        <v>0</v>
      </c>
      <c r="S18" s="17">
        <v>0</v>
      </c>
      <c r="T18" s="17">
        <v>0</v>
      </c>
      <c r="U18" s="17">
        <v>0</v>
      </c>
      <c r="V18" s="17">
        <v>0</v>
      </c>
      <c r="W18" s="17">
        <v>0</v>
      </c>
      <c r="X18" s="17">
        <v>0</v>
      </c>
      <c r="Y18" s="17">
        <v>0</v>
      </c>
      <c r="Z18" s="17">
        <v>0</v>
      </c>
      <c r="AA18" s="17">
        <v>0</v>
      </c>
      <c r="AB18" s="17">
        <v>0</v>
      </c>
      <c r="AC18" s="17">
        <v>0</v>
      </c>
      <c r="AD18" s="17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7">
        <v>0</v>
      </c>
      <c r="AP18" s="17">
        <v>0</v>
      </c>
      <c r="AQ18" s="17">
        <v>0</v>
      </c>
      <c r="AR18" s="17">
        <v>0</v>
      </c>
      <c r="AS18" s="17">
        <v>0</v>
      </c>
      <c r="AT18" s="17">
        <v>0</v>
      </c>
      <c r="AU18" s="17">
        <v>0</v>
      </c>
      <c r="AV18" s="17">
        <v>0</v>
      </c>
      <c r="AW18" s="17">
        <v>0</v>
      </c>
      <c r="AX18" s="17">
        <v>0</v>
      </c>
      <c r="AY18" s="17">
        <v>0</v>
      </c>
      <c r="AZ18" s="17">
        <v>0</v>
      </c>
      <c r="BA18" s="17">
        <v>0</v>
      </c>
      <c r="BB18" s="17">
        <v>0</v>
      </c>
      <c r="BC18" s="17">
        <v>0</v>
      </c>
      <c r="BD18" s="17">
        <v>0</v>
      </c>
      <c r="BE18" s="17">
        <v>0</v>
      </c>
      <c r="BF18" s="17">
        <v>0</v>
      </c>
      <c r="BG18" s="17">
        <v>0</v>
      </c>
      <c r="BH18" s="17">
        <v>0</v>
      </c>
      <c r="BI18" s="17">
        <v>0</v>
      </c>
      <c r="BJ18" s="17">
        <v>0</v>
      </c>
      <c r="BK18" s="17">
        <v>0</v>
      </c>
      <c r="BL18" s="17">
        <v>0</v>
      </c>
      <c r="BM18" s="17">
        <v>0</v>
      </c>
      <c r="BN18" s="17">
        <v>0</v>
      </c>
      <c r="BO18" s="17">
        <v>0</v>
      </c>
      <c r="BP18" s="17">
        <v>0</v>
      </c>
      <c r="BQ18" s="17">
        <v>0</v>
      </c>
      <c r="BR18" s="17">
        <v>0</v>
      </c>
      <c r="BS18" s="17">
        <v>0</v>
      </c>
      <c r="BT18" s="17">
        <v>0</v>
      </c>
      <c r="BU18" s="17">
        <v>0</v>
      </c>
      <c r="BV18" s="17">
        <v>0</v>
      </c>
      <c r="BW18" s="17">
        <v>0</v>
      </c>
      <c r="BX18" s="17">
        <v>0</v>
      </c>
      <c r="BY18" s="17">
        <v>0</v>
      </c>
      <c r="BZ18" s="17">
        <v>0</v>
      </c>
      <c r="CA18" s="17">
        <v>0</v>
      </c>
      <c r="CB18" s="17">
        <v>0</v>
      </c>
      <c r="CC18" s="17">
        <v>0</v>
      </c>
      <c r="CD18" s="17">
        <v>0</v>
      </c>
      <c r="CE18" s="17">
        <v>0</v>
      </c>
      <c r="CF18" s="17">
        <v>0</v>
      </c>
      <c r="CG18" s="17">
        <v>0</v>
      </c>
      <c r="CH18" s="17">
        <v>0</v>
      </c>
      <c r="CI18" s="17">
        <v>0</v>
      </c>
      <c r="CJ18" s="17">
        <v>0</v>
      </c>
      <c r="CK18" s="17">
        <v>0</v>
      </c>
      <c r="CL18" s="17">
        <v>0</v>
      </c>
      <c r="CM18" s="17">
        <v>0</v>
      </c>
      <c r="CN18" s="17">
        <v>0</v>
      </c>
      <c r="CO18" s="17">
        <v>0</v>
      </c>
      <c r="CP18" s="17">
        <v>0</v>
      </c>
      <c r="CQ18" s="17">
        <v>0</v>
      </c>
      <c r="CR18" s="17">
        <v>0</v>
      </c>
      <c r="CS18" s="17">
        <v>0</v>
      </c>
      <c r="CT18" s="17">
        <v>0</v>
      </c>
      <c r="CU18" s="17">
        <v>0</v>
      </c>
      <c r="CV18" s="17">
        <v>0</v>
      </c>
      <c r="CW18" s="17">
        <v>0.57799999999999996</v>
      </c>
      <c r="CX18" s="17">
        <v>0</v>
      </c>
      <c r="CY18" s="17">
        <v>0</v>
      </c>
      <c r="CZ18" s="17">
        <v>0</v>
      </c>
      <c r="DA18" s="17">
        <v>0</v>
      </c>
      <c r="DB18" s="17">
        <v>0</v>
      </c>
      <c r="DC18" s="17">
        <v>0</v>
      </c>
      <c r="DD18" s="17">
        <v>0</v>
      </c>
      <c r="DE18" s="17">
        <v>0</v>
      </c>
      <c r="DF18" s="17">
        <v>0</v>
      </c>
      <c r="DG18" s="17">
        <v>0</v>
      </c>
      <c r="DH18" s="17">
        <v>0</v>
      </c>
      <c r="DI18" s="17">
        <v>0</v>
      </c>
      <c r="DJ18" s="17">
        <v>0</v>
      </c>
      <c r="DK18" s="17">
        <v>0</v>
      </c>
      <c r="DL18" s="17">
        <v>0</v>
      </c>
      <c r="DM18" s="17">
        <v>0</v>
      </c>
      <c r="DN18" s="17">
        <v>0</v>
      </c>
      <c r="DO18" s="17">
        <v>0</v>
      </c>
      <c r="DP18" s="17">
        <v>0</v>
      </c>
      <c r="DQ18" s="17">
        <v>0</v>
      </c>
      <c r="DR18" s="17">
        <v>0</v>
      </c>
      <c r="DS18" s="17">
        <v>0</v>
      </c>
      <c r="DT18" s="17">
        <v>0</v>
      </c>
      <c r="DU18" s="17">
        <v>0</v>
      </c>
      <c r="DV18" s="17">
        <v>0</v>
      </c>
      <c r="DW18" s="17">
        <v>0</v>
      </c>
      <c r="DX18" s="17">
        <v>0</v>
      </c>
      <c r="DY18" s="17">
        <v>0</v>
      </c>
      <c r="DZ18" s="17">
        <v>0</v>
      </c>
      <c r="EA18" s="17">
        <v>0</v>
      </c>
      <c r="EB18" s="17">
        <v>0</v>
      </c>
      <c r="EC18" s="17">
        <v>0</v>
      </c>
      <c r="ED18" s="17">
        <v>0</v>
      </c>
      <c r="EE18" s="17">
        <v>0</v>
      </c>
      <c r="EF18" s="17">
        <v>0</v>
      </c>
      <c r="EG18" s="17">
        <v>0</v>
      </c>
      <c r="EH18" s="17">
        <v>0</v>
      </c>
      <c r="EI18" s="17">
        <v>0</v>
      </c>
      <c r="EJ18" s="17">
        <v>0</v>
      </c>
      <c r="EK18" s="17">
        <v>0</v>
      </c>
      <c r="EL18" s="17">
        <v>0</v>
      </c>
      <c r="EM18" s="17">
        <v>0</v>
      </c>
      <c r="EN18" s="17">
        <v>0</v>
      </c>
      <c r="EO18" s="17">
        <v>0</v>
      </c>
      <c r="EP18" s="17">
        <v>0</v>
      </c>
      <c r="EQ18" s="17">
        <v>0</v>
      </c>
      <c r="ER18" s="17">
        <v>0</v>
      </c>
      <c r="ES18" s="17">
        <v>0</v>
      </c>
      <c r="ET18" s="17">
        <v>0</v>
      </c>
      <c r="EU18" s="17">
        <v>0</v>
      </c>
      <c r="EV18" s="17">
        <v>0</v>
      </c>
      <c r="EW18" s="17">
        <v>0</v>
      </c>
      <c r="EX18" s="17">
        <v>0</v>
      </c>
      <c r="EY18" s="17">
        <v>0</v>
      </c>
      <c r="EZ18" s="17">
        <v>0</v>
      </c>
      <c r="FA18" s="17">
        <v>0</v>
      </c>
      <c r="FB18" s="17">
        <v>0</v>
      </c>
      <c r="FC18" s="17">
        <v>0</v>
      </c>
      <c r="FD18" s="17">
        <v>0</v>
      </c>
      <c r="FE18" s="17">
        <v>0</v>
      </c>
      <c r="FF18" s="17">
        <v>0</v>
      </c>
      <c r="FG18" s="17">
        <v>0</v>
      </c>
      <c r="FH18" s="17">
        <v>0</v>
      </c>
      <c r="FI18" s="17">
        <v>0</v>
      </c>
      <c r="FJ18" s="17">
        <v>0</v>
      </c>
      <c r="FK18" s="17">
        <v>0</v>
      </c>
      <c r="FL18" s="17">
        <v>0</v>
      </c>
      <c r="FM18" s="17">
        <v>0</v>
      </c>
      <c r="FN18" s="17">
        <v>0</v>
      </c>
      <c r="FO18" s="17">
        <v>0.56599999999999995</v>
      </c>
      <c r="FP18" s="17">
        <v>0</v>
      </c>
      <c r="FQ18" s="17">
        <v>0</v>
      </c>
      <c r="FR18" s="17">
        <v>0</v>
      </c>
      <c r="FS18" s="17">
        <v>0</v>
      </c>
      <c r="FT18" s="17">
        <v>0</v>
      </c>
      <c r="FU18" s="17">
        <v>0</v>
      </c>
      <c r="FV18" s="17">
        <v>0</v>
      </c>
      <c r="FW18" s="17">
        <v>0</v>
      </c>
      <c r="FX18" s="17">
        <v>0</v>
      </c>
      <c r="FY18" s="17">
        <v>0</v>
      </c>
      <c r="FZ18" s="17">
        <v>0</v>
      </c>
      <c r="GA18" s="17">
        <v>0</v>
      </c>
      <c r="GB18" s="17">
        <v>0</v>
      </c>
      <c r="GC18" s="17">
        <v>0</v>
      </c>
      <c r="GD18" s="17">
        <v>0</v>
      </c>
      <c r="GE18" s="17">
        <v>0</v>
      </c>
      <c r="GF18" s="17">
        <v>0</v>
      </c>
      <c r="GG18" s="17">
        <v>0</v>
      </c>
      <c r="GH18" s="17">
        <v>0</v>
      </c>
      <c r="GI18" s="17">
        <v>0</v>
      </c>
      <c r="GJ18" s="17">
        <v>0</v>
      </c>
      <c r="GK18" s="17">
        <v>0</v>
      </c>
      <c r="GL18" s="17">
        <v>0</v>
      </c>
      <c r="GM18" s="17">
        <v>0</v>
      </c>
      <c r="GN18" s="17">
        <v>0</v>
      </c>
      <c r="GO18" s="17">
        <v>0</v>
      </c>
      <c r="GP18" s="17">
        <v>0</v>
      </c>
      <c r="GQ18" s="17">
        <v>0</v>
      </c>
      <c r="GR18" s="17">
        <v>0</v>
      </c>
      <c r="GS18" s="17">
        <v>0</v>
      </c>
      <c r="GT18" s="17">
        <v>0</v>
      </c>
      <c r="GU18" s="17">
        <v>0</v>
      </c>
      <c r="GV18" s="17">
        <v>0</v>
      </c>
      <c r="GW18" s="17">
        <v>0</v>
      </c>
      <c r="GX18" s="17">
        <v>0</v>
      </c>
      <c r="GY18" s="17">
        <v>0</v>
      </c>
      <c r="GZ18" s="17">
        <v>0</v>
      </c>
      <c r="HA18" s="17">
        <v>0</v>
      </c>
      <c r="HB18" s="17">
        <v>0</v>
      </c>
      <c r="HC18" s="17">
        <v>0</v>
      </c>
      <c r="HD18" s="17">
        <v>0</v>
      </c>
      <c r="HE18" s="17">
        <v>0</v>
      </c>
      <c r="HF18" s="17">
        <v>0</v>
      </c>
      <c r="HG18" s="17">
        <v>0</v>
      </c>
      <c r="HH18" s="17">
        <v>0</v>
      </c>
    </row>
    <row r="19" spans="1:216" x14ac:dyDescent="0.25">
      <c r="A19" s="8">
        <v>15</v>
      </c>
      <c r="B19" s="8">
        <v>7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7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7">
        <v>0</v>
      </c>
      <c r="AP19" s="17">
        <v>0</v>
      </c>
      <c r="AQ19" s="17">
        <v>0</v>
      </c>
      <c r="AR19" s="17">
        <v>0</v>
      </c>
      <c r="AS19" s="17">
        <v>0</v>
      </c>
      <c r="AT19" s="17">
        <v>0</v>
      </c>
      <c r="AU19" s="17">
        <v>0</v>
      </c>
      <c r="AV19" s="17">
        <v>0</v>
      </c>
      <c r="AW19" s="17">
        <v>0</v>
      </c>
      <c r="AX19" s="17">
        <v>0</v>
      </c>
      <c r="AY19" s="17">
        <v>0</v>
      </c>
      <c r="AZ19" s="17">
        <v>0</v>
      </c>
      <c r="BA19" s="17">
        <v>0</v>
      </c>
      <c r="BB19" s="17">
        <v>0</v>
      </c>
      <c r="BC19" s="17">
        <v>0</v>
      </c>
      <c r="BD19" s="17">
        <v>0</v>
      </c>
      <c r="BE19" s="17">
        <v>0</v>
      </c>
      <c r="BF19" s="17">
        <v>0</v>
      </c>
      <c r="BG19" s="17">
        <v>0</v>
      </c>
      <c r="BH19" s="17">
        <v>0</v>
      </c>
      <c r="BI19" s="17">
        <v>0</v>
      </c>
      <c r="BJ19" s="17">
        <v>0</v>
      </c>
      <c r="BK19" s="17">
        <v>0</v>
      </c>
      <c r="BL19" s="17">
        <v>0</v>
      </c>
      <c r="BM19" s="17">
        <v>0</v>
      </c>
      <c r="BN19" s="17">
        <v>0</v>
      </c>
      <c r="BO19" s="17">
        <v>0</v>
      </c>
      <c r="BP19" s="17">
        <v>0</v>
      </c>
      <c r="BQ19" s="17">
        <v>0</v>
      </c>
      <c r="BR19" s="17">
        <v>0</v>
      </c>
      <c r="BS19" s="17">
        <v>0</v>
      </c>
      <c r="BT19" s="17">
        <v>0</v>
      </c>
      <c r="BU19" s="17">
        <v>0</v>
      </c>
      <c r="BV19" s="17">
        <v>0</v>
      </c>
      <c r="BW19" s="17">
        <v>0</v>
      </c>
      <c r="BX19" s="17">
        <v>0</v>
      </c>
      <c r="BY19" s="17">
        <v>0</v>
      </c>
      <c r="BZ19" s="17">
        <v>0</v>
      </c>
      <c r="CA19" s="17">
        <v>0</v>
      </c>
      <c r="CB19" s="17">
        <v>0</v>
      </c>
      <c r="CC19" s="17">
        <v>0</v>
      </c>
      <c r="CD19" s="17">
        <v>0</v>
      </c>
      <c r="CE19" s="17">
        <v>0</v>
      </c>
      <c r="CF19" s="17">
        <v>0</v>
      </c>
      <c r="CG19" s="17">
        <v>0</v>
      </c>
      <c r="CH19" s="17">
        <v>0</v>
      </c>
      <c r="CI19" s="17">
        <v>0</v>
      </c>
      <c r="CJ19" s="17">
        <v>0</v>
      </c>
      <c r="CK19" s="17">
        <v>0</v>
      </c>
      <c r="CL19" s="17">
        <v>0</v>
      </c>
      <c r="CM19" s="17">
        <v>0</v>
      </c>
      <c r="CN19" s="17">
        <v>0</v>
      </c>
      <c r="CO19" s="17">
        <v>0</v>
      </c>
      <c r="CP19" s="17">
        <v>0</v>
      </c>
      <c r="CQ19" s="17">
        <v>0</v>
      </c>
      <c r="CR19" s="17">
        <v>0.99</v>
      </c>
      <c r="CS19" s="17">
        <v>0</v>
      </c>
      <c r="CT19" s="17">
        <v>0</v>
      </c>
      <c r="CU19" s="17">
        <v>0</v>
      </c>
      <c r="CV19" s="17">
        <v>0</v>
      </c>
      <c r="CW19" s="17">
        <v>0</v>
      </c>
      <c r="CX19" s="17">
        <v>0</v>
      </c>
      <c r="CY19" s="17">
        <v>0</v>
      </c>
      <c r="CZ19" s="17">
        <v>0</v>
      </c>
      <c r="DA19" s="17">
        <v>0</v>
      </c>
      <c r="DB19" s="17">
        <v>0</v>
      </c>
      <c r="DC19" s="17">
        <v>0</v>
      </c>
      <c r="DD19" s="17">
        <v>0</v>
      </c>
      <c r="DE19" s="17">
        <v>0</v>
      </c>
      <c r="DF19" s="17">
        <v>0</v>
      </c>
      <c r="DG19" s="17">
        <v>0</v>
      </c>
      <c r="DH19" s="17">
        <v>0</v>
      </c>
      <c r="DI19" s="17">
        <v>0</v>
      </c>
      <c r="DJ19" s="17">
        <v>0</v>
      </c>
      <c r="DK19" s="17">
        <v>0</v>
      </c>
      <c r="DL19" s="17">
        <v>0</v>
      </c>
      <c r="DM19" s="17">
        <v>0</v>
      </c>
      <c r="DN19" s="17">
        <v>0</v>
      </c>
      <c r="DO19" s="17">
        <v>0</v>
      </c>
      <c r="DP19" s="17">
        <v>0</v>
      </c>
      <c r="DQ19" s="17">
        <v>0</v>
      </c>
      <c r="DR19" s="17">
        <v>0</v>
      </c>
      <c r="DS19" s="17">
        <v>0</v>
      </c>
      <c r="DT19" s="17">
        <v>0</v>
      </c>
      <c r="DU19" s="17">
        <v>0</v>
      </c>
      <c r="DV19" s="17">
        <v>0</v>
      </c>
      <c r="DW19" s="17">
        <v>0</v>
      </c>
      <c r="DX19" s="17">
        <v>0</v>
      </c>
      <c r="DY19" s="17">
        <v>0</v>
      </c>
      <c r="DZ19" s="17">
        <v>0</v>
      </c>
      <c r="EA19" s="17">
        <v>0</v>
      </c>
      <c r="EB19" s="17">
        <v>0</v>
      </c>
      <c r="EC19" s="17">
        <v>0</v>
      </c>
      <c r="ED19" s="17">
        <v>0</v>
      </c>
      <c r="EE19" s="17">
        <v>0</v>
      </c>
      <c r="EF19" s="17">
        <v>0</v>
      </c>
      <c r="EG19" s="17">
        <v>0</v>
      </c>
      <c r="EH19" s="17">
        <v>0</v>
      </c>
      <c r="EI19" s="17">
        <v>0</v>
      </c>
      <c r="EJ19" s="17">
        <v>0</v>
      </c>
      <c r="EK19" s="17">
        <v>0</v>
      </c>
      <c r="EL19" s="17">
        <v>0</v>
      </c>
      <c r="EM19" s="17">
        <v>0</v>
      </c>
      <c r="EN19" s="17">
        <v>0</v>
      </c>
      <c r="EO19" s="17">
        <v>0</v>
      </c>
      <c r="EP19" s="17">
        <v>0</v>
      </c>
      <c r="EQ19" s="17">
        <v>0</v>
      </c>
      <c r="ER19" s="17">
        <v>0</v>
      </c>
      <c r="ES19" s="17">
        <v>0</v>
      </c>
      <c r="ET19" s="17">
        <v>0</v>
      </c>
      <c r="EU19" s="17">
        <v>0</v>
      </c>
      <c r="EV19" s="17">
        <v>0</v>
      </c>
      <c r="EW19" s="17">
        <v>0</v>
      </c>
      <c r="EX19" s="17">
        <v>0</v>
      </c>
      <c r="EY19" s="17">
        <v>0</v>
      </c>
      <c r="EZ19" s="17">
        <v>0</v>
      </c>
      <c r="FA19" s="17">
        <v>0</v>
      </c>
      <c r="FB19" s="17">
        <v>0</v>
      </c>
      <c r="FC19" s="17">
        <v>0</v>
      </c>
      <c r="FD19" s="17">
        <v>0</v>
      </c>
      <c r="FE19" s="17">
        <v>0</v>
      </c>
      <c r="FF19" s="17">
        <v>0</v>
      </c>
      <c r="FG19" s="17">
        <v>0</v>
      </c>
      <c r="FH19" s="17">
        <v>0</v>
      </c>
      <c r="FI19" s="17">
        <v>0</v>
      </c>
      <c r="FJ19" s="17">
        <v>0</v>
      </c>
      <c r="FK19" s="17">
        <v>0</v>
      </c>
      <c r="FL19" s="17">
        <v>0</v>
      </c>
      <c r="FM19" s="17">
        <v>0</v>
      </c>
      <c r="FN19" s="17">
        <v>0</v>
      </c>
      <c r="FO19" s="17">
        <v>0</v>
      </c>
      <c r="FP19" s="17">
        <v>0</v>
      </c>
      <c r="FQ19" s="17">
        <v>0</v>
      </c>
      <c r="FR19" s="17">
        <v>0</v>
      </c>
      <c r="FS19" s="17">
        <v>0</v>
      </c>
      <c r="FT19" s="17">
        <v>0</v>
      </c>
      <c r="FU19" s="17">
        <v>0</v>
      </c>
      <c r="FV19" s="17">
        <v>0</v>
      </c>
      <c r="FW19" s="17">
        <v>0</v>
      </c>
      <c r="FX19" s="17">
        <v>0</v>
      </c>
      <c r="FY19" s="17">
        <v>0</v>
      </c>
      <c r="FZ19" s="17">
        <v>0</v>
      </c>
      <c r="GA19" s="17">
        <v>0</v>
      </c>
      <c r="GB19" s="17">
        <v>0</v>
      </c>
      <c r="GC19" s="17">
        <v>0</v>
      </c>
      <c r="GD19" s="17">
        <v>0</v>
      </c>
      <c r="GE19" s="17">
        <v>0</v>
      </c>
      <c r="GF19" s="17">
        <v>0</v>
      </c>
      <c r="GG19" s="17">
        <v>0</v>
      </c>
      <c r="GH19" s="17">
        <v>0</v>
      </c>
      <c r="GI19" s="17">
        <v>0</v>
      </c>
      <c r="GJ19" s="17">
        <v>0</v>
      </c>
      <c r="GK19" s="17">
        <v>0</v>
      </c>
      <c r="GL19" s="17">
        <v>0</v>
      </c>
      <c r="GM19" s="17">
        <v>0</v>
      </c>
      <c r="GN19" s="17">
        <v>0</v>
      </c>
      <c r="GO19" s="17">
        <v>0</v>
      </c>
      <c r="GP19" s="17">
        <v>0</v>
      </c>
      <c r="GQ19" s="17">
        <v>0</v>
      </c>
      <c r="GR19" s="17">
        <v>0</v>
      </c>
      <c r="GS19" s="17">
        <v>0</v>
      </c>
      <c r="GT19" s="17">
        <v>0</v>
      </c>
      <c r="GU19" s="17">
        <v>0</v>
      </c>
      <c r="GV19" s="17">
        <v>0</v>
      </c>
      <c r="GW19" s="17">
        <v>0</v>
      </c>
      <c r="GX19" s="17">
        <v>0</v>
      </c>
      <c r="GY19" s="17">
        <v>0</v>
      </c>
      <c r="GZ19" s="17">
        <v>0</v>
      </c>
      <c r="HA19" s="17">
        <v>0</v>
      </c>
      <c r="HB19" s="17">
        <v>0</v>
      </c>
      <c r="HC19" s="17">
        <v>0</v>
      </c>
      <c r="HD19" s="17">
        <v>0</v>
      </c>
      <c r="HE19" s="17">
        <v>0</v>
      </c>
      <c r="HF19" s="17">
        <v>0</v>
      </c>
      <c r="HG19" s="17">
        <v>0</v>
      </c>
      <c r="HH19" s="17">
        <v>0</v>
      </c>
    </row>
    <row r="20" spans="1:216" x14ac:dyDescent="0.25">
      <c r="A20" s="8">
        <v>16</v>
      </c>
      <c r="B20" s="8">
        <v>7.5</v>
      </c>
      <c r="C20" s="17">
        <v>0</v>
      </c>
      <c r="D20" s="17">
        <v>0</v>
      </c>
      <c r="E20" s="17">
        <v>0</v>
      </c>
      <c r="F20" s="17">
        <v>0</v>
      </c>
      <c r="G20" s="17">
        <v>0</v>
      </c>
      <c r="H20" s="17">
        <v>0</v>
      </c>
      <c r="I20" s="17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7">
        <v>0</v>
      </c>
      <c r="AP20" s="17">
        <v>0</v>
      </c>
      <c r="AQ20" s="17">
        <v>0</v>
      </c>
      <c r="AR20" s="17">
        <v>0</v>
      </c>
      <c r="AS20" s="17">
        <v>0</v>
      </c>
      <c r="AT20" s="17">
        <v>0</v>
      </c>
      <c r="AU20" s="17">
        <v>0</v>
      </c>
      <c r="AV20" s="17">
        <v>0</v>
      </c>
      <c r="AW20" s="17">
        <v>0</v>
      </c>
      <c r="AX20" s="17">
        <v>0.159</v>
      </c>
      <c r="AY20" s="17">
        <v>0</v>
      </c>
      <c r="AZ20" s="17">
        <v>0</v>
      </c>
      <c r="BA20" s="17">
        <v>6.0999999999999999E-2</v>
      </c>
      <c r="BB20" s="17">
        <v>0</v>
      </c>
      <c r="BC20" s="17">
        <v>0</v>
      </c>
      <c r="BD20" s="17">
        <v>0</v>
      </c>
      <c r="BE20" s="17">
        <v>0</v>
      </c>
      <c r="BF20" s="17">
        <v>0</v>
      </c>
      <c r="BG20" s="17">
        <v>0</v>
      </c>
      <c r="BH20" s="17">
        <v>0</v>
      </c>
      <c r="BI20" s="17">
        <v>0</v>
      </c>
      <c r="BJ20" s="17">
        <v>0</v>
      </c>
      <c r="BK20" s="17">
        <v>0</v>
      </c>
      <c r="BL20" s="17">
        <v>0.19</v>
      </c>
      <c r="BM20" s="17">
        <v>0</v>
      </c>
      <c r="BN20" s="17">
        <v>0</v>
      </c>
      <c r="BO20" s="17">
        <v>0</v>
      </c>
      <c r="BP20" s="17">
        <v>0</v>
      </c>
      <c r="BQ20" s="17">
        <v>0</v>
      </c>
      <c r="BR20" s="17">
        <v>0</v>
      </c>
      <c r="BS20" s="17">
        <v>0</v>
      </c>
      <c r="BT20" s="17">
        <v>0</v>
      </c>
      <c r="BU20" s="17">
        <v>0.111</v>
      </c>
      <c r="BV20" s="17">
        <v>0</v>
      </c>
      <c r="BW20" s="17">
        <v>0</v>
      </c>
      <c r="BX20" s="17">
        <v>0</v>
      </c>
      <c r="BY20" s="17">
        <v>0</v>
      </c>
      <c r="BZ20" s="17">
        <v>0</v>
      </c>
      <c r="CA20" s="17">
        <v>0</v>
      </c>
      <c r="CB20" s="17">
        <v>0</v>
      </c>
      <c r="CC20" s="17">
        <v>0</v>
      </c>
      <c r="CD20" s="17">
        <v>0</v>
      </c>
      <c r="CE20" s="17">
        <v>0</v>
      </c>
      <c r="CF20" s="17">
        <v>1.228</v>
      </c>
      <c r="CG20" s="17">
        <v>0</v>
      </c>
      <c r="CH20" s="17">
        <v>0</v>
      </c>
      <c r="CI20" s="17">
        <v>0</v>
      </c>
      <c r="CJ20" s="17">
        <v>0</v>
      </c>
      <c r="CK20" s="17">
        <v>0</v>
      </c>
      <c r="CL20" s="17">
        <v>0</v>
      </c>
      <c r="CM20" s="17">
        <v>0</v>
      </c>
      <c r="CN20" s="17">
        <v>0</v>
      </c>
      <c r="CO20" s="17">
        <v>0</v>
      </c>
      <c r="CP20" s="17">
        <v>0</v>
      </c>
      <c r="CQ20" s="17">
        <v>0</v>
      </c>
      <c r="CR20" s="17">
        <v>0</v>
      </c>
      <c r="CS20" s="17">
        <v>0</v>
      </c>
      <c r="CT20" s="17">
        <v>0</v>
      </c>
      <c r="CU20" s="17">
        <v>0</v>
      </c>
      <c r="CV20" s="17">
        <v>0</v>
      </c>
      <c r="CW20" s="17">
        <v>0</v>
      </c>
      <c r="CX20" s="17">
        <v>0</v>
      </c>
      <c r="CY20" s="17">
        <v>0</v>
      </c>
      <c r="CZ20" s="17">
        <v>0</v>
      </c>
      <c r="DA20" s="17">
        <v>0</v>
      </c>
      <c r="DB20" s="17">
        <v>0</v>
      </c>
      <c r="DC20" s="17">
        <v>0</v>
      </c>
      <c r="DD20" s="17">
        <v>0</v>
      </c>
      <c r="DE20" s="17">
        <v>0</v>
      </c>
      <c r="DF20" s="17">
        <v>0</v>
      </c>
      <c r="DG20" s="17">
        <v>0</v>
      </c>
      <c r="DH20" s="17">
        <v>0</v>
      </c>
      <c r="DI20" s="17">
        <v>0</v>
      </c>
      <c r="DJ20" s="17">
        <v>0</v>
      </c>
      <c r="DK20" s="17">
        <v>0</v>
      </c>
      <c r="DL20" s="17">
        <v>0</v>
      </c>
      <c r="DM20" s="17">
        <v>0</v>
      </c>
      <c r="DN20" s="17">
        <v>0</v>
      </c>
      <c r="DO20" s="17">
        <v>0</v>
      </c>
      <c r="DP20" s="17">
        <v>0</v>
      </c>
      <c r="DQ20" s="17">
        <v>0</v>
      </c>
      <c r="DR20" s="17">
        <v>0</v>
      </c>
      <c r="DS20" s="17">
        <v>0</v>
      </c>
      <c r="DT20" s="17">
        <v>0</v>
      </c>
      <c r="DU20" s="17">
        <v>0</v>
      </c>
      <c r="DV20" s="17">
        <v>0</v>
      </c>
      <c r="DW20" s="17">
        <v>0</v>
      </c>
      <c r="DX20" s="17">
        <v>0</v>
      </c>
      <c r="DY20" s="17">
        <v>0</v>
      </c>
      <c r="DZ20" s="17">
        <v>0</v>
      </c>
      <c r="EA20" s="17">
        <v>0</v>
      </c>
      <c r="EB20" s="17">
        <v>0</v>
      </c>
      <c r="EC20" s="17">
        <v>0</v>
      </c>
      <c r="ED20" s="17">
        <v>0</v>
      </c>
      <c r="EE20" s="17">
        <v>0</v>
      </c>
      <c r="EF20" s="17">
        <v>0</v>
      </c>
      <c r="EG20" s="17">
        <v>0</v>
      </c>
      <c r="EH20" s="17">
        <v>0</v>
      </c>
      <c r="EI20" s="17">
        <v>0</v>
      </c>
      <c r="EJ20" s="17">
        <v>0</v>
      </c>
      <c r="EK20" s="17">
        <v>0</v>
      </c>
      <c r="EL20" s="17">
        <v>0</v>
      </c>
      <c r="EM20" s="17">
        <v>0</v>
      </c>
      <c r="EN20" s="17">
        <v>0</v>
      </c>
      <c r="EO20" s="17">
        <v>0</v>
      </c>
      <c r="EP20" s="17">
        <v>0</v>
      </c>
      <c r="EQ20" s="17">
        <v>0</v>
      </c>
      <c r="ER20" s="17">
        <v>0</v>
      </c>
      <c r="ES20" s="17">
        <v>0</v>
      </c>
      <c r="ET20" s="17">
        <v>0</v>
      </c>
      <c r="EU20" s="17">
        <v>0</v>
      </c>
      <c r="EV20" s="17">
        <v>0</v>
      </c>
      <c r="EW20" s="17">
        <v>0</v>
      </c>
      <c r="EX20" s="17">
        <v>0</v>
      </c>
      <c r="EY20" s="17">
        <v>0</v>
      </c>
      <c r="EZ20" s="17">
        <v>0</v>
      </c>
      <c r="FA20" s="17">
        <v>0</v>
      </c>
      <c r="FB20" s="17">
        <v>0</v>
      </c>
      <c r="FC20" s="17">
        <v>0</v>
      </c>
      <c r="FD20" s="17">
        <v>0</v>
      </c>
      <c r="FE20" s="17">
        <v>0</v>
      </c>
      <c r="FF20" s="17">
        <v>0</v>
      </c>
      <c r="FG20" s="17">
        <v>0</v>
      </c>
      <c r="FH20" s="17">
        <v>0</v>
      </c>
      <c r="FI20" s="17">
        <v>0</v>
      </c>
      <c r="FJ20" s="17">
        <v>0</v>
      </c>
      <c r="FK20" s="17">
        <v>0</v>
      </c>
      <c r="FL20" s="17">
        <v>0</v>
      </c>
      <c r="FM20" s="17">
        <v>0</v>
      </c>
      <c r="FN20" s="17">
        <v>0</v>
      </c>
      <c r="FO20" s="17">
        <v>0</v>
      </c>
      <c r="FP20" s="17">
        <v>0</v>
      </c>
      <c r="FQ20" s="17">
        <v>0</v>
      </c>
      <c r="FR20" s="17">
        <v>0</v>
      </c>
      <c r="FS20" s="17">
        <v>0</v>
      </c>
      <c r="FT20" s="17">
        <v>0</v>
      </c>
      <c r="FU20" s="17">
        <v>0</v>
      </c>
      <c r="FV20" s="17">
        <v>0</v>
      </c>
      <c r="FW20" s="17">
        <v>0</v>
      </c>
      <c r="FX20" s="17">
        <v>0</v>
      </c>
      <c r="FY20" s="17">
        <v>0</v>
      </c>
      <c r="FZ20" s="17">
        <v>0</v>
      </c>
      <c r="GA20" s="17">
        <v>0</v>
      </c>
      <c r="GB20" s="17">
        <v>0</v>
      </c>
      <c r="GC20" s="17">
        <v>0</v>
      </c>
      <c r="GD20" s="17">
        <v>0</v>
      </c>
      <c r="GE20" s="17">
        <v>0</v>
      </c>
      <c r="GF20" s="17">
        <v>0</v>
      </c>
      <c r="GG20" s="17">
        <v>5.1999999999999998E-2</v>
      </c>
      <c r="GH20" s="17">
        <v>0</v>
      </c>
      <c r="GI20" s="17">
        <v>0</v>
      </c>
      <c r="GJ20" s="17">
        <v>0</v>
      </c>
      <c r="GK20" s="17">
        <v>0</v>
      </c>
      <c r="GL20" s="17">
        <v>0</v>
      </c>
      <c r="GM20" s="17">
        <v>0</v>
      </c>
      <c r="GN20" s="17">
        <v>0</v>
      </c>
      <c r="GO20" s="17">
        <v>0</v>
      </c>
      <c r="GP20" s="17">
        <v>0</v>
      </c>
      <c r="GQ20" s="17">
        <v>0</v>
      </c>
      <c r="GR20" s="17">
        <v>0</v>
      </c>
      <c r="GS20" s="17">
        <v>0</v>
      </c>
      <c r="GT20" s="17">
        <v>0</v>
      </c>
      <c r="GU20" s="17">
        <v>0</v>
      </c>
      <c r="GV20" s="17">
        <v>0</v>
      </c>
      <c r="GW20" s="17">
        <v>0</v>
      </c>
      <c r="GX20" s="17">
        <v>0</v>
      </c>
      <c r="GY20" s="17">
        <v>0</v>
      </c>
      <c r="GZ20" s="17">
        <v>0</v>
      </c>
      <c r="HA20" s="17">
        <v>0</v>
      </c>
      <c r="HB20" s="17">
        <v>0</v>
      </c>
      <c r="HC20" s="17">
        <v>0</v>
      </c>
      <c r="HD20" s="17">
        <v>0</v>
      </c>
      <c r="HE20" s="17">
        <v>0</v>
      </c>
      <c r="HF20" s="17">
        <v>0</v>
      </c>
      <c r="HG20" s="17">
        <v>0</v>
      </c>
      <c r="HH20" s="17">
        <v>0</v>
      </c>
    </row>
    <row r="21" spans="1:216" x14ac:dyDescent="0.25">
      <c r="A21" s="8">
        <v>17</v>
      </c>
      <c r="B21" s="8">
        <v>8</v>
      </c>
      <c r="C21" s="17">
        <v>0</v>
      </c>
      <c r="D21" s="17">
        <v>0</v>
      </c>
      <c r="E21" s="17">
        <v>0</v>
      </c>
      <c r="F21" s="17">
        <v>0</v>
      </c>
      <c r="G21" s="17">
        <v>0</v>
      </c>
      <c r="H21" s="17">
        <v>0</v>
      </c>
      <c r="I21" s="17">
        <v>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0.34599999999999997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0.432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7">
        <v>0</v>
      </c>
      <c r="AP21" s="17">
        <v>0</v>
      </c>
      <c r="AQ21" s="17">
        <v>0</v>
      </c>
      <c r="AR21" s="17">
        <v>0</v>
      </c>
      <c r="AS21" s="17">
        <v>0</v>
      </c>
      <c r="AT21" s="17">
        <v>0</v>
      </c>
      <c r="AU21" s="17">
        <v>0</v>
      </c>
      <c r="AV21" s="17">
        <v>0</v>
      </c>
      <c r="AW21" s="17">
        <v>0</v>
      </c>
      <c r="AX21" s="17">
        <v>0</v>
      </c>
      <c r="AY21" s="17">
        <v>0</v>
      </c>
      <c r="AZ21" s="17">
        <v>0</v>
      </c>
      <c r="BA21" s="17">
        <v>0</v>
      </c>
      <c r="BB21" s="17">
        <v>0</v>
      </c>
      <c r="BC21" s="17">
        <v>1.5429999999999999</v>
      </c>
      <c r="BD21" s="17">
        <v>1.7190000000000001</v>
      </c>
      <c r="BE21" s="17">
        <v>0</v>
      </c>
      <c r="BF21" s="17">
        <v>0</v>
      </c>
      <c r="BG21" s="17">
        <v>0</v>
      </c>
      <c r="BH21" s="17">
        <v>0</v>
      </c>
      <c r="BI21" s="17">
        <v>0</v>
      </c>
      <c r="BJ21" s="17">
        <v>0.33500000000000002</v>
      </c>
      <c r="BK21" s="17">
        <v>0</v>
      </c>
      <c r="BL21" s="17">
        <v>0</v>
      </c>
      <c r="BM21" s="17">
        <v>0</v>
      </c>
      <c r="BN21" s="17">
        <v>0</v>
      </c>
      <c r="BO21" s="17">
        <v>0</v>
      </c>
      <c r="BP21" s="17">
        <v>0</v>
      </c>
      <c r="BQ21" s="17">
        <v>0</v>
      </c>
      <c r="BR21" s="17">
        <v>0</v>
      </c>
      <c r="BS21" s="17">
        <v>0</v>
      </c>
      <c r="BT21" s="17">
        <v>0</v>
      </c>
      <c r="BU21" s="17">
        <v>0</v>
      </c>
      <c r="BV21" s="17">
        <v>0</v>
      </c>
      <c r="BW21" s="17">
        <v>0.371</v>
      </c>
      <c r="BX21" s="17">
        <v>0</v>
      </c>
      <c r="BY21" s="17">
        <v>0</v>
      </c>
      <c r="BZ21" s="17">
        <v>0</v>
      </c>
      <c r="CA21" s="17">
        <v>0</v>
      </c>
      <c r="CB21" s="17">
        <v>0</v>
      </c>
      <c r="CC21" s="17">
        <v>0</v>
      </c>
      <c r="CD21" s="17">
        <v>0</v>
      </c>
      <c r="CE21" s="17">
        <v>0</v>
      </c>
      <c r="CF21" s="17">
        <v>0</v>
      </c>
      <c r="CG21" s="17">
        <v>0</v>
      </c>
      <c r="CH21" s="17">
        <v>0</v>
      </c>
      <c r="CI21" s="17">
        <v>0</v>
      </c>
      <c r="CJ21" s="17">
        <v>0</v>
      </c>
      <c r="CK21" s="17">
        <v>0</v>
      </c>
      <c r="CL21" s="17">
        <v>0</v>
      </c>
      <c r="CM21" s="17">
        <v>0</v>
      </c>
      <c r="CN21" s="17">
        <v>0</v>
      </c>
      <c r="CO21" s="17">
        <v>0</v>
      </c>
      <c r="CP21" s="17">
        <v>0</v>
      </c>
      <c r="CQ21" s="17">
        <v>0</v>
      </c>
      <c r="CR21" s="17">
        <v>0.55500000000000005</v>
      </c>
      <c r="CS21" s="17">
        <v>0</v>
      </c>
      <c r="CT21" s="17">
        <v>0</v>
      </c>
      <c r="CU21" s="17">
        <v>0</v>
      </c>
      <c r="CV21" s="17">
        <v>0</v>
      </c>
      <c r="CW21" s="17">
        <v>0</v>
      </c>
      <c r="CX21" s="17">
        <v>0</v>
      </c>
      <c r="CY21" s="17">
        <v>0</v>
      </c>
      <c r="CZ21" s="17">
        <v>0</v>
      </c>
      <c r="DA21" s="17">
        <v>0</v>
      </c>
      <c r="DB21" s="17">
        <v>0</v>
      </c>
      <c r="DC21" s="17">
        <v>0</v>
      </c>
      <c r="DD21" s="17">
        <v>0</v>
      </c>
      <c r="DE21" s="17">
        <v>0</v>
      </c>
      <c r="DF21" s="17">
        <v>0</v>
      </c>
      <c r="DG21" s="17">
        <v>0</v>
      </c>
      <c r="DH21" s="17">
        <v>0</v>
      </c>
      <c r="DI21" s="17">
        <v>0</v>
      </c>
      <c r="DJ21" s="17">
        <v>0</v>
      </c>
      <c r="DK21" s="17">
        <v>0</v>
      </c>
      <c r="DL21" s="17">
        <v>0</v>
      </c>
      <c r="DM21" s="17">
        <v>0</v>
      </c>
      <c r="DN21" s="17">
        <v>0</v>
      </c>
      <c r="DO21" s="17">
        <v>0</v>
      </c>
      <c r="DP21" s="17">
        <v>0</v>
      </c>
      <c r="DQ21" s="17">
        <v>0</v>
      </c>
      <c r="DR21" s="17">
        <v>0</v>
      </c>
      <c r="DS21" s="17">
        <v>0</v>
      </c>
      <c r="DT21" s="17">
        <v>0</v>
      </c>
      <c r="DU21" s="17">
        <v>0</v>
      </c>
      <c r="DV21" s="17">
        <v>0</v>
      </c>
      <c r="DW21" s="17">
        <v>0</v>
      </c>
      <c r="DX21" s="17">
        <v>0</v>
      </c>
      <c r="DY21" s="17">
        <v>0</v>
      </c>
      <c r="DZ21" s="17">
        <v>0.437</v>
      </c>
      <c r="EA21" s="17">
        <v>0</v>
      </c>
      <c r="EB21" s="17">
        <v>0</v>
      </c>
      <c r="EC21" s="17">
        <v>0</v>
      </c>
      <c r="ED21" s="17">
        <v>0</v>
      </c>
      <c r="EE21" s="17">
        <v>0</v>
      </c>
      <c r="EF21" s="17">
        <v>0</v>
      </c>
      <c r="EG21" s="17">
        <v>0</v>
      </c>
      <c r="EH21" s="17">
        <v>0</v>
      </c>
      <c r="EI21" s="17">
        <v>0</v>
      </c>
      <c r="EJ21" s="17">
        <v>0</v>
      </c>
      <c r="EK21" s="17">
        <v>0</v>
      </c>
      <c r="EL21" s="17">
        <v>0</v>
      </c>
      <c r="EM21" s="17">
        <v>0</v>
      </c>
      <c r="EN21" s="17">
        <v>0</v>
      </c>
      <c r="EO21" s="17">
        <v>0</v>
      </c>
      <c r="EP21" s="17">
        <v>0</v>
      </c>
      <c r="EQ21" s="17">
        <v>0</v>
      </c>
      <c r="ER21" s="17">
        <v>0</v>
      </c>
      <c r="ES21" s="17">
        <v>0</v>
      </c>
      <c r="ET21" s="17">
        <v>0</v>
      </c>
      <c r="EU21" s="17">
        <v>0</v>
      </c>
      <c r="EV21" s="17">
        <v>0</v>
      </c>
      <c r="EW21" s="17">
        <v>0.36099999999999999</v>
      </c>
      <c r="EX21" s="17">
        <v>0</v>
      </c>
      <c r="EY21" s="17">
        <v>0</v>
      </c>
      <c r="EZ21" s="17">
        <v>0</v>
      </c>
      <c r="FA21" s="17">
        <v>0</v>
      </c>
      <c r="FB21" s="17">
        <v>0</v>
      </c>
      <c r="FC21" s="17">
        <v>0</v>
      </c>
      <c r="FD21" s="17">
        <v>0</v>
      </c>
      <c r="FE21" s="17">
        <v>0</v>
      </c>
      <c r="FF21" s="17">
        <v>0</v>
      </c>
      <c r="FG21" s="17">
        <v>0</v>
      </c>
      <c r="FH21" s="17">
        <v>0</v>
      </c>
      <c r="FI21" s="17">
        <v>0</v>
      </c>
      <c r="FJ21" s="17">
        <v>0</v>
      </c>
      <c r="FK21" s="17">
        <v>0</v>
      </c>
      <c r="FL21" s="17">
        <v>0</v>
      </c>
      <c r="FM21" s="17">
        <v>0</v>
      </c>
      <c r="FN21" s="17">
        <v>0</v>
      </c>
      <c r="FO21" s="17">
        <v>1.4E-2</v>
      </c>
      <c r="FP21" s="17">
        <v>0</v>
      </c>
      <c r="FQ21" s="17">
        <v>0</v>
      </c>
      <c r="FR21" s="17">
        <v>0</v>
      </c>
      <c r="FS21" s="17">
        <v>5.5E-2</v>
      </c>
      <c r="FT21" s="17">
        <v>0</v>
      </c>
      <c r="FU21" s="17">
        <v>0</v>
      </c>
      <c r="FV21" s="17">
        <v>3.5000000000000003E-2</v>
      </c>
      <c r="FW21" s="17">
        <v>0</v>
      </c>
      <c r="FX21" s="17">
        <v>0</v>
      </c>
      <c r="FY21" s="17">
        <v>0</v>
      </c>
      <c r="FZ21" s="17">
        <v>0</v>
      </c>
      <c r="GA21" s="17">
        <v>0</v>
      </c>
      <c r="GB21" s="17">
        <v>0</v>
      </c>
      <c r="GC21" s="17">
        <v>0</v>
      </c>
      <c r="GD21" s="17">
        <v>0</v>
      </c>
      <c r="GE21" s="17">
        <v>0</v>
      </c>
      <c r="GF21" s="17">
        <v>0</v>
      </c>
      <c r="GG21" s="17">
        <v>8.1000000000000003E-2</v>
      </c>
      <c r="GH21" s="17">
        <v>0</v>
      </c>
      <c r="GI21" s="17">
        <v>0</v>
      </c>
      <c r="GJ21" s="17">
        <v>0</v>
      </c>
      <c r="GK21" s="17">
        <v>0</v>
      </c>
      <c r="GL21" s="17">
        <v>0</v>
      </c>
      <c r="GM21" s="17">
        <v>0</v>
      </c>
      <c r="GN21" s="17">
        <v>0</v>
      </c>
      <c r="GO21" s="17">
        <v>0</v>
      </c>
      <c r="GP21" s="17">
        <v>0</v>
      </c>
      <c r="GQ21" s="17">
        <v>0</v>
      </c>
      <c r="GR21" s="17">
        <v>0</v>
      </c>
      <c r="GS21" s="17">
        <v>0</v>
      </c>
      <c r="GT21" s="17">
        <v>0</v>
      </c>
      <c r="GU21" s="17">
        <v>0</v>
      </c>
      <c r="GV21" s="17">
        <v>0</v>
      </c>
      <c r="GW21" s="17">
        <v>0</v>
      </c>
      <c r="GX21" s="17">
        <v>0</v>
      </c>
      <c r="GY21" s="17">
        <v>0</v>
      </c>
      <c r="GZ21" s="17">
        <v>0</v>
      </c>
      <c r="HA21" s="17">
        <v>0</v>
      </c>
      <c r="HB21" s="17">
        <v>0</v>
      </c>
      <c r="HC21" s="17">
        <v>0</v>
      </c>
      <c r="HD21" s="17">
        <v>0</v>
      </c>
      <c r="HE21" s="17">
        <v>0</v>
      </c>
      <c r="HF21" s="17">
        <v>0</v>
      </c>
      <c r="HG21" s="17">
        <v>0</v>
      </c>
      <c r="HH21" s="17">
        <v>0</v>
      </c>
    </row>
    <row r="22" spans="1:216" x14ac:dyDescent="0.25">
      <c r="A22" s="8">
        <v>18</v>
      </c>
      <c r="B22" s="8">
        <v>8.5</v>
      </c>
      <c r="C22" s="17">
        <v>0</v>
      </c>
      <c r="D22" s="17">
        <v>0</v>
      </c>
      <c r="E22" s="17">
        <v>0</v>
      </c>
      <c r="F22" s="17">
        <v>0</v>
      </c>
      <c r="G22" s="17">
        <v>0</v>
      </c>
      <c r="H22" s="17">
        <v>0</v>
      </c>
      <c r="I22" s="17">
        <v>0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0.311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0.36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7">
        <v>0</v>
      </c>
      <c r="AP22" s="17">
        <v>0</v>
      </c>
      <c r="AQ22" s="17">
        <v>0</v>
      </c>
      <c r="AR22" s="17">
        <v>0</v>
      </c>
      <c r="AS22" s="17">
        <v>0</v>
      </c>
      <c r="AT22" s="17">
        <v>0</v>
      </c>
      <c r="AU22" s="17">
        <v>0</v>
      </c>
      <c r="AV22" s="17">
        <v>0</v>
      </c>
      <c r="AW22" s="17">
        <v>0</v>
      </c>
      <c r="AX22" s="17">
        <v>0</v>
      </c>
      <c r="AY22" s="17">
        <v>0</v>
      </c>
      <c r="AZ22" s="17">
        <v>0</v>
      </c>
      <c r="BA22" s="17">
        <v>0</v>
      </c>
      <c r="BB22" s="17">
        <v>0</v>
      </c>
      <c r="BC22" s="17">
        <v>0</v>
      </c>
      <c r="BD22" s="17">
        <v>0</v>
      </c>
      <c r="BE22" s="17">
        <v>0</v>
      </c>
      <c r="BF22" s="17">
        <v>0</v>
      </c>
      <c r="BG22" s="17">
        <v>0</v>
      </c>
      <c r="BH22" s="17">
        <v>0</v>
      </c>
      <c r="BI22" s="17">
        <v>0</v>
      </c>
      <c r="BJ22" s="17">
        <v>0</v>
      </c>
      <c r="BK22" s="17">
        <v>0</v>
      </c>
      <c r="BL22" s="17">
        <v>0</v>
      </c>
      <c r="BM22" s="17">
        <v>0</v>
      </c>
      <c r="BN22" s="17">
        <v>0</v>
      </c>
      <c r="BO22" s="17">
        <v>0</v>
      </c>
      <c r="BP22" s="17">
        <v>0</v>
      </c>
      <c r="BQ22" s="17">
        <v>0</v>
      </c>
      <c r="BR22" s="17">
        <v>0</v>
      </c>
      <c r="BS22" s="17">
        <v>0</v>
      </c>
      <c r="BT22" s="17">
        <v>0</v>
      </c>
      <c r="BU22" s="17">
        <v>1.3520000000000001</v>
      </c>
      <c r="BV22" s="17">
        <v>0</v>
      </c>
      <c r="BW22" s="17">
        <v>0</v>
      </c>
      <c r="BX22" s="17">
        <v>0</v>
      </c>
      <c r="BY22" s="17">
        <v>0</v>
      </c>
      <c r="BZ22" s="17">
        <v>0</v>
      </c>
      <c r="CA22" s="17">
        <v>0</v>
      </c>
      <c r="CB22" s="17">
        <v>0</v>
      </c>
      <c r="CC22" s="17">
        <v>0</v>
      </c>
      <c r="CD22" s="17">
        <v>0</v>
      </c>
      <c r="CE22" s="17">
        <v>0</v>
      </c>
      <c r="CF22" s="17">
        <v>0.73899999999999999</v>
      </c>
      <c r="CG22" s="17">
        <v>0</v>
      </c>
      <c r="CH22" s="17">
        <v>0</v>
      </c>
      <c r="CI22" s="17">
        <v>0</v>
      </c>
      <c r="CJ22" s="17">
        <v>1.4550000000000001</v>
      </c>
      <c r="CK22" s="17">
        <v>0</v>
      </c>
      <c r="CL22" s="17">
        <v>0</v>
      </c>
      <c r="CM22" s="17">
        <v>0</v>
      </c>
      <c r="CN22" s="17">
        <v>0</v>
      </c>
      <c r="CO22" s="17">
        <v>1.327</v>
      </c>
      <c r="CP22" s="17">
        <v>0</v>
      </c>
      <c r="CQ22" s="17">
        <v>0</v>
      </c>
      <c r="CR22" s="17">
        <v>0</v>
      </c>
      <c r="CS22" s="17">
        <v>0</v>
      </c>
      <c r="CT22" s="17">
        <v>0</v>
      </c>
      <c r="CU22" s="17">
        <v>0</v>
      </c>
      <c r="CV22" s="17">
        <v>0</v>
      </c>
      <c r="CW22" s="17">
        <v>0</v>
      </c>
      <c r="CX22" s="17">
        <v>0</v>
      </c>
      <c r="CY22" s="17">
        <v>0</v>
      </c>
      <c r="CZ22" s="17">
        <v>0</v>
      </c>
      <c r="DA22" s="17">
        <v>0</v>
      </c>
      <c r="DB22" s="17">
        <v>0</v>
      </c>
      <c r="DC22" s="17">
        <v>0</v>
      </c>
      <c r="DD22" s="17">
        <v>0.51500000000000001</v>
      </c>
      <c r="DE22" s="17">
        <v>0</v>
      </c>
      <c r="DF22" s="17">
        <v>0</v>
      </c>
      <c r="DG22" s="17">
        <v>0</v>
      </c>
      <c r="DH22" s="17">
        <v>0</v>
      </c>
      <c r="DI22" s="17">
        <v>0</v>
      </c>
      <c r="DJ22" s="17">
        <v>0</v>
      </c>
      <c r="DK22" s="17">
        <v>0</v>
      </c>
      <c r="DL22" s="17">
        <v>0</v>
      </c>
      <c r="DM22" s="17">
        <v>0</v>
      </c>
      <c r="DN22" s="17">
        <v>0</v>
      </c>
      <c r="DO22" s="17">
        <v>0</v>
      </c>
      <c r="DP22" s="17">
        <v>0</v>
      </c>
      <c r="DQ22" s="17">
        <v>0</v>
      </c>
      <c r="DR22" s="17">
        <v>0</v>
      </c>
      <c r="DS22" s="17">
        <v>0</v>
      </c>
      <c r="DT22" s="17">
        <v>0</v>
      </c>
      <c r="DU22" s="17">
        <v>6.3E-2</v>
      </c>
      <c r="DV22" s="17">
        <v>0</v>
      </c>
      <c r="DW22" s="17">
        <v>0</v>
      </c>
      <c r="DX22" s="17">
        <v>0</v>
      </c>
      <c r="DY22" s="17">
        <v>0</v>
      </c>
      <c r="DZ22" s="17">
        <v>0.52600000000000002</v>
      </c>
      <c r="EA22" s="17">
        <v>0</v>
      </c>
      <c r="EB22" s="17">
        <v>0</v>
      </c>
      <c r="EC22" s="17">
        <v>0</v>
      </c>
      <c r="ED22" s="17">
        <v>0</v>
      </c>
      <c r="EE22" s="17">
        <v>0</v>
      </c>
      <c r="EF22" s="17">
        <v>0</v>
      </c>
      <c r="EG22" s="17">
        <v>0</v>
      </c>
      <c r="EH22" s="17">
        <v>0</v>
      </c>
      <c r="EI22" s="17">
        <v>0</v>
      </c>
      <c r="EJ22" s="17">
        <v>0</v>
      </c>
      <c r="EK22" s="17">
        <v>0</v>
      </c>
      <c r="EL22" s="17">
        <v>0</v>
      </c>
      <c r="EM22" s="17">
        <v>0</v>
      </c>
      <c r="EN22" s="17">
        <v>0</v>
      </c>
      <c r="EO22" s="17">
        <v>0</v>
      </c>
      <c r="EP22" s="17">
        <v>0</v>
      </c>
      <c r="EQ22" s="17">
        <v>0</v>
      </c>
      <c r="ER22" s="17">
        <v>0</v>
      </c>
      <c r="ES22" s="17">
        <v>0</v>
      </c>
      <c r="ET22" s="17">
        <v>0</v>
      </c>
      <c r="EU22" s="17">
        <v>0</v>
      </c>
      <c r="EV22" s="17">
        <v>0.55100000000000005</v>
      </c>
      <c r="EW22" s="17">
        <v>0</v>
      </c>
      <c r="EX22" s="17">
        <v>0</v>
      </c>
      <c r="EY22" s="17">
        <v>0</v>
      </c>
      <c r="EZ22" s="17">
        <v>0</v>
      </c>
      <c r="FA22" s="17">
        <v>0</v>
      </c>
      <c r="FB22" s="17">
        <v>0</v>
      </c>
      <c r="FC22" s="17">
        <v>0</v>
      </c>
      <c r="FD22" s="17">
        <v>0</v>
      </c>
      <c r="FE22" s="17">
        <v>0</v>
      </c>
      <c r="FF22" s="17">
        <v>0</v>
      </c>
      <c r="FG22" s="17">
        <v>0</v>
      </c>
      <c r="FH22" s="17">
        <v>0</v>
      </c>
      <c r="FI22" s="17">
        <v>0</v>
      </c>
      <c r="FJ22" s="17">
        <v>0</v>
      </c>
      <c r="FK22" s="17">
        <v>0</v>
      </c>
      <c r="FL22" s="17">
        <v>0</v>
      </c>
      <c r="FM22" s="17">
        <v>0</v>
      </c>
      <c r="FN22" s="17">
        <v>0</v>
      </c>
      <c r="FO22" s="17">
        <v>0</v>
      </c>
      <c r="FP22" s="17">
        <v>0</v>
      </c>
      <c r="FQ22" s="17">
        <v>0</v>
      </c>
      <c r="FR22" s="17">
        <v>0</v>
      </c>
      <c r="FS22" s="17">
        <v>0</v>
      </c>
      <c r="FT22" s="17">
        <v>0</v>
      </c>
      <c r="FU22" s="17">
        <v>0</v>
      </c>
      <c r="FV22" s="17">
        <v>0.34</v>
      </c>
      <c r="FW22" s="17">
        <v>0</v>
      </c>
      <c r="FX22" s="17">
        <v>0</v>
      </c>
      <c r="FY22" s="17">
        <v>0</v>
      </c>
      <c r="FZ22" s="17">
        <v>0</v>
      </c>
      <c r="GA22" s="17">
        <v>0</v>
      </c>
      <c r="GB22" s="17">
        <v>0</v>
      </c>
      <c r="GC22" s="17">
        <v>0</v>
      </c>
      <c r="GD22" s="17">
        <v>0</v>
      </c>
      <c r="GE22" s="17">
        <v>0</v>
      </c>
      <c r="GF22" s="17">
        <v>0</v>
      </c>
      <c r="GG22" s="17">
        <v>0</v>
      </c>
      <c r="GH22" s="17">
        <v>0</v>
      </c>
      <c r="GI22" s="17">
        <v>0</v>
      </c>
      <c r="GJ22" s="17">
        <v>0.40899999999999997</v>
      </c>
      <c r="GK22" s="17">
        <v>0</v>
      </c>
      <c r="GL22" s="17">
        <v>0</v>
      </c>
      <c r="GM22" s="17">
        <v>0</v>
      </c>
      <c r="GN22" s="17">
        <v>0</v>
      </c>
      <c r="GO22" s="17">
        <v>0</v>
      </c>
      <c r="GP22" s="17">
        <v>0</v>
      </c>
      <c r="GQ22" s="17">
        <v>0</v>
      </c>
      <c r="GR22" s="17">
        <v>0</v>
      </c>
      <c r="GS22" s="17">
        <v>0</v>
      </c>
      <c r="GT22" s="17">
        <v>0</v>
      </c>
      <c r="GU22" s="17">
        <v>0</v>
      </c>
      <c r="GV22" s="17">
        <v>0</v>
      </c>
      <c r="GW22" s="17">
        <v>0</v>
      </c>
      <c r="GX22" s="17">
        <v>0</v>
      </c>
      <c r="GY22" s="17">
        <v>0</v>
      </c>
      <c r="GZ22" s="17">
        <v>0</v>
      </c>
      <c r="HA22" s="17">
        <v>0</v>
      </c>
      <c r="HB22" s="17">
        <v>0</v>
      </c>
      <c r="HC22" s="17">
        <v>0</v>
      </c>
      <c r="HD22" s="17">
        <v>0</v>
      </c>
      <c r="HE22" s="17">
        <v>0</v>
      </c>
      <c r="HF22" s="17">
        <v>0</v>
      </c>
      <c r="HG22" s="17">
        <v>0</v>
      </c>
      <c r="HH22" s="17">
        <v>0</v>
      </c>
    </row>
    <row r="23" spans="1:216" x14ac:dyDescent="0.25">
      <c r="A23" s="8">
        <v>19</v>
      </c>
      <c r="B23" s="8">
        <v>9</v>
      </c>
      <c r="C23" s="17">
        <v>0</v>
      </c>
      <c r="D23" s="17">
        <v>0</v>
      </c>
      <c r="E23" s="17">
        <v>0</v>
      </c>
      <c r="F23" s="17">
        <v>0</v>
      </c>
      <c r="G23" s="17">
        <v>0</v>
      </c>
      <c r="H23" s="17">
        <v>1.0780000000000001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1.173</v>
      </c>
      <c r="AO23" s="17">
        <v>0</v>
      </c>
      <c r="AP23" s="17">
        <v>0</v>
      </c>
      <c r="AQ23" s="17">
        <v>0</v>
      </c>
      <c r="AR23" s="17">
        <v>0</v>
      </c>
      <c r="AS23" s="17">
        <v>0</v>
      </c>
      <c r="AT23" s="17">
        <v>0</v>
      </c>
      <c r="AU23" s="17">
        <v>0</v>
      </c>
      <c r="AV23" s="17">
        <v>0</v>
      </c>
      <c r="AW23" s="17">
        <v>0</v>
      </c>
      <c r="AX23" s="17">
        <v>0.17899999999999999</v>
      </c>
      <c r="AY23" s="17">
        <v>0</v>
      </c>
      <c r="AZ23" s="17">
        <v>0</v>
      </c>
      <c r="BA23" s="17">
        <v>0</v>
      </c>
      <c r="BB23" s="17">
        <v>0</v>
      </c>
      <c r="BC23" s="17">
        <v>0</v>
      </c>
      <c r="BD23" s="17">
        <v>0</v>
      </c>
      <c r="BE23" s="17">
        <v>0</v>
      </c>
      <c r="BF23" s="17">
        <v>0</v>
      </c>
      <c r="BG23" s="17">
        <v>0</v>
      </c>
      <c r="BH23" s="17">
        <v>0</v>
      </c>
      <c r="BI23" s="17">
        <v>0</v>
      </c>
      <c r="BJ23" s="17">
        <v>0</v>
      </c>
      <c r="BK23" s="17">
        <v>0</v>
      </c>
      <c r="BL23" s="17">
        <v>0</v>
      </c>
      <c r="BM23" s="17">
        <v>0</v>
      </c>
      <c r="BN23" s="17">
        <v>0</v>
      </c>
      <c r="BO23" s="17">
        <v>0</v>
      </c>
      <c r="BP23" s="17">
        <v>0</v>
      </c>
      <c r="BQ23" s="17">
        <v>0</v>
      </c>
      <c r="BR23" s="17">
        <v>0</v>
      </c>
      <c r="BS23" s="17">
        <v>0</v>
      </c>
      <c r="BT23" s="17">
        <v>0</v>
      </c>
      <c r="BU23" s="17">
        <v>0</v>
      </c>
      <c r="BV23" s="17">
        <v>0</v>
      </c>
      <c r="BW23" s="17">
        <v>0</v>
      </c>
      <c r="BX23" s="17">
        <v>0</v>
      </c>
      <c r="BY23" s="17">
        <v>0</v>
      </c>
      <c r="BZ23" s="17">
        <v>0</v>
      </c>
      <c r="CA23" s="17">
        <v>0</v>
      </c>
      <c r="CB23" s="17">
        <v>0</v>
      </c>
      <c r="CC23" s="17">
        <v>0</v>
      </c>
      <c r="CD23" s="17">
        <v>0</v>
      </c>
      <c r="CE23" s="17">
        <v>0</v>
      </c>
      <c r="CF23" s="17">
        <v>0</v>
      </c>
      <c r="CG23" s="17">
        <v>0</v>
      </c>
      <c r="CH23" s="17">
        <v>0</v>
      </c>
      <c r="CI23" s="17">
        <v>0</v>
      </c>
      <c r="CJ23" s="17">
        <v>0.41</v>
      </c>
      <c r="CK23" s="17">
        <v>0</v>
      </c>
      <c r="CL23" s="17">
        <v>0</v>
      </c>
      <c r="CM23" s="17">
        <v>1.07</v>
      </c>
      <c r="CN23" s="17">
        <v>0</v>
      </c>
      <c r="CO23" s="17">
        <v>0</v>
      </c>
      <c r="CP23" s="17">
        <v>0</v>
      </c>
      <c r="CQ23" s="17">
        <v>0</v>
      </c>
      <c r="CR23" s="17">
        <v>0</v>
      </c>
      <c r="CS23" s="17">
        <v>0</v>
      </c>
      <c r="CT23" s="17">
        <v>0</v>
      </c>
      <c r="CU23" s="17">
        <v>0</v>
      </c>
      <c r="CV23" s="17">
        <v>0</v>
      </c>
      <c r="CW23" s="17">
        <v>0</v>
      </c>
      <c r="CX23" s="17">
        <v>0</v>
      </c>
      <c r="CY23" s="17">
        <v>0</v>
      </c>
      <c r="CZ23" s="17">
        <v>0</v>
      </c>
      <c r="DA23" s="17">
        <v>0</v>
      </c>
      <c r="DB23" s="17">
        <v>0</v>
      </c>
      <c r="DC23" s="17">
        <v>0</v>
      </c>
      <c r="DD23" s="17">
        <v>0.28699999999999998</v>
      </c>
      <c r="DE23" s="17">
        <v>0</v>
      </c>
      <c r="DF23" s="17">
        <v>0.311</v>
      </c>
      <c r="DG23" s="17">
        <v>0</v>
      </c>
      <c r="DH23" s="17">
        <v>0</v>
      </c>
      <c r="DI23" s="17">
        <v>0</v>
      </c>
      <c r="DJ23" s="17">
        <v>0</v>
      </c>
      <c r="DK23" s="17">
        <v>0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0</v>
      </c>
      <c r="DR23" s="17">
        <v>0</v>
      </c>
      <c r="DS23" s="17">
        <v>0</v>
      </c>
      <c r="DT23" s="17">
        <v>0</v>
      </c>
      <c r="DU23" s="17">
        <v>0</v>
      </c>
      <c r="DV23" s="17">
        <v>0</v>
      </c>
      <c r="DW23" s="17">
        <v>0</v>
      </c>
      <c r="DX23" s="17">
        <v>0</v>
      </c>
      <c r="DY23" s="17">
        <v>0</v>
      </c>
      <c r="DZ23" s="17">
        <v>0</v>
      </c>
      <c r="EA23" s="17">
        <v>0</v>
      </c>
      <c r="EB23" s="17">
        <v>0</v>
      </c>
      <c r="EC23" s="17">
        <v>0</v>
      </c>
      <c r="ED23" s="17">
        <v>0</v>
      </c>
      <c r="EE23" s="17">
        <v>0</v>
      </c>
      <c r="EF23" s="17">
        <v>0</v>
      </c>
      <c r="EG23" s="17">
        <v>0</v>
      </c>
      <c r="EH23" s="17">
        <v>0</v>
      </c>
      <c r="EI23" s="17">
        <v>0</v>
      </c>
      <c r="EJ23" s="17">
        <v>0</v>
      </c>
      <c r="EK23" s="17">
        <v>0</v>
      </c>
      <c r="EL23" s="17">
        <v>0</v>
      </c>
      <c r="EM23" s="17">
        <v>0</v>
      </c>
      <c r="EN23" s="17">
        <v>0</v>
      </c>
      <c r="EO23" s="17">
        <v>0</v>
      </c>
      <c r="EP23" s="17">
        <v>0</v>
      </c>
      <c r="EQ23" s="17">
        <v>0</v>
      </c>
      <c r="ER23" s="17">
        <v>0</v>
      </c>
      <c r="ES23" s="17">
        <v>0</v>
      </c>
      <c r="ET23" s="17">
        <v>0</v>
      </c>
      <c r="EU23" s="17">
        <v>0</v>
      </c>
      <c r="EV23" s="17">
        <v>3.5999999999999997E-2</v>
      </c>
      <c r="EW23" s="17">
        <v>0</v>
      </c>
      <c r="EX23" s="17">
        <v>0</v>
      </c>
      <c r="EY23" s="17">
        <v>0</v>
      </c>
      <c r="EZ23" s="17">
        <v>0</v>
      </c>
      <c r="FA23" s="17">
        <v>0</v>
      </c>
      <c r="FB23" s="17">
        <v>0</v>
      </c>
      <c r="FC23" s="17">
        <v>0</v>
      </c>
      <c r="FD23" s="17">
        <v>0</v>
      </c>
      <c r="FE23" s="17">
        <v>0</v>
      </c>
      <c r="FF23" s="17">
        <v>0</v>
      </c>
      <c r="FG23" s="17">
        <v>0</v>
      </c>
      <c r="FH23" s="17">
        <v>0</v>
      </c>
      <c r="FI23" s="17">
        <v>0</v>
      </c>
      <c r="FJ23" s="17">
        <v>0</v>
      </c>
      <c r="FK23" s="17">
        <v>0</v>
      </c>
      <c r="FL23" s="17">
        <v>0</v>
      </c>
      <c r="FM23" s="17">
        <v>0</v>
      </c>
      <c r="FN23" s="17">
        <v>0</v>
      </c>
      <c r="FO23" s="17">
        <v>0</v>
      </c>
      <c r="FP23" s="17">
        <v>0</v>
      </c>
      <c r="FQ23" s="17">
        <v>0</v>
      </c>
      <c r="FR23" s="17">
        <v>0</v>
      </c>
      <c r="FS23" s="17">
        <v>0</v>
      </c>
      <c r="FT23" s="17">
        <v>0</v>
      </c>
      <c r="FU23" s="17">
        <v>0</v>
      </c>
      <c r="FV23" s="17">
        <v>0</v>
      </c>
      <c r="FW23" s="17">
        <v>0</v>
      </c>
      <c r="FX23" s="17">
        <v>0</v>
      </c>
      <c r="FY23" s="17">
        <v>0</v>
      </c>
      <c r="FZ23" s="17">
        <v>0</v>
      </c>
      <c r="GA23" s="17">
        <v>0</v>
      </c>
      <c r="GB23" s="17">
        <v>0</v>
      </c>
      <c r="GC23" s="17">
        <v>0</v>
      </c>
      <c r="GD23" s="17">
        <v>0</v>
      </c>
      <c r="GE23" s="17">
        <v>0</v>
      </c>
      <c r="GF23" s="17">
        <v>0</v>
      </c>
      <c r="GG23" s="17">
        <v>0</v>
      </c>
      <c r="GH23" s="17">
        <v>0</v>
      </c>
      <c r="GI23" s="17">
        <v>0</v>
      </c>
      <c r="GJ23" s="17">
        <v>0</v>
      </c>
      <c r="GK23" s="17">
        <v>0</v>
      </c>
      <c r="GL23" s="17">
        <v>0</v>
      </c>
      <c r="GM23" s="17">
        <v>0</v>
      </c>
      <c r="GN23" s="17">
        <v>0</v>
      </c>
      <c r="GO23" s="17">
        <v>0</v>
      </c>
      <c r="GP23" s="17">
        <v>0</v>
      </c>
      <c r="GQ23" s="17">
        <v>0</v>
      </c>
      <c r="GR23" s="17">
        <v>0</v>
      </c>
      <c r="GS23" s="17">
        <v>0</v>
      </c>
      <c r="GT23" s="17">
        <v>0</v>
      </c>
      <c r="GU23" s="17">
        <v>0</v>
      </c>
      <c r="GV23" s="17">
        <v>0</v>
      </c>
      <c r="GW23" s="17">
        <v>0</v>
      </c>
      <c r="GX23" s="17">
        <v>0</v>
      </c>
      <c r="GY23" s="17">
        <v>0</v>
      </c>
      <c r="GZ23" s="17">
        <v>0</v>
      </c>
      <c r="HA23" s="17">
        <v>0</v>
      </c>
      <c r="HB23" s="17">
        <v>0</v>
      </c>
      <c r="HC23" s="17">
        <v>0</v>
      </c>
      <c r="HD23" s="17">
        <v>0</v>
      </c>
      <c r="HE23" s="17">
        <v>0</v>
      </c>
      <c r="HF23" s="17">
        <v>0</v>
      </c>
      <c r="HG23" s="17">
        <v>0</v>
      </c>
      <c r="HH23" s="17">
        <v>0</v>
      </c>
    </row>
    <row r="24" spans="1:216" x14ac:dyDescent="0.25">
      <c r="A24" s="8">
        <v>20</v>
      </c>
      <c r="B24" s="8">
        <v>9.5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0.52500000000000002</v>
      </c>
      <c r="AC24" s="17">
        <v>0</v>
      </c>
      <c r="AD24" s="17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7">
        <v>0</v>
      </c>
      <c r="AP24" s="17">
        <v>0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7">
        <v>0</v>
      </c>
      <c r="AX24" s="17">
        <v>0</v>
      </c>
      <c r="AY24" s="17">
        <v>0</v>
      </c>
      <c r="AZ24" s="17">
        <v>0</v>
      </c>
      <c r="BA24" s="17">
        <v>0</v>
      </c>
      <c r="BB24" s="17">
        <v>0</v>
      </c>
      <c r="BC24" s="17">
        <v>1.0669999999999999</v>
      </c>
      <c r="BD24" s="17">
        <v>0</v>
      </c>
      <c r="BE24" s="17">
        <v>0</v>
      </c>
      <c r="BF24" s="17">
        <v>0</v>
      </c>
      <c r="BG24" s="17">
        <v>0</v>
      </c>
      <c r="BH24" s="17">
        <v>0</v>
      </c>
      <c r="BI24" s="17">
        <v>0</v>
      </c>
      <c r="BJ24" s="17">
        <v>0</v>
      </c>
      <c r="BK24" s="17">
        <v>0</v>
      </c>
      <c r="BL24" s="17">
        <v>0</v>
      </c>
      <c r="BM24" s="17">
        <v>0</v>
      </c>
      <c r="BN24" s="17">
        <v>0</v>
      </c>
      <c r="BO24" s="17">
        <v>0</v>
      </c>
      <c r="BP24" s="17">
        <v>0</v>
      </c>
      <c r="BQ24" s="17">
        <v>0</v>
      </c>
      <c r="BR24" s="17">
        <v>0</v>
      </c>
      <c r="BS24" s="17">
        <v>0</v>
      </c>
      <c r="BT24" s="17">
        <v>0</v>
      </c>
      <c r="BU24" s="17">
        <v>0</v>
      </c>
      <c r="BV24" s="17">
        <v>0</v>
      </c>
      <c r="BW24" s="17">
        <v>0</v>
      </c>
      <c r="BX24" s="17">
        <v>0</v>
      </c>
      <c r="BY24" s="17">
        <v>0</v>
      </c>
      <c r="BZ24" s="17">
        <v>0</v>
      </c>
      <c r="CA24" s="17">
        <v>0</v>
      </c>
      <c r="CB24" s="17">
        <v>0</v>
      </c>
      <c r="CC24" s="17">
        <v>0</v>
      </c>
      <c r="CD24" s="17">
        <v>0</v>
      </c>
      <c r="CE24" s="17">
        <v>0</v>
      </c>
      <c r="CF24" s="17">
        <v>0</v>
      </c>
      <c r="CG24" s="17">
        <v>0</v>
      </c>
      <c r="CH24" s="17">
        <v>0</v>
      </c>
      <c r="CI24" s="17">
        <v>0</v>
      </c>
      <c r="CJ24" s="17">
        <v>0</v>
      </c>
      <c r="CK24" s="17">
        <v>0</v>
      </c>
      <c r="CL24" s="17">
        <v>0</v>
      </c>
      <c r="CM24" s="17">
        <v>0.27900000000000003</v>
      </c>
      <c r="CN24" s="17">
        <v>0</v>
      </c>
      <c r="CO24" s="17">
        <v>0</v>
      </c>
      <c r="CP24" s="17">
        <v>0</v>
      </c>
      <c r="CQ24" s="17">
        <v>0</v>
      </c>
      <c r="CR24" s="17">
        <v>0</v>
      </c>
      <c r="CS24" s="17">
        <v>0</v>
      </c>
      <c r="CT24" s="17">
        <v>0</v>
      </c>
      <c r="CU24" s="17">
        <v>0</v>
      </c>
      <c r="CV24" s="17">
        <v>0</v>
      </c>
      <c r="CW24" s="17">
        <v>0</v>
      </c>
      <c r="CX24" s="17">
        <v>0</v>
      </c>
      <c r="CY24" s="17">
        <v>0</v>
      </c>
      <c r="CZ24" s="17">
        <v>0</v>
      </c>
      <c r="DA24" s="17">
        <v>0</v>
      </c>
      <c r="DB24" s="17">
        <v>0</v>
      </c>
      <c r="DC24" s="17">
        <v>0</v>
      </c>
      <c r="DD24" s="17">
        <v>0</v>
      </c>
      <c r="DE24" s="17">
        <v>0</v>
      </c>
      <c r="DF24" s="17">
        <v>1.61</v>
      </c>
      <c r="DG24" s="17">
        <v>0</v>
      </c>
      <c r="DH24" s="17">
        <v>0</v>
      </c>
      <c r="DI24" s="17">
        <v>0</v>
      </c>
      <c r="DJ24" s="17">
        <v>0</v>
      </c>
      <c r="DK24" s="17">
        <v>0.17699999999999999</v>
      </c>
      <c r="DL24" s="17">
        <v>0</v>
      </c>
      <c r="DM24" s="17">
        <v>0</v>
      </c>
      <c r="DN24" s="17">
        <v>0</v>
      </c>
      <c r="DO24" s="17">
        <v>0</v>
      </c>
      <c r="DP24" s="17">
        <v>0</v>
      </c>
      <c r="DQ24" s="17">
        <v>0</v>
      </c>
      <c r="DR24" s="17">
        <v>0</v>
      </c>
      <c r="DS24" s="17">
        <v>0</v>
      </c>
      <c r="DT24" s="17">
        <v>0</v>
      </c>
      <c r="DU24" s="17">
        <v>0</v>
      </c>
      <c r="DV24" s="17">
        <v>1.6479999999999999</v>
      </c>
      <c r="DW24" s="17">
        <v>0</v>
      </c>
      <c r="DX24" s="17">
        <v>0</v>
      </c>
      <c r="DY24" s="17">
        <v>0</v>
      </c>
      <c r="DZ24" s="17">
        <v>0</v>
      </c>
      <c r="EA24" s="17">
        <v>0</v>
      </c>
      <c r="EB24" s="17">
        <v>0</v>
      </c>
      <c r="EC24" s="17">
        <v>0</v>
      </c>
      <c r="ED24" s="17">
        <v>0</v>
      </c>
      <c r="EE24" s="17">
        <v>0</v>
      </c>
      <c r="EF24" s="17">
        <v>0</v>
      </c>
      <c r="EG24" s="17">
        <v>0</v>
      </c>
      <c r="EH24" s="17">
        <v>0</v>
      </c>
      <c r="EI24" s="17">
        <v>0</v>
      </c>
      <c r="EJ24" s="17">
        <v>0</v>
      </c>
      <c r="EK24" s="17">
        <v>0</v>
      </c>
      <c r="EL24" s="17">
        <v>0</v>
      </c>
      <c r="EM24" s="17">
        <v>0</v>
      </c>
      <c r="EN24" s="17">
        <v>0</v>
      </c>
      <c r="EO24" s="17">
        <v>0</v>
      </c>
      <c r="EP24" s="17">
        <v>0</v>
      </c>
      <c r="EQ24" s="17">
        <v>0</v>
      </c>
      <c r="ER24" s="17">
        <v>0</v>
      </c>
      <c r="ES24" s="17">
        <v>0</v>
      </c>
      <c r="ET24" s="17">
        <v>0</v>
      </c>
      <c r="EU24" s="17">
        <v>0</v>
      </c>
      <c r="EV24" s="17">
        <v>0</v>
      </c>
      <c r="EW24" s="17">
        <v>0</v>
      </c>
      <c r="EX24" s="17">
        <v>0</v>
      </c>
      <c r="EY24" s="17">
        <v>0</v>
      </c>
      <c r="EZ24" s="17">
        <v>0</v>
      </c>
      <c r="FA24" s="17">
        <v>0</v>
      </c>
      <c r="FB24" s="17">
        <v>0</v>
      </c>
      <c r="FC24" s="17">
        <v>0</v>
      </c>
      <c r="FD24" s="17">
        <v>0</v>
      </c>
      <c r="FE24" s="17">
        <v>0</v>
      </c>
      <c r="FF24" s="17">
        <v>0</v>
      </c>
      <c r="FG24" s="17">
        <v>0</v>
      </c>
      <c r="FH24" s="17">
        <v>0</v>
      </c>
      <c r="FI24" s="17">
        <v>0</v>
      </c>
      <c r="FJ24" s="17">
        <v>0</v>
      </c>
      <c r="FK24" s="17">
        <v>0</v>
      </c>
      <c r="FL24" s="17">
        <v>0</v>
      </c>
      <c r="FM24" s="17">
        <v>0</v>
      </c>
      <c r="FN24" s="17">
        <v>0</v>
      </c>
      <c r="FO24" s="17">
        <v>0</v>
      </c>
      <c r="FP24" s="17">
        <v>0</v>
      </c>
      <c r="FQ24" s="17">
        <v>0</v>
      </c>
      <c r="FR24" s="17">
        <v>0</v>
      </c>
      <c r="FS24" s="17">
        <v>0</v>
      </c>
      <c r="FT24" s="17">
        <v>0</v>
      </c>
      <c r="FU24" s="17">
        <v>0</v>
      </c>
      <c r="FV24" s="17">
        <v>0</v>
      </c>
      <c r="FW24" s="17">
        <v>0</v>
      </c>
      <c r="FX24" s="17">
        <v>0</v>
      </c>
      <c r="FY24" s="17">
        <v>0</v>
      </c>
      <c r="FZ24" s="17">
        <v>0</v>
      </c>
      <c r="GA24" s="17">
        <v>0</v>
      </c>
      <c r="GB24" s="17">
        <v>0</v>
      </c>
      <c r="GC24" s="17">
        <v>0</v>
      </c>
      <c r="GD24" s="17">
        <v>0</v>
      </c>
      <c r="GE24" s="17">
        <v>0</v>
      </c>
      <c r="GF24" s="17">
        <v>0</v>
      </c>
      <c r="GG24" s="17">
        <v>0</v>
      </c>
      <c r="GH24" s="17">
        <v>0</v>
      </c>
      <c r="GI24" s="17">
        <v>0</v>
      </c>
      <c r="GJ24" s="17">
        <v>0</v>
      </c>
      <c r="GK24" s="17">
        <v>0</v>
      </c>
      <c r="GL24" s="17">
        <v>0</v>
      </c>
      <c r="GM24" s="17">
        <v>0</v>
      </c>
      <c r="GN24" s="17">
        <v>0</v>
      </c>
      <c r="GO24" s="17">
        <v>0</v>
      </c>
      <c r="GP24" s="17">
        <v>0</v>
      </c>
      <c r="GQ24" s="17">
        <v>0</v>
      </c>
      <c r="GR24" s="17">
        <v>0</v>
      </c>
      <c r="GS24" s="17">
        <v>0</v>
      </c>
      <c r="GT24" s="17">
        <v>0</v>
      </c>
      <c r="GU24" s="17">
        <v>0</v>
      </c>
      <c r="GV24" s="17">
        <v>0</v>
      </c>
      <c r="GW24" s="17">
        <v>0</v>
      </c>
      <c r="GX24" s="17">
        <v>0</v>
      </c>
      <c r="GY24" s="17">
        <v>0</v>
      </c>
      <c r="GZ24" s="17">
        <v>0</v>
      </c>
      <c r="HA24" s="17">
        <v>0</v>
      </c>
      <c r="HB24" s="17">
        <v>0</v>
      </c>
      <c r="HC24" s="17">
        <v>0</v>
      </c>
      <c r="HD24" s="17">
        <v>0</v>
      </c>
      <c r="HE24" s="17">
        <v>0</v>
      </c>
      <c r="HF24" s="17">
        <v>0.60299999999999998</v>
      </c>
      <c r="HG24" s="17">
        <v>0</v>
      </c>
      <c r="HH24" s="17">
        <v>0</v>
      </c>
    </row>
    <row r="25" spans="1:216" x14ac:dyDescent="0.25">
      <c r="A25" s="8">
        <v>21</v>
      </c>
      <c r="B25" s="8">
        <v>10</v>
      </c>
      <c r="C25" s="17">
        <v>0</v>
      </c>
      <c r="D25" s="17">
        <v>0</v>
      </c>
      <c r="E25" s="17">
        <v>0</v>
      </c>
      <c r="F25" s="17">
        <v>0</v>
      </c>
      <c r="G25" s="17">
        <v>0</v>
      </c>
      <c r="H25" s="17">
        <v>0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7">
        <v>0</v>
      </c>
      <c r="AP25" s="17">
        <v>0</v>
      </c>
      <c r="AQ25" s="17">
        <v>0</v>
      </c>
      <c r="AR25" s="17">
        <v>0</v>
      </c>
      <c r="AS25" s="17">
        <v>0</v>
      </c>
      <c r="AT25" s="17">
        <v>0</v>
      </c>
      <c r="AU25" s="17">
        <v>0</v>
      </c>
      <c r="AV25" s="17">
        <v>0</v>
      </c>
      <c r="AW25" s="17">
        <v>0</v>
      </c>
      <c r="AX25" s="17">
        <v>0</v>
      </c>
      <c r="AY25" s="17">
        <v>0</v>
      </c>
      <c r="AZ25" s="17">
        <v>1.387</v>
      </c>
      <c r="BA25" s="17">
        <v>0</v>
      </c>
      <c r="BB25" s="17">
        <v>0</v>
      </c>
      <c r="BC25" s="17">
        <v>1.083</v>
      </c>
      <c r="BD25" s="17">
        <v>0</v>
      </c>
      <c r="BE25" s="17">
        <v>0</v>
      </c>
      <c r="BF25" s="17">
        <v>0</v>
      </c>
      <c r="BG25" s="17">
        <v>0</v>
      </c>
      <c r="BH25" s="17">
        <v>0</v>
      </c>
      <c r="BI25" s="17">
        <v>0</v>
      </c>
      <c r="BJ25" s="17">
        <v>0</v>
      </c>
      <c r="BK25" s="17">
        <v>0</v>
      </c>
      <c r="BL25" s="17">
        <v>0</v>
      </c>
      <c r="BM25" s="17">
        <v>0</v>
      </c>
      <c r="BN25" s="17">
        <v>0</v>
      </c>
      <c r="BO25" s="17">
        <v>0</v>
      </c>
      <c r="BP25" s="17">
        <v>0</v>
      </c>
      <c r="BQ25" s="17">
        <v>0</v>
      </c>
      <c r="BR25" s="17">
        <v>0</v>
      </c>
      <c r="BS25" s="17">
        <v>0</v>
      </c>
      <c r="BT25" s="17">
        <v>0</v>
      </c>
      <c r="BU25" s="17">
        <v>0</v>
      </c>
      <c r="BV25" s="17">
        <v>0</v>
      </c>
      <c r="BW25" s="17">
        <v>0</v>
      </c>
      <c r="BX25" s="17">
        <v>0</v>
      </c>
      <c r="BY25" s="17">
        <v>0</v>
      </c>
      <c r="BZ25" s="17">
        <v>0</v>
      </c>
      <c r="CA25" s="17">
        <v>0</v>
      </c>
      <c r="CB25" s="17">
        <v>0</v>
      </c>
      <c r="CC25" s="17">
        <v>0</v>
      </c>
      <c r="CD25" s="17">
        <v>0</v>
      </c>
      <c r="CE25" s="17">
        <v>0</v>
      </c>
      <c r="CF25" s="17">
        <v>0</v>
      </c>
      <c r="CG25" s="17">
        <v>0</v>
      </c>
      <c r="CH25" s="17">
        <v>0</v>
      </c>
      <c r="CI25" s="17">
        <v>0</v>
      </c>
      <c r="CJ25" s="17">
        <v>0</v>
      </c>
      <c r="CK25" s="17">
        <v>0</v>
      </c>
      <c r="CL25" s="17">
        <v>0</v>
      </c>
      <c r="CM25" s="17">
        <v>0</v>
      </c>
      <c r="CN25" s="17">
        <v>0</v>
      </c>
      <c r="CO25" s="17">
        <v>0</v>
      </c>
      <c r="CP25" s="17">
        <v>0</v>
      </c>
      <c r="CQ25" s="17">
        <v>0</v>
      </c>
      <c r="CR25" s="17">
        <v>0</v>
      </c>
      <c r="CS25" s="17">
        <v>0</v>
      </c>
      <c r="CT25" s="17">
        <v>0</v>
      </c>
      <c r="CU25" s="17">
        <v>0</v>
      </c>
      <c r="CV25" s="17">
        <v>0</v>
      </c>
      <c r="CW25" s="17">
        <v>0</v>
      </c>
      <c r="CX25" s="17">
        <v>0</v>
      </c>
      <c r="CY25" s="17">
        <v>0</v>
      </c>
      <c r="CZ25" s="17">
        <v>0</v>
      </c>
      <c r="DA25" s="17">
        <v>0</v>
      </c>
      <c r="DB25" s="17">
        <v>0</v>
      </c>
      <c r="DC25" s="17">
        <v>0</v>
      </c>
      <c r="DD25" s="17">
        <v>0.34200000000000003</v>
      </c>
      <c r="DE25" s="17">
        <v>0</v>
      </c>
      <c r="DF25" s="17">
        <v>0.98599999999999999</v>
      </c>
      <c r="DG25" s="17">
        <v>0</v>
      </c>
      <c r="DH25" s="17">
        <v>0</v>
      </c>
      <c r="DI25" s="17">
        <v>0</v>
      </c>
      <c r="DJ25" s="17">
        <v>0</v>
      </c>
      <c r="DK25" s="17">
        <v>0</v>
      </c>
      <c r="DL25" s="17">
        <v>0</v>
      </c>
      <c r="DM25" s="17">
        <v>0</v>
      </c>
      <c r="DN25" s="17">
        <v>0</v>
      </c>
      <c r="DO25" s="17">
        <v>0</v>
      </c>
      <c r="DP25" s="17">
        <v>0</v>
      </c>
      <c r="DQ25" s="17">
        <v>0</v>
      </c>
      <c r="DR25" s="17">
        <v>0</v>
      </c>
      <c r="DS25" s="17">
        <v>0</v>
      </c>
      <c r="DT25" s="17">
        <v>0</v>
      </c>
      <c r="DU25" s="17">
        <v>0</v>
      </c>
      <c r="DV25" s="17">
        <v>1.4650000000000001</v>
      </c>
      <c r="DW25" s="17">
        <v>0</v>
      </c>
      <c r="DX25" s="17">
        <v>0</v>
      </c>
      <c r="DY25" s="17">
        <v>0</v>
      </c>
      <c r="DZ25" s="17">
        <v>0</v>
      </c>
      <c r="EA25" s="17">
        <v>0</v>
      </c>
      <c r="EB25" s="17">
        <v>0</v>
      </c>
      <c r="EC25" s="17">
        <v>0</v>
      </c>
      <c r="ED25" s="17">
        <v>0</v>
      </c>
      <c r="EE25" s="17">
        <v>0</v>
      </c>
      <c r="EF25" s="17">
        <v>0</v>
      </c>
      <c r="EG25" s="17">
        <v>0</v>
      </c>
      <c r="EH25" s="17">
        <v>0</v>
      </c>
      <c r="EI25" s="17">
        <v>0</v>
      </c>
      <c r="EJ25" s="17">
        <v>0</v>
      </c>
      <c r="EK25" s="17">
        <v>0</v>
      </c>
      <c r="EL25" s="17">
        <v>0</v>
      </c>
      <c r="EM25" s="17">
        <v>0</v>
      </c>
      <c r="EN25" s="17">
        <v>0</v>
      </c>
      <c r="EO25" s="17">
        <v>0</v>
      </c>
      <c r="EP25" s="17">
        <v>0</v>
      </c>
      <c r="EQ25" s="17">
        <v>0</v>
      </c>
      <c r="ER25" s="17">
        <v>0</v>
      </c>
      <c r="ES25" s="17">
        <v>0</v>
      </c>
      <c r="ET25" s="17">
        <v>0</v>
      </c>
      <c r="EU25" s="17">
        <v>0</v>
      </c>
      <c r="EV25" s="17">
        <v>0</v>
      </c>
      <c r="EW25" s="17">
        <v>0</v>
      </c>
      <c r="EX25" s="17">
        <v>0</v>
      </c>
      <c r="EY25" s="17">
        <v>0</v>
      </c>
      <c r="EZ25" s="17">
        <v>0</v>
      </c>
      <c r="FA25" s="17">
        <v>0</v>
      </c>
      <c r="FB25" s="17">
        <v>0</v>
      </c>
      <c r="FC25" s="17">
        <v>0</v>
      </c>
      <c r="FD25" s="17">
        <v>0</v>
      </c>
      <c r="FE25" s="17">
        <v>0</v>
      </c>
      <c r="FF25" s="17">
        <v>0.25900000000000001</v>
      </c>
      <c r="FG25" s="17">
        <v>0</v>
      </c>
      <c r="FH25" s="17">
        <v>0</v>
      </c>
      <c r="FI25" s="17">
        <v>0</v>
      </c>
      <c r="FJ25" s="17">
        <v>0</v>
      </c>
      <c r="FK25" s="17">
        <v>0</v>
      </c>
      <c r="FL25" s="17">
        <v>0</v>
      </c>
      <c r="FM25" s="17">
        <v>0</v>
      </c>
      <c r="FN25" s="17">
        <v>0</v>
      </c>
      <c r="FO25" s="17">
        <v>0</v>
      </c>
      <c r="FP25" s="17">
        <v>0</v>
      </c>
      <c r="FQ25" s="17">
        <v>0</v>
      </c>
      <c r="FR25" s="17">
        <v>0</v>
      </c>
      <c r="FS25" s="17">
        <v>0</v>
      </c>
      <c r="FT25" s="17">
        <v>0</v>
      </c>
      <c r="FU25" s="17">
        <v>0</v>
      </c>
      <c r="FV25" s="17">
        <v>0</v>
      </c>
      <c r="FW25" s="17">
        <v>0</v>
      </c>
      <c r="FX25" s="17">
        <v>0</v>
      </c>
      <c r="FY25" s="17">
        <v>0</v>
      </c>
      <c r="FZ25" s="17">
        <v>0</v>
      </c>
      <c r="GA25" s="17">
        <v>0</v>
      </c>
      <c r="GB25" s="17">
        <v>0</v>
      </c>
      <c r="GC25" s="17">
        <v>0</v>
      </c>
      <c r="GD25" s="17">
        <v>0</v>
      </c>
      <c r="GE25" s="17">
        <v>0</v>
      </c>
      <c r="GF25" s="17">
        <v>0</v>
      </c>
      <c r="GG25" s="17">
        <v>0</v>
      </c>
      <c r="GH25" s="17">
        <v>0</v>
      </c>
      <c r="GI25" s="17">
        <v>0</v>
      </c>
      <c r="GJ25" s="17">
        <v>0</v>
      </c>
      <c r="GK25" s="17">
        <v>0</v>
      </c>
      <c r="GL25" s="17">
        <v>0</v>
      </c>
      <c r="GM25" s="17">
        <v>0</v>
      </c>
      <c r="GN25" s="17">
        <v>0</v>
      </c>
      <c r="GO25" s="17">
        <v>0</v>
      </c>
      <c r="GP25" s="17">
        <v>0</v>
      </c>
      <c r="GQ25" s="17">
        <v>0</v>
      </c>
      <c r="GR25" s="17">
        <v>0</v>
      </c>
      <c r="GS25" s="17">
        <v>0</v>
      </c>
      <c r="GT25" s="17">
        <v>0</v>
      </c>
      <c r="GU25" s="17">
        <v>0</v>
      </c>
      <c r="GV25" s="17">
        <v>0</v>
      </c>
      <c r="GW25" s="17">
        <v>0</v>
      </c>
      <c r="GX25" s="17">
        <v>0</v>
      </c>
      <c r="GY25" s="17">
        <v>0</v>
      </c>
      <c r="GZ25" s="17">
        <v>0</v>
      </c>
      <c r="HA25" s="17">
        <v>0</v>
      </c>
      <c r="HB25" s="17">
        <v>0</v>
      </c>
      <c r="HC25" s="17">
        <v>0</v>
      </c>
      <c r="HD25" s="17">
        <v>0</v>
      </c>
      <c r="HE25" s="17">
        <v>0</v>
      </c>
      <c r="HF25" s="17">
        <v>1.3660000000000001</v>
      </c>
      <c r="HG25" s="17">
        <v>0</v>
      </c>
      <c r="HH25" s="17">
        <v>0</v>
      </c>
    </row>
    <row r="26" spans="1:216" x14ac:dyDescent="0.25">
      <c r="A26" s="8">
        <v>22</v>
      </c>
      <c r="B26" s="8">
        <v>10.5</v>
      </c>
      <c r="C26" s="17">
        <v>0</v>
      </c>
      <c r="D26" s="17">
        <v>0</v>
      </c>
      <c r="E26" s="17">
        <v>0</v>
      </c>
      <c r="F26" s="17">
        <v>0</v>
      </c>
      <c r="G26" s="17">
        <v>0</v>
      </c>
      <c r="H26" s="17">
        <v>0</v>
      </c>
      <c r="I26" s="17">
        <v>0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7">
        <v>0</v>
      </c>
      <c r="AP26" s="17">
        <v>0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7">
        <v>0</v>
      </c>
      <c r="AX26" s="17">
        <v>0</v>
      </c>
      <c r="AY26" s="17">
        <v>0</v>
      </c>
      <c r="AZ26" s="17">
        <v>1.4830000000000001</v>
      </c>
      <c r="BA26" s="17">
        <v>0</v>
      </c>
      <c r="BB26" s="17">
        <v>0</v>
      </c>
      <c r="BC26" s="17">
        <v>0</v>
      </c>
      <c r="BD26" s="17">
        <v>0</v>
      </c>
      <c r="BE26" s="17">
        <v>0</v>
      </c>
      <c r="BF26" s="17">
        <v>0</v>
      </c>
      <c r="BG26" s="17">
        <v>0</v>
      </c>
      <c r="BH26" s="17">
        <v>0</v>
      </c>
      <c r="BI26" s="17">
        <v>0</v>
      </c>
      <c r="BJ26" s="17">
        <v>0</v>
      </c>
      <c r="BK26" s="17">
        <v>0</v>
      </c>
      <c r="BL26" s="17">
        <v>0</v>
      </c>
      <c r="BM26" s="17">
        <v>0</v>
      </c>
      <c r="BN26" s="17">
        <v>0</v>
      </c>
      <c r="BO26" s="17">
        <v>0</v>
      </c>
      <c r="BP26" s="17">
        <v>0</v>
      </c>
      <c r="BQ26" s="17">
        <v>0</v>
      </c>
      <c r="BR26" s="17">
        <v>0</v>
      </c>
      <c r="BS26" s="17">
        <v>0</v>
      </c>
      <c r="BT26" s="17">
        <v>0</v>
      </c>
      <c r="BU26" s="17">
        <v>0</v>
      </c>
      <c r="BV26" s="17">
        <v>0</v>
      </c>
      <c r="BW26" s="17">
        <v>0</v>
      </c>
      <c r="BX26" s="17">
        <v>0</v>
      </c>
      <c r="BY26" s="17">
        <v>0</v>
      </c>
      <c r="BZ26" s="17">
        <v>0</v>
      </c>
      <c r="CA26" s="17">
        <v>0</v>
      </c>
      <c r="CB26" s="17">
        <v>0</v>
      </c>
      <c r="CC26" s="17">
        <v>0</v>
      </c>
      <c r="CD26" s="17">
        <v>0</v>
      </c>
      <c r="CE26" s="17">
        <v>0</v>
      </c>
      <c r="CF26" s="17">
        <v>0</v>
      </c>
      <c r="CG26" s="17">
        <v>0</v>
      </c>
      <c r="CH26" s="17">
        <v>0</v>
      </c>
      <c r="CI26" s="17">
        <v>0</v>
      </c>
      <c r="CJ26" s="17">
        <v>0</v>
      </c>
      <c r="CK26" s="17">
        <v>0</v>
      </c>
      <c r="CL26" s="17">
        <v>0</v>
      </c>
      <c r="CM26" s="17">
        <v>0</v>
      </c>
      <c r="CN26" s="17">
        <v>0</v>
      </c>
      <c r="CO26" s="17">
        <v>0</v>
      </c>
      <c r="CP26" s="17">
        <v>0</v>
      </c>
      <c r="CQ26" s="17">
        <v>0</v>
      </c>
      <c r="CR26" s="17">
        <v>5.8000000000000003E-2</v>
      </c>
      <c r="CS26" s="17">
        <v>0</v>
      </c>
      <c r="CT26" s="17">
        <v>0</v>
      </c>
      <c r="CU26" s="17">
        <v>0</v>
      </c>
      <c r="CV26" s="17">
        <v>0</v>
      </c>
      <c r="CW26" s="17">
        <v>0</v>
      </c>
      <c r="CX26" s="17">
        <v>0</v>
      </c>
      <c r="CY26" s="17">
        <v>0</v>
      </c>
      <c r="CZ26" s="17">
        <v>0</v>
      </c>
      <c r="DA26" s="17">
        <v>0</v>
      </c>
      <c r="DB26" s="17">
        <v>0</v>
      </c>
      <c r="DC26" s="17">
        <v>0</v>
      </c>
      <c r="DD26" s="17">
        <v>0</v>
      </c>
      <c r="DE26" s="17">
        <v>0</v>
      </c>
      <c r="DF26" s="17">
        <v>0</v>
      </c>
      <c r="DG26" s="17">
        <v>0</v>
      </c>
      <c r="DH26" s="17">
        <v>0</v>
      </c>
      <c r="DI26" s="17">
        <v>0</v>
      </c>
      <c r="DJ26" s="17">
        <v>0</v>
      </c>
      <c r="DK26" s="17">
        <v>0</v>
      </c>
      <c r="DL26" s="17">
        <v>0</v>
      </c>
      <c r="DM26" s="17">
        <v>0</v>
      </c>
      <c r="DN26" s="17">
        <v>0</v>
      </c>
      <c r="DO26" s="17">
        <v>0</v>
      </c>
      <c r="DP26" s="17">
        <v>0</v>
      </c>
      <c r="DQ26" s="17">
        <v>0</v>
      </c>
      <c r="DR26" s="17">
        <v>0</v>
      </c>
      <c r="DS26" s="17">
        <v>0</v>
      </c>
      <c r="DT26" s="17">
        <v>0</v>
      </c>
      <c r="DU26" s="17">
        <v>0</v>
      </c>
      <c r="DV26" s="17">
        <v>0.45100000000000001</v>
      </c>
      <c r="DW26" s="17">
        <v>0</v>
      </c>
      <c r="DX26" s="17">
        <v>0</v>
      </c>
      <c r="DY26" s="17">
        <v>0</v>
      </c>
      <c r="DZ26" s="17">
        <v>0.91100000000000003</v>
      </c>
      <c r="EA26" s="17">
        <v>0</v>
      </c>
      <c r="EB26" s="17">
        <v>0</v>
      </c>
      <c r="EC26" s="17">
        <v>0</v>
      </c>
      <c r="ED26" s="17">
        <v>0</v>
      </c>
      <c r="EE26" s="17">
        <v>0</v>
      </c>
      <c r="EF26" s="17">
        <v>0</v>
      </c>
      <c r="EG26" s="17">
        <v>0</v>
      </c>
      <c r="EH26" s="17">
        <v>0</v>
      </c>
      <c r="EI26" s="17">
        <v>0</v>
      </c>
      <c r="EJ26" s="17">
        <v>0</v>
      </c>
      <c r="EK26" s="17">
        <v>0</v>
      </c>
      <c r="EL26" s="17">
        <v>0</v>
      </c>
      <c r="EM26" s="17">
        <v>0</v>
      </c>
      <c r="EN26" s="17">
        <v>0</v>
      </c>
      <c r="EO26" s="17">
        <v>0</v>
      </c>
      <c r="EP26" s="17">
        <v>0</v>
      </c>
      <c r="EQ26" s="17">
        <v>0</v>
      </c>
      <c r="ER26" s="17">
        <v>0</v>
      </c>
      <c r="ES26" s="17">
        <v>0</v>
      </c>
      <c r="ET26" s="17">
        <v>0</v>
      </c>
      <c r="EU26" s="17">
        <v>0</v>
      </c>
      <c r="EV26" s="17">
        <v>0</v>
      </c>
      <c r="EW26" s="17">
        <v>0</v>
      </c>
      <c r="EX26" s="17">
        <v>0</v>
      </c>
      <c r="EY26" s="17">
        <v>0</v>
      </c>
      <c r="EZ26" s="17">
        <v>0</v>
      </c>
      <c r="FA26" s="17">
        <v>0</v>
      </c>
      <c r="FB26" s="17">
        <v>0</v>
      </c>
      <c r="FC26" s="17">
        <v>6.2E-2</v>
      </c>
      <c r="FD26" s="17">
        <v>0</v>
      </c>
      <c r="FE26" s="17">
        <v>0</v>
      </c>
      <c r="FF26" s="17">
        <v>0</v>
      </c>
      <c r="FG26" s="17">
        <v>0</v>
      </c>
      <c r="FH26" s="17">
        <v>0</v>
      </c>
      <c r="FI26" s="17">
        <v>0</v>
      </c>
      <c r="FJ26" s="17">
        <v>0</v>
      </c>
      <c r="FK26" s="17">
        <v>0</v>
      </c>
      <c r="FL26" s="17">
        <v>0</v>
      </c>
      <c r="FM26" s="17">
        <v>0</v>
      </c>
      <c r="FN26" s="17">
        <v>0</v>
      </c>
      <c r="FO26" s="17">
        <v>0</v>
      </c>
      <c r="FP26" s="17">
        <v>0</v>
      </c>
      <c r="FQ26" s="17">
        <v>0</v>
      </c>
      <c r="FR26" s="17">
        <v>0</v>
      </c>
      <c r="FS26" s="17">
        <v>0</v>
      </c>
      <c r="FT26" s="17">
        <v>0</v>
      </c>
      <c r="FU26" s="17">
        <v>0</v>
      </c>
      <c r="FV26" s="17">
        <v>0</v>
      </c>
      <c r="FW26" s="17">
        <v>0</v>
      </c>
      <c r="FX26" s="17">
        <v>0</v>
      </c>
      <c r="FY26" s="17">
        <v>0</v>
      </c>
      <c r="FZ26" s="17">
        <v>0.78600000000000003</v>
      </c>
      <c r="GA26" s="17">
        <v>0</v>
      </c>
      <c r="GB26" s="17">
        <v>0</v>
      </c>
      <c r="GC26" s="17">
        <v>0</v>
      </c>
      <c r="GD26" s="17">
        <v>0</v>
      </c>
      <c r="GE26" s="17">
        <v>0</v>
      </c>
      <c r="GF26" s="17">
        <v>0</v>
      </c>
      <c r="GG26" s="17">
        <v>0</v>
      </c>
      <c r="GH26" s="17">
        <v>0</v>
      </c>
      <c r="GI26" s="17">
        <v>0</v>
      </c>
      <c r="GJ26" s="17">
        <v>0</v>
      </c>
      <c r="GK26" s="17">
        <v>0</v>
      </c>
      <c r="GL26" s="17">
        <v>0</v>
      </c>
      <c r="GM26" s="17">
        <v>0</v>
      </c>
      <c r="GN26" s="17">
        <v>0</v>
      </c>
      <c r="GO26" s="17">
        <v>0</v>
      </c>
      <c r="GP26" s="17">
        <v>0</v>
      </c>
      <c r="GQ26" s="17">
        <v>0</v>
      </c>
      <c r="GR26" s="17">
        <v>0</v>
      </c>
      <c r="GS26" s="17">
        <v>0</v>
      </c>
      <c r="GT26" s="17">
        <v>0</v>
      </c>
      <c r="GU26" s="17">
        <v>0</v>
      </c>
      <c r="GV26" s="17">
        <v>0</v>
      </c>
      <c r="GW26" s="17">
        <v>0</v>
      </c>
      <c r="GX26" s="17">
        <v>0</v>
      </c>
      <c r="GY26" s="17">
        <v>0</v>
      </c>
      <c r="GZ26" s="17">
        <v>0</v>
      </c>
      <c r="HA26" s="17">
        <v>0</v>
      </c>
      <c r="HB26" s="17">
        <v>0</v>
      </c>
      <c r="HC26" s="17">
        <v>0</v>
      </c>
      <c r="HD26" s="17">
        <v>0</v>
      </c>
      <c r="HE26" s="17">
        <v>0</v>
      </c>
      <c r="HF26" s="17">
        <v>1.204</v>
      </c>
      <c r="HG26" s="17">
        <v>0</v>
      </c>
      <c r="HH26" s="17">
        <v>0</v>
      </c>
    </row>
    <row r="27" spans="1:216" x14ac:dyDescent="0.25">
      <c r="A27" s="8">
        <v>23</v>
      </c>
      <c r="B27" s="8">
        <v>11</v>
      </c>
      <c r="C27" s="17">
        <v>0</v>
      </c>
      <c r="D27" s="17">
        <v>0</v>
      </c>
      <c r="E27" s="17">
        <v>0</v>
      </c>
      <c r="F27" s="17">
        <v>0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0.151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7">
        <v>0</v>
      </c>
      <c r="AP27" s="17">
        <v>0</v>
      </c>
      <c r="AQ27" s="17">
        <v>0</v>
      </c>
      <c r="AR27" s="17">
        <v>0</v>
      </c>
      <c r="AS27" s="17">
        <v>0</v>
      </c>
      <c r="AT27" s="17">
        <v>0</v>
      </c>
      <c r="AU27" s="17">
        <v>0</v>
      </c>
      <c r="AV27" s="17">
        <v>0</v>
      </c>
      <c r="AW27" s="17">
        <v>0</v>
      </c>
      <c r="AX27" s="17">
        <v>0</v>
      </c>
      <c r="AY27" s="17">
        <v>0</v>
      </c>
      <c r="AZ27" s="17">
        <v>0</v>
      </c>
      <c r="BA27" s="17">
        <v>0</v>
      </c>
      <c r="BB27" s="17">
        <v>0</v>
      </c>
      <c r="BC27" s="17">
        <v>0</v>
      </c>
      <c r="BD27" s="17">
        <v>0</v>
      </c>
      <c r="BE27" s="17">
        <v>0</v>
      </c>
      <c r="BF27" s="17">
        <v>0</v>
      </c>
      <c r="BG27" s="17">
        <v>0</v>
      </c>
      <c r="BH27" s="17">
        <v>0</v>
      </c>
      <c r="BI27" s="17">
        <v>0</v>
      </c>
      <c r="BJ27" s="17">
        <v>0</v>
      </c>
      <c r="BK27" s="17">
        <v>0</v>
      </c>
      <c r="BL27" s="17">
        <v>0</v>
      </c>
      <c r="BM27" s="17">
        <v>0</v>
      </c>
      <c r="BN27" s="17">
        <v>0</v>
      </c>
      <c r="BO27" s="17">
        <v>0</v>
      </c>
      <c r="BP27" s="17">
        <v>0</v>
      </c>
      <c r="BQ27" s="17">
        <v>0</v>
      </c>
      <c r="BR27" s="17">
        <v>0</v>
      </c>
      <c r="BS27" s="17">
        <v>0</v>
      </c>
      <c r="BT27" s="17">
        <v>0</v>
      </c>
      <c r="BU27" s="17">
        <v>0</v>
      </c>
      <c r="BV27" s="17">
        <v>0</v>
      </c>
      <c r="BW27" s="17">
        <v>0</v>
      </c>
      <c r="BX27" s="17">
        <v>0</v>
      </c>
      <c r="BY27" s="17">
        <v>0</v>
      </c>
      <c r="BZ27" s="17">
        <v>0</v>
      </c>
      <c r="CA27" s="17">
        <v>0</v>
      </c>
      <c r="CB27" s="17">
        <v>0</v>
      </c>
      <c r="CC27" s="17">
        <v>0</v>
      </c>
      <c r="CD27" s="17">
        <v>0</v>
      </c>
      <c r="CE27" s="17">
        <v>0</v>
      </c>
      <c r="CF27" s="17">
        <v>0</v>
      </c>
      <c r="CG27" s="17">
        <v>0</v>
      </c>
      <c r="CH27" s="17">
        <v>0</v>
      </c>
      <c r="CI27" s="17">
        <v>0</v>
      </c>
      <c r="CJ27" s="17">
        <v>0</v>
      </c>
      <c r="CK27" s="17">
        <v>0</v>
      </c>
      <c r="CL27" s="17">
        <v>0</v>
      </c>
      <c r="CM27" s="17">
        <v>0.28499999999999998</v>
      </c>
      <c r="CN27" s="17">
        <v>0</v>
      </c>
      <c r="CO27" s="17">
        <v>0</v>
      </c>
      <c r="CP27" s="17">
        <v>0</v>
      </c>
      <c r="CQ27" s="17">
        <v>0</v>
      </c>
      <c r="CR27" s="17">
        <v>0.32900000000000001</v>
      </c>
      <c r="CS27" s="17">
        <v>0</v>
      </c>
      <c r="CT27" s="17">
        <v>0</v>
      </c>
      <c r="CU27" s="17">
        <v>0</v>
      </c>
      <c r="CV27" s="17">
        <v>0</v>
      </c>
      <c r="CW27" s="17">
        <v>0</v>
      </c>
      <c r="CX27" s="17">
        <v>0</v>
      </c>
      <c r="CY27" s="17">
        <v>0</v>
      </c>
      <c r="CZ27" s="17">
        <v>0</v>
      </c>
      <c r="DA27" s="17">
        <v>0</v>
      </c>
      <c r="DB27" s="17">
        <v>0</v>
      </c>
      <c r="DC27" s="17">
        <v>0</v>
      </c>
      <c r="DD27" s="17">
        <v>0</v>
      </c>
      <c r="DE27" s="17">
        <v>0</v>
      </c>
      <c r="DF27" s="17">
        <v>0</v>
      </c>
      <c r="DG27" s="17">
        <v>0</v>
      </c>
      <c r="DH27" s="17">
        <v>0</v>
      </c>
      <c r="DI27" s="17">
        <v>0</v>
      </c>
      <c r="DJ27" s="17">
        <v>0</v>
      </c>
      <c r="DK27" s="17">
        <v>0</v>
      </c>
      <c r="DL27" s="17">
        <v>0</v>
      </c>
      <c r="DM27" s="17">
        <v>0</v>
      </c>
      <c r="DN27" s="17">
        <v>0</v>
      </c>
      <c r="DO27" s="17">
        <v>0</v>
      </c>
      <c r="DP27" s="17">
        <v>0</v>
      </c>
      <c r="DQ27" s="17">
        <v>0</v>
      </c>
      <c r="DR27" s="17">
        <v>0.218</v>
      </c>
      <c r="DS27" s="17">
        <v>0</v>
      </c>
      <c r="DT27" s="17">
        <v>0</v>
      </c>
      <c r="DU27" s="17">
        <v>0</v>
      </c>
      <c r="DV27" s="17">
        <v>0.16500000000000001</v>
      </c>
      <c r="DW27" s="17">
        <v>0</v>
      </c>
      <c r="DX27" s="17">
        <v>0</v>
      </c>
      <c r="DY27" s="17">
        <v>0</v>
      </c>
      <c r="DZ27" s="17">
        <v>7.1999999999999995E-2</v>
      </c>
      <c r="EA27" s="17">
        <v>0</v>
      </c>
      <c r="EB27" s="17">
        <v>0</v>
      </c>
      <c r="EC27" s="17">
        <v>0</v>
      </c>
      <c r="ED27" s="17">
        <v>0</v>
      </c>
      <c r="EE27" s="17">
        <v>0</v>
      </c>
      <c r="EF27" s="17">
        <v>0</v>
      </c>
      <c r="EG27" s="17">
        <v>0</v>
      </c>
      <c r="EH27" s="17">
        <v>0</v>
      </c>
      <c r="EI27" s="17">
        <v>0</v>
      </c>
      <c r="EJ27" s="17">
        <v>0</v>
      </c>
      <c r="EK27" s="17">
        <v>0</v>
      </c>
      <c r="EL27" s="17">
        <v>0</v>
      </c>
      <c r="EM27" s="17">
        <v>0</v>
      </c>
      <c r="EN27" s="17">
        <v>0</v>
      </c>
      <c r="EO27" s="17">
        <v>0</v>
      </c>
      <c r="EP27" s="17">
        <v>0</v>
      </c>
      <c r="EQ27" s="17">
        <v>0</v>
      </c>
      <c r="ER27" s="17">
        <v>0</v>
      </c>
      <c r="ES27" s="17">
        <v>0</v>
      </c>
      <c r="ET27" s="17">
        <v>0</v>
      </c>
      <c r="EU27" s="17">
        <v>0</v>
      </c>
      <c r="EV27" s="17">
        <v>0</v>
      </c>
      <c r="EW27" s="17">
        <v>0</v>
      </c>
      <c r="EX27" s="17">
        <v>0</v>
      </c>
      <c r="EY27" s="17">
        <v>0</v>
      </c>
      <c r="EZ27" s="17">
        <v>0</v>
      </c>
      <c r="FA27" s="17">
        <v>0</v>
      </c>
      <c r="FB27" s="17">
        <v>0</v>
      </c>
      <c r="FC27" s="17">
        <v>0</v>
      </c>
      <c r="FD27" s="17">
        <v>0</v>
      </c>
      <c r="FE27" s="17">
        <v>0</v>
      </c>
      <c r="FF27" s="17">
        <v>0</v>
      </c>
      <c r="FG27" s="17">
        <v>0</v>
      </c>
      <c r="FH27" s="17">
        <v>0</v>
      </c>
      <c r="FI27" s="17">
        <v>0</v>
      </c>
      <c r="FJ27" s="17">
        <v>0</v>
      </c>
      <c r="FK27" s="17">
        <v>0</v>
      </c>
      <c r="FL27" s="17">
        <v>0</v>
      </c>
      <c r="FM27" s="17">
        <v>0</v>
      </c>
      <c r="FN27" s="17">
        <v>0</v>
      </c>
      <c r="FO27" s="17">
        <v>0</v>
      </c>
      <c r="FP27" s="17">
        <v>0</v>
      </c>
      <c r="FQ27" s="17">
        <v>0</v>
      </c>
      <c r="FR27" s="17">
        <v>0</v>
      </c>
      <c r="FS27" s="17">
        <v>0</v>
      </c>
      <c r="FT27" s="17">
        <v>0</v>
      </c>
      <c r="FU27" s="17">
        <v>0</v>
      </c>
      <c r="FV27" s="17">
        <v>0</v>
      </c>
      <c r="FW27" s="17">
        <v>0</v>
      </c>
      <c r="FX27" s="17">
        <v>0</v>
      </c>
      <c r="FY27" s="17">
        <v>0</v>
      </c>
      <c r="FZ27" s="17">
        <v>0</v>
      </c>
      <c r="GA27" s="17">
        <v>0</v>
      </c>
      <c r="GB27" s="17">
        <v>0</v>
      </c>
      <c r="GC27" s="17">
        <v>0</v>
      </c>
      <c r="GD27" s="17">
        <v>0</v>
      </c>
      <c r="GE27" s="17">
        <v>0</v>
      </c>
      <c r="GF27" s="17">
        <v>0</v>
      </c>
      <c r="GG27" s="17">
        <v>0</v>
      </c>
      <c r="GH27" s="17">
        <v>0</v>
      </c>
      <c r="GI27" s="17">
        <v>0</v>
      </c>
      <c r="GJ27" s="17">
        <v>0</v>
      </c>
      <c r="GK27" s="17">
        <v>0</v>
      </c>
      <c r="GL27" s="17">
        <v>0</v>
      </c>
      <c r="GM27" s="17">
        <v>0</v>
      </c>
      <c r="GN27" s="17">
        <v>0</v>
      </c>
      <c r="GO27" s="17">
        <v>0</v>
      </c>
      <c r="GP27" s="17">
        <v>0</v>
      </c>
      <c r="GQ27" s="17">
        <v>0</v>
      </c>
      <c r="GR27" s="17">
        <v>0</v>
      </c>
      <c r="GS27" s="17">
        <v>0</v>
      </c>
      <c r="GT27" s="17">
        <v>0</v>
      </c>
      <c r="GU27" s="17">
        <v>0</v>
      </c>
      <c r="GV27" s="17">
        <v>0</v>
      </c>
      <c r="GW27" s="17">
        <v>0</v>
      </c>
      <c r="GX27" s="17">
        <v>0</v>
      </c>
      <c r="GY27" s="17">
        <v>0</v>
      </c>
      <c r="GZ27" s="17">
        <v>0</v>
      </c>
      <c r="HA27" s="17">
        <v>0</v>
      </c>
      <c r="HB27" s="17">
        <v>0</v>
      </c>
      <c r="HC27" s="17">
        <v>0</v>
      </c>
      <c r="HD27" s="17">
        <v>0</v>
      </c>
      <c r="HE27" s="17">
        <v>0</v>
      </c>
      <c r="HF27" s="17">
        <v>0</v>
      </c>
      <c r="HG27" s="17">
        <v>0</v>
      </c>
      <c r="HH27" s="17">
        <v>0</v>
      </c>
    </row>
    <row r="28" spans="1:216" x14ac:dyDescent="0.25">
      <c r="A28" s="8">
        <v>24</v>
      </c>
      <c r="B28" s="8">
        <v>11.5</v>
      </c>
      <c r="C28" s="17">
        <v>0</v>
      </c>
      <c r="D28" s="17">
        <v>0</v>
      </c>
      <c r="E28" s="17">
        <v>0</v>
      </c>
      <c r="F28" s="17">
        <v>0</v>
      </c>
      <c r="G28" s="17">
        <v>0</v>
      </c>
      <c r="H28" s="17">
        <v>0</v>
      </c>
      <c r="I28" s="17">
        <v>0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7">
        <v>0</v>
      </c>
      <c r="AP28" s="17">
        <v>0</v>
      </c>
      <c r="AQ28" s="17">
        <v>0</v>
      </c>
      <c r="AR28" s="17">
        <v>0</v>
      </c>
      <c r="AS28" s="17">
        <v>0</v>
      </c>
      <c r="AT28" s="17">
        <v>0</v>
      </c>
      <c r="AU28" s="17">
        <v>0</v>
      </c>
      <c r="AV28" s="17">
        <v>0</v>
      </c>
      <c r="AW28" s="17">
        <v>0</v>
      </c>
      <c r="AX28" s="17">
        <v>0</v>
      </c>
      <c r="AY28" s="17">
        <v>0</v>
      </c>
      <c r="AZ28" s="17">
        <v>0</v>
      </c>
      <c r="BA28" s="17">
        <v>0</v>
      </c>
      <c r="BB28" s="17">
        <v>0</v>
      </c>
      <c r="BC28" s="17">
        <v>0</v>
      </c>
      <c r="BD28" s="17">
        <v>0</v>
      </c>
      <c r="BE28" s="17">
        <v>0</v>
      </c>
      <c r="BF28" s="17">
        <v>0.747</v>
      </c>
      <c r="BG28" s="17">
        <v>0</v>
      </c>
      <c r="BH28" s="17">
        <v>0</v>
      </c>
      <c r="BI28" s="17">
        <v>0</v>
      </c>
      <c r="BJ28" s="17">
        <v>0</v>
      </c>
      <c r="BK28" s="17">
        <v>0</v>
      </c>
      <c r="BL28" s="17">
        <v>0</v>
      </c>
      <c r="BM28" s="17">
        <v>0</v>
      </c>
      <c r="BN28" s="17">
        <v>0</v>
      </c>
      <c r="BO28" s="17">
        <v>0</v>
      </c>
      <c r="BP28" s="17">
        <v>0</v>
      </c>
      <c r="BQ28" s="17">
        <v>0</v>
      </c>
      <c r="BR28" s="17">
        <v>0</v>
      </c>
      <c r="BS28" s="17">
        <v>0</v>
      </c>
      <c r="BT28" s="17">
        <v>0</v>
      </c>
      <c r="BU28" s="17">
        <v>0</v>
      </c>
      <c r="BV28" s="17">
        <v>0</v>
      </c>
      <c r="BW28" s="17">
        <v>0</v>
      </c>
      <c r="BX28" s="17">
        <v>0</v>
      </c>
      <c r="BY28" s="17">
        <v>0</v>
      </c>
      <c r="BZ28" s="17">
        <v>0</v>
      </c>
      <c r="CA28" s="17">
        <v>0</v>
      </c>
      <c r="CB28" s="17">
        <v>0</v>
      </c>
      <c r="CC28" s="17">
        <v>0</v>
      </c>
      <c r="CD28" s="17">
        <v>0</v>
      </c>
      <c r="CE28" s="17">
        <v>0</v>
      </c>
      <c r="CF28" s="17">
        <v>0</v>
      </c>
      <c r="CG28" s="17">
        <v>0</v>
      </c>
      <c r="CH28" s="17">
        <v>0</v>
      </c>
      <c r="CI28" s="17">
        <v>0</v>
      </c>
      <c r="CJ28" s="17">
        <v>0</v>
      </c>
      <c r="CK28" s="17">
        <v>0</v>
      </c>
      <c r="CL28" s="17">
        <v>0</v>
      </c>
      <c r="CM28" s="17">
        <v>0</v>
      </c>
      <c r="CN28" s="17">
        <v>0</v>
      </c>
      <c r="CO28" s="17">
        <v>0</v>
      </c>
      <c r="CP28" s="17">
        <v>0</v>
      </c>
      <c r="CQ28" s="17">
        <v>0</v>
      </c>
      <c r="CR28" s="17">
        <v>0</v>
      </c>
      <c r="CS28" s="17">
        <v>0</v>
      </c>
      <c r="CT28" s="17">
        <v>0</v>
      </c>
      <c r="CU28" s="17">
        <v>0</v>
      </c>
      <c r="CV28" s="17">
        <v>0</v>
      </c>
      <c r="CW28" s="17">
        <v>0</v>
      </c>
      <c r="CX28" s="17">
        <v>0</v>
      </c>
      <c r="CY28" s="17">
        <v>0</v>
      </c>
      <c r="CZ28" s="17">
        <v>0</v>
      </c>
      <c r="DA28" s="17">
        <v>0</v>
      </c>
      <c r="DB28" s="17">
        <v>0</v>
      </c>
      <c r="DC28" s="17">
        <v>0</v>
      </c>
      <c r="DD28" s="17">
        <v>0</v>
      </c>
      <c r="DE28" s="17">
        <v>0</v>
      </c>
      <c r="DF28" s="17">
        <v>1.123</v>
      </c>
      <c r="DG28" s="17">
        <v>0</v>
      </c>
      <c r="DH28" s="17">
        <v>0</v>
      </c>
      <c r="DI28" s="17">
        <v>0</v>
      </c>
      <c r="DJ28" s="17">
        <v>0</v>
      </c>
      <c r="DK28" s="17">
        <v>0</v>
      </c>
      <c r="DL28" s="17">
        <v>0</v>
      </c>
      <c r="DM28" s="17">
        <v>0</v>
      </c>
      <c r="DN28" s="17">
        <v>0</v>
      </c>
      <c r="DO28" s="17">
        <v>0</v>
      </c>
      <c r="DP28" s="17">
        <v>0</v>
      </c>
      <c r="DQ28" s="17">
        <v>0</v>
      </c>
      <c r="DR28" s="17">
        <v>0</v>
      </c>
      <c r="DS28" s="17">
        <v>0</v>
      </c>
      <c r="DT28" s="17">
        <v>0</v>
      </c>
      <c r="DU28" s="17">
        <v>0</v>
      </c>
      <c r="DV28" s="17">
        <v>0</v>
      </c>
      <c r="DW28" s="17">
        <v>0</v>
      </c>
      <c r="DX28" s="17">
        <v>0</v>
      </c>
      <c r="DY28" s="17">
        <v>0</v>
      </c>
      <c r="DZ28" s="17">
        <v>0</v>
      </c>
      <c r="EA28" s="17">
        <v>0</v>
      </c>
      <c r="EB28" s="17">
        <v>0</v>
      </c>
      <c r="EC28" s="17">
        <v>0</v>
      </c>
      <c r="ED28" s="17">
        <v>0</v>
      </c>
      <c r="EE28" s="17">
        <v>0</v>
      </c>
      <c r="EF28" s="17">
        <v>0</v>
      </c>
      <c r="EG28" s="17">
        <v>0</v>
      </c>
      <c r="EH28" s="17">
        <v>0</v>
      </c>
      <c r="EI28" s="17">
        <v>0</v>
      </c>
      <c r="EJ28" s="17">
        <v>0</v>
      </c>
      <c r="EK28" s="17">
        <v>0</v>
      </c>
      <c r="EL28" s="17">
        <v>0</v>
      </c>
      <c r="EM28" s="17">
        <v>0</v>
      </c>
      <c r="EN28" s="17">
        <v>0</v>
      </c>
      <c r="EO28" s="17">
        <v>0</v>
      </c>
      <c r="EP28" s="17">
        <v>0</v>
      </c>
      <c r="EQ28" s="17">
        <v>0</v>
      </c>
      <c r="ER28" s="17">
        <v>0</v>
      </c>
      <c r="ES28" s="17">
        <v>0</v>
      </c>
      <c r="ET28" s="17">
        <v>0</v>
      </c>
      <c r="EU28" s="17">
        <v>0</v>
      </c>
      <c r="EV28" s="17">
        <v>0</v>
      </c>
      <c r="EW28" s="17">
        <v>0</v>
      </c>
      <c r="EX28" s="17">
        <v>0</v>
      </c>
      <c r="EY28" s="17">
        <v>0</v>
      </c>
      <c r="EZ28" s="17">
        <v>0</v>
      </c>
      <c r="FA28" s="17">
        <v>0</v>
      </c>
      <c r="FB28" s="17">
        <v>0</v>
      </c>
      <c r="FC28" s="17">
        <v>0</v>
      </c>
      <c r="FD28" s="17">
        <v>0</v>
      </c>
      <c r="FE28" s="17">
        <v>0</v>
      </c>
      <c r="FF28" s="17">
        <v>0</v>
      </c>
      <c r="FG28" s="17">
        <v>0</v>
      </c>
      <c r="FH28" s="17">
        <v>0</v>
      </c>
      <c r="FI28" s="17">
        <v>0</v>
      </c>
      <c r="FJ28" s="17">
        <v>0</v>
      </c>
      <c r="FK28" s="17">
        <v>0</v>
      </c>
      <c r="FL28" s="17">
        <v>0</v>
      </c>
      <c r="FM28" s="17">
        <v>0</v>
      </c>
      <c r="FN28" s="17">
        <v>0</v>
      </c>
      <c r="FO28" s="17">
        <v>0</v>
      </c>
      <c r="FP28" s="17">
        <v>0</v>
      </c>
      <c r="FQ28" s="17">
        <v>0</v>
      </c>
      <c r="FR28" s="17">
        <v>0</v>
      </c>
      <c r="FS28" s="17">
        <v>0</v>
      </c>
      <c r="FT28" s="17">
        <v>0</v>
      </c>
      <c r="FU28" s="17">
        <v>0</v>
      </c>
      <c r="FV28" s="17">
        <v>0</v>
      </c>
      <c r="FW28" s="17">
        <v>0</v>
      </c>
      <c r="FX28" s="17">
        <v>0</v>
      </c>
      <c r="FY28" s="17">
        <v>0</v>
      </c>
      <c r="FZ28" s="17">
        <v>0</v>
      </c>
      <c r="GA28" s="17">
        <v>0</v>
      </c>
      <c r="GB28" s="17">
        <v>0</v>
      </c>
      <c r="GC28" s="17">
        <v>0</v>
      </c>
      <c r="GD28" s="17">
        <v>0</v>
      </c>
      <c r="GE28" s="17">
        <v>0</v>
      </c>
      <c r="GF28" s="17">
        <v>0</v>
      </c>
      <c r="GG28" s="17">
        <v>0</v>
      </c>
      <c r="GH28" s="17">
        <v>0</v>
      </c>
      <c r="GI28" s="17">
        <v>0</v>
      </c>
      <c r="GJ28" s="17">
        <v>0</v>
      </c>
      <c r="GK28" s="17">
        <v>0</v>
      </c>
      <c r="GL28" s="17">
        <v>0</v>
      </c>
      <c r="GM28" s="17">
        <v>0</v>
      </c>
      <c r="GN28" s="17">
        <v>0</v>
      </c>
      <c r="GO28" s="17">
        <v>0</v>
      </c>
      <c r="GP28" s="17">
        <v>0</v>
      </c>
      <c r="GQ28" s="17">
        <v>0</v>
      </c>
      <c r="GR28" s="17">
        <v>0</v>
      </c>
      <c r="GS28" s="17">
        <v>0</v>
      </c>
      <c r="GT28" s="17">
        <v>0</v>
      </c>
      <c r="GU28" s="17">
        <v>0</v>
      </c>
      <c r="GV28" s="17">
        <v>0</v>
      </c>
      <c r="GW28" s="17">
        <v>0</v>
      </c>
      <c r="GX28" s="17">
        <v>0</v>
      </c>
      <c r="GY28" s="17">
        <v>0</v>
      </c>
      <c r="GZ28" s="17">
        <v>0</v>
      </c>
      <c r="HA28" s="17">
        <v>0</v>
      </c>
      <c r="HB28" s="17">
        <v>0</v>
      </c>
      <c r="HC28" s="17">
        <v>0</v>
      </c>
      <c r="HD28" s="17">
        <v>0</v>
      </c>
      <c r="HE28" s="17">
        <v>0</v>
      </c>
      <c r="HF28" s="17">
        <v>0</v>
      </c>
      <c r="HG28" s="17">
        <v>0</v>
      </c>
      <c r="HH28" s="17">
        <v>0</v>
      </c>
    </row>
    <row r="29" spans="1:216" x14ac:dyDescent="0.25">
      <c r="A29" s="8">
        <v>25</v>
      </c>
      <c r="B29" s="8">
        <v>12</v>
      </c>
      <c r="C29" s="17">
        <v>0</v>
      </c>
      <c r="D29" s="17">
        <v>0</v>
      </c>
      <c r="E29" s="17">
        <v>0</v>
      </c>
      <c r="F29" s="17">
        <v>0</v>
      </c>
      <c r="G29" s="17">
        <v>0</v>
      </c>
      <c r="H29" s="17">
        <v>0</v>
      </c>
      <c r="I29" s="17">
        <v>0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7">
        <v>0</v>
      </c>
      <c r="AP29" s="17">
        <v>0</v>
      </c>
      <c r="AQ29" s="17">
        <v>0</v>
      </c>
      <c r="AR29" s="17">
        <v>0</v>
      </c>
      <c r="AS29" s="17">
        <v>0</v>
      </c>
      <c r="AT29" s="17">
        <v>0</v>
      </c>
      <c r="AU29" s="17">
        <v>0</v>
      </c>
      <c r="AV29" s="17">
        <v>0</v>
      </c>
      <c r="AW29" s="17">
        <v>0</v>
      </c>
      <c r="AX29" s="17">
        <v>0</v>
      </c>
      <c r="AY29" s="17">
        <v>0</v>
      </c>
      <c r="AZ29" s="17">
        <v>0</v>
      </c>
      <c r="BA29" s="17">
        <v>0</v>
      </c>
      <c r="BB29" s="17">
        <v>0</v>
      </c>
      <c r="BC29" s="17">
        <v>0</v>
      </c>
      <c r="BD29" s="17">
        <v>0</v>
      </c>
      <c r="BE29" s="17">
        <v>0</v>
      </c>
      <c r="BF29" s="17">
        <v>0</v>
      </c>
      <c r="BG29" s="17">
        <v>0</v>
      </c>
      <c r="BH29" s="17">
        <v>0</v>
      </c>
      <c r="BI29" s="17">
        <v>0</v>
      </c>
      <c r="BJ29" s="17">
        <v>0</v>
      </c>
      <c r="BK29" s="17">
        <v>0</v>
      </c>
      <c r="BL29" s="17">
        <v>0</v>
      </c>
      <c r="BM29" s="17">
        <v>0</v>
      </c>
      <c r="BN29" s="17">
        <v>0</v>
      </c>
      <c r="BO29" s="17">
        <v>0</v>
      </c>
      <c r="BP29" s="17">
        <v>0</v>
      </c>
      <c r="BQ29" s="17">
        <v>0</v>
      </c>
      <c r="BR29" s="17">
        <v>0</v>
      </c>
      <c r="BS29" s="17">
        <v>0</v>
      </c>
      <c r="BT29" s="17">
        <v>0</v>
      </c>
      <c r="BU29" s="17">
        <v>0</v>
      </c>
      <c r="BV29" s="17">
        <v>0</v>
      </c>
      <c r="BW29" s="17">
        <v>0</v>
      </c>
      <c r="BX29" s="17">
        <v>0</v>
      </c>
      <c r="BY29" s="17">
        <v>0</v>
      </c>
      <c r="BZ29" s="17">
        <v>0</v>
      </c>
      <c r="CA29" s="17">
        <v>0</v>
      </c>
      <c r="CB29" s="17">
        <v>0</v>
      </c>
      <c r="CC29" s="17">
        <v>0</v>
      </c>
      <c r="CD29" s="17">
        <v>0</v>
      </c>
      <c r="CE29" s="17">
        <v>0</v>
      </c>
      <c r="CF29" s="17">
        <v>0</v>
      </c>
      <c r="CG29" s="17">
        <v>0</v>
      </c>
      <c r="CH29" s="17">
        <v>0</v>
      </c>
      <c r="CI29" s="17">
        <v>0</v>
      </c>
      <c r="CJ29" s="17">
        <v>0</v>
      </c>
      <c r="CK29" s="17">
        <v>0</v>
      </c>
      <c r="CL29" s="17">
        <v>0</v>
      </c>
      <c r="CM29" s="17">
        <v>0</v>
      </c>
      <c r="CN29" s="17">
        <v>0</v>
      </c>
      <c r="CO29" s="17">
        <v>0</v>
      </c>
      <c r="CP29" s="17">
        <v>0</v>
      </c>
      <c r="CQ29" s="17">
        <v>0</v>
      </c>
      <c r="CR29" s="17">
        <v>0</v>
      </c>
      <c r="CS29" s="17">
        <v>0</v>
      </c>
      <c r="CT29" s="17">
        <v>0</v>
      </c>
      <c r="CU29" s="17">
        <v>0</v>
      </c>
      <c r="CV29" s="17">
        <v>0</v>
      </c>
      <c r="CW29" s="17">
        <v>0</v>
      </c>
      <c r="CX29" s="17">
        <v>0</v>
      </c>
      <c r="CY29" s="17">
        <v>0</v>
      </c>
      <c r="CZ29" s="17">
        <v>0</v>
      </c>
      <c r="DA29" s="17">
        <v>0</v>
      </c>
      <c r="DB29" s="17">
        <v>0</v>
      </c>
      <c r="DC29" s="17">
        <v>0</v>
      </c>
      <c r="DD29" s="17">
        <v>0</v>
      </c>
      <c r="DE29" s="17">
        <v>0</v>
      </c>
      <c r="DF29" s="17">
        <v>0</v>
      </c>
      <c r="DG29" s="17">
        <v>0</v>
      </c>
      <c r="DH29" s="17">
        <v>0</v>
      </c>
      <c r="DI29" s="17">
        <v>0</v>
      </c>
      <c r="DJ29" s="17">
        <v>0</v>
      </c>
      <c r="DK29" s="17">
        <v>0</v>
      </c>
      <c r="DL29" s="17">
        <v>0</v>
      </c>
      <c r="DM29" s="17">
        <v>0</v>
      </c>
      <c r="DN29" s="17">
        <v>0</v>
      </c>
      <c r="DO29" s="17">
        <v>0</v>
      </c>
      <c r="DP29" s="17">
        <v>0</v>
      </c>
      <c r="DQ29" s="17">
        <v>0</v>
      </c>
      <c r="DR29" s="17">
        <v>0</v>
      </c>
      <c r="DS29" s="17">
        <v>0</v>
      </c>
      <c r="DT29" s="17">
        <v>0</v>
      </c>
      <c r="DU29" s="17">
        <v>0</v>
      </c>
      <c r="DV29" s="17">
        <v>0</v>
      </c>
      <c r="DW29" s="17">
        <v>0</v>
      </c>
      <c r="DX29" s="17">
        <v>0</v>
      </c>
      <c r="DY29" s="17">
        <v>0</v>
      </c>
      <c r="DZ29" s="17">
        <v>9.1999999999999998E-2</v>
      </c>
      <c r="EA29" s="17">
        <v>0</v>
      </c>
      <c r="EB29" s="17">
        <v>0</v>
      </c>
      <c r="EC29" s="17">
        <v>0</v>
      </c>
      <c r="ED29" s="17">
        <v>0</v>
      </c>
      <c r="EE29" s="17">
        <v>0</v>
      </c>
      <c r="EF29" s="17">
        <v>0</v>
      </c>
      <c r="EG29" s="17">
        <v>0</v>
      </c>
      <c r="EH29" s="17">
        <v>0</v>
      </c>
      <c r="EI29" s="17">
        <v>0</v>
      </c>
      <c r="EJ29" s="17">
        <v>0</v>
      </c>
      <c r="EK29" s="17">
        <v>0</v>
      </c>
      <c r="EL29" s="17">
        <v>0</v>
      </c>
      <c r="EM29" s="17">
        <v>0</v>
      </c>
      <c r="EN29" s="17">
        <v>0</v>
      </c>
      <c r="EO29" s="17">
        <v>0</v>
      </c>
      <c r="EP29" s="17">
        <v>0</v>
      </c>
      <c r="EQ29" s="17">
        <v>0</v>
      </c>
      <c r="ER29" s="17">
        <v>0</v>
      </c>
      <c r="ES29" s="17">
        <v>0</v>
      </c>
      <c r="ET29" s="17">
        <v>0</v>
      </c>
      <c r="EU29" s="17">
        <v>0</v>
      </c>
      <c r="EV29" s="17">
        <v>0</v>
      </c>
      <c r="EW29" s="17">
        <v>0</v>
      </c>
      <c r="EX29" s="17">
        <v>0</v>
      </c>
      <c r="EY29" s="17">
        <v>0</v>
      </c>
      <c r="EZ29" s="17">
        <v>0</v>
      </c>
      <c r="FA29" s="17">
        <v>0</v>
      </c>
      <c r="FB29" s="17">
        <v>0</v>
      </c>
      <c r="FC29" s="17">
        <v>8.3000000000000004E-2</v>
      </c>
      <c r="FD29" s="17">
        <v>0</v>
      </c>
      <c r="FE29" s="17">
        <v>0</v>
      </c>
      <c r="FF29" s="17">
        <v>0</v>
      </c>
      <c r="FG29" s="17">
        <v>0</v>
      </c>
      <c r="FH29" s="17">
        <v>0</v>
      </c>
      <c r="FI29" s="17">
        <v>0</v>
      </c>
      <c r="FJ29" s="17">
        <v>0</v>
      </c>
      <c r="FK29" s="17">
        <v>0</v>
      </c>
      <c r="FL29" s="17">
        <v>0</v>
      </c>
      <c r="FM29" s="17">
        <v>0</v>
      </c>
      <c r="FN29" s="17">
        <v>0</v>
      </c>
      <c r="FO29" s="17">
        <v>0</v>
      </c>
      <c r="FP29" s="17">
        <v>0</v>
      </c>
      <c r="FQ29" s="17">
        <v>0</v>
      </c>
      <c r="FR29" s="17">
        <v>0</v>
      </c>
      <c r="FS29" s="17">
        <v>0</v>
      </c>
      <c r="FT29" s="17">
        <v>0</v>
      </c>
      <c r="FU29" s="17">
        <v>0</v>
      </c>
      <c r="FV29" s="17">
        <v>0</v>
      </c>
      <c r="FW29" s="17">
        <v>0</v>
      </c>
      <c r="FX29" s="17">
        <v>0</v>
      </c>
      <c r="FY29" s="17">
        <v>0</v>
      </c>
      <c r="FZ29" s="17">
        <v>0</v>
      </c>
      <c r="GA29" s="17">
        <v>0</v>
      </c>
      <c r="GB29" s="17">
        <v>0</v>
      </c>
      <c r="GC29" s="17">
        <v>0</v>
      </c>
      <c r="GD29" s="17">
        <v>0</v>
      </c>
      <c r="GE29" s="17">
        <v>0</v>
      </c>
      <c r="GF29" s="17">
        <v>0.378</v>
      </c>
      <c r="GG29" s="17">
        <v>0</v>
      </c>
      <c r="GH29" s="17">
        <v>0</v>
      </c>
      <c r="GI29" s="17">
        <v>0</v>
      </c>
      <c r="GJ29" s="17">
        <v>0</v>
      </c>
      <c r="GK29" s="17">
        <v>0</v>
      </c>
      <c r="GL29" s="17">
        <v>0</v>
      </c>
      <c r="GM29" s="17">
        <v>0.27700000000000002</v>
      </c>
      <c r="GN29" s="17">
        <v>0</v>
      </c>
      <c r="GO29" s="17">
        <v>0</v>
      </c>
      <c r="GP29" s="17">
        <v>0</v>
      </c>
      <c r="GQ29" s="17">
        <v>0</v>
      </c>
      <c r="GR29" s="17">
        <v>0</v>
      </c>
      <c r="GS29" s="17">
        <v>0</v>
      </c>
      <c r="GT29" s="17">
        <v>0</v>
      </c>
      <c r="GU29" s="17">
        <v>0</v>
      </c>
      <c r="GV29" s="17">
        <v>0</v>
      </c>
      <c r="GW29" s="17">
        <v>0</v>
      </c>
      <c r="GX29" s="17">
        <v>0</v>
      </c>
      <c r="GY29" s="17">
        <v>0</v>
      </c>
      <c r="GZ29" s="17">
        <v>0</v>
      </c>
      <c r="HA29" s="17">
        <v>0</v>
      </c>
      <c r="HB29" s="17">
        <v>0</v>
      </c>
      <c r="HC29" s="17">
        <v>0</v>
      </c>
      <c r="HD29" s="17">
        <v>0</v>
      </c>
      <c r="HE29" s="17">
        <v>0</v>
      </c>
      <c r="HF29" s="17">
        <v>0</v>
      </c>
      <c r="HG29" s="17">
        <v>0</v>
      </c>
      <c r="HH29" s="17">
        <v>0</v>
      </c>
    </row>
    <row r="30" spans="1:216" x14ac:dyDescent="0.25">
      <c r="A30" s="8">
        <v>26</v>
      </c>
      <c r="B30" s="8">
        <v>12.5</v>
      </c>
      <c r="C30" s="17">
        <v>0</v>
      </c>
      <c r="D30" s="17">
        <v>0</v>
      </c>
      <c r="E30" s="17">
        <v>0</v>
      </c>
      <c r="F30" s="17">
        <v>0</v>
      </c>
      <c r="G30" s="17">
        <v>0</v>
      </c>
      <c r="H30" s="17">
        <v>0</v>
      </c>
      <c r="I30" s="17">
        <v>0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0.39500000000000002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7">
        <v>0</v>
      </c>
      <c r="AP30" s="17">
        <v>0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7">
        <v>0</v>
      </c>
      <c r="AX30" s="17">
        <v>0</v>
      </c>
      <c r="AY30" s="17">
        <v>0</v>
      </c>
      <c r="AZ30" s="17">
        <v>0</v>
      </c>
      <c r="BA30" s="17">
        <v>0</v>
      </c>
      <c r="BB30" s="17">
        <v>0</v>
      </c>
      <c r="BC30" s="17">
        <v>0</v>
      </c>
      <c r="BD30" s="17">
        <v>0</v>
      </c>
      <c r="BE30" s="17">
        <v>0</v>
      </c>
      <c r="BF30" s="17">
        <v>0</v>
      </c>
      <c r="BG30" s="17">
        <v>0</v>
      </c>
      <c r="BH30" s="17">
        <v>0</v>
      </c>
      <c r="BI30" s="17">
        <v>0</v>
      </c>
      <c r="BJ30" s="17">
        <v>0</v>
      </c>
      <c r="BK30" s="17">
        <v>0</v>
      </c>
      <c r="BL30" s="17">
        <v>0</v>
      </c>
      <c r="BM30" s="17">
        <v>0</v>
      </c>
      <c r="BN30" s="17">
        <v>0</v>
      </c>
      <c r="BO30" s="17">
        <v>0</v>
      </c>
      <c r="BP30" s="17">
        <v>0</v>
      </c>
      <c r="BQ30" s="17">
        <v>0</v>
      </c>
      <c r="BR30" s="17">
        <v>0</v>
      </c>
      <c r="BS30" s="17">
        <v>0</v>
      </c>
      <c r="BT30" s="17">
        <v>0</v>
      </c>
      <c r="BU30" s="17">
        <v>0</v>
      </c>
      <c r="BV30" s="17">
        <v>0</v>
      </c>
      <c r="BW30" s="17">
        <v>0</v>
      </c>
      <c r="BX30" s="17">
        <v>0</v>
      </c>
      <c r="BY30" s="17">
        <v>0</v>
      </c>
      <c r="BZ30" s="17">
        <v>0</v>
      </c>
      <c r="CA30" s="17">
        <v>0</v>
      </c>
      <c r="CB30" s="17">
        <v>0</v>
      </c>
      <c r="CC30" s="17">
        <v>0</v>
      </c>
      <c r="CD30" s="17">
        <v>0</v>
      </c>
      <c r="CE30" s="17">
        <v>0</v>
      </c>
      <c r="CF30" s="17">
        <v>0</v>
      </c>
      <c r="CG30" s="17">
        <v>0</v>
      </c>
      <c r="CH30" s="17">
        <v>0</v>
      </c>
      <c r="CI30" s="17">
        <v>0</v>
      </c>
      <c r="CJ30" s="17">
        <v>0</v>
      </c>
      <c r="CK30" s="17">
        <v>0</v>
      </c>
      <c r="CL30" s="17">
        <v>0</v>
      </c>
      <c r="CM30" s="17">
        <v>0</v>
      </c>
      <c r="CN30" s="17">
        <v>0</v>
      </c>
      <c r="CO30" s="17">
        <v>0</v>
      </c>
      <c r="CP30" s="17">
        <v>0</v>
      </c>
      <c r="CQ30" s="17">
        <v>0</v>
      </c>
      <c r="CR30" s="17">
        <v>0.40899999999999997</v>
      </c>
      <c r="CS30" s="17">
        <v>0</v>
      </c>
      <c r="CT30" s="17">
        <v>0</v>
      </c>
      <c r="CU30" s="17">
        <v>0</v>
      </c>
      <c r="CV30" s="17">
        <v>0</v>
      </c>
      <c r="CW30" s="17">
        <v>0</v>
      </c>
      <c r="CX30" s="17">
        <v>0</v>
      </c>
      <c r="CY30" s="17">
        <v>0</v>
      </c>
      <c r="CZ30" s="17">
        <v>0</v>
      </c>
      <c r="DA30" s="17">
        <v>0</v>
      </c>
      <c r="DB30" s="17">
        <v>0</v>
      </c>
      <c r="DC30" s="17">
        <v>0</v>
      </c>
      <c r="DD30" s="17">
        <v>0.97299999999999998</v>
      </c>
      <c r="DE30" s="17">
        <v>0</v>
      </c>
      <c r="DF30" s="17">
        <v>0</v>
      </c>
      <c r="DG30" s="17">
        <v>0</v>
      </c>
      <c r="DH30" s="17">
        <v>0</v>
      </c>
      <c r="DI30" s="17">
        <v>0</v>
      </c>
      <c r="DJ30" s="17">
        <v>0</v>
      </c>
      <c r="DK30" s="17">
        <v>0</v>
      </c>
      <c r="DL30" s="17">
        <v>0</v>
      </c>
      <c r="DM30" s="17">
        <v>0</v>
      </c>
      <c r="DN30" s="17">
        <v>0</v>
      </c>
      <c r="DO30" s="17">
        <v>0</v>
      </c>
      <c r="DP30" s="17">
        <v>0</v>
      </c>
      <c r="DQ30" s="17">
        <v>0</v>
      </c>
      <c r="DR30" s="17">
        <v>0</v>
      </c>
      <c r="DS30" s="17">
        <v>0</v>
      </c>
      <c r="DT30" s="17">
        <v>0</v>
      </c>
      <c r="DU30" s="17">
        <v>0</v>
      </c>
      <c r="DV30" s="17">
        <v>0</v>
      </c>
      <c r="DW30" s="17">
        <v>0</v>
      </c>
      <c r="DX30" s="17">
        <v>0</v>
      </c>
      <c r="DY30" s="17">
        <v>0</v>
      </c>
      <c r="DZ30" s="17">
        <v>0</v>
      </c>
      <c r="EA30" s="17">
        <v>0</v>
      </c>
      <c r="EB30" s="17">
        <v>0</v>
      </c>
      <c r="EC30" s="17">
        <v>0</v>
      </c>
      <c r="ED30" s="17">
        <v>0</v>
      </c>
      <c r="EE30" s="17">
        <v>0</v>
      </c>
      <c r="EF30" s="17">
        <v>0</v>
      </c>
      <c r="EG30" s="17">
        <v>0</v>
      </c>
      <c r="EH30" s="17">
        <v>0</v>
      </c>
      <c r="EI30" s="17">
        <v>0</v>
      </c>
      <c r="EJ30" s="17">
        <v>0</v>
      </c>
      <c r="EK30" s="17">
        <v>0</v>
      </c>
      <c r="EL30" s="17">
        <v>0</v>
      </c>
      <c r="EM30" s="17">
        <v>0</v>
      </c>
      <c r="EN30" s="17">
        <v>0</v>
      </c>
      <c r="EO30" s="17">
        <v>0</v>
      </c>
      <c r="EP30" s="17">
        <v>0</v>
      </c>
      <c r="EQ30" s="17">
        <v>0</v>
      </c>
      <c r="ER30" s="17">
        <v>0</v>
      </c>
      <c r="ES30" s="17">
        <v>0</v>
      </c>
      <c r="ET30" s="17">
        <v>0</v>
      </c>
      <c r="EU30" s="17">
        <v>0</v>
      </c>
      <c r="EV30" s="17">
        <v>0</v>
      </c>
      <c r="EW30" s="17">
        <v>0</v>
      </c>
      <c r="EX30" s="17">
        <v>0</v>
      </c>
      <c r="EY30" s="17">
        <v>0</v>
      </c>
      <c r="EZ30" s="17">
        <v>0</v>
      </c>
      <c r="FA30" s="17">
        <v>0</v>
      </c>
      <c r="FB30" s="17">
        <v>0</v>
      </c>
      <c r="FC30" s="17">
        <v>0</v>
      </c>
      <c r="FD30" s="17">
        <v>0</v>
      </c>
      <c r="FE30" s="17">
        <v>0</v>
      </c>
      <c r="FF30" s="17">
        <v>0</v>
      </c>
      <c r="FG30" s="17">
        <v>0</v>
      </c>
      <c r="FH30" s="17">
        <v>0</v>
      </c>
      <c r="FI30" s="17">
        <v>0</v>
      </c>
      <c r="FJ30" s="17">
        <v>0</v>
      </c>
      <c r="FK30" s="17">
        <v>0</v>
      </c>
      <c r="FL30" s="17">
        <v>0</v>
      </c>
      <c r="FM30" s="17">
        <v>0</v>
      </c>
      <c r="FN30" s="17">
        <v>0</v>
      </c>
      <c r="FO30" s="17">
        <v>0</v>
      </c>
      <c r="FP30" s="17">
        <v>0</v>
      </c>
      <c r="FQ30" s="17">
        <v>0</v>
      </c>
      <c r="FR30" s="17">
        <v>0</v>
      </c>
      <c r="FS30" s="17">
        <v>0</v>
      </c>
      <c r="FT30" s="17">
        <v>0</v>
      </c>
      <c r="FU30" s="17">
        <v>0</v>
      </c>
      <c r="FV30" s="17">
        <v>0</v>
      </c>
      <c r="FW30" s="17">
        <v>0</v>
      </c>
      <c r="FX30" s="17">
        <v>0</v>
      </c>
      <c r="FY30" s="17">
        <v>0</v>
      </c>
      <c r="FZ30" s="17">
        <v>0</v>
      </c>
      <c r="GA30" s="17">
        <v>0</v>
      </c>
      <c r="GB30" s="17">
        <v>0</v>
      </c>
      <c r="GC30" s="17">
        <v>0</v>
      </c>
      <c r="GD30" s="17">
        <v>0</v>
      </c>
      <c r="GE30" s="17">
        <v>0</v>
      </c>
      <c r="GF30" s="17">
        <v>0</v>
      </c>
      <c r="GG30" s="17">
        <v>0</v>
      </c>
      <c r="GH30" s="17">
        <v>0</v>
      </c>
      <c r="GI30" s="17">
        <v>0</v>
      </c>
      <c r="GJ30" s="17">
        <v>0</v>
      </c>
      <c r="GK30" s="17">
        <v>0</v>
      </c>
      <c r="GL30" s="17">
        <v>0</v>
      </c>
      <c r="GM30" s="17">
        <v>0</v>
      </c>
      <c r="GN30" s="17">
        <v>0</v>
      </c>
      <c r="GO30" s="17">
        <v>0</v>
      </c>
      <c r="GP30" s="17">
        <v>0</v>
      </c>
      <c r="GQ30" s="17">
        <v>0</v>
      </c>
      <c r="GR30" s="17">
        <v>0</v>
      </c>
      <c r="GS30" s="17">
        <v>0</v>
      </c>
      <c r="GT30" s="17">
        <v>0.995</v>
      </c>
      <c r="GU30" s="17">
        <v>0</v>
      </c>
      <c r="GV30" s="17">
        <v>0</v>
      </c>
      <c r="GW30" s="17">
        <v>0</v>
      </c>
      <c r="GX30" s="17">
        <v>0</v>
      </c>
      <c r="GY30" s="17">
        <v>0</v>
      </c>
      <c r="GZ30" s="17">
        <v>0</v>
      </c>
      <c r="HA30" s="17">
        <v>0</v>
      </c>
      <c r="HB30" s="17">
        <v>0</v>
      </c>
      <c r="HC30" s="17">
        <v>0</v>
      </c>
      <c r="HD30" s="17">
        <v>0</v>
      </c>
      <c r="HE30" s="17">
        <v>0</v>
      </c>
      <c r="HF30" s="17">
        <v>0</v>
      </c>
      <c r="HG30" s="17">
        <v>0</v>
      </c>
      <c r="HH30" s="17">
        <v>0</v>
      </c>
    </row>
    <row r="31" spans="1:216" x14ac:dyDescent="0.25">
      <c r="A31" s="8">
        <v>27</v>
      </c>
      <c r="B31" s="8">
        <v>13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  <c r="AG31" s="17">
        <v>0</v>
      </c>
      <c r="AH31" s="17">
        <v>0</v>
      </c>
      <c r="AI31" s="17">
        <v>0</v>
      </c>
      <c r="AJ31" s="17">
        <v>0</v>
      </c>
      <c r="AK31" s="17">
        <v>0</v>
      </c>
      <c r="AL31" s="17">
        <v>0</v>
      </c>
      <c r="AM31" s="17">
        <v>0</v>
      </c>
      <c r="AN31" s="17">
        <v>0</v>
      </c>
      <c r="AO31" s="17">
        <v>0</v>
      </c>
      <c r="AP31" s="17">
        <v>0.66400000000000003</v>
      </c>
      <c r="AQ31" s="17">
        <v>0</v>
      </c>
      <c r="AR31" s="17">
        <v>0</v>
      </c>
      <c r="AS31" s="17">
        <v>0</v>
      </c>
      <c r="AT31" s="17">
        <v>0</v>
      </c>
      <c r="AU31" s="17">
        <v>0</v>
      </c>
      <c r="AV31" s="17">
        <v>0</v>
      </c>
      <c r="AW31" s="17">
        <v>0</v>
      </c>
      <c r="AX31" s="17">
        <v>0</v>
      </c>
      <c r="AY31" s="17">
        <v>0</v>
      </c>
      <c r="AZ31" s="17">
        <v>0</v>
      </c>
      <c r="BA31" s="17">
        <v>0</v>
      </c>
      <c r="BB31" s="17">
        <v>0</v>
      </c>
      <c r="BC31" s="17">
        <v>0.01</v>
      </c>
      <c r="BD31" s="17">
        <v>0</v>
      </c>
      <c r="BE31" s="17">
        <v>0</v>
      </c>
      <c r="BF31" s="17">
        <v>0</v>
      </c>
      <c r="BG31" s="17">
        <v>0</v>
      </c>
      <c r="BH31" s="17">
        <v>0</v>
      </c>
      <c r="BI31" s="17">
        <v>0</v>
      </c>
      <c r="BJ31" s="17">
        <v>0</v>
      </c>
      <c r="BK31" s="17">
        <v>0</v>
      </c>
      <c r="BL31" s="17">
        <v>0</v>
      </c>
      <c r="BM31" s="17">
        <v>0</v>
      </c>
      <c r="BN31" s="17">
        <v>0</v>
      </c>
      <c r="BO31" s="17">
        <v>0</v>
      </c>
      <c r="BP31" s="17">
        <v>0</v>
      </c>
      <c r="BQ31" s="17">
        <v>0</v>
      </c>
      <c r="BR31" s="17">
        <v>0</v>
      </c>
      <c r="BS31" s="17">
        <v>0</v>
      </c>
      <c r="BT31" s="17">
        <v>0</v>
      </c>
      <c r="BU31" s="17">
        <v>0</v>
      </c>
      <c r="BV31" s="17">
        <v>0</v>
      </c>
      <c r="BW31" s="17">
        <v>0</v>
      </c>
      <c r="BX31" s="17">
        <v>0</v>
      </c>
      <c r="BY31" s="17">
        <v>0</v>
      </c>
      <c r="BZ31" s="17">
        <v>0</v>
      </c>
      <c r="CA31" s="17">
        <v>0</v>
      </c>
      <c r="CB31" s="17">
        <v>0</v>
      </c>
      <c r="CC31" s="17">
        <v>0</v>
      </c>
      <c r="CD31" s="17">
        <v>0</v>
      </c>
      <c r="CE31" s="17">
        <v>0</v>
      </c>
      <c r="CF31" s="17">
        <v>0</v>
      </c>
      <c r="CG31" s="17">
        <v>0</v>
      </c>
      <c r="CH31" s="17">
        <v>0</v>
      </c>
      <c r="CI31" s="17">
        <v>0</v>
      </c>
      <c r="CJ31" s="17">
        <v>0</v>
      </c>
      <c r="CK31" s="17">
        <v>0</v>
      </c>
      <c r="CL31" s="17">
        <v>0</v>
      </c>
      <c r="CM31" s="17">
        <v>0</v>
      </c>
      <c r="CN31" s="17">
        <v>0</v>
      </c>
      <c r="CO31" s="17">
        <v>0</v>
      </c>
      <c r="CP31" s="17">
        <v>0</v>
      </c>
      <c r="CQ31" s="17">
        <v>0</v>
      </c>
      <c r="CR31" s="17">
        <v>0</v>
      </c>
      <c r="CS31" s="17">
        <v>0</v>
      </c>
      <c r="CT31" s="17">
        <v>0</v>
      </c>
      <c r="CU31" s="17">
        <v>0</v>
      </c>
      <c r="CV31" s="17">
        <v>0</v>
      </c>
      <c r="CW31" s="17">
        <v>0</v>
      </c>
      <c r="CX31" s="17">
        <v>0</v>
      </c>
      <c r="CY31" s="17">
        <v>0</v>
      </c>
      <c r="CZ31" s="17">
        <v>0</v>
      </c>
      <c r="DA31" s="17">
        <v>0</v>
      </c>
      <c r="DB31" s="17">
        <v>0</v>
      </c>
      <c r="DC31" s="17">
        <v>0</v>
      </c>
      <c r="DD31" s="17">
        <v>0.67100000000000004</v>
      </c>
      <c r="DE31" s="17">
        <v>0</v>
      </c>
      <c r="DF31" s="17">
        <v>0</v>
      </c>
      <c r="DG31" s="17">
        <v>0</v>
      </c>
      <c r="DH31" s="17">
        <v>0</v>
      </c>
      <c r="DI31" s="17">
        <v>0</v>
      </c>
      <c r="DJ31" s="17">
        <v>0</v>
      </c>
      <c r="DK31" s="17">
        <v>0</v>
      </c>
      <c r="DL31" s="17">
        <v>0</v>
      </c>
      <c r="DM31" s="17">
        <v>0</v>
      </c>
      <c r="DN31" s="17">
        <v>0</v>
      </c>
      <c r="DO31" s="17">
        <v>0</v>
      </c>
      <c r="DP31" s="17">
        <v>0</v>
      </c>
      <c r="DQ31" s="17">
        <v>0.38</v>
      </c>
      <c r="DR31" s="17">
        <v>0</v>
      </c>
      <c r="DS31" s="17">
        <v>0</v>
      </c>
      <c r="DT31" s="17">
        <v>0</v>
      </c>
      <c r="DU31" s="17">
        <v>0.497</v>
      </c>
      <c r="DV31" s="17">
        <v>0</v>
      </c>
      <c r="DW31" s="17">
        <v>0</v>
      </c>
      <c r="DX31" s="17">
        <v>0</v>
      </c>
      <c r="DY31" s="17">
        <v>0</v>
      </c>
      <c r="DZ31" s="17">
        <v>0.187</v>
      </c>
      <c r="EA31" s="17">
        <v>0</v>
      </c>
      <c r="EB31" s="17">
        <v>0</v>
      </c>
      <c r="EC31" s="17">
        <v>0</v>
      </c>
      <c r="ED31" s="17">
        <v>0</v>
      </c>
      <c r="EE31" s="17">
        <v>0</v>
      </c>
      <c r="EF31" s="17">
        <v>0</v>
      </c>
      <c r="EG31" s="17">
        <v>0</v>
      </c>
      <c r="EH31" s="17">
        <v>0</v>
      </c>
      <c r="EI31" s="17">
        <v>0</v>
      </c>
      <c r="EJ31" s="17">
        <v>0</v>
      </c>
      <c r="EK31" s="17">
        <v>0</v>
      </c>
      <c r="EL31" s="17">
        <v>0</v>
      </c>
      <c r="EM31" s="17">
        <v>0</v>
      </c>
      <c r="EN31" s="17">
        <v>0</v>
      </c>
      <c r="EO31" s="17">
        <v>0</v>
      </c>
      <c r="EP31" s="17">
        <v>0</v>
      </c>
      <c r="EQ31" s="17">
        <v>0</v>
      </c>
      <c r="ER31" s="17">
        <v>0</v>
      </c>
      <c r="ES31" s="17">
        <v>0</v>
      </c>
      <c r="ET31" s="17">
        <v>0</v>
      </c>
      <c r="EU31" s="17">
        <v>0</v>
      </c>
      <c r="EV31" s="17">
        <v>0</v>
      </c>
      <c r="EW31" s="17">
        <v>0</v>
      </c>
      <c r="EX31" s="17">
        <v>0</v>
      </c>
      <c r="EY31" s="17">
        <v>0</v>
      </c>
      <c r="EZ31" s="17">
        <v>0</v>
      </c>
      <c r="FA31" s="17">
        <v>0</v>
      </c>
      <c r="FB31" s="17">
        <v>0</v>
      </c>
      <c r="FC31" s="17">
        <v>0</v>
      </c>
      <c r="FD31" s="17">
        <v>0</v>
      </c>
      <c r="FE31" s="17">
        <v>0</v>
      </c>
      <c r="FF31" s="17">
        <v>0.40200000000000002</v>
      </c>
      <c r="FG31" s="17">
        <v>0</v>
      </c>
      <c r="FH31" s="17">
        <v>0</v>
      </c>
      <c r="FI31" s="17">
        <v>0</v>
      </c>
      <c r="FJ31" s="17">
        <v>0</v>
      </c>
      <c r="FK31" s="17">
        <v>0</v>
      </c>
      <c r="FL31" s="17">
        <v>0</v>
      </c>
      <c r="FM31" s="17">
        <v>0</v>
      </c>
      <c r="FN31" s="17">
        <v>0</v>
      </c>
      <c r="FO31" s="17">
        <v>0</v>
      </c>
      <c r="FP31" s="17">
        <v>0</v>
      </c>
      <c r="FQ31" s="17">
        <v>0</v>
      </c>
      <c r="FR31" s="17">
        <v>0</v>
      </c>
      <c r="FS31" s="17">
        <v>0</v>
      </c>
      <c r="FT31" s="17">
        <v>0</v>
      </c>
      <c r="FU31" s="17">
        <v>0</v>
      </c>
      <c r="FV31" s="17">
        <v>0</v>
      </c>
      <c r="FW31" s="17">
        <v>0</v>
      </c>
      <c r="FX31" s="17">
        <v>0</v>
      </c>
      <c r="FY31" s="17">
        <v>0</v>
      </c>
      <c r="FZ31" s="17">
        <v>0</v>
      </c>
      <c r="GA31" s="17">
        <v>0</v>
      </c>
      <c r="GB31" s="17">
        <v>0</v>
      </c>
      <c r="GC31" s="17">
        <v>0</v>
      </c>
      <c r="GD31" s="17">
        <v>0</v>
      </c>
      <c r="GE31" s="17">
        <v>0</v>
      </c>
      <c r="GF31" s="17">
        <v>0</v>
      </c>
      <c r="GG31" s="17">
        <v>0</v>
      </c>
      <c r="GH31" s="17">
        <v>0</v>
      </c>
      <c r="GI31" s="17">
        <v>0</v>
      </c>
      <c r="GJ31" s="17">
        <v>0</v>
      </c>
      <c r="GK31" s="17">
        <v>0</v>
      </c>
      <c r="GL31" s="17">
        <v>0</v>
      </c>
      <c r="GM31" s="17">
        <v>0</v>
      </c>
      <c r="GN31" s="17">
        <v>0</v>
      </c>
      <c r="GO31" s="17">
        <v>0</v>
      </c>
      <c r="GP31" s="17">
        <v>0</v>
      </c>
      <c r="GQ31" s="17">
        <v>0</v>
      </c>
      <c r="GR31" s="17">
        <v>0</v>
      </c>
      <c r="GS31" s="17">
        <v>0</v>
      </c>
      <c r="GT31" s="17">
        <v>0</v>
      </c>
      <c r="GU31" s="17">
        <v>0</v>
      </c>
      <c r="GV31" s="17">
        <v>0</v>
      </c>
      <c r="GW31" s="17">
        <v>0</v>
      </c>
      <c r="GX31" s="17">
        <v>0</v>
      </c>
      <c r="GY31" s="17">
        <v>0</v>
      </c>
      <c r="GZ31" s="17">
        <v>0</v>
      </c>
      <c r="HA31" s="17">
        <v>0</v>
      </c>
      <c r="HB31" s="17">
        <v>0</v>
      </c>
      <c r="HC31" s="17">
        <v>0</v>
      </c>
      <c r="HD31" s="17">
        <v>0</v>
      </c>
      <c r="HE31" s="17">
        <v>0</v>
      </c>
      <c r="HF31" s="17">
        <v>0</v>
      </c>
      <c r="HG31" s="17">
        <v>0</v>
      </c>
      <c r="HH31" s="17">
        <v>0</v>
      </c>
    </row>
    <row r="32" spans="1:216" x14ac:dyDescent="0.25">
      <c r="A32" s="8">
        <v>28</v>
      </c>
      <c r="B32" s="8">
        <v>13.5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  <c r="AG32" s="17">
        <v>0</v>
      </c>
      <c r="AH32" s="17">
        <v>0</v>
      </c>
      <c r="AI32" s="17">
        <v>0</v>
      </c>
      <c r="AJ32" s="17">
        <v>0</v>
      </c>
      <c r="AK32" s="17">
        <v>0</v>
      </c>
      <c r="AL32" s="17">
        <v>0</v>
      </c>
      <c r="AM32" s="17">
        <v>0</v>
      </c>
      <c r="AN32" s="17">
        <v>0</v>
      </c>
      <c r="AO32" s="17">
        <v>0</v>
      </c>
      <c r="AP32" s="17">
        <v>2.8580000000000001</v>
      </c>
      <c r="AQ32" s="17">
        <v>0</v>
      </c>
      <c r="AR32" s="17">
        <v>0</v>
      </c>
      <c r="AS32" s="17">
        <v>0</v>
      </c>
      <c r="AT32" s="17">
        <v>0</v>
      </c>
      <c r="AU32" s="17">
        <v>0</v>
      </c>
      <c r="AV32" s="17">
        <v>0</v>
      </c>
      <c r="AW32" s="17">
        <v>0</v>
      </c>
      <c r="AX32" s="17">
        <v>0</v>
      </c>
      <c r="AY32" s="17">
        <v>0</v>
      </c>
      <c r="AZ32" s="17">
        <v>0</v>
      </c>
      <c r="BA32" s="17">
        <v>0</v>
      </c>
      <c r="BB32" s="17">
        <v>0</v>
      </c>
      <c r="BC32" s="17">
        <v>0</v>
      </c>
      <c r="BD32" s="17">
        <v>0</v>
      </c>
      <c r="BE32" s="17">
        <v>0</v>
      </c>
      <c r="BF32" s="17">
        <v>0</v>
      </c>
      <c r="BG32" s="17">
        <v>0</v>
      </c>
      <c r="BH32" s="17">
        <v>0</v>
      </c>
      <c r="BI32" s="17">
        <v>0</v>
      </c>
      <c r="BJ32" s="17">
        <v>0</v>
      </c>
      <c r="BK32" s="17">
        <v>0</v>
      </c>
      <c r="BL32" s="17">
        <v>0</v>
      </c>
      <c r="BM32" s="17">
        <v>0</v>
      </c>
      <c r="BN32" s="17">
        <v>0</v>
      </c>
      <c r="BO32" s="17">
        <v>0</v>
      </c>
      <c r="BP32" s="17">
        <v>0</v>
      </c>
      <c r="BQ32" s="17">
        <v>0</v>
      </c>
      <c r="BR32" s="17">
        <v>0</v>
      </c>
      <c r="BS32" s="17">
        <v>0</v>
      </c>
      <c r="BT32" s="17">
        <v>0</v>
      </c>
      <c r="BU32" s="17">
        <v>0</v>
      </c>
      <c r="BV32" s="17">
        <v>0</v>
      </c>
      <c r="BW32" s="17">
        <v>0</v>
      </c>
      <c r="BX32" s="17">
        <v>0</v>
      </c>
      <c r="BY32" s="17">
        <v>0</v>
      </c>
      <c r="BZ32" s="17">
        <v>0</v>
      </c>
      <c r="CA32" s="17">
        <v>0</v>
      </c>
      <c r="CB32" s="17">
        <v>0</v>
      </c>
      <c r="CC32" s="17">
        <v>0</v>
      </c>
      <c r="CD32" s="17">
        <v>0</v>
      </c>
      <c r="CE32" s="17">
        <v>0</v>
      </c>
      <c r="CF32" s="17">
        <v>0</v>
      </c>
      <c r="CG32" s="17">
        <v>0</v>
      </c>
      <c r="CH32" s="17">
        <v>0</v>
      </c>
      <c r="CI32" s="17">
        <v>0</v>
      </c>
      <c r="CJ32" s="17">
        <v>0</v>
      </c>
      <c r="CK32" s="17">
        <v>0</v>
      </c>
      <c r="CL32" s="17">
        <v>0</v>
      </c>
      <c r="CM32" s="17">
        <v>0</v>
      </c>
      <c r="CN32" s="17">
        <v>0</v>
      </c>
      <c r="CO32" s="17">
        <v>0</v>
      </c>
      <c r="CP32" s="17">
        <v>0</v>
      </c>
      <c r="CQ32" s="17">
        <v>0</v>
      </c>
      <c r="CR32" s="17">
        <v>0</v>
      </c>
      <c r="CS32" s="17">
        <v>0</v>
      </c>
      <c r="CT32" s="17">
        <v>0</v>
      </c>
      <c r="CU32" s="17">
        <v>0</v>
      </c>
      <c r="CV32" s="17">
        <v>0</v>
      </c>
      <c r="CW32" s="17">
        <v>0</v>
      </c>
      <c r="CX32" s="17">
        <v>0</v>
      </c>
      <c r="CY32" s="17">
        <v>0</v>
      </c>
      <c r="CZ32" s="17">
        <v>0</v>
      </c>
      <c r="DA32" s="17">
        <v>0</v>
      </c>
      <c r="DB32" s="17">
        <v>0</v>
      </c>
      <c r="DC32" s="17">
        <v>0</v>
      </c>
      <c r="DD32" s="17">
        <v>0</v>
      </c>
      <c r="DE32" s="17">
        <v>0</v>
      </c>
      <c r="DF32" s="17">
        <v>0</v>
      </c>
      <c r="DG32" s="17">
        <v>0</v>
      </c>
      <c r="DH32" s="17">
        <v>0</v>
      </c>
      <c r="DI32" s="17">
        <v>0</v>
      </c>
      <c r="DJ32" s="17">
        <v>0</v>
      </c>
      <c r="DK32" s="17">
        <v>0</v>
      </c>
      <c r="DL32" s="17">
        <v>0</v>
      </c>
      <c r="DM32" s="17">
        <v>0</v>
      </c>
      <c r="DN32" s="17">
        <v>0</v>
      </c>
      <c r="DO32" s="17">
        <v>0</v>
      </c>
      <c r="DP32" s="17">
        <v>0</v>
      </c>
      <c r="DQ32" s="17">
        <v>0</v>
      </c>
      <c r="DR32" s="17">
        <v>0</v>
      </c>
      <c r="DS32" s="17">
        <v>0</v>
      </c>
      <c r="DT32" s="17">
        <v>0</v>
      </c>
      <c r="DU32" s="17">
        <v>0</v>
      </c>
      <c r="DV32" s="17">
        <v>0</v>
      </c>
      <c r="DW32" s="17">
        <v>0</v>
      </c>
      <c r="DX32" s="17">
        <v>0</v>
      </c>
      <c r="DY32" s="17">
        <v>0</v>
      </c>
      <c r="DZ32" s="17">
        <v>0</v>
      </c>
      <c r="EA32" s="17">
        <v>0</v>
      </c>
      <c r="EB32" s="17">
        <v>0</v>
      </c>
      <c r="EC32" s="17">
        <v>0</v>
      </c>
      <c r="ED32" s="17">
        <v>0</v>
      </c>
      <c r="EE32" s="17">
        <v>0</v>
      </c>
      <c r="EF32" s="17">
        <v>0</v>
      </c>
      <c r="EG32" s="17">
        <v>0</v>
      </c>
      <c r="EH32" s="17">
        <v>0</v>
      </c>
      <c r="EI32" s="17">
        <v>0</v>
      </c>
      <c r="EJ32" s="17">
        <v>0</v>
      </c>
      <c r="EK32" s="17">
        <v>0</v>
      </c>
      <c r="EL32" s="17">
        <v>0</v>
      </c>
      <c r="EM32" s="17">
        <v>0</v>
      </c>
      <c r="EN32" s="17">
        <v>0</v>
      </c>
      <c r="EO32" s="17">
        <v>0</v>
      </c>
      <c r="EP32" s="17">
        <v>0</v>
      </c>
      <c r="EQ32" s="17">
        <v>0</v>
      </c>
      <c r="ER32" s="17">
        <v>0</v>
      </c>
      <c r="ES32" s="17">
        <v>0</v>
      </c>
      <c r="ET32" s="17">
        <v>0</v>
      </c>
      <c r="EU32" s="17">
        <v>0</v>
      </c>
      <c r="EV32" s="17">
        <v>0</v>
      </c>
      <c r="EW32" s="17">
        <v>0</v>
      </c>
      <c r="EX32" s="17">
        <v>0</v>
      </c>
      <c r="EY32" s="17">
        <v>0</v>
      </c>
      <c r="EZ32" s="17">
        <v>5.2999999999999999E-2</v>
      </c>
      <c r="FA32" s="17">
        <v>0</v>
      </c>
      <c r="FB32" s="17">
        <v>0</v>
      </c>
      <c r="FC32" s="17">
        <v>2.5999999999999999E-2</v>
      </c>
      <c r="FD32" s="17">
        <v>0</v>
      </c>
      <c r="FE32" s="17">
        <v>0</v>
      </c>
      <c r="FF32" s="17">
        <v>0</v>
      </c>
      <c r="FG32" s="17">
        <v>0</v>
      </c>
      <c r="FH32" s="17">
        <v>0</v>
      </c>
      <c r="FI32" s="17">
        <v>0</v>
      </c>
      <c r="FJ32" s="17">
        <v>0</v>
      </c>
      <c r="FK32" s="17">
        <v>0</v>
      </c>
      <c r="FL32" s="17">
        <v>0</v>
      </c>
      <c r="FM32" s="17">
        <v>0</v>
      </c>
      <c r="FN32" s="17">
        <v>0</v>
      </c>
      <c r="FO32" s="17">
        <v>0</v>
      </c>
      <c r="FP32" s="17">
        <v>0</v>
      </c>
      <c r="FQ32" s="17">
        <v>0</v>
      </c>
      <c r="FR32" s="17">
        <v>0</v>
      </c>
      <c r="FS32" s="17">
        <v>0</v>
      </c>
      <c r="FT32" s="17">
        <v>0</v>
      </c>
      <c r="FU32" s="17">
        <v>0</v>
      </c>
      <c r="FV32" s="17">
        <v>0</v>
      </c>
      <c r="FW32" s="17">
        <v>0</v>
      </c>
      <c r="FX32" s="17">
        <v>0</v>
      </c>
      <c r="FY32" s="17">
        <v>0</v>
      </c>
      <c r="FZ32" s="17">
        <v>0</v>
      </c>
      <c r="GA32" s="17">
        <v>0</v>
      </c>
      <c r="GB32" s="17">
        <v>0</v>
      </c>
      <c r="GC32" s="17">
        <v>0</v>
      </c>
      <c r="GD32" s="17">
        <v>0</v>
      </c>
      <c r="GE32" s="17">
        <v>0</v>
      </c>
      <c r="GF32" s="17">
        <v>0</v>
      </c>
      <c r="GG32" s="17">
        <v>0</v>
      </c>
      <c r="GH32" s="17">
        <v>0</v>
      </c>
      <c r="GI32" s="17">
        <v>0</v>
      </c>
      <c r="GJ32" s="17">
        <v>0</v>
      </c>
      <c r="GK32" s="17">
        <v>0</v>
      </c>
      <c r="GL32" s="17">
        <v>0</v>
      </c>
      <c r="GM32" s="17">
        <v>0</v>
      </c>
      <c r="GN32" s="17">
        <v>0</v>
      </c>
      <c r="GO32" s="17">
        <v>0</v>
      </c>
      <c r="GP32" s="17">
        <v>0</v>
      </c>
      <c r="GQ32" s="17">
        <v>0</v>
      </c>
      <c r="GR32" s="17">
        <v>0</v>
      </c>
      <c r="GS32" s="17">
        <v>0</v>
      </c>
      <c r="GT32" s="17">
        <v>0</v>
      </c>
      <c r="GU32" s="17">
        <v>0</v>
      </c>
      <c r="GV32" s="17">
        <v>0</v>
      </c>
      <c r="GW32" s="17">
        <v>0</v>
      </c>
      <c r="GX32" s="17">
        <v>0</v>
      </c>
      <c r="GY32" s="17">
        <v>0</v>
      </c>
      <c r="GZ32" s="17">
        <v>0</v>
      </c>
      <c r="HA32" s="17">
        <v>0</v>
      </c>
      <c r="HB32" s="17">
        <v>0</v>
      </c>
      <c r="HC32" s="17">
        <v>0</v>
      </c>
      <c r="HD32" s="17">
        <v>0</v>
      </c>
      <c r="HE32" s="17">
        <v>0</v>
      </c>
      <c r="HF32" s="17">
        <v>0</v>
      </c>
      <c r="HG32" s="17">
        <v>0</v>
      </c>
      <c r="HH32" s="17">
        <v>0</v>
      </c>
    </row>
    <row r="33" spans="1:216" x14ac:dyDescent="0.25">
      <c r="A33" s="8">
        <v>29</v>
      </c>
      <c r="B33" s="8">
        <v>14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1.88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  <c r="AF33" s="17">
        <v>0</v>
      </c>
      <c r="AG33" s="17">
        <v>0</v>
      </c>
      <c r="AH33" s="17">
        <v>0</v>
      </c>
      <c r="AI33" s="17">
        <v>0</v>
      </c>
      <c r="AJ33" s="17">
        <v>0</v>
      </c>
      <c r="AK33" s="17">
        <v>0</v>
      </c>
      <c r="AL33" s="17">
        <v>0</v>
      </c>
      <c r="AM33" s="17">
        <v>0</v>
      </c>
      <c r="AN33" s="17">
        <v>0</v>
      </c>
      <c r="AO33" s="17">
        <v>0</v>
      </c>
      <c r="AP33" s="17">
        <v>2.8140000000000001</v>
      </c>
      <c r="AQ33" s="17">
        <v>0</v>
      </c>
      <c r="AR33" s="17">
        <v>0</v>
      </c>
      <c r="AS33" s="17">
        <v>0</v>
      </c>
      <c r="AT33" s="17">
        <v>0</v>
      </c>
      <c r="AU33" s="17">
        <v>0</v>
      </c>
      <c r="AV33" s="17">
        <v>0</v>
      </c>
      <c r="AW33" s="17">
        <v>0</v>
      </c>
      <c r="AX33" s="17">
        <v>0</v>
      </c>
      <c r="AY33" s="17">
        <v>0</v>
      </c>
      <c r="AZ33" s="17">
        <v>0</v>
      </c>
      <c r="BA33" s="17">
        <v>0</v>
      </c>
      <c r="BB33" s="17">
        <v>0</v>
      </c>
      <c r="BC33" s="17">
        <v>0</v>
      </c>
      <c r="BD33" s="17">
        <v>0</v>
      </c>
      <c r="BE33" s="17">
        <v>0</v>
      </c>
      <c r="BF33" s="17">
        <v>0</v>
      </c>
      <c r="BG33" s="17">
        <v>0</v>
      </c>
      <c r="BH33" s="17">
        <v>0</v>
      </c>
      <c r="BI33" s="17">
        <v>0</v>
      </c>
      <c r="BJ33" s="17">
        <v>0</v>
      </c>
      <c r="BK33" s="17">
        <v>0</v>
      </c>
      <c r="BL33" s="17">
        <v>0</v>
      </c>
      <c r="BM33" s="17">
        <v>0</v>
      </c>
      <c r="BN33" s="17">
        <v>0</v>
      </c>
      <c r="BO33" s="17">
        <v>0</v>
      </c>
      <c r="BP33" s="17">
        <v>0</v>
      </c>
      <c r="BQ33" s="17">
        <v>0</v>
      </c>
      <c r="BR33" s="17">
        <v>0</v>
      </c>
      <c r="BS33" s="17">
        <v>0</v>
      </c>
      <c r="BT33" s="17">
        <v>0</v>
      </c>
      <c r="BU33" s="17">
        <v>0</v>
      </c>
      <c r="BV33" s="17">
        <v>0</v>
      </c>
      <c r="BW33" s="17">
        <v>0</v>
      </c>
      <c r="BX33" s="17">
        <v>0</v>
      </c>
      <c r="BY33" s="17">
        <v>0</v>
      </c>
      <c r="BZ33" s="17">
        <v>0</v>
      </c>
      <c r="CA33" s="17">
        <v>0</v>
      </c>
      <c r="CB33" s="17">
        <v>0</v>
      </c>
      <c r="CC33" s="17">
        <v>0</v>
      </c>
      <c r="CD33" s="17">
        <v>0</v>
      </c>
      <c r="CE33" s="17">
        <v>0</v>
      </c>
      <c r="CF33" s="17">
        <v>0</v>
      </c>
      <c r="CG33" s="17">
        <v>0</v>
      </c>
      <c r="CH33" s="17">
        <v>0</v>
      </c>
      <c r="CI33" s="17">
        <v>0</v>
      </c>
      <c r="CJ33" s="17">
        <v>2.5000000000000001E-2</v>
      </c>
      <c r="CK33" s="17">
        <v>0</v>
      </c>
      <c r="CL33" s="17">
        <v>0</v>
      </c>
      <c r="CM33" s="17">
        <v>0</v>
      </c>
      <c r="CN33" s="17">
        <v>0</v>
      </c>
      <c r="CO33" s="17">
        <v>0</v>
      </c>
      <c r="CP33" s="17">
        <v>0</v>
      </c>
      <c r="CQ33" s="17">
        <v>0</v>
      </c>
      <c r="CR33" s="17">
        <v>0</v>
      </c>
      <c r="CS33" s="17">
        <v>0</v>
      </c>
      <c r="CT33" s="17">
        <v>0</v>
      </c>
      <c r="CU33" s="17">
        <v>0</v>
      </c>
      <c r="CV33" s="17">
        <v>0</v>
      </c>
      <c r="CW33" s="17">
        <v>0</v>
      </c>
      <c r="CX33" s="17">
        <v>0</v>
      </c>
      <c r="CY33" s="17">
        <v>0</v>
      </c>
      <c r="CZ33" s="17">
        <v>0</v>
      </c>
      <c r="DA33" s="17">
        <v>0</v>
      </c>
      <c r="DB33" s="17">
        <v>0</v>
      </c>
      <c r="DC33" s="17">
        <v>0</v>
      </c>
      <c r="DD33" s="17">
        <v>0</v>
      </c>
      <c r="DE33" s="17">
        <v>0</v>
      </c>
      <c r="DF33" s="17">
        <v>0</v>
      </c>
      <c r="DG33" s="17">
        <v>0</v>
      </c>
      <c r="DH33" s="17">
        <v>0</v>
      </c>
      <c r="DI33" s="17">
        <v>0</v>
      </c>
      <c r="DJ33" s="17">
        <v>0</v>
      </c>
      <c r="DK33" s="17">
        <v>0</v>
      </c>
      <c r="DL33" s="17">
        <v>0</v>
      </c>
      <c r="DM33" s="17">
        <v>0</v>
      </c>
      <c r="DN33" s="17">
        <v>0</v>
      </c>
      <c r="DO33" s="17">
        <v>0</v>
      </c>
      <c r="DP33" s="17">
        <v>0</v>
      </c>
      <c r="DQ33" s="17">
        <v>0</v>
      </c>
      <c r="DR33" s="17">
        <v>0</v>
      </c>
      <c r="DS33" s="17">
        <v>0</v>
      </c>
      <c r="DT33" s="17">
        <v>0</v>
      </c>
      <c r="DU33" s="17">
        <v>0</v>
      </c>
      <c r="DV33" s="17">
        <v>0</v>
      </c>
      <c r="DW33" s="17">
        <v>0</v>
      </c>
      <c r="DX33" s="17">
        <v>0</v>
      </c>
      <c r="DY33" s="17">
        <v>0</v>
      </c>
      <c r="DZ33" s="17">
        <v>0</v>
      </c>
      <c r="EA33" s="17">
        <v>0</v>
      </c>
      <c r="EB33" s="17">
        <v>0</v>
      </c>
      <c r="EC33" s="17">
        <v>0</v>
      </c>
      <c r="ED33" s="17">
        <v>0</v>
      </c>
      <c r="EE33" s="17">
        <v>0</v>
      </c>
      <c r="EF33" s="17">
        <v>0</v>
      </c>
      <c r="EG33" s="17">
        <v>0</v>
      </c>
      <c r="EH33" s="17">
        <v>0</v>
      </c>
      <c r="EI33" s="17">
        <v>0</v>
      </c>
      <c r="EJ33" s="17">
        <v>0</v>
      </c>
      <c r="EK33" s="17">
        <v>0</v>
      </c>
      <c r="EL33" s="17">
        <v>0</v>
      </c>
      <c r="EM33" s="17">
        <v>0</v>
      </c>
      <c r="EN33" s="17">
        <v>0</v>
      </c>
      <c r="EO33" s="17">
        <v>0</v>
      </c>
      <c r="EP33" s="17">
        <v>0</v>
      </c>
      <c r="EQ33" s="17">
        <v>0</v>
      </c>
      <c r="ER33" s="17">
        <v>0</v>
      </c>
      <c r="ES33" s="17">
        <v>0</v>
      </c>
      <c r="ET33" s="17">
        <v>0</v>
      </c>
      <c r="EU33" s="17">
        <v>0</v>
      </c>
      <c r="EV33" s="17">
        <v>0</v>
      </c>
      <c r="EW33" s="17">
        <v>0</v>
      </c>
      <c r="EX33" s="17">
        <v>0</v>
      </c>
      <c r="EY33" s="17">
        <v>0</v>
      </c>
      <c r="EZ33" s="17">
        <v>0</v>
      </c>
      <c r="FA33" s="17">
        <v>0</v>
      </c>
      <c r="FB33" s="17">
        <v>0</v>
      </c>
      <c r="FC33" s="17">
        <v>0</v>
      </c>
      <c r="FD33" s="17">
        <v>0</v>
      </c>
      <c r="FE33" s="17">
        <v>0</v>
      </c>
      <c r="FF33" s="17">
        <v>0</v>
      </c>
      <c r="FG33" s="17">
        <v>0</v>
      </c>
      <c r="FH33" s="17">
        <v>0</v>
      </c>
      <c r="FI33" s="17">
        <v>0</v>
      </c>
      <c r="FJ33" s="17">
        <v>0</v>
      </c>
      <c r="FK33" s="17">
        <v>0</v>
      </c>
      <c r="FL33" s="17">
        <v>0</v>
      </c>
      <c r="FM33" s="17">
        <v>2E-3</v>
      </c>
      <c r="FN33" s="17">
        <v>0</v>
      </c>
      <c r="FO33" s="17">
        <v>0.11899999999999999</v>
      </c>
      <c r="FP33" s="17">
        <v>0</v>
      </c>
      <c r="FQ33" s="17">
        <v>0</v>
      </c>
      <c r="FR33" s="17">
        <v>0</v>
      </c>
      <c r="FS33" s="17">
        <v>0</v>
      </c>
      <c r="FT33" s="17">
        <v>0</v>
      </c>
      <c r="FU33" s="17">
        <v>0</v>
      </c>
      <c r="FV33" s="17">
        <v>0</v>
      </c>
      <c r="FW33" s="17">
        <v>0</v>
      </c>
      <c r="FX33" s="17">
        <v>0</v>
      </c>
      <c r="FY33" s="17">
        <v>0</v>
      </c>
      <c r="FZ33" s="17">
        <v>0</v>
      </c>
      <c r="GA33" s="17">
        <v>0</v>
      </c>
      <c r="GB33" s="17">
        <v>0</v>
      </c>
      <c r="GC33" s="17">
        <v>0</v>
      </c>
      <c r="GD33" s="17">
        <v>0</v>
      </c>
      <c r="GE33" s="17">
        <v>0</v>
      </c>
      <c r="GF33" s="17">
        <v>0</v>
      </c>
      <c r="GG33" s="17">
        <v>0</v>
      </c>
      <c r="GH33" s="17">
        <v>0</v>
      </c>
      <c r="GI33" s="17">
        <v>0</v>
      </c>
      <c r="GJ33" s="17">
        <v>0</v>
      </c>
      <c r="GK33" s="17">
        <v>0</v>
      </c>
      <c r="GL33" s="17">
        <v>0</v>
      </c>
      <c r="GM33" s="17">
        <v>0</v>
      </c>
      <c r="GN33" s="17">
        <v>0</v>
      </c>
      <c r="GO33" s="17">
        <v>0</v>
      </c>
      <c r="GP33" s="17">
        <v>0</v>
      </c>
      <c r="GQ33" s="17">
        <v>0</v>
      </c>
      <c r="GR33" s="17">
        <v>0</v>
      </c>
      <c r="GS33" s="17">
        <v>0</v>
      </c>
      <c r="GT33" s="17">
        <v>0</v>
      </c>
      <c r="GU33" s="17">
        <v>0</v>
      </c>
      <c r="GV33" s="17">
        <v>0</v>
      </c>
      <c r="GW33" s="17">
        <v>0</v>
      </c>
      <c r="GX33" s="17">
        <v>0</v>
      </c>
      <c r="GY33" s="17">
        <v>0</v>
      </c>
      <c r="GZ33" s="17">
        <v>0</v>
      </c>
      <c r="HA33" s="17">
        <v>0</v>
      </c>
      <c r="HB33" s="17">
        <v>0</v>
      </c>
      <c r="HC33" s="17">
        <v>0</v>
      </c>
      <c r="HD33" s="17">
        <v>0</v>
      </c>
      <c r="HE33" s="17">
        <v>0</v>
      </c>
      <c r="HF33" s="17">
        <v>0</v>
      </c>
      <c r="HG33" s="17">
        <v>0</v>
      </c>
      <c r="HH33" s="17">
        <v>0</v>
      </c>
    </row>
    <row r="34" spans="1:216" x14ac:dyDescent="0.25">
      <c r="A34" s="8">
        <v>30</v>
      </c>
      <c r="B34" s="8">
        <v>14.5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  <c r="AG34" s="17">
        <v>0</v>
      </c>
      <c r="AH34" s="17">
        <v>0</v>
      </c>
      <c r="AI34" s="17">
        <v>0</v>
      </c>
      <c r="AJ34" s="17">
        <v>0</v>
      </c>
      <c r="AK34" s="17">
        <v>0</v>
      </c>
      <c r="AL34" s="17">
        <v>0</v>
      </c>
      <c r="AM34" s="17">
        <v>0</v>
      </c>
      <c r="AN34" s="17">
        <v>0</v>
      </c>
      <c r="AO34" s="17">
        <v>0</v>
      </c>
      <c r="AP34" s="17">
        <v>0.13600000000000001</v>
      </c>
      <c r="AQ34" s="17">
        <v>0</v>
      </c>
      <c r="AR34" s="17">
        <v>0</v>
      </c>
      <c r="AS34" s="17">
        <v>0</v>
      </c>
      <c r="AT34" s="17">
        <v>0</v>
      </c>
      <c r="AU34" s="17">
        <v>0</v>
      </c>
      <c r="AV34" s="17">
        <v>0</v>
      </c>
      <c r="AW34" s="17">
        <v>0</v>
      </c>
      <c r="AX34" s="17">
        <v>0</v>
      </c>
      <c r="AY34" s="17">
        <v>0</v>
      </c>
      <c r="AZ34" s="17">
        <v>0</v>
      </c>
      <c r="BA34" s="17">
        <v>0</v>
      </c>
      <c r="BB34" s="17">
        <v>0</v>
      </c>
      <c r="BC34" s="17">
        <v>0</v>
      </c>
      <c r="BD34" s="17">
        <v>0</v>
      </c>
      <c r="BE34" s="17">
        <v>0</v>
      </c>
      <c r="BF34" s="17">
        <v>0</v>
      </c>
      <c r="BG34" s="17">
        <v>0</v>
      </c>
      <c r="BH34" s="17">
        <v>0</v>
      </c>
      <c r="BI34" s="17">
        <v>0</v>
      </c>
      <c r="BJ34" s="17">
        <v>0</v>
      </c>
      <c r="BK34" s="17">
        <v>0</v>
      </c>
      <c r="BL34" s="17">
        <v>0</v>
      </c>
      <c r="BM34" s="17">
        <v>0</v>
      </c>
      <c r="BN34" s="17">
        <v>0</v>
      </c>
      <c r="BO34" s="17">
        <v>0</v>
      </c>
      <c r="BP34" s="17">
        <v>0</v>
      </c>
      <c r="BQ34" s="17">
        <v>0</v>
      </c>
      <c r="BR34" s="17">
        <v>0</v>
      </c>
      <c r="BS34" s="17">
        <v>0</v>
      </c>
      <c r="BT34" s="17">
        <v>0</v>
      </c>
      <c r="BU34" s="17">
        <v>0</v>
      </c>
      <c r="BV34" s="17">
        <v>0</v>
      </c>
      <c r="BW34" s="17">
        <v>0</v>
      </c>
      <c r="BX34" s="17">
        <v>0</v>
      </c>
      <c r="BY34" s="17">
        <v>0</v>
      </c>
      <c r="BZ34" s="17">
        <v>0</v>
      </c>
      <c r="CA34" s="17">
        <v>0</v>
      </c>
      <c r="CB34" s="17">
        <v>0</v>
      </c>
      <c r="CC34" s="17">
        <v>0</v>
      </c>
      <c r="CD34" s="17">
        <v>0</v>
      </c>
      <c r="CE34" s="17">
        <v>0</v>
      </c>
      <c r="CF34" s="17">
        <v>7.5999999999999998E-2</v>
      </c>
      <c r="CG34" s="17">
        <v>0</v>
      </c>
      <c r="CH34" s="17">
        <v>0</v>
      </c>
      <c r="CI34" s="17">
        <v>0</v>
      </c>
      <c r="CJ34" s="17">
        <v>0</v>
      </c>
      <c r="CK34" s="17">
        <v>0</v>
      </c>
      <c r="CL34" s="17">
        <v>0</v>
      </c>
      <c r="CM34" s="17">
        <v>0</v>
      </c>
      <c r="CN34" s="17">
        <v>0</v>
      </c>
      <c r="CO34" s="17">
        <v>0</v>
      </c>
      <c r="CP34" s="17">
        <v>0</v>
      </c>
      <c r="CQ34" s="17">
        <v>0</v>
      </c>
      <c r="CR34" s="17">
        <v>0</v>
      </c>
      <c r="CS34" s="17">
        <v>0</v>
      </c>
      <c r="CT34" s="17">
        <v>0</v>
      </c>
      <c r="CU34" s="17">
        <v>0</v>
      </c>
      <c r="CV34" s="17">
        <v>0</v>
      </c>
      <c r="CW34" s="17">
        <v>0</v>
      </c>
      <c r="CX34" s="17">
        <v>0</v>
      </c>
      <c r="CY34" s="17">
        <v>0</v>
      </c>
      <c r="CZ34" s="17">
        <v>0</v>
      </c>
      <c r="DA34" s="17">
        <v>0</v>
      </c>
      <c r="DB34" s="17">
        <v>0</v>
      </c>
      <c r="DC34" s="17">
        <v>0</v>
      </c>
      <c r="DD34" s="17">
        <v>0</v>
      </c>
      <c r="DE34" s="17">
        <v>0</v>
      </c>
      <c r="DF34" s="17">
        <v>0.36599999999999999</v>
      </c>
      <c r="DG34" s="17">
        <v>0</v>
      </c>
      <c r="DH34" s="17">
        <v>0</v>
      </c>
      <c r="DI34" s="17">
        <v>0</v>
      </c>
      <c r="DJ34" s="17">
        <v>0</v>
      </c>
      <c r="DK34" s="17">
        <v>0</v>
      </c>
      <c r="DL34" s="17">
        <v>0</v>
      </c>
      <c r="DM34" s="17">
        <v>0</v>
      </c>
      <c r="DN34" s="17">
        <v>0</v>
      </c>
      <c r="DO34" s="17">
        <v>0</v>
      </c>
      <c r="DP34" s="17">
        <v>0</v>
      </c>
      <c r="DQ34" s="17">
        <v>0</v>
      </c>
      <c r="DR34" s="17">
        <v>0</v>
      </c>
      <c r="DS34" s="17">
        <v>0</v>
      </c>
      <c r="DT34" s="17">
        <v>0</v>
      </c>
      <c r="DU34" s="17">
        <v>0</v>
      </c>
      <c r="DV34" s="17">
        <v>0</v>
      </c>
      <c r="DW34" s="17">
        <v>0</v>
      </c>
      <c r="DX34" s="17">
        <v>0</v>
      </c>
      <c r="DY34" s="17">
        <v>0</v>
      </c>
      <c r="DZ34" s="17">
        <v>0</v>
      </c>
      <c r="EA34" s="17">
        <v>0</v>
      </c>
      <c r="EB34" s="17">
        <v>0</v>
      </c>
      <c r="EC34" s="17">
        <v>0</v>
      </c>
      <c r="ED34" s="17">
        <v>0</v>
      </c>
      <c r="EE34" s="17">
        <v>0</v>
      </c>
      <c r="EF34" s="17">
        <v>0</v>
      </c>
      <c r="EG34" s="17">
        <v>0</v>
      </c>
      <c r="EH34" s="17">
        <v>0</v>
      </c>
      <c r="EI34" s="17">
        <v>0</v>
      </c>
      <c r="EJ34" s="17">
        <v>0</v>
      </c>
      <c r="EK34" s="17">
        <v>0</v>
      </c>
      <c r="EL34" s="17">
        <v>0</v>
      </c>
      <c r="EM34" s="17">
        <v>0</v>
      </c>
      <c r="EN34" s="17">
        <v>0</v>
      </c>
      <c r="EO34" s="17">
        <v>0</v>
      </c>
      <c r="EP34" s="17">
        <v>0</v>
      </c>
      <c r="EQ34" s="17">
        <v>0</v>
      </c>
      <c r="ER34" s="17">
        <v>0</v>
      </c>
      <c r="ES34" s="17">
        <v>0</v>
      </c>
      <c r="ET34" s="17">
        <v>0</v>
      </c>
      <c r="EU34" s="17">
        <v>0</v>
      </c>
      <c r="EV34" s="17">
        <v>0</v>
      </c>
      <c r="EW34" s="17">
        <v>0</v>
      </c>
      <c r="EX34" s="17">
        <v>0</v>
      </c>
      <c r="EY34" s="17">
        <v>0</v>
      </c>
      <c r="EZ34" s="17">
        <v>0</v>
      </c>
      <c r="FA34" s="17">
        <v>0</v>
      </c>
      <c r="FB34" s="17">
        <v>0</v>
      </c>
      <c r="FC34" s="17">
        <v>0</v>
      </c>
      <c r="FD34" s="17">
        <v>0</v>
      </c>
      <c r="FE34" s="17">
        <v>0</v>
      </c>
      <c r="FF34" s="17">
        <v>0</v>
      </c>
      <c r="FG34" s="17">
        <v>0</v>
      </c>
      <c r="FH34" s="17">
        <v>0</v>
      </c>
      <c r="FI34" s="17">
        <v>0</v>
      </c>
      <c r="FJ34" s="17">
        <v>0</v>
      </c>
      <c r="FK34" s="17">
        <v>0</v>
      </c>
      <c r="FL34" s="17">
        <v>0</v>
      </c>
      <c r="FM34" s="17">
        <v>0</v>
      </c>
      <c r="FN34" s="17">
        <v>0</v>
      </c>
      <c r="FO34" s="17">
        <v>0</v>
      </c>
      <c r="FP34" s="17">
        <v>0</v>
      </c>
      <c r="FQ34" s="17">
        <v>0</v>
      </c>
      <c r="FR34" s="17">
        <v>0</v>
      </c>
      <c r="FS34" s="17">
        <v>0</v>
      </c>
      <c r="FT34" s="17">
        <v>0</v>
      </c>
      <c r="FU34" s="17">
        <v>0</v>
      </c>
      <c r="FV34" s="17">
        <v>0</v>
      </c>
      <c r="FW34" s="17">
        <v>0</v>
      </c>
      <c r="FX34" s="17">
        <v>0</v>
      </c>
      <c r="FY34" s="17">
        <v>0</v>
      </c>
      <c r="FZ34" s="17">
        <v>0</v>
      </c>
      <c r="GA34" s="17">
        <v>0</v>
      </c>
      <c r="GB34" s="17">
        <v>0</v>
      </c>
      <c r="GC34" s="17">
        <v>0</v>
      </c>
      <c r="GD34" s="17">
        <v>0</v>
      </c>
      <c r="GE34" s="17">
        <v>0</v>
      </c>
      <c r="GF34" s="17">
        <v>0</v>
      </c>
      <c r="GG34" s="17">
        <v>0</v>
      </c>
      <c r="GH34" s="17">
        <v>0</v>
      </c>
      <c r="GI34" s="17">
        <v>0</v>
      </c>
      <c r="GJ34" s="17">
        <v>0</v>
      </c>
      <c r="GK34" s="17">
        <v>0</v>
      </c>
      <c r="GL34" s="17">
        <v>0</v>
      </c>
      <c r="GM34" s="17">
        <v>0</v>
      </c>
      <c r="GN34" s="17">
        <v>0</v>
      </c>
      <c r="GO34" s="17">
        <v>0</v>
      </c>
      <c r="GP34" s="17">
        <v>0</v>
      </c>
      <c r="GQ34" s="17">
        <v>0</v>
      </c>
      <c r="GR34" s="17">
        <v>0</v>
      </c>
      <c r="GS34" s="17">
        <v>0</v>
      </c>
      <c r="GT34" s="17">
        <v>0</v>
      </c>
      <c r="GU34" s="17">
        <v>0</v>
      </c>
      <c r="GV34" s="17">
        <v>0</v>
      </c>
      <c r="GW34" s="17">
        <v>0</v>
      </c>
      <c r="GX34" s="17">
        <v>0</v>
      </c>
      <c r="GY34" s="17">
        <v>0</v>
      </c>
      <c r="GZ34" s="17">
        <v>0</v>
      </c>
      <c r="HA34" s="17">
        <v>0</v>
      </c>
      <c r="HB34" s="17">
        <v>0</v>
      </c>
      <c r="HC34" s="17">
        <v>0</v>
      </c>
      <c r="HD34" s="17">
        <v>0</v>
      </c>
      <c r="HE34" s="17">
        <v>0</v>
      </c>
      <c r="HF34" s="17">
        <v>0</v>
      </c>
      <c r="HG34" s="17">
        <v>0</v>
      </c>
      <c r="HH34" s="17">
        <v>0</v>
      </c>
    </row>
    <row r="35" spans="1:216" x14ac:dyDescent="0.25">
      <c r="A35" s="8">
        <v>31</v>
      </c>
      <c r="B35" s="8">
        <v>15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0.57599999999999996</v>
      </c>
      <c r="AC35" s="17">
        <v>0</v>
      </c>
      <c r="AD35" s="17">
        <v>0</v>
      </c>
      <c r="AE35" s="17">
        <v>0</v>
      </c>
      <c r="AF35" s="17">
        <v>0</v>
      </c>
      <c r="AG35" s="17">
        <v>0</v>
      </c>
      <c r="AH35" s="17">
        <v>0</v>
      </c>
      <c r="AI35" s="17">
        <v>0</v>
      </c>
      <c r="AJ35" s="17">
        <v>0</v>
      </c>
      <c r="AK35" s="17">
        <v>0</v>
      </c>
      <c r="AL35" s="17">
        <v>0</v>
      </c>
      <c r="AM35" s="17">
        <v>0</v>
      </c>
      <c r="AN35" s="17">
        <v>0</v>
      </c>
      <c r="AO35" s="17">
        <v>0</v>
      </c>
      <c r="AP35" s="17">
        <v>0</v>
      </c>
      <c r="AQ35" s="17">
        <v>0</v>
      </c>
      <c r="AR35" s="17">
        <v>0</v>
      </c>
      <c r="AS35" s="17">
        <v>0</v>
      </c>
      <c r="AT35" s="17">
        <v>0</v>
      </c>
      <c r="AU35" s="17">
        <v>0</v>
      </c>
      <c r="AV35" s="17">
        <v>0</v>
      </c>
      <c r="AW35" s="17">
        <v>0</v>
      </c>
      <c r="AX35" s="17">
        <v>0</v>
      </c>
      <c r="AY35" s="17">
        <v>0</v>
      </c>
      <c r="AZ35" s="17">
        <v>0</v>
      </c>
      <c r="BA35" s="17">
        <v>0</v>
      </c>
      <c r="BB35" s="17">
        <v>0</v>
      </c>
      <c r="BC35" s="17">
        <v>0</v>
      </c>
      <c r="BD35" s="17">
        <v>0</v>
      </c>
      <c r="BE35" s="17">
        <v>0</v>
      </c>
      <c r="BF35" s="17">
        <v>0</v>
      </c>
      <c r="BG35" s="17">
        <v>0</v>
      </c>
      <c r="BH35" s="17">
        <v>0</v>
      </c>
      <c r="BI35" s="17">
        <v>0</v>
      </c>
      <c r="BJ35" s="17">
        <v>0</v>
      </c>
      <c r="BK35" s="17">
        <v>0</v>
      </c>
      <c r="BL35" s="17">
        <v>0</v>
      </c>
      <c r="BM35" s="17">
        <v>0</v>
      </c>
      <c r="BN35" s="17">
        <v>0</v>
      </c>
      <c r="BO35" s="17">
        <v>0</v>
      </c>
      <c r="BP35" s="17">
        <v>0</v>
      </c>
      <c r="BQ35" s="17">
        <v>0</v>
      </c>
      <c r="BR35" s="17">
        <v>0</v>
      </c>
      <c r="BS35" s="17">
        <v>0</v>
      </c>
      <c r="BT35" s="17">
        <v>0</v>
      </c>
      <c r="BU35" s="17">
        <v>0</v>
      </c>
      <c r="BV35" s="17">
        <v>0</v>
      </c>
      <c r="BW35" s="17">
        <v>0</v>
      </c>
      <c r="BX35" s="17">
        <v>0</v>
      </c>
      <c r="BY35" s="17">
        <v>0</v>
      </c>
      <c r="BZ35" s="17">
        <v>0</v>
      </c>
      <c r="CA35" s="17">
        <v>0</v>
      </c>
      <c r="CB35" s="17">
        <v>0</v>
      </c>
      <c r="CC35" s="17">
        <v>0</v>
      </c>
      <c r="CD35" s="17">
        <v>0</v>
      </c>
      <c r="CE35" s="17">
        <v>0</v>
      </c>
      <c r="CF35" s="17">
        <v>7.9000000000000001E-2</v>
      </c>
      <c r="CG35" s="17">
        <v>0</v>
      </c>
      <c r="CH35" s="17">
        <v>0</v>
      </c>
      <c r="CI35" s="17">
        <v>0</v>
      </c>
      <c r="CJ35" s="17">
        <v>0</v>
      </c>
      <c r="CK35" s="17">
        <v>0</v>
      </c>
      <c r="CL35" s="17">
        <v>0</v>
      </c>
      <c r="CM35" s="17">
        <v>0</v>
      </c>
      <c r="CN35" s="17">
        <v>0</v>
      </c>
      <c r="CO35" s="17">
        <v>0</v>
      </c>
      <c r="CP35" s="17">
        <v>0</v>
      </c>
      <c r="CQ35" s="17">
        <v>0</v>
      </c>
      <c r="CR35" s="17">
        <v>0</v>
      </c>
      <c r="CS35" s="17">
        <v>0</v>
      </c>
      <c r="CT35" s="17">
        <v>0</v>
      </c>
      <c r="CU35" s="17">
        <v>0</v>
      </c>
      <c r="CV35" s="17">
        <v>0</v>
      </c>
      <c r="CW35" s="17">
        <v>0</v>
      </c>
      <c r="CX35" s="17">
        <v>0</v>
      </c>
      <c r="CY35" s="17">
        <v>0</v>
      </c>
      <c r="CZ35" s="17">
        <v>0</v>
      </c>
      <c r="DA35" s="17">
        <v>0</v>
      </c>
      <c r="DB35" s="17">
        <v>0</v>
      </c>
      <c r="DC35" s="17">
        <v>0</v>
      </c>
      <c r="DD35" s="17">
        <v>0</v>
      </c>
      <c r="DE35" s="17">
        <v>0</v>
      </c>
      <c r="DF35" s="17">
        <v>0</v>
      </c>
      <c r="DG35" s="17">
        <v>0</v>
      </c>
      <c r="DH35" s="17">
        <v>0</v>
      </c>
      <c r="DI35" s="17">
        <v>0</v>
      </c>
      <c r="DJ35" s="17">
        <v>0</v>
      </c>
      <c r="DK35" s="17">
        <v>0</v>
      </c>
      <c r="DL35" s="17">
        <v>0</v>
      </c>
      <c r="DM35" s="17">
        <v>0</v>
      </c>
      <c r="DN35" s="17">
        <v>0</v>
      </c>
      <c r="DO35" s="17">
        <v>0</v>
      </c>
      <c r="DP35" s="17">
        <v>0</v>
      </c>
      <c r="DQ35" s="17">
        <v>0</v>
      </c>
      <c r="DR35" s="17">
        <v>0</v>
      </c>
      <c r="DS35" s="17">
        <v>0</v>
      </c>
      <c r="DT35" s="17">
        <v>0</v>
      </c>
      <c r="DU35" s="17">
        <v>0</v>
      </c>
      <c r="DV35" s="17">
        <v>0</v>
      </c>
      <c r="DW35" s="17">
        <v>0</v>
      </c>
      <c r="DX35" s="17">
        <v>0</v>
      </c>
      <c r="DY35" s="17">
        <v>0</v>
      </c>
      <c r="DZ35" s="17">
        <v>6.4000000000000001E-2</v>
      </c>
      <c r="EA35" s="17">
        <v>0</v>
      </c>
      <c r="EB35" s="17">
        <v>0</v>
      </c>
      <c r="EC35" s="17">
        <v>0</v>
      </c>
      <c r="ED35" s="17">
        <v>0</v>
      </c>
      <c r="EE35" s="17">
        <v>0</v>
      </c>
      <c r="EF35" s="17">
        <v>0</v>
      </c>
      <c r="EG35" s="17">
        <v>0</v>
      </c>
      <c r="EH35" s="17">
        <v>0</v>
      </c>
      <c r="EI35" s="17">
        <v>0</v>
      </c>
      <c r="EJ35" s="17">
        <v>0</v>
      </c>
      <c r="EK35" s="17">
        <v>0</v>
      </c>
      <c r="EL35" s="17">
        <v>0</v>
      </c>
      <c r="EM35" s="17">
        <v>0</v>
      </c>
      <c r="EN35" s="17">
        <v>0</v>
      </c>
      <c r="EO35" s="17">
        <v>0</v>
      </c>
      <c r="EP35" s="17">
        <v>0</v>
      </c>
      <c r="EQ35" s="17">
        <v>0</v>
      </c>
      <c r="ER35" s="17">
        <v>0</v>
      </c>
      <c r="ES35" s="17">
        <v>0</v>
      </c>
      <c r="ET35" s="17">
        <v>0</v>
      </c>
      <c r="EU35" s="17">
        <v>0</v>
      </c>
      <c r="EV35" s="17">
        <v>0</v>
      </c>
      <c r="EW35" s="17">
        <v>0</v>
      </c>
      <c r="EX35" s="17">
        <v>0</v>
      </c>
      <c r="EY35" s="17">
        <v>0</v>
      </c>
      <c r="EZ35" s="17">
        <v>0</v>
      </c>
      <c r="FA35" s="17">
        <v>0</v>
      </c>
      <c r="FB35" s="17">
        <v>0</v>
      </c>
      <c r="FC35" s="17">
        <v>0</v>
      </c>
      <c r="FD35" s="17">
        <v>0</v>
      </c>
      <c r="FE35" s="17">
        <v>0</v>
      </c>
      <c r="FF35" s="17">
        <v>0</v>
      </c>
      <c r="FG35" s="17">
        <v>0</v>
      </c>
      <c r="FH35" s="17">
        <v>0</v>
      </c>
      <c r="FI35" s="17">
        <v>0</v>
      </c>
      <c r="FJ35" s="17">
        <v>0</v>
      </c>
      <c r="FK35" s="17">
        <v>0</v>
      </c>
      <c r="FL35" s="17">
        <v>0</v>
      </c>
      <c r="FM35" s="17">
        <v>0</v>
      </c>
      <c r="FN35" s="17">
        <v>0</v>
      </c>
      <c r="FO35" s="17">
        <v>8.9999999999999993E-3</v>
      </c>
      <c r="FP35" s="17">
        <v>0</v>
      </c>
      <c r="FQ35" s="17">
        <v>0</v>
      </c>
      <c r="FR35" s="17">
        <v>0</v>
      </c>
      <c r="FS35" s="17">
        <v>0</v>
      </c>
      <c r="FT35" s="17">
        <v>0</v>
      </c>
      <c r="FU35" s="17">
        <v>0</v>
      </c>
      <c r="FV35" s="17">
        <v>0</v>
      </c>
      <c r="FW35" s="17">
        <v>0</v>
      </c>
      <c r="FX35" s="17">
        <v>0</v>
      </c>
      <c r="FY35" s="17">
        <v>0</v>
      </c>
      <c r="FZ35" s="17">
        <v>0</v>
      </c>
      <c r="GA35" s="17">
        <v>0</v>
      </c>
      <c r="GB35" s="17">
        <v>0</v>
      </c>
      <c r="GC35" s="17">
        <v>0</v>
      </c>
      <c r="GD35" s="17">
        <v>0</v>
      </c>
      <c r="GE35" s="17">
        <v>0</v>
      </c>
      <c r="GF35" s="17">
        <v>0</v>
      </c>
      <c r="GG35" s="17">
        <v>0</v>
      </c>
      <c r="GH35" s="17">
        <v>0</v>
      </c>
      <c r="GI35" s="17">
        <v>0</v>
      </c>
      <c r="GJ35" s="17">
        <v>0</v>
      </c>
      <c r="GK35" s="17">
        <v>0</v>
      </c>
      <c r="GL35" s="17">
        <v>0</v>
      </c>
      <c r="GM35" s="17">
        <v>0</v>
      </c>
      <c r="GN35" s="17">
        <v>0</v>
      </c>
      <c r="GO35" s="17">
        <v>0</v>
      </c>
      <c r="GP35" s="17">
        <v>0</v>
      </c>
      <c r="GQ35" s="17">
        <v>0</v>
      </c>
      <c r="GR35" s="17">
        <v>0</v>
      </c>
      <c r="GS35" s="17">
        <v>0</v>
      </c>
      <c r="GT35" s="17">
        <v>0</v>
      </c>
      <c r="GU35" s="17">
        <v>0</v>
      </c>
      <c r="GV35" s="17">
        <v>0</v>
      </c>
      <c r="GW35" s="17">
        <v>0</v>
      </c>
      <c r="GX35" s="17">
        <v>0</v>
      </c>
      <c r="GY35" s="17">
        <v>0</v>
      </c>
      <c r="GZ35" s="17">
        <v>0</v>
      </c>
      <c r="HA35" s="17">
        <v>0</v>
      </c>
      <c r="HB35" s="17">
        <v>0</v>
      </c>
      <c r="HC35" s="17">
        <v>0</v>
      </c>
      <c r="HD35" s="17">
        <v>0</v>
      </c>
      <c r="HE35" s="17">
        <v>0</v>
      </c>
      <c r="HF35" s="17">
        <v>0</v>
      </c>
      <c r="HG35" s="17">
        <v>0</v>
      </c>
      <c r="HH35" s="17">
        <v>0</v>
      </c>
    </row>
    <row r="36" spans="1:216" x14ac:dyDescent="0.25">
      <c r="A36" s="8">
        <v>32</v>
      </c>
      <c r="B36" s="8">
        <v>15.5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  <c r="AG36" s="17">
        <v>0</v>
      </c>
      <c r="AH36" s="17">
        <v>0</v>
      </c>
      <c r="AI36" s="17">
        <v>0</v>
      </c>
      <c r="AJ36" s="17">
        <v>0</v>
      </c>
      <c r="AK36" s="17">
        <v>0</v>
      </c>
      <c r="AL36" s="17">
        <v>0</v>
      </c>
      <c r="AM36" s="17">
        <v>0</v>
      </c>
      <c r="AN36" s="17">
        <v>0</v>
      </c>
      <c r="AO36" s="17">
        <v>0</v>
      </c>
      <c r="AP36" s="17">
        <v>0</v>
      </c>
      <c r="AQ36" s="17">
        <v>0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7">
        <v>0</v>
      </c>
      <c r="AX36" s="17">
        <v>0</v>
      </c>
      <c r="AY36" s="17">
        <v>0</v>
      </c>
      <c r="AZ36" s="17">
        <v>0</v>
      </c>
      <c r="BA36" s="17">
        <v>0</v>
      </c>
      <c r="BB36" s="17">
        <v>0</v>
      </c>
      <c r="BC36" s="17">
        <v>0</v>
      </c>
      <c r="BD36" s="17">
        <v>0</v>
      </c>
      <c r="BE36" s="17">
        <v>0</v>
      </c>
      <c r="BF36" s="17">
        <v>0</v>
      </c>
      <c r="BG36" s="17">
        <v>0</v>
      </c>
      <c r="BH36" s="17">
        <v>0</v>
      </c>
      <c r="BI36" s="17">
        <v>0</v>
      </c>
      <c r="BJ36" s="17">
        <v>0</v>
      </c>
      <c r="BK36" s="17">
        <v>0</v>
      </c>
      <c r="BL36" s="17">
        <v>0</v>
      </c>
      <c r="BM36" s="17">
        <v>0</v>
      </c>
      <c r="BN36" s="17">
        <v>0</v>
      </c>
      <c r="BO36" s="17">
        <v>0</v>
      </c>
      <c r="BP36" s="17">
        <v>0</v>
      </c>
      <c r="BQ36" s="17">
        <v>0</v>
      </c>
      <c r="BR36" s="17">
        <v>0</v>
      </c>
      <c r="BS36" s="17">
        <v>0</v>
      </c>
      <c r="BT36" s="17">
        <v>0</v>
      </c>
      <c r="BU36" s="17">
        <v>0</v>
      </c>
      <c r="BV36" s="17">
        <v>0</v>
      </c>
      <c r="BW36" s="17">
        <v>0</v>
      </c>
      <c r="BX36" s="17">
        <v>5.8999999999999997E-2</v>
      </c>
      <c r="BY36" s="17">
        <v>0</v>
      </c>
      <c r="BZ36" s="17">
        <v>0</v>
      </c>
      <c r="CA36" s="17">
        <v>0</v>
      </c>
      <c r="CB36" s="17">
        <v>0</v>
      </c>
      <c r="CC36" s="17">
        <v>0</v>
      </c>
      <c r="CD36" s="17">
        <v>0</v>
      </c>
      <c r="CE36" s="17">
        <v>0</v>
      </c>
      <c r="CF36" s="17">
        <v>0</v>
      </c>
      <c r="CG36" s="17">
        <v>0</v>
      </c>
      <c r="CH36" s="17">
        <v>0</v>
      </c>
      <c r="CI36" s="17">
        <v>0</v>
      </c>
      <c r="CJ36" s="17">
        <v>0</v>
      </c>
      <c r="CK36" s="17">
        <v>0</v>
      </c>
      <c r="CL36" s="17">
        <v>0</v>
      </c>
      <c r="CM36" s="17">
        <v>0</v>
      </c>
      <c r="CN36" s="17">
        <v>0</v>
      </c>
      <c r="CO36" s="17">
        <v>0</v>
      </c>
      <c r="CP36" s="17">
        <v>0</v>
      </c>
      <c r="CQ36" s="17">
        <v>0</v>
      </c>
      <c r="CR36" s="17">
        <v>0</v>
      </c>
      <c r="CS36" s="17">
        <v>0</v>
      </c>
      <c r="CT36" s="17">
        <v>0</v>
      </c>
      <c r="CU36" s="17">
        <v>0</v>
      </c>
      <c r="CV36" s="17">
        <v>0</v>
      </c>
      <c r="CW36" s="17">
        <v>0</v>
      </c>
      <c r="CX36" s="17">
        <v>0</v>
      </c>
      <c r="CY36" s="17">
        <v>0</v>
      </c>
      <c r="CZ36" s="17">
        <v>0</v>
      </c>
      <c r="DA36" s="17">
        <v>0</v>
      </c>
      <c r="DB36" s="17">
        <v>0</v>
      </c>
      <c r="DC36" s="17">
        <v>0</v>
      </c>
      <c r="DD36" s="17">
        <v>0</v>
      </c>
      <c r="DE36" s="17">
        <v>0</v>
      </c>
      <c r="DF36" s="17">
        <v>0</v>
      </c>
      <c r="DG36" s="17">
        <v>0</v>
      </c>
      <c r="DH36" s="17">
        <v>0</v>
      </c>
      <c r="DI36" s="17">
        <v>0</v>
      </c>
      <c r="DJ36" s="17">
        <v>0</v>
      </c>
      <c r="DK36" s="17">
        <v>0</v>
      </c>
      <c r="DL36" s="17">
        <v>0</v>
      </c>
      <c r="DM36" s="17">
        <v>0</v>
      </c>
      <c r="DN36" s="17">
        <v>0</v>
      </c>
      <c r="DO36" s="17">
        <v>0</v>
      </c>
      <c r="DP36" s="17">
        <v>0</v>
      </c>
      <c r="DQ36" s="17">
        <v>0</v>
      </c>
      <c r="DR36" s="17">
        <v>0</v>
      </c>
      <c r="DS36" s="17">
        <v>0</v>
      </c>
      <c r="DT36" s="17">
        <v>0</v>
      </c>
      <c r="DU36" s="17">
        <v>0</v>
      </c>
      <c r="DV36" s="17">
        <v>0</v>
      </c>
      <c r="DW36" s="17">
        <v>0</v>
      </c>
      <c r="DX36" s="17">
        <v>0</v>
      </c>
      <c r="DY36" s="17">
        <v>0</v>
      </c>
      <c r="DZ36" s="17">
        <v>0</v>
      </c>
      <c r="EA36" s="17">
        <v>0</v>
      </c>
      <c r="EB36" s="17">
        <v>0</v>
      </c>
      <c r="EC36" s="17">
        <v>0</v>
      </c>
      <c r="ED36" s="17">
        <v>0</v>
      </c>
      <c r="EE36" s="17">
        <v>0</v>
      </c>
      <c r="EF36" s="17">
        <v>0</v>
      </c>
      <c r="EG36" s="17">
        <v>0</v>
      </c>
      <c r="EH36" s="17">
        <v>0</v>
      </c>
      <c r="EI36" s="17">
        <v>0</v>
      </c>
      <c r="EJ36" s="17">
        <v>0</v>
      </c>
      <c r="EK36" s="17">
        <v>0</v>
      </c>
      <c r="EL36" s="17">
        <v>0</v>
      </c>
      <c r="EM36" s="17">
        <v>0</v>
      </c>
      <c r="EN36" s="17">
        <v>0</v>
      </c>
      <c r="EO36" s="17">
        <v>0</v>
      </c>
      <c r="EP36" s="17">
        <v>0</v>
      </c>
      <c r="EQ36" s="17">
        <v>0</v>
      </c>
      <c r="ER36" s="17">
        <v>0</v>
      </c>
      <c r="ES36" s="17">
        <v>0</v>
      </c>
      <c r="ET36" s="17">
        <v>0</v>
      </c>
      <c r="EU36" s="17">
        <v>0</v>
      </c>
      <c r="EV36" s="17">
        <v>0</v>
      </c>
      <c r="EW36" s="17">
        <v>0</v>
      </c>
      <c r="EX36" s="17">
        <v>0</v>
      </c>
      <c r="EY36" s="17">
        <v>0</v>
      </c>
      <c r="EZ36" s="17">
        <v>0</v>
      </c>
      <c r="FA36" s="17">
        <v>0</v>
      </c>
      <c r="FB36" s="17">
        <v>0</v>
      </c>
      <c r="FC36" s="17">
        <v>0</v>
      </c>
      <c r="FD36" s="17">
        <v>0</v>
      </c>
      <c r="FE36" s="17">
        <v>0</v>
      </c>
      <c r="FF36" s="17">
        <v>0</v>
      </c>
      <c r="FG36" s="17">
        <v>4.2999999999999997E-2</v>
      </c>
      <c r="FH36" s="17">
        <v>0</v>
      </c>
      <c r="FI36" s="17">
        <v>0</v>
      </c>
      <c r="FJ36" s="17">
        <v>0</v>
      </c>
      <c r="FK36" s="17">
        <v>0</v>
      </c>
      <c r="FL36" s="17">
        <v>0</v>
      </c>
      <c r="FM36" s="17">
        <v>0</v>
      </c>
      <c r="FN36" s="17">
        <v>0</v>
      </c>
      <c r="FO36" s="17">
        <v>0.316</v>
      </c>
      <c r="FP36" s="17">
        <v>0</v>
      </c>
      <c r="FQ36" s="17">
        <v>0</v>
      </c>
      <c r="FR36" s="17">
        <v>0</v>
      </c>
      <c r="FS36" s="17">
        <v>0</v>
      </c>
      <c r="FT36" s="17">
        <v>0</v>
      </c>
      <c r="FU36" s="17">
        <v>0</v>
      </c>
      <c r="FV36" s="17">
        <v>0</v>
      </c>
      <c r="FW36" s="17">
        <v>0</v>
      </c>
      <c r="FX36" s="17">
        <v>0</v>
      </c>
      <c r="FY36" s="17">
        <v>0</v>
      </c>
      <c r="FZ36" s="17">
        <v>0</v>
      </c>
      <c r="GA36" s="17">
        <v>5.5E-2</v>
      </c>
      <c r="GB36" s="17">
        <v>0</v>
      </c>
      <c r="GC36" s="17">
        <v>0</v>
      </c>
      <c r="GD36" s="17">
        <v>0</v>
      </c>
      <c r="GE36" s="17">
        <v>0</v>
      </c>
      <c r="GF36" s="17">
        <v>0</v>
      </c>
      <c r="GG36" s="17">
        <v>0</v>
      </c>
      <c r="GH36" s="17">
        <v>0</v>
      </c>
      <c r="GI36" s="17">
        <v>0</v>
      </c>
      <c r="GJ36" s="17">
        <v>0</v>
      </c>
      <c r="GK36" s="17">
        <v>0</v>
      </c>
      <c r="GL36" s="17">
        <v>0</v>
      </c>
      <c r="GM36" s="17">
        <v>0</v>
      </c>
      <c r="GN36" s="17">
        <v>0</v>
      </c>
      <c r="GO36" s="17">
        <v>0</v>
      </c>
      <c r="GP36" s="17">
        <v>0</v>
      </c>
      <c r="GQ36" s="17">
        <v>0</v>
      </c>
      <c r="GR36" s="17">
        <v>0</v>
      </c>
      <c r="GS36" s="17">
        <v>0</v>
      </c>
      <c r="GT36" s="17">
        <v>0</v>
      </c>
      <c r="GU36" s="17">
        <v>0</v>
      </c>
      <c r="GV36" s="17">
        <v>0</v>
      </c>
      <c r="GW36" s="17">
        <v>0</v>
      </c>
      <c r="GX36" s="17">
        <v>0</v>
      </c>
      <c r="GY36" s="17">
        <v>0</v>
      </c>
      <c r="GZ36" s="17">
        <v>0</v>
      </c>
      <c r="HA36" s="17">
        <v>0</v>
      </c>
      <c r="HB36" s="17">
        <v>0</v>
      </c>
      <c r="HC36" s="17">
        <v>0</v>
      </c>
      <c r="HD36" s="17">
        <v>0</v>
      </c>
      <c r="HE36" s="17">
        <v>0</v>
      </c>
      <c r="HF36" s="17">
        <v>0</v>
      </c>
      <c r="HG36" s="17">
        <v>0</v>
      </c>
      <c r="HH36" s="17">
        <v>0</v>
      </c>
    </row>
    <row r="37" spans="1:216" x14ac:dyDescent="0.25">
      <c r="A37" s="8">
        <v>33</v>
      </c>
      <c r="B37" s="8">
        <v>16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0.44500000000000001</v>
      </c>
      <c r="AC37" s="17">
        <v>0</v>
      </c>
      <c r="AD37" s="17">
        <v>0</v>
      </c>
      <c r="AE37" s="17">
        <v>0</v>
      </c>
      <c r="AF37" s="17">
        <v>0.14699999999999999</v>
      </c>
      <c r="AG37" s="17">
        <v>0</v>
      </c>
      <c r="AH37" s="17">
        <v>0</v>
      </c>
      <c r="AI37" s="17">
        <v>0</v>
      </c>
      <c r="AJ37" s="17">
        <v>0</v>
      </c>
      <c r="AK37" s="17">
        <v>0</v>
      </c>
      <c r="AL37" s="17">
        <v>0</v>
      </c>
      <c r="AM37" s="17">
        <v>0</v>
      </c>
      <c r="AN37" s="17">
        <v>0</v>
      </c>
      <c r="AO37" s="17">
        <v>0</v>
      </c>
      <c r="AP37" s="17">
        <v>0</v>
      </c>
      <c r="AQ37" s="17">
        <v>0</v>
      </c>
      <c r="AR37" s="17">
        <v>0</v>
      </c>
      <c r="AS37" s="17">
        <v>0</v>
      </c>
      <c r="AT37" s="17">
        <v>0</v>
      </c>
      <c r="AU37" s="17">
        <v>0</v>
      </c>
      <c r="AV37" s="17">
        <v>0</v>
      </c>
      <c r="AW37" s="17">
        <v>0</v>
      </c>
      <c r="AX37" s="17">
        <v>0</v>
      </c>
      <c r="AY37" s="17">
        <v>0</v>
      </c>
      <c r="AZ37" s="17">
        <v>0</v>
      </c>
      <c r="BA37" s="17">
        <v>0</v>
      </c>
      <c r="BB37" s="17">
        <v>0</v>
      </c>
      <c r="BC37" s="17">
        <v>0</v>
      </c>
      <c r="BD37" s="17">
        <v>0</v>
      </c>
      <c r="BE37" s="17">
        <v>0</v>
      </c>
      <c r="BF37" s="17">
        <v>0</v>
      </c>
      <c r="BG37" s="17">
        <v>0</v>
      </c>
      <c r="BH37" s="17">
        <v>0</v>
      </c>
      <c r="BI37" s="17">
        <v>0</v>
      </c>
      <c r="BJ37" s="17">
        <v>0</v>
      </c>
      <c r="BK37" s="17">
        <v>0</v>
      </c>
      <c r="BL37" s="17">
        <v>0</v>
      </c>
      <c r="BM37" s="17">
        <v>0</v>
      </c>
      <c r="BN37" s="17">
        <v>0</v>
      </c>
      <c r="BO37" s="17">
        <v>0</v>
      </c>
      <c r="BP37" s="17">
        <v>0</v>
      </c>
      <c r="BQ37" s="17">
        <v>0</v>
      </c>
      <c r="BR37" s="17">
        <v>0</v>
      </c>
      <c r="BS37" s="17">
        <v>0</v>
      </c>
      <c r="BT37" s="17">
        <v>0</v>
      </c>
      <c r="BU37" s="17">
        <v>0</v>
      </c>
      <c r="BV37" s="17">
        <v>0</v>
      </c>
      <c r="BW37" s="17">
        <v>0</v>
      </c>
      <c r="BX37" s="17">
        <v>0</v>
      </c>
      <c r="BY37" s="17">
        <v>0</v>
      </c>
      <c r="BZ37" s="17">
        <v>0</v>
      </c>
      <c r="CA37" s="17">
        <v>0</v>
      </c>
      <c r="CB37" s="17">
        <v>0</v>
      </c>
      <c r="CC37" s="17">
        <v>0</v>
      </c>
      <c r="CD37" s="17">
        <v>0</v>
      </c>
      <c r="CE37" s="17">
        <v>0</v>
      </c>
      <c r="CF37" s="17">
        <v>0</v>
      </c>
      <c r="CG37" s="17">
        <v>0</v>
      </c>
      <c r="CH37" s="17">
        <v>0</v>
      </c>
      <c r="CI37" s="17">
        <v>0.316</v>
      </c>
      <c r="CJ37" s="17">
        <v>0</v>
      </c>
      <c r="CK37" s="17">
        <v>0</v>
      </c>
      <c r="CL37" s="17">
        <v>1.0129999999999999</v>
      </c>
      <c r="CM37" s="17">
        <v>0</v>
      </c>
      <c r="CN37" s="17">
        <v>0</v>
      </c>
      <c r="CO37" s="17">
        <v>0</v>
      </c>
      <c r="CP37" s="17">
        <v>0</v>
      </c>
      <c r="CQ37" s="17">
        <v>0</v>
      </c>
      <c r="CR37" s="17">
        <v>0</v>
      </c>
      <c r="CS37" s="17">
        <v>0</v>
      </c>
      <c r="CT37" s="17">
        <v>0</v>
      </c>
      <c r="CU37" s="17">
        <v>0</v>
      </c>
      <c r="CV37" s="17">
        <v>0</v>
      </c>
      <c r="CW37" s="17">
        <v>0</v>
      </c>
      <c r="CX37" s="17">
        <v>0</v>
      </c>
      <c r="CY37" s="17">
        <v>0</v>
      </c>
      <c r="CZ37" s="17">
        <v>0</v>
      </c>
      <c r="DA37" s="17">
        <v>0.83099999999999996</v>
      </c>
      <c r="DB37" s="17">
        <v>0</v>
      </c>
      <c r="DC37" s="17">
        <v>0</v>
      </c>
      <c r="DD37" s="17">
        <v>0</v>
      </c>
      <c r="DE37" s="17">
        <v>0</v>
      </c>
      <c r="DF37" s="17">
        <v>0</v>
      </c>
      <c r="DG37" s="17">
        <v>0</v>
      </c>
      <c r="DH37" s="17">
        <v>0</v>
      </c>
      <c r="DI37" s="17">
        <v>0</v>
      </c>
      <c r="DJ37" s="17">
        <v>0</v>
      </c>
      <c r="DK37" s="17">
        <v>0.59399999999999997</v>
      </c>
      <c r="DL37" s="17">
        <v>0</v>
      </c>
      <c r="DM37" s="17">
        <v>0</v>
      </c>
      <c r="DN37" s="17">
        <v>0</v>
      </c>
      <c r="DO37" s="17">
        <v>0</v>
      </c>
      <c r="DP37" s="17">
        <v>0</v>
      </c>
      <c r="DQ37" s="17">
        <v>0</v>
      </c>
      <c r="DR37" s="17">
        <v>0</v>
      </c>
      <c r="DS37" s="17">
        <v>0</v>
      </c>
      <c r="DT37" s="17">
        <v>0</v>
      </c>
      <c r="DU37" s="17">
        <v>0</v>
      </c>
      <c r="DV37" s="17">
        <v>0</v>
      </c>
      <c r="DW37" s="17">
        <v>0</v>
      </c>
      <c r="DX37" s="17">
        <v>0</v>
      </c>
      <c r="DY37" s="17">
        <v>0</v>
      </c>
      <c r="DZ37" s="17">
        <v>0</v>
      </c>
      <c r="EA37" s="17">
        <v>0</v>
      </c>
      <c r="EB37" s="17">
        <v>0</v>
      </c>
      <c r="EC37" s="17">
        <v>0</v>
      </c>
      <c r="ED37" s="17">
        <v>0</v>
      </c>
      <c r="EE37" s="17">
        <v>0</v>
      </c>
      <c r="EF37" s="17">
        <v>0</v>
      </c>
      <c r="EG37" s="17">
        <v>0</v>
      </c>
      <c r="EH37" s="17">
        <v>0</v>
      </c>
      <c r="EI37" s="17">
        <v>0</v>
      </c>
      <c r="EJ37" s="17">
        <v>0</v>
      </c>
      <c r="EK37" s="17">
        <v>0</v>
      </c>
      <c r="EL37" s="17">
        <v>0</v>
      </c>
      <c r="EM37" s="17">
        <v>0</v>
      </c>
      <c r="EN37" s="17">
        <v>0</v>
      </c>
      <c r="EO37" s="17">
        <v>0</v>
      </c>
      <c r="EP37" s="17">
        <v>0</v>
      </c>
      <c r="EQ37" s="17">
        <v>0</v>
      </c>
      <c r="ER37" s="17">
        <v>0</v>
      </c>
      <c r="ES37" s="17">
        <v>0</v>
      </c>
      <c r="ET37" s="17">
        <v>0</v>
      </c>
      <c r="EU37" s="17">
        <v>0</v>
      </c>
      <c r="EV37" s="17">
        <v>0</v>
      </c>
      <c r="EW37" s="17">
        <v>0</v>
      </c>
      <c r="EX37" s="17">
        <v>0</v>
      </c>
      <c r="EY37" s="17">
        <v>0</v>
      </c>
      <c r="EZ37" s="17">
        <v>0</v>
      </c>
      <c r="FA37" s="17">
        <v>0</v>
      </c>
      <c r="FB37" s="17">
        <v>0</v>
      </c>
      <c r="FC37" s="17">
        <v>0</v>
      </c>
      <c r="FD37" s="17">
        <v>0</v>
      </c>
      <c r="FE37" s="17">
        <v>0</v>
      </c>
      <c r="FF37" s="17">
        <v>0</v>
      </c>
      <c r="FG37" s="17">
        <v>0</v>
      </c>
      <c r="FH37" s="17">
        <v>0</v>
      </c>
      <c r="FI37" s="17">
        <v>0</v>
      </c>
      <c r="FJ37" s="17">
        <v>1.03</v>
      </c>
      <c r="FK37" s="17">
        <v>0</v>
      </c>
      <c r="FL37" s="17">
        <v>0</v>
      </c>
      <c r="FM37" s="17">
        <v>0</v>
      </c>
      <c r="FN37" s="17">
        <v>0</v>
      </c>
      <c r="FO37" s="17">
        <v>0</v>
      </c>
      <c r="FP37" s="17">
        <v>0</v>
      </c>
      <c r="FQ37" s="17">
        <v>0</v>
      </c>
      <c r="FR37" s="17">
        <v>0</v>
      </c>
      <c r="FS37" s="17">
        <v>0</v>
      </c>
      <c r="FT37" s="17">
        <v>0</v>
      </c>
      <c r="FU37" s="17">
        <v>0.45500000000000002</v>
      </c>
      <c r="FV37" s="17">
        <v>0</v>
      </c>
      <c r="FW37" s="17">
        <v>0</v>
      </c>
      <c r="FX37" s="17">
        <v>0</v>
      </c>
      <c r="FY37" s="17">
        <v>0</v>
      </c>
      <c r="FZ37" s="17">
        <v>0</v>
      </c>
      <c r="GA37" s="17">
        <v>0</v>
      </c>
      <c r="GB37" s="17">
        <v>0</v>
      </c>
      <c r="GC37" s="17">
        <v>0</v>
      </c>
      <c r="GD37" s="17">
        <v>0</v>
      </c>
      <c r="GE37" s="17">
        <v>0</v>
      </c>
      <c r="GF37" s="17">
        <v>0</v>
      </c>
      <c r="GG37" s="17">
        <v>0</v>
      </c>
      <c r="GH37" s="17">
        <v>0</v>
      </c>
      <c r="GI37" s="17">
        <v>0</v>
      </c>
      <c r="GJ37" s="17">
        <v>0</v>
      </c>
      <c r="GK37" s="17">
        <v>0</v>
      </c>
      <c r="GL37" s="17">
        <v>0</v>
      </c>
      <c r="GM37" s="17">
        <v>0</v>
      </c>
      <c r="GN37" s="17">
        <v>0</v>
      </c>
      <c r="GO37" s="17">
        <v>0.435</v>
      </c>
      <c r="GP37" s="17">
        <v>0</v>
      </c>
      <c r="GQ37" s="17">
        <v>0</v>
      </c>
      <c r="GR37" s="17">
        <v>0</v>
      </c>
      <c r="GS37" s="17">
        <v>0</v>
      </c>
      <c r="GT37" s="17">
        <v>0</v>
      </c>
      <c r="GU37" s="17">
        <v>0</v>
      </c>
      <c r="GV37" s="17">
        <v>0</v>
      </c>
      <c r="GW37" s="17">
        <v>0</v>
      </c>
      <c r="GX37" s="17">
        <v>7.3999999999999996E-2</v>
      </c>
      <c r="GY37" s="17">
        <v>0</v>
      </c>
      <c r="GZ37" s="17">
        <v>0</v>
      </c>
      <c r="HA37" s="17">
        <v>0</v>
      </c>
      <c r="HB37" s="17">
        <v>0</v>
      </c>
      <c r="HC37" s="17">
        <v>0</v>
      </c>
      <c r="HD37" s="17">
        <v>0</v>
      </c>
      <c r="HE37" s="17">
        <v>0</v>
      </c>
      <c r="HF37" s="17">
        <v>0.01</v>
      </c>
      <c r="HG37" s="17">
        <v>0</v>
      </c>
      <c r="HH37" s="17">
        <v>0</v>
      </c>
    </row>
    <row r="38" spans="1:216" x14ac:dyDescent="0.25">
      <c r="A38" s="8">
        <v>34</v>
      </c>
      <c r="B38" s="8">
        <v>16.5</v>
      </c>
      <c r="C38" s="17">
        <v>1.0189999999999999</v>
      </c>
      <c r="D38" s="17">
        <v>0</v>
      </c>
      <c r="E38" s="17">
        <v>0</v>
      </c>
      <c r="F38" s="17">
        <v>0</v>
      </c>
      <c r="G38" s="17">
        <v>0.38600000000000001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0.03</v>
      </c>
      <c r="U38" s="17">
        <v>0</v>
      </c>
      <c r="V38" s="17">
        <v>0</v>
      </c>
      <c r="W38" s="17">
        <v>0.34799999999999998</v>
      </c>
      <c r="X38" s="17">
        <v>0</v>
      </c>
      <c r="Y38" s="17">
        <v>0</v>
      </c>
      <c r="Z38" s="17">
        <v>0</v>
      </c>
      <c r="AA38" s="17">
        <v>0</v>
      </c>
      <c r="AB38" s="17">
        <v>0.14399999999999999</v>
      </c>
      <c r="AC38" s="17">
        <v>0</v>
      </c>
      <c r="AD38" s="17">
        <v>0</v>
      </c>
      <c r="AE38" s="17">
        <v>0</v>
      </c>
      <c r="AF38" s="17">
        <v>0</v>
      </c>
      <c r="AG38" s="17">
        <v>0</v>
      </c>
      <c r="AH38" s="17">
        <v>0</v>
      </c>
      <c r="AI38" s="17">
        <v>0</v>
      </c>
      <c r="AJ38" s="17">
        <v>0</v>
      </c>
      <c r="AK38" s="17">
        <v>0</v>
      </c>
      <c r="AL38" s="17">
        <v>0</v>
      </c>
      <c r="AM38" s="17">
        <v>0</v>
      </c>
      <c r="AN38" s="17">
        <v>0</v>
      </c>
      <c r="AO38" s="17">
        <v>0</v>
      </c>
      <c r="AP38" s="17">
        <v>0</v>
      </c>
      <c r="AQ38" s="17">
        <v>0</v>
      </c>
      <c r="AR38" s="17">
        <v>0</v>
      </c>
      <c r="AS38" s="17">
        <v>0</v>
      </c>
      <c r="AT38" s="17">
        <v>0</v>
      </c>
      <c r="AU38" s="17">
        <v>0</v>
      </c>
      <c r="AV38" s="17">
        <v>0</v>
      </c>
      <c r="AW38" s="17">
        <v>0</v>
      </c>
      <c r="AX38" s="17">
        <v>0</v>
      </c>
      <c r="AY38" s="17">
        <v>0</v>
      </c>
      <c r="AZ38" s="17">
        <v>0</v>
      </c>
      <c r="BA38" s="17">
        <v>0</v>
      </c>
      <c r="BB38" s="17">
        <v>0</v>
      </c>
      <c r="BC38" s="17">
        <v>0</v>
      </c>
      <c r="BD38" s="17">
        <v>0</v>
      </c>
      <c r="BE38" s="17">
        <v>0</v>
      </c>
      <c r="BF38" s="17">
        <v>0</v>
      </c>
      <c r="BG38" s="17">
        <v>0</v>
      </c>
      <c r="BH38" s="17">
        <v>0</v>
      </c>
      <c r="BI38" s="17">
        <v>0</v>
      </c>
      <c r="BJ38" s="17">
        <v>0</v>
      </c>
      <c r="BK38" s="17">
        <v>0</v>
      </c>
      <c r="BL38" s="17">
        <v>0.38300000000000001</v>
      </c>
      <c r="BM38" s="17">
        <v>0</v>
      </c>
      <c r="BN38" s="17">
        <v>0</v>
      </c>
      <c r="BO38" s="17">
        <v>0.503</v>
      </c>
      <c r="BP38" s="17">
        <v>0</v>
      </c>
      <c r="BQ38" s="17">
        <v>0</v>
      </c>
      <c r="BR38" s="17">
        <v>0</v>
      </c>
      <c r="BS38" s="17">
        <v>0</v>
      </c>
      <c r="BT38" s="17">
        <v>0</v>
      </c>
      <c r="BU38" s="17">
        <v>0</v>
      </c>
      <c r="BV38" s="17">
        <v>0</v>
      </c>
      <c r="BW38" s="17">
        <v>0</v>
      </c>
      <c r="BX38" s="17">
        <v>0</v>
      </c>
      <c r="BY38" s="17">
        <v>0</v>
      </c>
      <c r="BZ38" s="17">
        <v>0</v>
      </c>
      <c r="CA38" s="17">
        <v>0</v>
      </c>
      <c r="CB38" s="17">
        <v>0</v>
      </c>
      <c r="CC38" s="17">
        <v>0</v>
      </c>
      <c r="CD38" s="17">
        <v>0</v>
      </c>
      <c r="CE38" s="17">
        <v>0</v>
      </c>
      <c r="CF38" s="17">
        <v>0</v>
      </c>
      <c r="CG38" s="17">
        <v>0</v>
      </c>
      <c r="CH38" s="17">
        <v>0</v>
      </c>
      <c r="CI38" s="17">
        <v>0.85099999999999998</v>
      </c>
      <c r="CJ38" s="17">
        <v>0</v>
      </c>
      <c r="CK38" s="17">
        <v>2.3E-2</v>
      </c>
      <c r="CL38" s="17">
        <v>0</v>
      </c>
      <c r="CM38" s="17">
        <v>0</v>
      </c>
      <c r="CN38" s="17">
        <v>0</v>
      </c>
      <c r="CO38" s="17">
        <v>0</v>
      </c>
      <c r="CP38" s="17">
        <v>0</v>
      </c>
      <c r="CQ38" s="17">
        <v>0</v>
      </c>
      <c r="CR38" s="17">
        <v>0</v>
      </c>
      <c r="CS38" s="17">
        <v>0</v>
      </c>
      <c r="CT38" s="17">
        <v>0</v>
      </c>
      <c r="CU38" s="17">
        <v>0</v>
      </c>
      <c r="CV38" s="17">
        <v>0</v>
      </c>
      <c r="CW38" s="17">
        <v>0</v>
      </c>
      <c r="CX38" s="17">
        <v>0</v>
      </c>
      <c r="CY38" s="17">
        <v>0</v>
      </c>
      <c r="CZ38" s="17">
        <v>0</v>
      </c>
      <c r="DA38" s="17">
        <v>0.185</v>
      </c>
      <c r="DB38" s="17">
        <v>0</v>
      </c>
      <c r="DC38" s="17">
        <v>0</v>
      </c>
      <c r="DD38" s="17">
        <v>0</v>
      </c>
      <c r="DE38" s="17">
        <v>0</v>
      </c>
      <c r="DF38" s="17">
        <v>0</v>
      </c>
      <c r="DG38" s="17">
        <v>0</v>
      </c>
      <c r="DH38" s="17">
        <v>0</v>
      </c>
      <c r="DI38" s="17">
        <v>0</v>
      </c>
      <c r="DJ38" s="17">
        <v>0</v>
      </c>
      <c r="DK38" s="17">
        <v>1.611</v>
      </c>
      <c r="DL38" s="17">
        <v>0</v>
      </c>
      <c r="DM38" s="17">
        <v>0</v>
      </c>
      <c r="DN38" s="17">
        <v>0</v>
      </c>
      <c r="DO38" s="17">
        <v>0.246</v>
      </c>
      <c r="DP38" s="17">
        <v>0</v>
      </c>
      <c r="DQ38" s="17">
        <v>0</v>
      </c>
      <c r="DR38" s="17">
        <v>0</v>
      </c>
      <c r="DS38" s="17">
        <v>0</v>
      </c>
      <c r="DT38" s="17">
        <v>0</v>
      </c>
      <c r="DU38" s="17">
        <v>0</v>
      </c>
      <c r="DV38" s="17">
        <v>0</v>
      </c>
      <c r="DW38" s="17">
        <v>0</v>
      </c>
      <c r="DX38" s="17">
        <v>0</v>
      </c>
      <c r="DY38" s="17">
        <v>0</v>
      </c>
      <c r="DZ38" s="17">
        <v>0</v>
      </c>
      <c r="EA38" s="17">
        <v>0</v>
      </c>
      <c r="EB38" s="17">
        <v>0</v>
      </c>
      <c r="EC38" s="17">
        <v>0</v>
      </c>
      <c r="ED38" s="17">
        <v>0</v>
      </c>
      <c r="EE38" s="17">
        <v>0</v>
      </c>
      <c r="EF38" s="17">
        <v>0</v>
      </c>
      <c r="EG38" s="17">
        <v>0</v>
      </c>
      <c r="EH38" s="17">
        <v>0</v>
      </c>
      <c r="EI38" s="17">
        <v>0</v>
      </c>
      <c r="EJ38" s="17">
        <v>0</v>
      </c>
      <c r="EK38" s="17">
        <v>0</v>
      </c>
      <c r="EL38" s="17">
        <v>0</v>
      </c>
      <c r="EM38" s="17">
        <v>0</v>
      </c>
      <c r="EN38" s="17">
        <v>0</v>
      </c>
      <c r="EO38" s="17">
        <v>0</v>
      </c>
      <c r="EP38" s="17">
        <v>0</v>
      </c>
      <c r="EQ38" s="17">
        <v>0</v>
      </c>
      <c r="ER38" s="17">
        <v>0</v>
      </c>
      <c r="ES38" s="17">
        <v>0</v>
      </c>
      <c r="ET38" s="17">
        <v>0</v>
      </c>
      <c r="EU38" s="17">
        <v>0</v>
      </c>
      <c r="EV38" s="17">
        <v>0</v>
      </c>
      <c r="EW38" s="17">
        <v>0</v>
      </c>
      <c r="EX38" s="17">
        <v>0</v>
      </c>
      <c r="EY38" s="17">
        <v>0.28399999999999997</v>
      </c>
      <c r="EZ38" s="17">
        <v>0</v>
      </c>
      <c r="FA38" s="17">
        <v>0</v>
      </c>
      <c r="FB38" s="17">
        <v>0</v>
      </c>
      <c r="FC38" s="17">
        <v>0</v>
      </c>
      <c r="FD38" s="17">
        <v>0</v>
      </c>
      <c r="FE38" s="17">
        <v>0</v>
      </c>
      <c r="FF38" s="17">
        <v>0</v>
      </c>
      <c r="FG38" s="17">
        <v>0</v>
      </c>
      <c r="FH38" s="17">
        <v>0</v>
      </c>
      <c r="FI38" s="17">
        <v>0</v>
      </c>
      <c r="FJ38" s="17">
        <v>0</v>
      </c>
      <c r="FK38" s="17">
        <v>0</v>
      </c>
      <c r="FL38" s="17">
        <v>0</v>
      </c>
      <c r="FM38" s="17">
        <v>0</v>
      </c>
      <c r="FN38" s="17">
        <v>0</v>
      </c>
      <c r="FO38" s="17">
        <v>0</v>
      </c>
      <c r="FP38" s="17">
        <v>0</v>
      </c>
      <c r="FQ38" s="17">
        <v>0</v>
      </c>
      <c r="FR38" s="17">
        <v>0</v>
      </c>
      <c r="FS38" s="17">
        <v>0</v>
      </c>
      <c r="FT38" s="17">
        <v>0</v>
      </c>
      <c r="FU38" s="17">
        <v>0</v>
      </c>
      <c r="FV38" s="17">
        <v>0</v>
      </c>
      <c r="FW38" s="17">
        <v>0</v>
      </c>
      <c r="FX38" s="17">
        <v>0</v>
      </c>
      <c r="FY38" s="17">
        <v>0</v>
      </c>
      <c r="FZ38" s="17">
        <v>0</v>
      </c>
      <c r="GA38" s="17">
        <v>0</v>
      </c>
      <c r="GB38" s="17">
        <v>0</v>
      </c>
      <c r="GC38" s="17">
        <v>2.4E-2</v>
      </c>
      <c r="GD38" s="17">
        <v>0</v>
      </c>
      <c r="GE38" s="17">
        <v>0</v>
      </c>
      <c r="GF38" s="17">
        <v>0</v>
      </c>
      <c r="GG38" s="17">
        <v>0</v>
      </c>
      <c r="GH38" s="17">
        <v>0</v>
      </c>
      <c r="GI38" s="17">
        <v>0</v>
      </c>
      <c r="GJ38" s="17">
        <v>0</v>
      </c>
      <c r="GK38" s="17">
        <v>0</v>
      </c>
      <c r="GL38" s="17">
        <v>0</v>
      </c>
      <c r="GM38" s="17">
        <v>0</v>
      </c>
      <c r="GN38" s="17">
        <v>0</v>
      </c>
      <c r="GO38" s="17">
        <v>1.8520000000000001</v>
      </c>
      <c r="GP38" s="17">
        <v>0</v>
      </c>
      <c r="GQ38" s="17">
        <v>0</v>
      </c>
      <c r="GR38" s="17">
        <v>0</v>
      </c>
      <c r="GS38" s="17">
        <v>0</v>
      </c>
      <c r="GT38" s="17">
        <v>0.72099999999999997</v>
      </c>
      <c r="GU38" s="17">
        <v>0</v>
      </c>
      <c r="GV38" s="17">
        <v>0</v>
      </c>
      <c r="GW38" s="17">
        <v>0</v>
      </c>
      <c r="GX38" s="17">
        <v>0</v>
      </c>
      <c r="GY38" s="17">
        <v>0</v>
      </c>
      <c r="GZ38" s="17">
        <v>0</v>
      </c>
      <c r="HA38" s="17">
        <v>0</v>
      </c>
      <c r="HB38" s="17">
        <v>0</v>
      </c>
      <c r="HC38" s="17">
        <v>0</v>
      </c>
      <c r="HD38" s="17">
        <v>0</v>
      </c>
      <c r="HE38" s="17">
        <v>0</v>
      </c>
      <c r="HF38" s="17">
        <v>0</v>
      </c>
      <c r="HG38" s="17">
        <v>0</v>
      </c>
      <c r="HH38" s="17">
        <v>0</v>
      </c>
    </row>
    <row r="39" spans="1:216" x14ac:dyDescent="0.25">
      <c r="A39" s="8">
        <v>35</v>
      </c>
      <c r="B39" s="8">
        <v>17</v>
      </c>
      <c r="C39" s="17">
        <v>0.86</v>
      </c>
      <c r="D39" s="17">
        <v>0</v>
      </c>
      <c r="E39" s="17">
        <v>0</v>
      </c>
      <c r="F39" s="17">
        <v>0</v>
      </c>
      <c r="G39" s="17">
        <v>0.17199999999999999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0.14199999999999999</v>
      </c>
      <c r="AC39" s="17">
        <v>0</v>
      </c>
      <c r="AD39" s="17">
        <v>1.212</v>
      </c>
      <c r="AE39" s="17">
        <v>0</v>
      </c>
      <c r="AF39" s="17">
        <v>0</v>
      </c>
      <c r="AG39" s="17">
        <v>0</v>
      </c>
      <c r="AH39" s="17">
        <v>0</v>
      </c>
      <c r="AI39" s="17">
        <v>0</v>
      </c>
      <c r="AJ39" s="17">
        <v>0</v>
      </c>
      <c r="AK39" s="17">
        <v>0.752</v>
      </c>
      <c r="AL39" s="17">
        <v>0</v>
      </c>
      <c r="AM39" s="17">
        <v>0</v>
      </c>
      <c r="AN39" s="17">
        <v>0</v>
      </c>
      <c r="AO39" s="17">
        <v>0</v>
      </c>
      <c r="AP39" s="17">
        <v>0</v>
      </c>
      <c r="AQ39" s="17">
        <v>0</v>
      </c>
      <c r="AR39" s="17">
        <v>0</v>
      </c>
      <c r="AS39" s="17">
        <v>0</v>
      </c>
      <c r="AT39" s="17">
        <v>0</v>
      </c>
      <c r="AU39" s="17">
        <v>0</v>
      </c>
      <c r="AV39" s="17">
        <v>1E-3</v>
      </c>
      <c r="AW39" s="17">
        <v>0</v>
      </c>
      <c r="AX39" s="17">
        <v>0</v>
      </c>
      <c r="AY39" s="17">
        <v>0</v>
      </c>
      <c r="AZ39" s="17">
        <v>0</v>
      </c>
      <c r="BA39" s="17">
        <v>0</v>
      </c>
      <c r="BB39" s="17">
        <v>0</v>
      </c>
      <c r="BC39" s="17">
        <v>0.63500000000000001</v>
      </c>
      <c r="BD39" s="17">
        <v>0</v>
      </c>
      <c r="BE39" s="17">
        <v>0</v>
      </c>
      <c r="BF39" s="17">
        <v>0</v>
      </c>
      <c r="BG39" s="17">
        <v>0</v>
      </c>
      <c r="BH39" s="17">
        <v>0</v>
      </c>
      <c r="BI39" s="17">
        <v>0</v>
      </c>
      <c r="BJ39" s="17">
        <v>0</v>
      </c>
      <c r="BK39" s="17">
        <v>0</v>
      </c>
      <c r="BL39" s="17">
        <v>0</v>
      </c>
      <c r="BM39" s="17">
        <v>0</v>
      </c>
      <c r="BN39" s="17">
        <v>0</v>
      </c>
      <c r="BO39" s="17">
        <v>0.70599999999999996</v>
      </c>
      <c r="BP39" s="17">
        <v>0</v>
      </c>
      <c r="BQ39" s="17">
        <v>0</v>
      </c>
      <c r="BR39" s="17">
        <v>0</v>
      </c>
      <c r="BS39" s="17">
        <v>0</v>
      </c>
      <c r="BT39" s="17">
        <v>0</v>
      </c>
      <c r="BU39" s="17">
        <v>0</v>
      </c>
      <c r="BV39" s="17">
        <v>0</v>
      </c>
      <c r="BW39" s="17">
        <v>0</v>
      </c>
      <c r="BX39" s="17">
        <v>0</v>
      </c>
      <c r="BY39" s="17">
        <v>0.84099999999999997</v>
      </c>
      <c r="BZ39" s="17">
        <v>0</v>
      </c>
      <c r="CA39" s="17">
        <v>0</v>
      </c>
      <c r="CB39" s="17">
        <v>0</v>
      </c>
      <c r="CC39" s="17">
        <v>0</v>
      </c>
      <c r="CD39" s="17">
        <v>0</v>
      </c>
      <c r="CE39" s="17">
        <v>0</v>
      </c>
      <c r="CF39" s="17">
        <v>0</v>
      </c>
      <c r="CG39" s="17">
        <v>0</v>
      </c>
      <c r="CH39" s="17">
        <v>0</v>
      </c>
      <c r="CI39" s="17">
        <v>0.20499999999999999</v>
      </c>
      <c r="CJ39" s="17">
        <v>0</v>
      </c>
      <c r="CK39" s="17">
        <v>0</v>
      </c>
      <c r="CL39" s="17">
        <v>0</v>
      </c>
      <c r="CM39" s="17">
        <v>0</v>
      </c>
      <c r="CN39" s="17">
        <v>0</v>
      </c>
      <c r="CO39" s="17">
        <v>0</v>
      </c>
      <c r="CP39" s="17">
        <v>0</v>
      </c>
      <c r="CQ39" s="17">
        <v>0</v>
      </c>
      <c r="CR39" s="17">
        <v>0</v>
      </c>
      <c r="CS39" s="17">
        <v>0</v>
      </c>
      <c r="CT39" s="17">
        <v>0</v>
      </c>
      <c r="CU39" s="17">
        <v>0</v>
      </c>
      <c r="CV39" s="17">
        <v>0</v>
      </c>
      <c r="CW39" s="17">
        <v>0</v>
      </c>
      <c r="CX39" s="17">
        <v>0</v>
      </c>
      <c r="CY39" s="17">
        <v>0</v>
      </c>
      <c r="CZ39" s="17">
        <v>0</v>
      </c>
      <c r="DA39" s="17">
        <v>0</v>
      </c>
      <c r="DB39" s="17">
        <v>0</v>
      </c>
      <c r="DC39" s="17">
        <v>0</v>
      </c>
      <c r="DD39" s="17">
        <v>0.27500000000000002</v>
      </c>
      <c r="DE39" s="17">
        <v>0</v>
      </c>
      <c r="DF39" s="17">
        <v>4.3999999999999997E-2</v>
      </c>
      <c r="DG39" s="17">
        <v>1.4610000000000001</v>
      </c>
      <c r="DH39" s="17">
        <v>0</v>
      </c>
      <c r="DI39" s="17">
        <v>0</v>
      </c>
      <c r="DJ39" s="17">
        <v>0</v>
      </c>
      <c r="DK39" s="17">
        <v>5.6000000000000001E-2</v>
      </c>
      <c r="DL39" s="17">
        <v>0</v>
      </c>
      <c r="DM39" s="17">
        <v>0</v>
      </c>
      <c r="DN39" s="17">
        <v>2.3929999999999998</v>
      </c>
      <c r="DO39" s="17">
        <v>0</v>
      </c>
      <c r="DP39" s="17">
        <v>0</v>
      </c>
      <c r="DQ39" s="17">
        <v>0</v>
      </c>
      <c r="DR39" s="17">
        <v>0</v>
      </c>
      <c r="DS39" s="17">
        <v>0</v>
      </c>
      <c r="DT39" s="17">
        <v>0</v>
      </c>
      <c r="DU39" s="17">
        <v>0</v>
      </c>
      <c r="DV39" s="17">
        <v>0</v>
      </c>
      <c r="DW39" s="17">
        <v>0</v>
      </c>
      <c r="DX39" s="17">
        <v>0</v>
      </c>
      <c r="DY39" s="17">
        <v>0</v>
      </c>
      <c r="DZ39" s="17">
        <v>0.70599999999999996</v>
      </c>
      <c r="EA39" s="17">
        <v>0</v>
      </c>
      <c r="EB39" s="17">
        <v>0</v>
      </c>
      <c r="EC39" s="17">
        <v>0</v>
      </c>
      <c r="ED39" s="17">
        <v>0</v>
      </c>
      <c r="EE39" s="17">
        <v>0</v>
      </c>
      <c r="EF39" s="17">
        <v>0</v>
      </c>
      <c r="EG39" s="17">
        <v>1.323</v>
      </c>
      <c r="EH39" s="17">
        <v>0</v>
      </c>
      <c r="EI39" s="17">
        <v>0</v>
      </c>
      <c r="EJ39" s="17">
        <v>0</v>
      </c>
      <c r="EK39" s="17">
        <v>0</v>
      </c>
      <c r="EL39" s="17">
        <v>0</v>
      </c>
      <c r="EM39" s="17">
        <v>0</v>
      </c>
      <c r="EN39" s="17">
        <v>0</v>
      </c>
      <c r="EO39" s="17">
        <v>0</v>
      </c>
      <c r="EP39" s="17">
        <v>0</v>
      </c>
      <c r="EQ39" s="17">
        <v>0</v>
      </c>
      <c r="ER39" s="17">
        <v>0</v>
      </c>
      <c r="ES39" s="17">
        <v>0</v>
      </c>
      <c r="ET39" s="17">
        <v>0</v>
      </c>
      <c r="EU39" s="17">
        <v>0</v>
      </c>
      <c r="EV39" s="17">
        <v>0</v>
      </c>
      <c r="EW39" s="17">
        <v>0</v>
      </c>
      <c r="EX39" s="17">
        <v>0</v>
      </c>
      <c r="EY39" s="17">
        <v>0</v>
      </c>
      <c r="EZ39" s="17">
        <v>0</v>
      </c>
      <c r="FA39" s="17">
        <v>0.17599999999999999</v>
      </c>
      <c r="FB39" s="17">
        <v>0</v>
      </c>
      <c r="FC39" s="17">
        <v>0</v>
      </c>
      <c r="FD39" s="17">
        <v>0</v>
      </c>
      <c r="FE39" s="17">
        <v>0</v>
      </c>
      <c r="FF39" s="17">
        <v>0</v>
      </c>
      <c r="FG39" s="17">
        <v>0</v>
      </c>
      <c r="FH39" s="17">
        <v>0</v>
      </c>
      <c r="FI39" s="17">
        <v>0</v>
      </c>
      <c r="FJ39" s="17">
        <v>0</v>
      </c>
      <c r="FK39" s="17">
        <v>0</v>
      </c>
      <c r="FL39" s="17">
        <v>0</v>
      </c>
      <c r="FM39" s="17">
        <v>0</v>
      </c>
      <c r="FN39" s="17">
        <v>0</v>
      </c>
      <c r="FO39" s="17">
        <v>0</v>
      </c>
      <c r="FP39" s="17">
        <v>0</v>
      </c>
      <c r="FQ39" s="17">
        <v>0</v>
      </c>
      <c r="FR39" s="17">
        <v>0</v>
      </c>
      <c r="FS39" s="17">
        <v>0</v>
      </c>
      <c r="FT39" s="17">
        <v>0</v>
      </c>
      <c r="FU39" s="17">
        <v>0</v>
      </c>
      <c r="FV39" s="17">
        <v>0</v>
      </c>
      <c r="FW39" s="17">
        <v>0</v>
      </c>
      <c r="FX39" s="17">
        <v>0</v>
      </c>
      <c r="FY39" s="17">
        <v>0</v>
      </c>
      <c r="FZ39" s="17">
        <v>0</v>
      </c>
      <c r="GA39" s="17">
        <v>0</v>
      </c>
      <c r="GB39" s="17">
        <v>0</v>
      </c>
      <c r="GC39" s="17">
        <v>0</v>
      </c>
      <c r="GD39" s="17">
        <v>0</v>
      </c>
      <c r="GE39" s="17">
        <v>0</v>
      </c>
      <c r="GF39" s="17">
        <v>0</v>
      </c>
      <c r="GG39" s="17">
        <v>0</v>
      </c>
      <c r="GH39" s="17">
        <v>0</v>
      </c>
      <c r="GI39" s="17">
        <v>0</v>
      </c>
      <c r="GJ39" s="17">
        <v>0</v>
      </c>
      <c r="GK39" s="17">
        <v>0</v>
      </c>
      <c r="GL39" s="17">
        <v>0</v>
      </c>
      <c r="GM39" s="17">
        <v>0</v>
      </c>
      <c r="GN39" s="17">
        <v>0</v>
      </c>
      <c r="GO39" s="17">
        <v>0</v>
      </c>
      <c r="GP39" s="17">
        <v>0</v>
      </c>
      <c r="GQ39" s="17">
        <v>0</v>
      </c>
      <c r="GR39" s="17">
        <v>0</v>
      </c>
      <c r="GS39" s="17">
        <v>0</v>
      </c>
      <c r="GT39" s="17">
        <v>0</v>
      </c>
      <c r="GU39" s="17">
        <v>0</v>
      </c>
      <c r="GV39" s="17">
        <v>0</v>
      </c>
      <c r="GW39" s="17">
        <v>0</v>
      </c>
      <c r="GX39" s="17">
        <v>0</v>
      </c>
      <c r="GY39" s="17">
        <v>0</v>
      </c>
      <c r="GZ39" s="17">
        <v>0</v>
      </c>
      <c r="HA39" s="17">
        <v>0</v>
      </c>
      <c r="HB39" s="17">
        <v>0</v>
      </c>
      <c r="HC39" s="17">
        <v>0</v>
      </c>
      <c r="HD39" s="17">
        <v>0</v>
      </c>
      <c r="HE39" s="17">
        <v>0</v>
      </c>
      <c r="HF39" s="17">
        <v>1.198</v>
      </c>
      <c r="HG39" s="17">
        <v>0</v>
      </c>
      <c r="HH39" s="17">
        <v>0</v>
      </c>
    </row>
    <row r="40" spans="1:216" x14ac:dyDescent="0.25">
      <c r="A40" s="8">
        <v>36</v>
      </c>
      <c r="B40" s="8">
        <v>17.5</v>
      </c>
      <c r="C40" s="17">
        <v>0</v>
      </c>
      <c r="D40" s="17">
        <v>0</v>
      </c>
      <c r="E40" s="17">
        <v>0</v>
      </c>
      <c r="F40" s="17">
        <v>0.14399999999999999</v>
      </c>
      <c r="G40" s="17">
        <v>1.2709999999999999</v>
      </c>
      <c r="H40" s="17">
        <v>0</v>
      </c>
      <c r="I40" s="17">
        <v>0.17399999999999999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0.14899999999999999</v>
      </c>
      <c r="AA40" s="17">
        <v>0</v>
      </c>
      <c r="AB40" s="17">
        <v>1.1830000000000001</v>
      </c>
      <c r="AC40" s="17">
        <v>0</v>
      </c>
      <c r="AD40" s="17">
        <v>1.0999999999999999E-2</v>
      </c>
      <c r="AE40" s="17">
        <v>0</v>
      </c>
      <c r="AF40" s="17">
        <v>0</v>
      </c>
      <c r="AG40" s="17">
        <v>0</v>
      </c>
      <c r="AH40" s="17">
        <v>0</v>
      </c>
      <c r="AI40" s="17">
        <v>0</v>
      </c>
      <c r="AJ40" s="17">
        <v>0</v>
      </c>
      <c r="AK40" s="17">
        <v>0.65</v>
      </c>
      <c r="AL40" s="17">
        <v>0</v>
      </c>
      <c r="AM40" s="17">
        <v>0</v>
      </c>
      <c r="AN40" s="17">
        <v>0.23799999999999999</v>
      </c>
      <c r="AO40" s="17">
        <v>0</v>
      </c>
      <c r="AP40" s="17">
        <v>0</v>
      </c>
      <c r="AQ40" s="17">
        <v>0</v>
      </c>
      <c r="AR40" s="17">
        <v>0</v>
      </c>
      <c r="AS40" s="17">
        <v>0</v>
      </c>
      <c r="AT40" s="17">
        <v>0</v>
      </c>
      <c r="AU40" s="17">
        <v>0</v>
      </c>
      <c r="AV40" s="17">
        <v>0</v>
      </c>
      <c r="AW40" s="17">
        <v>0</v>
      </c>
      <c r="AX40" s="17">
        <v>0</v>
      </c>
      <c r="AY40" s="17">
        <v>0</v>
      </c>
      <c r="AZ40" s="17">
        <v>1.1080000000000001</v>
      </c>
      <c r="BA40" s="17">
        <v>0</v>
      </c>
      <c r="BB40" s="17">
        <v>0</v>
      </c>
      <c r="BC40" s="17">
        <v>2.13</v>
      </c>
      <c r="BD40" s="17">
        <v>0.624</v>
      </c>
      <c r="BE40" s="17">
        <v>0</v>
      </c>
      <c r="BF40" s="17">
        <v>0</v>
      </c>
      <c r="BG40" s="17">
        <v>0</v>
      </c>
      <c r="BH40" s="17">
        <v>0</v>
      </c>
      <c r="BI40" s="17">
        <v>1.2310000000000001</v>
      </c>
      <c r="BJ40" s="17">
        <v>0</v>
      </c>
      <c r="BK40" s="17">
        <v>0</v>
      </c>
      <c r="BL40" s="17">
        <v>0</v>
      </c>
      <c r="BM40" s="17">
        <v>0</v>
      </c>
      <c r="BN40" s="17">
        <v>0</v>
      </c>
      <c r="BO40" s="17">
        <v>2.3420000000000001</v>
      </c>
      <c r="BP40" s="17">
        <v>0</v>
      </c>
      <c r="BQ40" s="17">
        <v>0</v>
      </c>
      <c r="BR40" s="17">
        <v>0</v>
      </c>
      <c r="BS40" s="17">
        <v>0</v>
      </c>
      <c r="BT40" s="17">
        <v>0</v>
      </c>
      <c r="BU40" s="17">
        <v>0</v>
      </c>
      <c r="BV40" s="17">
        <v>0</v>
      </c>
      <c r="BW40" s="17">
        <v>0</v>
      </c>
      <c r="BX40" s="17">
        <v>0</v>
      </c>
      <c r="BY40" s="17">
        <v>8.9999999999999993E-3</v>
      </c>
      <c r="BZ40" s="17">
        <v>0</v>
      </c>
      <c r="CA40" s="17">
        <v>0</v>
      </c>
      <c r="CB40" s="17">
        <v>0</v>
      </c>
      <c r="CC40" s="17">
        <v>0</v>
      </c>
      <c r="CD40" s="17">
        <v>0</v>
      </c>
      <c r="CE40" s="17">
        <v>0</v>
      </c>
      <c r="CF40" s="17">
        <v>0</v>
      </c>
      <c r="CG40" s="17">
        <v>0</v>
      </c>
      <c r="CH40" s="17">
        <v>1.9E-2</v>
      </c>
      <c r="CI40" s="17">
        <v>0</v>
      </c>
      <c r="CJ40" s="17">
        <v>0</v>
      </c>
      <c r="CK40" s="17">
        <v>0.16200000000000001</v>
      </c>
      <c r="CL40" s="17">
        <v>0</v>
      </c>
      <c r="CM40" s="17">
        <v>0</v>
      </c>
      <c r="CN40" s="17">
        <v>0</v>
      </c>
      <c r="CO40" s="17">
        <v>0</v>
      </c>
      <c r="CP40" s="17">
        <v>0</v>
      </c>
      <c r="CQ40" s="17">
        <v>0</v>
      </c>
      <c r="CR40" s="17">
        <v>0</v>
      </c>
      <c r="CS40" s="17">
        <v>0</v>
      </c>
      <c r="CT40" s="17">
        <v>0</v>
      </c>
      <c r="CU40" s="17">
        <v>0</v>
      </c>
      <c r="CV40" s="17">
        <v>0</v>
      </c>
      <c r="CW40" s="17">
        <v>0</v>
      </c>
      <c r="CX40" s="17">
        <v>0</v>
      </c>
      <c r="CY40" s="17">
        <v>0</v>
      </c>
      <c r="CZ40" s="17">
        <v>0</v>
      </c>
      <c r="DA40" s="17">
        <v>0</v>
      </c>
      <c r="DB40" s="17">
        <v>0</v>
      </c>
      <c r="DC40" s="17">
        <v>0</v>
      </c>
      <c r="DD40" s="17">
        <v>0.70599999999999996</v>
      </c>
      <c r="DE40" s="17">
        <v>0</v>
      </c>
      <c r="DF40" s="17">
        <v>1.353</v>
      </c>
      <c r="DG40" s="17">
        <v>1.5049999999999999</v>
      </c>
      <c r="DH40" s="17">
        <v>0.129</v>
      </c>
      <c r="DI40" s="17">
        <v>0</v>
      </c>
      <c r="DJ40" s="17">
        <v>0</v>
      </c>
      <c r="DK40" s="17">
        <v>0</v>
      </c>
      <c r="DL40" s="17">
        <v>1.738</v>
      </c>
      <c r="DM40" s="17">
        <v>0</v>
      </c>
      <c r="DN40" s="17">
        <v>0</v>
      </c>
      <c r="DO40" s="17">
        <v>0</v>
      </c>
      <c r="DP40" s="17">
        <v>0</v>
      </c>
      <c r="DQ40" s="17">
        <v>0</v>
      </c>
      <c r="DR40" s="17">
        <v>0</v>
      </c>
      <c r="DS40" s="17">
        <v>0</v>
      </c>
      <c r="DT40" s="17">
        <v>0</v>
      </c>
      <c r="DU40" s="17">
        <v>0</v>
      </c>
      <c r="DV40" s="17">
        <v>0</v>
      </c>
      <c r="DW40" s="17">
        <v>0.53200000000000003</v>
      </c>
      <c r="DX40" s="17">
        <v>0</v>
      </c>
      <c r="DY40" s="17">
        <v>0</v>
      </c>
      <c r="DZ40" s="17">
        <v>1.323</v>
      </c>
      <c r="EA40" s="17">
        <v>0</v>
      </c>
      <c r="EB40" s="17">
        <v>0</v>
      </c>
      <c r="EC40" s="17">
        <v>0</v>
      </c>
      <c r="ED40" s="17">
        <v>0</v>
      </c>
      <c r="EE40" s="17">
        <v>0.57099999999999995</v>
      </c>
      <c r="EF40" s="17">
        <v>0</v>
      </c>
      <c r="EG40" s="17">
        <v>1.304</v>
      </c>
      <c r="EH40" s="17">
        <v>0</v>
      </c>
      <c r="EI40" s="17">
        <v>0</v>
      </c>
      <c r="EJ40" s="17">
        <v>0</v>
      </c>
      <c r="EK40" s="17">
        <v>0</v>
      </c>
      <c r="EL40" s="17">
        <v>0.71799999999999997</v>
      </c>
      <c r="EM40" s="17">
        <v>0</v>
      </c>
      <c r="EN40" s="17">
        <v>0</v>
      </c>
      <c r="EO40" s="17">
        <v>0</v>
      </c>
      <c r="EP40" s="17">
        <v>0</v>
      </c>
      <c r="EQ40" s="17">
        <v>0</v>
      </c>
      <c r="ER40" s="17">
        <v>0</v>
      </c>
      <c r="ES40" s="17">
        <v>0</v>
      </c>
      <c r="ET40" s="17">
        <v>0</v>
      </c>
      <c r="EU40" s="17">
        <v>0</v>
      </c>
      <c r="EV40" s="17">
        <v>0</v>
      </c>
      <c r="EW40" s="17">
        <v>0</v>
      </c>
      <c r="EX40" s="17">
        <v>0</v>
      </c>
      <c r="EY40" s="17">
        <v>0</v>
      </c>
      <c r="EZ40" s="17">
        <v>0</v>
      </c>
      <c r="FA40" s="17">
        <v>0</v>
      </c>
      <c r="FB40" s="17">
        <v>7.9000000000000001E-2</v>
      </c>
      <c r="FC40" s="17">
        <v>0</v>
      </c>
      <c r="FD40" s="17">
        <v>0</v>
      </c>
      <c r="FE40" s="17">
        <v>0</v>
      </c>
      <c r="FF40" s="17">
        <v>1.363</v>
      </c>
      <c r="FG40" s="17">
        <v>0</v>
      </c>
      <c r="FH40" s="17">
        <v>0.81200000000000006</v>
      </c>
      <c r="FI40" s="17">
        <v>0.92400000000000004</v>
      </c>
      <c r="FJ40" s="17">
        <v>1.0349999999999999</v>
      </c>
      <c r="FK40" s="17">
        <v>0</v>
      </c>
      <c r="FL40" s="17">
        <v>0</v>
      </c>
      <c r="FM40" s="17">
        <v>0</v>
      </c>
      <c r="FN40" s="17">
        <v>0</v>
      </c>
      <c r="FO40" s="17">
        <v>0</v>
      </c>
      <c r="FP40" s="17">
        <v>0.58399999999999996</v>
      </c>
      <c r="FQ40" s="17">
        <v>0</v>
      </c>
      <c r="FR40" s="17">
        <v>0</v>
      </c>
      <c r="FS40" s="17">
        <v>0</v>
      </c>
      <c r="FT40" s="17">
        <v>0</v>
      </c>
      <c r="FU40" s="17">
        <v>0</v>
      </c>
      <c r="FV40" s="17">
        <v>0</v>
      </c>
      <c r="FW40" s="17">
        <v>2.137</v>
      </c>
      <c r="FX40" s="17">
        <v>0</v>
      </c>
      <c r="FY40" s="17">
        <v>0.247</v>
      </c>
      <c r="FZ40" s="17">
        <v>0</v>
      </c>
      <c r="GA40" s="17">
        <v>9.1999999999999998E-2</v>
      </c>
      <c r="GB40" s="17">
        <v>0</v>
      </c>
      <c r="GC40" s="17">
        <v>0</v>
      </c>
      <c r="GD40" s="17">
        <v>0</v>
      </c>
      <c r="GE40" s="17">
        <v>0</v>
      </c>
      <c r="GF40" s="17">
        <v>0</v>
      </c>
      <c r="GG40" s="17">
        <v>0</v>
      </c>
      <c r="GH40" s="17">
        <v>0</v>
      </c>
      <c r="GI40" s="17">
        <v>1.9E-2</v>
      </c>
      <c r="GJ40" s="17">
        <v>0</v>
      </c>
      <c r="GK40" s="17">
        <v>0</v>
      </c>
      <c r="GL40" s="17">
        <v>8.9999999999999993E-3</v>
      </c>
      <c r="GM40" s="17">
        <v>0</v>
      </c>
      <c r="GN40" s="17">
        <v>0</v>
      </c>
      <c r="GO40" s="17">
        <v>2.5999999999999999E-2</v>
      </c>
      <c r="GP40" s="17">
        <v>0</v>
      </c>
      <c r="GQ40" s="17">
        <v>0</v>
      </c>
      <c r="GR40" s="17">
        <v>0</v>
      </c>
      <c r="GS40" s="17">
        <v>0</v>
      </c>
      <c r="GT40" s="17">
        <v>0</v>
      </c>
      <c r="GU40" s="17">
        <v>0</v>
      </c>
      <c r="GV40" s="17">
        <v>0</v>
      </c>
      <c r="GW40" s="17">
        <v>0</v>
      </c>
      <c r="GX40" s="17">
        <v>0</v>
      </c>
      <c r="GY40" s="17">
        <v>0</v>
      </c>
      <c r="GZ40" s="17">
        <v>0</v>
      </c>
      <c r="HA40" s="17">
        <v>0</v>
      </c>
      <c r="HB40" s="17">
        <v>0.48799999999999999</v>
      </c>
      <c r="HC40" s="17">
        <v>0</v>
      </c>
      <c r="HD40" s="17">
        <v>0</v>
      </c>
      <c r="HE40" s="17">
        <v>0</v>
      </c>
      <c r="HF40" s="17">
        <v>1.3380000000000001</v>
      </c>
      <c r="HG40" s="17">
        <v>0</v>
      </c>
      <c r="HH40" s="17">
        <v>1.925</v>
      </c>
    </row>
    <row r="41" spans="1:216" x14ac:dyDescent="0.25">
      <c r="A41" s="8">
        <v>37</v>
      </c>
      <c r="B41" s="8">
        <v>18</v>
      </c>
      <c r="C41" s="17">
        <v>0</v>
      </c>
      <c r="D41" s="17">
        <v>0</v>
      </c>
      <c r="E41" s="17">
        <v>0</v>
      </c>
      <c r="F41" s="17">
        <v>0</v>
      </c>
      <c r="G41" s="17">
        <v>0.47299999999999998</v>
      </c>
      <c r="H41" s="17">
        <v>0</v>
      </c>
      <c r="I41" s="17">
        <v>0</v>
      </c>
      <c r="J41" s="17">
        <v>0.38100000000000001</v>
      </c>
      <c r="K41" s="17">
        <v>0</v>
      </c>
      <c r="L41" s="17">
        <v>0</v>
      </c>
      <c r="M41" s="17">
        <v>0</v>
      </c>
      <c r="N41" s="17">
        <v>0</v>
      </c>
      <c r="O41" s="17">
        <v>0.249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0.93200000000000005</v>
      </c>
      <c r="W41" s="17">
        <v>0</v>
      </c>
      <c r="X41" s="17">
        <v>0</v>
      </c>
      <c r="Y41" s="17">
        <v>0</v>
      </c>
      <c r="Z41" s="17">
        <v>0</v>
      </c>
      <c r="AA41" s="17">
        <v>0.67900000000000005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0.77500000000000002</v>
      </c>
      <c r="AL41" s="17">
        <v>0</v>
      </c>
      <c r="AM41" s="17">
        <v>0</v>
      </c>
      <c r="AN41" s="17">
        <v>0</v>
      </c>
      <c r="AO41" s="17">
        <v>0</v>
      </c>
      <c r="AP41" s="17">
        <v>0</v>
      </c>
      <c r="AQ41" s="17">
        <v>0.436</v>
      </c>
      <c r="AR41" s="17">
        <v>0</v>
      </c>
      <c r="AS41" s="17">
        <v>0</v>
      </c>
      <c r="AT41" s="17">
        <v>0</v>
      </c>
      <c r="AU41" s="17">
        <v>0</v>
      </c>
      <c r="AV41" s="17">
        <v>0</v>
      </c>
      <c r="AW41" s="17">
        <v>0</v>
      </c>
      <c r="AX41" s="17">
        <v>3.0000000000000001E-3</v>
      </c>
      <c r="AY41" s="17">
        <v>0</v>
      </c>
      <c r="AZ41" s="17">
        <v>0</v>
      </c>
      <c r="BA41" s="17">
        <v>0</v>
      </c>
      <c r="BB41" s="17">
        <v>0</v>
      </c>
      <c r="BC41" s="17">
        <v>1.9870000000000001</v>
      </c>
      <c r="BD41" s="17">
        <v>1.1879999999999999</v>
      </c>
      <c r="BE41" s="17">
        <v>0.63100000000000001</v>
      </c>
      <c r="BF41" s="17">
        <v>0</v>
      </c>
      <c r="BG41" s="17">
        <v>0</v>
      </c>
      <c r="BH41" s="17">
        <v>0</v>
      </c>
      <c r="BI41" s="17">
        <v>1.024</v>
      </c>
      <c r="BJ41" s="17">
        <v>0</v>
      </c>
      <c r="BK41" s="17">
        <v>0</v>
      </c>
      <c r="BL41" s="17">
        <v>0.51700000000000002</v>
      </c>
      <c r="BM41" s="17">
        <v>0</v>
      </c>
      <c r="BN41" s="17">
        <v>0</v>
      </c>
      <c r="BO41" s="17">
        <v>2.125</v>
      </c>
      <c r="BP41" s="17">
        <v>0</v>
      </c>
      <c r="BQ41" s="17">
        <v>0</v>
      </c>
      <c r="BR41" s="17">
        <v>0</v>
      </c>
      <c r="BS41" s="17">
        <v>0</v>
      </c>
      <c r="BT41" s="17">
        <v>0.4</v>
      </c>
      <c r="BU41" s="17">
        <v>0</v>
      </c>
      <c r="BV41" s="17">
        <v>0.154</v>
      </c>
      <c r="BW41" s="17">
        <v>0</v>
      </c>
      <c r="BX41" s="17">
        <v>0</v>
      </c>
      <c r="BY41" s="17">
        <v>9.9000000000000005E-2</v>
      </c>
      <c r="BZ41" s="17">
        <v>0</v>
      </c>
      <c r="CA41" s="17">
        <v>0</v>
      </c>
      <c r="CB41" s="17">
        <v>0</v>
      </c>
      <c r="CC41" s="17">
        <v>0</v>
      </c>
      <c r="CD41" s="17">
        <v>0</v>
      </c>
      <c r="CE41" s="17">
        <v>0</v>
      </c>
      <c r="CF41" s="17">
        <v>0.24399999999999999</v>
      </c>
      <c r="CG41" s="17">
        <v>0</v>
      </c>
      <c r="CH41" s="17">
        <v>0</v>
      </c>
      <c r="CI41" s="17">
        <v>0</v>
      </c>
      <c r="CJ41" s="17">
        <v>0</v>
      </c>
      <c r="CK41" s="17">
        <v>0</v>
      </c>
      <c r="CL41" s="17">
        <v>8.4000000000000005E-2</v>
      </c>
      <c r="CM41" s="17">
        <v>0</v>
      </c>
      <c r="CN41" s="17">
        <v>0</v>
      </c>
      <c r="CO41" s="17">
        <v>0</v>
      </c>
      <c r="CP41" s="17">
        <v>0</v>
      </c>
      <c r="CQ41" s="17">
        <v>0</v>
      </c>
      <c r="CR41" s="17">
        <v>1.3979999999999999</v>
      </c>
      <c r="CS41" s="17">
        <v>0</v>
      </c>
      <c r="CT41" s="17">
        <v>0</v>
      </c>
      <c r="CU41" s="17">
        <v>0</v>
      </c>
      <c r="CV41" s="17">
        <v>0</v>
      </c>
      <c r="CW41" s="17">
        <v>0</v>
      </c>
      <c r="CX41" s="17">
        <v>0</v>
      </c>
      <c r="CY41" s="17">
        <v>0</v>
      </c>
      <c r="CZ41" s="17">
        <v>1.0189999999999999</v>
      </c>
      <c r="DA41" s="17">
        <v>0</v>
      </c>
      <c r="DB41" s="17">
        <v>0</v>
      </c>
      <c r="DC41" s="17">
        <v>0</v>
      </c>
      <c r="DD41" s="17">
        <v>1.56</v>
      </c>
      <c r="DE41" s="17">
        <v>0</v>
      </c>
      <c r="DF41" s="17">
        <v>7.9000000000000001E-2</v>
      </c>
      <c r="DG41" s="17">
        <v>0</v>
      </c>
      <c r="DH41" s="17">
        <v>0</v>
      </c>
      <c r="DI41" s="17">
        <v>0</v>
      </c>
      <c r="DJ41" s="17">
        <v>0</v>
      </c>
      <c r="DK41" s="17">
        <v>0</v>
      </c>
      <c r="DL41" s="17">
        <v>1.657</v>
      </c>
      <c r="DM41" s="17">
        <v>0</v>
      </c>
      <c r="DN41" s="17">
        <v>0</v>
      </c>
      <c r="DO41" s="17">
        <v>0</v>
      </c>
      <c r="DP41" s="17">
        <v>0</v>
      </c>
      <c r="DQ41" s="17">
        <v>0</v>
      </c>
      <c r="DR41" s="17">
        <v>0</v>
      </c>
      <c r="DS41" s="17">
        <v>0</v>
      </c>
      <c r="DT41" s="17">
        <v>0</v>
      </c>
      <c r="DU41" s="17">
        <v>0</v>
      </c>
      <c r="DV41" s="17">
        <v>0</v>
      </c>
      <c r="DW41" s="17">
        <v>0</v>
      </c>
      <c r="DX41" s="17">
        <v>1.508</v>
      </c>
      <c r="DY41" s="17">
        <v>0</v>
      </c>
      <c r="DZ41" s="17">
        <v>0.25</v>
      </c>
      <c r="EA41" s="17">
        <v>0</v>
      </c>
      <c r="EB41" s="17">
        <v>0</v>
      </c>
      <c r="EC41" s="17">
        <v>0</v>
      </c>
      <c r="ED41" s="17">
        <v>0</v>
      </c>
      <c r="EE41" s="17">
        <v>0</v>
      </c>
      <c r="EF41" s="17">
        <v>0</v>
      </c>
      <c r="EG41" s="17">
        <v>0</v>
      </c>
      <c r="EH41" s="17">
        <v>0</v>
      </c>
      <c r="EI41" s="17">
        <v>0</v>
      </c>
      <c r="EJ41" s="17">
        <v>0</v>
      </c>
      <c r="EK41" s="17">
        <v>0</v>
      </c>
      <c r="EL41" s="17">
        <v>0</v>
      </c>
      <c r="EM41" s="17">
        <v>0</v>
      </c>
      <c r="EN41" s="17">
        <v>0</v>
      </c>
      <c r="EO41" s="17">
        <v>0</v>
      </c>
      <c r="EP41" s="17">
        <v>0</v>
      </c>
      <c r="EQ41" s="17">
        <v>3.0000000000000001E-3</v>
      </c>
      <c r="ER41" s="17">
        <v>0</v>
      </c>
      <c r="ES41" s="17">
        <v>0</v>
      </c>
      <c r="ET41" s="17">
        <v>0</v>
      </c>
      <c r="EU41" s="17">
        <v>0</v>
      </c>
      <c r="EV41" s="17">
        <v>0</v>
      </c>
      <c r="EW41" s="17">
        <v>0</v>
      </c>
      <c r="EX41" s="17">
        <v>0</v>
      </c>
      <c r="EY41" s="17">
        <v>0</v>
      </c>
      <c r="EZ41" s="17">
        <v>0</v>
      </c>
      <c r="FA41" s="17">
        <v>0</v>
      </c>
      <c r="FB41" s="17">
        <v>5.7000000000000002E-2</v>
      </c>
      <c r="FC41" s="17">
        <v>0</v>
      </c>
      <c r="FD41" s="17">
        <v>0</v>
      </c>
      <c r="FE41" s="17">
        <v>0</v>
      </c>
      <c r="FF41" s="17">
        <v>0</v>
      </c>
      <c r="FG41" s="17">
        <v>0</v>
      </c>
      <c r="FH41" s="17">
        <v>0</v>
      </c>
      <c r="FI41" s="17">
        <v>0</v>
      </c>
      <c r="FJ41" s="17">
        <v>0</v>
      </c>
      <c r="FK41" s="17">
        <v>0</v>
      </c>
      <c r="FL41" s="17">
        <v>0</v>
      </c>
      <c r="FM41" s="17">
        <v>0</v>
      </c>
      <c r="FN41" s="17">
        <v>0</v>
      </c>
      <c r="FO41" s="17">
        <v>0</v>
      </c>
      <c r="FP41" s="17">
        <v>0.876</v>
      </c>
      <c r="FQ41" s="17">
        <v>0</v>
      </c>
      <c r="FR41" s="17">
        <v>0</v>
      </c>
      <c r="FS41" s="17">
        <v>0</v>
      </c>
      <c r="FT41" s="17">
        <v>0</v>
      </c>
      <c r="FU41" s="17">
        <v>0</v>
      </c>
      <c r="FV41" s="17">
        <v>0</v>
      </c>
      <c r="FW41" s="17">
        <v>0.55700000000000005</v>
      </c>
      <c r="FX41" s="17">
        <v>0</v>
      </c>
      <c r="FY41" s="17">
        <v>1.4039999999999999</v>
      </c>
      <c r="FZ41" s="17">
        <v>0</v>
      </c>
      <c r="GA41" s="17">
        <v>0</v>
      </c>
      <c r="GB41" s="17">
        <v>0</v>
      </c>
      <c r="GC41" s="17">
        <v>0</v>
      </c>
      <c r="GD41" s="17">
        <v>0</v>
      </c>
      <c r="GE41" s="17">
        <v>0</v>
      </c>
      <c r="GF41" s="17">
        <v>0</v>
      </c>
      <c r="GG41" s="17">
        <v>0</v>
      </c>
      <c r="GH41" s="17">
        <v>0</v>
      </c>
      <c r="GI41" s="17">
        <v>0</v>
      </c>
      <c r="GJ41" s="17">
        <v>0</v>
      </c>
      <c r="GK41" s="17">
        <v>0</v>
      </c>
      <c r="GL41" s="17">
        <v>1.2E-2</v>
      </c>
      <c r="GM41" s="17">
        <v>0</v>
      </c>
      <c r="GN41" s="17">
        <v>0</v>
      </c>
      <c r="GO41" s="17">
        <v>0.17</v>
      </c>
      <c r="GP41" s="17">
        <v>0</v>
      </c>
      <c r="GQ41" s="17">
        <v>0</v>
      </c>
      <c r="GR41" s="17">
        <v>0</v>
      </c>
      <c r="GS41" s="17">
        <v>0</v>
      </c>
      <c r="GT41" s="17">
        <v>0</v>
      </c>
      <c r="GU41" s="17">
        <v>0</v>
      </c>
      <c r="GV41" s="17">
        <v>0</v>
      </c>
      <c r="GW41" s="17">
        <v>0</v>
      </c>
      <c r="GX41" s="17">
        <v>0</v>
      </c>
      <c r="GY41" s="17">
        <v>0</v>
      </c>
      <c r="GZ41" s="17">
        <v>0</v>
      </c>
      <c r="HA41" s="17">
        <v>0</v>
      </c>
      <c r="HB41" s="17">
        <v>1.7000000000000001E-2</v>
      </c>
      <c r="HC41" s="17">
        <v>0</v>
      </c>
      <c r="HD41" s="17">
        <v>0</v>
      </c>
      <c r="HE41" s="17">
        <v>0</v>
      </c>
      <c r="HF41" s="17">
        <v>5.3999999999999999E-2</v>
      </c>
      <c r="HG41" s="17">
        <v>0</v>
      </c>
      <c r="HH41" s="17">
        <v>2.6280000000000001</v>
      </c>
    </row>
    <row r="42" spans="1:216" x14ac:dyDescent="0.25">
      <c r="A42" s="8">
        <v>38</v>
      </c>
      <c r="B42" s="8">
        <v>18.5</v>
      </c>
      <c r="C42" s="17">
        <v>0.13200000000000001</v>
      </c>
      <c r="D42" s="17">
        <v>0</v>
      </c>
      <c r="E42" s="17">
        <v>0</v>
      </c>
      <c r="F42" s="17">
        <v>0</v>
      </c>
      <c r="G42" s="17">
        <v>0.82899999999999996</v>
      </c>
      <c r="H42" s="17">
        <v>0</v>
      </c>
      <c r="I42" s="17">
        <v>0</v>
      </c>
      <c r="J42" s="17">
        <v>0.372</v>
      </c>
      <c r="K42" s="17">
        <v>0.114</v>
      </c>
      <c r="L42" s="17">
        <v>0</v>
      </c>
      <c r="M42" s="17">
        <v>0</v>
      </c>
      <c r="N42" s="17">
        <v>0</v>
      </c>
      <c r="O42" s="17">
        <v>0.753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1.9330000000000001</v>
      </c>
      <c r="W42" s="17">
        <v>0</v>
      </c>
      <c r="X42" s="17">
        <v>8.6999999999999994E-2</v>
      </c>
      <c r="Y42" s="17">
        <v>0</v>
      </c>
      <c r="Z42" s="17">
        <v>0</v>
      </c>
      <c r="AA42" s="17">
        <v>1.2030000000000001</v>
      </c>
      <c r="AB42" s="17">
        <v>0</v>
      </c>
      <c r="AC42" s="17">
        <v>0</v>
      </c>
      <c r="AD42" s="17">
        <v>1.3120000000000001</v>
      </c>
      <c r="AE42" s="17">
        <v>0</v>
      </c>
      <c r="AF42" s="17">
        <v>0</v>
      </c>
      <c r="AG42" s="17">
        <v>0</v>
      </c>
      <c r="AH42" s="17">
        <v>0.19700000000000001</v>
      </c>
      <c r="AI42" s="17">
        <v>0</v>
      </c>
      <c r="AJ42" s="17">
        <v>0</v>
      </c>
      <c r="AK42" s="17">
        <v>5.0999999999999997E-2</v>
      </c>
      <c r="AL42" s="17">
        <v>0</v>
      </c>
      <c r="AM42" s="17">
        <v>0</v>
      </c>
      <c r="AN42" s="17">
        <v>0.26600000000000001</v>
      </c>
      <c r="AO42" s="17">
        <v>0</v>
      </c>
      <c r="AP42" s="17">
        <v>0</v>
      </c>
      <c r="AQ42" s="17">
        <v>0</v>
      </c>
      <c r="AR42" s="17">
        <v>0</v>
      </c>
      <c r="AS42" s="17">
        <v>0</v>
      </c>
      <c r="AT42" s="17">
        <v>0</v>
      </c>
      <c r="AU42" s="17">
        <v>0</v>
      </c>
      <c r="AV42" s="17">
        <v>0</v>
      </c>
      <c r="AW42" s="17">
        <v>0</v>
      </c>
      <c r="AX42" s="17">
        <v>0</v>
      </c>
      <c r="AY42" s="17">
        <v>0</v>
      </c>
      <c r="AZ42" s="17">
        <v>0.80800000000000005</v>
      </c>
      <c r="BA42" s="17">
        <v>0</v>
      </c>
      <c r="BB42" s="17">
        <v>0</v>
      </c>
      <c r="BC42" s="17">
        <v>0</v>
      </c>
      <c r="BD42" s="17">
        <v>0</v>
      </c>
      <c r="BE42" s="17">
        <v>0.30399999999999999</v>
      </c>
      <c r="BF42" s="17">
        <v>0</v>
      </c>
      <c r="BG42" s="17">
        <v>0</v>
      </c>
      <c r="BH42" s="17">
        <v>0</v>
      </c>
      <c r="BI42" s="17">
        <v>0.56499999999999995</v>
      </c>
      <c r="BJ42" s="17">
        <v>8.5999999999999993E-2</v>
      </c>
      <c r="BK42" s="17">
        <v>9.4E-2</v>
      </c>
      <c r="BL42" s="17">
        <v>0.96799999999999997</v>
      </c>
      <c r="BM42" s="17">
        <v>0</v>
      </c>
      <c r="BN42" s="17">
        <v>0</v>
      </c>
      <c r="BO42" s="17">
        <v>1.7000000000000001E-2</v>
      </c>
      <c r="BP42" s="17">
        <v>6.0000000000000001E-3</v>
      </c>
      <c r="BQ42" s="17">
        <v>0.97199999999999998</v>
      </c>
      <c r="BR42" s="17">
        <v>0</v>
      </c>
      <c r="BS42" s="17">
        <v>0</v>
      </c>
      <c r="BT42" s="17">
        <v>0</v>
      </c>
      <c r="BU42" s="17">
        <v>0.14699999999999999</v>
      </c>
      <c r="BV42" s="17">
        <v>0</v>
      </c>
      <c r="BW42" s="17">
        <v>0</v>
      </c>
      <c r="BX42" s="17">
        <v>0</v>
      </c>
      <c r="BY42" s="17">
        <v>0.11799999999999999</v>
      </c>
      <c r="BZ42" s="17">
        <v>0</v>
      </c>
      <c r="CA42" s="17">
        <v>0</v>
      </c>
      <c r="CB42" s="17">
        <v>0</v>
      </c>
      <c r="CC42" s="17">
        <v>0</v>
      </c>
      <c r="CD42" s="17">
        <v>0</v>
      </c>
      <c r="CE42" s="17">
        <v>0</v>
      </c>
      <c r="CF42" s="17">
        <v>0.66900000000000004</v>
      </c>
      <c r="CG42" s="17">
        <v>0</v>
      </c>
      <c r="CH42" s="17">
        <v>0</v>
      </c>
      <c r="CI42" s="17">
        <v>0</v>
      </c>
      <c r="CJ42" s="17">
        <v>5.6000000000000001E-2</v>
      </c>
      <c r="CK42" s="17">
        <v>1E-3</v>
      </c>
      <c r="CL42" s="17">
        <v>0</v>
      </c>
      <c r="CM42" s="17">
        <v>0</v>
      </c>
      <c r="CN42" s="17">
        <v>0</v>
      </c>
      <c r="CO42" s="17">
        <v>0.14899999999999999</v>
      </c>
      <c r="CP42" s="17">
        <v>0</v>
      </c>
      <c r="CQ42" s="17">
        <v>0</v>
      </c>
      <c r="CR42" s="17">
        <v>0</v>
      </c>
      <c r="CS42" s="17">
        <v>0</v>
      </c>
      <c r="CT42" s="17">
        <v>0</v>
      </c>
      <c r="CU42" s="17">
        <v>0</v>
      </c>
      <c r="CV42" s="17">
        <v>0</v>
      </c>
      <c r="CW42" s="17">
        <v>0</v>
      </c>
      <c r="CX42" s="17">
        <v>0</v>
      </c>
      <c r="CY42" s="17">
        <v>2.1999999999999999E-2</v>
      </c>
      <c r="CZ42" s="17">
        <v>0.28100000000000003</v>
      </c>
      <c r="DA42" s="17">
        <v>0</v>
      </c>
      <c r="DB42" s="17">
        <v>0</v>
      </c>
      <c r="DC42" s="17">
        <v>0</v>
      </c>
      <c r="DD42" s="17">
        <v>0.29399999999999998</v>
      </c>
      <c r="DE42" s="17">
        <v>0</v>
      </c>
      <c r="DF42" s="17">
        <v>0.216</v>
      </c>
      <c r="DG42" s="17">
        <v>0.153</v>
      </c>
      <c r="DH42" s="17">
        <v>0</v>
      </c>
      <c r="DI42" s="17">
        <v>0</v>
      </c>
      <c r="DJ42" s="17">
        <v>0</v>
      </c>
      <c r="DK42" s="17">
        <v>0</v>
      </c>
      <c r="DL42" s="17">
        <v>1.39</v>
      </c>
      <c r="DM42" s="17">
        <v>0</v>
      </c>
      <c r="DN42" s="17">
        <v>0</v>
      </c>
      <c r="DO42" s="17">
        <v>0</v>
      </c>
      <c r="DP42" s="17">
        <v>0</v>
      </c>
      <c r="DQ42" s="17">
        <v>0</v>
      </c>
      <c r="DR42" s="17">
        <v>0</v>
      </c>
      <c r="DS42" s="17">
        <v>0</v>
      </c>
      <c r="DT42" s="17">
        <v>0</v>
      </c>
      <c r="DU42" s="17">
        <v>6.5000000000000002E-2</v>
      </c>
      <c r="DV42" s="17">
        <v>0</v>
      </c>
      <c r="DW42" s="17">
        <v>0</v>
      </c>
      <c r="DX42" s="17">
        <v>0</v>
      </c>
      <c r="DY42" s="17">
        <v>0</v>
      </c>
      <c r="DZ42" s="17">
        <v>0.11</v>
      </c>
      <c r="EA42" s="17">
        <v>0</v>
      </c>
      <c r="EB42" s="17">
        <v>0</v>
      </c>
      <c r="EC42" s="17">
        <v>0</v>
      </c>
      <c r="ED42" s="17">
        <v>0</v>
      </c>
      <c r="EE42" s="17">
        <v>0</v>
      </c>
      <c r="EF42" s="17">
        <v>2.3E-2</v>
      </c>
      <c r="EG42" s="17">
        <v>0</v>
      </c>
      <c r="EH42" s="17">
        <v>0</v>
      </c>
      <c r="EI42" s="17">
        <v>0</v>
      </c>
      <c r="EJ42" s="17">
        <v>1.37</v>
      </c>
      <c r="EK42" s="17">
        <v>0</v>
      </c>
      <c r="EL42" s="17">
        <v>1.0529999999999999</v>
      </c>
      <c r="EM42" s="17">
        <v>0</v>
      </c>
      <c r="EN42" s="17">
        <v>0.122</v>
      </c>
      <c r="EO42" s="17">
        <v>0</v>
      </c>
      <c r="EP42" s="17">
        <v>0</v>
      </c>
      <c r="EQ42" s="17">
        <v>2.8000000000000001E-2</v>
      </c>
      <c r="ER42" s="17">
        <v>0</v>
      </c>
      <c r="ES42" s="17">
        <v>0</v>
      </c>
      <c r="ET42" s="17">
        <v>0</v>
      </c>
      <c r="EU42" s="17">
        <v>0.28899999999999998</v>
      </c>
      <c r="EV42" s="17">
        <v>0</v>
      </c>
      <c r="EW42" s="17">
        <v>0</v>
      </c>
      <c r="EX42" s="17">
        <v>0</v>
      </c>
      <c r="EY42" s="17">
        <v>0</v>
      </c>
      <c r="EZ42" s="17">
        <v>0</v>
      </c>
      <c r="FA42" s="17">
        <v>3.1E-2</v>
      </c>
      <c r="FB42" s="17">
        <v>1.4610000000000001</v>
      </c>
      <c r="FC42" s="17">
        <v>0</v>
      </c>
      <c r="FD42" s="17">
        <v>1.444</v>
      </c>
      <c r="FE42" s="17">
        <v>0</v>
      </c>
      <c r="FF42" s="17">
        <v>1.42</v>
      </c>
      <c r="FG42" s="17">
        <v>0</v>
      </c>
      <c r="FH42" s="17">
        <v>0</v>
      </c>
      <c r="FI42" s="17">
        <v>0</v>
      </c>
      <c r="FJ42" s="17">
        <v>0</v>
      </c>
      <c r="FK42" s="17">
        <v>1.651</v>
      </c>
      <c r="FL42" s="17">
        <v>0.96199999999999997</v>
      </c>
      <c r="FM42" s="17">
        <v>0.31</v>
      </c>
      <c r="FN42" s="17">
        <v>0</v>
      </c>
      <c r="FO42" s="17">
        <v>0</v>
      </c>
      <c r="FP42" s="17">
        <v>0.45600000000000002</v>
      </c>
      <c r="FQ42" s="17">
        <v>0</v>
      </c>
      <c r="FR42" s="17">
        <v>0</v>
      </c>
      <c r="FS42" s="17">
        <v>0</v>
      </c>
      <c r="FT42" s="17">
        <v>0</v>
      </c>
      <c r="FU42" s="17">
        <v>0</v>
      </c>
      <c r="FV42" s="17">
        <v>0</v>
      </c>
      <c r="FW42" s="17">
        <v>0</v>
      </c>
      <c r="FX42" s="17">
        <v>0</v>
      </c>
      <c r="FY42" s="17">
        <v>0</v>
      </c>
      <c r="FZ42" s="17">
        <v>4.2000000000000003E-2</v>
      </c>
      <c r="GA42" s="17">
        <v>0</v>
      </c>
      <c r="GB42" s="17">
        <v>0</v>
      </c>
      <c r="GC42" s="17">
        <v>1.23</v>
      </c>
      <c r="GD42" s="17">
        <v>0</v>
      </c>
      <c r="GE42" s="17">
        <v>0</v>
      </c>
      <c r="GF42" s="17">
        <v>0.01</v>
      </c>
      <c r="GG42" s="17">
        <v>0</v>
      </c>
      <c r="GH42" s="17">
        <v>0</v>
      </c>
      <c r="GI42" s="17">
        <v>0.76200000000000001</v>
      </c>
      <c r="GJ42" s="17">
        <v>0</v>
      </c>
      <c r="GK42" s="17">
        <v>0</v>
      </c>
      <c r="GL42" s="17">
        <v>0.28399999999999997</v>
      </c>
      <c r="GM42" s="17">
        <v>0.128</v>
      </c>
      <c r="GN42" s="17">
        <v>0</v>
      </c>
      <c r="GO42" s="17">
        <v>0</v>
      </c>
      <c r="GP42" s="17">
        <v>0</v>
      </c>
      <c r="GQ42" s="17">
        <v>0</v>
      </c>
      <c r="GR42" s="17">
        <v>0</v>
      </c>
      <c r="GS42" s="17">
        <v>0.61299999999999999</v>
      </c>
      <c r="GT42" s="17">
        <v>0</v>
      </c>
      <c r="GU42" s="17">
        <v>0</v>
      </c>
      <c r="GV42" s="17">
        <v>0</v>
      </c>
      <c r="GW42" s="17">
        <v>0</v>
      </c>
      <c r="GX42" s="17">
        <v>0</v>
      </c>
      <c r="GY42" s="17">
        <v>0</v>
      </c>
      <c r="GZ42" s="17">
        <v>0</v>
      </c>
      <c r="HA42" s="17">
        <v>0.184</v>
      </c>
      <c r="HB42" s="17">
        <v>0</v>
      </c>
      <c r="HC42" s="17">
        <v>0</v>
      </c>
      <c r="HD42" s="17">
        <v>0</v>
      </c>
      <c r="HE42" s="17">
        <v>0</v>
      </c>
      <c r="HF42" s="17">
        <v>0</v>
      </c>
      <c r="HG42" s="17">
        <v>0</v>
      </c>
      <c r="HH42" s="17">
        <v>3.6999999999999998E-2</v>
      </c>
    </row>
    <row r="43" spans="1:216" x14ac:dyDescent="0.25">
      <c r="A43" s="8">
        <v>39</v>
      </c>
      <c r="B43" s="8">
        <v>19</v>
      </c>
      <c r="C43" s="17">
        <v>0.33100000000000002</v>
      </c>
      <c r="D43" s="17">
        <v>0</v>
      </c>
      <c r="E43" s="17">
        <v>2.9000000000000001E-2</v>
      </c>
      <c r="F43" s="17">
        <v>0.106</v>
      </c>
      <c r="G43" s="17">
        <v>0.40799999999999997</v>
      </c>
      <c r="H43" s="17">
        <v>5.0000000000000001E-3</v>
      </c>
      <c r="I43" s="17">
        <v>0.63200000000000001</v>
      </c>
      <c r="J43" s="17">
        <v>0.36</v>
      </c>
      <c r="K43" s="17">
        <v>0.13400000000000001</v>
      </c>
      <c r="L43" s="17">
        <v>7.5999999999999998E-2</v>
      </c>
      <c r="M43" s="17">
        <v>0</v>
      </c>
      <c r="N43" s="17">
        <v>0</v>
      </c>
      <c r="O43" s="17">
        <v>2.3660000000000001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6.0999999999999999E-2</v>
      </c>
      <c r="V43" s="17">
        <v>0.56899999999999995</v>
      </c>
      <c r="W43" s="17">
        <v>0</v>
      </c>
      <c r="X43" s="17">
        <v>0.72299999999999998</v>
      </c>
      <c r="Y43" s="17">
        <v>0</v>
      </c>
      <c r="Z43" s="17">
        <v>0.39700000000000002</v>
      </c>
      <c r="AA43" s="17">
        <v>0</v>
      </c>
      <c r="AB43" s="17">
        <v>0</v>
      </c>
      <c r="AC43" s="17">
        <v>0</v>
      </c>
      <c r="AD43" s="17">
        <v>0.249</v>
      </c>
      <c r="AE43" s="17">
        <v>0</v>
      </c>
      <c r="AF43" s="17">
        <v>1.0489999999999999</v>
      </c>
      <c r="AG43" s="17">
        <v>0</v>
      </c>
      <c r="AH43" s="17">
        <v>0.69599999999999995</v>
      </c>
      <c r="AI43" s="17">
        <v>0</v>
      </c>
      <c r="AJ43" s="17">
        <v>0</v>
      </c>
      <c r="AK43" s="17">
        <v>0.185</v>
      </c>
      <c r="AL43" s="17">
        <v>0</v>
      </c>
      <c r="AM43" s="17">
        <v>0</v>
      </c>
      <c r="AN43" s="17">
        <v>1.1850000000000001</v>
      </c>
      <c r="AO43" s="17">
        <v>5.0999999999999997E-2</v>
      </c>
      <c r="AP43" s="17">
        <v>0</v>
      </c>
      <c r="AQ43" s="17">
        <v>0.17599999999999999</v>
      </c>
      <c r="AR43" s="17">
        <v>0.02</v>
      </c>
      <c r="AS43" s="17">
        <v>0.23300000000000001</v>
      </c>
      <c r="AT43" s="17">
        <v>0</v>
      </c>
      <c r="AU43" s="17">
        <v>0.43099999999999999</v>
      </c>
      <c r="AV43" s="17">
        <v>0</v>
      </c>
      <c r="AW43" s="17">
        <v>0</v>
      </c>
      <c r="AX43" s="17">
        <v>0.30599999999999999</v>
      </c>
      <c r="AY43" s="17">
        <v>0</v>
      </c>
      <c r="AZ43" s="17">
        <v>0</v>
      </c>
      <c r="BA43" s="17">
        <v>0</v>
      </c>
      <c r="BB43" s="17">
        <v>9.7000000000000003E-2</v>
      </c>
      <c r="BC43" s="17">
        <v>0.16200000000000001</v>
      </c>
      <c r="BD43" s="17">
        <v>0</v>
      </c>
      <c r="BE43" s="17">
        <v>0</v>
      </c>
      <c r="BF43" s="17">
        <v>5.8000000000000003E-2</v>
      </c>
      <c r="BG43" s="17">
        <v>0</v>
      </c>
      <c r="BH43" s="17">
        <v>0</v>
      </c>
      <c r="BI43" s="17">
        <v>0.22700000000000001</v>
      </c>
      <c r="BJ43" s="17">
        <v>0.11700000000000001</v>
      </c>
      <c r="BK43" s="17">
        <v>0.223</v>
      </c>
      <c r="BL43" s="17">
        <v>0.127</v>
      </c>
      <c r="BM43" s="17">
        <v>1.4E-2</v>
      </c>
      <c r="BN43" s="17">
        <v>0</v>
      </c>
      <c r="BO43" s="17">
        <v>0</v>
      </c>
      <c r="BP43" s="17">
        <v>7.3999999999999996E-2</v>
      </c>
      <c r="BQ43" s="17">
        <v>0.13</v>
      </c>
      <c r="BR43" s="17">
        <v>0</v>
      </c>
      <c r="BS43" s="17">
        <v>0.108</v>
      </c>
      <c r="BT43" s="17">
        <v>0</v>
      </c>
      <c r="BU43" s="17">
        <v>0.438</v>
      </c>
      <c r="BV43" s="17">
        <v>0</v>
      </c>
      <c r="BW43" s="17">
        <v>0.19</v>
      </c>
      <c r="BX43" s="17">
        <v>1.105</v>
      </c>
      <c r="BY43" s="17">
        <v>0.47199999999999998</v>
      </c>
      <c r="BZ43" s="17">
        <v>0</v>
      </c>
      <c r="CA43" s="17">
        <v>1.389</v>
      </c>
      <c r="CB43" s="17">
        <v>0</v>
      </c>
      <c r="CC43" s="17">
        <v>0</v>
      </c>
      <c r="CD43" s="17">
        <v>4.2000000000000003E-2</v>
      </c>
      <c r="CE43" s="17">
        <v>0</v>
      </c>
      <c r="CF43" s="17">
        <v>6.0999999999999999E-2</v>
      </c>
      <c r="CG43" s="17">
        <v>0</v>
      </c>
      <c r="CH43" s="17">
        <v>0</v>
      </c>
      <c r="CI43" s="17">
        <v>0</v>
      </c>
      <c r="CJ43" s="17">
        <v>0.25700000000000001</v>
      </c>
      <c r="CK43" s="17">
        <v>0.14499999999999999</v>
      </c>
      <c r="CL43" s="17">
        <v>0.106</v>
      </c>
      <c r="CM43" s="17">
        <v>0</v>
      </c>
      <c r="CN43" s="17">
        <v>1.6830000000000001</v>
      </c>
      <c r="CO43" s="17">
        <v>0.182</v>
      </c>
      <c r="CP43" s="17">
        <v>0.08</v>
      </c>
      <c r="CQ43" s="17">
        <v>0</v>
      </c>
      <c r="CR43" s="17">
        <v>6.0999999999999999E-2</v>
      </c>
      <c r="CS43" s="17">
        <v>0.23300000000000001</v>
      </c>
      <c r="CT43" s="17">
        <v>0</v>
      </c>
      <c r="CU43" s="17">
        <v>4.8000000000000001E-2</v>
      </c>
      <c r="CV43" s="17">
        <v>0</v>
      </c>
      <c r="CW43" s="17">
        <v>0</v>
      </c>
      <c r="CX43" s="17">
        <v>0</v>
      </c>
      <c r="CY43" s="17">
        <v>0.108</v>
      </c>
      <c r="CZ43" s="17">
        <v>1.0980000000000001</v>
      </c>
      <c r="DA43" s="17">
        <v>0</v>
      </c>
      <c r="DB43" s="17">
        <v>0</v>
      </c>
      <c r="DC43" s="17">
        <v>0</v>
      </c>
      <c r="DD43" s="17">
        <v>0.14000000000000001</v>
      </c>
      <c r="DE43" s="17">
        <v>0.182</v>
      </c>
      <c r="DF43" s="17">
        <v>1.048</v>
      </c>
      <c r="DG43" s="17">
        <v>0</v>
      </c>
      <c r="DH43" s="17">
        <v>0</v>
      </c>
      <c r="DI43" s="17">
        <v>0</v>
      </c>
      <c r="DJ43" s="17">
        <v>0.11899999999999999</v>
      </c>
      <c r="DK43" s="17">
        <v>1.028</v>
      </c>
      <c r="DL43" s="17">
        <v>0</v>
      </c>
      <c r="DM43" s="17">
        <v>0</v>
      </c>
      <c r="DN43" s="17">
        <v>1.2490000000000001</v>
      </c>
      <c r="DO43" s="17">
        <v>0</v>
      </c>
      <c r="DP43" s="17">
        <v>0</v>
      </c>
      <c r="DQ43" s="17">
        <v>7.0999999999999994E-2</v>
      </c>
      <c r="DR43" s="17">
        <v>3.5999999999999997E-2</v>
      </c>
      <c r="DS43" s="17">
        <v>0</v>
      </c>
      <c r="DT43" s="17">
        <v>0</v>
      </c>
      <c r="DU43" s="17">
        <v>0.28799999999999998</v>
      </c>
      <c r="DV43" s="17">
        <v>0</v>
      </c>
      <c r="DW43" s="17">
        <v>0</v>
      </c>
      <c r="DX43" s="17">
        <v>0.51800000000000002</v>
      </c>
      <c r="DY43" s="17">
        <v>0</v>
      </c>
      <c r="DZ43" s="17">
        <v>0.27200000000000002</v>
      </c>
      <c r="EA43" s="17">
        <v>0</v>
      </c>
      <c r="EB43" s="17">
        <v>0</v>
      </c>
      <c r="EC43" s="17">
        <v>0</v>
      </c>
      <c r="ED43" s="17">
        <v>0.216</v>
      </c>
      <c r="EE43" s="17">
        <v>0.23100000000000001</v>
      </c>
      <c r="EF43" s="17">
        <v>0.371</v>
      </c>
      <c r="EG43" s="17">
        <v>0</v>
      </c>
      <c r="EH43" s="17">
        <v>2.5000000000000001E-2</v>
      </c>
      <c r="EI43" s="17">
        <v>0</v>
      </c>
      <c r="EJ43" s="17">
        <v>0.67200000000000004</v>
      </c>
      <c r="EK43" s="17">
        <v>0</v>
      </c>
      <c r="EL43" s="17">
        <v>0</v>
      </c>
      <c r="EM43" s="17">
        <v>0</v>
      </c>
      <c r="EN43" s="17">
        <v>0.75800000000000001</v>
      </c>
      <c r="EO43" s="17">
        <v>0</v>
      </c>
      <c r="EP43" s="17">
        <v>0</v>
      </c>
      <c r="EQ43" s="17">
        <v>0.24099999999999999</v>
      </c>
      <c r="ER43" s="17">
        <v>0</v>
      </c>
      <c r="ES43" s="17">
        <v>0</v>
      </c>
      <c r="ET43" s="17">
        <v>0</v>
      </c>
      <c r="EU43" s="17">
        <v>0.20799999999999999</v>
      </c>
      <c r="EV43" s="17">
        <v>9.5000000000000001E-2</v>
      </c>
      <c r="EW43" s="17">
        <v>0</v>
      </c>
      <c r="EX43" s="17">
        <v>0.34599999999999997</v>
      </c>
      <c r="EY43" s="17">
        <v>1.2E-2</v>
      </c>
      <c r="EZ43" s="17">
        <v>0</v>
      </c>
      <c r="FA43" s="17">
        <v>0.11700000000000001</v>
      </c>
      <c r="FB43" s="17">
        <v>1.5109999999999999</v>
      </c>
      <c r="FC43" s="17">
        <v>0</v>
      </c>
      <c r="FD43" s="17">
        <v>4.4999999999999998E-2</v>
      </c>
      <c r="FE43" s="17">
        <v>0</v>
      </c>
      <c r="FF43" s="17">
        <v>1.046</v>
      </c>
      <c r="FG43" s="17">
        <v>0</v>
      </c>
      <c r="FH43" s="17">
        <v>0</v>
      </c>
      <c r="FI43" s="17">
        <v>0</v>
      </c>
      <c r="FJ43" s="17">
        <v>0</v>
      </c>
      <c r="FK43" s="17">
        <v>0</v>
      </c>
      <c r="FL43" s="17">
        <v>0</v>
      </c>
      <c r="FM43" s="17">
        <v>0</v>
      </c>
      <c r="FN43" s="17">
        <v>1.038</v>
      </c>
      <c r="FO43" s="17">
        <v>0</v>
      </c>
      <c r="FP43" s="17">
        <v>1.256</v>
      </c>
      <c r="FQ43" s="17">
        <v>0</v>
      </c>
      <c r="FR43" s="17">
        <v>0</v>
      </c>
      <c r="FS43" s="17">
        <v>0</v>
      </c>
      <c r="FT43" s="17">
        <v>0</v>
      </c>
      <c r="FU43" s="17">
        <v>7.8E-2</v>
      </c>
      <c r="FV43" s="17">
        <v>0.77300000000000002</v>
      </c>
      <c r="FW43" s="17">
        <v>0.109</v>
      </c>
      <c r="FX43" s="17">
        <v>0.81399999999999995</v>
      </c>
      <c r="FY43" s="17">
        <v>0.28899999999999998</v>
      </c>
      <c r="FZ43" s="17">
        <v>3.4000000000000002E-2</v>
      </c>
      <c r="GA43" s="17">
        <v>0.33700000000000002</v>
      </c>
      <c r="GB43" s="17">
        <v>0</v>
      </c>
      <c r="GC43" s="17">
        <v>0.08</v>
      </c>
      <c r="GD43" s="17">
        <v>0.159</v>
      </c>
      <c r="GE43" s="17">
        <v>0</v>
      </c>
      <c r="GF43" s="17">
        <v>0.36799999999999999</v>
      </c>
      <c r="GG43" s="17">
        <v>0</v>
      </c>
      <c r="GH43" s="17">
        <v>0</v>
      </c>
      <c r="GI43" s="17">
        <v>0.76700000000000002</v>
      </c>
      <c r="GJ43" s="17">
        <v>0</v>
      </c>
      <c r="GK43" s="17">
        <v>0</v>
      </c>
      <c r="GL43" s="17">
        <v>0.20200000000000001</v>
      </c>
      <c r="GM43" s="17">
        <v>1.7999999999999999E-2</v>
      </c>
      <c r="GN43" s="17">
        <v>0</v>
      </c>
      <c r="GO43" s="17">
        <v>0.92100000000000004</v>
      </c>
      <c r="GP43" s="17">
        <v>0</v>
      </c>
      <c r="GQ43" s="17">
        <v>0</v>
      </c>
      <c r="GR43" s="17">
        <v>0</v>
      </c>
      <c r="GS43" s="17">
        <v>8.5000000000000006E-2</v>
      </c>
      <c r="GT43" s="17">
        <v>0</v>
      </c>
      <c r="GU43" s="17">
        <v>0</v>
      </c>
      <c r="GV43" s="17">
        <v>0</v>
      </c>
      <c r="GW43" s="17">
        <v>0.442</v>
      </c>
      <c r="GX43" s="17">
        <v>0.10299999999999999</v>
      </c>
      <c r="GY43" s="17">
        <v>8.2000000000000003E-2</v>
      </c>
      <c r="GZ43" s="17">
        <v>0.78100000000000003</v>
      </c>
      <c r="HA43" s="17">
        <v>2.4E-2</v>
      </c>
      <c r="HB43" s="17">
        <v>0.13200000000000001</v>
      </c>
      <c r="HC43" s="17">
        <v>0</v>
      </c>
      <c r="HD43" s="17">
        <v>4.3999999999999997E-2</v>
      </c>
      <c r="HE43" s="17">
        <v>0.30599999999999999</v>
      </c>
      <c r="HF43" s="17">
        <v>0</v>
      </c>
      <c r="HG43" s="17">
        <v>0</v>
      </c>
      <c r="HH43" s="17">
        <v>0.104</v>
      </c>
    </row>
    <row r="44" spans="1:216" x14ac:dyDescent="0.25">
      <c r="A44" s="8">
        <v>40</v>
      </c>
      <c r="B44" s="8">
        <v>19.5</v>
      </c>
      <c r="C44" s="17">
        <v>0.26200000000000001</v>
      </c>
      <c r="D44" s="17">
        <v>0.36699999999999999</v>
      </c>
      <c r="E44" s="17">
        <v>0.36299999999999999</v>
      </c>
      <c r="F44" s="17">
        <v>0.41599999999999998</v>
      </c>
      <c r="G44" s="17">
        <v>0.49</v>
      </c>
      <c r="H44" s="17">
        <v>0.217</v>
      </c>
      <c r="I44" s="17">
        <v>0.45800000000000002</v>
      </c>
      <c r="J44" s="17">
        <v>0.61899999999999999</v>
      </c>
      <c r="K44" s="17">
        <v>0.13200000000000001</v>
      </c>
      <c r="L44" s="17">
        <v>0.315</v>
      </c>
      <c r="M44" s="17">
        <v>0.432</v>
      </c>
      <c r="N44" s="17">
        <v>0</v>
      </c>
      <c r="O44" s="17">
        <v>0.158</v>
      </c>
      <c r="P44" s="17">
        <v>0.21299999999999999</v>
      </c>
      <c r="Q44" s="17">
        <v>0.14799999999999999</v>
      </c>
      <c r="R44" s="17">
        <v>0</v>
      </c>
      <c r="S44" s="17">
        <v>0</v>
      </c>
      <c r="T44" s="17">
        <v>0</v>
      </c>
      <c r="U44" s="17">
        <v>0.34799999999999998</v>
      </c>
      <c r="V44" s="17">
        <v>3.1E-2</v>
      </c>
      <c r="W44" s="17">
        <v>0</v>
      </c>
      <c r="X44" s="17">
        <v>0.50600000000000001</v>
      </c>
      <c r="Y44" s="17">
        <v>2.8000000000000001E-2</v>
      </c>
      <c r="Z44" s="17">
        <v>0.48499999999999999</v>
      </c>
      <c r="AA44" s="17">
        <v>0.108</v>
      </c>
      <c r="AB44" s="17">
        <v>0.129</v>
      </c>
      <c r="AC44" s="17">
        <v>0</v>
      </c>
      <c r="AD44" s="17">
        <v>0.48399999999999999</v>
      </c>
      <c r="AE44" s="17">
        <v>0.311</v>
      </c>
      <c r="AF44" s="17">
        <v>1.2849999999999999</v>
      </c>
      <c r="AG44" s="17">
        <v>0</v>
      </c>
      <c r="AH44" s="17">
        <v>0.27900000000000003</v>
      </c>
      <c r="AI44" s="17">
        <v>0.125</v>
      </c>
      <c r="AJ44" s="17">
        <v>1E-3</v>
      </c>
      <c r="AK44" s="17">
        <v>0.36299999999999999</v>
      </c>
      <c r="AL44" s="17">
        <v>0.23100000000000001</v>
      </c>
      <c r="AM44" s="17">
        <v>0.495</v>
      </c>
      <c r="AN44" s="17">
        <v>0.379</v>
      </c>
      <c r="AO44" s="17">
        <v>0.29199999999999998</v>
      </c>
      <c r="AP44" s="17">
        <v>0.308</v>
      </c>
      <c r="AQ44" s="17">
        <v>0.39</v>
      </c>
      <c r="AR44" s="17">
        <v>0.14199999999999999</v>
      </c>
      <c r="AS44" s="17">
        <v>0.32900000000000001</v>
      </c>
      <c r="AT44" s="17">
        <v>0.182</v>
      </c>
      <c r="AU44" s="17">
        <v>0.45200000000000001</v>
      </c>
      <c r="AV44" s="17">
        <v>0.60199999999999998</v>
      </c>
      <c r="AW44" s="17">
        <v>0.51900000000000002</v>
      </c>
      <c r="AX44" s="17">
        <v>0.371</v>
      </c>
      <c r="AY44" s="17">
        <v>0.21</v>
      </c>
      <c r="AZ44" s="17">
        <v>0.23400000000000001</v>
      </c>
      <c r="BA44" s="17">
        <v>0.315</v>
      </c>
      <c r="BB44" s="17">
        <v>0.158</v>
      </c>
      <c r="BC44" s="17">
        <v>0.31</v>
      </c>
      <c r="BD44" s="17">
        <v>0.33</v>
      </c>
      <c r="BE44" s="17">
        <v>0.25800000000000001</v>
      </c>
      <c r="BF44" s="17">
        <v>0.77900000000000003</v>
      </c>
      <c r="BG44" s="17">
        <v>0.43</v>
      </c>
      <c r="BH44" s="17">
        <v>4.9000000000000002E-2</v>
      </c>
      <c r="BI44" s="17">
        <v>0.40500000000000003</v>
      </c>
      <c r="BJ44" s="17">
        <v>0.35799999999999998</v>
      </c>
      <c r="BK44" s="17">
        <v>0.51200000000000001</v>
      </c>
      <c r="BL44" s="17">
        <v>0.4</v>
      </c>
      <c r="BM44" s="17">
        <v>0.35899999999999999</v>
      </c>
      <c r="BN44" s="17">
        <v>0.55800000000000005</v>
      </c>
      <c r="BO44" s="17">
        <v>0.106</v>
      </c>
      <c r="BP44" s="17">
        <v>0.45300000000000001</v>
      </c>
      <c r="BQ44" s="17">
        <v>0.38500000000000001</v>
      </c>
      <c r="BR44" s="17">
        <v>0</v>
      </c>
      <c r="BS44" s="17">
        <v>0.42099999999999999</v>
      </c>
      <c r="BT44" s="17">
        <v>0</v>
      </c>
      <c r="BU44" s="17">
        <v>0.46800000000000003</v>
      </c>
      <c r="BV44" s="17">
        <v>0.23499999999999999</v>
      </c>
      <c r="BW44" s="17">
        <v>0.61</v>
      </c>
      <c r="BX44" s="17">
        <v>0.45100000000000001</v>
      </c>
      <c r="BY44" s="17">
        <v>0.55800000000000005</v>
      </c>
      <c r="BZ44" s="17">
        <v>0.16200000000000001</v>
      </c>
      <c r="CA44" s="17">
        <v>0.32300000000000001</v>
      </c>
      <c r="CB44" s="17">
        <v>0.39500000000000002</v>
      </c>
      <c r="CC44" s="17">
        <v>0.21299999999999999</v>
      </c>
      <c r="CD44" s="17">
        <v>0.44900000000000001</v>
      </c>
      <c r="CE44" s="17">
        <v>0</v>
      </c>
      <c r="CF44" s="17">
        <v>1.5840000000000001</v>
      </c>
      <c r="CG44" s="17">
        <v>0.30599999999999999</v>
      </c>
      <c r="CH44" s="17">
        <v>1.712</v>
      </c>
      <c r="CI44" s="17">
        <v>0.23599999999999999</v>
      </c>
      <c r="CJ44" s="17">
        <v>0.30299999999999999</v>
      </c>
      <c r="CK44" s="17">
        <v>0.41</v>
      </c>
      <c r="CL44" s="17">
        <v>0.82299999999999995</v>
      </c>
      <c r="CM44" s="17">
        <v>0</v>
      </c>
      <c r="CN44" s="17">
        <v>0.57199999999999995</v>
      </c>
      <c r="CO44" s="17">
        <v>0.504</v>
      </c>
      <c r="CP44" s="17">
        <v>0.28999999999999998</v>
      </c>
      <c r="CQ44" s="17">
        <v>0.39</v>
      </c>
      <c r="CR44" s="17">
        <v>0.46100000000000002</v>
      </c>
      <c r="CS44" s="17">
        <v>8.2000000000000003E-2</v>
      </c>
      <c r="CT44" s="17">
        <v>0</v>
      </c>
      <c r="CU44" s="17">
        <v>0.41399999999999998</v>
      </c>
      <c r="CV44" s="17">
        <v>0.252</v>
      </c>
      <c r="CW44" s="17">
        <v>0.60199999999999998</v>
      </c>
      <c r="CX44" s="17">
        <v>0.45300000000000001</v>
      </c>
      <c r="CY44" s="17">
        <v>0.32500000000000001</v>
      </c>
      <c r="CZ44" s="17">
        <v>1.542</v>
      </c>
      <c r="DA44" s="17">
        <v>0.29799999999999999</v>
      </c>
      <c r="DB44" s="17">
        <v>0</v>
      </c>
      <c r="DC44" s="17">
        <v>5.6000000000000001E-2</v>
      </c>
      <c r="DD44" s="17">
        <v>0.83499999999999996</v>
      </c>
      <c r="DE44" s="17">
        <v>0.217</v>
      </c>
      <c r="DF44" s="17">
        <v>0.33300000000000002</v>
      </c>
      <c r="DG44" s="17">
        <v>0.35299999999999998</v>
      </c>
      <c r="DH44" s="17">
        <v>0.58199999999999996</v>
      </c>
      <c r="DI44" s="17">
        <v>0.33100000000000002</v>
      </c>
      <c r="DJ44" s="17">
        <v>0.57899999999999996</v>
      </c>
      <c r="DK44" s="17">
        <v>0.45500000000000002</v>
      </c>
      <c r="DL44" s="17">
        <v>9.4E-2</v>
      </c>
      <c r="DM44" s="17">
        <v>0.11</v>
      </c>
      <c r="DN44" s="17">
        <v>0.39600000000000002</v>
      </c>
      <c r="DO44" s="17">
        <v>0.26300000000000001</v>
      </c>
      <c r="DP44" s="17">
        <v>0.13800000000000001</v>
      </c>
      <c r="DQ44" s="17">
        <v>0.57899999999999996</v>
      </c>
      <c r="DR44" s="17">
        <v>1E-3</v>
      </c>
      <c r="DS44" s="17">
        <v>9.9000000000000005E-2</v>
      </c>
      <c r="DT44" s="17">
        <v>0.29399999999999998</v>
      </c>
      <c r="DU44" s="17">
        <v>0.48699999999999999</v>
      </c>
      <c r="DV44" s="17">
        <v>0.126</v>
      </c>
      <c r="DW44" s="17">
        <v>1.367</v>
      </c>
      <c r="DX44" s="17">
        <v>0.84599999999999997</v>
      </c>
      <c r="DY44" s="17">
        <v>8.3000000000000004E-2</v>
      </c>
      <c r="DZ44" s="17">
        <v>0.56000000000000005</v>
      </c>
      <c r="EA44" s="17">
        <v>3.9E-2</v>
      </c>
      <c r="EB44" s="17">
        <v>0</v>
      </c>
      <c r="EC44" s="17">
        <v>0.84</v>
      </c>
      <c r="ED44" s="17">
        <v>0.17799999999999999</v>
      </c>
      <c r="EE44" s="17">
        <v>3.0409999999999999</v>
      </c>
      <c r="EF44" s="17">
        <v>0.42599999999999999</v>
      </c>
      <c r="EG44" s="17">
        <v>0.17799999999999999</v>
      </c>
      <c r="EH44" s="17">
        <v>0.41099999999999998</v>
      </c>
      <c r="EI44" s="17">
        <v>0</v>
      </c>
      <c r="EJ44" s="17">
        <v>0.5</v>
      </c>
      <c r="EK44" s="17">
        <v>0.17399999999999999</v>
      </c>
      <c r="EL44" s="17">
        <v>0.35699999999999998</v>
      </c>
      <c r="EM44" s="17">
        <v>0.249</v>
      </c>
      <c r="EN44" s="17">
        <v>1.778</v>
      </c>
      <c r="EO44" s="17">
        <v>0.224</v>
      </c>
      <c r="EP44" s="17">
        <v>0</v>
      </c>
      <c r="EQ44" s="17">
        <v>0.45800000000000002</v>
      </c>
      <c r="ER44" s="17">
        <v>0</v>
      </c>
      <c r="ES44" s="17">
        <v>3.6999999999999998E-2</v>
      </c>
      <c r="ET44" s="17">
        <v>0.317</v>
      </c>
      <c r="EU44" s="17">
        <v>0.58599999999999997</v>
      </c>
      <c r="EV44" s="17">
        <v>0.17799999999999999</v>
      </c>
      <c r="EW44" s="17">
        <v>5.2999999999999999E-2</v>
      </c>
      <c r="EX44" s="17">
        <v>0.35199999999999998</v>
      </c>
      <c r="EY44" s="17">
        <v>0.18</v>
      </c>
      <c r="EZ44" s="17">
        <v>3.9E-2</v>
      </c>
      <c r="FA44" s="17">
        <v>9.4E-2</v>
      </c>
      <c r="FB44" s="17">
        <v>1.373</v>
      </c>
      <c r="FC44" s="17">
        <v>0.60299999999999998</v>
      </c>
      <c r="FD44" s="17">
        <v>0.28699999999999998</v>
      </c>
      <c r="FE44" s="17">
        <v>0</v>
      </c>
      <c r="FF44" s="17">
        <v>0.97599999999999998</v>
      </c>
      <c r="FG44" s="17">
        <v>7.9000000000000001E-2</v>
      </c>
      <c r="FH44" s="17">
        <v>0.26400000000000001</v>
      </c>
      <c r="FI44" s="17">
        <v>0.23300000000000001</v>
      </c>
      <c r="FJ44" s="17">
        <v>0.33800000000000002</v>
      </c>
      <c r="FK44" s="17">
        <v>0.114</v>
      </c>
      <c r="FL44" s="17">
        <v>0.52300000000000002</v>
      </c>
      <c r="FM44" s="17">
        <v>8.6999999999999994E-2</v>
      </c>
      <c r="FN44" s="17">
        <v>0.312</v>
      </c>
      <c r="FO44" s="17">
        <v>0.125</v>
      </c>
      <c r="FP44" s="17">
        <v>0.29099999999999998</v>
      </c>
      <c r="FQ44" s="17">
        <v>0</v>
      </c>
      <c r="FR44" s="17">
        <v>0.21299999999999999</v>
      </c>
      <c r="FS44" s="17">
        <v>0.13100000000000001</v>
      </c>
      <c r="FT44" s="17">
        <v>0.77200000000000002</v>
      </c>
      <c r="FU44" s="17">
        <v>0.186</v>
      </c>
      <c r="FV44" s="17">
        <v>1.077</v>
      </c>
      <c r="FW44" s="17">
        <v>0.90900000000000003</v>
      </c>
      <c r="FX44" s="17">
        <v>0.30199999999999999</v>
      </c>
      <c r="FY44" s="17">
        <v>0.38500000000000001</v>
      </c>
      <c r="FZ44" s="17">
        <v>0.71</v>
      </c>
      <c r="GA44" s="17">
        <v>0.44500000000000001</v>
      </c>
      <c r="GB44" s="17">
        <v>0.184</v>
      </c>
      <c r="GC44" s="17">
        <v>0.222</v>
      </c>
      <c r="GD44" s="17">
        <v>0.46300000000000002</v>
      </c>
      <c r="GE44" s="17">
        <v>2.3E-2</v>
      </c>
      <c r="GF44" s="17">
        <v>0.17799999999999999</v>
      </c>
      <c r="GG44" s="17">
        <v>6.8000000000000005E-2</v>
      </c>
      <c r="GH44" s="17">
        <v>0.14299999999999999</v>
      </c>
      <c r="GI44" s="17">
        <v>0.80200000000000005</v>
      </c>
      <c r="GJ44" s="17">
        <v>0.23200000000000001</v>
      </c>
      <c r="GK44" s="17">
        <v>0.25600000000000001</v>
      </c>
      <c r="GL44" s="17">
        <v>0.53</v>
      </c>
      <c r="GM44" s="17">
        <v>0.27</v>
      </c>
      <c r="GN44" s="17">
        <v>0.16</v>
      </c>
      <c r="GO44" s="17">
        <v>0.54100000000000004</v>
      </c>
      <c r="GP44" s="17">
        <v>0.92100000000000004</v>
      </c>
      <c r="GQ44" s="17">
        <v>2.8000000000000001E-2</v>
      </c>
      <c r="GR44" s="17">
        <v>0.20200000000000001</v>
      </c>
      <c r="GS44" s="17">
        <v>0.35199999999999998</v>
      </c>
      <c r="GT44" s="17">
        <v>0.32300000000000001</v>
      </c>
      <c r="GU44" s="17">
        <v>2.4E-2</v>
      </c>
      <c r="GV44" s="17">
        <v>9.5000000000000001E-2</v>
      </c>
      <c r="GW44" s="17">
        <v>7.9000000000000001E-2</v>
      </c>
      <c r="GX44" s="17">
        <v>0.223</v>
      </c>
      <c r="GY44" s="17">
        <v>0.27800000000000002</v>
      </c>
      <c r="GZ44" s="17">
        <v>0.79800000000000004</v>
      </c>
      <c r="HA44" s="17">
        <v>0.46400000000000002</v>
      </c>
      <c r="HB44" s="17">
        <v>0.16500000000000001</v>
      </c>
      <c r="HC44" s="17">
        <v>0.107</v>
      </c>
      <c r="HD44" s="17">
        <v>0.28100000000000003</v>
      </c>
      <c r="HE44" s="17">
        <v>2.9119999999999999</v>
      </c>
      <c r="HF44" s="17">
        <v>0.04</v>
      </c>
      <c r="HG44" s="17">
        <v>2E-3</v>
      </c>
      <c r="HH44" s="17">
        <v>0.16900000000000001</v>
      </c>
    </row>
    <row r="45" spans="1:216" x14ac:dyDescent="0.25">
      <c r="A45" s="8">
        <v>41</v>
      </c>
      <c r="B45" s="8">
        <v>20</v>
      </c>
      <c r="C45" s="17">
        <v>6.8000000000000005E-2</v>
      </c>
      <c r="D45" s="17">
        <v>0.253</v>
      </c>
      <c r="E45" s="17">
        <v>0.433</v>
      </c>
      <c r="F45" s="17">
        <v>0.38900000000000001</v>
      </c>
      <c r="G45" s="17">
        <v>0.56999999999999995</v>
      </c>
      <c r="H45" s="17">
        <v>0.54</v>
      </c>
      <c r="I45" s="17">
        <v>0.79600000000000004</v>
      </c>
      <c r="J45" s="17">
        <v>1.107</v>
      </c>
      <c r="K45" s="17">
        <v>0.316</v>
      </c>
      <c r="L45" s="17">
        <v>0.54900000000000004</v>
      </c>
      <c r="M45" s="17">
        <v>0.505</v>
      </c>
      <c r="N45" s="17">
        <v>0.127</v>
      </c>
      <c r="O45" s="17">
        <v>0.45300000000000001</v>
      </c>
      <c r="P45" s="17">
        <v>0.34</v>
      </c>
      <c r="Q45" s="17">
        <v>0.14199999999999999</v>
      </c>
      <c r="R45" s="17">
        <v>8.5999999999999993E-2</v>
      </c>
      <c r="S45" s="17">
        <v>0.12</v>
      </c>
      <c r="T45" s="17">
        <v>0.312</v>
      </c>
      <c r="U45" s="17">
        <v>0.84699999999999998</v>
      </c>
      <c r="V45" s="17">
        <v>0.158</v>
      </c>
      <c r="W45" s="17">
        <v>0.16600000000000001</v>
      </c>
      <c r="X45" s="17">
        <v>0.47</v>
      </c>
      <c r="Y45" s="17">
        <v>3.5999999999999997E-2</v>
      </c>
      <c r="Z45" s="17">
        <v>0.85499999999999998</v>
      </c>
      <c r="AA45" s="17">
        <v>0.28100000000000003</v>
      </c>
      <c r="AB45" s="17">
        <v>0.186</v>
      </c>
      <c r="AC45" s="17">
        <v>4.2999999999999997E-2</v>
      </c>
      <c r="AD45" s="17">
        <v>0.46899999999999997</v>
      </c>
      <c r="AE45" s="17">
        <v>0.27800000000000002</v>
      </c>
      <c r="AF45" s="17">
        <v>1.6830000000000001</v>
      </c>
      <c r="AG45" s="17">
        <v>0.21099999999999999</v>
      </c>
      <c r="AH45" s="17">
        <v>0.42899999999999999</v>
      </c>
      <c r="AI45" s="17">
        <v>3.4000000000000002E-2</v>
      </c>
      <c r="AJ45" s="17">
        <v>0.183</v>
      </c>
      <c r="AK45" s="17">
        <v>0.70899999999999996</v>
      </c>
      <c r="AL45" s="17">
        <v>0.44900000000000001</v>
      </c>
      <c r="AM45" s="17">
        <v>0.41799999999999998</v>
      </c>
      <c r="AN45" s="17">
        <v>0.60599999999999998</v>
      </c>
      <c r="AO45" s="17">
        <v>0.23</v>
      </c>
      <c r="AP45" s="17">
        <v>0.56899999999999995</v>
      </c>
      <c r="AQ45" s="17">
        <v>0.39200000000000002</v>
      </c>
      <c r="AR45" s="17">
        <v>0.04</v>
      </c>
      <c r="AS45" s="17">
        <v>0.44400000000000001</v>
      </c>
      <c r="AT45" s="17">
        <v>0.45</v>
      </c>
      <c r="AU45" s="17">
        <v>0.39100000000000001</v>
      </c>
      <c r="AV45" s="17">
        <v>0.64500000000000002</v>
      </c>
      <c r="AW45" s="17">
        <v>0.46400000000000002</v>
      </c>
      <c r="AX45" s="17">
        <v>0.13500000000000001</v>
      </c>
      <c r="AY45" s="17">
        <v>0.34200000000000003</v>
      </c>
      <c r="AZ45" s="17">
        <v>0.26100000000000001</v>
      </c>
      <c r="BA45" s="17">
        <v>0.318</v>
      </c>
      <c r="BB45" s="17">
        <v>8.7999999999999995E-2</v>
      </c>
      <c r="BC45" s="17">
        <v>0.57799999999999996</v>
      </c>
      <c r="BD45" s="17">
        <v>0.34899999999999998</v>
      </c>
      <c r="BE45" s="17">
        <v>0.627</v>
      </c>
      <c r="BF45" s="17">
        <v>1.3149999999999999</v>
      </c>
      <c r="BG45" s="17">
        <v>0.79400000000000004</v>
      </c>
      <c r="BH45" s="17">
        <v>7.9000000000000001E-2</v>
      </c>
      <c r="BI45" s="17">
        <v>0.49299999999999999</v>
      </c>
      <c r="BJ45" s="17">
        <v>4.4999999999999998E-2</v>
      </c>
      <c r="BK45" s="17">
        <v>0.55100000000000005</v>
      </c>
      <c r="BL45" s="17">
        <v>1.466</v>
      </c>
      <c r="BM45" s="17">
        <v>0.48399999999999999</v>
      </c>
      <c r="BN45" s="17">
        <v>0.51200000000000001</v>
      </c>
      <c r="BO45" s="17">
        <v>4.8000000000000001E-2</v>
      </c>
      <c r="BP45" s="17">
        <v>0.38600000000000001</v>
      </c>
      <c r="BQ45" s="17">
        <v>0.69599999999999995</v>
      </c>
      <c r="BR45" s="17">
        <v>3.6999999999999998E-2</v>
      </c>
      <c r="BS45" s="17">
        <v>0.58299999999999996</v>
      </c>
      <c r="BT45" s="17">
        <v>4.4999999999999998E-2</v>
      </c>
      <c r="BU45" s="17">
        <v>0.64900000000000002</v>
      </c>
      <c r="BV45" s="17">
        <v>0.54</v>
      </c>
      <c r="BW45" s="17">
        <v>1.0369999999999999</v>
      </c>
      <c r="BX45" s="17">
        <v>0.22900000000000001</v>
      </c>
      <c r="BY45" s="17">
        <v>0.47599999999999998</v>
      </c>
      <c r="BZ45" s="17">
        <v>0.314</v>
      </c>
      <c r="CA45" s="17">
        <v>0.53</v>
      </c>
      <c r="CB45" s="17">
        <v>0.45300000000000001</v>
      </c>
      <c r="CC45" s="17">
        <v>0.126</v>
      </c>
      <c r="CD45" s="17">
        <v>0.55200000000000005</v>
      </c>
      <c r="CE45" s="17">
        <v>3.4000000000000002E-2</v>
      </c>
      <c r="CF45" s="17">
        <v>1.175</v>
      </c>
      <c r="CG45" s="17">
        <v>0.38700000000000001</v>
      </c>
      <c r="CH45" s="17">
        <v>0.56899999999999995</v>
      </c>
      <c r="CI45" s="17">
        <v>0.26600000000000001</v>
      </c>
      <c r="CJ45" s="17">
        <v>0.46400000000000002</v>
      </c>
      <c r="CK45" s="17">
        <v>0.83599999999999997</v>
      </c>
      <c r="CL45" s="17">
        <v>0.59399999999999997</v>
      </c>
      <c r="CM45" s="17">
        <v>0.19700000000000001</v>
      </c>
      <c r="CN45" s="17">
        <v>0.751</v>
      </c>
      <c r="CO45" s="17">
        <v>0.36899999999999999</v>
      </c>
      <c r="CP45" s="17">
        <v>0.375</v>
      </c>
      <c r="CQ45" s="17">
        <v>0.35299999999999998</v>
      </c>
      <c r="CR45" s="17">
        <v>0.53</v>
      </c>
      <c r="CS45" s="17">
        <v>0.19400000000000001</v>
      </c>
      <c r="CT45" s="17">
        <v>3.2000000000000001E-2</v>
      </c>
      <c r="CU45" s="17">
        <v>0.318</v>
      </c>
      <c r="CV45" s="17">
        <v>0.55800000000000005</v>
      </c>
      <c r="CW45" s="17">
        <v>0.56399999999999995</v>
      </c>
      <c r="CX45" s="17">
        <v>0.44500000000000001</v>
      </c>
      <c r="CY45" s="17">
        <v>0.39</v>
      </c>
      <c r="CZ45" s="17">
        <v>0.45900000000000002</v>
      </c>
      <c r="DA45" s="17">
        <v>1.3440000000000001</v>
      </c>
      <c r="DB45" s="17">
        <v>7.0999999999999994E-2</v>
      </c>
      <c r="DC45" s="17">
        <v>0.11899999999999999</v>
      </c>
      <c r="DD45" s="17">
        <v>0.45200000000000001</v>
      </c>
      <c r="DE45" s="17">
        <v>0.433</v>
      </c>
      <c r="DF45" s="17">
        <v>0.498</v>
      </c>
      <c r="DG45" s="17">
        <v>0.58599999999999997</v>
      </c>
      <c r="DH45" s="17">
        <v>0.65</v>
      </c>
      <c r="DI45" s="17">
        <v>1.6140000000000001</v>
      </c>
      <c r="DJ45" s="17">
        <v>0.65700000000000003</v>
      </c>
      <c r="DK45" s="17">
        <v>0.69599999999999995</v>
      </c>
      <c r="DL45" s="17">
        <v>9.4E-2</v>
      </c>
      <c r="DM45" s="17">
        <v>0.17499999999999999</v>
      </c>
      <c r="DN45" s="17">
        <v>9.9000000000000005E-2</v>
      </c>
      <c r="DO45" s="17">
        <v>0.71699999999999997</v>
      </c>
      <c r="DP45" s="17">
        <v>7.1999999999999995E-2</v>
      </c>
      <c r="DQ45" s="17">
        <v>0.48399999999999999</v>
      </c>
      <c r="DR45" s="17">
        <v>0.16300000000000001</v>
      </c>
      <c r="DS45" s="17">
        <v>3.5000000000000003E-2</v>
      </c>
      <c r="DT45" s="17">
        <v>0.39700000000000002</v>
      </c>
      <c r="DU45" s="17">
        <v>0.68100000000000005</v>
      </c>
      <c r="DV45" s="17">
        <v>4.3999999999999997E-2</v>
      </c>
      <c r="DW45" s="17">
        <v>0.59099999999999997</v>
      </c>
      <c r="DX45" s="17">
        <v>0.41599999999999998</v>
      </c>
      <c r="DY45" s="17">
        <v>7.0999999999999994E-2</v>
      </c>
      <c r="DZ45" s="17">
        <v>0.497</v>
      </c>
      <c r="EA45" s="17">
        <v>0.107</v>
      </c>
      <c r="EB45" s="17">
        <v>2.5999999999999999E-2</v>
      </c>
      <c r="EC45" s="17">
        <v>0.63700000000000001</v>
      </c>
      <c r="ED45" s="17">
        <v>0.28799999999999998</v>
      </c>
      <c r="EE45" s="17">
        <v>2.4689999999999999</v>
      </c>
      <c r="EF45" s="17">
        <v>0.377</v>
      </c>
      <c r="EG45" s="17">
        <v>0.67400000000000004</v>
      </c>
      <c r="EH45" s="17">
        <v>0.498</v>
      </c>
      <c r="EI45" s="17">
        <v>0.154</v>
      </c>
      <c r="EJ45" s="17">
        <v>0.68100000000000005</v>
      </c>
      <c r="EK45" s="17">
        <v>0.27400000000000002</v>
      </c>
      <c r="EL45" s="17">
        <v>0.33400000000000002</v>
      </c>
      <c r="EM45" s="17">
        <v>0.434</v>
      </c>
      <c r="EN45" s="17">
        <v>1.2949999999999999</v>
      </c>
      <c r="EO45" s="17">
        <v>0.32100000000000001</v>
      </c>
      <c r="EP45" s="17">
        <v>0.17399999999999999</v>
      </c>
      <c r="EQ45" s="17">
        <v>0.59899999999999998</v>
      </c>
      <c r="ER45" s="17">
        <v>0.10299999999999999</v>
      </c>
      <c r="ES45" s="17">
        <v>0.13900000000000001</v>
      </c>
      <c r="ET45" s="17">
        <v>0.41899999999999998</v>
      </c>
      <c r="EU45" s="17">
        <v>0.74</v>
      </c>
      <c r="EV45" s="17">
        <v>0.182</v>
      </c>
      <c r="EW45" s="17">
        <v>0.11700000000000001</v>
      </c>
      <c r="EX45" s="17">
        <v>0.58299999999999996</v>
      </c>
      <c r="EY45" s="17">
        <v>0.247</v>
      </c>
      <c r="EZ45" s="17">
        <v>8.6999999999999994E-2</v>
      </c>
      <c r="FA45" s="17">
        <v>0.501</v>
      </c>
      <c r="FB45" s="17">
        <v>0.57099999999999995</v>
      </c>
      <c r="FC45" s="17">
        <v>0.34499999999999997</v>
      </c>
      <c r="FD45" s="17">
        <v>0.35099999999999998</v>
      </c>
      <c r="FE45" s="17">
        <v>3.5999999999999997E-2</v>
      </c>
      <c r="FF45" s="17">
        <v>0.27</v>
      </c>
      <c r="FG45" s="17">
        <v>0.35699999999999998</v>
      </c>
      <c r="FH45" s="17">
        <v>0.48599999999999999</v>
      </c>
      <c r="FI45" s="17">
        <v>0.34399999999999997</v>
      </c>
      <c r="FJ45" s="17">
        <v>0.47499999999999998</v>
      </c>
      <c r="FK45" s="17">
        <v>0.56100000000000005</v>
      </c>
      <c r="FL45" s="17">
        <v>0.65600000000000003</v>
      </c>
      <c r="FM45" s="17">
        <v>9.8000000000000004E-2</v>
      </c>
      <c r="FN45" s="17">
        <v>0.57499999999999996</v>
      </c>
      <c r="FO45" s="17">
        <v>0.27400000000000002</v>
      </c>
      <c r="FP45" s="17">
        <v>0.25700000000000001</v>
      </c>
      <c r="FQ45" s="17">
        <v>0.17399999999999999</v>
      </c>
      <c r="FR45" s="17">
        <v>0.48599999999999999</v>
      </c>
      <c r="FS45" s="17">
        <v>0.16900000000000001</v>
      </c>
      <c r="FT45" s="17">
        <v>0.84</v>
      </c>
      <c r="FU45" s="17">
        <v>0.49299999999999999</v>
      </c>
      <c r="FV45" s="17">
        <v>8.1000000000000003E-2</v>
      </c>
      <c r="FW45" s="17">
        <v>0.93600000000000005</v>
      </c>
      <c r="FX45" s="17">
        <v>0.69</v>
      </c>
      <c r="FY45" s="17">
        <v>0.68100000000000005</v>
      </c>
      <c r="FZ45" s="17">
        <v>0.55100000000000005</v>
      </c>
      <c r="GA45" s="17">
        <v>0.41699999999999998</v>
      </c>
      <c r="GB45" s="17">
        <v>0.69699999999999995</v>
      </c>
      <c r="GC45" s="17">
        <v>0.496</v>
      </c>
      <c r="GD45" s="17">
        <v>0.34399999999999997</v>
      </c>
      <c r="GE45" s="17">
        <v>0.51700000000000002</v>
      </c>
      <c r="GF45" s="17">
        <v>0.28999999999999998</v>
      </c>
      <c r="GG45" s="17">
        <v>0.186</v>
      </c>
      <c r="GH45" s="17">
        <v>3.9E-2</v>
      </c>
      <c r="GI45" s="17">
        <v>0.13100000000000001</v>
      </c>
      <c r="GJ45" s="17">
        <v>0.54600000000000004</v>
      </c>
      <c r="GK45" s="17">
        <v>0.55900000000000005</v>
      </c>
      <c r="GL45" s="17">
        <v>0.73599999999999999</v>
      </c>
      <c r="GM45" s="17">
        <v>0.24299999999999999</v>
      </c>
      <c r="GN45" s="17">
        <v>0.63</v>
      </c>
      <c r="GO45" s="17">
        <v>0.60499999999999998</v>
      </c>
      <c r="GP45" s="17">
        <v>0.51900000000000002</v>
      </c>
      <c r="GQ45" s="17">
        <v>2.1000000000000001E-2</v>
      </c>
      <c r="GR45" s="17">
        <v>3.3000000000000002E-2</v>
      </c>
      <c r="GS45" s="17">
        <v>0.46700000000000003</v>
      </c>
      <c r="GT45" s="17">
        <v>0.441</v>
      </c>
      <c r="GU45" s="17">
        <v>0.158</v>
      </c>
      <c r="GV45" s="17">
        <v>0.442</v>
      </c>
      <c r="GW45" s="17">
        <v>0.63400000000000001</v>
      </c>
      <c r="GX45" s="17">
        <v>0.65500000000000003</v>
      </c>
      <c r="GY45" s="17">
        <v>0.504</v>
      </c>
      <c r="GZ45" s="17">
        <v>0.61899999999999999</v>
      </c>
      <c r="HA45" s="17">
        <v>0.375</v>
      </c>
      <c r="HB45" s="17">
        <v>1.617</v>
      </c>
      <c r="HC45" s="17">
        <v>0.14299999999999999</v>
      </c>
      <c r="HD45" s="17">
        <v>0.38300000000000001</v>
      </c>
      <c r="HE45" s="17">
        <v>1.3180000000000001</v>
      </c>
      <c r="HF45" s="17">
        <v>0.378</v>
      </c>
      <c r="HG45" s="17">
        <v>0.11899999999999999</v>
      </c>
      <c r="HH45" s="17">
        <v>0.22900000000000001</v>
      </c>
    </row>
    <row r="46" spans="1:216" x14ac:dyDescent="0.25">
      <c r="A46" s="8">
        <v>42</v>
      </c>
      <c r="B46" s="8">
        <v>20.5</v>
      </c>
      <c r="C46" s="17">
        <v>0.13500000000000001</v>
      </c>
      <c r="D46" s="17">
        <v>0.39100000000000001</v>
      </c>
      <c r="E46" s="17">
        <v>0.56899999999999995</v>
      </c>
      <c r="F46" s="17">
        <v>0.44400000000000001</v>
      </c>
      <c r="G46" s="17">
        <v>0.57299999999999995</v>
      </c>
      <c r="H46" s="17">
        <v>0.32100000000000001</v>
      </c>
      <c r="I46" s="17">
        <v>0.55600000000000005</v>
      </c>
      <c r="J46" s="17">
        <v>0.98</v>
      </c>
      <c r="K46" s="17">
        <v>0.54700000000000004</v>
      </c>
      <c r="L46" s="17">
        <v>0.40699999999999997</v>
      </c>
      <c r="M46" s="17">
        <v>0.65800000000000003</v>
      </c>
      <c r="N46" s="17">
        <v>8.7999999999999995E-2</v>
      </c>
      <c r="O46" s="17">
        <v>0.56200000000000006</v>
      </c>
      <c r="P46" s="17">
        <v>0.66600000000000004</v>
      </c>
      <c r="Q46" s="17">
        <v>0.14299999999999999</v>
      </c>
      <c r="R46" s="17">
        <v>0.186</v>
      </c>
      <c r="S46" s="17">
        <v>0.13800000000000001</v>
      </c>
      <c r="T46" s="17">
        <v>5.2999999999999999E-2</v>
      </c>
      <c r="U46" s="17">
        <v>0.77100000000000002</v>
      </c>
      <c r="V46" s="17">
        <v>1.6950000000000001</v>
      </c>
      <c r="W46" s="17">
        <v>5.8999999999999997E-2</v>
      </c>
      <c r="X46" s="17">
        <v>0.46600000000000003</v>
      </c>
      <c r="Y46" s="17">
        <v>0.20899999999999999</v>
      </c>
      <c r="Z46" s="17">
        <v>0.83599999999999997</v>
      </c>
      <c r="AA46" s="17">
        <v>0.32300000000000001</v>
      </c>
      <c r="AB46" s="17">
        <v>0.16900000000000001</v>
      </c>
      <c r="AC46" s="17">
        <v>5.5E-2</v>
      </c>
      <c r="AD46" s="17">
        <v>0.69199999999999995</v>
      </c>
      <c r="AE46" s="17">
        <v>0.26800000000000002</v>
      </c>
      <c r="AF46" s="17">
        <v>1.252</v>
      </c>
      <c r="AG46" s="17">
        <v>0.23599999999999999</v>
      </c>
      <c r="AH46" s="17">
        <v>0.71199999999999997</v>
      </c>
      <c r="AI46" s="17">
        <v>5.0999999999999997E-2</v>
      </c>
      <c r="AJ46" s="17">
        <v>0.15</v>
      </c>
      <c r="AK46" s="17">
        <v>0.41299999999999998</v>
      </c>
      <c r="AL46" s="17">
        <v>0.45800000000000002</v>
      </c>
      <c r="AM46" s="17">
        <v>0.502</v>
      </c>
      <c r="AN46" s="17">
        <v>0.63300000000000001</v>
      </c>
      <c r="AO46" s="17">
        <v>0.36099999999999999</v>
      </c>
      <c r="AP46" s="17">
        <v>0.42499999999999999</v>
      </c>
      <c r="AQ46" s="17">
        <v>0.56899999999999995</v>
      </c>
      <c r="AR46" s="17">
        <v>0.3</v>
      </c>
      <c r="AS46" s="17">
        <v>0.53700000000000003</v>
      </c>
      <c r="AT46" s="17">
        <v>0.32400000000000001</v>
      </c>
      <c r="AU46" s="17">
        <v>0.52800000000000002</v>
      </c>
      <c r="AV46" s="17">
        <v>0.56100000000000005</v>
      </c>
      <c r="AW46" s="17">
        <v>0.58299999999999996</v>
      </c>
      <c r="AX46" s="17">
        <v>0.33400000000000002</v>
      </c>
      <c r="AY46" s="17">
        <v>0.42399999999999999</v>
      </c>
      <c r="AZ46" s="17">
        <v>0.26200000000000001</v>
      </c>
      <c r="BA46" s="17">
        <v>0.46500000000000002</v>
      </c>
      <c r="BB46" s="17">
        <v>0.19600000000000001</v>
      </c>
      <c r="BC46" s="17">
        <v>0.80100000000000005</v>
      </c>
      <c r="BD46" s="17">
        <v>0.55900000000000005</v>
      </c>
      <c r="BE46" s="17">
        <v>0.29499999999999998</v>
      </c>
      <c r="BF46" s="17">
        <v>1.611</v>
      </c>
      <c r="BG46" s="17">
        <v>0.68100000000000005</v>
      </c>
      <c r="BH46" s="17">
        <v>6.4000000000000001E-2</v>
      </c>
      <c r="BI46" s="17">
        <v>0.44400000000000001</v>
      </c>
      <c r="BJ46" s="17">
        <v>5.7000000000000002E-2</v>
      </c>
      <c r="BK46" s="17">
        <v>0.53200000000000003</v>
      </c>
      <c r="BL46" s="17">
        <v>0.39100000000000001</v>
      </c>
      <c r="BM46" s="17">
        <v>0.54</v>
      </c>
      <c r="BN46" s="17">
        <v>0.59799999999999998</v>
      </c>
      <c r="BO46" s="17">
        <v>0.21199999999999999</v>
      </c>
      <c r="BP46" s="17">
        <v>0.52200000000000002</v>
      </c>
      <c r="BQ46" s="17">
        <v>0.66</v>
      </c>
      <c r="BR46" s="17">
        <v>5.7000000000000002E-2</v>
      </c>
      <c r="BS46" s="17">
        <v>0.41099999999999998</v>
      </c>
      <c r="BT46" s="17">
        <v>5.7000000000000002E-2</v>
      </c>
      <c r="BU46" s="17">
        <v>0.49399999999999999</v>
      </c>
      <c r="BV46" s="17">
        <v>0.312</v>
      </c>
      <c r="BW46" s="17">
        <v>1.3149999999999999</v>
      </c>
      <c r="BX46" s="17">
        <v>0.432</v>
      </c>
      <c r="BY46" s="17">
        <v>0.63300000000000001</v>
      </c>
      <c r="BZ46" s="17">
        <v>0.54600000000000004</v>
      </c>
      <c r="CA46" s="17">
        <v>0.82799999999999996</v>
      </c>
      <c r="CB46" s="17">
        <v>0.68300000000000005</v>
      </c>
      <c r="CC46" s="17">
        <v>0.26700000000000002</v>
      </c>
      <c r="CD46" s="17">
        <v>1.456</v>
      </c>
      <c r="CE46" s="17">
        <v>9.8000000000000004E-2</v>
      </c>
      <c r="CF46" s="17">
        <v>1.093</v>
      </c>
      <c r="CG46" s="17">
        <v>0.46899999999999997</v>
      </c>
      <c r="CH46" s="17">
        <v>0.33100000000000002</v>
      </c>
      <c r="CI46" s="17">
        <v>0.39200000000000002</v>
      </c>
      <c r="CJ46" s="17">
        <v>0.35699999999999998</v>
      </c>
      <c r="CK46" s="17">
        <v>2.2450000000000001</v>
      </c>
      <c r="CL46" s="17">
        <v>0.22700000000000001</v>
      </c>
      <c r="CM46" s="17">
        <v>0.155</v>
      </c>
      <c r="CN46" s="17">
        <v>0.60899999999999999</v>
      </c>
      <c r="CO46" s="17">
        <v>0.57199999999999995</v>
      </c>
      <c r="CP46" s="17">
        <v>0.66200000000000003</v>
      </c>
      <c r="CQ46" s="17">
        <v>0.41499999999999998</v>
      </c>
      <c r="CR46" s="17">
        <v>0.63100000000000001</v>
      </c>
      <c r="CS46" s="17">
        <v>0.251</v>
      </c>
      <c r="CT46" s="17">
        <v>0.20100000000000001</v>
      </c>
      <c r="CU46" s="17">
        <v>0.49399999999999999</v>
      </c>
      <c r="CV46" s="17">
        <v>0.41499999999999998</v>
      </c>
      <c r="CW46" s="17">
        <v>0.56399999999999995</v>
      </c>
      <c r="CX46" s="17">
        <v>0.30099999999999999</v>
      </c>
      <c r="CY46" s="17">
        <v>0.45400000000000001</v>
      </c>
      <c r="CZ46" s="17">
        <v>0.751</v>
      </c>
      <c r="DA46" s="17">
        <v>1.232</v>
      </c>
      <c r="DB46" s="17">
        <v>9.0999999999999998E-2</v>
      </c>
      <c r="DC46" s="17">
        <v>0.14099999999999999</v>
      </c>
      <c r="DD46" s="17">
        <v>0.61499999999999999</v>
      </c>
      <c r="DE46" s="17">
        <v>0.28000000000000003</v>
      </c>
      <c r="DF46" s="17">
        <v>1.4890000000000001</v>
      </c>
      <c r="DG46" s="17">
        <v>0.51</v>
      </c>
      <c r="DH46" s="17">
        <v>0.97</v>
      </c>
      <c r="DI46" s="17">
        <v>1.591</v>
      </c>
      <c r="DJ46" s="17">
        <v>0.39400000000000002</v>
      </c>
      <c r="DK46" s="17">
        <v>0.78400000000000003</v>
      </c>
      <c r="DL46" s="17">
        <v>0.13700000000000001</v>
      </c>
      <c r="DM46" s="17">
        <v>0.13400000000000001</v>
      </c>
      <c r="DN46" s="17">
        <v>9.7000000000000003E-2</v>
      </c>
      <c r="DO46" s="17">
        <v>0.61299999999999999</v>
      </c>
      <c r="DP46" s="17">
        <v>0.05</v>
      </c>
      <c r="DQ46" s="17">
        <v>0.46100000000000002</v>
      </c>
      <c r="DR46" s="17">
        <v>0.223</v>
      </c>
      <c r="DS46" s="17">
        <v>0.186</v>
      </c>
      <c r="DT46" s="17">
        <v>0.45600000000000002</v>
      </c>
      <c r="DU46" s="17">
        <v>0.58499999999999996</v>
      </c>
      <c r="DV46" s="17">
        <v>0.112</v>
      </c>
      <c r="DW46" s="17">
        <v>0.29399999999999998</v>
      </c>
      <c r="DX46" s="17">
        <v>4.1000000000000002E-2</v>
      </c>
      <c r="DY46" s="17">
        <v>0.125</v>
      </c>
      <c r="DZ46" s="17">
        <v>0.55800000000000005</v>
      </c>
      <c r="EA46" s="17">
        <v>8.5999999999999993E-2</v>
      </c>
      <c r="EB46" s="17">
        <v>0.16</v>
      </c>
      <c r="EC46" s="17">
        <v>0.57699999999999996</v>
      </c>
      <c r="ED46" s="17">
        <v>0.66100000000000003</v>
      </c>
      <c r="EE46" s="17">
        <v>0.36599999999999999</v>
      </c>
      <c r="EF46" s="17">
        <v>0.249</v>
      </c>
      <c r="EG46" s="17">
        <v>0.47499999999999998</v>
      </c>
      <c r="EH46" s="17">
        <v>0.83</v>
      </c>
      <c r="EI46" s="17">
        <v>0.21</v>
      </c>
      <c r="EJ46" s="17">
        <v>0.50900000000000001</v>
      </c>
      <c r="EK46" s="17">
        <v>0.53</v>
      </c>
      <c r="EL46" s="17">
        <v>0.49199999999999999</v>
      </c>
      <c r="EM46" s="17">
        <v>0.46899999999999997</v>
      </c>
      <c r="EN46" s="17">
        <v>1.9179999999999999</v>
      </c>
      <c r="EO46" s="17">
        <v>0.56799999999999995</v>
      </c>
      <c r="EP46" s="17">
        <v>0.05</v>
      </c>
      <c r="EQ46" s="17">
        <v>0.63700000000000001</v>
      </c>
      <c r="ER46" s="17">
        <v>9.8000000000000004E-2</v>
      </c>
      <c r="ES46" s="17">
        <v>0.12</v>
      </c>
      <c r="ET46" s="17">
        <v>0.42499999999999999</v>
      </c>
      <c r="EU46" s="17">
        <v>0.38500000000000001</v>
      </c>
      <c r="EV46" s="17">
        <v>0.40400000000000003</v>
      </c>
      <c r="EW46" s="17">
        <v>0.39100000000000001</v>
      </c>
      <c r="EX46" s="17">
        <v>0.73299999999999998</v>
      </c>
      <c r="EY46" s="17">
        <v>0.65100000000000002</v>
      </c>
      <c r="EZ46" s="17">
        <v>0.04</v>
      </c>
      <c r="FA46" s="17">
        <v>0.16800000000000001</v>
      </c>
      <c r="FB46" s="17">
        <v>1.758</v>
      </c>
      <c r="FC46" s="17">
        <v>0.39400000000000002</v>
      </c>
      <c r="FD46" s="17">
        <v>0.65300000000000002</v>
      </c>
      <c r="FE46" s="17">
        <v>5.6000000000000001E-2</v>
      </c>
      <c r="FF46" s="17">
        <v>0.35899999999999999</v>
      </c>
      <c r="FG46" s="17">
        <v>0.39200000000000002</v>
      </c>
      <c r="FH46" s="17">
        <v>0.39700000000000002</v>
      </c>
      <c r="FI46" s="17">
        <v>1.4279999999999999</v>
      </c>
      <c r="FJ46" s="17">
        <v>0.376</v>
      </c>
      <c r="FK46" s="17">
        <v>0.33800000000000002</v>
      </c>
      <c r="FL46" s="17">
        <v>0.95499999999999996</v>
      </c>
      <c r="FM46" s="17">
        <v>9.6000000000000002E-2</v>
      </c>
      <c r="FN46" s="17">
        <v>0.60299999999999998</v>
      </c>
      <c r="FO46" s="17">
        <v>0.252</v>
      </c>
      <c r="FP46" s="17">
        <v>0.61699999999999999</v>
      </c>
      <c r="FQ46" s="17">
        <v>0.14000000000000001</v>
      </c>
      <c r="FR46" s="17">
        <v>0.37</v>
      </c>
      <c r="FS46" s="17">
        <v>0.23599999999999999</v>
      </c>
      <c r="FT46" s="17">
        <v>0.56899999999999995</v>
      </c>
      <c r="FU46" s="17">
        <v>0.28100000000000003</v>
      </c>
      <c r="FV46" s="17">
        <v>0.63700000000000001</v>
      </c>
      <c r="FW46" s="17">
        <v>0.96199999999999997</v>
      </c>
      <c r="FX46" s="17">
        <v>0.57899999999999996</v>
      </c>
      <c r="FY46" s="17">
        <v>0.64100000000000001</v>
      </c>
      <c r="FZ46" s="17">
        <v>0.56100000000000005</v>
      </c>
      <c r="GA46" s="17">
        <v>0.629</v>
      </c>
      <c r="GB46" s="17">
        <v>0.97299999999999998</v>
      </c>
      <c r="GC46" s="17">
        <v>0.48799999999999999</v>
      </c>
      <c r="GD46" s="17">
        <v>0.90700000000000003</v>
      </c>
      <c r="GE46" s="17">
        <v>0.35899999999999999</v>
      </c>
      <c r="GF46" s="17">
        <v>1.306</v>
      </c>
      <c r="GG46" s="17">
        <v>0.14499999999999999</v>
      </c>
      <c r="GH46" s="17">
        <v>0.159</v>
      </c>
      <c r="GI46" s="17">
        <v>0.25</v>
      </c>
      <c r="GJ46" s="17">
        <v>0.60899999999999999</v>
      </c>
      <c r="GK46" s="17">
        <v>0.64200000000000002</v>
      </c>
      <c r="GL46" s="17">
        <v>0.51700000000000002</v>
      </c>
      <c r="GM46" s="17">
        <v>0.22</v>
      </c>
      <c r="GN46" s="17">
        <v>0.19900000000000001</v>
      </c>
      <c r="GO46" s="17">
        <v>0.61299999999999999</v>
      </c>
      <c r="GP46" s="17">
        <v>0.82899999999999996</v>
      </c>
      <c r="GQ46" s="17">
        <v>0.214</v>
      </c>
      <c r="GR46" s="17">
        <v>0.17599999999999999</v>
      </c>
      <c r="GS46" s="17">
        <v>1.7829999999999999</v>
      </c>
      <c r="GT46" s="17">
        <v>0.439</v>
      </c>
      <c r="GU46" s="17">
        <v>4.7E-2</v>
      </c>
      <c r="GV46" s="17">
        <v>0.309</v>
      </c>
      <c r="GW46" s="17">
        <v>1.41</v>
      </c>
      <c r="GX46" s="17">
        <v>0.39400000000000002</v>
      </c>
      <c r="GY46" s="17">
        <v>0.51</v>
      </c>
      <c r="GZ46" s="17">
        <v>0.47699999999999998</v>
      </c>
      <c r="HA46" s="17">
        <v>0.46800000000000003</v>
      </c>
      <c r="HB46" s="17">
        <v>0.67300000000000004</v>
      </c>
      <c r="HC46" s="17">
        <v>9.6000000000000002E-2</v>
      </c>
      <c r="HD46" s="17">
        <v>0.60399999999999998</v>
      </c>
      <c r="HE46" s="17">
        <v>0.79400000000000004</v>
      </c>
      <c r="HF46" s="17">
        <v>0.83099999999999996</v>
      </c>
      <c r="HG46" s="17">
        <v>0.17599999999999999</v>
      </c>
      <c r="HH46" s="17">
        <v>0.22800000000000001</v>
      </c>
    </row>
    <row r="47" spans="1:216" x14ac:dyDescent="0.25">
      <c r="A47" s="8">
        <v>43</v>
      </c>
      <c r="B47" s="8">
        <v>21</v>
      </c>
      <c r="C47" s="17">
        <v>0.152</v>
      </c>
      <c r="D47" s="17">
        <v>0.16800000000000001</v>
      </c>
      <c r="E47" s="17">
        <v>0.13400000000000001</v>
      </c>
      <c r="F47" s="17">
        <v>0.66400000000000003</v>
      </c>
      <c r="G47" s="17">
        <v>1.1419999999999999</v>
      </c>
      <c r="H47" s="17">
        <v>0.35</v>
      </c>
      <c r="I47" s="17">
        <v>0.88</v>
      </c>
      <c r="J47" s="17">
        <v>0.17699999999999999</v>
      </c>
      <c r="K47" s="17">
        <v>0.83799999999999997</v>
      </c>
      <c r="L47" s="17">
        <v>0.29599999999999999</v>
      </c>
      <c r="M47" s="17">
        <v>0.48099999999999998</v>
      </c>
      <c r="N47" s="17">
        <v>4.7E-2</v>
      </c>
      <c r="O47" s="17">
        <v>0.44800000000000001</v>
      </c>
      <c r="P47" s="17">
        <v>0.38400000000000001</v>
      </c>
      <c r="Q47" s="17">
        <v>0.188</v>
      </c>
      <c r="R47" s="17">
        <v>0.56000000000000005</v>
      </c>
      <c r="S47" s="17">
        <v>0.19600000000000001</v>
      </c>
      <c r="T47" s="17">
        <v>0.16400000000000001</v>
      </c>
      <c r="U47" s="17">
        <v>0.51900000000000002</v>
      </c>
      <c r="V47" s="17">
        <v>1.853</v>
      </c>
      <c r="W47" s="17">
        <v>0.32600000000000001</v>
      </c>
      <c r="X47" s="17">
        <v>0.67</v>
      </c>
      <c r="Y47" s="17">
        <v>5.0999999999999997E-2</v>
      </c>
      <c r="Z47" s="17">
        <v>2.3940000000000001</v>
      </c>
      <c r="AA47" s="17">
        <v>0.35699999999999998</v>
      </c>
      <c r="AB47" s="17">
        <v>0.28199999999999997</v>
      </c>
      <c r="AC47" s="17">
        <v>5.5E-2</v>
      </c>
      <c r="AD47" s="17">
        <v>0.48899999999999999</v>
      </c>
      <c r="AE47" s="17">
        <v>5.1999999999999998E-2</v>
      </c>
      <c r="AF47" s="17">
        <v>1.1479999999999999</v>
      </c>
      <c r="AG47" s="17">
        <v>0.182</v>
      </c>
      <c r="AH47" s="17">
        <v>0.499</v>
      </c>
      <c r="AI47" s="17">
        <v>0.254</v>
      </c>
      <c r="AJ47" s="17">
        <v>0.12</v>
      </c>
      <c r="AK47" s="17">
        <v>0.25700000000000001</v>
      </c>
      <c r="AL47" s="17">
        <v>0.375</v>
      </c>
      <c r="AM47" s="17">
        <v>0.41099999999999998</v>
      </c>
      <c r="AN47" s="17">
        <v>0.92200000000000004</v>
      </c>
      <c r="AO47" s="17">
        <v>0.30599999999999999</v>
      </c>
      <c r="AP47" s="17">
        <v>0.439</v>
      </c>
      <c r="AQ47" s="17">
        <v>0.55000000000000004</v>
      </c>
      <c r="AR47" s="17">
        <v>7.8E-2</v>
      </c>
      <c r="AS47" s="17">
        <v>0.58099999999999996</v>
      </c>
      <c r="AT47" s="17">
        <v>0.23300000000000001</v>
      </c>
      <c r="AU47" s="17">
        <v>0.67600000000000005</v>
      </c>
      <c r="AV47" s="17">
        <v>0.502</v>
      </c>
      <c r="AW47" s="17">
        <v>0.71399999999999997</v>
      </c>
      <c r="AX47" s="17">
        <v>0.44700000000000001</v>
      </c>
      <c r="AY47" s="17">
        <v>0.442</v>
      </c>
      <c r="AZ47" s="17">
        <v>0.59099999999999997</v>
      </c>
      <c r="BA47" s="17">
        <v>0.63100000000000001</v>
      </c>
      <c r="BB47" s="17">
        <v>0.13100000000000001</v>
      </c>
      <c r="BC47" s="17">
        <v>0.55600000000000005</v>
      </c>
      <c r="BD47" s="17">
        <v>0.77700000000000002</v>
      </c>
      <c r="BE47" s="17">
        <v>0.42599999999999999</v>
      </c>
      <c r="BF47" s="17">
        <v>0.40100000000000002</v>
      </c>
      <c r="BG47" s="17">
        <v>0.69399999999999995</v>
      </c>
      <c r="BH47" s="17">
        <v>0.249</v>
      </c>
      <c r="BI47" s="17">
        <v>0.47</v>
      </c>
      <c r="BJ47" s="17">
        <v>5.7000000000000002E-2</v>
      </c>
      <c r="BK47" s="17">
        <v>0.72099999999999997</v>
      </c>
      <c r="BL47" s="17">
        <v>0.57199999999999995</v>
      </c>
      <c r="BM47" s="17">
        <v>1.1279999999999999</v>
      </c>
      <c r="BN47" s="17">
        <v>0.57399999999999995</v>
      </c>
      <c r="BO47" s="17">
        <v>0.108</v>
      </c>
      <c r="BP47" s="17">
        <v>0.44600000000000001</v>
      </c>
      <c r="BQ47" s="17">
        <v>0.439</v>
      </c>
      <c r="BR47" s="17">
        <v>5.7000000000000002E-2</v>
      </c>
      <c r="BS47" s="17">
        <v>0.06</v>
      </c>
      <c r="BT47" s="17">
        <v>5.7000000000000002E-2</v>
      </c>
      <c r="BU47" s="17">
        <v>0.57299999999999995</v>
      </c>
      <c r="BV47" s="17">
        <v>0.39900000000000002</v>
      </c>
      <c r="BW47" s="17">
        <v>0.49299999999999999</v>
      </c>
      <c r="BX47" s="17">
        <v>0.54300000000000004</v>
      </c>
      <c r="BY47" s="17">
        <v>0.57799999999999996</v>
      </c>
      <c r="BZ47" s="17">
        <v>0.48799999999999999</v>
      </c>
      <c r="CA47" s="17">
        <v>2.5369999999999999</v>
      </c>
      <c r="CB47" s="17">
        <v>0.79500000000000004</v>
      </c>
      <c r="CC47" s="17">
        <v>0.36099999999999999</v>
      </c>
      <c r="CD47" s="17">
        <v>0.377</v>
      </c>
      <c r="CE47" s="17">
        <v>6.6000000000000003E-2</v>
      </c>
      <c r="CF47" s="17">
        <v>0.20300000000000001</v>
      </c>
      <c r="CG47" s="17">
        <v>0.50800000000000001</v>
      </c>
      <c r="CH47" s="17">
        <v>0.68100000000000005</v>
      </c>
      <c r="CI47" s="17">
        <v>0.66300000000000003</v>
      </c>
      <c r="CJ47" s="17">
        <v>0.39400000000000002</v>
      </c>
      <c r="CK47" s="17">
        <v>0.754</v>
      </c>
      <c r="CL47" s="17">
        <v>0.32</v>
      </c>
      <c r="CM47" s="17">
        <v>0.13</v>
      </c>
      <c r="CN47" s="17">
        <v>0.73</v>
      </c>
      <c r="CO47" s="17">
        <v>0.51300000000000001</v>
      </c>
      <c r="CP47" s="17">
        <v>0.59799999999999998</v>
      </c>
      <c r="CQ47" s="17">
        <v>0.61399999999999999</v>
      </c>
      <c r="CR47" s="17">
        <v>0.317</v>
      </c>
      <c r="CS47" s="17">
        <v>0.218</v>
      </c>
      <c r="CT47" s="17">
        <v>5.1999999999999998E-2</v>
      </c>
      <c r="CU47" s="17">
        <v>0.55400000000000005</v>
      </c>
      <c r="CV47" s="17">
        <v>0.65400000000000003</v>
      </c>
      <c r="CW47" s="17">
        <v>0.78800000000000003</v>
      </c>
      <c r="CX47" s="17">
        <v>5.6000000000000001E-2</v>
      </c>
      <c r="CY47" s="17">
        <v>0.52200000000000002</v>
      </c>
      <c r="CZ47" s="17">
        <v>0.625</v>
      </c>
      <c r="DA47" s="17">
        <v>1.677</v>
      </c>
      <c r="DB47" s="17">
        <v>6.6000000000000003E-2</v>
      </c>
      <c r="DC47" s="17">
        <v>7.0999999999999994E-2</v>
      </c>
      <c r="DD47" s="17">
        <v>0.54400000000000004</v>
      </c>
      <c r="DE47" s="17">
        <v>0.105</v>
      </c>
      <c r="DF47" s="17">
        <v>0</v>
      </c>
      <c r="DG47" s="17">
        <v>0.56299999999999994</v>
      </c>
      <c r="DH47" s="17">
        <v>0.65400000000000003</v>
      </c>
      <c r="DI47" s="17">
        <v>0.61399999999999999</v>
      </c>
      <c r="DJ47" s="17">
        <v>0.63100000000000001</v>
      </c>
      <c r="DK47" s="17">
        <v>0.7</v>
      </c>
      <c r="DL47" s="17">
        <v>0.245</v>
      </c>
      <c r="DM47" s="17">
        <v>0.252</v>
      </c>
      <c r="DN47" s="17">
        <v>0.28799999999999998</v>
      </c>
      <c r="DO47" s="17">
        <v>0.60099999999999998</v>
      </c>
      <c r="DP47" s="17">
        <v>0.11</v>
      </c>
      <c r="DQ47" s="17">
        <v>0.54100000000000004</v>
      </c>
      <c r="DR47" s="17">
        <v>9.8000000000000004E-2</v>
      </c>
      <c r="DS47" s="17">
        <v>5.6000000000000001E-2</v>
      </c>
      <c r="DT47" s="17">
        <v>0.35</v>
      </c>
      <c r="DU47" s="17">
        <v>0.71299999999999997</v>
      </c>
      <c r="DV47" s="17">
        <v>0.13900000000000001</v>
      </c>
      <c r="DW47" s="17">
        <v>0.68700000000000006</v>
      </c>
      <c r="DX47" s="17">
        <v>0.192</v>
      </c>
      <c r="DY47" s="17">
        <v>0.14000000000000001</v>
      </c>
      <c r="DZ47" s="17">
        <v>0</v>
      </c>
      <c r="EA47" s="17">
        <v>0.17199999999999999</v>
      </c>
      <c r="EB47" s="17">
        <v>0.57299999999999995</v>
      </c>
      <c r="EC47" s="17">
        <v>0.99199999999999999</v>
      </c>
      <c r="ED47" s="17">
        <v>0.46600000000000003</v>
      </c>
      <c r="EE47" s="17">
        <v>0.749</v>
      </c>
      <c r="EF47" s="17">
        <v>0.22900000000000001</v>
      </c>
      <c r="EG47" s="17">
        <v>0.73599999999999999</v>
      </c>
      <c r="EH47" s="17">
        <v>0.86</v>
      </c>
      <c r="EI47" s="17">
        <v>0.53400000000000003</v>
      </c>
      <c r="EJ47" s="17">
        <v>0.57699999999999996</v>
      </c>
      <c r="EK47" s="17">
        <v>0.372</v>
      </c>
      <c r="EL47" s="17">
        <v>0.52</v>
      </c>
      <c r="EM47" s="17">
        <v>0.65400000000000003</v>
      </c>
      <c r="EN47" s="17">
        <v>0.54900000000000004</v>
      </c>
      <c r="EO47" s="17">
        <v>0.51</v>
      </c>
      <c r="EP47" s="17">
        <v>0.05</v>
      </c>
      <c r="EQ47" s="17">
        <v>0.52</v>
      </c>
      <c r="ER47" s="17">
        <v>4.1000000000000002E-2</v>
      </c>
      <c r="ES47" s="17">
        <v>0.23799999999999999</v>
      </c>
      <c r="ET47" s="17">
        <v>0.50800000000000001</v>
      </c>
      <c r="EU47" s="17">
        <v>0.61099999999999999</v>
      </c>
      <c r="EV47" s="17">
        <v>0.28299999999999997</v>
      </c>
      <c r="EW47" s="17">
        <v>0.60799999999999998</v>
      </c>
      <c r="EX47" s="17">
        <v>0.97299999999999998</v>
      </c>
      <c r="EY47" s="17">
        <v>0.97299999999999998</v>
      </c>
      <c r="EZ47" s="17">
        <v>0.04</v>
      </c>
      <c r="FA47" s="17">
        <v>0.17899999999999999</v>
      </c>
      <c r="FB47" s="17">
        <v>0.36299999999999999</v>
      </c>
      <c r="FC47" s="17">
        <v>0.497</v>
      </c>
      <c r="FD47" s="17">
        <v>0.59699999999999998</v>
      </c>
      <c r="FE47" s="17">
        <v>5.6000000000000001E-2</v>
      </c>
      <c r="FF47" s="17">
        <v>0.39400000000000002</v>
      </c>
      <c r="FG47" s="17">
        <v>0.47199999999999998</v>
      </c>
      <c r="FH47" s="17">
        <v>0.40200000000000002</v>
      </c>
      <c r="FI47" s="17">
        <v>0.68</v>
      </c>
      <c r="FJ47" s="17">
        <v>0.46400000000000002</v>
      </c>
      <c r="FK47" s="17">
        <v>0.41699999999999998</v>
      </c>
      <c r="FL47" s="17">
        <v>1.1319999999999999</v>
      </c>
      <c r="FM47" s="17">
        <v>0.16900000000000001</v>
      </c>
      <c r="FN47" s="17">
        <v>0.19</v>
      </c>
      <c r="FO47" s="17">
        <v>0.39400000000000002</v>
      </c>
      <c r="FP47" s="17">
        <v>0.26600000000000001</v>
      </c>
      <c r="FQ47" s="17">
        <v>8.1000000000000003E-2</v>
      </c>
      <c r="FR47" s="17">
        <v>0.42199999999999999</v>
      </c>
      <c r="FS47" s="17">
        <v>0.113</v>
      </c>
      <c r="FT47" s="17">
        <v>0.88</v>
      </c>
      <c r="FU47" s="17">
        <v>0.161</v>
      </c>
      <c r="FV47" s="17">
        <v>0.28499999999999998</v>
      </c>
      <c r="FW47" s="17">
        <v>0.96699999999999997</v>
      </c>
      <c r="FX47" s="17">
        <v>0.371</v>
      </c>
      <c r="FY47" s="17">
        <v>0.48699999999999999</v>
      </c>
      <c r="FZ47" s="17">
        <v>1.0509999999999999</v>
      </c>
      <c r="GA47" s="17">
        <v>0.10199999999999999</v>
      </c>
      <c r="GB47" s="17">
        <v>1.1000000000000001</v>
      </c>
      <c r="GC47" s="17">
        <v>0.46800000000000003</v>
      </c>
      <c r="GD47" s="17">
        <v>0.61299999999999999</v>
      </c>
      <c r="GE47" s="17">
        <v>0.316</v>
      </c>
      <c r="GF47" s="17">
        <v>1.3149999999999999</v>
      </c>
      <c r="GG47" s="17">
        <v>0.05</v>
      </c>
      <c r="GH47" s="17">
        <v>0.10199999999999999</v>
      </c>
      <c r="GI47" s="17">
        <v>0.43</v>
      </c>
      <c r="GJ47" s="17">
        <v>0.54900000000000004</v>
      </c>
      <c r="GK47" s="17">
        <v>0.58399999999999996</v>
      </c>
      <c r="GL47" s="17">
        <v>0.54600000000000004</v>
      </c>
      <c r="GM47" s="17">
        <v>0.13400000000000001</v>
      </c>
      <c r="GN47" s="17">
        <v>0.11700000000000001</v>
      </c>
      <c r="GO47" s="17">
        <v>0.71099999999999997</v>
      </c>
      <c r="GP47" s="17">
        <v>0.96099999999999997</v>
      </c>
      <c r="GQ47" s="17">
        <v>3.5999999999999997E-2</v>
      </c>
      <c r="GR47" s="17">
        <v>5.2999999999999999E-2</v>
      </c>
      <c r="GS47" s="17">
        <v>0.90300000000000002</v>
      </c>
      <c r="GT47" s="17">
        <v>0.47299999999999998</v>
      </c>
      <c r="GU47" s="17">
        <v>0.122</v>
      </c>
      <c r="GV47" s="17">
        <v>0.34200000000000003</v>
      </c>
      <c r="GW47" s="17">
        <v>0.59899999999999998</v>
      </c>
      <c r="GX47" s="17">
        <v>0.49399999999999999</v>
      </c>
      <c r="GY47" s="17">
        <v>0.67400000000000004</v>
      </c>
      <c r="GZ47" s="17">
        <v>0.45800000000000002</v>
      </c>
      <c r="HA47" s="17">
        <v>0.35199999999999998</v>
      </c>
      <c r="HB47" s="17">
        <v>0.65600000000000003</v>
      </c>
      <c r="HC47" s="17">
        <v>0.16200000000000001</v>
      </c>
      <c r="HD47" s="17">
        <v>0.496</v>
      </c>
      <c r="HE47" s="17">
        <v>0.90500000000000003</v>
      </c>
      <c r="HF47" s="17">
        <v>1.341</v>
      </c>
      <c r="HG47" s="17">
        <v>4.9000000000000002E-2</v>
      </c>
      <c r="HH47" s="17">
        <v>0.314</v>
      </c>
    </row>
    <row r="48" spans="1:216" x14ac:dyDescent="0.25">
      <c r="A48" s="8">
        <v>44</v>
      </c>
      <c r="B48" s="8">
        <v>21.5</v>
      </c>
      <c r="C48" s="17">
        <v>5.1999999999999998E-2</v>
      </c>
      <c r="D48" s="17">
        <v>5.1999999999999998E-2</v>
      </c>
      <c r="E48" s="17">
        <v>0.22500000000000001</v>
      </c>
      <c r="F48" s="17">
        <v>0.44500000000000001</v>
      </c>
      <c r="G48" s="17">
        <v>0.70199999999999996</v>
      </c>
      <c r="H48" s="17">
        <v>0.45200000000000001</v>
      </c>
      <c r="I48" s="17">
        <v>0.71199999999999997</v>
      </c>
      <c r="J48" s="17">
        <v>0.17899999999999999</v>
      </c>
      <c r="K48" s="17">
        <v>0.76200000000000001</v>
      </c>
      <c r="L48" s="17">
        <v>0.28599999999999998</v>
      </c>
      <c r="M48" s="17">
        <v>0.66900000000000004</v>
      </c>
      <c r="N48" s="17">
        <v>0.108</v>
      </c>
      <c r="O48" s="17">
        <v>0.32900000000000001</v>
      </c>
      <c r="P48" s="17">
        <v>0.30299999999999999</v>
      </c>
      <c r="Q48" s="17">
        <v>0.15</v>
      </c>
      <c r="R48" s="17">
        <v>0.499</v>
      </c>
      <c r="S48" s="17">
        <v>0.13800000000000001</v>
      </c>
      <c r="T48" s="17">
        <v>0.39300000000000002</v>
      </c>
      <c r="U48" s="17">
        <v>0.54900000000000004</v>
      </c>
      <c r="V48" s="17">
        <v>0</v>
      </c>
      <c r="W48" s="17">
        <v>0.34699999999999998</v>
      </c>
      <c r="X48" s="17">
        <v>0.48</v>
      </c>
      <c r="Y48" s="17">
        <v>0.18</v>
      </c>
      <c r="Z48" s="17">
        <v>1.121</v>
      </c>
      <c r="AA48" s="17">
        <v>0.27300000000000002</v>
      </c>
      <c r="AB48" s="17">
        <v>0.22900000000000001</v>
      </c>
      <c r="AC48" s="17">
        <v>0.13200000000000001</v>
      </c>
      <c r="AD48" s="17">
        <v>0.54100000000000004</v>
      </c>
      <c r="AE48" s="17">
        <v>0.35399999999999998</v>
      </c>
      <c r="AF48" s="17">
        <v>0.57299999999999995</v>
      </c>
      <c r="AG48" s="17">
        <v>0.46700000000000003</v>
      </c>
      <c r="AH48" s="17">
        <v>2.2349999999999999</v>
      </c>
      <c r="AI48" s="17">
        <v>0.23200000000000001</v>
      </c>
      <c r="AJ48" s="17">
        <v>0.307</v>
      </c>
      <c r="AK48" s="17">
        <v>0.22700000000000001</v>
      </c>
      <c r="AL48" s="17">
        <v>0.42299999999999999</v>
      </c>
      <c r="AM48" s="17">
        <v>0.53100000000000003</v>
      </c>
      <c r="AN48" s="17">
        <v>0.86</v>
      </c>
      <c r="AO48" s="17">
        <v>0.48199999999999998</v>
      </c>
      <c r="AP48" s="17">
        <v>0.28699999999999998</v>
      </c>
      <c r="AQ48" s="17">
        <v>0.61</v>
      </c>
      <c r="AR48" s="17">
        <v>0.20799999999999999</v>
      </c>
      <c r="AS48" s="17">
        <v>0.83899999999999997</v>
      </c>
      <c r="AT48" s="17">
        <v>0.18099999999999999</v>
      </c>
      <c r="AU48" s="17">
        <v>0.88800000000000001</v>
      </c>
      <c r="AV48" s="17">
        <v>0.373</v>
      </c>
      <c r="AW48" s="17">
        <v>0.48299999999999998</v>
      </c>
      <c r="AX48" s="17">
        <v>0.84399999999999997</v>
      </c>
      <c r="AY48" s="17">
        <v>0.44800000000000001</v>
      </c>
      <c r="AZ48" s="17">
        <v>0.13300000000000001</v>
      </c>
      <c r="BA48" s="17">
        <v>0.376</v>
      </c>
      <c r="BB48" s="17">
        <v>4.3999999999999997E-2</v>
      </c>
      <c r="BC48" s="17">
        <v>0.11600000000000001</v>
      </c>
      <c r="BD48" s="17">
        <v>0.51400000000000001</v>
      </c>
      <c r="BE48" s="17">
        <v>0.625</v>
      </c>
      <c r="BF48" s="17">
        <v>0.57999999999999996</v>
      </c>
      <c r="BG48" s="17">
        <v>0.63300000000000001</v>
      </c>
      <c r="BH48" s="17">
        <v>0.312</v>
      </c>
      <c r="BI48" s="17">
        <v>0.61899999999999999</v>
      </c>
      <c r="BJ48" s="17">
        <v>5.7000000000000002E-2</v>
      </c>
      <c r="BK48" s="17">
        <v>0.51800000000000002</v>
      </c>
      <c r="BL48" s="17">
        <v>0.70099999999999996</v>
      </c>
      <c r="BM48" s="17">
        <v>0.64</v>
      </c>
      <c r="BN48" s="17">
        <v>0.51</v>
      </c>
      <c r="BO48" s="17">
        <v>0.14699999999999999</v>
      </c>
      <c r="BP48" s="17">
        <v>2.0179999999999998</v>
      </c>
      <c r="BQ48" s="17">
        <v>0.89800000000000002</v>
      </c>
      <c r="BR48" s="17">
        <v>5.7000000000000002E-2</v>
      </c>
      <c r="BS48" s="17">
        <v>0.23699999999999999</v>
      </c>
      <c r="BT48" s="17">
        <v>5.7000000000000002E-2</v>
      </c>
      <c r="BU48" s="17">
        <v>2.8639999999999999</v>
      </c>
      <c r="BV48" s="17">
        <v>0.52300000000000002</v>
      </c>
      <c r="BW48" s="17">
        <v>0.443</v>
      </c>
      <c r="BX48" s="17">
        <v>0.38100000000000001</v>
      </c>
      <c r="BY48" s="17">
        <v>0.71</v>
      </c>
      <c r="BZ48" s="17">
        <v>0.372</v>
      </c>
      <c r="CA48" s="17">
        <v>0.72299999999999998</v>
      </c>
      <c r="CB48" s="17">
        <v>0.56200000000000006</v>
      </c>
      <c r="CC48" s="17">
        <v>0.39</v>
      </c>
      <c r="CD48" s="17">
        <v>0.52900000000000003</v>
      </c>
      <c r="CE48" s="17">
        <v>4.5999999999999999E-2</v>
      </c>
      <c r="CF48" s="17">
        <v>0.20200000000000001</v>
      </c>
      <c r="CG48" s="17">
        <v>0.35599999999999998</v>
      </c>
      <c r="CH48" s="17">
        <v>0.248</v>
      </c>
      <c r="CI48" s="17">
        <v>1.61</v>
      </c>
      <c r="CJ48" s="17">
        <v>0.65300000000000002</v>
      </c>
      <c r="CK48" s="17">
        <v>0.65100000000000002</v>
      </c>
      <c r="CL48" s="17">
        <v>0.877</v>
      </c>
      <c r="CM48" s="17">
        <v>0.16600000000000001</v>
      </c>
      <c r="CN48" s="17">
        <v>0.60599999999999998</v>
      </c>
      <c r="CO48" s="17">
        <v>0.63</v>
      </c>
      <c r="CP48" s="17">
        <v>0.66500000000000004</v>
      </c>
      <c r="CQ48" s="17">
        <v>0.438</v>
      </c>
      <c r="CR48" s="17">
        <v>0.44500000000000001</v>
      </c>
      <c r="CS48" s="17">
        <v>0.23899999999999999</v>
      </c>
      <c r="CT48" s="17">
        <v>0.126</v>
      </c>
      <c r="CU48" s="17">
        <v>0.80900000000000005</v>
      </c>
      <c r="CV48" s="17">
        <v>0.74399999999999999</v>
      </c>
      <c r="CW48" s="17">
        <v>0.81799999999999995</v>
      </c>
      <c r="CX48" s="17">
        <v>5.6000000000000001E-2</v>
      </c>
      <c r="CY48" s="17">
        <v>0.64500000000000002</v>
      </c>
      <c r="CZ48" s="17">
        <v>0.53100000000000003</v>
      </c>
      <c r="DA48" s="17">
        <v>0.45300000000000001</v>
      </c>
      <c r="DB48" s="17">
        <v>0.108</v>
      </c>
      <c r="DC48" s="17">
        <v>0.25700000000000001</v>
      </c>
      <c r="DD48" s="17">
        <v>1.7509999999999999</v>
      </c>
      <c r="DE48" s="17">
        <v>0.14699999999999999</v>
      </c>
      <c r="DF48" s="17">
        <v>0</v>
      </c>
      <c r="DG48" s="17">
        <v>0.36</v>
      </c>
      <c r="DH48" s="17">
        <v>0.78500000000000003</v>
      </c>
      <c r="DI48" s="17">
        <v>0.47899999999999998</v>
      </c>
      <c r="DJ48" s="17">
        <v>0.44600000000000001</v>
      </c>
      <c r="DK48" s="17">
        <v>0.94499999999999995</v>
      </c>
      <c r="DL48" s="17">
        <v>0.57399999999999995</v>
      </c>
      <c r="DM48" s="17">
        <v>7.5999999999999998E-2</v>
      </c>
      <c r="DN48" s="17">
        <v>0.23200000000000001</v>
      </c>
      <c r="DO48" s="17">
        <v>0.54100000000000004</v>
      </c>
      <c r="DP48" s="17">
        <v>7.2999999999999995E-2</v>
      </c>
      <c r="DQ48" s="17">
        <v>0.78100000000000003</v>
      </c>
      <c r="DR48" s="17">
        <v>0.16400000000000001</v>
      </c>
      <c r="DS48" s="17">
        <v>0.05</v>
      </c>
      <c r="DT48" s="17">
        <v>0.34100000000000003</v>
      </c>
      <c r="DU48" s="17">
        <v>0.503</v>
      </c>
      <c r="DV48" s="17">
        <v>5.0999999999999997E-2</v>
      </c>
      <c r="DW48" s="17">
        <v>0.58399999999999996</v>
      </c>
      <c r="DX48" s="17">
        <v>4.1000000000000002E-2</v>
      </c>
      <c r="DY48" s="17">
        <v>5.1999999999999998E-2</v>
      </c>
      <c r="DZ48" s="17">
        <v>0</v>
      </c>
      <c r="EA48" s="17">
        <v>9.8000000000000004E-2</v>
      </c>
      <c r="EB48" s="17">
        <v>0.187</v>
      </c>
      <c r="EC48" s="17">
        <v>0.57499999999999996</v>
      </c>
      <c r="ED48" s="17">
        <v>0.54800000000000004</v>
      </c>
      <c r="EE48" s="17">
        <v>0.317</v>
      </c>
      <c r="EF48" s="17">
        <v>5.6000000000000001E-2</v>
      </c>
      <c r="EG48" s="17">
        <v>0.628</v>
      </c>
      <c r="EH48" s="17">
        <v>0.61199999999999999</v>
      </c>
      <c r="EI48" s="17">
        <v>0.45600000000000002</v>
      </c>
      <c r="EJ48" s="17">
        <v>0.72199999999999998</v>
      </c>
      <c r="EK48" s="17">
        <v>0.34799999999999998</v>
      </c>
      <c r="EL48" s="17">
        <v>0.44900000000000001</v>
      </c>
      <c r="EM48" s="17">
        <v>0.59699999999999998</v>
      </c>
      <c r="EN48" s="17">
        <v>0.753</v>
      </c>
      <c r="EO48" s="17">
        <v>0.23200000000000001</v>
      </c>
      <c r="EP48" s="17">
        <v>9.9000000000000005E-2</v>
      </c>
      <c r="EQ48" s="17">
        <v>1.4390000000000001</v>
      </c>
      <c r="ER48" s="17">
        <v>4.1000000000000002E-2</v>
      </c>
      <c r="ES48" s="17">
        <v>5.5E-2</v>
      </c>
      <c r="ET48" s="17">
        <v>0.62</v>
      </c>
      <c r="EU48" s="17">
        <v>0.40400000000000003</v>
      </c>
      <c r="EV48" s="17">
        <v>0.48599999999999999</v>
      </c>
      <c r="EW48" s="17">
        <v>0.51200000000000001</v>
      </c>
      <c r="EX48" s="17">
        <v>0.499</v>
      </c>
      <c r="EY48" s="17">
        <v>1.056</v>
      </c>
      <c r="EZ48" s="17">
        <v>0.20100000000000001</v>
      </c>
      <c r="FA48" s="17">
        <v>0.247</v>
      </c>
      <c r="FB48" s="17">
        <v>0</v>
      </c>
      <c r="FC48" s="17">
        <v>0.29299999999999998</v>
      </c>
      <c r="FD48" s="17">
        <v>0.29199999999999998</v>
      </c>
      <c r="FE48" s="17">
        <v>5.6000000000000001E-2</v>
      </c>
      <c r="FF48" s="17">
        <v>0.436</v>
      </c>
      <c r="FG48" s="17">
        <v>2.0539999999999998</v>
      </c>
      <c r="FH48" s="17">
        <v>0.65700000000000003</v>
      </c>
      <c r="FI48" s="17">
        <v>0.54500000000000004</v>
      </c>
      <c r="FJ48" s="17">
        <v>0.71499999999999997</v>
      </c>
      <c r="FK48" s="17">
        <v>0.54300000000000004</v>
      </c>
      <c r="FL48" s="17">
        <v>0.85499999999999998</v>
      </c>
      <c r="FM48" s="17">
        <v>5.2999999999999999E-2</v>
      </c>
      <c r="FN48" s="17">
        <v>9.1999999999999998E-2</v>
      </c>
      <c r="FO48" s="17">
        <v>0.55900000000000005</v>
      </c>
      <c r="FP48" s="17">
        <v>0.32600000000000001</v>
      </c>
      <c r="FQ48" s="17">
        <v>0.26</v>
      </c>
      <c r="FR48" s="17">
        <v>0.60199999999999998</v>
      </c>
      <c r="FS48" s="17">
        <v>0.186</v>
      </c>
      <c r="FT48" s="17">
        <v>1.052</v>
      </c>
      <c r="FU48" s="17">
        <v>1.08</v>
      </c>
      <c r="FV48" s="17">
        <v>0.106</v>
      </c>
      <c r="FW48" s="17">
        <v>0.92800000000000005</v>
      </c>
      <c r="FX48" s="17">
        <v>0.33500000000000002</v>
      </c>
      <c r="FY48" s="17">
        <v>0.53700000000000003</v>
      </c>
      <c r="FZ48" s="17">
        <v>0.70899999999999996</v>
      </c>
      <c r="GA48" s="17">
        <v>9.2999999999999999E-2</v>
      </c>
      <c r="GB48" s="17">
        <v>0.621</v>
      </c>
      <c r="GC48" s="17">
        <v>0.72799999999999998</v>
      </c>
      <c r="GD48" s="17">
        <v>0.70499999999999996</v>
      </c>
      <c r="GE48" s="17">
        <v>0.71099999999999997</v>
      </c>
      <c r="GF48" s="17">
        <v>0.48799999999999999</v>
      </c>
      <c r="GG48" s="17">
        <v>0.05</v>
      </c>
      <c r="GH48" s="17">
        <v>5.0999999999999997E-2</v>
      </c>
      <c r="GI48" s="17">
        <v>0.41399999999999998</v>
      </c>
      <c r="GJ48" s="17">
        <v>0.503</v>
      </c>
      <c r="GK48" s="17">
        <v>0.68799999999999994</v>
      </c>
      <c r="GL48" s="17">
        <v>0.9</v>
      </c>
      <c r="GM48" s="17">
        <v>0.46700000000000003</v>
      </c>
      <c r="GN48" s="17">
        <v>0.14799999999999999</v>
      </c>
      <c r="GO48" s="17">
        <v>1.31</v>
      </c>
      <c r="GP48" s="17">
        <v>0.80600000000000005</v>
      </c>
      <c r="GQ48" s="17">
        <v>0.125</v>
      </c>
      <c r="GR48" s="17">
        <v>0.14899999999999999</v>
      </c>
      <c r="GS48" s="17">
        <v>0.95299999999999996</v>
      </c>
      <c r="GT48" s="17">
        <v>0.58899999999999997</v>
      </c>
      <c r="GU48" s="17">
        <v>0.13900000000000001</v>
      </c>
      <c r="GV48" s="17">
        <v>0.379</v>
      </c>
      <c r="GW48" s="17">
        <v>0.54200000000000004</v>
      </c>
      <c r="GX48" s="17">
        <v>0.46400000000000002</v>
      </c>
      <c r="GY48" s="17">
        <v>0.32100000000000001</v>
      </c>
      <c r="GZ48" s="17">
        <v>0.59399999999999997</v>
      </c>
      <c r="HA48" s="17">
        <v>0.42699999999999999</v>
      </c>
      <c r="HB48" s="17">
        <v>0.54800000000000004</v>
      </c>
      <c r="HC48" s="17">
        <v>0.13500000000000001</v>
      </c>
      <c r="HD48" s="17">
        <v>0.441</v>
      </c>
      <c r="HE48" s="17">
        <v>0.93700000000000006</v>
      </c>
      <c r="HF48" s="17">
        <v>1.427</v>
      </c>
      <c r="HG48" s="17">
        <v>0.19800000000000001</v>
      </c>
      <c r="HH48" s="17">
        <v>1.2370000000000001</v>
      </c>
    </row>
    <row r="49" spans="1:216" x14ac:dyDescent="0.25">
      <c r="A49" s="8">
        <v>45</v>
      </c>
      <c r="B49" s="8">
        <v>22</v>
      </c>
      <c r="C49" s="17">
        <v>0.36099999999999999</v>
      </c>
      <c r="D49" s="17">
        <v>0.61399999999999999</v>
      </c>
      <c r="E49" s="17">
        <v>4.8000000000000001E-2</v>
      </c>
      <c r="F49" s="17">
        <v>0.36</v>
      </c>
      <c r="G49" s="17">
        <v>0.157</v>
      </c>
      <c r="H49" s="17">
        <v>0.52</v>
      </c>
      <c r="I49" s="17">
        <v>0.99299999999999999</v>
      </c>
      <c r="J49" s="17">
        <v>7.9000000000000001E-2</v>
      </c>
      <c r="K49" s="17">
        <v>6.8000000000000005E-2</v>
      </c>
      <c r="L49" s="17">
        <v>8.5000000000000006E-2</v>
      </c>
      <c r="M49" s="17">
        <v>0.35</v>
      </c>
      <c r="N49" s="17">
        <v>0.122</v>
      </c>
      <c r="O49" s="17">
        <v>0.31</v>
      </c>
      <c r="P49" s="17">
        <v>0.26200000000000001</v>
      </c>
      <c r="Q49" s="17">
        <v>4.4999999999999998E-2</v>
      </c>
      <c r="R49" s="17">
        <v>1.6539999999999999</v>
      </c>
      <c r="S49" s="17">
        <v>0.25700000000000001</v>
      </c>
      <c r="T49" s="17">
        <v>0.48299999999999998</v>
      </c>
      <c r="U49" s="17">
        <v>0.58599999999999997</v>
      </c>
      <c r="V49" s="17">
        <v>0</v>
      </c>
      <c r="W49" s="17">
        <v>0.33500000000000002</v>
      </c>
      <c r="X49" s="17">
        <v>0.8</v>
      </c>
      <c r="Y49" s="17">
        <v>0.08</v>
      </c>
      <c r="Z49" s="17">
        <v>0.70899999999999996</v>
      </c>
      <c r="AA49" s="17">
        <v>0.30599999999999999</v>
      </c>
      <c r="AB49" s="17">
        <v>4.9000000000000002E-2</v>
      </c>
      <c r="AC49" s="17">
        <v>0.39600000000000002</v>
      </c>
      <c r="AD49" s="17">
        <v>0.35099999999999998</v>
      </c>
      <c r="AE49" s="17">
        <v>1.0549999999999999</v>
      </c>
      <c r="AF49" s="17">
        <v>0.183</v>
      </c>
      <c r="AG49" s="17">
        <v>0.36</v>
      </c>
      <c r="AH49" s="17">
        <v>0.52200000000000002</v>
      </c>
      <c r="AI49" s="17">
        <v>0.14199999999999999</v>
      </c>
      <c r="AJ49" s="17">
        <v>0.82</v>
      </c>
      <c r="AK49" s="17">
        <v>0.20899999999999999</v>
      </c>
      <c r="AL49" s="17">
        <v>0.20799999999999999</v>
      </c>
      <c r="AM49" s="17">
        <v>0.40400000000000003</v>
      </c>
      <c r="AN49" s="17">
        <v>0.52600000000000002</v>
      </c>
      <c r="AO49" s="17">
        <v>5.5E-2</v>
      </c>
      <c r="AP49" s="17">
        <v>4.9000000000000002E-2</v>
      </c>
      <c r="AQ49" s="17">
        <v>0.54700000000000004</v>
      </c>
      <c r="AR49" s="17">
        <v>0.17</v>
      </c>
      <c r="AS49" s="17">
        <v>0.48099999999999998</v>
      </c>
      <c r="AT49" s="17">
        <v>0.115</v>
      </c>
      <c r="AU49" s="17">
        <v>1.4790000000000001</v>
      </c>
      <c r="AV49" s="17">
        <v>0.54100000000000004</v>
      </c>
      <c r="AW49" s="17">
        <v>0.68200000000000005</v>
      </c>
      <c r="AX49" s="17">
        <v>0.59699999999999998</v>
      </c>
      <c r="AY49" s="17">
        <v>0.20799999999999999</v>
      </c>
      <c r="AZ49" s="17">
        <v>0.14899999999999999</v>
      </c>
      <c r="BA49" s="17">
        <v>0.34200000000000003</v>
      </c>
      <c r="BB49" s="17">
        <v>0.26300000000000001</v>
      </c>
      <c r="BC49" s="17">
        <v>0</v>
      </c>
      <c r="BD49" s="17">
        <v>0.70299999999999996</v>
      </c>
      <c r="BE49" s="17">
        <v>0.51700000000000002</v>
      </c>
      <c r="BF49" s="17">
        <v>0.35099999999999998</v>
      </c>
      <c r="BG49" s="17">
        <v>0.57999999999999996</v>
      </c>
      <c r="BH49" s="17">
        <v>0.57499999999999996</v>
      </c>
      <c r="BI49" s="17">
        <v>0.61199999999999999</v>
      </c>
      <c r="BJ49" s="17">
        <v>5.7000000000000002E-2</v>
      </c>
      <c r="BK49" s="17">
        <v>0.46400000000000002</v>
      </c>
      <c r="BL49" s="17">
        <v>0.32400000000000001</v>
      </c>
      <c r="BM49" s="17">
        <v>0.56100000000000005</v>
      </c>
      <c r="BN49" s="17">
        <v>0.53300000000000003</v>
      </c>
      <c r="BO49" s="17">
        <v>0.17399999999999999</v>
      </c>
      <c r="BP49" s="17">
        <v>0.151</v>
      </c>
      <c r="BQ49" s="17">
        <v>0.44500000000000001</v>
      </c>
      <c r="BR49" s="17">
        <v>5.7000000000000002E-2</v>
      </c>
      <c r="BS49" s="17">
        <v>0.16700000000000001</v>
      </c>
      <c r="BT49" s="17">
        <v>5.7000000000000002E-2</v>
      </c>
      <c r="BU49" s="17">
        <v>0.45</v>
      </c>
      <c r="BV49" s="17">
        <v>0.438</v>
      </c>
      <c r="BW49" s="17">
        <v>0.61799999999999999</v>
      </c>
      <c r="BX49" s="17">
        <v>0.76200000000000001</v>
      </c>
      <c r="BY49" s="17">
        <v>0.76500000000000001</v>
      </c>
      <c r="BZ49" s="17">
        <v>0.60899999999999999</v>
      </c>
      <c r="CA49" s="17">
        <v>0.156</v>
      </c>
      <c r="CB49" s="17">
        <v>5.3999999999999999E-2</v>
      </c>
      <c r="CC49" s="17">
        <v>0.34200000000000003</v>
      </c>
      <c r="CD49" s="17">
        <v>0.40600000000000003</v>
      </c>
      <c r="CE49" s="17">
        <v>0.13600000000000001</v>
      </c>
      <c r="CF49" s="17">
        <v>0.12</v>
      </c>
      <c r="CG49" s="17">
        <v>1.089</v>
      </c>
      <c r="CH49" s="17">
        <v>0.55900000000000005</v>
      </c>
      <c r="CI49" s="17">
        <v>0.50900000000000001</v>
      </c>
      <c r="CJ49" s="17">
        <v>0.36599999999999999</v>
      </c>
      <c r="CK49" s="17">
        <v>0.59099999999999997</v>
      </c>
      <c r="CL49" s="17">
        <v>0.58599999999999997</v>
      </c>
      <c r="CM49" s="17">
        <v>0.11799999999999999</v>
      </c>
      <c r="CN49" s="17">
        <v>0.91500000000000004</v>
      </c>
      <c r="CO49" s="17">
        <v>0.629</v>
      </c>
      <c r="CP49" s="17">
        <v>0.753</v>
      </c>
      <c r="CQ49" s="17">
        <v>0.89</v>
      </c>
      <c r="CR49" s="17">
        <v>0.48899999999999999</v>
      </c>
      <c r="CS49" s="17">
        <v>0.53900000000000003</v>
      </c>
      <c r="CT49" s="17">
        <v>0.126</v>
      </c>
      <c r="CU49" s="17">
        <v>0.61199999999999999</v>
      </c>
      <c r="CV49" s="17">
        <v>0.629</v>
      </c>
      <c r="CW49" s="17">
        <v>0.41099999999999998</v>
      </c>
      <c r="CX49" s="17">
        <v>5.6000000000000001E-2</v>
      </c>
      <c r="CY49" s="17">
        <v>0.93899999999999995</v>
      </c>
      <c r="CZ49" s="17">
        <v>0.52700000000000002</v>
      </c>
      <c r="DA49" s="17">
        <v>0.68300000000000005</v>
      </c>
      <c r="DB49" s="17">
        <v>8.3000000000000004E-2</v>
      </c>
      <c r="DC49" s="17">
        <v>0.17499999999999999</v>
      </c>
      <c r="DD49" s="17">
        <v>0</v>
      </c>
      <c r="DE49" s="17">
        <v>0.05</v>
      </c>
      <c r="DF49" s="17">
        <v>0</v>
      </c>
      <c r="DG49" s="17">
        <v>0.23</v>
      </c>
      <c r="DH49" s="17">
        <v>0.74</v>
      </c>
      <c r="DI49" s="17">
        <v>0.32600000000000001</v>
      </c>
      <c r="DJ49" s="17">
        <v>0.65700000000000003</v>
      </c>
      <c r="DK49" s="17">
        <v>0.72599999999999998</v>
      </c>
      <c r="DL49" s="17">
        <v>1.0249999999999999</v>
      </c>
      <c r="DM49" s="17">
        <v>0.126</v>
      </c>
      <c r="DN49" s="17">
        <v>0.20699999999999999</v>
      </c>
      <c r="DO49" s="17">
        <v>0.35</v>
      </c>
      <c r="DP49" s="17">
        <v>0.13300000000000001</v>
      </c>
      <c r="DQ49" s="17">
        <v>0.90900000000000003</v>
      </c>
      <c r="DR49" s="17">
        <v>0.19</v>
      </c>
      <c r="DS49" s="17">
        <v>0.14699999999999999</v>
      </c>
      <c r="DT49" s="17">
        <v>0.13</v>
      </c>
      <c r="DU49" s="17">
        <v>0.59</v>
      </c>
      <c r="DV49" s="17">
        <v>0.2</v>
      </c>
      <c r="DW49" s="17">
        <v>0.29599999999999999</v>
      </c>
      <c r="DX49" s="17">
        <v>0.13700000000000001</v>
      </c>
      <c r="DY49" s="17">
        <v>0.214</v>
      </c>
      <c r="DZ49" s="17">
        <v>0</v>
      </c>
      <c r="EA49" s="17">
        <v>0.14899999999999999</v>
      </c>
      <c r="EB49" s="17">
        <v>4.5999999999999999E-2</v>
      </c>
      <c r="EC49" s="17">
        <v>0.56499999999999995</v>
      </c>
      <c r="ED49" s="17">
        <v>0.35699999999999998</v>
      </c>
      <c r="EE49" s="17">
        <v>0</v>
      </c>
      <c r="EF49" s="17">
        <v>0.183</v>
      </c>
      <c r="EG49" s="17">
        <v>0.65100000000000002</v>
      </c>
      <c r="EH49" s="17">
        <v>0.77300000000000002</v>
      </c>
      <c r="EI49" s="17">
        <v>0.28999999999999998</v>
      </c>
      <c r="EJ49" s="17">
        <v>0.54500000000000004</v>
      </c>
      <c r="EK49" s="17">
        <v>0.54100000000000004</v>
      </c>
      <c r="EL49" s="17">
        <v>0.217</v>
      </c>
      <c r="EM49" s="17">
        <v>0.27</v>
      </c>
      <c r="EN49" s="17">
        <v>0</v>
      </c>
      <c r="EO49" s="17">
        <v>0.66600000000000004</v>
      </c>
      <c r="EP49" s="17">
        <v>0.13500000000000001</v>
      </c>
      <c r="EQ49" s="17">
        <v>0.88700000000000001</v>
      </c>
      <c r="ER49" s="17">
        <v>0.17899999999999999</v>
      </c>
      <c r="ES49" s="17">
        <v>0.26800000000000002</v>
      </c>
      <c r="ET49" s="17">
        <v>0.59899999999999998</v>
      </c>
      <c r="EU49" s="17">
        <v>0.50700000000000001</v>
      </c>
      <c r="EV49" s="17">
        <v>0.47499999999999998</v>
      </c>
      <c r="EW49" s="17">
        <v>0.83799999999999997</v>
      </c>
      <c r="EX49" s="17">
        <v>0.54500000000000004</v>
      </c>
      <c r="EY49" s="17">
        <v>0.60099999999999998</v>
      </c>
      <c r="EZ49" s="17">
        <v>0.04</v>
      </c>
      <c r="FA49" s="17">
        <v>0.155</v>
      </c>
      <c r="FB49" s="17">
        <v>0</v>
      </c>
      <c r="FC49" s="17">
        <v>0.71</v>
      </c>
      <c r="FD49" s="17">
        <v>0.05</v>
      </c>
      <c r="FE49" s="17">
        <v>5.6000000000000001E-2</v>
      </c>
      <c r="FF49" s="17">
        <v>0.64400000000000002</v>
      </c>
      <c r="FG49" s="17">
        <v>0.995</v>
      </c>
      <c r="FH49" s="17">
        <v>0.41699999999999998</v>
      </c>
      <c r="FI49" s="17">
        <v>0.64400000000000002</v>
      </c>
      <c r="FJ49" s="17">
        <v>0.48699999999999999</v>
      </c>
      <c r="FK49" s="17">
        <v>5.6000000000000001E-2</v>
      </c>
      <c r="FL49" s="17">
        <v>0.98299999999999998</v>
      </c>
      <c r="FM49" s="17">
        <v>5.2999999999999999E-2</v>
      </c>
      <c r="FN49" s="17">
        <v>5.0999999999999997E-2</v>
      </c>
      <c r="FO49" s="17">
        <v>0.38300000000000001</v>
      </c>
      <c r="FP49" s="17">
        <v>0.309</v>
      </c>
      <c r="FQ49" s="17">
        <v>0.05</v>
      </c>
      <c r="FR49" s="17">
        <v>0.53400000000000003</v>
      </c>
      <c r="FS49" s="17">
        <v>0.125</v>
      </c>
      <c r="FT49" s="17">
        <v>0.88900000000000001</v>
      </c>
      <c r="FU49" s="17">
        <v>0.37</v>
      </c>
      <c r="FV49" s="17">
        <v>0.22800000000000001</v>
      </c>
      <c r="FW49" s="17">
        <v>0</v>
      </c>
      <c r="FX49" s="17">
        <v>0.64200000000000002</v>
      </c>
      <c r="FY49" s="17">
        <v>0.49</v>
      </c>
      <c r="FZ49" s="17">
        <v>1.0109999999999999</v>
      </c>
      <c r="GA49" s="17">
        <v>0.159</v>
      </c>
      <c r="GB49" s="17">
        <v>0.82</v>
      </c>
      <c r="GC49" s="17">
        <v>0.38300000000000001</v>
      </c>
      <c r="GD49" s="17">
        <v>0.504</v>
      </c>
      <c r="GE49" s="17">
        <v>1.0469999999999999</v>
      </c>
      <c r="GF49" s="17">
        <v>0.47899999999999998</v>
      </c>
      <c r="GG49" s="17">
        <v>0.2</v>
      </c>
      <c r="GH49" s="17">
        <v>5.0999999999999997E-2</v>
      </c>
      <c r="GI49" s="17">
        <v>0.23300000000000001</v>
      </c>
      <c r="GJ49" s="17">
        <v>0.65200000000000002</v>
      </c>
      <c r="GK49" s="17">
        <v>0.77700000000000002</v>
      </c>
      <c r="GL49" s="17">
        <v>0.80500000000000005</v>
      </c>
      <c r="GM49" s="17">
        <v>0.34499999999999997</v>
      </c>
      <c r="GN49" s="17">
        <v>4.8000000000000001E-2</v>
      </c>
      <c r="GO49" s="17">
        <v>0.53200000000000003</v>
      </c>
      <c r="GP49" s="17">
        <v>0.97899999999999998</v>
      </c>
      <c r="GQ49" s="17">
        <v>0.125</v>
      </c>
      <c r="GR49" s="17">
        <v>7.9000000000000001E-2</v>
      </c>
      <c r="GS49" s="17">
        <v>1.1419999999999999</v>
      </c>
      <c r="GT49" s="17">
        <v>0.78900000000000003</v>
      </c>
      <c r="GU49" s="17">
        <v>4.7E-2</v>
      </c>
      <c r="GV49" s="17">
        <v>0.13900000000000001</v>
      </c>
      <c r="GW49" s="17">
        <v>0.94099999999999995</v>
      </c>
      <c r="GX49" s="17">
        <v>0.872</v>
      </c>
      <c r="GY49" s="17">
        <v>0.49099999999999999</v>
      </c>
      <c r="GZ49" s="17">
        <v>0.45300000000000001</v>
      </c>
      <c r="HA49" s="17">
        <v>0.35099999999999998</v>
      </c>
      <c r="HB49" s="17">
        <v>0.59099999999999997</v>
      </c>
      <c r="HC49" s="17">
        <v>0.17899999999999999</v>
      </c>
      <c r="HD49" s="17">
        <v>0.48199999999999998</v>
      </c>
      <c r="HE49" s="17">
        <v>0</v>
      </c>
      <c r="HF49" s="17">
        <v>1.2330000000000001</v>
      </c>
      <c r="HG49" s="17">
        <v>4.2000000000000003E-2</v>
      </c>
      <c r="HH49" s="17">
        <v>0.30299999999999999</v>
      </c>
    </row>
    <row r="50" spans="1:216" x14ac:dyDescent="0.25">
      <c r="A50" s="8">
        <v>46</v>
      </c>
      <c r="B50" s="8">
        <v>22.5</v>
      </c>
      <c r="C50" s="17">
        <v>0.56399999999999995</v>
      </c>
      <c r="D50" s="17">
        <v>0.152</v>
      </c>
      <c r="E50" s="17">
        <v>0.183</v>
      </c>
      <c r="F50" s="17">
        <v>0.23</v>
      </c>
      <c r="G50" s="17">
        <v>0</v>
      </c>
      <c r="H50" s="17">
        <v>0.56799999999999995</v>
      </c>
      <c r="I50" s="17">
        <v>0.85599999999999998</v>
      </c>
      <c r="J50" s="17">
        <v>0.252</v>
      </c>
      <c r="K50" s="17">
        <v>0.16200000000000001</v>
      </c>
      <c r="L50" s="17">
        <v>0.19400000000000001</v>
      </c>
      <c r="M50" s="17">
        <v>0.05</v>
      </c>
      <c r="N50" s="17">
        <v>9.4E-2</v>
      </c>
      <c r="O50" s="17">
        <v>0.33800000000000002</v>
      </c>
      <c r="P50" s="17">
        <v>0.40200000000000002</v>
      </c>
      <c r="Q50" s="17">
        <v>0.316</v>
      </c>
      <c r="R50" s="17">
        <v>1.248</v>
      </c>
      <c r="S50" s="17">
        <v>6.9000000000000006E-2</v>
      </c>
      <c r="T50" s="17">
        <v>0.60399999999999998</v>
      </c>
      <c r="U50" s="17">
        <v>0.57699999999999996</v>
      </c>
      <c r="V50" s="17">
        <v>0</v>
      </c>
      <c r="W50" s="17">
        <v>0.79100000000000004</v>
      </c>
      <c r="X50" s="17">
        <v>0.53800000000000003</v>
      </c>
      <c r="Y50" s="17">
        <v>0.13</v>
      </c>
      <c r="Z50" s="17">
        <v>0.32500000000000001</v>
      </c>
      <c r="AA50" s="17">
        <v>0.32700000000000001</v>
      </c>
      <c r="AB50" s="17">
        <v>4.9000000000000002E-2</v>
      </c>
      <c r="AC50" s="17">
        <v>0.57599999999999996</v>
      </c>
      <c r="AD50" s="17">
        <v>0.629</v>
      </c>
      <c r="AE50" s="17">
        <v>0.68400000000000005</v>
      </c>
      <c r="AF50" s="17">
        <v>0</v>
      </c>
      <c r="AG50" s="17">
        <v>0.33100000000000002</v>
      </c>
      <c r="AH50" s="17">
        <v>0.52600000000000002</v>
      </c>
      <c r="AI50" s="17">
        <v>0.26400000000000001</v>
      </c>
      <c r="AJ50" s="17">
        <v>0.63500000000000001</v>
      </c>
      <c r="AK50" s="17">
        <v>0.24399999999999999</v>
      </c>
      <c r="AL50" s="17">
        <v>0.14699999999999999</v>
      </c>
      <c r="AM50" s="17">
        <v>0.29599999999999999</v>
      </c>
      <c r="AN50" s="17">
        <v>0.73099999999999998</v>
      </c>
      <c r="AO50" s="17">
        <v>5.5E-2</v>
      </c>
      <c r="AP50" s="17">
        <v>4.9000000000000002E-2</v>
      </c>
      <c r="AQ50" s="17">
        <v>0.48299999999999998</v>
      </c>
      <c r="AR50" s="17">
        <v>5.1999999999999998E-2</v>
      </c>
      <c r="AS50" s="17">
        <v>0.371</v>
      </c>
      <c r="AT50" s="17">
        <v>0.28699999999999998</v>
      </c>
      <c r="AU50" s="17">
        <v>0.95099999999999996</v>
      </c>
      <c r="AV50" s="17">
        <v>0.60799999999999998</v>
      </c>
      <c r="AW50" s="17">
        <v>0.72899999999999998</v>
      </c>
      <c r="AX50" s="17">
        <v>0.52200000000000002</v>
      </c>
      <c r="AY50" s="17">
        <v>0.112</v>
      </c>
      <c r="AZ50" s="17">
        <v>0.29299999999999998</v>
      </c>
      <c r="BA50" s="17">
        <v>0.27</v>
      </c>
      <c r="BB50" s="17">
        <v>4.3999999999999997E-2</v>
      </c>
      <c r="BC50" s="17">
        <v>0</v>
      </c>
      <c r="BD50" s="17">
        <v>0.81499999999999995</v>
      </c>
      <c r="BE50" s="17">
        <v>0.75800000000000001</v>
      </c>
      <c r="BF50" s="17">
        <v>0.77300000000000002</v>
      </c>
      <c r="BG50" s="17">
        <v>0.56699999999999995</v>
      </c>
      <c r="BH50" s="17">
        <v>0.23300000000000001</v>
      </c>
      <c r="BI50" s="17">
        <v>0.754</v>
      </c>
      <c r="BJ50" s="17">
        <v>5.7000000000000002E-2</v>
      </c>
      <c r="BK50" s="17">
        <v>0.626</v>
      </c>
      <c r="BL50" s="17">
        <v>0.52200000000000002</v>
      </c>
      <c r="BM50" s="17">
        <v>0.70699999999999996</v>
      </c>
      <c r="BN50" s="17">
        <v>0.626</v>
      </c>
      <c r="BO50" s="17">
        <v>5.5E-2</v>
      </c>
      <c r="BP50" s="17">
        <v>0.14699999999999999</v>
      </c>
      <c r="BQ50" s="17">
        <v>0.52400000000000002</v>
      </c>
      <c r="BR50" s="17">
        <v>5.7000000000000002E-2</v>
      </c>
      <c r="BS50" s="17">
        <v>5.1999999999999998E-2</v>
      </c>
      <c r="BT50" s="17">
        <v>5.7000000000000002E-2</v>
      </c>
      <c r="BU50" s="17">
        <v>0.64600000000000002</v>
      </c>
      <c r="BV50" s="17">
        <v>0.20599999999999999</v>
      </c>
      <c r="BW50" s="17">
        <v>0.68100000000000005</v>
      </c>
      <c r="BX50" s="17">
        <v>0.41599999999999998</v>
      </c>
      <c r="BY50" s="17">
        <v>0.27100000000000002</v>
      </c>
      <c r="BZ50" s="17">
        <v>0.67800000000000005</v>
      </c>
      <c r="CA50" s="17">
        <v>0.39400000000000002</v>
      </c>
      <c r="CB50" s="17">
        <v>5.3999999999999999E-2</v>
      </c>
      <c r="CC50" s="17">
        <v>0.16300000000000001</v>
      </c>
      <c r="CD50" s="17">
        <v>0.51900000000000002</v>
      </c>
      <c r="CE50" s="17">
        <v>0.33700000000000002</v>
      </c>
      <c r="CF50" s="17">
        <v>9.0999999999999998E-2</v>
      </c>
      <c r="CG50" s="17">
        <v>0.70899999999999996</v>
      </c>
      <c r="CH50" s="17">
        <v>0.44600000000000001</v>
      </c>
      <c r="CI50" s="17">
        <v>0.51100000000000001</v>
      </c>
      <c r="CJ50" s="17">
        <v>0.376</v>
      </c>
      <c r="CK50" s="17">
        <v>0.60599999999999998</v>
      </c>
      <c r="CL50" s="17">
        <v>0.75</v>
      </c>
      <c r="CM50" s="17">
        <v>0.14399999999999999</v>
      </c>
      <c r="CN50" s="17">
        <v>0.497</v>
      </c>
      <c r="CO50" s="17">
        <v>0.23300000000000001</v>
      </c>
      <c r="CP50" s="17">
        <v>0.57199999999999995</v>
      </c>
      <c r="CQ50" s="17">
        <v>0.59099999999999997</v>
      </c>
      <c r="CR50" s="17">
        <v>0.40799999999999997</v>
      </c>
      <c r="CS50" s="17">
        <v>0.32400000000000001</v>
      </c>
      <c r="CT50" s="17">
        <v>5.1999999999999998E-2</v>
      </c>
      <c r="CU50" s="17">
        <v>1.0900000000000001</v>
      </c>
      <c r="CV50" s="17">
        <v>0.71299999999999997</v>
      </c>
      <c r="CW50" s="17">
        <v>5.5E-2</v>
      </c>
      <c r="CX50" s="17">
        <v>5.6000000000000001E-2</v>
      </c>
      <c r="CY50" s="17">
        <v>1.085</v>
      </c>
      <c r="CZ50" s="17">
        <v>0.33800000000000002</v>
      </c>
      <c r="DA50" s="17">
        <v>0.442</v>
      </c>
      <c r="DB50" s="17">
        <v>0.14399999999999999</v>
      </c>
      <c r="DC50" s="17">
        <v>4.7E-2</v>
      </c>
      <c r="DD50" s="17">
        <v>0</v>
      </c>
      <c r="DE50" s="17">
        <v>0.14699999999999999</v>
      </c>
      <c r="DF50" s="17">
        <v>0</v>
      </c>
      <c r="DG50" s="17">
        <v>0.36099999999999999</v>
      </c>
      <c r="DH50" s="17">
        <v>0.66600000000000004</v>
      </c>
      <c r="DI50" s="17">
        <v>0.223</v>
      </c>
      <c r="DJ50" s="17">
        <v>0.59099999999999997</v>
      </c>
      <c r="DK50" s="17">
        <v>0.78900000000000003</v>
      </c>
      <c r="DL50" s="17">
        <v>0.373</v>
      </c>
      <c r="DM50" s="17">
        <v>0.26700000000000002</v>
      </c>
      <c r="DN50" s="17">
        <v>0.20599999999999999</v>
      </c>
      <c r="DO50" s="17">
        <v>0.53500000000000003</v>
      </c>
      <c r="DP50" s="17">
        <v>7.3999999999999996E-2</v>
      </c>
      <c r="DQ50" s="17">
        <v>0.64200000000000002</v>
      </c>
      <c r="DR50" s="17">
        <v>0.17699999999999999</v>
      </c>
      <c r="DS50" s="17">
        <v>9.5000000000000001E-2</v>
      </c>
      <c r="DT50" s="17">
        <v>0.13400000000000001</v>
      </c>
      <c r="DU50" s="17">
        <v>0.19700000000000001</v>
      </c>
      <c r="DV50" s="17">
        <v>5.0999999999999997E-2</v>
      </c>
      <c r="DW50" s="17">
        <v>0.38200000000000001</v>
      </c>
      <c r="DX50" s="17">
        <v>9.6000000000000002E-2</v>
      </c>
      <c r="DY50" s="17">
        <v>5.1999999999999998E-2</v>
      </c>
      <c r="DZ50" s="17">
        <v>0</v>
      </c>
      <c r="EA50" s="17">
        <v>0.121</v>
      </c>
      <c r="EB50" s="17">
        <v>4.5999999999999999E-2</v>
      </c>
      <c r="EC50" s="17">
        <v>0.437</v>
      </c>
      <c r="ED50" s="17">
        <v>0.14899999999999999</v>
      </c>
      <c r="EE50" s="17">
        <v>0</v>
      </c>
      <c r="EF50" s="17">
        <v>0.10199999999999999</v>
      </c>
      <c r="EG50" s="17">
        <v>1.014</v>
      </c>
      <c r="EH50" s="17">
        <v>0.34100000000000003</v>
      </c>
      <c r="EI50" s="17">
        <v>0.68899999999999995</v>
      </c>
      <c r="EJ50" s="17">
        <v>1.0309999999999999</v>
      </c>
      <c r="EK50" s="17">
        <v>0.33700000000000002</v>
      </c>
      <c r="EL50" s="17">
        <v>4.9000000000000002E-2</v>
      </c>
      <c r="EM50" s="17">
        <v>0.44700000000000001</v>
      </c>
      <c r="EN50" s="17">
        <v>0</v>
      </c>
      <c r="EO50" s="17">
        <v>0.54900000000000004</v>
      </c>
      <c r="EP50" s="17">
        <v>0.05</v>
      </c>
      <c r="EQ50" s="17">
        <v>0.91300000000000003</v>
      </c>
      <c r="ER50" s="17">
        <v>4.1000000000000002E-2</v>
      </c>
      <c r="ES50" s="17">
        <v>0.09</v>
      </c>
      <c r="ET50" s="17">
        <v>0.71099999999999997</v>
      </c>
      <c r="EU50" s="17">
        <v>0.67300000000000004</v>
      </c>
      <c r="EV50" s="17">
        <v>0.23</v>
      </c>
      <c r="EW50" s="17">
        <v>0.63900000000000001</v>
      </c>
      <c r="EX50" s="17">
        <v>0.52400000000000002</v>
      </c>
      <c r="EY50" s="17">
        <v>0.40500000000000003</v>
      </c>
      <c r="EZ50" s="17">
        <v>0.56000000000000005</v>
      </c>
      <c r="FA50" s="17">
        <v>0.14099999999999999</v>
      </c>
      <c r="FB50" s="17">
        <v>0</v>
      </c>
      <c r="FC50" s="17">
        <v>1.133</v>
      </c>
      <c r="FD50" s="17">
        <v>0.05</v>
      </c>
      <c r="FE50" s="17">
        <v>5.6000000000000001E-2</v>
      </c>
      <c r="FF50" s="17">
        <v>0.42299999999999999</v>
      </c>
      <c r="FG50" s="17">
        <v>0.64500000000000002</v>
      </c>
      <c r="FH50" s="17">
        <v>0.39800000000000002</v>
      </c>
      <c r="FI50" s="17">
        <v>0.22700000000000001</v>
      </c>
      <c r="FJ50" s="17">
        <v>0.42099999999999999</v>
      </c>
      <c r="FK50" s="17">
        <v>8.6999999999999994E-2</v>
      </c>
      <c r="FL50" s="17">
        <v>0.877</v>
      </c>
      <c r="FM50" s="17">
        <v>5.2999999999999999E-2</v>
      </c>
      <c r="FN50" s="17">
        <v>5.0999999999999997E-2</v>
      </c>
      <c r="FO50" s="17">
        <v>0.28499999999999998</v>
      </c>
      <c r="FP50" s="17">
        <v>0.111</v>
      </c>
      <c r="FQ50" s="17">
        <v>0.22500000000000001</v>
      </c>
      <c r="FR50" s="17">
        <v>0.56899999999999995</v>
      </c>
      <c r="FS50" s="17">
        <v>0.28299999999999997</v>
      </c>
      <c r="FT50" s="17">
        <v>0.69399999999999995</v>
      </c>
      <c r="FU50" s="17">
        <v>0.36399999999999999</v>
      </c>
      <c r="FV50" s="17">
        <v>0.22900000000000001</v>
      </c>
      <c r="FW50" s="17">
        <v>0</v>
      </c>
      <c r="FX50" s="17">
        <v>0.47499999999999998</v>
      </c>
      <c r="FY50" s="17">
        <v>0.59499999999999997</v>
      </c>
      <c r="FZ50" s="17">
        <v>0.85</v>
      </c>
      <c r="GA50" s="17">
        <v>5.3999999999999999E-2</v>
      </c>
      <c r="GB50" s="17">
        <v>1.0620000000000001</v>
      </c>
      <c r="GC50" s="17">
        <v>0.40200000000000002</v>
      </c>
      <c r="GD50" s="17">
        <v>0.497</v>
      </c>
      <c r="GE50" s="17">
        <v>0.622</v>
      </c>
      <c r="GF50" s="17">
        <v>0.44</v>
      </c>
      <c r="GG50" s="17">
        <v>0.05</v>
      </c>
      <c r="GH50" s="17">
        <v>0.14499999999999999</v>
      </c>
      <c r="GI50" s="17">
        <v>0.33100000000000002</v>
      </c>
      <c r="GJ50" s="17">
        <v>0.626</v>
      </c>
      <c r="GK50" s="17">
        <v>0.2</v>
      </c>
      <c r="GL50" s="17">
        <v>0.47299999999999998</v>
      </c>
      <c r="GM50" s="17">
        <v>0.53900000000000003</v>
      </c>
      <c r="GN50" s="17">
        <v>0.14000000000000001</v>
      </c>
      <c r="GO50" s="17">
        <v>7.1999999999999995E-2</v>
      </c>
      <c r="GP50" s="17">
        <v>0.88600000000000001</v>
      </c>
      <c r="GQ50" s="17">
        <v>3.5999999999999997E-2</v>
      </c>
      <c r="GR50" s="17">
        <v>5.2999999999999999E-2</v>
      </c>
      <c r="GS50" s="17">
        <v>0.53</v>
      </c>
      <c r="GT50" s="17">
        <v>0.55600000000000005</v>
      </c>
      <c r="GU50" s="17">
        <v>7.6999999999999999E-2</v>
      </c>
      <c r="GV50" s="17">
        <v>0.189</v>
      </c>
      <c r="GW50" s="17">
        <v>0.17599999999999999</v>
      </c>
      <c r="GX50" s="17">
        <v>0.64100000000000001</v>
      </c>
      <c r="GY50" s="17">
        <v>0.439</v>
      </c>
      <c r="GZ50" s="17">
        <v>0.255</v>
      </c>
      <c r="HA50" s="17">
        <v>0.39600000000000002</v>
      </c>
      <c r="HB50" s="17">
        <v>0.50800000000000001</v>
      </c>
      <c r="HC50" s="17">
        <v>0.13500000000000001</v>
      </c>
      <c r="HD50" s="17">
        <v>0.217</v>
      </c>
      <c r="HE50" s="17">
        <v>0</v>
      </c>
      <c r="HF50" s="17">
        <v>0</v>
      </c>
      <c r="HG50" s="17">
        <v>0.184</v>
      </c>
      <c r="HH50" s="17">
        <v>0</v>
      </c>
    </row>
    <row r="51" spans="1:216" x14ac:dyDescent="0.25">
      <c r="A51" s="8">
        <v>47</v>
      </c>
      <c r="B51" s="8">
        <v>23</v>
      </c>
      <c r="C51" s="17">
        <v>0.67800000000000005</v>
      </c>
      <c r="D51" s="17">
        <v>0.16600000000000001</v>
      </c>
      <c r="E51" s="17">
        <v>6.7000000000000004E-2</v>
      </c>
      <c r="F51" s="17">
        <v>0.186</v>
      </c>
      <c r="G51" s="17">
        <v>0</v>
      </c>
      <c r="H51" s="17">
        <v>0.65700000000000003</v>
      </c>
      <c r="I51" s="17">
        <v>1.1060000000000001</v>
      </c>
      <c r="J51" s="17">
        <v>8.2000000000000003E-2</v>
      </c>
      <c r="K51" s="17">
        <v>0.22600000000000001</v>
      </c>
      <c r="L51" s="17">
        <v>8.5000000000000006E-2</v>
      </c>
      <c r="M51" s="17">
        <v>0.311</v>
      </c>
      <c r="N51" s="17">
        <v>0.13500000000000001</v>
      </c>
      <c r="O51" s="17">
        <v>0.14899999999999999</v>
      </c>
      <c r="P51" s="17">
        <v>0.748</v>
      </c>
      <c r="Q51" s="17">
        <v>0.12</v>
      </c>
      <c r="R51" s="17">
        <v>1.3109999999999999</v>
      </c>
      <c r="S51" s="17">
        <v>0.11700000000000001</v>
      </c>
      <c r="T51" s="17">
        <v>0.16600000000000001</v>
      </c>
      <c r="U51" s="17">
        <v>0.36599999999999999</v>
      </c>
      <c r="V51" s="17">
        <v>0</v>
      </c>
      <c r="W51" s="17">
        <v>5.1999999999999998E-2</v>
      </c>
      <c r="X51" s="17">
        <v>0.32200000000000001</v>
      </c>
      <c r="Y51" s="17">
        <v>0.13</v>
      </c>
      <c r="Z51" s="17">
        <v>5.1999999999999998E-2</v>
      </c>
      <c r="AA51" s="17">
        <v>0.33100000000000002</v>
      </c>
      <c r="AB51" s="17">
        <v>4.9000000000000002E-2</v>
      </c>
      <c r="AC51" s="17">
        <v>0.745</v>
      </c>
      <c r="AD51" s="17">
        <v>0.439</v>
      </c>
      <c r="AE51" s="17">
        <v>0.17399999999999999</v>
      </c>
      <c r="AF51" s="17">
        <v>0</v>
      </c>
      <c r="AG51" s="17">
        <v>0.26900000000000002</v>
      </c>
      <c r="AH51" s="17">
        <v>0.434</v>
      </c>
      <c r="AI51" s="17">
        <v>0.98599999999999999</v>
      </c>
      <c r="AJ51" s="17">
        <v>0.18</v>
      </c>
      <c r="AK51" s="17">
        <v>7.2999999999999995E-2</v>
      </c>
      <c r="AL51" s="17">
        <v>8.6999999999999994E-2</v>
      </c>
      <c r="AM51" s="17">
        <v>4.9000000000000002E-2</v>
      </c>
      <c r="AN51" s="17">
        <v>0.498</v>
      </c>
      <c r="AO51" s="17">
        <v>0.13300000000000001</v>
      </c>
      <c r="AP51" s="17">
        <v>4.9000000000000002E-2</v>
      </c>
      <c r="AQ51" s="17">
        <v>5.1999999999999998E-2</v>
      </c>
      <c r="AR51" s="17">
        <v>0.19600000000000001</v>
      </c>
      <c r="AS51" s="17">
        <v>0.43099999999999999</v>
      </c>
      <c r="AT51" s="17">
        <v>5.2999999999999999E-2</v>
      </c>
      <c r="AU51" s="17">
        <v>0.23</v>
      </c>
      <c r="AV51" s="17">
        <v>2</v>
      </c>
      <c r="AW51" s="17">
        <v>0.20300000000000001</v>
      </c>
      <c r="AX51" s="17">
        <v>0.72099999999999997</v>
      </c>
      <c r="AY51" s="17">
        <v>0.17899999999999999</v>
      </c>
      <c r="AZ51" s="17">
        <v>0.1</v>
      </c>
      <c r="BA51" s="17">
        <v>0.26400000000000001</v>
      </c>
      <c r="BB51" s="17">
        <v>4.3999999999999997E-2</v>
      </c>
      <c r="BC51" s="17">
        <v>0</v>
      </c>
      <c r="BD51" s="17">
        <v>0.63</v>
      </c>
      <c r="BE51" s="17">
        <v>0.35399999999999998</v>
      </c>
      <c r="BF51" s="17">
        <v>0.44900000000000001</v>
      </c>
      <c r="BG51" s="17">
        <v>0.40699999999999997</v>
      </c>
      <c r="BH51" s="17">
        <v>4.8000000000000001E-2</v>
      </c>
      <c r="BI51" s="17">
        <v>0.32800000000000001</v>
      </c>
      <c r="BJ51" s="17">
        <v>5.7000000000000002E-2</v>
      </c>
      <c r="BK51" s="17">
        <v>0.63</v>
      </c>
      <c r="BL51" s="17">
        <v>0.30099999999999999</v>
      </c>
      <c r="BM51" s="17">
        <v>0.48599999999999999</v>
      </c>
      <c r="BN51" s="17">
        <v>1.482</v>
      </c>
      <c r="BO51" s="17">
        <v>0.218</v>
      </c>
      <c r="BP51" s="17">
        <v>0.106</v>
      </c>
      <c r="BQ51" s="17">
        <v>0.12</v>
      </c>
      <c r="BR51" s="17">
        <v>5.7000000000000002E-2</v>
      </c>
      <c r="BS51" s="17">
        <v>0.16700000000000001</v>
      </c>
      <c r="BT51" s="17">
        <v>5.7000000000000002E-2</v>
      </c>
      <c r="BU51" s="17">
        <v>0.188</v>
      </c>
      <c r="BV51" s="17">
        <v>7.6999999999999999E-2</v>
      </c>
      <c r="BW51" s="17">
        <v>0.34</v>
      </c>
      <c r="BX51" s="17">
        <v>0.56200000000000006</v>
      </c>
      <c r="BY51" s="17">
        <v>0.66900000000000004</v>
      </c>
      <c r="BZ51" s="17">
        <v>0.246</v>
      </c>
      <c r="CA51" s="17">
        <v>0.29099999999999998</v>
      </c>
      <c r="CB51" s="17">
        <v>5.3999999999999999E-2</v>
      </c>
      <c r="CC51" s="17">
        <v>5.1999999999999998E-2</v>
      </c>
      <c r="CD51" s="17">
        <v>0.41599999999999998</v>
      </c>
      <c r="CE51" s="17">
        <v>0.44800000000000001</v>
      </c>
      <c r="CF51" s="17">
        <v>0.247</v>
      </c>
      <c r="CG51" s="17">
        <v>0.77600000000000002</v>
      </c>
      <c r="CH51" s="17">
        <v>0.45200000000000001</v>
      </c>
      <c r="CI51" s="17">
        <v>4.1000000000000002E-2</v>
      </c>
      <c r="CJ51" s="17">
        <v>0.54400000000000004</v>
      </c>
      <c r="CK51" s="17">
        <v>0.66800000000000004</v>
      </c>
      <c r="CL51" s="17">
        <v>0.52900000000000003</v>
      </c>
      <c r="CM51" s="17">
        <v>0.218</v>
      </c>
      <c r="CN51" s="17">
        <v>0.157</v>
      </c>
      <c r="CO51" s="17">
        <v>0.19800000000000001</v>
      </c>
      <c r="CP51" s="17">
        <v>0.96499999999999997</v>
      </c>
      <c r="CQ51" s="17">
        <v>0.59199999999999997</v>
      </c>
      <c r="CR51" s="17">
        <v>0.63300000000000001</v>
      </c>
      <c r="CS51" s="17">
        <v>0.373</v>
      </c>
      <c r="CT51" s="17">
        <v>5.1999999999999998E-2</v>
      </c>
      <c r="CU51" s="17">
        <v>0.93899999999999995</v>
      </c>
      <c r="CV51" s="17">
        <v>0.71599999999999997</v>
      </c>
      <c r="CW51" s="17">
        <v>0.247</v>
      </c>
      <c r="CX51" s="17">
        <v>0.30499999999999999</v>
      </c>
      <c r="CY51" s="17">
        <v>0.61499999999999999</v>
      </c>
      <c r="CZ51" s="17">
        <v>0</v>
      </c>
      <c r="DA51" s="17">
        <v>0.45500000000000002</v>
      </c>
      <c r="DB51" s="17">
        <v>0.29499999999999998</v>
      </c>
      <c r="DC51" s="17">
        <v>0.29699999999999999</v>
      </c>
      <c r="DD51" s="17">
        <v>0</v>
      </c>
      <c r="DE51" s="17">
        <v>0.105</v>
      </c>
      <c r="DF51" s="17">
        <v>0</v>
      </c>
      <c r="DG51" s="17">
        <v>0.25</v>
      </c>
      <c r="DH51" s="17">
        <v>0.24099999999999999</v>
      </c>
      <c r="DI51" s="17">
        <v>0.25800000000000001</v>
      </c>
      <c r="DJ51" s="17">
        <v>0.54900000000000004</v>
      </c>
      <c r="DK51" s="17">
        <v>0</v>
      </c>
      <c r="DL51" s="17">
        <v>0</v>
      </c>
      <c r="DM51" s="17">
        <v>7.0000000000000007E-2</v>
      </c>
      <c r="DN51" s="17">
        <v>0.04</v>
      </c>
      <c r="DO51" s="17">
        <v>0.32200000000000001</v>
      </c>
      <c r="DP51" s="17">
        <v>0.28499999999999998</v>
      </c>
      <c r="DQ51" s="17">
        <v>0.70499999999999996</v>
      </c>
      <c r="DR51" s="17">
        <v>0.22</v>
      </c>
      <c r="DS51" s="17">
        <v>0.05</v>
      </c>
      <c r="DT51" s="17">
        <v>0.224</v>
      </c>
      <c r="DU51" s="17">
        <v>0.121</v>
      </c>
      <c r="DV51" s="17">
        <v>0.193</v>
      </c>
      <c r="DW51" s="17">
        <v>8.6999999999999994E-2</v>
      </c>
      <c r="DX51" s="17">
        <v>6.2E-2</v>
      </c>
      <c r="DY51" s="17">
        <v>0.43099999999999999</v>
      </c>
      <c r="DZ51" s="17">
        <v>0</v>
      </c>
      <c r="EA51" s="17">
        <v>0.04</v>
      </c>
      <c r="EB51" s="17">
        <v>4.5999999999999999E-2</v>
      </c>
      <c r="EC51" s="17">
        <v>0.96799999999999997</v>
      </c>
      <c r="ED51" s="17">
        <v>0.108</v>
      </c>
      <c r="EE51" s="17">
        <v>0</v>
      </c>
      <c r="EF51" s="17">
        <v>7.4999999999999997E-2</v>
      </c>
      <c r="EG51" s="17">
        <v>1.4950000000000001</v>
      </c>
      <c r="EH51" s="17">
        <v>5.1999999999999998E-2</v>
      </c>
      <c r="EI51" s="17">
        <v>0.52200000000000002</v>
      </c>
      <c r="EJ51" s="17">
        <v>0.18</v>
      </c>
      <c r="EK51" s="17">
        <v>0.14399999999999999</v>
      </c>
      <c r="EL51" s="17">
        <v>4.9000000000000002E-2</v>
      </c>
      <c r="EM51" s="17">
        <v>0.192</v>
      </c>
      <c r="EN51" s="17">
        <v>0</v>
      </c>
      <c r="EO51" s="17">
        <v>3.5999999999999997E-2</v>
      </c>
      <c r="EP51" s="17">
        <v>0.184</v>
      </c>
      <c r="EQ51" s="17">
        <v>0.89600000000000002</v>
      </c>
      <c r="ER51" s="17">
        <v>4.1000000000000002E-2</v>
      </c>
      <c r="ES51" s="17">
        <v>7.9000000000000001E-2</v>
      </c>
      <c r="ET51" s="17">
        <v>0.52300000000000002</v>
      </c>
      <c r="EU51" s="17">
        <v>0.253</v>
      </c>
      <c r="EV51" s="17">
        <v>0.05</v>
      </c>
      <c r="EW51" s="17">
        <v>7.9000000000000001E-2</v>
      </c>
      <c r="EX51" s="17">
        <v>0.224</v>
      </c>
      <c r="EY51" s="17">
        <v>0.61199999999999999</v>
      </c>
      <c r="EZ51" s="17">
        <v>0.317</v>
      </c>
      <c r="FA51" s="17">
        <v>0.33100000000000002</v>
      </c>
      <c r="FB51" s="17">
        <v>0</v>
      </c>
      <c r="FC51" s="17">
        <v>0.63200000000000001</v>
      </c>
      <c r="FD51" s="17">
        <v>0.05</v>
      </c>
      <c r="FE51" s="17">
        <v>5.6000000000000001E-2</v>
      </c>
      <c r="FF51" s="17">
        <v>0</v>
      </c>
      <c r="FG51" s="17">
        <v>0.78300000000000003</v>
      </c>
      <c r="FH51" s="17">
        <v>0.57499999999999996</v>
      </c>
      <c r="FI51" s="17">
        <v>0.36499999999999999</v>
      </c>
      <c r="FJ51" s="17">
        <v>4.9000000000000002E-2</v>
      </c>
      <c r="FK51" s="17">
        <v>0.19700000000000001</v>
      </c>
      <c r="FL51" s="17">
        <v>0.34300000000000003</v>
      </c>
      <c r="FM51" s="17">
        <v>0.21199999999999999</v>
      </c>
      <c r="FN51" s="17">
        <v>0.23</v>
      </c>
      <c r="FO51" s="17">
        <v>0.10100000000000001</v>
      </c>
      <c r="FP51" s="17">
        <v>0.14299999999999999</v>
      </c>
      <c r="FQ51" s="17">
        <v>0.11600000000000001</v>
      </c>
      <c r="FR51" s="17">
        <v>0.20699999999999999</v>
      </c>
      <c r="FS51" s="17">
        <v>0.122</v>
      </c>
      <c r="FT51" s="17">
        <v>0.90300000000000002</v>
      </c>
      <c r="FU51" s="17">
        <v>0.33700000000000002</v>
      </c>
      <c r="FV51" s="17">
        <v>0.17299999999999999</v>
      </c>
      <c r="FW51" s="17">
        <v>0</v>
      </c>
      <c r="FX51" s="17">
        <v>0.625</v>
      </c>
      <c r="FY51" s="17">
        <v>0.58599999999999997</v>
      </c>
      <c r="FZ51" s="17">
        <v>0.87</v>
      </c>
      <c r="GA51" s="17">
        <v>0.19900000000000001</v>
      </c>
      <c r="GB51" s="17">
        <v>0.68899999999999995</v>
      </c>
      <c r="GC51" s="17">
        <v>2.6739999999999999</v>
      </c>
      <c r="GD51" s="17">
        <v>1.345</v>
      </c>
      <c r="GE51" s="17">
        <v>0.30099999999999999</v>
      </c>
      <c r="GF51" s="17">
        <v>0.57499999999999996</v>
      </c>
      <c r="GG51" s="17">
        <v>7.1999999999999995E-2</v>
      </c>
      <c r="GH51" s="17">
        <v>0.11600000000000001</v>
      </c>
      <c r="GI51" s="17">
        <v>0.5</v>
      </c>
      <c r="GJ51" s="17">
        <v>0.58899999999999997</v>
      </c>
      <c r="GK51" s="17">
        <v>0.215</v>
      </c>
      <c r="GL51" s="17">
        <v>0.124</v>
      </c>
      <c r="GM51" s="17">
        <v>0.51500000000000001</v>
      </c>
      <c r="GN51" s="17">
        <v>0.125</v>
      </c>
      <c r="GO51" s="17">
        <v>0.13900000000000001</v>
      </c>
      <c r="GP51" s="17">
        <v>0.56100000000000005</v>
      </c>
      <c r="GQ51" s="17">
        <v>0.11700000000000001</v>
      </c>
      <c r="GR51" s="17">
        <v>0.21299999999999999</v>
      </c>
      <c r="GS51" s="17">
        <v>0.13300000000000001</v>
      </c>
      <c r="GT51" s="17">
        <v>0.38300000000000001</v>
      </c>
      <c r="GU51" s="17">
        <v>0.14799999999999999</v>
      </c>
      <c r="GV51" s="17">
        <v>0.11799999999999999</v>
      </c>
      <c r="GW51" s="17">
        <v>0.22</v>
      </c>
      <c r="GX51" s="17">
        <v>0.41</v>
      </c>
      <c r="GY51" s="17">
        <v>0.55700000000000005</v>
      </c>
      <c r="GZ51" s="17">
        <v>4.1000000000000002E-2</v>
      </c>
      <c r="HA51" s="17">
        <v>0.3</v>
      </c>
      <c r="HB51" s="17">
        <v>0.58199999999999996</v>
      </c>
      <c r="HC51" s="17">
        <v>0.127</v>
      </c>
      <c r="HD51" s="17">
        <v>0.18</v>
      </c>
      <c r="HE51" s="17">
        <v>0</v>
      </c>
      <c r="HF51" s="17">
        <v>0</v>
      </c>
      <c r="HG51" s="17">
        <v>0.13100000000000001</v>
      </c>
      <c r="HH51" s="17">
        <v>0</v>
      </c>
    </row>
    <row r="52" spans="1:216" x14ac:dyDescent="0.25">
      <c r="A52" s="8">
        <v>48</v>
      </c>
      <c r="B52" s="8">
        <v>23.5</v>
      </c>
      <c r="C52" s="17">
        <v>0.68400000000000005</v>
      </c>
      <c r="D52" s="17">
        <v>0.216</v>
      </c>
      <c r="E52" s="17">
        <v>0.24299999999999999</v>
      </c>
      <c r="F52" s="17">
        <v>0.13600000000000001</v>
      </c>
      <c r="G52" s="17">
        <v>0</v>
      </c>
      <c r="H52" s="17">
        <v>0.72399999999999998</v>
      </c>
      <c r="I52" s="17">
        <v>0.182</v>
      </c>
      <c r="J52" s="17">
        <v>0.247</v>
      </c>
      <c r="K52" s="17">
        <v>0.13200000000000001</v>
      </c>
      <c r="L52" s="17">
        <v>0.32800000000000001</v>
      </c>
      <c r="M52" s="17">
        <v>5.7000000000000002E-2</v>
      </c>
      <c r="N52" s="17">
        <v>4.7E-2</v>
      </c>
      <c r="O52" s="17">
        <v>5.0999999999999997E-2</v>
      </c>
      <c r="P52" s="17">
        <v>0.29399999999999998</v>
      </c>
      <c r="Q52" s="17">
        <v>0.127</v>
      </c>
      <c r="R52" s="17">
        <v>5.2999999999999999E-2</v>
      </c>
      <c r="S52" s="17">
        <v>0.13200000000000001</v>
      </c>
      <c r="T52" s="17">
        <v>0.14399999999999999</v>
      </c>
      <c r="U52" s="17">
        <v>5.1999999999999998E-2</v>
      </c>
      <c r="V52" s="17">
        <v>0</v>
      </c>
      <c r="W52" s="17">
        <v>0.105</v>
      </c>
      <c r="X52" s="17">
        <v>0.49399999999999999</v>
      </c>
      <c r="Y52" s="17">
        <v>5.0999999999999997E-2</v>
      </c>
      <c r="Z52" s="17">
        <v>0</v>
      </c>
      <c r="AA52" s="17">
        <v>0.27200000000000002</v>
      </c>
      <c r="AB52" s="17">
        <v>4.9000000000000002E-2</v>
      </c>
      <c r="AC52" s="17">
        <v>1.022</v>
      </c>
      <c r="AD52" s="17">
        <v>5.2999999999999999E-2</v>
      </c>
      <c r="AE52" s="17">
        <v>0.27300000000000002</v>
      </c>
      <c r="AF52" s="17">
        <v>0</v>
      </c>
      <c r="AG52" s="17">
        <v>0.58599999999999997</v>
      </c>
      <c r="AH52" s="17">
        <v>0.39800000000000002</v>
      </c>
      <c r="AI52" s="17">
        <v>0.17399999999999999</v>
      </c>
      <c r="AJ52" s="17">
        <v>0.17100000000000001</v>
      </c>
      <c r="AK52" s="17">
        <v>0.45200000000000001</v>
      </c>
      <c r="AL52" s="17">
        <v>5.0999999999999997E-2</v>
      </c>
      <c r="AM52" s="17">
        <v>4.9000000000000002E-2</v>
      </c>
      <c r="AN52" s="17">
        <v>0.14099999999999999</v>
      </c>
      <c r="AO52" s="17">
        <v>5.5E-2</v>
      </c>
      <c r="AP52" s="17">
        <v>0.157</v>
      </c>
      <c r="AQ52" s="17">
        <v>0.215</v>
      </c>
      <c r="AR52" s="17">
        <v>0.182</v>
      </c>
      <c r="AS52" s="17">
        <v>0.11</v>
      </c>
      <c r="AT52" s="17">
        <v>5.2999999999999999E-2</v>
      </c>
      <c r="AU52" s="17">
        <v>7.0000000000000007E-2</v>
      </c>
      <c r="AV52" s="17">
        <v>0.84899999999999998</v>
      </c>
      <c r="AW52" s="17">
        <v>6.7000000000000004E-2</v>
      </c>
      <c r="AX52" s="17">
        <v>1.286</v>
      </c>
      <c r="AY52" s="17">
        <v>0.186</v>
      </c>
      <c r="AZ52" s="17">
        <v>0.19400000000000001</v>
      </c>
      <c r="BA52" s="17">
        <v>0.37</v>
      </c>
      <c r="BB52" s="17">
        <v>0.27200000000000002</v>
      </c>
      <c r="BC52" s="17">
        <v>0</v>
      </c>
      <c r="BD52" s="17">
        <v>0.34100000000000003</v>
      </c>
      <c r="BE52" s="17">
        <v>0.20799999999999999</v>
      </c>
      <c r="BF52" s="17">
        <v>0.28499999999999998</v>
      </c>
      <c r="BG52" s="17">
        <v>0.185</v>
      </c>
      <c r="BH52" s="17">
        <v>0.22700000000000001</v>
      </c>
      <c r="BI52" s="17">
        <v>0</v>
      </c>
      <c r="BJ52" s="17">
        <v>5.7000000000000002E-2</v>
      </c>
      <c r="BK52" s="17">
        <v>0.60099999999999998</v>
      </c>
      <c r="BL52" s="17">
        <v>0.22900000000000001</v>
      </c>
      <c r="BM52" s="17">
        <v>0.216</v>
      </c>
      <c r="BN52" s="17">
        <v>0.313</v>
      </c>
      <c r="BO52" s="17">
        <v>0.10299999999999999</v>
      </c>
      <c r="BP52" s="17">
        <v>0.66200000000000003</v>
      </c>
      <c r="BQ52" s="17">
        <v>0.14799999999999999</v>
      </c>
      <c r="BR52" s="17">
        <v>5.7000000000000002E-2</v>
      </c>
      <c r="BS52" s="17">
        <v>5.1999999999999998E-2</v>
      </c>
      <c r="BT52" s="17">
        <v>5.7000000000000002E-2</v>
      </c>
      <c r="BU52" s="17">
        <v>0.25600000000000001</v>
      </c>
      <c r="BV52" s="17">
        <v>0.13200000000000001</v>
      </c>
      <c r="BW52" s="17">
        <v>0.44700000000000001</v>
      </c>
      <c r="BX52" s="17">
        <v>0.14699999999999999</v>
      </c>
      <c r="BY52" s="17">
        <v>0.317</v>
      </c>
      <c r="BZ52" s="17">
        <v>0.05</v>
      </c>
      <c r="CA52" s="17">
        <v>0</v>
      </c>
      <c r="CB52" s="17">
        <v>5.8999999999999997E-2</v>
      </c>
      <c r="CC52" s="17">
        <v>5.1999999999999998E-2</v>
      </c>
      <c r="CD52" s="17">
        <v>0.42599999999999999</v>
      </c>
      <c r="CE52" s="17">
        <v>0.52600000000000002</v>
      </c>
      <c r="CF52" s="17">
        <v>6.5000000000000002E-2</v>
      </c>
      <c r="CG52" s="17">
        <v>0.47499999999999998</v>
      </c>
      <c r="CH52" s="17">
        <v>0.623</v>
      </c>
      <c r="CI52" s="17">
        <v>0.17499999999999999</v>
      </c>
      <c r="CJ52" s="17">
        <v>0.156</v>
      </c>
      <c r="CK52" s="17">
        <v>0.186</v>
      </c>
      <c r="CL52" s="17">
        <v>0.371</v>
      </c>
      <c r="CM52" s="17">
        <v>5.1999999999999998E-2</v>
      </c>
      <c r="CN52" s="17">
        <v>5.1999999999999998E-2</v>
      </c>
      <c r="CO52" s="17">
        <v>0.11899999999999999</v>
      </c>
      <c r="CP52" s="17">
        <v>0.47199999999999998</v>
      </c>
      <c r="CQ52" s="17">
        <v>0.13800000000000001</v>
      </c>
      <c r="CR52" s="17">
        <v>0.59</v>
      </c>
      <c r="CS52" s="17">
        <v>4.8000000000000001E-2</v>
      </c>
      <c r="CT52" s="17">
        <v>0.20100000000000001</v>
      </c>
      <c r="CU52" s="17">
        <v>0.45300000000000001</v>
      </c>
      <c r="CV52" s="17">
        <v>0.64900000000000002</v>
      </c>
      <c r="CW52" s="17">
        <v>0.15</v>
      </c>
      <c r="CX52" s="17">
        <v>0.443</v>
      </c>
      <c r="CY52" s="17">
        <v>0.55100000000000005</v>
      </c>
      <c r="CZ52" s="17">
        <v>0</v>
      </c>
      <c r="DA52" s="17">
        <v>0.19700000000000001</v>
      </c>
      <c r="DB52" s="17">
        <v>0.125</v>
      </c>
      <c r="DC52" s="17">
        <v>4.7E-2</v>
      </c>
      <c r="DD52" s="17">
        <v>0</v>
      </c>
      <c r="DE52" s="17">
        <v>0.05</v>
      </c>
      <c r="DF52" s="17">
        <v>0</v>
      </c>
      <c r="DG52" s="17">
        <v>0.159</v>
      </c>
      <c r="DH52" s="17">
        <v>9.8000000000000004E-2</v>
      </c>
      <c r="DI52" s="17">
        <v>0.17199999999999999</v>
      </c>
      <c r="DJ52" s="17">
        <v>0.23100000000000001</v>
      </c>
      <c r="DK52" s="17">
        <v>0</v>
      </c>
      <c r="DL52" s="17">
        <v>0</v>
      </c>
      <c r="DM52" s="17">
        <v>7.0000000000000007E-2</v>
      </c>
      <c r="DN52" s="17">
        <v>0.17699999999999999</v>
      </c>
      <c r="DO52" s="17">
        <v>0.58399999999999996</v>
      </c>
      <c r="DP52" s="17">
        <v>0.58399999999999996</v>
      </c>
      <c r="DQ52" s="17">
        <v>0.38900000000000001</v>
      </c>
      <c r="DR52" s="17">
        <v>5.5E-2</v>
      </c>
      <c r="DS52" s="17">
        <v>0.193</v>
      </c>
      <c r="DT52" s="17">
        <v>5.0999999999999997E-2</v>
      </c>
      <c r="DU52" s="17">
        <v>0.215</v>
      </c>
      <c r="DV52" s="17">
        <v>5.8000000000000003E-2</v>
      </c>
      <c r="DW52" s="17">
        <v>0.219</v>
      </c>
      <c r="DX52" s="17">
        <v>0.17199999999999999</v>
      </c>
      <c r="DY52" s="17">
        <v>0.75700000000000001</v>
      </c>
      <c r="DZ52" s="17">
        <v>0</v>
      </c>
      <c r="EA52" s="17">
        <v>0.04</v>
      </c>
      <c r="EB52" s="17">
        <v>4.5999999999999999E-2</v>
      </c>
      <c r="EC52" s="17">
        <v>0.86099999999999999</v>
      </c>
      <c r="ED52" s="17">
        <v>5.2999999999999999E-2</v>
      </c>
      <c r="EE52" s="17">
        <v>0</v>
      </c>
      <c r="EF52" s="17">
        <v>0.20899999999999999</v>
      </c>
      <c r="EG52" s="17">
        <v>0</v>
      </c>
      <c r="EH52" s="17">
        <v>0.13100000000000001</v>
      </c>
      <c r="EI52" s="17">
        <v>0.34200000000000003</v>
      </c>
      <c r="EJ52" s="17">
        <v>0.19600000000000001</v>
      </c>
      <c r="EK52" s="17">
        <v>6.7000000000000004E-2</v>
      </c>
      <c r="EL52" s="17">
        <v>0.14399999999999999</v>
      </c>
      <c r="EM52" s="17">
        <v>0.28799999999999998</v>
      </c>
      <c r="EN52" s="17">
        <v>0</v>
      </c>
      <c r="EO52" s="17">
        <v>3.5999999999999997E-2</v>
      </c>
      <c r="EP52" s="17">
        <v>0.05</v>
      </c>
      <c r="EQ52" s="17">
        <v>0.49</v>
      </c>
      <c r="ER52" s="17">
        <v>0.17899999999999999</v>
      </c>
      <c r="ES52" s="17">
        <v>0.22800000000000001</v>
      </c>
      <c r="ET52" s="17">
        <v>0.113</v>
      </c>
      <c r="EU52" s="17">
        <v>0.23799999999999999</v>
      </c>
      <c r="EV52" s="17">
        <v>0.17599999999999999</v>
      </c>
      <c r="EW52" s="17">
        <v>0.222</v>
      </c>
      <c r="EX52" s="17">
        <v>0.14399999999999999</v>
      </c>
      <c r="EY52" s="17">
        <v>0.83899999999999997</v>
      </c>
      <c r="EZ52" s="17">
        <v>0.10299999999999999</v>
      </c>
      <c r="FA52" s="17">
        <v>0.30199999999999999</v>
      </c>
      <c r="FB52" s="17">
        <v>0</v>
      </c>
      <c r="FC52" s="17">
        <v>0.377</v>
      </c>
      <c r="FD52" s="17">
        <v>0.105</v>
      </c>
      <c r="FE52" s="17">
        <v>5.6000000000000001E-2</v>
      </c>
      <c r="FF52" s="17">
        <v>0</v>
      </c>
      <c r="FG52" s="17">
        <v>0.68200000000000005</v>
      </c>
      <c r="FH52" s="17">
        <v>0.49299999999999999</v>
      </c>
      <c r="FI52" s="17">
        <v>0.73599999999999999</v>
      </c>
      <c r="FJ52" s="17">
        <v>0.13600000000000001</v>
      </c>
      <c r="FK52" s="17">
        <v>0.434</v>
      </c>
      <c r="FL52" s="17">
        <v>0</v>
      </c>
      <c r="FM52" s="17">
        <v>5.2999999999999999E-2</v>
      </c>
      <c r="FN52" s="17">
        <v>5.0999999999999997E-2</v>
      </c>
      <c r="FO52" s="17">
        <v>0.11899999999999999</v>
      </c>
      <c r="FP52" s="17">
        <v>0.22500000000000001</v>
      </c>
      <c r="FQ52" s="17">
        <v>0.11899999999999999</v>
      </c>
      <c r="FR52" s="17">
        <v>0.153</v>
      </c>
      <c r="FS52" s="17">
        <v>7.2999999999999995E-2</v>
      </c>
      <c r="FT52" s="17">
        <v>0.57499999999999996</v>
      </c>
      <c r="FU52" s="17">
        <v>0.498</v>
      </c>
      <c r="FV52" s="17">
        <v>0.23300000000000001</v>
      </c>
      <c r="FW52" s="17">
        <v>0</v>
      </c>
      <c r="FX52" s="17">
        <v>0.34899999999999998</v>
      </c>
      <c r="FY52" s="17">
        <v>0.251</v>
      </c>
      <c r="FZ52" s="17">
        <v>0.72899999999999998</v>
      </c>
      <c r="GA52" s="17">
        <v>5.3999999999999999E-2</v>
      </c>
      <c r="GB52" s="17">
        <v>0.81200000000000006</v>
      </c>
      <c r="GC52" s="17">
        <v>0</v>
      </c>
      <c r="GD52" s="17">
        <v>1.119</v>
      </c>
      <c r="GE52" s="17">
        <v>0.06</v>
      </c>
      <c r="GF52" s="17">
        <v>0.38800000000000001</v>
      </c>
      <c r="GG52" s="17">
        <v>0.20399999999999999</v>
      </c>
      <c r="GH52" s="17">
        <v>8.6999999999999994E-2</v>
      </c>
      <c r="GI52" s="17">
        <v>5.1999999999999998E-2</v>
      </c>
      <c r="GJ52" s="17">
        <v>0.29699999999999999</v>
      </c>
      <c r="GK52" s="17">
        <v>0.10199999999999999</v>
      </c>
      <c r="GL52" s="17">
        <v>0.183</v>
      </c>
      <c r="GM52" s="17">
        <v>0.32600000000000001</v>
      </c>
      <c r="GN52" s="17">
        <v>4.8000000000000001E-2</v>
      </c>
      <c r="GO52" s="17">
        <v>0</v>
      </c>
      <c r="GP52" s="17">
        <v>0.218</v>
      </c>
      <c r="GQ52" s="17">
        <v>0.13300000000000001</v>
      </c>
      <c r="GR52" s="17">
        <v>5.2999999999999999E-2</v>
      </c>
      <c r="GS52" s="17">
        <v>0.14899999999999999</v>
      </c>
      <c r="GT52" s="17">
        <v>0.17799999999999999</v>
      </c>
      <c r="GU52" s="17">
        <v>0.13400000000000001</v>
      </c>
      <c r="GV52" s="17">
        <v>4.7E-2</v>
      </c>
      <c r="GW52" s="17">
        <v>0.39500000000000002</v>
      </c>
      <c r="GX52" s="17">
        <v>0.48599999999999999</v>
      </c>
      <c r="GY52" s="17">
        <v>0.20300000000000001</v>
      </c>
      <c r="GZ52" s="17">
        <v>0.128</v>
      </c>
      <c r="HA52" s="17">
        <v>0.29899999999999999</v>
      </c>
      <c r="HB52" s="17">
        <v>0.14699999999999999</v>
      </c>
      <c r="HC52" s="17">
        <v>0.14499999999999999</v>
      </c>
      <c r="HD52" s="17">
        <v>5.8999999999999997E-2</v>
      </c>
      <c r="HE52" s="17">
        <v>0</v>
      </c>
      <c r="HF52" s="17">
        <v>0</v>
      </c>
      <c r="HG52" s="17">
        <v>4.2000000000000003E-2</v>
      </c>
      <c r="HH52" s="17">
        <v>0</v>
      </c>
    </row>
  </sheetData>
  <mergeCells count="1">
    <mergeCell ref="A2:H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56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Q29" sqref="Q29"/>
    </sheetView>
  </sheetViews>
  <sheetFormatPr defaultRowHeight="15" x14ac:dyDescent="0.25"/>
  <cols>
    <col min="1" max="1" width="7.5703125" customWidth="1"/>
    <col min="2" max="2" width="9.140625" bestFit="1" customWidth="1"/>
    <col min="3" max="3" width="9" customWidth="1"/>
    <col min="4" max="6" width="11" customWidth="1"/>
    <col min="7" max="7" width="13.7109375" customWidth="1"/>
    <col min="8" max="13" width="11" customWidth="1"/>
  </cols>
  <sheetData>
    <row r="1" spans="1:13" ht="19.5" x14ac:dyDescent="0.3">
      <c r="A1" s="1" t="s">
        <v>1163</v>
      </c>
    </row>
    <row r="2" spans="1:13" x14ac:dyDescent="0.25">
      <c r="A2" s="29" t="s">
        <v>1164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4" spans="1:13" ht="30" customHeight="1" x14ac:dyDescent="0.25">
      <c r="A4" s="5" t="s">
        <v>945</v>
      </c>
      <c r="B4" s="5" t="s">
        <v>1165</v>
      </c>
      <c r="C4" s="5" t="s">
        <v>1166</v>
      </c>
      <c r="D4" s="5" t="s">
        <v>1167</v>
      </c>
      <c r="E4" s="5" t="s">
        <v>1168</v>
      </c>
      <c r="F4" s="5" t="s">
        <v>1169</v>
      </c>
      <c r="G4" s="5" t="s">
        <v>1170</v>
      </c>
      <c r="H4" s="5" t="s">
        <v>1171</v>
      </c>
      <c r="I4" s="5" t="s">
        <v>1172</v>
      </c>
      <c r="J4" s="5" t="s">
        <v>1173</v>
      </c>
      <c r="K4" s="5" t="s">
        <v>1174</v>
      </c>
      <c r="L4" s="5" t="s">
        <v>1175</v>
      </c>
      <c r="M4" s="5" t="s">
        <v>1176</v>
      </c>
    </row>
    <row r="5" spans="1:13" x14ac:dyDescent="0.25">
      <c r="A5" s="8">
        <v>1</v>
      </c>
      <c r="B5" s="19">
        <v>0</v>
      </c>
      <c r="C5" s="20">
        <f>SUM('3. Raw PV per load'!C5:C421)</f>
        <v>0</v>
      </c>
      <c r="D5" s="20">
        <f>SUMIF('4. Raw load per load'!$B$5:$B$421,"prosumer",'4. Raw load per load'!C5:C421)</f>
        <v>49.03089999999996</v>
      </c>
      <c r="E5" s="20">
        <f>SUMIF('4. Raw load per load'!$B$5:$B$421,"customer",'4. Raw load per load'!C5:C421)</f>
        <v>38.464199999999977</v>
      </c>
      <c r="F5" s="20">
        <f>SUM('5. Raw batt charge'!C5:HH5)</f>
        <v>0</v>
      </c>
      <c r="G5" s="20">
        <f>SUM('6. Raw batt discharge'!C5:HH5)</f>
        <v>48.490999999999971</v>
      </c>
      <c r="H5" s="21">
        <f t="shared" ref="H5:H52" si="0">F5-G5</f>
        <v>-48.490999999999971</v>
      </c>
      <c r="I5" s="21">
        <f t="shared" ref="I5:I52" si="1">MIN(C5,D5)</f>
        <v>0</v>
      </c>
      <c r="J5" s="21">
        <f t="shared" ref="J5:J52" si="2">MIN(C5-I5,MAX(0,H5))</f>
        <v>0</v>
      </c>
      <c r="K5" s="21">
        <f t="shared" ref="K5:K52" si="3">MIN(C5-I5-J5,E5)</f>
        <v>0</v>
      </c>
      <c r="L5" s="21">
        <f t="shared" ref="L5:L52" si="4">C5-I5-J5-K5</f>
        <v>0</v>
      </c>
      <c r="M5" s="21">
        <f t="shared" ref="M5:M52" si="5">E5-K5</f>
        <v>38.464199999999977</v>
      </c>
    </row>
    <row r="6" spans="1:13" x14ac:dyDescent="0.25">
      <c r="A6" s="8">
        <v>2</v>
      </c>
      <c r="B6" s="19">
        <v>0.5</v>
      </c>
      <c r="C6" s="20">
        <f>SUM('3. Raw PV per load'!D5:D421)</f>
        <v>0</v>
      </c>
      <c r="D6" s="20">
        <f>SUMIF('4. Raw load per load'!$B$5:$B$421,"prosumer",'4. Raw load per load'!D5:D421)</f>
        <v>41.725100000000005</v>
      </c>
      <c r="E6" s="20">
        <f>SUMIF('4. Raw load per load'!$B$5:$B$421,"customer",'4. Raw load per load'!D5:D421)</f>
        <v>34.290500000000016</v>
      </c>
      <c r="F6" s="20">
        <f>SUM('5. Raw batt charge'!C6:HH6)</f>
        <v>0</v>
      </c>
      <c r="G6" s="20">
        <f>SUM('6. Raw batt discharge'!C6:HH6)</f>
        <v>39.063999999999993</v>
      </c>
      <c r="H6" s="21">
        <f t="shared" si="0"/>
        <v>-39.063999999999993</v>
      </c>
      <c r="I6" s="21">
        <f t="shared" si="1"/>
        <v>0</v>
      </c>
      <c r="J6" s="21">
        <f t="shared" si="2"/>
        <v>0</v>
      </c>
      <c r="K6" s="21">
        <f t="shared" si="3"/>
        <v>0</v>
      </c>
      <c r="L6" s="21">
        <f t="shared" si="4"/>
        <v>0</v>
      </c>
      <c r="M6" s="21">
        <f t="shared" si="5"/>
        <v>34.290500000000016</v>
      </c>
    </row>
    <row r="7" spans="1:13" x14ac:dyDescent="0.25">
      <c r="A7" s="8">
        <v>3</v>
      </c>
      <c r="B7" s="19">
        <v>1</v>
      </c>
      <c r="C7" s="20">
        <f>SUM('3. Raw PV per load'!E5:E421)</f>
        <v>0</v>
      </c>
      <c r="D7" s="20">
        <f>SUMIF('4. Raw load per load'!$B$5:$B$421,"prosumer",'4. Raw load per load'!E5:E421)</f>
        <v>34.264500000000005</v>
      </c>
      <c r="E7" s="20">
        <f>SUMIF('4. Raw load per load'!$B$5:$B$421,"customer",'4. Raw load per load'!E5:E421)</f>
        <v>29.395900000000001</v>
      </c>
      <c r="F7" s="20">
        <f>SUM('5. Raw batt charge'!C7:HH7)</f>
        <v>0</v>
      </c>
      <c r="G7" s="20">
        <f>SUM('6. Raw batt discharge'!C7:HH7)</f>
        <v>31.06800000000003</v>
      </c>
      <c r="H7" s="21">
        <f t="shared" si="0"/>
        <v>-31.06800000000003</v>
      </c>
      <c r="I7" s="21">
        <f t="shared" si="1"/>
        <v>0</v>
      </c>
      <c r="J7" s="21">
        <f t="shared" si="2"/>
        <v>0</v>
      </c>
      <c r="K7" s="21">
        <f t="shared" si="3"/>
        <v>0</v>
      </c>
      <c r="L7" s="21">
        <f t="shared" si="4"/>
        <v>0</v>
      </c>
      <c r="M7" s="21">
        <f t="shared" si="5"/>
        <v>29.395900000000001</v>
      </c>
    </row>
    <row r="8" spans="1:13" x14ac:dyDescent="0.25">
      <c r="A8" s="8">
        <v>4</v>
      </c>
      <c r="B8" s="19">
        <v>1.5</v>
      </c>
      <c r="C8" s="20">
        <f>SUM('3. Raw PV per load'!F5:F421)</f>
        <v>0</v>
      </c>
      <c r="D8" s="20">
        <f>SUMIF('4. Raw load per load'!$B$5:$B$421,"prosumer",'4. Raw load per load'!F5:F421)</f>
        <v>32.820100000000004</v>
      </c>
      <c r="E8" s="20">
        <f>SUMIF('4. Raw load per load'!$B$5:$B$421,"customer",'4. Raw load per load'!F5:F421)</f>
        <v>27.832799999999995</v>
      </c>
      <c r="F8" s="20">
        <f>SUM('5. Raw batt charge'!C8:HH8)</f>
        <v>0</v>
      </c>
      <c r="G8" s="20">
        <f>SUM('6. Raw batt discharge'!C8:HH8)</f>
        <v>28.306000000000008</v>
      </c>
      <c r="H8" s="21">
        <f t="shared" si="0"/>
        <v>-28.306000000000008</v>
      </c>
      <c r="I8" s="21">
        <f t="shared" si="1"/>
        <v>0</v>
      </c>
      <c r="J8" s="21">
        <f t="shared" si="2"/>
        <v>0</v>
      </c>
      <c r="K8" s="21">
        <f t="shared" si="3"/>
        <v>0</v>
      </c>
      <c r="L8" s="21">
        <f t="shared" si="4"/>
        <v>0</v>
      </c>
      <c r="M8" s="21">
        <f t="shared" si="5"/>
        <v>27.832799999999995</v>
      </c>
    </row>
    <row r="9" spans="1:13" x14ac:dyDescent="0.25">
      <c r="A9" s="8">
        <v>5</v>
      </c>
      <c r="B9" s="19">
        <v>2</v>
      </c>
      <c r="C9" s="20">
        <f>SUM('3. Raw PV per load'!G5:G421)</f>
        <v>0</v>
      </c>
      <c r="D9" s="20">
        <f>SUMIF('4. Raw load per load'!$B$5:$B$421,"prosumer",'4. Raw load per load'!G5:G421)</f>
        <v>28.125500000000006</v>
      </c>
      <c r="E9" s="20">
        <f>SUMIF('4. Raw load per load'!$B$5:$B$421,"customer",'4. Raw load per load'!G5:G421)</f>
        <v>25.644200000000009</v>
      </c>
      <c r="F9" s="20">
        <f>SUM('5. Raw batt charge'!C9:HH9)</f>
        <v>0</v>
      </c>
      <c r="G9" s="20">
        <f>SUM('6. Raw batt discharge'!C9:HH9)</f>
        <v>25.164999999999999</v>
      </c>
      <c r="H9" s="21">
        <f t="shared" si="0"/>
        <v>-25.164999999999999</v>
      </c>
      <c r="I9" s="21">
        <f t="shared" si="1"/>
        <v>0</v>
      </c>
      <c r="J9" s="21">
        <f t="shared" si="2"/>
        <v>0</v>
      </c>
      <c r="K9" s="21">
        <f t="shared" si="3"/>
        <v>0</v>
      </c>
      <c r="L9" s="21">
        <f t="shared" si="4"/>
        <v>0</v>
      </c>
      <c r="M9" s="21">
        <f t="shared" si="5"/>
        <v>25.644200000000009</v>
      </c>
    </row>
    <row r="10" spans="1:13" x14ac:dyDescent="0.25">
      <c r="A10" s="8">
        <v>6</v>
      </c>
      <c r="B10" s="19">
        <v>2.5</v>
      </c>
      <c r="C10" s="20">
        <f>SUM('3. Raw PV per load'!H5:H421)</f>
        <v>0</v>
      </c>
      <c r="D10" s="20">
        <f>SUMIF('4. Raw load per load'!$B$5:$B$421,"prosumer",'4. Raw load per load'!H5:H421)</f>
        <v>24.26290000000002</v>
      </c>
      <c r="E10" s="20">
        <f>SUMIF('4. Raw load per load'!$B$5:$B$421,"customer",'4. Raw load per load'!H5:H421)</f>
        <v>26.210599999999985</v>
      </c>
      <c r="F10" s="20">
        <f>SUM('5. Raw batt charge'!C10:HH10)</f>
        <v>0</v>
      </c>
      <c r="G10" s="20">
        <f>SUM('6. Raw batt discharge'!C10:HH10)</f>
        <v>22.204000000000008</v>
      </c>
      <c r="H10" s="21">
        <f t="shared" si="0"/>
        <v>-22.204000000000008</v>
      </c>
      <c r="I10" s="21">
        <f t="shared" si="1"/>
        <v>0</v>
      </c>
      <c r="J10" s="21">
        <f t="shared" si="2"/>
        <v>0</v>
      </c>
      <c r="K10" s="21">
        <f t="shared" si="3"/>
        <v>0</v>
      </c>
      <c r="L10" s="21">
        <f t="shared" si="4"/>
        <v>0</v>
      </c>
      <c r="M10" s="21">
        <f t="shared" si="5"/>
        <v>26.210599999999985</v>
      </c>
    </row>
    <row r="11" spans="1:13" x14ac:dyDescent="0.25">
      <c r="A11" s="8">
        <v>7</v>
      </c>
      <c r="B11" s="19">
        <v>3</v>
      </c>
      <c r="C11" s="20">
        <f>SUM('3. Raw PV per load'!I5:I421)</f>
        <v>0</v>
      </c>
      <c r="D11" s="20">
        <f>SUMIF('4. Raw load per load'!$B$5:$B$421,"prosumer",'4. Raw load per load'!I5:I421)</f>
        <v>28.319500000000001</v>
      </c>
      <c r="E11" s="20">
        <f>SUMIF('4. Raw load per load'!$B$5:$B$421,"customer",'4. Raw load per load'!I5:I421)</f>
        <v>25.967100000000009</v>
      </c>
      <c r="F11" s="20">
        <f>SUM('5. Raw batt charge'!C11:HH11)</f>
        <v>0</v>
      </c>
      <c r="G11" s="20">
        <f>SUM('6. Raw batt discharge'!C11:HH11)</f>
        <v>26.815999999999995</v>
      </c>
      <c r="H11" s="21">
        <f t="shared" si="0"/>
        <v>-26.815999999999995</v>
      </c>
      <c r="I11" s="21">
        <f t="shared" si="1"/>
        <v>0</v>
      </c>
      <c r="J11" s="21">
        <f t="shared" si="2"/>
        <v>0</v>
      </c>
      <c r="K11" s="21">
        <f t="shared" si="3"/>
        <v>0</v>
      </c>
      <c r="L11" s="21">
        <f t="shared" si="4"/>
        <v>0</v>
      </c>
      <c r="M11" s="21">
        <f t="shared" si="5"/>
        <v>25.967100000000009</v>
      </c>
    </row>
    <row r="12" spans="1:13" x14ac:dyDescent="0.25">
      <c r="A12" s="8">
        <v>8</v>
      </c>
      <c r="B12" s="19">
        <v>3.5</v>
      </c>
      <c r="C12" s="20">
        <f>SUM('3. Raw PV per load'!J5:J421)</f>
        <v>0.54229999999999945</v>
      </c>
      <c r="D12" s="20">
        <f>SUMIF('4. Raw load per load'!$B$5:$B$421,"prosumer",'4. Raw load per load'!J5:J421)</f>
        <v>26.717399999999998</v>
      </c>
      <c r="E12" s="20">
        <f>SUMIF('4. Raw load per load'!$B$5:$B$421,"customer",'4. Raw load per load'!J5:J421)</f>
        <v>27.073300000000003</v>
      </c>
      <c r="F12" s="20">
        <f>SUM('5. Raw batt charge'!C12:HH12)</f>
        <v>0</v>
      </c>
      <c r="G12" s="20">
        <f>SUM('6. Raw batt discharge'!C12:HH12)</f>
        <v>23.91800000000001</v>
      </c>
      <c r="H12" s="21">
        <f t="shared" si="0"/>
        <v>-23.91800000000001</v>
      </c>
      <c r="I12" s="21">
        <f t="shared" si="1"/>
        <v>0.54229999999999945</v>
      </c>
      <c r="J12" s="21">
        <f t="shared" si="2"/>
        <v>0</v>
      </c>
      <c r="K12" s="21">
        <f t="shared" si="3"/>
        <v>0</v>
      </c>
      <c r="L12" s="21">
        <f t="shared" si="4"/>
        <v>0</v>
      </c>
      <c r="M12" s="21">
        <f t="shared" si="5"/>
        <v>27.073300000000003</v>
      </c>
    </row>
    <row r="13" spans="1:13" x14ac:dyDescent="0.25">
      <c r="A13" s="8">
        <v>9</v>
      </c>
      <c r="B13" s="19">
        <v>4</v>
      </c>
      <c r="C13" s="20">
        <f>SUM('3. Raw PV per load'!K5:K421)</f>
        <v>7.8518999999999943</v>
      </c>
      <c r="D13" s="20">
        <f>SUMIF('4. Raw load per load'!$B$5:$B$421,"prosumer",'4. Raw load per load'!K5:K421)</f>
        <v>28.673099999999998</v>
      </c>
      <c r="E13" s="20">
        <f>SUMIF('4. Raw load per load'!$B$5:$B$421,"customer",'4. Raw load per load'!K5:K421)</f>
        <v>23.581799999999998</v>
      </c>
      <c r="F13" s="20">
        <f>SUM('5. Raw batt charge'!C13:HH13)</f>
        <v>7.3999999999999982E-2</v>
      </c>
      <c r="G13" s="20">
        <f>SUM('6. Raw batt discharge'!C13:HH13)</f>
        <v>18.4529</v>
      </c>
      <c r="H13" s="21">
        <f t="shared" si="0"/>
        <v>-18.378899999999998</v>
      </c>
      <c r="I13" s="21">
        <f t="shared" si="1"/>
        <v>7.8518999999999943</v>
      </c>
      <c r="J13" s="21">
        <f t="shared" si="2"/>
        <v>0</v>
      </c>
      <c r="K13" s="21">
        <f t="shared" si="3"/>
        <v>0</v>
      </c>
      <c r="L13" s="21">
        <f t="shared" si="4"/>
        <v>0</v>
      </c>
      <c r="M13" s="21">
        <f t="shared" si="5"/>
        <v>23.581799999999998</v>
      </c>
    </row>
    <row r="14" spans="1:13" x14ac:dyDescent="0.25">
      <c r="A14" s="8">
        <v>10</v>
      </c>
      <c r="B14" s="19">
        <v>4.5</v>
      </c>
      <c r="C14" s="20">
        <f>SUM('3. Raw PV per load'!L5:L421)</f>
        <v>36.719699999999946</v>
      </c>
      <c r="D14" s="20">
        <f>SUMIF('4. Raw load per load'!$B$5:$B$421,"prosumer",'4. Raw load per load'!L5:L421)</f>
        <v>27.693899999999989</v>
      </c>
      <c r="E14" s="20">
        <f>SUMIF('4. Raw load per load'!$B$5:$B$421,"customer",'4. Raw load per load'!L5:L421)</f>
        <v>25.315499999999989</v>
      </c>
      <c r="F14" s="20">
        <f>SUM('5. Raw batt charge'!C14:HH14)</f>
        <v>13.551000000000005</v>
      </c>
      <c r="G14" s="20">
        <f>SUM('6. Raw batt discharge'!C14:HH14)</f>
        <v>3.8549999999999986</v>
      </c>
      <c r="H14" s="21">
        <f t="shared" si="0"/>
        <v>9.6960000000000068</v>
      </c>
      <c r="I14" s="21">
        <f t="shared" si="1"/>
        <v>27.693899999999989</v>
      </c>
      <c r="J14" s="21">
        <f t="shared" si="2"/>
        <v>9.0257999999999576</v>
      </c>
      <c r="K14" s="21">
        <f t="shared" si="3"/>
        <v>0</v>
      </c>
      <c r="L14" s="21">
        <f t="shared" si="4"/>
        <v>0</v>
      </c>
      <c r="M14" s="21">
        <f t="shared" si="5"/>
        <v>25.315499999999989</v>
      </c>
    </row>
    <row r="15" spans="1:13" x14ac:dyDescent="0.25">
      <c r="A15" s="8">
        <v>11</v>
      </c>
      <c r="B15" s="19">
        <v>5</v>
      </c>
      <c r="C15" s="20">
        <f>SUM('3. Raw PV per load'!M5:M421)</f>
        <v>72.83139999999996</v>
      </c>
      <c r="D15" s="20">
        <f>SUMIF('4. Raw load per load'!$B$5:$B$421,"prosumer",'4. Raw load per load'!M5:M421)</f>
        <v>25.194800000000004</v>
      </c>
      <c r="E15" s="20">
        <f>SUMIF('4. Raw load per load'!$B$5:$B$421,"customer",'4. Raw load per load'!M5:M421)</f>
        <v>24.396799999999992</v>
      </c>
      <c r="F15" s="20">
        <f>SUM('5. Raw batt charge'!C15:HH15)</f>
        <v>49.092999999999996</v>
      </c>
      <c r="G15" s="20">
        <f>SUM('6. Raw batt discharge'!C15:HH15)</f>
        <v>1.4300000000000002</v>
      </c>
      <c r="H15" s="21">
        <f t="shared" si="0"/>
        <v>47.662999999999997</v>
      </c>
      <c r="I15" s="21">
        <f t="shared" si="1"/>
        <v>25.194800000000004</v>
      </c>
      <c r="J15" s="21">
        <f t="shared" si="2"/>
        <v>47.636599999999959</v>
      </c>
      <c r="K15" s="21">
        <f t="shared" si="3"/>
        <v>0</v>
      </c>
      <c r="L15" s="21">
        <f t="shared" si="4"/>
        <v>0</v>
      </c>
      <c r="M15" s="21">
        <f t="shared" si="5"/>
        <v>24.396799999999992</v>
      </c>
    </row>
    <row r="16" spans="1:13" x14ac:dyDescent="0.25">
      <c r="A16" s="8">
        <v>12</v>
      </c>
      <c r="B16" s="19">
        <v>5.5</v>
      </c>
      <c r="C16" s="20">
        <f>SUM('3. Raw PV per load'!N5:N421)</f>
        <v>117.12380000000013</v>
      </c>
      <c r="D16" s="20">
        <f>SUMIF('4. Raw load per load'!$B$5:$B$421,"prosumer",'4. Raw load per load'!N5:N421)</f>
        <v>27.214300000000005</v>
      </c>
      <c r="E16" s="20">
        <f>SUMIF('4. Raw load per load'!$B$5:$B$421,"customer",'4. Raw load per load'!N5:N421)</f>
        <v>28.043600000000005</v>
      </c>
      <c r="F16" s="20">
        <f>SUM('5. Raw batt charge'!C16:HH16)</f>
        <v>90.230999999999995</v>
      </c>
      <c r="G16" s="20">
        <f>SUM('6. Raw batt discharge'!C16:HH16)</f>
        <v>0.317</v>
      </c>
      <c r="H16" s="21">
        <f t="shared" si="0"/>
        <v>89.914000000000001</v>
      </c>
      <c r="I16" s="21">
        <f t="shared" si="1"/>
        <v>27.214300000000005</v>
      </c>
      <c r="J16" s="21">
        <f t="shared" si="2"/>
        <v>89.909500000000122</v>
      </c>
      <c r="K16" s="21">
        <f t="shared" si="3"/>
        <v>0</v>
      </c>
      <c r="L16" s="21">
        <f t="shared" si="4"/>
        <v>0</v>
      </c>
      <c r="M16" s="21">
        <f t="shared" si="5"/>
        <v>28.043600000000005</v>
      </c>
    </row>
    <row r="17" spans="1:13" x14ac:dyDescent="0.25">
      <c r="A17" s="8">
        <v>13</v>
      </c>
      <c r="B17" s="19">
        <v>6</v>
      </c>
      <c r="C17" s="20">
        <f>SUM('3. Raw PV per load'!O5:O421)</f>
        <v>165.43729999999982</v>
      </c>
      <c r="D17" s="20">
        <f>SUMIF('4. Raw load per load'!$B$5:$B$421,"prosumer",'4. Raw load per load'!O5:O421)</f>
        <v>29.766400000000012</v>
      </c>
      <c r="E17" s="20">
        <f>SUMIF('4. Raw load per load'!$B$5:$B$421,"customer",'4. Raw load per load'!O5:O421)</f>
        <v>27.146000000000001</v>
      </c>
      <c r="F17" s="20">
        <f>SUM('5. Raw batt charge'!C17:HH17)</f>
        <v>136.52799999999996</v>
      </c>
      <c r="G17" s="20">
        <f>SUM('6. Raw batt discharge'!C17:HH17)</f>
        <v>0.84599999999999997</v>
      </c>
      <c r="H17" s="21">
        <f t="shared" si="0"/>
        <v>135.68199999999996</v>
      </c>
      <c r="I17" s="21">
        <f t="shared" si="1"/>
        <v>29.766400000000012</v>
      </c>
      <c r="J17" s="21">
        <f t="shared" si="2"/>
        <v>135.67089999999982</v>
      </c>
      <c r="K17" s="21">
        <f t="shared" si="3"/>
        <v>0</v>
      </c>
      <c r="L17" s="21">
        <f t="shared" si="4"/>
        <v>0</v>
      </c>
      <c r="M17" s="21">
        <f t="shared" si="5"/>
        <v>27.146000000000001</v>
      </c>
    </row>
    <row r="18" spans="1:13" x14ac:dyDescent="0.25">
      <c r="A18" s="8">
        <v>14</v>
      </c>
      <c r="B18" s="19">
        <v>6.5</v>
      </c>
      <c r="C18" s="20">
        <f>SUM('3. Raw PV per load'!P5:P421)</f>
        <v>214.35239999999996</v>
      </c>
      <c r="D18" s="20">
        <f>SUMIF('4. Raw load per load'!$B$5:$B$421,"prosumer",'4. Raw load per load'!P5:P421)</f>
        <v>31.998900000000006</v>
      </c>
      <c r="E18" s="20">
        <f>SUMIF('4. Raw load per load'!$B$5:$B$421,"customer",'4. Raw load per load'!P5:P421)</f>
        <v>27.140199999999982</v>
      </c>
      <c r="F18" s="20">
        <f>SUM('5. Raw batt charge'!C18:HH18)</f>
        <v>183.49800000000002</v>
      </c>
      <c r="G18" s="20">
        <f>SUM('6. Raw batt discharge'!C18:HH18)</f>
        <v>1.1439999999999999</v>
      </c>
      <c r="H18" s="21">
        <f t="shared" si="0"/>
        <v>182.35400000000001</v>
      </c>
      <c r="I18" s="21">
        <f t="shared" si="1"/>
        <v>31.998900000000006</v>
      </c>
      <c r="J18" s="21">
        <f t="shared" si="2"/>
        <v>182.35349999999994</v>
      </c>
      <c r="K18" s="21">
        <f t="shared" si="3"/>
        <v>0</v>
      </c>
      <c r="L18" s="21">
        <f t="shared" si="4"/>
        <v>0</v>
      </c>
      <c r="M18" s="21">
        <f t="shared" si="5"/>
        <v>27.140199999999982</v>
      </c>
    </row>
    <row r="19" spans="1:13" x14ac:dyDescent="0.25">
      <c r="A19" s="8">
        <v>15</v>
      </c>
      <c r="B19" s="19">
        <v>7</v>
      </c>
      <c r="C19" s="20">
        <f>SUM('3. Raw PV per load'!Q5:Q421)</f>
        <v>263.01579999999996</v>
      </c>
      <c r="D19" s="20">
        <f>SUMIF('4. Raw load per load'!$B$5:$B$421,"prosumer",'4. Raw load per load'!Q5:Q421)</f>
        <v>39.402100000000033</v>
      </c>
      <c r="E19" s="20">
        <f>SUMIF('4. Raw load per load'!$B$5:$B$421,"customer",'4. Raw load per load'!Q5:Q421)</f>
        <v>43.789300000000011</v>
      </c>
      <c r="F19" s="20">
        <f>SUM('5. Raw batt charge'!C19:HH19)</f>
        <v>224.60599999999999</v>
      </c>
      <c r="G19" s="20">
        <f>SUM('6. Raw batt discharge'!C19:HH19)</f>
        <v>0.99</v>
      </c>
      <c r="H19" s="21">
        <f t="shared" si="0"/>
        <v>223.61599999999999</v>
      </c>
      <c r="I19" s="21">
        <f t="shared" si="1"/>
        <v>39.402100000000033</v>
      </c>
      <c r="J19" s="21">
        <f t="shared" si="2"/>
        <v>223.61369999999994</v>
      </c>
      <c r="K19" s="21">
        <f t="shared" si="3"/>
        <v>0</v>
      </c>
      <c r="L19" s="21">
        <f t="shared" si="4"/>
        <v>0</v>
      </c>
      <c r="M19" s="21">
        <f t="shared" si="5"/>
        <v>43.789300000000011</v>
      </c>
    </row>
    <row r="20" spans="1:13" x14ac:dyDescent="0.25">
      <c r="A20" s="8">
        <v>16</v>
      </c>
      <c r="B20" s="19">
        <v>7.5</v>
      </c>
      <c r="C20" s="20">
        <f>SUM('3. Raw PV per load'!R5:R421)</f>
        <v>311.74200000000047</v>
      </c>
      <c r="D20" s="20">
        <f>SUMIF('4. Raw load per load'!$B$5:$B$421,"prosumer",'4. Raw load per load'!R5:R421)</f>
        <v>49.435199999999995</v>
      </c>
      <c r="E20" s="20">
        <f>SUMIF('4. Raw load per load'!$B$5:$B$421,"customer",'4. Raw load per load'!R5:R421)</f>
        <v>44.662200000000006</v>
      </c>
      <c r="F20" s="20">
        <f>SUM('5. Raw batt charge'!C20:HH20)</f>
        <v>245.82000000000005</v>
      </c>
      <c r="G20" s="20">
        <f>SUM('6. Raw batt discharge'!C20:HH20)</f>
        <v>1.8010000000000002</v>
      </c>
      <c r="H20" s="21">
        <f t="shared" si="0"/>
        <v>244.01900000000006</v>
      </c>
      <c r="I20" s="21">
        <f t="shared" si="1"/>
        <v>49.435199999999995</v>
      </c>
      <c r="J20" s="21">
        <f t="shared" si="2"/>
        <v>244.01900000000006</v>
      </c>
      <c r="K20" s="21">
        <f t="shared" si="3"/>
        <v>18.287800000000402</v>
      </c>
      <c r="L20" s="21">
        <f t="shared" si="4"/>
        <v>0</v>
      </c>
      <c r="M20" s="21">
        <f t="shared" si="5"/>
        <v>26.374399999999603</v>
      </c>
    </row>
    <row r="21" spans="1:13" x14ac:dyDescent="0.25">
      <c r="A21" s="8">
        <v>17</v>
      </c>
      <c r="B21" s="19">
        <v>8</v>
      </c>
      <c r="C21" s="20">
        <f>SUM('3. Raw PV per load'!S5:S421)</f>
        <v>357.4781000000001</v>
      </c>
      <c r="D21" s="20">
        <f>SUMIF('4. Raw load per load'!$B$5:$B$421,"prosumer",'4. Raw load per load'!S5:S421)</f>
        <v>71.473099999999988</v>
      </c>
      <c r="E21" s="20">
        <f>SUMIF('4. Raw load per load'!$B$5:$B$421,"customer",'4. Raw load per load'!S5:S421)</f>
        <v>56.198800000000006</v>
      </c>
      <c r="F21" s="20">
        <f>SUM('5. Raw batt charge'!C21:HH21)</f>
        <v>178.1579999999999</v>
      </c>
      <c r="G21" s="20">
        <f>SUM('6. Raw batt discharge'!C21:HH21)</f>
        <v>6.2840000000000007</v>
      </c>
      <c r="H21" s="21">
        <f t="shared" si="0"/>
        <v>171.87399999999991</v>
      </c>
      <c r="I21" s="21">
        <f t="shared" si="1"/>
        <v>71.473099999999988</v>
      </c>
      <c r="J21" s="21">
        <f t="shared" si="2"/>
        <v>171.87399999999991</v>
      </c>
      <c r="K21" s="21">
        <f t="shared" si="3"/>
        <v>56.198800000000006</v>
      </c>
      <c r="L21" s="21">
        <f t="shared" si="4"/>
        <v>57.932200000000194</v>
      </c>
      <c r="M21" s="21">
        <f t="shared" si="5"/>
        <v>0</v>
      </c>
    </row>
    <row r="22" spans="1:13" x14ac:dyDescent="0.25">
      <c r="A22" s="8">
        <v>18</v>
      </c>
      <c r="B22" s="19">
        <v>8.5</v>
      </c>
      <c r="C22" s="20">
        <f>SUM('3. Raw PV per load'!T5:T421)</f>
        <v>400.4759999999996</v>
      </c>
      <c r="D22" s="20">
        <f>SUMIF('4. Raw load per load'!$B$5:$B$421,"prosumer",'4. Raw load per load'!T5:T421)</f>
        <v>89.568200000000004</v>
      </c>
      <c r="E22" s="20">
        <f>SUMIF('4. Raw load per load'!$B$5:$B$421,"customer",'4. Raw load per load'!T5:T421)</f>
        <v>56.679400000000015</v>
      </c>
      <c r="F22" s="20">
        <f>SUM('5. Raw batt charge'!C22:HH22)</f>
        <v>101.92699999999998</v>
      </c>
      <c r="G22" s="20">
        <f>SUM('6. Raw batt discharge'!C22:HH22)</f>
        <v>7.9479999999999995</v>
      </c>
      <c r="H22" s="21">
        <f t="shared" si="0"/>
        <v>93.978999999999985</v>
      </c>
      <c r="I22" s="21">
        <f t="shared" si="1"/>
        <v>89.568200000000004</v>
      </c>
      <c r="J22" s="21">
        <f t="shared" si="2"/>
        <v>93.978999999999985</v>
      </c>
      <c r="K22" s="21">
        <f t="shared" si="3"/>
        <v>56.679400000000015</v>
      </c>
      <c r="L22" s="21">
        <f t="shared" si="4"/>
        <v>160.24939999999961</v>
      </c>
      <c r="M22" s="21">
        <f t="shared" si="5"/>
        <v>0</v>
      </c>
    </row>
    <row r="23" spans="1:13" x14ac:dyDescent="0.25">
      <c r="A23" s="8">
        <v>19</v>
      </c>
      <c r="B23" s="19">
        <v>9</v>
      </c>
      <c r="C23" s="20">
        <f>SUM('3. Raw PV per load'!U5:U421)</f>
        <v>437.09069999999906</v>
      </c>
      <c r="D23" s="20">
        <f>SUMIF('4. Raw load per load'!$B$5:$B$421,"prosumer",'4. Raw load per load'!U5:U421)</f>
        <v>88.041800000000023</v>
      </c>
      <c r="E23" s="20">
        <f>SUMIF('4. Raw load per load'!$B$5:$B$421,"customer",'4. Raw load per load'!U5:U421)</f>
        <v>62.827599999999983</v>
      </c>
      <c r="F23" s="20">
        <f>SUM('5. Raw batt charge'!C23:HH23)</f>
        <v>68.424999999999997</v>
      </c>
      <c r="G23" s="20">
        <f>SUM('6. Raw batt discharge'!C23:HH23)</f>
        <v>4.5439999999999996</v>
      </c>
      <c r="H23" s="21">
        <f t="shared" si="0"/>
        <v>63.881</v>
      </c>
      <c r="I23" s="21">
        <f t="shared" si="1"/>
        <v>88.041800000000023</v>
      </c>
      <c r="J23" s="21">
        <f t="shared" si="2"/>
        <v>63.881</v>
      </c>
      <c r="K23" s="21">
        <f t="shared" si="3"/>
        <v>62.827599999999983</v>
      </c>
      <c r="L23" s="21">
        <f t="shared" si="4"/>
        <v>222.34029999999902</v>
      </c>
      <c r="M23" s="21">
        <f t="shared" si="5"/>
        <v>0</v>
      </c>
    </row>
    <row r="24" spans="1:13" x14ac:dyDescent="0.25">
      <c r="A24" s="8">
        <v>20</v>
      </c>
      <c r="B24" s="19">
        <v>9.5</v>
      </c>
      <c r="C24" s="20">
        <f>SUM('3. Raw PV per load'!V5:V421)</f>
        <v>468.32040000000046</v>
      </c>
      <c r="D24" s="20">
        <f>SUMIF('4. Raw load per load'!$B$5:$B$421,"prosumer",'4. Raw load per load'!V5:V421)</f>
        <v>88.382799999999961</v>
      </c>
      <c r="E24" s="20">
        <f>SUMIF('4. Raw load per load'!$B$5:$B$421,"customer",'4. Raw load per load'!V5:V421)</f>
        <v>72.577199999999991</v>
      </c>
      <c r="F24" s="20">
        <f>SUM('5. Raw batt charge'!C24:HH24)</f>
        <v>50.507999999999996</v>
      </c>
      <c r="G24" s="20">
        <f>SUM('6. Raw batt discharge'!C24:HH24)</f>
        <v>5.9089999999999998</v>
      </c>
      <c r="H24" s="21">
        <f t="shared" si="0"/>
        <v>44.598999999999997</v>
      </c>
      <c r="I24" s="21">
        <f t="shared" si="1"/>
        <v>88.382799999999961</v>
      </c>
      <c r="J24" s="21">
        <f t="shared" si="2"/>
        <v>44.598999999999997</v>
      </c>
      <c r="K24" s="21">
        <f t="shared" si="3"/>
        <v>72.577199999999991</v>
      </c>
      <c r="L24" s="21">
        <f t="shared" si="4"/>
        <v>262.76140000000049</v>
      </c>
      <c r="M24" s="21">
        <f t="shared" si="5"/>
        <v>0</v>
      </c>
    </row>
    <row r="25" spans="1:13" x14ac:dyDescent="0.25">
      <c r="A25" s="8">
        <v>21</v>
      </c>
      <c r="B25" s="19">
        <v>10</v>
      </c>
      <c r="C25" s="20">
        <f>SUM('3. Raw PV per load'!W5:W421)</f>
        <v>495.72749999999922</v>
      </c>
      <c r="D25" s="20">
        <f>SUMIF('4. Raw load per load'!$B$5:$B$421,"prosumer",'4. Raw load per load'!W5:W421)</f>
        <v>87.603299999999976</v>
      </c>
      <c r="E25" s="20">
        <f>SUMIF('4. Raw load per load'!$B$5:$B$421,"customer",'4. Raw load per load'!W5:W421)</f>
        <v>67.148599999999988</v>
      </c>
      <c r="F25" s="20">
        <f>SUM('5. Raw batt charge'!C25:HH25)</f>
        <v>29.586999999999996</v>
      </c>
      <c r="G25" s="20">
        <f>SUM('6. Raw batt discharge'!C25:HH25)</f>
        <v>6.8879999999999999</v>
      </c>
      <c r="H25" s="21">
        <f t="shared" si="0"/>
        <v>22.698999999999998</v>
      </c>
      <c r="I25" s="21">
        <f t="shared" si="1"/>
        <v>87.603299999999976</v>
      </c>
      <c r="J25" s="21">
        <f t="shared" si="2"/>
        <v>22.698999999999998</v>
      </c>
      <c r="K25" s="21">
        <f t="shared" si="3"/>
        <v>67.148599999999988</v>
      </c>
      <c r="L25" s="21">
        <f t="shared" si="4"/>
        <v>318.27659999999923</v>
      </c>
      <c r="M25" s="21">
        <f t="shared" si="5"/>
        <v>0</v>
      </c>
    </row>
    <row r="26" spans="1:13" x14ac:dyDescent="0.25">
      <c r="A26" s="8">
        <v>22</v>
      </c>
      <c r="B26" s="19">
        <v>10.5</v>
      </c>
      <c r="C26" s="20">
        <f>SUM('3. Raw PV per load'!X5:X421)</f>
        <v>518.35419999999965</v>
      </c>
      <c r="D26" s="20">
        <f>SUMIF('4. Raw load per load'!$B$5:$B$421,"prosumer",'4. Raw load per load'!X5:X421)</f>
        <v>74.046799999999962</v>
      </c>
      <c r="E26" s="20">
        <f>SUMIF('4. Raw load per load'!$B$5:$B$421,"customer",'4. Raw load per load'!X5:X421)</f>
        <v>73.821900000000014</v>
      </c>
      <c r="F26" s="20">
        <f>SUM('5. Raw batt charge'!C26:HH26)</f>
        <v>29.148</v>
      </c>
      <c r="G26" s="20">
        <f>SUM('6. Raw batt discharge'!C26:HH26)</f>
        <v>4.9550000000000001</v>
      </c>
      <c r="H26" s="21">
        <f t="shared" si="0"/>
        <v>24.192999999999998</v>
      </c>
      <c r="I26" s="21">
        <f t="shared" si="1"/>
        <v>74.046799999999962</v>
      </c>
      <c r="J26" s="21">
        <f t="shared" si="2"/>
        <v>24.192999999999998</v>
      </c>
      <c r="K26" s="21">
        <f t="shared" si="3"/>
        <v>73.821900000000014</v>
      </c>
      <c r="L26" s="21">
        <f t="shared" si="4"/>
        <v>346.29249999999968</v>
      </c>
      <c r="M26" s="21">
        <f t="shared" si="5"/>
        <v>0</v>
      </c>
    </row>
    <row r="27" spans="1:13" x14ac:dyDescent="0.25">
      <c r="A27" s="8">
        <v>23</v>
      </c>
      <c r="B27" s="19">
        <v>11</v>
      </c>
      <c r="C27" s="20">
        <f>SUM('3. Raw PV per load'!Y5:Y421)</f>
        <v>534.4052999999991</v>
      </c>
      <c r="D27" s="20">
        <f>SUMIF('4. Raw load per load'!$B$5:$B$421,"prosumer",'4. Raw load per load'!Y5:Y421)</f>
        <v>75.056600000000017</v>
      </c>
      <c r="E27" s="20">
        <f>SUMIF('4. Raw load per load'!$B$5:$B$421,"customer",'4. Raw load per load'!Y5:Y421)</f>
        <v>80.773900000000054</v>
      </c>
      <c r="F27" s="20">
        <f>SUM('5. Raw batt charge'!C27:HH27)</f>
        <v>24.151000000000003</v>
      </c>
      <c r="G27" s="20">
        <f>SUM('6. Raw batt discharge'!C27:HH27)</f>
        <v>1.22</v>
      </c>
      <c r="H27" s="21">
        <f t="shared" si="0"/>
        <v>22.931000000000004</v>
      </c>
      <c r="I27" s="21">
        <f t="shared" si="1"/>
        <v>75.056600000000017</v>
      </c>
      <c r="J27" s="21">
        <f t="shared" si="2"/>
        <v>22.931000000000004</v>
      </c>
      <c r="K27" s="21">
        <f t="shared" si="3"/>
        <v>80.773900000000054</v>
      </c>
      <c r="L27" s="21">
        <f t="shared" si="4"/>
        <v>355.64379999999903</v>
      </c>
      <c r="M27" s="21">
        <f t="shared" si="5"/>
        <v>0</v>
      </c>
    </row>
    <row r="28" spans="1:13" x14ac:dyDescent="0.25">
      <c r="A28" s="8">
        <v>24</v>
      </c>
      <c r="B28" s="19">
        <v>11.5</v>
      </c>
      <c r="C28" s="20">
        <f>SUM('3. Raw PV per load'!Z5:Z421)</f>
        <v>541.4481000000003</v>
      </c>
      <c r="D28" s="20">
        <f>SUMIF('4. Raw load per load'!$B$5:$B$421,"prosumer",'4. Raw load per load'!Z5:Z421)</f>
        <v>71.260199999999983</v>
      </c>
      <c r="E28" s="20">
        <f>SUMIF('4. Raw load per load'!$B$5:$B$421,"customer",'4. Raw load per load'!Z5:Z421)</f>
        <v>81.938299999999998</v>
      </c>
      <c r="F28" s="20">
        <f>SUM('5. Raw batt charge'!C28:HH28)</f>
        <v>17.691000000000003</v>
      </c>
      <c r="G28" s="20">
        <f>SUM('6. Raw batt discharge'!C28:HH28)</f>
        <v>1.87</v>
      </c>
      <c r="H28" s="21">
        <f t="shared" si="0"/>
        <v>15.821000000000002</v>
      </c>
      <c r="I28" s="21">
        <f t="shared" si="1"/>
        <v>71.260199999999983</v>
      </c>
      <c r="J28" s="21">
        <f t="shared" si="2"/>
        <v>15.821000000000002</v>
      </c>
      <c r="K28" s="21">
        <f t="shared" si="3"/>
        <v>81.938299999999998</v>
      </c>
      <c r="L28" s="21">
        <f t="shared" si="4"/>
        <v>372.4286000000003</v>
      </c>
      <c r="M28" s="21">
        <f t="shared" si="5"/>
        <v>0</v>
      </c>
    </row>
    <row r="29" spans="1:13" x14ac:dyDescent="0.25">
      <c r="A29" s="8">
        <v>25</v>
      </c>
      <c r="B29" s="19">
        <v>12</v>
      </c>
      <c r="C29" s="20">
        <f>SUM('3. Raw PV per load'!AA5:AA421)</f>
        <v>543.4846</v>
      </c>
      <c r="D29" s="20">
        <f>SUMIF('4. Raw load per load'!$B$5:$B$421,"prosumer",'4. Raw load per load'!AA5:AA421)</f>
        <v>90.710799999999992</v>
      </c>
      <c r="E29" s="20">
        <f>SUMIF('4. Raw load per load'!$B$5:$B$421,"customer",'4. Raw load per load'!AA5:AA421)</f>
        <v>72.580500000000072</v>
      </c>
      <c r="F29" s="20">
        <f>SUM('5. Raw batt charge'!C29:HH29)</f>
        <v>7.8790000000000013</v>
      </c>
      <c r="G29" s="20">
        <f>SUM('6. Raw batt discharge'!C29:HH29)</f>
        <v>0.83</v>
      </c>
      <c r="H29" s="21">
        <f t="shared" si="0"/>
        <v>7.0490000000000013</v>
      </c>
      <c r="I29" s="21">
        <f t="shared" si="1"/>
        <v>90.710799999999992</v>
      </c>
      <c r="J29" s="21">
        <f t="shared" si="2"/>
        <v>7.0490000000000013</v>
      </c>
      <c r="K29" s="21">
        <f t="shared" si="3"/>
        <v>72.580500000000072</v>
      </c>
      <c r="L29" s="21">
        <f t="shared" si="4"/>
        <v>373.14429999999993</v>
      </c>
      <c r="M29" s="21">
        <f t="shared" si="5"/>
        <v>0</v>
      </c>
    </row>
    <row r="30" spans="1:13" x14ac:dyDescent="0.25">
      <c r="A30" s="8">
        <v>26</v>
      </c>
      <c r="B30" s="19">
        <v>12.5</v>
      </c>
      <c r="C30" s="20">
        <f>SUM('3. Raw PV per load'!AB5:AB421)</f>
        <v>539.66770000000008</v>
      </c>
      <c r="D30" s="20">
        <f>SUMIF('4. Raw load per load'!$B$5:$B$421,"prosumer",'4. Raw load per load'!AB5:AB421)</f>
        <v>88.396299999999997</v>
      </c>
      <c r="E30" s="20">
        <f>SUMIF('4. Raw load per load'!$B$5:$B$421,"customer",'4. Raw load per load'!AB5:AB421)</f>
        <v>59.020599999999988</v>
      </c>
      <c r="F30" s="20">
        <f>SUM('5. Raw batt charge'!C30:HH30)</f>
        <v>5.9500000000000011</v>
      </c>
      <c r="G30" s="20">
        <f>SUM('6. Raw batt discharge'!C30:HH30)</f>
        <v>2.7720000000000002</v>
      </c>
      <c r="H30" s="21">
        <f t="shared" si="0"/>
        <v>3.1780000000000008</v>
      </c>
      <c r="I30" s="21">
        <f t="shared" si="1"/>
        <v>88.396299999999997</v>
      </c>
      <c r="J30" s="21">
        <f t="shared" si="2"/>
        <v>3.1780000000000008</v>
      </c>
      <c r="K30" s="21">
        <f t="shared" si="3"/>
        <v>59.020599999999988</v>
      </c>
      <c r="L30" s="21">
        <f t="shared" si="4"/>
        <v>389.07280000000009</v>
      </c>
      <c r="M30" s="21">
        <f t="shared" si="5"/>
        <v>0</v>
      </c>
    </row>
    <row r="31" spans="1:13" x14ac:dyDescent="0.25">
      <c r="A31" s="8">
        <v>27</v>
      </c>
      <c r="B31" s="19">
        <v>13</v>
      </c>
      <c r="C31" s="20">
        <f>SUM('3. Raw PV per load'!AC5:AC421)</f>
        <v>526.85649999999998</v>
      </c>
      <c r="D31" s="20">
        <f>SUMIF('4. Raw load per load'!$B$5:$B$421,"prosumer",'4. Raw load per load'!AC5:AC421)</f>
        <v>97.796199999999985</v>
      </c>
      <c r="E31" s="20">
        <f>SUMIF('4. Raw load per load'!$B$5:$B$421,"customer",'4. Raw load per load'!AC5:AC421)</f>
        <v>62.915299999999966</v>
      </c>
      <c r="F31" s="20">
        <f>SUM('5. Raw batt charge'!C31:HH31)</f>
        <v>5.4049999999999994</v>
      </c>
      <c r="G31" s="20">
        <f>SUM('6. Raw batt discharge'!C31:HH31)</f>
        <v>2.8109999999999999</v>
      </c>
      <c r="H31" s="21">
        <f t="shared" si="0"/>
        <v>2.5939999999999994</v>
      </c>
      <c r="I31" s="21">
        <f t="shared" si="1"/>
        <v>97.796199999999985</v>
      </c>
      <c r="J31" s="21">
        <f t="shared" si="2"/>
        <v>2.5939999999999994</v>
      </c>
      <c r="K31" s="21">
        <f t="shared" si="3"/>
        <v>62.915299999999966</v>
      </c>
      <c r="L31" s="21">
        <f t="shared" si="4"/>
        <v>363.55100000000004</v>
      </c>
      <c r="M31" s="21">
        <f t="shared" si="5"/>
        <v>0</v>
      </c>
    </row>
    <row r="32" spans="1:13" x14ac:dyDescent="0.25">
      <c r="A32" s="8">
        <v>28</v>
      </c>
      <c r="B32" s="19">
        <v>13.5</v>
      </c>
      <c r="C32" s="20">
        <f>SUM('3. Raw PV per load'!AD5:AD421)</f>
        <v>507.30340000000064</v>
      </c>
      <c r="D32" s="20">
        <f>SUMIF('4. Raw load per load'!$B$5:$B$421,"prosumer",'4. Raw load per load'!AD5:AD421)</f>
        <v>82.074599999999975</v>
      </c>
      <c r="E32" s="20">
        <f>SUMIF('4. Raw load per load'!$B$5:$B$421,"customer",'4. Raw load per load'!AD5:AD421)</f>
        <v>64.310400000000001</v>
      </c>
      <c r="F32" s="20">
        <f>SUM('5. Raw batt charge'!C32:HH32)</f>
        <v>5.6859999999999999</v>
      </c>
      <c r="G32" s="20">
        <f>SUM('6. Raw batt discharge'!C32:HH32)</f>
        <v>2.9369999999999998</v>
      </c>
      <c r="H32" s="21">
        <f t="shared" si="0"/>
        <v>2.7490000000000001</v>
      </c>
      <c r="I32" s="21">
        <f t="shared" si="1"/>
        <v>82.074599999999975</v>
      </c>
      <c r="J32" s="21">
        <f t="shared" si="2"/>
        <v>2.7490000000000001</v>
      </c>
      <c r="K32" s="21">
        <f t="shared" si="3"/>
        <v>64.310400000000001</v>
      </c>
      <c r="L32" s="21">
        <f t="shared" si="4"/>
        <v>358.16940000000062</v>
      </c>
      <c r="M32" s="21">
        <f t="shared" si="5"/>
        <v>0</v>
      </c>
    </row>
    <row r="33" spans="1:13" x14ac:dyDescent="0.25">
      <c r="A33" s="8">
        <v>29</v>
      </c>
      <c r="B33" s="19">
        <v>14</v>
      </c>
      <c r="C33" s="20">
        <f>SUM('3. Raw PV per load'!AE5:AE421)</f>
        <v>483.96590000000049</v>
      </c>
      <c r="D33" s="20">
        <f>SUMIF('4. Raw load per load'!$B$5:$B$421,"prosumer",'4. Raw load per load'!AE5:AE421)</f>
        <v>74.228200000000044</v>
      </c>
      <c r="E33" s="20">
        <f>SUMIF('4. Raw load per load'!$B$5:$B$421,"customer",'4. Raw load per load'!AE5:AE421)</f>
        <v>66.010799999999975</v>
      </c>
      <c r="F33" s="20">
        <f>SUM('5. Raw batt charge'!C33:HH33)</f>
        <v>5.2270000000000003</v>
      </c>
      <c r="G33" s="20">
        <f>SUM('6. Raw batt discharge'!C33:HH33)</f>
        <v>4.84</v>
      </c>
      <c r="H33" s="21">
        <f t="shared" si="0"/>
        <v>0.38700000000000045</v>
      </c>
      <c r="I33" s="21">
        <f t="shared" si="1"/>
        <v>74.228200000000044</v>
      </c>
      <c r="J33" s="21">
        <f t="shared" si="2"/>
        <v>0.38700000000000045</v>
      </c>
      <c r="K33" s="21">
        <f t="shared" si="3"/>
        <v>66.010799999999975</v>
      </c>
      <c r="L33" s="21">
        <f t="shared" si="4"/>
        <v>343.33990000000051</v>
      </c>
      <c r="M33" s="21">
        <f t="shared" si="5"/>
        <v>0</v>
      </c>
    </row>
    <row r="34" spans="1:13" x14ac:dyDescent="0.25">
      <c r="A34" s="8">
        <v>30</v>
      </c>
      <c r="B34" s="19">
        <v>14.5</v>
      </c>
      <c r="C34" s="20">
        <f>SUM('3. Raw PV per load'!AF5:AF421)</f>
        <v>454.39379999999926</v>
      </c>
      <c r="D34" s="20">
        <f>SUMIF('4. Raw load per load'!$B$5:$B$421,"prosumer",'4. Raw load per load'!AF5:AF421)</f>
        <v>64.054800000000014</v>
      </c>
      <c r="E34" s="20">
        <f>SUMIF('4. Raw load per load'!$B$5:$B$421,"customer",'4. Raw load per load'!AF5:AF421)</f>
        <v>60.871799999999993</v>
      </c>
      <c r="F34" s="20">
        <f>SUM('5. Raw batt charge'!C34:HH34)</f>
        <v>4.149</v>
      </c>
      <c r="G34" s="20">
        <f>SUM('6. Raw batt discharge'!C34:HH34)</f>
        <v>0.57800000000000007</v>
      </c>
      <c r="H34" s="21">
        <f t="shared" si="0"/>
        <v>3.5709999999999997</v>
      </c>
      <c r="I34" s="21">
        <f t="shared" si="1"/>
        <v>64.054800000000014</v>
      </c>
      <c r="J34" s="21">
        <f t="shared" si="2"/>
        <v>3.5709999999999997</v>
      </c>
      <c r="K34" s="21">
        <f t="shared" si="3"/>
        <v>60.871799999999993</v>
      </c>
      <c r="L34" s="21">
        <f t="shared" si="4"/>
        <v>325.89619999999923</v>
      </c>
      <c r="M34" s="21">
        <f t="shared" si="5"/>
        <v>0</v>
      </c>
    </row>
    <row r="35" spans="1:13" x14ac:dyDescent="0.25">
      <c r="A35" s="8">
        <v>31</v>
      </c>
      <c r="B35" s="19">
        <v>15</v>
      </c>
      <c r="C35" s="20">
        <f>SUM('3. Raw PV per load'!AG5:AG421)</f>
        <v>422.96650000000096</v>
      </c>
      <c r="D35" s="20">
        <f>SUMIF('4. Raw load per load'!$B$5:$B$421,"prosumer",'4. Raw load per load'!AG5:AG421)</f>
        <v>57.194899999999961</v>
      </c>
      <c r="E35" s="20">
        <f>SUMIF('4. Raw load per load'!$B$5:$B$421,"customer",'4. Raw load per load'!AG5:AG421)</f>
        <v>61.791600000000003</v>
      </c>
      <c r="F35" s="20">
        <f>SUM('5. Raw batt charge'!C35:HH35)</f>
        <v>5.3150000000000004</v>
      </c>
      <c r="G35" s="20">
        <f>SUM('6. Raw batt discharge'!C35:HH35)</f>
        <v>0.72799999999999987</v>
      </c>
      <c r="H35" s="21">
        <f t="shared" si="0"/>
        <v>4.5870000000000006</v>
      </c>
      <c r="I35" s="21">
        <f t="shared" si="1"/>
        <v>57.194899999999961</v>
      </c>
      <c r="J35" s="21">
        <f t="shared" si="2"/>
        <v>4.5870000000000006</v>
      </c>
      <c r="K35" s="21">
        <f t="shared" si="3"/>
        <v>61.791600000000003</v>
      </c>
      <c r="L35" s="21">
        <f t="shared" si="4"/>
        <v>299.393000000001</v>
      </c>
      <c r="M35" s="21">
        <f t="shared" si="5"/>
        <v>0</v>
      </c>
    </row>
    <row r="36" spans="1:13" x14ac:dyDescent="0.25">
      <c r="A36" s="8">
        <v>32</v>
      </c>
      <c r="B36" s="19">
        <v>15.5</v>
      </c>
      <c r="C36" s="20">
        <f>SUM('3. Raw PV per load'!AH5:AH421)</f>
        <v>385.14790000000033</v>
      </c>
      <c r="D36" s="20">
        <f>SUMIF('4. Raw load per load'!$B$5:$B$421,"prosumer",'4. Raw load per load'!AH5:AH421)</f>
        <v>60.061099999999961</v>
      </c>
      <c r="E36" s="20">
        <f>SUMIF('4. Raw load per load'!$B$5:$B$421,"customer",'4. Raw load per load'!AH5:AH421)</f>
        <v>62.214900000000007</v>
      </c>
      <c r="F36" s="20">
        <f>SUM('5. Raw batt charge'!C36:HH36)</f>
        <v>3.8859999999999997</v>
      </c>
      <c r="G36" s="20">
        <f>SUM('6. Raw batt discharge'!C36:HH36)</f>
        <v>0.47299999999999998</v>
      </c>
      <c r="H36" s="21">
        <f t="shared" si="0"/>
        <v>3.4129999999999998</v>
      </c>
      <c r="I36" s="21">
        <f t="shared" si="1"/>
        <v>60.061099999999961</v>
      </c>
      <c r="J36" s="21">
        <f t="shared" si="2"/>
        <v>3.4129999999999998</v>
      </c>
      <c r="K36" s="21">
        <f t="shared" si="3"/>
        <v>62.214900000000007</v>
      </c>
      <c r="L36" s="21">
        <f t="shared" si="4"/>
        <v>259.45890000000037</v>
      </c>
      <c r="M36" s="21">
        <f t="shared" si="5"/>
        <v>0</v>
      </c>
    </row>
    <row r="37" spans="1:13" x14ac:dyDescent="0.25">
      <c r="A37" s="8">
        <v>33</v>
      </c>
      <c r="B37" s="19">
        <v>16</v>
      </c>
      <c r="C37" s="20">
        <f>SUM('3. Raw PV per load'!AI5:AI421)</f>
        <v>342.55920000000077</v>
      </c>
      <c r="D37" s="20">
        <f>SUMIF('4. Raw load per load'!$B$5:$B$421,"prosumer",'4. Raw load per load'!AI5:AI421)</f>
        <v>77.40949999999998</v>
      </c>
      <c r="E37" s="20">
        <f>SUMIF('4. Raw load per load'!$B$5:$B$421,"customer",'4. Raw load per load'!AI5:AI421)</f>
        <v>61.364500000000014</v>
      </c>
      <c r="F37" s="20">
        <f>SUM('5. Raw batt charge'!C37:HH37)</f>
        <v>3.5409999999999995</v>
      </c>
      <c r="G37" s="20">
        <f>SUM('6. Raw batt discharge'!C37:HH37)</f>
        <v>5.3499999999999988</v>
      </c>
      <c r="H37" s="21">
        <f t="shared" si="0"/>
        <v>-1.8089999999999993</v>
      </c>
      <c r="I37" s="21">
        <f t="shared" si="1"/>
        <v>77.40949999999998</v>
      </c>
      <c r="J37" s="21">
        <f t="shared" si="2"/>
        <v>0</v>
      </c>
      <c r="K37" s="21">
        <f t="shared" si="3"/>
        <v>61.364500000000014</v>
      </c>
      <c r="L37" s="21">
        <f t="shared" si="4"/>
        <v>203.78520000000077</v>
      </c>
      <c r="M37" s="21">
        <f t="shared" si="5"/>
        <v>0</v>
      </c>
    </row>
    <row r="38" spans="1:13" x14ac:dyDescent="0.25">
      <c r="A38" s="8">
        <v>34</v>
      </c>
      <c r="B38" s="19">
        <v>16.5</v>
      </c>
      <c r="C38" s="20">
        <f>SUM('3. Raw PV per load'!AJ5:AJ421)</f>
        <v>291.13370000000032</v>
      </c>
      <c r="D38" s="20">
        <f>SUMIF('4. Raw load per load'!$B$5:$B$421,"prosumer",'4. Raw load per load'!AJ5:AJ421)</f>
        <v>83.352499999999992</v>
      </c>
      <c r="E38" s="20">
        <f>SUMIF('4. Raw load per load'!$B$5:$B$421,"customer",'4. Raw load per load'!AJ5:AJ421)</f>
        <v>72.170700000000039</v>
      </c>
      <c r="F38" s="20">
        <f>SUM('5. Raw batt charge'!C38:HH38)</f>
        <v>4.9969999999999999</v>
      </c>
      <c r="G38" s="20">
        <f>SUM('6. Raw batt discharge'!C38:HH38)</f>
        <v>8.61</v>
      </c>
      <c r="H38" s="21">
        <f t="shared" si="0"/>
        <v>-3.6129999999999995</v>
      </c>
      <c r="I38" s="21">
        <f t="shared" si="1"/>
        <v>83.352499999999992</v>
      </c>
      <c r="J38" s="21">
        <f t="shared" si="2"/>
        <v>0</v>
      </c>
      <c r="K38" s="21">
        <f t="shared" si="3"/>
        <v>72.170700000000039</v>
      </c>
      <c r="L38" s="21">
        <f t="shared" si="4"/>
        <v>135.61050000000029</v>
      </c>
      <c r="M38" s="21">
        <f t="shared" si="5"/>
        <v>0</v>
      </c>
    </row>
    <row r="39" spans="1:13" x14ac:dyDescent="0.25">
      <c r="A39" s="8">
        <v>35</v>
      </c>
      <c r="B39" s="19">
        <v>17</v>
      </c>
      <c r="C39" s="20">
        <f>SUM('3. Raw PV per load'!AK5:AK421)</f>
        <v>243.0011999999997</v>
      </c>
      <c r="D39" s="20">
        <f>SUMIF('4. Raw load per load'!$B$5:$B$421,"prosumer",'4. Raw load per load'!AK5:AK421)</f>
        <v>85.108699999999914</v>
      </c>
      <c r="E39" s="20">
        <f>SUMIF('4. Raw load per load'!$B$5:$B$421,"customer",'4. Raw load per load'!AK5:AK421)</f>
        <v>74.872699999999995</v>
      </c>
      <c r="F39" s="20">
        <f>SUM('5. Raw batt charge'!C39:HH39)</f>
        <v>4.9589999999999996</v>
      </c>
      <c r="G39" s="20">
        <f>SUM('6. Raw batt discharge'!C39:HH39)</f>
        <v>13.158000000000001</v>
      </c>
      <c r="H39" s="21">
        <f t="shared" si="0"/>
        <v>-8.1990000000000016</v>
      </c>
      <c r="I39" s="21">
        <f t="shared" si="1"/>
        <v>85.108699999999914</v>
      </c>
      <c r="J39" s="21">
        <f t="shared" si="2"/>
        <v>0</v>
      </c>
      <c r="K39" s="21">
        <f t="shared" si="3"/>
        <v>74.872699999999995</v>
      </c>
      <c r="L39" s="21">
        <f t="shared" si="4"/>
        <v>83.01979999999979</v>
      </c>
      <c r="M39" s="21">
        <f t="shared" si="5"/>
        <v>0</v>
      </c>
    </row>
    <row r="40" spans="1:13" x14ac:dyDescent="0.25">
      <c r="A40" s="8">
        <v>36</v>
      </c>
      <c r="B40" s="19">
        <v>17.5</v>
      </c>
      <c r="C40" s="20">
        <f>SUM('3. Raw PV per load'!AL5:AL421)</f>
        <v>193.54419999999968</v>
      </c>
      <c r="D40" s="20">
        <f>SUMIF('4. Raw load per load'!$B$5:$B$421,"prosumer",'4. Raw load per load'!AL5:AL421)</f>
        <v>105.47680000000004</v>
      </c>
      <c r="E40" s="20">
        <f>SUMIF('4. Raw load per load'!$B$5:$B$421,"customer",'4. Raw load per load'!AL5:AL421)</f>
        <v>86.347599999999971</v>
      </c>
      <c r="F40" s="20">
        <f>SUM('5. Raw batt charge'!C40:HH40)</f>
        <v>3.3490000000000002</v>
      </c>
      <c r="G40" s="20">
        <f>SUM('6. Raw batt discharge'!C40:HH40)</f>
        <v>32.402000000000001</v>
      </c>
      <c r="H40" s="21">
        <f t="shared" si="0"/>
        <v>-29.053000000000001</v>
      </c>
      <c r="I40" s="21">
        <f t="shared" si="1"/>
        <v>105.47680000000004</v>
      </c>
      <c r="J40" s="21">
        <f t="shared" si="2"/>
        <v>0</v>
      </c>
      <c r="K40" s="21">
        <f t="shared" si="3"/>
        <v>86.347599999999971</v>
      </c>
      <c r="L40" s="21">
        <f t="shared" si="4"/>
        <v>1.7197999999996654</v>
      </c>
      <c r="M40" s="21">
        <f t="shared" si="5"/>
        <v>0</v>
      </c>
    </row>
    <row r="41" spans="1:13" x14ac:dyDescent="0.25">
      <c r="A41" s="8">
        <v>37</v>
      </c>
      <c r="B41" s="19">
        <v>18</v>
      </c>
      <c r="C41" s="20">
        <f>SUM('3. Raw PV per load'!AM5:AM421)</f>
        <v>145.70650000000009</v>
      </c>
      <c r="D41" s="20">
        <f>SUMIF('4. Raw load per load'!$B$5:$B$421,"prosumer",'4. Raw load per load'!AM5:AM421)</f>
        <v>86.186099999999968</v>
      </c>
      <c r="E41" s="20">
        <f>SUMIF('4. Raw load per load'!$B$5:$B$421,"customer",'4. Raw load per load'!AM5:AM421)</f>
        <v>87.747400000000027</v>
      </c>
      <c r="F41" s="20">
        <f>SUM('5. Raw batt charge'!C41:HH41)</f>
        <v>7.8059999999999992</v>
      </c>
      <c r="G41" s="20">
        <f>SUM('6. Raw batt discharge'!C41:HH41)</f>
        <v>25.63</v>
      </c>
      <c r="H41" s="21">
        <f t="shared" si="0"/>
        <v>-17.823999999999998</v>
      </c>
      <c r="I41" s="21">
        <f t="shared" si="1"/>
        <v>86.186099999999968</v>
      </c>
      <c r="J41" s="21">
        <f t="shared" si="2"/>
        <v>0</v>
      </c>
      <c r="K41" s="21">
        <f t="shared" si="3"/>
        <v>59.520400000000123</v>
      </c>
      <c r="L41" s="21">
        <f t="shared" si="4"/>
        <v>0</v>
      </c>
      <c r="M41" s="21">
        <f t="shared" si="5"/>
        <v>28.226999999999904</v>
      </c>
    </row>
    <row r="42" spans="1:13" x14ac:dyDescent="0.25">
      <c r="A42" s="8">
        <v>38</v>
      </c>
      <c r="B42" s="19">
        <v>18.5</v>
      </c>
      <c r="C42" s="20">
        <f>SUM('3. Raw PV per load'!AN5:AN421)</f>
        <v>99.583599999999905</v>
      </c>
      <c r="D42" s="20">
        <f>SUMIF('4. Raw load per load'!$B$5:$B$421,"prosumer",'4. Raw load per load'!AN5:AN421)</f>
        <v>83.495800000000074</v>
      </c>
      <c r="E42" s="20">
        <f>SUMIF('4. Raw load per load'!$B$5:$B$421,"customer",'4. Raw load per load'!AN5:AN421)</f>
        <v>79.654400000000038</v>
      </c>
      <c r="F42" s="20">
        <f>SUM('5. Raw batt charge'!C42:HH42)</f>
        <v>5.1300000000000008</v>
      </c>
      <c r="G42" s="20">
        <f>SUM('6. Raw batt discharge'!C42:HH42)</f>
        <v>28.649999999999995</v>
      </c>
      <c r="H42" s="21">
        <f t="shared" si="0"/>
        <v>-23.519999999999996</v>
      </c>
      <c r="I42" s="21">
        <f t="shared" si="1"/>
        <v>83.495800000000074</v>
      </c>
      <c r="J42" s="21">
        <f t="shared" si="2"/>
        <v>0</v>
      </c>
      <c r="K42" s="21">
        <f t="shared" si="3"/>
        <v>16.087799999999831</v>
      </c>
      <c r="L42" s="21">
        <f t="shared" si="4"/>
        <v>0</v>
      </c>
      <c r="M42" s="21">
        <f t="shared" si="5"/>
        <v>63.566600000000207</v>
      </c>
    </row>
    <row r="43" spans="1:13" x14ac:dyDescent="0.25">
      <c r="A43" s="8">
        <v>39</v>
      </c>
      <c r="B43" s="19">
        <v>19</v>
      </c>
      <c r="C43" s="20">
        <f>SUM('3. Raw PV per load'!AO5:AO421)</f>
        <v>58.147100000000037</v>
      </c>
      <c r="D43" s="20">
        <f>SUMIF('4. Raw load per load'!$B$5:$B$421,"prosumer",'4. Raw load per load'!AO5:AO421)</f>
        <v>84.201099999999968</v>
      </c>
      <c r="E43" s="20">
        <f>SUMIF('4. Raw load per load'!$B$5:$B$421,"customer",'4. Raw load per load'!AO5:AO421)</f>
        <v>80.09190000000001</v>
      </c>
      <c r="F43" s="20">
        <f>SUM('5. Raw batt charge'!C43:HH43)</f>
        <v>1.9129999999999998</v>
      </c>
      <c r="G43" s="20">
        <f>SUM('6. Raw batt discharge'!C43:HH43)</f>
        <v>40.004000000000005</v>
      </c>
      <c r="H43" s="21">
        <f t="shared" si="0"/>
        <v>-38.091000000000008</v>
      </c>
      <c r="I43" s="21">
        <f t="shared" si="1"/>
        <v>58.147100000000037</v>
      </c>
      <c r="J43" s="21">
        <f t="shared" si="2"/>
        <v>0</v>
      </c>
      <c r="K43" s="21">
        <f t="shared" si="3"/>
        <v>0</v>
      </c>
      <c r="L43" s="21">
        <f t="shared" si="4"/>
        <v>0</v>
      </c>
      <c r="M43" s="21">
        <f t="shared" si="5"/>
        <v>80.09190000000001</v>
      </c>
    </row>
    <row r="44" spans="1:13" x14ac:dyDescent="0.25">
      <c r="A44" s="8">
        <v>40</v>
      </c>
      <c r="B44" s="19">
        <v>19.5</v>
      </c>
      <c r="C44" s="20">
        <f>SUM('3. Raw PV per load'!AP5:AP421)</f>
        <v>16.924199999999995</v>
      </c>
      <c r="D44" s="20">
        <f>SUMIF('4. Raw load per load'!$B$5:$B$421,"prosumer",'4. Raw load per load'!AP5:AP421)</f>
        <v>94.760300000000001</v>
      </c>
      <c r="E44" s="20">
        <f>SUMIF('4. Raw load per load'!$B$5:$B$421,"customer",'4. Raw load per load'!AP5:AP421)</f>
        <v>90.988899999999987</v>
      </c>
      <c r="F44" s="20">
        <f>SUM('5. Raw batt charge'!C44:HH44)</f>
        <v>0.01</v>
      </c>
      <c r="G44" s="20">
        <f>SUM('6. Raw batt discharge'!C44:HH44)</f>
        <v>78.36099999999999</v>
      </c>
      <c r="H44" s="21">
        <f t="shared" si="0"/>
        <v>-78.350999999999985</v>
      </c>
      <c r="I44" s="21">
        <f t="shared" si="1"/>
        <v>16.924199999999995</v>
      </c>
      <c r="J44" s="21">
        <f t="shared" si="2"/>
        <v>0</v>
      </c>
      <c r="K44" s="21">
        <f t="shared" si="3"/>
        <v>0</v>
      </c>
      <c r="L44" s="21">
        <f t="shared" si="4"/>
        <v>0</v>
      </c>
      <c r="M44" s="21">
        <f t="shared" si="5"/>
        <v>90.988899999999987</v>
      </c>
    </row>
    <row r="45" spans="1:13" x14ac:dyDescent="0.25">
      <c r="A45" s="8">
        <v>41</v>
      </c>
      <c r="B45" s="19">
        <v>20</v>
      </c>
      <c r="C45" s="20">
        <f>SUM('3. Raw PV per load'!AQ5:AQ421)</f>
        <v>3.1239000000000052</v>
      </c>
      <c r="D45" s="20">
        <f>SUMIF('4. Raw load per load'!$B$5:$B$421,"prosumer",'4. Raw load per load'!AQ5:AQ421)</f>
        <v>97.722300000000018</v>
      </c>
      <c r="E45" s="20">
        <f>SUMIF('4. Raw load per load'!$B$5:$B$421,"customer",'4. Raw load per load'!AQ5:AQ421)</f>
        <v>96.84790000000001</v>
      </c>
      <c r="F45" s="20">
        <f>SUM('5. Raw batt charge'!C45:HH45)</f>
        <v>0</v>
      </c>
      <c r="G45" s="20">
        <f>SUM('6. Raw batt discharge'!C45:HH45)</f>
        <v>94.603999999999999</v>
      </c>
      <c r="H45" s="21">
        <f t="shared" si="0"/>
        <v>-94.603999999999999</v>
      </c>
      <c r="I45" s="21">
        <f t="shared" si="1"/>
        <v>3.1239000000000052</v>
      </c>
      <c r="J45" s="21">
        <f t="shared" si="2"/>
        <v>0</v>
      </c>
      <c r="K45" s="21">
        <f t="shared" si="3"/>
        <v>0</v>
      </c>
      <c r="L45" s="21">
        <f t="shared" si="4"/>
        <v>0</v>
      </c>
      <c r="M45" s="21">
        <f t="shared" si="5"/>
        <v>96.84790000000001</v>
      </c>
    </row>
    <row r="46" spans="1:13" x14ac:dyDescent="0.25">
      <c r="A46" s="8">
        <v>42</v>
      </c>
      <c r="B46" s="19">
        <v>20.5</v>
      </c>
      <c r="C46" s="20">
        <f>SUM('3. Raw PV per load'!AR5:AR421)</f>
        <v>0</v>
      </c>
      <c r="D46" s="20">
        <f>SUMIF('4. Raw load per load'!$B$5:$B$421,"prosumer",'4. Raw load per load'!AR5:AR421)</f>
        <v>107.65059999999997</v>
      </c>
      <c r="E46" s="20">
        <f>SUMIF('4. Raw load per load'!$B$5:$B$421,"customer",'4. Raw load per load'!AR5:AR421)</f>
        <v>104.04949999999998</v>
      </c>
      <c r="F46" s="20">
        <f>SUM('5. Raw batt charge'!C46:HH46)</f>
        <v>0</v>
      </c>
      <c r="G46" s="20">
        <f>SUM('6. Raw batt discharge'!C46:HH46)</f>
        <v>106.87599999999999</v>
      </c>
      <c r="H46" s="21">
        <f t="shared" si="0"/>
        <v>-106.87599999999999</v>
      </c>
      <c r="I46" s="21">
        <f t="shared" si="1"/>
        <v>0</v>
      </c>
      <c r="J46" s="21">
        <f t="shared" si="2"/>
        <v>0</v>
      </c>
      <c r="K46" s="21">
        <f t="shared" si="3"/>
        <v>0</v>
      </c>
      <c r="L46" s="21">
        <f t="shared" si="4"/>
        <v>0</v>
      </c>
      <c r="M46" s="21">
        <f t="shared" si="5"/>
        <v>104.04949999999998</v>
      </c>
    </row>
    <row r="47" spans="1:13" x14ac:dyDescent="0.25">
      <c r="A47" s="8">
        <v>43</v>
      </c>
      <c r="B47" s="19">
        <v>21</v>
      </c>
      <c r="C47" s="20">
        <f>SUM('3. Raw PV per load'!AS5:AS421)</f>
        <v>0</v>
      </c>
      <c r="D47" s="20">
        <f>SUMIF('4. Raw load per load'!$B$5:$B$421,"prosumer",'4. Raw load per load'!AS5:AS421)</f>
        <v>105.70559999999999</v>
      </c>
      <c r="E47" s="20">
        <f>SUMIF('4. Raw load per load'!$B$5:$B$421,"customer",'4. Raw load per load'!AS5:AS421)</f>
        <v>102.65490000000003</v>
      </c>
      <c r="F47" s="20">
        <f>SUM('5. Raw batt charge'!C47:HH47)</f>
        <v>0</v>
      </c>
      <c r="G47" s="20">
        <f>SUM('6. Raw batt discharge'!C47:HH47)</f>
        <v>101.09400000000004</v>
      </c>
      <c r="H47" s="21">
        <f t="shared" si="0"/>
        <v>-101.09400000000004</v>
      </c>
      <c r="I47" s="21">
        <f t="shared" si="1"/>
        <v>0</v>
      </c>
      <c r="J47" s="21">
        <f t="shared" si="2"/>
        <v>0</v>
      </c>
      <c r="K47" s="21">
        <f t="shared" si="3"/>
        <v>0</v>
      </c>
      <c r="L47" s="21">
        <f t="shared" si="4"/>
        <v>0</v>
      </c>
      <c r="M47" s="21">
        <f t="shared" si="5"/>
        <v>102.65490000000003</v>
      </c>
    </row>
    <row r="48" spans="1:13" x14ac:dyDescent="0.25">
      <c r="A48" s="8">
        <v>44</v>
      </c>
      <c r="B48" s="19">
        <v>21.5</v>
      </c>
      <c r="C48" s="20">
        <f>SUM('3. Raw PV per load'!AT5:AT421)</f>
        <v>0</v>
      </c>
      <c r="D48" s="20">
        <f>SUMIF('4. Raw load per load'!$B$5:$B$421,"prosumer",'4. Raw load per load'!AT5:AT421)</f>
        <v>111.75990000000004</v>
      </c>
      <c r="E48" s="20">
        <f>SUMIF('4. Raw load per load'!$B$5:$B$421,"customer",'4. Raw load per load'!AT5:AT421)</f>
        <v>102.53269999999998</v>
      </c>
      <c r="F48" s="20">
        <f>SUM('5. Raw batt charge'!C48:HH48)</f>
        <v>0</v>
      </c>
      <c r="G48" s="20">
        <f>SUM('6. Raw batt discharge'!C48:HH48)</f>
        <v>104.59999999999998</v>
      </c>
      <c r="H48" s="21">
        <f t="shared" si="0"/>
        <v>-104.59999999999998</v>
      </c>
      <c r="I48" s="21">
        <f t="shared" si="1"/>
        <v>0</v>
      </c>
      <c r="J48" s="21">
        <f t="shared" si="2"/>
        <v>0</v>
      </c>
      <c r="K48" s="21">
        <f t="shared" si="3"/>
        <v>0</v>
      </c>
      <c r="L48" s="21">
        <f t="shared" si="4"/>
        <v>0</v>
      </c>
      <c r="M48" s="21">
        <f t="shared" si="5"/>
        <v>102.53269999999998</v>
      </c>
    </row>
    <row r="49" spans="1:13" x14ac:dyDescent="0.25">
      <c r="A49" s="8">
        <v>45</v>
      </c>
      <c r="B49" s="19">
        <v>22</v>
      </c>
      <c r="C49" s="20">
        <f>SUM('3. Raw PV per load'!AU5:AU421)</f>
        <v>0</v>
      </c>
      <c r="D49" s="20">
        <f>SUMIF('4. Raw load per load'!$B$5:$B$421,"prosumer",'4. Raw load per load'!AU5:AU421)</f>
        <v>99.219199999999987</v>
      </c>
      <c r="E49" s="20">
        <f>SUMIF('4. Raw load per load'!$B$5:$B$421,"customer",'4. Raw load per load'!AU5:AU421)</f>
        <v>95.354199999999992</v>
      </c>
      <c r="F49" s="20">
        <f>SUM('5. Raw batt charge'!C49:HH49)</f>
        <v>0</v>
      </c>
      <c r="G49" s="20">
        <f>SUM('6. Raw batt discharge'!C49:HH49)</f>
        <v>88.259999999999934</v>
      </c>
      <c r="H49" s="21">
        <f t="shared" si="0"/>
        <v>-88.259999999999934</v>
      </c>
      <c r="I49" s="21">
        <f t="shared" si="1"/>
        <v>0</v>
      </c>
      <c r="J49" s="21">
        <f t="shared" si="2"/>
        <v>0</v>
      </c>
      <c r="K49" s="21">
        <f t="shared" si="3"/>
        <v>0</v>
      </c>
      <c r="L49" s="21">
        <f t="shared" si="4"/>
        <v>0</v>
      </c>
      <c r="M49" s="21">
        <f t="shared" si="5"/>
        <v>95.354199999999992</v>
      </c>
    </row>
    <row r="50" spans="1:13" x14ac:dyDescent="0.25">
      <c r="A50" s="8">
        <v>46</v>
      </c>
      <c r="B50" s="19">
        <v>22.5</v>
      </c>
      <c r="C50" s="20">
        <f>SUM('3. Raw PV per load'!AV5:AV421)</f>
        <v>0</v>
      </c>
      <c r="D50" s="20">
        <f>SUMIF('4. Raw load per load'!$B$5:$B$421,"prosumer",'4. Raw load per load'!AV5:AV421)</f>
        <v>86.661600000000007</v>
      </c>
      <c r="E50" s="20">
        <f>SUMIF('4. Raw load per load'!$B$5:$B$421,"customer",'4. Raw load per load'!AV5:AV421)</f>
        <v>80.68180000000001</v>
      </c>
      <c r="F50" s="20">
        <f>SUM('5. Raw batt charge'!C50:HH50)</f>
        <v>0</v>
      </c>
      <c r="G50" s="20">
        <f>SUM('6. Raw batt discharge'!C50:HH50)</f>
        <v>77.261999999999958</v>
      </c>
      <c r="H50" s="21">
        <f t="shared" si="0"/>
        <v>-77.261999999999958</v>
      </c>
      <c r="I50" s="21">
        <f t="shared" si="1"/>
        <v>0</v>
      </c>
      <c r="J50" s="21">
        <f t="shared" si="2"/>
        <v>0</v>
      </c>
      <c r="K50" s="21">
        <f t="shared" si="3"/>
        <v>0</v>
      </c>
      <c r="L50" s="21">
        <f t="shared" si="4"/>
        <v>0</v>
      </c>
      <c r="M50" s="21">
        <f t="shared" si="5"/>
        <v>80.68180000000001</v>
      </c>
    </row>
    <row r="51" spans="1:13" x14ac:dyDescent="0.25">
      <c r="A51" s="8">
        <v>47</v>
      </c>
      <c r="B51" s="19">
        <v>23</v>
      </c>
      <c r="C51" s="20">
        <f>SUM('3. Raw PV per load'!AW5:AW421)</f>
        <v>0</v>
      </c>
      <c r="D51" s="20">
        <f>SUMIF('4. Raw load per load'!$B$5:$B$421,"prosumer",'4. Raw load per load'!AW5:AW421)</f>
        <v>77.541699999999992</v>
      </c>
      <c r="E51" s="20">
        <f>SUMIF('4. Raw load per load'!$B$5:$B$421,"customer",'4. Raw load per load'!AW5:AW421)</f>
        <v>69.440899999999985</v>
      </c>
      <c r="F51" s="20">
        <f>SUM('5. Raw batt charge'!C51:HH51)</f>
        <v>0</v>
      </c>
      <c r="G51" s="20">
        <f>SUM('6. Raw batt discharge'!C51:HH51)</f>
        <v>67.537999999999954</v>
      </c>
      <c r="H51" s="21">
        <f t="shared" si="0"/>
        <v>-67.537999999999954</v>
      </c>
      <c r="I51" s="21">
        <f t="shared" si="1"/>
        <v>0</v>
      </c>
      <c r="J51" s="21">
        <f t="shared" si="2"/>
        <v>0</v>
      </c>
      <c r="K51" s="21">
        <f t="shared" si="3"/>
        <v>0</v>
      </c>
      <c r="L51" s="21">
        <f t="shared" si="4"/>
        <v>0</v>
      </c>
      <c r="M51" s="21">
        <f t="shared" si="5"/>
        <v>69.440899999999985</v>
      </c>
    </row>
    <row r="52" spans="1:13" x14ac:dyDescent="0.25">
      <c r="A52" s="8">
        <v>48</v>
      </c>
      <c r="B52" s="19">
        <v>23.5</v>
      </c>
      <c r="C52" s="20">
        <f>SUM('3. Raw PV per load'!AX5:AX421)</f>
        <v>0</v>
      </c>
      <c r="D52" s="20">
        <f>SUMIF('4. Raw load per load'!$B$5:$B$421,"prosumer",'4. Raw load per load'!AX5:AX421)</f>
        <v>59.388699999999993</v>
      </c>
      <c r="E52" s="20">
        <f>SUMIF('4. Raw load per load'!$B$5:$B$421,"customer",'4. Raw load per load'!AX5:AX421)</f>
        <v>54.098999999999968</v>
      </c>
      <c r="F52" s="20">
        <f>SUM('5. Raw batt charge'!C52:HH52)</f>
        <v>0</v>
      </c>
      <c r="G52" s="20">
        <f>SUM('6. Raw batt discharge'!C52:HH52)</f>
        <v>47.472999999999999</v>
      </c>
      <c r="H52" s="21">
        <f t="shared" si="0"/>
        <v>-47.472999999999999</v>
      </c>
      <c r="I52" s="21">
        <f t="shared" si="1"/>
        <v>0</v>
      </c>
      <c r="J52" s="21">
        <f t="shared" si="2"/>
        <v>0</v>
      </c>
      <c r="K52" s="21">
        <f t="shared" si="3"/>
        <v>0</v>
      </c>
      <c r="L52" s="21">
        <f t="shared" si="4"/>
        <v>0</v>
      </c>
      <c r="M52" s="21">
        <f t="shared" si="5"/>
        <v>54.098999999999968</v>
      </c>
    </row>
    <row r="53" spans="1:13" x14ac:dyDescent="0.25">
      <c r="A53" s="22" t="s">
        <v>1177</v>
      </c>
      <c r="B53" s="22" t="s">
        <v>31</v>
      </c>
      <c r="C53" s="23">
        <f t="shared" ref="C53:M53" si="6">SUM(C5:C52)*0.5</f>
        <v>5100.2134000000005</v>
      </c>
      <c r="D53" s="23">
        <f t="shared" si="6"/>
        <v>1615.1173499999998</v>
      </c>
      <c r="E53" s="23">
        <f t="shared" si="6"/>
        <v>1439.7673</v>
      </c>
      <c r="F53" s="23">
        <f t="shared" si="6"/>
        <v>759.09899999999993</v>
      </c>
      <c r="G53" s="23">
        <f t="shared" si="6"/>
        <v>624.6634499999999</v>
      </c>
      <c r="H53" s="23">
        <f t="shared" si="6"/>
        <v>134.43554999999995</v>
      </c>
      <c r="I53" s="23">
        <f t="shared" si="6"/>
        <v>1049.1370499999998</v>
      </c>
      <c r="J53" s="23">
        <f t="shared" si="6"/>
        <v>709.86699999999985</v>
      </c>
      <c r="K53" s="23">
        <f t="shared" si="6"/>
        <v>725.16655000000014</v>
      </c>
      <c r="L53" s="23">
        <f t="shared" si="6"/>
        <v>2616.0428000000002</v>
      </c>
      <c r="M53" s="23">
        <f t="shared" si="6"/>
        <v>714.60074999999983</v>
      </c>
    </row>
    <row r="55" spans="1:13" x14ac:dyDescent="0.25">
      <c r="A55" s="15" t="s">
        <v>1178</v>
      </c>
    </row>
    <row r="56" spans="1:13" x14ac:dyDescent="0.25">
      <c r="A56" s="15" t="s">
        <v>1179</v>
      </c>
    </row>
  </sheetData>
  <mergeCells count="1">
    <mergeCell ref="A2:M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55"/>
  <sheetViews>
    <sheetView showGridLines="0" workbookViewId="0">
      <selection activeCell="M19" sqref="M19"/>
    </sheetView>
  </sheetViews>
  <sheetFormatPr defaultRowHeight="15" x14ac:dyDescent="0.25"/>
  <cols>
    <col min="1" max="1" width="30" customWidth="1"/>
    <col min="2" max="3" width="13" customWidth="1"/>
    <col min="4" max="4" width="4" customWidth="1"/>
    <col min="5" max="5" width="26" customWidth="1"/>
    <col min="6" max="7" width="13" customWidth="1"/>
  </cols>
  <sheetData>
    <row r="1" spans="1:7" ht="19.5" x14ac:dyDescent="0.3">
      <c r="A1" s="1" t="s">
        <v>1180</v>
      </c>
    </row>
    <row r="3" spans="1:7" x14ac:dyDescent="0.25">
      <c r="A3" s="2" t="s">
        <v>1181</v>
      </c>
      <c r="E3" s="2" t="s">
        <v>1182</v>
      </c>
    </row>
    <row r="4" spans="1:7" x14ac:dyDescent="0.25">
      <c r="A4" s="5" t="s">
        <v>1183</v>
      </c>
      <c r="B4" s="5" t="s">
        <v>31</v>
      </c>
      <c r="C4" s="5" t="s">
        <v>37</v>
      </c>
      <c r="E4" s="5" t="s">
        <v>1184</v>
      </c>
      <c r="F4" s="5" t="s">
        <v>31</v>
      </c>
      <c r="G4" s="5" t="s">
        <v>1185</v>
      </c>
    </row>
    <row r="5" spans="1:7" x14ac:dyDescent="0.25">
      <c r="A5" s="8" t="s">
        <v>1186</v>
      </c>
      <c r="B5" s="21">
        <f>'7. PV allocation (per period)'!I53</f>
        <v>1049.1370499999998</v>
      </c>
      <c r="C5" s="24">
        <f>'7. PV allocation (per period)'!I53/'7. PV allocation (per period)'!C53</f>
        <v>0.20570453973553335</v>
      </c>
      <c r="E5" s="8" t="s">
        <v>1187</v>
      </c>
      <c r="F5" s="21">
        <f>'7. PV allocation (per period)'!K53</f>
        <v>725.16655000000014</v>
      </c>
      <c r="G5" s="24">
        <f>'7. PV allocation (per period)'!K53/'7. PV allocation (per period)'!E53</f>
        <v>0.50366927349996082</v>
      </c>
    </row>
    <row r="6" spans="1:7" x14ac:dyDescent="0.25">
      <c r="A6" s="8" t="s">
        <v>33</v>
      </c>
      <c r="B6" s="21">
        <f>'7. PV allocation (per period)'!J53</f>
        <v>709.86699999999985</v>
      </c>
      <c r="C6" s="24">
        <f>'7. PV allocation (per period)'!J53/'7. PV allocation (per period)'!C53</f>
        <v>0.13918378395696143</v>
      </c>
      <c r="E6" s="8" t="s">
        <v>1188</v>
      </c>
      <c r="F6" s="21">
        <f>'7. PV allocation (per period)'!M53</f>
        <v>714.60074999999983</v>
      </c>
      <c r="G6" s="24">
        <f>'7. PV allocation (per period)'!M53/'7. PV allocation (per period)'!E53</f>
        <v>0.49633072650003918</v>
      </c>
    </row>
    <row r="7" spans="1:7" x14ac:dyDescent="0.25">
      <c r="A7" s="8" t="s">
        <v>34</v>
      </c>
      <c r="B7" s="21">
        <f>'7. PV allocation (per period)'!K53</f>
        <v>725.16655000000014</v>
      </c>
      <c r="C7" s="24">
        <f>'7. PV allocation (per period)'!K53/'7. PV allocation (per period)'!C53</f>
        <v>0.14218357020119982</v>
      </c>
      <c r="E7" s="22" t="s">
        <v>1189</v>
      </c>
      <c r="F7" s="23">
        <f>'7. PV allocation (per period)'!E53</f>
        <v>1439.7673</v>
      </c>
      <c r="G7" s="25">
        <v>1</v>
      </c>
    </row>
    <row r="8" spans="1:7" x14ac:dyDescent="0.25">
      <c r="A8" s="8" t="s">
        <v>35</v>
      </c>
      <c r="B8" s="21">
        <f>'7. PV allocation (per period)'!L53</f>
        <v>2616.0428000000002</v>
      </c>
      <c r="C8" s="24">
        <f>'7. PV allocation (per period)'!L53/'7. PV allocation (per period)'!C53</f>
        <v>0.51292810610630524</v>
      </c>
    </row>
    <row r="9" spans="1:7" x14ac:dyDescent="0.25">
      <c r="A9" s="22" t="s">
        <v>1190</v>
      </c>
      <c r="B9" s="23">
        <f>'7. PV allocation (per period)'!C53</f>
        <v>5100.2134000000005</v>
      </c>
      <c r="C9" s="25">
        <v>1</v>
      </c>
    </row>
    <row r="55" spans="1:1" x14ac:dyDescent="0.25">
      <c r="A55" s="15" t="s">
        <v>1191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1. Overview</vt:lpstr>
      <vt:lpstr>2. Load classification</vt:lpstr>
      <vt:lpstr>3. Raw PV per load</vt:lpstr>
      <vt:lpstr>4. Raw load per load</vt:lpstr>
      <vt:lpstr>5. Raw batt charge</vt:lpstr>
      <vt:lpstr>6. Raw batt discharge</vt:lpstr>
      <vt:lpstr>7. PV allocation (per period)</vt:lpstr>
      <vt:lpstr>8. Results &amp;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Tulio</cp:lastModifiedBy>
  <dcterms:created xsi:type="dcterms:W3CDTF">2026-07-24T18:04:06Z</dcterms:created>
  <dcterms:modified xsi:type="dcterms:W3CDTF">2026-07-24T18:11:39Z</dcterms:modified>
</cp:coreProperties>
</file>